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9" i="3" l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F22" i="3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F14" i="3" l="1"/>
  <c r="E14" i="3"/>
  <c r="E13" i="3"/>
  <c r="F13" i="3" l="1"/>
  <c r="E12" i="3"/>
  <c r="F12" i="3" l="1"/>
  <c r="E11" i="3"/>
  <c r="F11" i="3" l="1"/>
  <c r="E10" i="3"/>
  <c r="F9" i="3" l="1"/>
  <c r="E8" i="3"/>
  <c r="F10" i="3" l="1"/>
  <c r="E9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K16" i="3" s="1"/>
  <c r="O25" i="4"/>
  <c r="K17" i="3" s="1"/>
  <c r="O26" i="4"/>
  <c r="K18" i="3" s="1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M18" i="3" s="1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Q18" i="3" s="1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R17" i="3" s="1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S17" i="3" s="1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T17" i="3" s="1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U17" i="3" s="1"/>
  <c r="AS26" i="4"/>
  <c r="U18" i="3" s="1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V17" i="3" s="1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W17" i="3" s="1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X17" i="3" s="1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Y17" i="3" s="1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AD18" i="3" s="1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AF17" i="3" s="1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AG18" i="3" s="1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AI17" i="3" s="1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Z18" i="3" s="1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AA18" i="3" s="1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AB18" i="3" s="1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AC18" i="3" s="1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AK18" i="3" s="1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AM18" i="3" s="1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AL18" i="3" s="1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AN18" i="3" s="1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AQ18" i="3" s="1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AS18" i="3" s="1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AR18" i="3" s="1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AU18" i="3" s="1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AX18" i="3" s="1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AY18" i="3" s="1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BA18" i="3" s="1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BB18" i="3" s="1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BE18" i="3" s="1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BF18" i="3" s="1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BG18" i="3" s="1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BH18" i="3" s="1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BI18" i="3" s="1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BK18" i="3" s="1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AI18" i="3" l="1"/>
  <c r="AF18" i="3"/>
  <c r="Y18" i="3"/>
  <c r="W18" i="3"/>
  <c r="S18" i="3"/>
  <c r="O18" i="3"/>
  <c r="Q17" i="3"/>
  <c r="O17" i="3"/>
  <c r="M17" i="3"/>
  <c r="AH18" i="3"/>
  <c r="AE18" i="3"/>
  <c r="L18" i="3"/>
  <c r="BK14" i="3"/>
  <c r="BI16" i="3"/>
  <c r="BJ18" i="3"/>
  <c r="BJ12" i="3"/>
  <c r="BH14" i="3"/>
  <c r="BG16" i="3"/>
  <c r="BC18" i="3"/>
  <c r="BC12" i="3"/>
  <c r="BF14" i="3"/>
  <c r="BE16" i="3"/>
  <c r="BD18" i="3"/>
  <c r="BD12" i="3"/>
  <c r="BB14" i="3"/>
  <c r="BA16" i="3"/>
  <c r="AZ18" i="3"/>
  <c r="AZ12" i="3"/>
  <c r="AY14" i="3"/>
  <c r="AX16" i="3"/>
  <c r="AW18" i="3"/>
  <c r="AW12" i="3"/>
  <c r="AU16" i="3"/>
  <c r="AT18" i="3"/>
  <c r="AT12" i="3"/>
  <c r="AR14" i="3"/>
  <c r="AS16" i="3"/>
  <c r="AP18" i="3"/>
  <c r="AP12" i="3"/>
  <c r="AQ14" i="3"/>
  <c r="AN16" i="3"/>
  <c r="AO18" i="3"/>
  <c r="AO12" i="3"/>
  <c r="AL14" i="3"/>
  <c r="AM16" i="3"/>
  <c r="AJ18" i="3"/>
  <c r="AJ12" i="3"/>
  <c r="AK14" i="3"/>
  <c r="AC16" i="3"/>
  <c r="AB13" i="3"/>
  <c r="AA16" i="3"/>
  <c r="Z13" i="3"/>
  <c r="AI15" i="3"/>
  <c r="AH17" i="3"/>
  <c r="AG13" i="3"/>
  <c r="AF15" i="3"/>
  <c r="AE17" i="3"/>
  <c r="AD13" i="3"/>
  <c r="Y15" i="3"/>
  <c r="X18" i="3"/>
  <c r="X12" i="3"/>
  <c r="W15" i="3"/>
  <c r="V18" i="3"/>
  <c r="V12" i="3"/>
  <c r="U15" i="3"/>
  <c r="T18" i="3"/>
  <c r="T12" i="3"/>
  <c r="S15" i="3"/>
  <c r="R18" i="3"/>
  <c r="R12" i="3"/>
  <c r="Q15" i="3"/>
  <c r="P18" i="3"/>
  <c r="P12" i="3"/>
  <c r="O15" i="3"/>
  <c r="N18" i="3"/>
  <c r="N12" i="3"/>
  <c r="M15" i="3"/>
  <c r="L17" i="3"/>
  <c r="K14" i="3"/>
  <c r="BJ17" i="3"/>
  <c r="BC17" i="3"/>
  <c r="BD17" i="3"/>
  <c r="AZ17" i="3"/>
  <c r="AW17" i="3"/>
  <c r="AT17" i="3"/>
  <c r="AP17" i="3"/>
  <c r="AO17" i="3"/>
  <c r="AJ17" i="3"/>
  <c r="P17" i="3"/>
  <c r="N17" i="3"/>
  <c r="L16" i="3"/>
  <c r="AB17" i="3"/>
  <c r="Z17" i="3"/>
  <c r="AG17" i="3"/>
  <c r="AD17" i="3"/>
  <c r="BK17" i="3"/>
  <c r="BK11" i="3"/>
  <c r="BI13" i="3"/>
  <c r="BI7" i="3"/>
  <c r="BJ15" i="3"/>
  <c r="BJ9" i="3"/>
  <c r="BH17" i="3"/>
  <c r="BH11" i="3"/>
  <c r="BG13" i="3"/>
  <c r="BG7" i="3"/>
  <c r="BC15" i="3"/>
  <c r="BC9" i="3"/>
  <c r="BF17" i="3"/>
  <c r="BF11" i="3"/>
  <c r="BE13" i="3"/>
  <c r="BD15" i="3"/>
  <c r="BB17" i="3"/>
  <c r="BB11" i="3"/>
  <c r="BA13" i="3"/>
  <c r="BA7" i="3"/>
  <c r="AZ15" i="3"/>
  <c r="AZ9" i="3"/>
  <c r="AY17" i="3"/>
  <c r="AY11" i="3"/>
  <c r="AY5" i="3"/>
  <c r="AX13" i="3"/>
  <c r="AX7" i="3"/>
  <c r="AW15" i="3"/>
  <c r="AW9" i="3"/>
  <c r="AU13" i="3"/>
  <c r="AU7" i="3"/>
  <c r="AT15" i="3"/>
  <c r="AT9" i="3"/>
  <c r="AR17" i="3"/>
  <c r="AR11" i="3"/>
  <c r="AR5" i="3"/>
  <c r="AS13" i="3"/>
  <c r="AS7" i="3"/>
  <c r="AP15" i="3"/>
  <c r="AP9" i="3"/>
  <c r="AQ17" i="3"/>
  <c r="AQ11" i="3"/>
  <c r="AQ5" i="3"/>
  <c r="AN13" i="3"/>
  <c r="AN7" i="3"/>
  <c r="AO15" i="3"/>
  <c r="AO9" i="3"/>
  <c r="AL17" i="3"/>
  <c r="AL11" i="3"/>
  <c r="AL5" i="3"/>
  <c r="AM13" i="3"/>
  <c r="AM7" i="3"/>
  <c r="AJ15" i="3"/>
  <c r="AJ9" i="3"/>
  <c r="AK17" i="3"/>
  <c r="AC13" i="3"/>
  <c r="AB16" i="3"/>
  <c r="AA13" i="3"/>
  <c r="Z16" i="3"/>
  <c r="AI12" i="3"/>
  <c r="AH14" i="3"/>
  <c r="AG16" i="3"/>
  <c r="AF12" i="3"/>
  <c r="AE14" i="3"/>
  <c r="AD16" i="3"/>
  <c r="Y12" i="3"/>
  <c r="X15" i="3"/>
  <c r="W12" i="3"/>
  <c r="V15" i="3"/>
  <c r="U12" i="3"/>
  <c r="T15" i="3"/>
  <c r="S12" i="3"/>
  <c r="R15" i="3"/>
  <c r="Q12" i="3"/>
  <c r="P15" i="3"/>
  <c r="O12" i="3"/>
  <c r="N15" i="3"/>
  <c r="M12" i="3"/>
  <c r="L14" i="3"/>
  <c r="BI17" i="3"/>
  <c r="BG17" i="3"/>
  <c r="BE17" i="3"/>
  <c r="BA17" i="3"/>
  <c r="AX17" i="3"/>
  <c r="AU17" i="3"/>
  <c r="AS17" i="3"/>
  <c r="AN17" i="3"/>
  <c r="AM17" i="3"/>
  <c r="AC17" i="3"/>
  <c r="AA17" i="3"/>
  <c r="AH16" i="3"/>
  <c r="AE16" i="3"/>
  <c r="BJ16" i="3"/>
  <c r="BC16" i="3"/>
  <c r="BD16" i="3"/>
  <c r="AZ16" i="3"/>
  <c r="AW16" i="3"/>
  <c r="AT16" i="3"/>
  <c r="AP16" i="3"/>
  <c r="AO16" i="3"/>
  <c r="AJ16" i="3"/>
  <c r="X16" i="3"/>
  <c r="V16" i="3"/>
  <c r="T16" i="3"/>
  <c r="R16" i="3"/>
  <c r="P16" i="3"/>
  <c r="N16" i="3"/>
  <c r="BK16" i="3"/>
  <c r="BI12" i="3"/>
  <c r="BJ14" i="3"/>
  <c r="BH16" i="3"/>
  <c r="BG12" i="3"/>
  <c r="BF16" i="3"/>
  <c r="BE12" i="3"/>
  <c r="BB16" i="3"/>
  <c r="AY16" i="3"/>
  <c r="AR16" i="3"/>
  <c r="AQ16" i="3"/>
  <c r="AL16" i="3"/>
  <c r="AK16" i="3"/>
  <c r="AB15" i="3"/>
  <c r="Z15" i="3"/>
  <c r="AI16" i="3"/>
  <c r="AF16" i="3"/>
  <c r="Y16" i="3"/>
  <c r="W16" i="3"/>
  <c r="U16" i="3"/>
  <c r="S16" i="3"/>
  <c r="Q16" i="3"/>
  <c r="O16" i="3"/>
  <c r="M16" i="3"/>
  <c r="BI15" i="3"/>
  <c r="BG15" i="3"/>
  <c r="BE15" i="3"/>
  <c r="BA15" i="3"/>
  <c r="AX15" i="3"/>
  <c r="AU15" i="3"/>
  <c r="AS15" i="3"/>
  <c r="AN15" i="3"/>
  <c r="AM15" i="3"/>
  <c r="AC15" i="3"/>
  <c r="AA15" i="3"/>
  <c r="AR12" i="3"/>
  <c r="AS14" i="3"/>
  <c r="AQ12" i="3"/>
  <c r="AQ6" i="3"/>
  <c r="AN14" i="3"/>
  <c r="AN8" i="3"/>
  <c r="AO10" i="3"/>
  <c r="AL12" i="3"/>
  <c r="AL6" i="3"/>
  <c r="AM14" i="3"/>
  <c r="AM8" i="3"/>
  <c r="AJ10" i="3"/>
  <c r="AK12" i="3"/>
  <c r="AK6" i="3"/>
  <c r="AC14" i="3"/>
  <c r="AC8" i="3"/>
  <c r="AB11" i="3"/>
  <c r="AB5" i="3"/>
  <c r="AA14" i="3"/>
  <c r="AA8" i="3"/>
  <c r="Z11" i="3"/>
  <c r="Z5" i="3"/>
  <c r="AI13" i="3"/>
  <c r="AI7" i="3"/>
  <c r="AH15" i="3"/>
  <c r="AF13" i="3"/>
  <c r="AE15" i="3"/>
  <c r="Y13" i="3"/>
  <c r="W13" i="3"/>
  <c r="U13" i="3"/>
  <c r="S13" i="3"/>
  <c r="Q13" i="3"/>
  <c r="O13" i="3"/>
  <c r="M13" i="3"/>
  <c r="L15" i="3"/>
  <c r="K12" i="3"/>
  <c r="BC14" i="3"/>
  <c r="BD14" i="3"/>
  <c r="BA12" i="3"/>
  <c r="AZ14" i="3"/>
  <c r="AX12" i="3"/>
  <c r="AW14" i="3"/>
  <c r="AG15" i="3"/>
  <c r="AD15" i="3"/>
  <c r="BK15" i="3"/>
  <c r="BH15" i="3"/>
  <c r="BF15" i="3"/>
  <c r="BB15" i="3"/>
  <c r="AY15" i="3"/>
  <c r="AR15" i="3"/>
  <c r="AQ15" i="3"/>
  <c r="AL15" i="3"/>
  <c r="AK15" i="3"/>
  <c r="K15" i="3"/>
  <c r="BK13" i="3"/>
  <c r="BH13" i="3"/>
  <c r="BF13" i="3"/>
  <c r="BB13" i="3"/>
  <c r="AY13" i="3"/>
  <c r="AR13" i="3"/>
  <c r="AQ13" i="3"/>
  <c r="AL13" i="3"/>
  <c r="AK13" i="3"/>
  <c r="AI14" i="3"/>
  <c r="AF14" i="3"/>
  <c r="Y14" i="3"/>
  <c r="W14" i="3"/>
  <c r="U14" i="3"/>
  <c r="S14" i="3"/>
  <c r="Q14" i="3"/>
  <c r="O14" i="3"/>
  <c r="M14" i="3"/>
  <c r="K13" i="3"/>
  <c r="BI14" i="3"/>
  <c r="BG14" i="3"/>
  <c r="BE14" i="3"/>
  <c r="BA14" i="3"/>
  <c r="AX14" i="3"/>
  <c r="AU14" i="3"/>
  <c r="AU12" i="3"/>
  <c r="AT14" i="3"/>
  <c r="AS12" i="3"/>
  <c r="AP14" i="3"/>
  <c r="AN12" i="3"/>
  <c r="AO14" i="3"/>
  <c r="AM12" i="3"/>
  <c r="AJ14" i="3"/>
  <c r="AC12" i="3"/>
  <c r="AA12" i="3"/>
  <c r="AI11" i="3"/>
  <c r="AH13" i="3"/>
  <c r="AF11" i="3"/>
  <c r="AE13" i="3"/>
  <c r="Y11" i="3"/>
  <c r="X14" i="3"/>
  <c r="W11" i="3"/>
  <c r="V14" i="3"/>
  <c r="U11" i="3"/>
  <c r="T14" i="3"/>
  <c r="S11" i="3"/>
  <c r="R14" i="3"/>
  <c r="Q11" i="3"/>
  <c r="P14" i="3"/>
  <c r="O11" i="3"/>
  <c r="N14" i="3"/>
  <c r="L13" i="3"/>
  <c r="BJ13" i="3"/>
  <c r="BC13" i="3"/>
  <c r="BD13" i="3"/>
  <c r="AZ13" i="3"/>
  <c r="AW13" i="3"/>
  <c r="AT13" i="3"/>
  <c r="AP13" i="3"/>
  <c r="AO13" i="3"/>
  <c r="AJ13" i="3"/>
  <c r="AB14" i="3"/>
  <c r="Z14" i="3"/>
  <c r="AG14" i="3"/>
  <c r="AD14" i="3"/>
  <c r="X13" i="3"/>
  <c r="V13" i="3"/>
  <c r="T13" i="3"/>
  <c r="R13" i="3"/>
  <c r="P13" i="3"/>
  <c r="N13" i="3"/>
  <c r="BJ11" i="3"/>
  <c r="BC11" i="3"/>
  <c r="BD11" i="3"/>
  <c r="AZ11" i="3"/>
  <c r="AW11" i="3"/>
  <c r="AT11" i="3"/>
  <c r="AP11" i="3"/>
  <c r="AO11" i="3"/>
  <c r="AJ11" i="3"/>
  <c r="AB12" i="3"/>
  <c r="Z12" i="3"/>
  <c r="AG12" i="3"/>
  <c r="AD12" i="3"/>
  <c r="X11" i="3"/>
  <c r="V11" i="3"/>
  <c r="T11" i="3"/>
  <c r="R11" i="3"/>
  <c r="P11" i="3"/>
  <c r="N11" i="3"/>
  <c r="BK12" i="3"/>
  <c r="BH12" i="3"/>
  <c r="BF12" i="3"/>
  <c r="BB12" i="3"/>
  <c r="AY12" i="3"/>
  <c r="AH9" i="3"/>
  <c r="AG11" i="3"/>
  <c r="AG5" i="3"/>
  <c r="AF7" i="3"/>
  <c r="AE9" i="3"/>
  <c r="AD11" i="3"/>
  <c r="AD5" i="3"/>
  <c r="Y7" i="3"/>
  <c r="X10" i="3"/>
  <c r="W7" i="3"/>
  <c r="V10" i="3"/>
  <c r="U7" i="3"/>
  <c r="T10" i="3"/>
  <c r="S7" i="3"/>
  <c r="R10" i="3"/>
  <c r="Q7" i="3"/>
  <c r="P10" i="3"/>
  <c r="O7" i="3"/>
  <c r="N10" i="3"/>
  <c r="M7" i="3"/>
  <c r="K11" i="3"/>
  <c r="M11" i="3"/>
  <c r="BI11" i="3"/>
  <c r="BG11" i="3"/>
  <c r="BE11" i="3"/>
  <c r="BA11" i="3"/>
  <c r="AX11" i="3"/>
  <c r="AU11" i="3"/>
  <c r="AS11" i="3"/>
  <c r="AN11" i="3"/>
  <c r="AH12" i="3"/>
  <c r="AE12" i="3"/>
  <c r="L12" i="3"/>
  <c r="AT10" i="3"/>
  <c r="AP10" i="3"/>
  <c r="L9" i="3"/>
  <c r="K6" i="3"/>
  <c r="AK11" i="3"/>
  <c r="AK5" i="3"/>
  <c r="AC7" i="3"/>
  <c r="AB10" i="3"/>
  <c r="AA7" i="3"/>
  <c r="Z10" i="3"/>
  <c r="Z4" i="3"/>
  <c r="AI6" i="3"/>
  <c r="AH8" i="3"/>
  <c r="AG10" i="3"/>
  <c r="AG4" i="3"/>
  <c r="AM11" i="3"/>
  <c r="AC11" i="3"/>
  <c r="AA11" i="3"/>
  <c r="AH11" i="3"/>
  <c r="AE11" i="3"/>
  <c r="L11" i="3"/>
  <c r="BI9" i="3"/>
  <c r="BG9" i="3"/>
  <c r="BE9" i="3"/>
  <c r="BA9" i="3"/>
  <c r="AX9" i="3"/>
  <c r="AU9" i="3"/>
  <c r="AS9" i="3"/>
  <c r="AN9" i="3"/>
  <c r="AM9" i="3"/>
  <c r="AC9" i="3"/>
  <c r="AA9" i="3"/>
  <c r="AI8" i="3"/>
  <c r="AH10" i="3"/>
  <c r="AF8" i="3"/>
  <c r="AE10" i="3"/>
  <c r="Y8" i="3"/>
  <c r="W8" i="3"/>
  <c r="U8" i="3"/>
  <c r="S8" i="3"/>
  <c r="Q8" i="3"/>
  <c r="M8" i="3"/>
  <c r="L10" i="3"/>
  <c r="BE7" i="3"/>
  <c r="BD9" i="3"/>
  <c r="AF6" i="3"/>
  <c r="BK9" i="3"/>
  <c r="BJ7" i="3"/>
  <c r="BH9" i="3"/>
  <c r="BC7" i="3"/>
  <c r="BF9" i="3"/>
  <c r="BD7" i="3"/>
  <c r="BB9" i="3"/>
  <c r="AZ7" i="3"/>
  <c r="AY9" i="3"/>
  <c r="AX5" i="3"/>
  <c r="AW7" i="3"/>
  <c r="AU5" i="3"/>
  <c r="AT7" i="3"/>
  <c r="AR9" i="3"/>
  <c r="AS5" i="3"/>
  <c r="AP7" i="3"/>
  <c r="AQ9" i="3"/>
  <c r="AN5" i="3"/>
  <c r="AO7" i="3"/>
  <c r="AL9" i="3"/>
  <c r="AM5" i="3"/>
  <c r="AJ7" i="3"/>
  <c r="AK9" i="3"/>
  <c r="AC5" i="3"/>
  <c r="AB8" i="3"/>
  <c r="AA5" i="3"/>
  <c r="Z8" i="3"/>
  <c r="AI10" i="3"/>
  <c r="AH6" i="3"/>
  <c r="AG8" i="3"/>
  <c r="AF10" i="3"/>
  <c r="AE6" i="3"/>
  <c r="AD8" i="3"/>
  <c r="Y10" i="3"/>
  <c r="X7" i="3"/>
  <c r="W10" i="3"/>
  <c r="V7" i="3"/>
  <c r="U10" i="3"/>
  <c r="T7" i="3"/>
  <c r="S10" i="3"/>
  <c r="R7" i="3"/>
  <c r="Q10" i="3"/>
  <c r="P7" i="3"/>
  <c r="O10" i="3"/>
  <c r="N7" i="3"/>
  <c r="M10" i="3"/>
  <c r="L6" i="3"/>
  <c r="K9" i="3"/>
  <c r="BJ10" i="3"/>
  <c r="BC10" i="3"/>
  <c r="BD10" i="3"/>
  <c r="AZ10" i="3"/>
  <c r="AW10" i="3"/>
  <c r="AD10" i="3"/>
  <c r="K10" i="3"/>
  <c r="O8" i="3"/>
  <c r="Q6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AA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Y6" i="3"/>
  <c r="X9" i="3"/>
  <c r="W6" i="3"/>
  <c r="V9" i="3"/>
  <c r="U6" i="3"/>
  <c r="T9" i="3"/>
  <c r="S6" i="3"/>
  <c r="R9" i="3"/>
  <c r="P9" i="3"/>
  <c r="O6" i="3"/>
  <c r="N9" i="3"/>
  <c r="L8" i="3"/>
  <c r="K5" i="3"/>
  <c r="BJ8" i="3"/>
  <c r="BC8" i="3"/>
  <c r="BD8" i="3"/>
  <c r="AZ8" i="3"/>
  <c r="AW8" i="3"/>
  <c r="AT8" i="3"/>
  <c r="AP8" i="3"/>
  <c r="AO8" i="3"/>
  <c r="AJ8" i="3"/>
  <c r="AB9" i="3"/>
  <c r="Z9" i="3"/>
  <c r="AG9" i="3"/>
  <c r="AD9" i="3"/>
  <c r="X8" i="3"/>
  <c r="V8" i="3"/>
  <c r="T8" i="3"/>
  <c r="R8" i="3"/>
  <c r="P8" i="3"/>
  <c r="N8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B7" i="3"/>
  <c r="Z7" i="3"/>
  <c r="AI9" i="3"/>
  <c r="AH5" i="3"/>
  <c r="AG7" i="3"/>
  <c r="AF9" i="3"/>
  <c r="AE5" i="3"/>
  <c r="AD7" i="3"/>
  <c r="Y9" i="3"/>
  <c r="X6" i="3"/>
  <c r="W9" i="3"/>
  <c r="V6" i="3"/>
  <c r="U9" i="3"/>
  <c r="T6" i="3"/>
  <c r="S9" i="3"/>
  <c r="R6" i="3"/>
  <c r="Q9" i="3"/>
  <c r="P6" i="3"/>
  <c r="O9" i="3"/>
  <c r="N6" i="3"/>
  <c r="M9" i="3"/>
  <c r="L5" i="3"/>
  <c r="K8" i="3"/>
  <c r="BK7" i="3"/>
  <c r="BH7" i="3"/>
  <c r="BF7" i="3"/>
  <c r="BB7" i="3"/>
  <c r="AY7" i="3"/>
  <c r="AR7" i="3"/>
  <c r="AQ7" i="3"/>
  <c r="AL7" i="3"/>
  <c r="AK7" i="3"/>
  <c r="AB6" i="3"/>
  <c r="Z6" i="3"/>
  <c r="AG6" i="3"/>
  <c r="AD6" i="3"/>
  <c r="K7" i="3"/>
  <c r="M6" i="3"/>
  <c r="BI6" i="3"/>
  <c r="BG6" i="3"/>
  <c r="BE6" i="3"/>
  <c r="BA6" i="3"/>
  <c r="AX6" i="3"/>
  <c r="AU6" i="3"/>
  <c r="AS6" i="3"/>
  <c r="AN6" i="3"/>
  <c r="AM6" i="3"/>
  <c r="AC6" i="3"/>
  <c r="AA6" i="3"/>
  <c r="AH7" i="3"/>
  <c r="AE7" i="3"/>
  <c r="L7" i="3"/>
  <c r="K4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A3" i="3"/>
  <c r="AH4" i="3"/>
  <c r="AE4" i="3"/>
  <c r="X5" i="3"/>
  <c r="V5" i="3"/>
  <c r="T5" i="3"/>
  <c r="R5" i="3"/>
  <c r="P5" i="3"/>
  <c r="N5" i="3"/>
  <c r="L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Y5" i="3"/>
  <c r="W5" i="3"/>
  <c r="U5" i="3"/>
  <c r="S5" i="3"/>
  <c r="Q5" i="3"/>
  <c r="O5" i="3"/>
  <c r="M5" i="3"/>
  <c r="BI5" i="3"/>
  <c r="BG5" i="3"/>
  <c r="BE5" i="3"/>
  <c r="BA5" i="3"/>
  <c r="AP4" i="3"/>
  <c r="AO4" i="3"/>
  <c r="AJ4" i="3"/>
  <c r="X4" i="3"/>
  <c r="V4" i="3"/>
  <c r="T4" i="3"/>
  <c r="R4" i="3"/>
  <c r="P4" i="3"/>
  <c r="N4" i="3"/>
  <c r="BJ3" i="3"/>
  <c r="BC3" i="3"/>
  <c r="BD3" i="3"/>
  <c r="AZ3" i="3"/>
  <c r="AW3" i="3"/>
  <c r="AT3" i="3"/>
  <c r="AP3" i="3"/>
  <c r="AO3" i="3"/>
  <c r="AJ3" i="3"/>
  <c r="AB4" i="3"/>
  <c r="R3" i="3"/>
  <c r="P3" i="3"/>
  <c r="N3" i="3"/>
  <c r="BK3" i="3"/>
  <c r="BH3" i="3"/>
  <c r="BF3" i="3"/>
  <c r="BB3" i="3"/>
  <c r="AY3" i="3"/>
  <c r="AR3" i="3"/>
  <c r="AQ3" i="3"/>
  <c r="AL3" i="3"/>
  <c r="AK3" i="3"/>
  <c r="AI4" i="3"/>
  <c r="AF4" i="3"/>
  <c r="Y4" i="3"/>
  <c r="W4" i="3"/>
  <c r="U4" i="3"/>
  <c r="S4" i="3"/>
  <c r="Q4" i="3"/>
  <c r="O4" i="3"/>
  <c r="M4" i="3"/>
  <c r="BI4" i="3"/>
  <c r="BG4" i="3"/>
  <c r="BE4" i="3"/>
  <c r="BA4" i="3"/>
  <c r="AX4" i="3"/>
  <c r="AU4" i="3"/>
  <c r="AS4" i="3"/>
  <c r="AN4" i="3"/>
  <c r="AM4" i="3"/>
  <c r="AC4" i="3"/>
  <c r="AA4" i="3"/>
  <c r="AH3" i="3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H18" i="3" s="1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G18" i="3" l="1"/>
  <c r="J18" i="3"/>
  <c r="I18" i="3"/>
  <c r="G17" i="3"/>
  <c r="G16" i="3"/>
  <c r="I17" i="3"/>
  <c r="J17" i="3"/>
  <c r="I16" i="3"/>
  <c r="J16" i="3"/>
  <c r="H16" i="3"/>
  <c r="G15" i="3"/>
  <c r="G13" i="3"/>
  <c r="H15" i="3"/>
  <c r="J15" i="3"/>
  <c r="I15" i="3"/>
  <c r="H12" i="3"/>
  <c r="I13" i="3"/>
  <c r="J13" i="3"/>
  <c r="G14" i="3"/>
  <c r="H13" i="3"/>
  <c r="J14" i="3"/>
  <c r="I14" i="3"/>
  <c r="H14" i="3"/>
  <c r="H11" i="3"/>
  <c r="I12" i="3"/>
  <c r="J12" i="3"/>
  <c r="G12" i="3"/>
  <c r="G11" i="3"/>
  <c r="I11" i="3"/>
  <c r="J11" i="3"/>
  <c r="G10" i="3"/>
  <c r="H8" i="3"/>
  <c r="H10" i="3"/>
  <c r="H5" i="3"/>
  <c r="G8" i="3"/>
  <c r="I10" i="3"/>
  <c r="J10" i="3"/>
  <c r="H6" i="3"/>
  <c r="G9" i="3"/>
  <c r="I8" i="3"/>
  <c r="J8" i="3"/>
  <c r="I9" i="3"/>
  <c r="J9" i="3"/>
  <c r="H9" i="3"/>
  <c r="G6" i="3"/>
  <c r="H7" i="3"/>
  <c r="G7" i="3"/>
  <c r="I7" i="3"/>
  <c r="J7" i="3"/>
  <c r="G5" i="3"/>
  <c r="I6" i="3"/>
  <c r="J6" i="3"/>
  <c r="H4" i="3"/>
  <c r="I5" i="3"/>
  <c r="J5" i="3"/>
  <c r="G3" i="3"/>
  <c r="G4" i="3"/>
  <c r="I4" i="3"/>
  <c r="J4" i="3"/>
  <c r="I3" i="3"/>
  <c r="J3" i="3"/>
  <c r="H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<sst xmlns="http://schemas.openxmlformats.org/spreadsheetml/2006/main" count="412" uniqueCount="203">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</sst>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>
            <v>0.89</v>
          </cell>
          <cell r="E19">
            <v>74178</v>
          </cell>
          <cell r="F19">
            <v>682</v>
          </cell>
          <cell r="G19">
            <v>425</v>
          </cell>
          <cell r="H19">
            <v>130920</v>
          </cell>
          <cell r="I19">
            <v>481</v>
          </cell>
          <cell r="J19">
            <v>377</v>
          </cell>
          <cell r="K19">
            <v>164625</v>
          </cell>
          <cell r="L19">
            <v>0</v>
          </cell>
          <cell r="N19">
            <v>834880</v>
          </cell>
          <cell r="O19">
            <v>141</v>
          </cell>
          <cell r="Q19">
            <v>194379</v>
          </cell>
          <cell r="R19">
            <v>25</v>
          </cell>
          <cell r="U19">
            <v>60105.7</v>
          </cell>
          <cell r="V19">
            <v>116.45999999999913</v>
          </cell>
          <cell r="W19">
            <v>25</v>
          </cell>
          <cell r="X19">
            <v>4649</v>
          </cell>
          <cell r="Y19">
            <v>17</v>
          </cell>
          <cell r="AE19">
            <v>7410945.3599999994</v>
          </cell>
          <cell r="AF19">
            <v>2777.0399999991059</v>
          </cell>
          <cell r="AG19">
            <v>1753.9200000008568</v>
          </cell>
          <cell r="AH19">
            <v>14183220.24</v>
          </cell>
          <cell r="AI19">
            <v>4725.839999999851</v>
          </cell>
          <cell r="AJ19">
            <v>4384.8000000007451</v>
          </cell>
          <cell r="AK19">
            <v>13960862.16</v>
          </cell>
          <cell r="AL19">
            <v>974.40000000037253</v>
          </cell>
          <cell r="AM19">
            <v>9208.0800000019372</v>
          </cell>
          <cell r="AN19">
            <v>16970783.760000002</v>
          </cell>
          <cell r="AO19">
            <v>0</v>
          </cell>
          <cell r="AP19">
            <v>341.03999999910593</v>
          </cell>
          <cell r="AQ19">
            <v>17400348</v>
          </cell>
          <cell r="AR19">
            <v>10231.199999999255</v>
          </cell>
          <cell r="AS19">
            <v>292.32000000029802</v>
          </cell>
          <cell r="AT19">
            <v>16004714.880000001</v>
          </cell>
          <cell r="AU19">
            <v>5554.0800000019372</v>
          </cell>
          <cell r="AV19">
            <v>5115.5999999996275</v>
          </cell>
          <cell r="AW19">
            <v>13560042.719999999</v>
          </cell>
          <cell r="AX19">
            <v>4336.0799999982119</v>
          </cell>
          <cell r="AY19">
            <v>3946.320000000298</v>
          </cell>
          <cell r="AZ19">
            <v>13056862.559999999</v>
          </cell>
          <cell r="BB19">
            <v>3897.5999999996275</v>
          </cell>
          <cell r="BC19">
            <v>10378090.799999999</v>
          </cell>
          <cell r="BD19">
            <v>3312.9599999990314</v>
          </cell>
          <cell r="BE19">
            <v>2777.0400000009686</v>
          </cell>
          <cell r="BF19">
            <v>16163201.039999999</v>
          </cell>
          <cell r="BG19">
            <v>5505.359999999404</v>
          </cell>
          <cell r="BH19">
            <v>6041.2799999993294</v>
          </cell>
          <cell r="BM19">
            <v>69258000</v>
          </cell>
          <cell r="BN19">
            <v>0</v>
          </cell>
          <cell r="BO19">
            <v>45300</v>
          </cell>
          <cell r="BP19">
            <v>71628600</v>
          </cell>
          <cell r="BQ19">
            <v>0</v>
          </cell>
          <cell r="BR19">
            <v>0</v>
          </cell>
          <cell r="BS19">
            <v>66398000</v>
          </cell>
          <cell r="BT19">
            <v>56900</v>
          </cell>
          <cell r="BU19">
            <v>0</v>
          </cell>
          <cell r="BV19">
            <v>8231260</v>
          </cell>
          <cell r="BW19">
            <v>6500</v>
          </cell>
          <cell r="BY19">
            <v>0.73</v>
          </cell>
          <cell r="BZ19">
            <v>-0.18999999999999995</v>
          </cell>
          <cell r="CA19">
            <v>6.0000000000000053E-2</v>
          </cell>
          <cell r="CB19">
            <v>58775</v>
          </cell>
          <cell r="CC19">
            <v>17</v>
          </cell>
          <cell r="CD19">
            <v>50285</v>
          </cell>
          <cell r="CE19">
            <v>18</v>
          </cell>
          <cell r="CF19">
            <v>17201</v>
          </cell>
          <cell r="CG19">
            <v>6</v>
          </cell>
          <cell r="CH19">
            <v>23040</v>
          </cell>
          <cell r="CI19">
            <v>9</v>
          </cell>
          <cell r="CJ19">
            <v>25145</v>
          </cell>
          <cell r="CK19">
            <v>13</v>
          </cell>
          <cell r="CL19">
            <v>55764</v>
          </cell>
          <cell r="CM19">
            <v>30</v>
          </cell>
          <cell r="CN19">
            <v>243640</v>
          </cell>
          <cell r="CO19">
            <v>100</v>
          </cell>
          <cell r="CP19">
            <v>92</v>
          </cell>
          <cell r="CQ19">
            <v>190908</v>
          </cell>
          <cell r="CR19">
            <v>106</v>
          </cell>
          <cell r="CS19">
            <v>96</v>
          </cell>
          <cell r="CT19">
            <v>344199</v>
          </cell>
          <cell r="CU19">
            <v>165</v>
          </cell>
          <cell r="CV19">
            <v>234</v>
          </cell>
          <cell r="CW19">
            <v>641364</v>
          </cell>
          <cell r="CX19">
            <v>212</v>
          </cell>
          <cell r="CZ19">
            <v>7205</v>
          </cell>
          <cell r="DA19">
            <v>12</v>
          </cell>
          <cell r="DB19">
            <v>4590</v>
          </cell>
          <cell r="DC19">
            <v>10</v>
          </cell>
          <cell r="DD19">
            <v>28442</v>
          </cell>
          <cell r="DE19">
            <v>22</v>
          </cell>
          <cell r="DF19">
            <v>29058</v>
          </cell>
          <cell r="DG19">
            <v>15</v>
          </cell>
          <cell r="DH19">
            <v>19504</v>
          </cell>
          <cell r="DI19">
            <v>10</v>
          </cell>
          <cell r="DJ19">
            <v>22521</v>
          </cell>
          <cell r="DK19">
            <v>6</v>
          </cell>
          <cell r="DL19">
            <v>4290</v>
          </cell>
          <cell r="DM19">
            <v>7</v>
          </cell>
          <cell r="DN19">
            <v>7750</v>
          </cell>
          <cell r="DO19">
            <v>9</v>
          </cell>
          <cell r="DP19">
            <v>2223</v>
          </cell>
          <cell r="DQ19">
            <v>6</v>
          </cell>
          <cell r="DR19">
            <v>4241</v>
          </cell>
          <cell r="DS19">
            <v>8</v>
          </cell>
          <cell r="DT19">
            <v>26924</v>
          </cell>
          <cell r="DU19">
            <v>10</v>
          </cell>
          <cell r="DW19">
            <v>3926</v>
          </cell>
          <cell r="DX19">
            <v>9.0999999999999091</v>
          </cell>
          <cell r="DY19">
            <v>8883.2999999999993</v>
          </cell>
          <cell r="DZ19">
            <v>8.3999999999996362</v>
          </cell>
          <cell r="EA19">
            <v>2974.2</v>
          </cell>
          <cell r="EB19">
            <v>7.0999999999999091</v>
          </cell>
          <cell r="EC19">
            <v>3125.8</v>
          </cell>
          <cell r="ED19">
            <v>8</v>
          </cell>
          <cell r="EE19">
            <v>923179</v>
          </cell>
          <cell r="EF19">
            <v>578</v>
          </cell>
          <cell r="EI19">
            <v>190483.9</v>
          </cell>
          <cell r="EJ19">
            <v>156.69999999998254</v>
          </cell>
          <cell r="EL19">
            <v>10663000</v>
          </cell>
          <cell r="EM19">
            <v>3200</v>
          </cell>
          <cell r="EN19">
            <v>850530</v>
          </cell>
          <cell r="EO19">
            <v>270</v>
          </cell>
          <cell r="EP19">
            <v>6456500</v>
          </cell>
          <cell r="EQ19">
            <v>400</v>
          </cell>
          <cell r="ER19">
            <v>2277500</v>
          </cell>
          <cell r="ES19">
            <v>800</v>
          </cell>
          <cell r="ET19">
            <v>1054810</v>
          </cell>
          <cell r="EU19">
            <v>650</v>
          </cell>
          <cell r="EV19">
            <v>14510000</v>
          </cell>
          <cell r="EW19">
            <v>4200</v>
          </cell>
          <cell r="EY19">
            <v>38811</v>
          </cell>
          <cell r="EZ19">
            <v>17</v>
          </cell>
          <cell r="FA19">
            <v>33623</v>
          </cell>
          <cell r="FB19">
            <v>11</v>
          </cell>
          <cell r="FC19">
            <v>4712</v>
          </cell>
          <cell r="FD19">
            <v>12</v>
          </cell>
          <cell r="FE19">
            <v>55803</v>
          </cell>
          <cell r="FF19">
            <v>17</v>
          </cell>
          <cell r="FG19">
            <v>40629</v>
          </cell>
          <cell r="FH19">
            <v>33</v>
          </cell>
        </row>
        <row r="20">
          <cell r="B20">
            <v>0.92</v>
          </cell>
          <cell r="E20">
            <v>74863</v>
          </cell>
          <cell r="F20">
            <v>685</v>
          </cell>
          <cell r="G20">
            <v>491</v>
          </cell>
          <cell r="H20">
            <v>131392</v>
          </cell>
          <cell r="I20">
            <v>472</v>
          </cell>
          <cell r="J20">
            <v>405</v>
          </cell>
          <cell r="K20">
            <v>164625</v>
          </cell>
          <cell r="L20">
            <v>0</v>
          </cell>
          <cell r="N20">
            <v>835157</v>
          </cell>
          <cell r="O20">
            <v>277</v>
          </cell>
          <cell r="Q20">
            <v>194379</v>
          </cell>
          <cell r="R20">
            <v>0</v>
          </cell>
          <cell r="U20">
            <v>60224.95</v>
          </cell>
          <cell r="V20">
            <v>119.25</v>
          </cell>
          <cell r="W20">
            <v>31</v>
          </cell>
          <cell r="X20">
            <v>4668</v>
          </cell>
          <cell r="Y20">
            <v>19</v>
          </cell>
          <cell r="AE20">
            <v>7413819.8399999999</v>
          </cell>
          <cell r="AF20">
            <v>2874.480000000447</v>
          </cell>
          <cell r="AG20">
            <v>1900.0799999991432</v>
          </cell>
          <cell r="AH20">
            <v>14188043.52</v>
          </cell>
          <cell r="AI20">
            <v>4823.2799999993294</v>
          </cell>
          <cell r="AJ20">
            <v>4336.0799999982119</v>
          </cell>
          <cell r="AK20">
            <v>13961836.559999999</v>
          </cell>
          <cell r="AL20">
            <v>974.39999999850988</v>
          </cell>
          <cell r="AM20">
            <v>9646.5599999986589</v>
          </cell>
          <cell r="AN20">
            <v>16970832.48</v>
          </cell>
          <cell r="AO20">
            <v>48.719999998807907</v>
          </cell>
          <cell r="AP20">
            <v>438.48000000044703</v>
          </cell>
          <cell r="AQ20">
            <v>17410968.960000001</v>
          </cell>
          <cell r="AR20">
            <v>10620.960000000894</v>
          </cell>
          <cell r="AS20">
            <v>146.16000000201166</v>
          </cell>
          <cell r="AT20">
            <v>16010512.560000001</v>
          </cell>
          <cell r="AU20">
            <v>5797.679999999702</v>
          </cell>
          <cell r="AV20">
            <v>5213.0399999991059</v>
          </cell>
          <cell r="AW20">
            <v>13564427.52</v>
          </cell>
          <cell r="AX20">
            <v>4384.8000000007451</v>
          </cell>
          <cell r="AY20">
            <v>4141.1999999992549</v>
          </cell>
          <cell r="AZ20">
            <v>13061539.68</v>
          </cell>
          <cell r="BB20">
            <v>3946.3200000021607</v>
          </cell>
          <cell r="BC20">
            <v>10381452.48</v>
          </cell>
          <cell r="BD20">
            <v>3361.6800000015646</v>
          </cell>
          <cell r="BE20">
            <v>2825.7599999997765</v>
          </cell>
          <cell r="BF20">
            <v>16169047.439999998</v>
          </cell>
          <cell r="BG20">
            <v>5846.3999999985099</v>
          </cell>
          <cell r="BH20">
            <v>6284.8799999989569</v>
          </cell>
          <cell r="BM20">
            <v>69258000</v>
          </cell>
          <cell r="BN20">
            <v>0</v>
          </cell>
          <cell r="BO20">
            <v>50400</v>
          </cell>
          <cell r="BP20">
            <v>71628600</v>
          </cell>
          <cell r="BQ20">
            <v>0</v>
          </cell>
          <cell r="BR20">
            <v>0</v>
          </cell>
          <cell r="BS20">
            <v>66456500</v>
          </cell>
          <cell r="BT20">
            <v>58500</v>
          </cell>
          <cell r="BU20">
            <v>0</v>
          </cell>
          <cell r="BV20">
            <v>8237740</v>
          </cell>
          <cell r="BW20">
            <v>6480</v>
          </cell>
          <cell r="BY20">
            <v>0.67</v>
          </cell>
          <cell r="BZ20">
            <v>5.9999999999999942E-2</v>
          </cell>
          <cell r="CA20">
            <v>-6.0000000000000053E-2</v>
          </cell>
          <cell r="CB20">
            <v>58793</v>
          </cell>
          <cell r="CC20">
            <v>18</v>
          </cell>
          <cell r="CD20">
            <v>50305</v>
          </cell>
          <cell r="CE20">
            <v>20</v>
          </cell>
          <cell r="CF20">
            <v>17207</v>
          </cell>
          <cell r="CG20">
            <v>6</v>
          </cell>
          <cell r="CH20">
            <v>23049</v>
          </cell>
          <cell r="CI20">
            <v>9</v>
          </cell>
          <cell r="CJ20">
            <v>25158</v>
          </cell>
          <cell r="CK20">
            <v>13</v>
          </cell>
          <cell r="CL20">
            <v>55793</v>
          </cell>
          <cell r="CM20">
            <v>29</v>
          </cell>
          <cell r="CN20">
            <v>243740</v>
          </cell>
          <cell r="CO20">
            <v>100</v>
          </cell>
          <cell r="CP20">
            <v>93</v>
          </cell>
          <cell r="CQ20">
            <v>191017</v>
          </cell>
          <cell r="CR20">
            <v>109</v>
          </cell>
          <cell r="CS20">
            <v>97</v>
          </cell>
          <cell r="CT20">
            <v>344360</v>
          </cell>
          <cell r="CU20">
            <v>161</v>
          </cell>
          <cell r="CV20">
            <v>247</v>
          </cell>
          <cell r="CW20">
            <v>641579</v>
          </cell>
          <cell r="CX20">
            <v>215</v>
          </cell>
          <cell r="CZ20">
            <v>7215</v>
          </cell>
          <cell r="DA20">
            <v>10</v>
          </cell>
          <cell r="DB20">
            <v>4600</v>
          </cell>
          <cell r="DC20">
            <v>10</v>
          </cell>
          <cell r="DD20">
            <v>28463</v>
          </cell>
          <cell r="DE20">
            <v>21</v>
          </cell>
          <cell r="DF20">
            <v>29073</v>
          </cell>
          <cell r="DG20">
            <v>15</v>
          </cell>
          <cell r="DH20">
            <v>19515</v>
          </cell>
          <cell r="DI20">
            <v>11</v>
          </cell>
          <cell r="DJ20">
            <v>22528</v>
          </cell>
          <cell r="DK20">
            <v>7</v>
          </cell>
          <cell r="DL20">
            <v>4314</v>
          </cell>
          <cell r="DM20">
            <v>24</v>
          </cell>
          <cell r="DN20">
            <v>7760</v>
          </cell>
          <cell r="DO20">
            <v>10</v>
          </cell>
          <cell r="DP20">
            <v>2229</v>
          </cell>
          <cell r="DQ20">
            <v>6</v>
          </cell>
          <cell r="DR20">
            <v>4249</v>
          </cell>
          <cell r="DS20">
            <v>8</v>
          </cell>
          <cell r="DT20">
            <v>26924</v>
          </cell>
          <cell r="DU20">
            <v>0</v>
          </cell>
          <cell r="DW20">
            <v>3935.5</v>
          </cell>
          <cell r="DX20">
            <v>9.5</v>
          </cell>
          <cell r="DY20">
            <v>8891.7999999999993</v>
          </cell>
          <cell r="DZ20">
            <v>8.5</v>
          </cell>
          <cell r="EA20">
            <v>2981.2</v>
          </cell>
          <cell r="EB20">
            <v>7</v>
          </cell>
          <cell r="EC20">
            <v>3134</v>
          </cell>
          <cell r="ED20">
            <v>8.1999999999998181</v>
          </cell>
          <cell r="EE20">
            <v>923812</v>
          </cell>
          <cell r="EF20">
            <v>633</v>
          </cell>
          <cell r="EI20">
            <v>190632.9</v>
          </cell>
          <cell r="EJ20">
            <v>149</v>
          </cell>
          <cell r="EL20">
            <v>10666400</v>
          </cell>
          <cell r="EM20">
            <v>3400</v>
          </cell>
          <cell r="EN20">
            <v>850800</v>
          </cell>
          <cell r="EO20">
            <v>270</v>
          </cell>
          <cell r="EP20">
            <v>6457000</v>
          </cell>
          <cell r="EQ20">
            <v>500</v>
          </cell>
          <cell r="ER20">
            <v>2278200</v>
          </cell>
          <cell r="ES20">
            <v>700</v>
          </cell>
          <cell r="ET20">
            <v>1055400</v>
          </cell>
          <cell r="EU20">
            <v>590</v>
          </cell>
          <cell r="EV20">
            <v>14514500</v>
          </cell>
          <cell r="EW20">
            <v>4500</v>
          </cell>
          <cell r="EY20">
            <v>38828</v>
          </cell>
          <cell r="EZ20">
            <v>17</v>
          </cell>
          <cell r="FA20">
            <v>33636</v>
          </cell>
          <cell r="FB20">
            <v>13</v>
          </cell>
          <cell r="FC20">
            <v>4724</v>
          </cell>
          <cell r="FD20">
            <v>12</v>
          </cell>
          <cell r="FE20">
            <v>55820</v>
          </cell>
          <cell r="FF20">
            <v>17</v>
          </cell>
          <cell r="FG20">
            <v>40663</v>
          </cell>
          <cell r="FH20">
            <v>34</v>
          </cell>
        </row>
        <row r="21">
          <cell r="B21">
            <v>0.89</v>
          </cell>
          <cell r="E21">
            <v>75692</v>
          </cell>
          <cell r="F21">
            <v>829</v>
          </cell>
          <cell r="G21">
            <v>475</v>
          </cell>
          <cell r="H21">
            <v>131910</v>
          </cell>
          <cell r="I21">
            <v>518</v>
          </cell>
          <cell r="J21">
            <v>419</v>
          </cell>
          <cell r="K21">
            <v>164625</v>
          </cell>
          <cell r="L21">
            <v>0</v>
          </cell>
          <cell r="N21">
            <v>835375</v>
          </cell>
          <cell r="O21">
            <v>218</v>
          </cell>
          <cell r="Q21">
            <v>194492</v>
          </cell>
          <cell r="R21">
            <v>113</v>
          </cell>
          <cell r="U21">
            <v>60346.1</v>
          </cell>
          <cell r="V21">
            <v>121.15000000000146</v>
          </cell>
          <cell r="W21">
            <v>36</v>
          </cell>
          <cell r="X21">
            <v>4699</v>
          </cell>
          <cell r="Y21">
            <v>31</v>
          </cell>
          <cell r="AE21">
            <v>7416207.1200000001</v>
          </cell>
          <cell r="AF21">
            <v>2387.2800000002608</v>
          </cell>
          <cell r="AG21">
            <v>1948.8000000007451</v>
          </cell>
          <cell r="AH21">
            <v>14192866.799999999</v>
          </cell>
          <cell r="AI21">
            <v>4823.2799999993294</v>
          </cell>
          <cell r="AJ21">
            <v>4384.8000000007451</v>
          </cell>
          <cell r="AK21">
            <v>13961934</v>
          </cell>
          <cell r="AL21">
            <v>97.440000001341105</v>
          </cell>
          <cell r="AM21">
            <v>9305.519999999553</v>
          </cell>
          <cell r="AN21">
            <v>16981794.48</v>
          </cell>
          <cell r="AO21">
            <v>10962</v>
          </cell>
          <cell r="AP21">
            <v>487.20000000111759</v>
          </cell>
          <cell r="AQ21">
            <v>17411943.359999999</v>
          </cell>
          <cell r="AR21">
            <v>974.39999999850988</v>
          </cell>
          <cell r="AS21">
            <v>97.439999997615814</v>
          </cell>
          <cell r="AT21">
            <v>16016358.960000001</v>
          </cell>
          <cell r="AU21">
            <v>5846.4000000003725</v>
          </cell>
          <cell r="AV21">
            <v>4920.7200000006706</v>
          </cell>
          <cell r="AW21">
            <v>13568763.6</v>
          </cell>
          <cell r="AX21">
            <v>4336.0800000000745</v>
          </cell>
          <cell r="AY21">
            <v>4092.480000000447</v>
          </cell>
          <cell r="AZ21">
            <v>13066314.24</v>
          </cell>
          <cell r="BB21">
            <v>3946.3199999984354</v>
          </cell>
          <cell r="BC21">
            <v>10384765.439999999</v>
          </cell>
          <cell r="BD21">
            <v>3312.9599999990314</v>
          </cell>
          <cell r="BE21">
            <v>2728.3199999984354</v>
          </cell>
          <cell r="BF21">
            <v>16175137.439999998</v>
          </cell>
          <cell r="BG21">
            <v>6090</v>
          </cell>
          <cell r="BH21">
            <v>6138.7200000006706</v>
          </cell>
          <cell r="BM21">
            <v>69258000</v>
          </cell>
          <cell r="BN21">
            <v>0</v>
          </cell>
          <cell r="BO21">
            <v>47900</v>
          </cell>
          <cell r="BP21">
            <v>71684400</v>
          </cell>
          <cell r="BQ21">
            <v>55800</v>
          </cell>
          <cell r="BR21">
            <v>0</v>
          </cell>
          <cell r="BS21">
            <v>66458900</v>
          </cell>
          <cell r="BT21">
            <v>2400</v>
          </cell>
          <cell r="BU21">
            <v>0</v>
          </cell>
          <cell r="BV21">
            <v>8244590</v>
          </cell>
          <cell r="BW21">
            <v>6850</v>
          </cell>
          <cell r="BY21">
            <v>0.73</v>
          </cell>
          <cell r="BZ21">
            <v>-5.9999999999999942E-2</v>
          </cell>
          <cell r="CA21">
            <v>6.0000000000000053E-2</v>
          </cell>
          <cell r="CB21">
            <v>58811</v>
          </cell>
          <cell r="CC21">
            <v>18</v>
          </cell>
          <cell r="CD21">
            <v>50325</v>
          </cell>
          <cell r="CE21">
            <v>20</v>
          </cell>
          <cell r="CF21">
            <v>17213</v>
          </cell>
          <cell r="CG21">
            <v>6</v>
          </cell>
          <cell r="CH21">
            <v>23059</v>
          </cell>
          <cell r="CI21">
            <v>10</v>
          </cell>
          <cell r="CJ21">
            <v>25168</v>
          </cell>
          <cell r="CK21">
            <v>10</v>
          </cell>
          <cell r="CL21">
            <v>55820</v>
          </cell>
          <cell r="CM21">
            <v>27</v>
          </cell>
          <cell r="CN21">
            <v>243843</v>
          </cell>
          <cell r="CO21">
            <v>103</v>
          </cell>
          <cell r="CP21">
            <v>93</v>
          </cell>
          <cell r="CQ21">
            <v>191149</v>
          </cell>
          <cell r="CR21">
            <v>132</v>
          </cell>
          <cell r="CS21">
            <v>98</v>
          </cell>
          <cell r="CT21">
            <v>344562</v>
          </cell>
          <cell r="CU21">
            <v>202</v>
          </cell>
          <cell r="CV21">
            <v>242</v>
          </cell>
          <cell r="CW21">
            <v>641806</v>
          </cell>
          <cell r="CX21">
            <v>227</v>
          </cell>
          <cell r="CZ21">
            <v>7225</v>
          </cell>
          <cell r="DA21">
            <v>10</v>
          </cell>
          <cell r="DB21">
            <v>4610</v>
          </cell>
          <cell r="DC21">
            <v>10</v>
          </cell>
          <cell r="DD21">
            <v>28484</v>
          </cell>
          <cell r="DE21">
            <v>21</v>
          </cell>
          <cell r="DF21">
            <v>29093</v>
          </cell>
          <cell r="DG21">
            <v>20</v>
          </cell>
          <cell r="DH21">
            <v>19526</v>
          </cell>
          <cell r="DI21">
            <v>11</v>
          </cell>
          <cell r="DJ21">
            <v>22536</v>
          </cell>
          <cell r="DK21">
            <v>8</v>
          </cell>
          <cell r="DL21">
            <v>4326</v>
          </cell>
          <cell r="DM21">
            <v>12</v>
          </cell>
          <cell r="DN21">
            <v>7771</v>
          </cell>
          <cell r="DO21">
            <v>11</v>
          </cell>
          <cell r="DP21">
            <v>2235</v>
          </cell>
          <cell r="DQ21">
            <v>6</v>
          </cell>
          <cell r="DR21">
            <v>4257</v>
          </cell>
          <cell r="DS21">
            <v>8</v>
          </cell>
          <cell r="DT21">
            <v>26943</v>
          </cell>
          <cell r="DU21">
            <v>19</v>
          </cell>
          <cell r="DW21">
            <v>3946.1</v>
          </cell>
          <cell r="DX21">
            <v>10.599999999999909</v>
          </cell>
          <cell r="DY21">
            <v>8900.4</v>
          </cell>
          <cell r="DZ21">
            <v>8.6000000000003638</v>
          </cell>
          <cell r="EA21">
            <v>2988.4</v>
          </cell>
          <cell r="EB21">
            <v>7.2000000000002728</v>
          </cell>
          <cell r="EC21">
            <v>3144.5</v>
          </cell>
          <cell r="ED21">
            <v>10.5</v>
          </cell>
          <cell r="EE21">
            <v>924502</v>
          </cell>
          <cell r="EF21">
            <v>690</v>
          </cell>
          <cell r="EI21">
            <v>190802.2</v>
          </cell>
          <cell r="EJ21">
            <v>169.30000000001746</v>
          </cell>
          <cell r="EL21">
            <v>10670100</v>
          </cell>
          <cell r="EM21">
            <v>3700</v>
          </cell>
          <cell r="EN21">
            <v>851070</v>
          </cell>
          <cell r="EO21">
            <v>270</v>
          </cell>
          <cell r="EP21">
            <v>6458200</v>
          </cell>
          <cell r="EQ21">
            <v>1200</v>
          </cell>
          <cell r="ER21">
            <v>2278900</v>
          </cell>
          <cell r="ES21">
            <v>700</v>
          </cell>
          <cell r="ET21">
            <v>1056050</v>
          </cell>
          <cell r="EU21">
            <v>650</v>
          </cell>
          <cell r="EV21">
            <v>14518900</v>
          </cell>
          <cell r="EW21">
            <v>4400</v>
          </cell>
          <cell r="EY21">
            <v>38848</v>
          </cell>
          <cell r="EZ21">
            <v>20</v>
          </cell>
          <cell r="FA21">
            <v>33649</v>
          </cell>
          <cell r="FB21">
            <v>13</v>
          </cell>
          <cell r="FC21">
            <v>4740</v>
          </cell>
          <cell r="FD21">
            <v>16</v>
          </cell>
          <cell r="FE21">
            <v>55843</v>
          </cell>
          <cell r="FF21">
            <v>23</v>
          </cell>
          <cell r="FG21">
            <v>40697</v>
          </cell>
          <cell r="FH21">
            <v>34</v>
          </cell>
        </row>
        <row r="22">
          <cell r="B22">
            <v>0.81</v>
          </cell>
          <cell r="E22">
            <v>76340</v>
          </cell>
          <cell r="F22">
            <v>648</v>
          </cell>
          <cell r="G22">
            <v>475</v>
          </cell>
          <cell r="H22">
            <v>132351</v>
          </cell>
          <cell r="I22">
            <v>441</v>
          </cell>
          <cell r="J22">
            <v>391</v>
          </cell>
          <cell r="K22">
            <v>164625</v>
          </cell>
          <cell r="L22">
            <v>0</v>
          </cell>
          <cell r="N22">
            <v>835489</v>
          </cell>
          <cell r="O22">
            <v>114</v>
          </cell>
          <cell r="Q22">
            <v>194492</v>
          </cell>
          <cell r="R22">
            <v>0</v>
          </cell>
          <cell r="U22">
            <v>60465.14</v>
          </cell>
          <cell r="V22">
            <v>119.04000000000087</v>
          </cell>
          <cell r="W22">
            <v>38</v>
          </cell>
          <cell r="X22">
            <v>4706</v>
          </cell>
          <cell r="Y22">
            <v>7</v>
          </cell>
          <cell r="AE22">
            <v>7418302.0800000001</v>
          </cell>
          <cell r="AF22">
            <v>2094.9599999999627</v>
          </cell>
          <cell r="AG22">
            <v>1851.3600000003353</v>
          </cell>
          <cell r="AH22">
            <v>14197495.199999999</v>
          </cell>
          <cell r="AI22">
            <v>4628.4000000003725</v>
          </cell>
          <cell r="AJ22">
            <v>4336.0800000000745</v>
          </cell>
          <cell r="AK22">
            <v>13962031.439999999</v>
          </cell>
          <cell r="AL22">
            <v>97.439999999478459</v>
          </cell>
          <cell r="AM22">
            <v>584.64000000059605</v>
          </cell>
          <cell r="AN22">
            <v>16993487.280000001</v>
          </cell>
          <cell r="AO22">
            <v>11692.800000000745</v>
          </cell>
          <cell r="AP22">
            <v>9256.7999999988824</v>
          </cell>
          <cell r="AQ22">
            <v>17412820.32</v>
          </cell>
          <cell r="AR22">
            <v>876.96000000089407</v>
          </cell>
          <cell r="AS22">
            <v>487.19999999925494</v>
          </cell>
          <cell r="AT22">
            <v>16022107.919999998</v>
          </cell>
          <cell r="AU22">
            <v>5748.9599999971688</v>
          </cell>
          <cell r="AV22">
            <v>4774.5599999986589</v>
          </cell>
          <cell r="AW22">
            <v>13573392</v>
          </cell>
          <cell r="AX22">
            <v>4628.4000000003725</v>
          </cell>
          <cell r="AY22">
            <v>4092.480000000447</v>
          </cell>
          <cell r="AZ22">
            <v>13070845.199999999</v>
          </cell>
          <cell r="BB22">
            <v>3848.8800000008196</v>
          </cell>
          <cell r="BC22">
            <v>10388078.4</v>
          </cell>
          <cell r="BD22">
            <v>3312.9600000008941</v>
          </cell>
          <cell r="BE22">
            <v>2679.5999999996275</v>
          </cell>
          <cell r="BF22">
            <v>16181324.880000001</v>
          </cell>
          <cell r="BG22">
            <v>6187.4400000032037</v>
          </cell>
          <cell r="BH22">
            <v>6041.2799999993294</v>
          </cell>
          <cell r="BM22">
            <v>69258000</v>
          </cell>
          <cell r="BN22">
            <v>0</v>
          </cell>
          <cell r="BO22">
            <v>2100</v>
          </cell>
          <cell r="BP22">
            <v>71746500</v>
          </cell>
          <cell r="BQ22">
            <v>62100</v>
          </cell>
          <cell r="BR22">
            <v>47900</v>
          </cell>
          <cell r="BS22">
            <v>66458900</v>
          </cell>
          <cell r="BT22">
            <v>0</v>
          </cell>
          <cell r="BU22">
            <v>0</v>
          </cell>
          <cell r="BV22">
            <v>8251060</v>
          </cell>
          <cell r="BW22">
            <v>6470</v>
          </cell>
          <cell r="BY22">
            <v>0.67</v>
          </cell>
          <cell r="BZ22">
            <v>5.9999999999999942E-2</v>
          </cell>
          <cell r="CA22">
            <v>-5.0000000000000044E-2</v>
          </cell>
          <cell r="CB22">
            <v>58829</v>
          </cell>
          <cell r="CC22">
            <v>18</v>
          </cell>
          <cell r="CD22">
            <v>50345</v>
          </cell>
          <cell r="CE22">
            <v>20</v>
          </cell>
          <cell r="CF22">
            <v>17220</v>
          </cell>
          <cell r="CG22">
            <v>7</v>
          </cell>
          <cell r="CH22">
            <v>23070</v>
          </cell>
          <cell r="CI22">
            <v>11</v>
          </cell>
          <cell r="CJ22">
            <v>25179</v>
          </cell>
          <cell r="CK22">
            <v>11</v>
          </cell>
          <cell r="CL22">
            <v>55848</v>
          </cell>
          <cell r="CM22">
            <v>28</v>
          </cell>
          <cell r="CN22">
            <v>243941</v>
          </cell>
          <cell r="CO22">
            <v>98</v>
          </cell>
          <cell r="CP22">
            <v>95</v>
          </cell>
          <cell r="CQ22">
            <v>191266</v>
          </cell>
          <cell r="CR22">
            <v>117</v>
          </cell>
          <cell r="CS22">
            <v>98</v>
          </cell>
          <cell r="CT22">
            <v>344706</v>
          </cell>
          <cell r="CU22">
            <v>144</v>
          </cell>
          <cell r="CV22">
            <v>312</v>
          </cell>
          <cell r="CW22">
            <v>642026</v>
          </cell>
          <cell r="CX22">
            <v>220</v>
          </cell>
          <cell r="CZ22">
            <v>7233</v>
          </cell>
          <cell r="DA22">
            <v>8</v>
          </cell>
          <cell r="DB22">
            <v>4622</v>
          </cell>
          <cell r="DC22">
            <v>12</v>
          </cell>
          <cell r="DD22">
            <v>28503</v>
          </cell>
          <cell r="DE22">
            <v>19</v>
          </cell>
          <cell r="DF22">
            <v>29108</v>
          </cell>
          <cell r="DG22">
            <v>15</v>
          </cell>
          <cell r="DH22">
            <v>19535</v>
          </cell>
          <cell r="DI22">
            <v>9</v>
          </cell>
          <cell r="DJ22">
            <v>22543</v>
          </cell>
          <cell r="DK22">
            <v>7</v>
          </cell>
          <cell r="DL22">
            <v>4345</v>
          </cell>
          <cell r="DM22">
            <v>19</v>
          </cell>
          <cell r="DN22">
            <v>7781</v>
          </cell>
          <cell r="DO22">
            <v>10</v>
          </cell>
          <cell r="DP22">
            <v>2237</v>
          </cell>
          <cell r="DQ22">
            <v>2</v>
          </cell>
          <cell r="DR22">
            <v>4268</v>
          </cell>
          <cell r="DS22">
            <v>11</v>
          </cell>
          <cell r="DT22">
            <v>26945</v>
          </cell>
          <cell r="DU22">
            <v>2</v>
          </cell>
          <cell r="DW22">
            <v>3955.2</v>
          </cell>
          <cell r="DX22">
            <v>9.0999999999999091</v>
          </cell>
          <cell r="DY22">
            <v>8908.4</v>
          </cell>
          <cell r="DZ22">
            <v>8</v>
          </cell>
          <cell r="EA22">
            <v>2994.6</v>
          </cell>
          <cell r="EB22">
            <v>6.1999999999998181</v>
          </cell>
          <cell r="EC22">
            <v>3154</v>
          </cell>
          <cell r="ED22">
            <v>9.5</v>
          </cell>
          <cell r="EE22">
            <v>925079</v>
          </cell>
          <cell r="EF22">
            <v>577</v>
          </cell>
          <cell r="EI22">
            <v>190942.4</v>
          </cell>
          <cell r="EJ22">
            <v>140.19999999998254</v>
          </cell>
          <cell r="EL22">
            <v>10673600</v>
          </cell>
          <cell r="EM22">
            <v>3500</v>
          </cell>
          <cell r="EN22">
            <v>851300</v>
          </cell>
          <cell r="EO22">
            <v>230</v>
          </cell>
          <cell r="EP22">
            <v>6459500</v>
          </cell>
          <cell r="EQ22">
            <v>1300</v>
          </cell>
          <cell r="ER22">
            <v>2279500</v>
          </cell>
          <cell r="ES22">
            <v>600</v>
          </cell>
          <cell r="ET22">
            <v>1056600</v>
          </cell>
          <cell r="EU22">
            <v>550</v>
          </cell>
          <cell r="EV22">
            <v>14522800</v>
          </cell>
          <cell r="EW22">
            <v>3900</v>
          </cell>
          <cell r="EY22">
            <v>38863</v>
          </cell>
          <cell r="EZ22">
            <v>15</v>
          </cell>
          <cell r="FA22">
            <v>33659</v>
          </cell>
          <cell r="FB22">
            <v>10</v>
          </cell>
          <cell r="FC22">
            <v>4756</v>
          </cell>
          <cell r="FD22">
            <v>16</v>
          </cell>
          <cell r="FE22">
            <v>55851</v>
          </cell>
          <cell r="FF22">
            <v>8</v>
          </cell>
          <cell r="FG22">
            <v>40728</v>
          </cell>
          <cell r="FH22">
            <v>31</v>
          </cell>
        </row>
        <row r="23">
          <cell r="B23">
            <v>0.83</v>
          </cell>
          <cell r="E23">
            <v>77061</v>
          </cell>
          <cell r="F23">
            <v>721</v>
          </cell>
          <cell r="G23">
            <v>453</v>
          </cell>
          <cell r="H23">
            <v>132805</v>
          </cell>
          <cell r="I23">
            <v>454</v>
          </cell>
          <cell r="J23">
            <v>367</v>
          </cell>
          <cell r="K23">
            <v>164625</v>
          </cell>
          <cell r="L23">
            <v>0</v>
          </cell>
          <cell r="N23">
            <v>835791</v>
          </cell>
          <cell r="O23">
            <v>302</v>
          </cell>
          <cell r="Q23">
            <v>194573</v>
          </cell>
          <cell r="R23">
            <v>81</v>
          </cell>
          <cell r="U23">
            <v>60589.18</v>
          </cell>
          <cell r="V23">
            <v>124.04000000000087</v>
          </cell>
          <cell r="W23">
            <v>28</v>
          </cell>
          <cell r="X23">
            <v>4708</v>
          </cell>
          <cell r="Y23">
            <v>2</v>
          </cell>
          <cell r="AE23">
            <v>7420543.2000000002</v>
          </cell>
          <cell r="AF23">
            <v>2241.1200000001118</v>
          </cell>
          <cell r="AG23">
            <v>1802.6399999996647</v>
          </cell>
          <cell r="AH23">
            <v>14202269.76</v>
          </cell>
          <cell r="AI23">
            <v>4774.5600000005215</v>
          </cell>
          <cell r="AJ23">
            <v>4336.0800000000745</v>
          </cell>
          <cell r="AK23">
            <v>13962128.880000001</v>
          </cell>
          <cell r="AL23">
            <v>97.440000001341105</v>
          </cell>
          <cell r="AM23">
            <v>194.88000000081956</v>
          </cell>
          <cell r="AN23">
            <v>17006739.119999997</v>
          </cell>
          <cell r="AO23">
            <v>13251.839999996126</v>
          </cell>
          <cell r="AP23">
            <v>8769.6000000014901</v>
          </cell>
          <cell r="AQ23">
            <v>17413648.560000002</v>
          </cell>
          <cell r="AR23">
            <v>828.24000000208616</v>
          </cell>
          <cell r="AS23">
            <v>438.48000000230968</v>
          </cell>
          <cell r="AT23">
            <v>16027905.6</v>
          </cell>
          <cell r="AU23">
            <v>5797.6800000015646</v>
          </cell>
          <cell r="AV23">
            <v>4774.5600000023842</v>
          </cell>
          <cell r="AW23">
            <v>13577922.959999999</v>
          </cell>
          <cell r="AX23">
            <v>4530.9599999990314</v>
          </cell>
          <cell r="AY23">
            <v>3946.3199999984354</v>
          </cell>
          <cell r="AZ23">
            <v>13075424.880000001</v>
          </cell>
          <cell r="BB23">
            <v>3946.3199999984354</v>
          </cell>
          <cell r="BC23">
            <v>10391147.76</v>
          </cell>
          <cell r="BD23">
            <v>3069.359999999404</v>
          </cell>
          <cell r="BE23">
            <v>2630.8800000008196</v>
          </cell>
          <cell r="BF23">
            <v>16187025.119999999</v>
          </cell>
          <cell r="BG23">
            <v>5700.2399999983609</v>
          </cell>
          <cell r="BH23">
            <v>5895.1200000010431</v>
          </cell>
          <cell r="BM23">
            <v>69258000</v>
          </cell>
          <cell r="BN23">
            <v>0</v>
          </cell>
          <cell r="BO23">
            <v>0</v>
          </cell>
          <cell r="BP23">
            <v>71813500</v>
          </cell>
          <cell r="BQ23">
            <v>67000</v>
          </cell>
          <cell r="BR23">
            <v>44700</v>
          </cell>
          <cell r="BS23">
            <v>66458900</v>
          </cell>
          <cell r="BT23">
            <v>0</v>
          </cell>
          <cell r="BU23">
            <v>0</v>
          </cell>
          <cell r="BV23">
            <v>8257230</v>
          </cell>
          <cell r="BW23">
            <v>6170</v>
          </cell>
          <cell r="BY23">
            <v>0.62</v>
          </cell>
          <cell r="BZ23">
            <v>5.0000000000000044E-2</v>
          </cell>
          <cell r="CA23">
            <v>6.9999999999999951E-2</v>
          </cell>
          <cell r="CB23">
            <v>58848</v>
          </cell>
          <cell r="CC23">
            <v>19</v>
          </cell>
          <cell r="CD23">
            <v>50363</v>
          </cell>
          <cell r="CE23">
            <v>18</v>
          </cell>
          <cell r="CF23">
            <v>17227</v>
          </cell>
          <cell r="CG23">
            <v>7</v>
          </cell>
          <cell r="CH23">
            <v>23080</v>
          </cell>
          <cell r="CI23">
            <v>10</v>
          </cell>
          <cell r="CJ23">
            <v>25191</v>
          </cell>
          <cell r="CK23">
            <v>12</v>
          </cell>
          <cell r="CL23">
            <v>55876</v>
          </cell>
          <cell r="CM23">
            <v>28</v>
          </cell>
          <cell r="CN23">
            <v>244041</v>
          </cell>
          <cell r="CO23">
            <v>100</v>
          </cell>
          <cell r="CP23">
            <v>93</v>
          </cell>
          <cell r="CQ23">
            <v>191369</v>
          </cell>
          <cell r="CR23">
            <v>103</v>
          </cell>
          <cell r="CS23">
            <v>98</v>
          </cell>
          <cell r="CT23">
            <v>344775</v>
          </cell>
          <cell r="CU23">
            <v>69</v>
          </cell>
          <cell r="CV23">
            <v>266</v>
          </cell>
          <cell r="CW23">
            <v>642230</v>
          </cell>
          <cell r="CX23">
            <v>204</v>
          </cell>
          <cell r="CZ23">
            <v>7242</v>
          </cell>
          <cell r="DA23">
            <v>9</v>
          </cell>
          <cell r="DB23">
            <v>4629</v>
          </cell>
          <cell r="DC23">
            <v>7</v>
          </cell>
          <cell r="DD23">
            <v>28520</v>
          </cell>
          <cell r="DE23">
            <v>17</v>
          </cell>
          <cell r="DF23">
            <v>29124</v>
          </cell>
          <cell r="DG23">
            <v>16</v>
          </cell>
          <cell r="DH23">
            <v>19544</v>
          </cell>
          <cell r="DI23">
            <v>9</v>
          </cell>
          <cell r="DJ23">
            <v>22549</v>
          </cell>
          <cell r="DK23">
            <v>6</v>
          </cell>
          <cell r="DL23">
            <v>4359</v>
          </cell>
          <cell r="DM23">
            <v>14</v>
          </cell>
          <cell r="DN23">
            <v>7787</v>
          </cell>
          <cell r="DO23">
            <v>6</v>
          </cell>
          <cell r="DP23">
            <v>2241</v>
          </cell>
          <cell r="DQ23">
            <v>4</v>
          </cell>
          <cell r="DR23">
            <v>4276</v>
          </cell>
          <cell r="DS23">
            <v>8</v>
          </cell>
          <cell r="DT23">
            <v>26962</v>
          </cell>
          <cell r="DU23">
            <v>17</v>
          </cell>
          <cell r="DW23">
            <v>3964.8</v>
          </cell>
          <cell r="DX23">
            <v>9.6000000000003638</v>
          </cell>
          <cell r="DY23">
            <v>8916.6</v>
          </cell>
          <cell r="DZ23">
            <v>8.2000000000007276</v>
          </cell>
          <cell r="EA23">
            <v>3001.3</v>
          </cell>
          <cell r="EB23">
            <v>6.7000000000002728</v>
          </cell>
          <cell r="EC23">
            <v>3162.6</v>
          </cell>
          <cell r="ED23">
            <v>8.5999999999999091</v>
          </cell>
          <cell r="EE23">
            <v>925689</v>
          </cell>
          <cell r="EF23">
            <v>610</v>
          </cell>
          <cell r="EI23">
            <v>191092.7</v>
          </cell>
          <cell r="EJ23">
            <v>150.30000000001746</v>
          </cell>
          <cell r="EL23">
            <v>10677800</v>
          </cell>
          <cell r="EM23">
            <v>4200</v>
          </cell>
          <cell r="EN23">
            <v>851570</v>
          </cell>
          <cell r="EO23">
            <v>270</v>
          </cell>
          <cell r="EP23">
            <v>6461100</v>
          </cell>
          <cell r="EQ23">
            <v>1600</v>
          </cell>
          <cell r="ER23">
            <v>2280200</v>
          </cell>
          <cell r="ES23">
            <v>700</v>
          </cell>
          <cell r="ET23">
            <v>1057210</v>
          </cell>
          <cell r="EU23">
            <v>610</v>
          </cell>
          <cell r="EV23">
            <v>14527800</v>
          </cell>
          <cell r="EW23">
            <v>5000</v>
          </cell>
          <cell r="EY23">
            <v>38878</v>
          </cell>
          <cell r="EZ23">
            <v>15</v>
          </cell>
          <cell r="FA23">
            <v>33671</v>
          </cell>
          <cell r="FB23">
            <v>12</v>
          </cell>
          <cell r="FC23">
            <v>4767</v>
          </cell>
          <cell r="FD23">
            <v>11</v>
          </cell>
          <cell r="FE23">
            <v>55865</v>
          </cell>
          <cell r="FF23">
            <v>14</v>
          </cell>
          <cell r="FG23">
            <v>40761</v>
          </cell>
          <cell r="FH23">
            <v>33</v>
          </cell>
        </row>
        <row r="24">
          <cell r="B24">
            <v>0.84</v>
          </cell>
          <cell r="E24">
            <v>77742</v>
          </cell>
          <cell r="F24">
            <v>681</v>
          </cell>
          <cell r="G24">
            <v>436</v>
          </cell>
          <cell r="H24">
            <v>133248</v>
          </cell>
          <cell r="I24">
            <v>443</v>
          </cell>
          <cell r="J24">
            <v>382</v>
          </cell>
          <cell r="K24">
            <v>164625</v>
          </cell>
          <cell r="L24">
            <v>0</v>
          </cell>
          <cell r="N24">
            <v>835995</v>
          </cell>
          <cell r="O24">
            <v>204</v>
          </cell>
          <cell r="Q24">
            <v>194612</v>
          </cell>
          <cell r="R24">
            <v>39</v>
          </cell>
          <cell r="U24">
            <v>60714.04</v>
          </cell>
          <cell r="V24">
            <v>124.86000000000058</v>
          </cell>
          <cell r="W24">
            <v>26</v>
          </cell>
          <cell r="X24">
            <v>4708</v>
          </cell>
          <cell r="Y24">
            <v>0</v>
          </cell>
          <cell r="AE24">
            <v>7422589.4400000004</v>
          </cell>
          <cell r="AF24">
            <v>2046.2400000002235</v>
          </cell>
          <cell r="AG24">
            <v>1851.3600000003353</v>
          </cell>
          <cell r="AH24">
            <v>14206946.880000001</v>
          </cell>
          <cell r="AI24">
            <v>4677.1200000010431</v>
          </cell>
          <cell r="AJ24">
            <v>4482.2399999983609</v>
          </cell>
          <cell r="AK24">
            <v>13962226.319999998</v>
          </cell>
          <cell r="AL24">
            <v>97.439999997615814</v>
          </cell>
          <cell r="AM24">
            <v>194.87999999895692</v>
          </cell>
          <cell r="AN24">
            <v>17019357.599999998</v>
          </cell>
          <cell r="AO24">
            <v>12618.480000000447</v>
          </cell>
          <cell r="AP24">
            <v>8672.1599999982864</v>
          </cell>
          <cell r="AQ24">
            <v>17414476.800000001</v>
          </cell>
          <cell r="AR24">
            <v>828.23999999836087</v>
          </cell>
          <cell r="AS24">
            <v>925.67999999970198</v>
          </cell>
          <cell r="AT24">
            <v>16033654.560000001</v>
          </cell>
          <cell r="AU24">
            <v>5748.9600000008941</v>
          </cell>
          <cell r="AV24">
            <v>4872</v>
          </cell>
          <cell r="AW24">
            <v>13582112.880000001</v>
          </cell>
          <cell r="AX24">
            <v>4189.9200000017881</v>
          </cell>
          <cell r="AY24">
            <v>4043.7599999997765</v>
          </cell>
          <cell r="AZ24">
            <v>13080053.280000001</v>
          </cell>
          <cell r="BB24">
            <v>4092.4800000023097</v>
          </cell>
          <cell r="BC24">
            <v>10394168.4</v>
          </cell>
          <cell r="BD24">
            <v>3020.640000000596</v>
          </cell>
          <cell r="BE24">
            <v>2874.4799999985844</v>
          </cell>
          <cell r="BF24">
            <v>16192774.08</v>
          </cell>
          <cell r="BG24">
            <v>5748.9600000008941</v>
          </cell>
          <cell r="BH24">
            <v>5943.839999999851</v>
          </cell>
          <cell r="BM24">
            <v>69258000</v>
          </cell>
          <cell r="BN24">
            <v>0</v>
          </cell>
          <cell r="BO24">
            <v>0</v>
          </cell>
          <cell r="BP24">
            <v>71877500</v>
          </cell>
          <cell r="BQ24">
            <v>64000</v>
          </cell>
          <cell r="BR24">
            <v>43200</v>
          </cell>
          <cell r="BS24">
            <v>66458900</v>
          </cell>
          <cell r="BT24">
            <v>0</v>
          </cell>
          <cell r="BU24">
            <v>0</v>
          </cell>
          <cell r="BV24">
            <v>8263430</v>
          </cell>
          <cell r="BW24">
            <v>6200</v>
          </cell>
          <cell r="BY24">
            <v>0.78</v>
          </cell>
          <cell r="BZ24">
            <v>-0.16000000000000003</v>
          </cell>
          <cell r="CA24">
            <v>-1.9999999999999907E-2</v>
          </cell>
          <cell r="CB24">
            <v>58866</v>
          </cell>
          <cell r="CC24">
            <v>18</v>
          </cell>
          <cell r="CD24">
            <v>50385</v>
          </cell>
          <cell r="CE24">
            <v>22</v>
          </cell>
          <cell r="CF24">
            <v>17232</v>
          </cell>
          <cell r="CG24">
            <v>5</v>
          </cell>
          <cell r="CH24">
            <v>23090</v>
          </cell>
          <cell r="CI24">
            <v>10</v>
          </cell>
          <cell r="CJ24">
            <v>25199</v>
          </cell>
          <cell r="CK24">
            <v>8</v>
          </cell>
          <cell r="CL24">
            <v>55903</v>
          </cell>
          <cell r="CM24">
            <v>27</v>
          </cell>
          <cell r="CN24">
            <v>244142</v>
          </cell>
          <cell r="CO24">
            <v>101</v>
          </cell>
          <cell r="CP24">
            <v>91</v>
          </cell>
          <cell r="CQ24">
            <v>191478</v>
          </cell>
          <cell r="CR24">
            <v>109</v>
          </cell>
          <cell r="CS24">
            <v>94</v>
          </cell>
          <cell r="CT24">
            <v>344839</v>
          </cell>
          <cell r="CU24">
            <v>64</v>
          </cell>
          <cell r="CV24">
            <v>253</v>
          </cell>
          <cell r="CW24">
            <v>642458</v>
          </cell>
          <cell r="CX24">
            <v>228</v>
          </cell>
          <cell r="CZ24">
            <v>7251</v>
          </cell>
          <cell r="DA24">
            <v>9</v>
          </cell>
          <cell r="DB24">
            <v>4640</v>
          </cell>
          <cell r="DC24">
            <v>11</v>
          </cell>
          <cell r="DD24">
            <v>28536</v>
          </cell>
          <cell r="DE24">
            <v>16</v>
          </cell>
          <cell r="DF24">
            <v>29141</v>
          </cell>
          <cell r="DG24">
            <v>17</v>
          </cell>
          <cell r="DH24">
            <v>19554</v>
          </cell>
          <cell r="DI24">
            <v>10</v>
          </cell>
          <cell r="DJ24">
            <v>22554</v>
          </cell>
          <cell r="DK24">
            <v>5</v>
          </cell>
          <cell r="DL24">
            <v>4375</v>
          </cell>
          <cell r="DM24">
            <v>16</v>
          </cell>
          <cell r="DN24">
            <v>7788</v>
          </cell>
          <cell r="DO24">
            <v>1</v>
          </cell>
          <cell r="DP24">
            <v>2244</v>
          </cell>
          <cell r="DQ24">
            <v>3</v>
          </cell>
          <cell r="DR24">
            <v>4284</v>
          </cell>
          <cell r="DS24">
            <v>8</v>
          </cell>
          <cell r="DT24">
            <v>26975</v>
          </cell>
          <cell r="DU24">
            <v>13</v>
          </cell>
          <cell r="DW24">
            <v>3974.2</v>
          </cell>
          <cell r="DX24">
            <v>9.3999999999996362</v>
          </cell>
          <cell r="DY24">
            <v>8924.9</v>
          </cell>
          <cell r="DZ24">
            <v>8.2999999999992724</v>
          </cell>
          <cell r="EA24">
            <v>3008</v>
          </cell>
          <cell r="EB24">
            <v>6.6999999999998181</v>
          </cell>
          <cell r="EC24">
            <v>3170.4</v>
          </cell>
          <cell r="ED24">
            <v>7.8000000000001819</v>
          </cell>
          <cell r="EE24">
            <v>926283</v>
          </cell>
          <cell r="EF24">
            <v>594</v>
          </cell>
          <cell r="EI24">
            <v>191249.8</v>
          </cell>
          <cell r="EJ24">
            <v>157.09999999997672</v>
          </cell>
          <cell r="EL24">
            <v>10681900</v>
          </cell>
          <cell r="EM24">
            <v>4100</v>
          </cell>
          <cell r="EN24">
            <v>851840</v>
          </cell>
          <cell r="EO24">
            <v>270</v>
          </cell>
          <cell r="EP24">
            <v>6462700</v>
          </cell>
          <cell r="EQ24">
            <v>1600</v>
          </cell>
          <cell r="ER24">
            <v>2280800</v>
          </cell>
          <cell r="ES24">
            <v>600</v>
          </cell>
          <cell r="ET24">
            <v>1057840</v>
          </cell>
          <cell r="EU24">
            <v>630</v>
          </cell>
          <cell r="EV24">
            <v>14532400</v>
          </cell>
          <cell r="EW24">
            <v>4600</v>
          </cell>
          <cell r="EY24">
            <v>38895</v>
          </cell>
          <cell r="EZ24">
            <v>17</v>
          </cell>
          <cell r="FA24">
            <v>33684</v>
          </cell>
          <cell r="FB24">
            <v>13</v>
          </cell>
          <cell r="FC24">
            <v>4778</v>
          </cell>
          <cell r="FD24">
            <v>11</v>
          </cell>
          <cell r="FE24">
            <v>55882</v>
          </cell>
          <cell r="FF24">
            <v>17</v>
          </cell>
          <cell r="FG24">
            <v>40793</v>
          </cell>
          <cell r="FH24">
            <v>32</v>
          </cell>
        </row>
        <row r="25">
          <cell r="B25">
            <v>0.83</v>
          </cell>
          <cell r="E25">
            <v>78633</v>
          </cell>
          <cell r="F25">
            <v>891</v>
          </cell>
          <cell r="G25">
            <v>444</v>
          </cell>
          <cell r="H25">
            <v>133730</v>
          </cell>
          <cell r="I25">
            <v>482</v>
          </cell>
          <cell r="J25">
            <v>378</v>
          </cell>
          <cell r="K25">
            <v>164625</v>
          </cell>
          <cell r="L25">
            <v>0</v>
          </cell>
          <cell r="N25">
            <v>836378</v>
          </cell>
          <cell r="O25">
            <v>383</v>
          </cell>
          <cell r="Q25">
            <v>194842</v>
          </cell>
          <cell r="R25">
            <v>230</v>
          </cell>
          <cell r="U25">
            <v>60846.45</v>
          </cell>
          <cell r="V25">
            <v>132.40999999999622</v>
          </cell>
          <cell r="W25">
            <v>28</v>
          </cell>
          <cell r="X25">
            <v>4708</v>
          </cell>
          <cell r="Y25">
            <v>0</v>
          </cell>
          <cell r="AE25">
            <v>7424635.6799999997</v>
          </cell>
          <cell r="AF25">
            <v>2046.2399999992922</v>
          </cell>
          <cell r="AG25">
            <v>1753.9199999999255</v>
          </cell>
          <cell r="AH25">
            <v>14211770.16</v>
          </cell>
          <cell r="AI25">
            <v>4823.2799999993294</v>
          </cell>
          <cell r="AJ25">
            <v>4287.3600000012666</v>
          </cell>
          <cell r="AK25">
            <v>13964954.640000001</v>
          </cell>
          <cell r="AL25">
            <v>2728.3200000021607</v>
          </cell>
          <cell r="AM25">
            <v>194.88000000081956</v>
          </cell>
          <cell r="AN25">
            <v>17029832.399999999</v>
          </cell>
          <cell r="AO25">
            <v>10474.800000000745</v>
          </cell>
          <cell r="AP25">
            <v>8574.7200000006706</v>
          </cell>
          <cell r="AQ25">
            <v>17415402.48</v>
          </cell>
          <cell r="AR25">
            <v>925.67999999970198</v>
          </cell>
          <cell r="AS25">
            <v>0</v>
          </cell>
          <cell r="AT25">
            <v>16039647.119999999</v>
          </cell>
          <cell r="AU25">
            <v>5992.5599999986589</v>
          </cell>
          <cell r="AV25">
            <v>4628.4000000003725</v>
          </cell>
          <cell r="AW25">
            <v>13586546.4</v>
          </cell>
          <cell r="AX25">
            <v>4433.519999999553</v>
          </cell>
          <cell r="AY25">
            <v>3995.0400000009686</v>
          </cell>
          <cell r="AZ25">
            <v>13084486.799999999</v>
          </cell>
          <cell r="BB25">
            <v>3848.8799999989569</v>
          </cell>
          <cell r="BC25">
            <v>10397335.199999999</v>
          </cell>
          <cell r="BD25">
            <v>3166.7999999988824</v>
          </cell>
          <cell r="BE25">
            <v>2777.0400000009686</v>
          </cell>
          <cell r="BF25">
            <v>16198328.16</v>
          </cell>
          <cell r="BG25">
            <v>5554.0800000000745</v>
          </cell>
          <cell r="BH25">
            <v>5895.1199999991804</v>
          </cell>
          <cell r="BM25">
            <v>69273000</v>
          </cell>
          <cell r="BN25">
            <v>15000</v>
          </cell>
          <cell r="BO25">
            <v>0</v>
          </cell>
          <cell r="BP25">
            <v>71930000</v>
          </cell>
          <cell r="BQ25">
            <v>52500</v>
          </cell>
          <cell r="BR25">
            <v>44600</v>
          </cell>
          <cell r="BS25">
            <v>66458900</v>
          </cell>
          <cell r="BT25">
            <v>0</v>
          </cell>
          <cell r="BU25">
            <v>0</v>
          </cell>
          <cell r="BV25">
            <v>8270110</v>
          </cell>
          <cell r="BW25">
            <v>6680</v>
          </cell>
          <cell r="BY25">
            <v>0.71</v>
          </cell>
          <cell r="BZ25">
            <v>7.0000000000000062E-2</v>
          </cell>
          <cell r="CA25">
            <v>0</v>
          </cell>
          <cell r="CB25">
            <v>58884</v>
          </cell>
          <cell r="CC25">
            <v>18</v>
          </cell>
          <cell r="CD25">
            <v>50402</v>
          </cell>
          <cell r="CE25">
            <v>17</v>
          </cell>
          <cell r="CF25">
            <v>17238</v>
          </cell>
          <cell r="CG25">
            <v>6</v>
          </cell>
          <cell r="CH25">
            <v>23100</v>
          </cell>
          <cell r="CI25">
            <v>10</v>
          </cell>
          <cell r="CJ25">
            <v>25209</v>
          </cell>
          <cell r="CK25">
            <v>10</v>
          </cell>
          <cell r="CL25">
            <v>55933</v>
          </cell>
          <cell r="CM25">
            <v>30</v>
          </cell>
          <cell r="CN25">
            <v>244242</v>
          </cell>
          <cell r="CO25">
            <v>100</v>
          </cell>
          <cell r="CP25">
            <v>93</v>
          </cell>
          <cell r="CQ25">
            <v>191594</v>
          </cell>
          <cell r="CR25">
            <v>116</v>
          </cell>
          <cell r="CS25">
            <v>95</v>
          </cell>
          <cell r="CT25">
            <v>344876</v>
          </cell>
          <cell r="CU25">
            <v>37</v>
          </cell>
          <cell r="CV25">
            <v>229</v>
          </cell>
          <cell r="CW25">
            <v>642682</v>
          </cell>
          <cell r="CX25">
            <v>224</v>
          </cell>
          <cell r="CZ25">
            <v>7263</v>
          </cell>
          <cell r="DA25">
            <v>12</v>
          </cell>
          <cell r="DB25">
            <v>4650</v>
          </cell>
          <cell r="DC25">
            <v>10</v>
          </cell>
          <cell r="DD25">
            <v>28558</v>
          </cell>
          <cell r="DE25">
            <v>22</v>
          </cell>
          <cell r="DF25">
            <v>29159</v>
          </cell>
          <cell r="DG25">
            <v>18</v>
          </cell>
          <cell r="DH25">
            <v>19564</v>
          </cell>
          <cell r="DI25">
            <v>10</v>
          </cell>
          <cell r="DJ25">
            <v>22560</v>
          </cell>
          <cell r="DK25">
            <v>6</v>
          </cell>
          <cell r="DL25">
            <v>4388</v>
          </cell>
          <cell r="DM25">
            <v>13</v>
          </cell>
          <cell r="DN25">
            <v>7792</v>
          </cell>
          <cell r="DO25">
            <v>4</v>
          </cell>
          <cell r="DP25">
            <v>2249</v>
          </cell>
          <cell r="DQ25">
            <v>5</v>
          </cell>
          <cell r="DR25">
            <v>4291</v>
          </cell>
          <cell r="DS25">
            <v>7</v>
          </cell>
          <cell r="DT25">
            <v>26996</v>
          </cell>
          <cell r="DU25">
            <v>21</v>
          </cell>
          <cell r="DW25">
            <v>3983.2</v>
          </cell>
          <cell r="DX25">
            <v>9</v>
          </cell>
          <cell r="DY25">
            <v>8933.4</v>
          </cell>
          <cell r="DZ25">
            <v>8.5</v>
          </cell>
          <cell r="EA25">
            <v>3015</v>
          </cell>
          <cell r="EB25">
            <v>7</v>
          </cell>
          <cell r="EC25">
            <v>3178.7</v>
          </cell>
          <cell r="ED25">
            <v>8.2999999999997272</v>
          </cell>
          <cell r="EE25">
            <v>926933</v>
          </cell>
          <cell r="EF25">
            <v>650</v>
          </cell>
          <cell r="EI25">
            <v>191404.7</v>
          </cell>
          <cell r="EJ25">
            <v>154.90000000002328</v>
          </cell>
          <cell r="EL25">
            <v>10686200</v>
          </cell>
          <cell r="EM25">
            <v>4300</v>
          </cell>
          <cell r="EN25">
            <v>852110</v>
          </cell>
          <cell r="EO25">
            <v>270</v>
          </cell>
          <cell r="EP25">
            <v>6464300</v>
          </cell>
          <cell r="EQ25">
            <v>1600</v>
          </cell>
          <cell r="ER25">
            <v>2281600</v>
          </cell>
          <cell r="ES25">
            <v>800</v>
          </cell>
          <cell r="ET25">
            <v>1058510</v>
          </cell>
          <cell r="EU25">
            <v>670</v>
          </cell>
          <cell r="EV25">
            <v>14537300</v>
          </cell>
          <cell r="EW25">
            <v>4900</v>
          </cell>
          <cell r="EY25">
            <v>38912</v>
          </cell>
          <cell r="EZ25">
            <v>17</v>
          </cell>
          <cell r="FA25">
            <v>33696</v>
          </cell>
          <cell r="FB25">
            <v>12</v>
          </cell>
          <cell r="FC25">
            <v>4790</v>
          </cell>
          <cell r="FD25">
            <v>12</v>
          </cell>
          <cell r="FE25">
            <v>55900</v>
          </cell>
          <cell r="FF25">
            <v>18</v>
          </cell>
          <cell r="FG25">
            <v>40830</v>
          </cell>
          <cell r="FH25">
            <v>37</v>
          </cell>
        </row>
        <row r="26">
          <cell r="B26">
            <v>0.88</v>
          </cell>
          <cell r="E26">
            <v>79333</v>
          </cell>
          <cell r="F26">
            <v>700</v>
          </cell>
          <cell r="G26">
            <v>461</v>
          </cell>
          <cell r="H26">
            <v>134223</v>
          </cell>
          <cell r="I26">
            <v>493</v>
          </cell>
          <cell r="J26">
            <v>387</v>
          </cell>
          <cell r="K26">
            <v>164625</v>
          </cell>
          <cell r="L26">
            <v>0</v>
          </cell>
          <cell r="N26">
            <v>836648</v>
          </cell>
          <cell r="O26">
            <v>270</v>
          </cell>
          <cell r="Q26">
            <v>194855</v>
          </cell>
          <cell r="R26">
            <v>13</v>
          </cell>
          <cell r="U26">
            <v>60942.39</v>
          </cell>
          <cell r="V26">
            <v>95.940000000002328</v>
          </cell>
          <cell r="W26">
            <v>35</v>
          </cell>
          <cell r="X26">
            <v>4710</v>
          </cell>
          <cell r="Y26">
            <v>2</v>
          </cell>
          <cell r="AE26">
            <v>7426633.2000000002</v>
          </cell>
          <cell r="AF26">
            <v>1997.5200000004843</v>
          </cell>
          <cell r="AG26">
            <v>1851.359999999404</v>
          </cell>
          <cell r="AH26">
            <v>14216544.719999999</v>
          </cell>
          <cell r="AI26">
            <v>4774.5599999986589</v>
          </cell>
          <cell r="AJ26">
            <v>4336.0800000000745</v>
          </cell>
          <cell r="AK26">
            <v>13965052.08</v>
          </cell>
          <cell r="AL26">
            <v>97.439999999478459</v>
          </cell>
          <cell r="AM26">
            <v>243.59999999962747</v>
          </cell>
          <cell r="AN26">
            <v>17040355.919999998</v>
          </cell>
          <cell r="AO26">
            <v>10523.519999999553</v>
          </cell>
          <cell r="AP26">
            <v>9208.0800000000745</v>
          </cell>
          <cell r="AQ26">
            <v>17416182</v>
          </cell>
          <cell r="AR26">
            <v>779.51999999955297</v>
          </cell>
          <cell r="AS26">
            <v>487.20000000111759</v>
          </cell>
          <cell r="AT26">
            <v>16045737.119999999</v>
          </cell>
          <cell r="AU26">
            <v>6090</v>
          </cell>
          <cell r="AV26">
            <v>4725.8399999979883</v>
          </cell>
          <cell r="AW26">
            <v>13590882.48</v>
          </cell>
          <cell r="AX26">
            <v>4336.0800000000745</v>
          </cell>
          <cell r="AY26">
            <v>3995.0399999991059</v>
          </cell>
          <cell r="AZ26">
            <v>13088969.040000001</v>
          </cell>
          <cell r="BB26">
            <v>3848.8800000008196</v>
          </cell>
          <cell r="BC26">
            <v>10400453.280000001</v>
          </cell>
          <cell r="BD26">
            <v>3118.0800000019372</v>
          </cell>
          <cell r="BE26">
            <v>2923.1999999992549</v>
          </cell>
          <cell r="BF26">
            <v>16203687.360000001</v>
          </cell>
          <cell r="BG26">
            <v>5359.2000000011176</v>
          </cell>
          <cell r="BH26">
            <v>6479.7600000016391</v>
          </cell>
          <cell r="BM26">
            <v>69273000</v>
          </cell>
          <cell r="BN26">
            <v>0</v>
          </cell>
          <cell r="BO26">
            <v>0</v>
          </cell>
          <cell r="BP26">
            <v>71985700</v>
          </cell>
          <cell r="BQ26">
            <v>55700</v>
          </cell>
          <cell r="BR26">
            <v>47700</v>
          </cell>
          <cell r="BS26">
            <v>66458900</v>
          </cell>
          <cell r="BT26">
            <v>0</v>
          </cell>
          <cell r="BU26">
            <v>0</v>
          </cell>
          <cell r="BV26">
            <v>8276900</v>
          </cell>
          <cell r="BW26">
            <v>6790</v>
          </cell>
          <cell r="BY26">
            <v>0.77</v>
          </cell>
          <cell r="BZ26">
            <v>-6.0000000000000053E-2</v>
          </cell>
          <cell r="CA26">
            <v>8.9999999999999969E-2</v>
          </cell>
          <cell r="CB26">
            <v>58902</v>
          </cell>
          <cell r="CC26">
            <v>18</v>
          </cell>
          <cell r="CD26">
            <v>50422</v>
          </cell>
          <cell r="CE26">
            <v>20</v>
          </cell>
          <cell r="CF26">
            <v>17245</v>
          </cell>
          <cell r="CG26">
            <v>7</v>
          </cell>
          <cell r="CH26">
            <v>23109</v>
          </cell>
          <cell r="CI26">
            <v>9</v>
          </cell>
          <cell r="CJ26">
            <v>25214</v>
          </cell>
          <cell r="CK26">
            <v>5</v>
          </cell>
          <cell r="CL26">
            <v>55958</v>
          </cell>
          <cell r="CM26">
            <v>25</v>
          </cell>
          <cell r="CN26">
            <v>244342</v>
          </cell>
          <cell r="CO26">
            <v>100</v>
          </cell>
          <cell r="CP26">
            <v>96.709999999991851</v>
          </cell>
          <cell r="CQ26">
            <v>191709</v>
          </cell>
          <cell r="CR26">
            <v>115</v>
          </cell>
          <cell r="CS26">
            <v>100.82999999998719</v>
          </cell>
          <cell r="CT26">
            <v>345020</v>
          </cell>
          <cell r="CU26">
            <v>144</v>
          </cell>
          <cell r="CV26">
            <v>191.46000000002095</v>
          </cell>
          <cell r="CW26">
            <v>642894</v>
          </cell>
          <cell r="CX26">
            <v>212</v>
          </cell>
          <cell r="CZ26">
            <v>7274</v>
          </cell>
          <cell r="DA26">
            <v>11</v>
          </cell>
          <cell r="DB26">
            <v>4661</v>
          </cell>
          <cell r="DC26">
            <v>11</v>
          </cell>
          <cell r="DD26">
            <v>28580</v>
          </cell>
          <cell r="DE26">
            <v>22</v>
          </cell>
          <cell r="DF26">
            <v>29177</v>
          </cell>
          <cell r="DG26">
            <v>18</v>
          </cell>
          <cell r="DH26">
            <v>19574</v>
          </cell>
          <cell r="DI26">
            <v>10</v>
          </cell>
          <cell r="DJ26">
            <v>22564</v>
          </cell>
          <cell r="DK26">
            <v>4</v>
          </cell>
          <cell r="DL26">
            <v>4403</v>
          </cell>
          <cell r="DM26">
            <v>15</v>
          </cell>
          <cell r="DN26">
            <v>7798</v>
          </cell>
          <cell r="DO26">
            <v>6</v>
          </cell>
          <cell r="DP26">
            <v>2253</v>
          </cell>
          <cell r="DQ26">
            <v>4</v>
          </cell>
          <cell r="DR26">
            <v>4299</v>
          </cell>
          <cell r="DS26">
            <v>8</v>
          </cell>
          <cell r="DT26">
            <v>27013</v>
          </cell>
          <cell r="DU26">
            <v>17</v>
          </cell>
          <cell r="DW26">
            <v>3991.9</v>
          </cell>
          <cell r="DX26">
            <v>8.7000000000002728</v>
          </cell>
          <cell r="DY26">
            <v>8942.1</v>
          </cell>
          <cell r="DZ26">
            <v>8.7000000000007276</v>
          </cell>
          <cell r="EA26">
            <v>3021.9</v>
          </cell>
          <cell r="EB26">
            <v>6.9000000000000909</v>
          </cell>
          <cell r="EC26">
            <v>3186.4</v>
          </cell>
          <cell r="ED26">
            <v>7.7000000000002728</v>
          </cell>
          <cell r="EE26">
            <v>927561</v>
          </cell>
          <cell r="EF26">
            <v>628</v>
          </cell>
          <cell r="EI26">
            <v>191563.5</v>
          </cell>
          <cell r="EJ26">
            <v>158.79999999998836</v>
          </cell>
          <cell r="EL26">
            <v>10689500</v>
          </cell>
          <cell r="EM26">
            <v>3300</v>
          </cell>
          <cell r="EN26">
            <v>852360</v>
          </cell>
          <cell r="EO26">
            <v>250</v>
          </cell>
          <cell r="EP26">
            <v>6465600</v>
          </cell>
          <cell r="EQ26">
            <v>1300</v>
          </cell>
          <cell r="ER26">
            <v>2282000</v>
          </cell>
          <cell r="ES26">
            <v>400</v>
          </cell>
          <cell r="ET26">
            <v>1059130</v>
          </cell>
          <cell r="EU26">
            <v>620</v>
          </cell>
          <cell r="EV26">
            <v>14541000</v>
          </cell>
          <cell r="EW26">
            <v>3700</v>
          </cell>
          <cell r="EY26">
            <v>38928</v>
          </cell>
          <cell r="EZ26">
            <v>16</v>
          </cell>
          <cell r="FA26">
            <v>33708</v>
          </cell>
          <cell r="FB26">
            <v>12</v>
          </cell>
          <cell r="FC26">
            <v>4801</v>
          </cell>
          <cell r="FD26">
            <v>11</v>
          </cell>
          <cell r="FE26">
            <v>55917</v>
          </cell>
          <cell r="FF26">
            <v>17</v>
          </cell>
          <cell r="FG26">
            <v>40863</v>
          </cell>
          <cell r="FH26">
            <v>33</v>
          </cell>
        </row>
        <row r="27">
          <cell r="B27">
            <v>0.83</v>
          </cell>
          <cell r="E27">
            <v>80228</v>
          </cell>
          <cell r="F27">
            <v>895</v>
          </cell>
          <cell r="G27">
            <v>481</v>
          </cell>
          <cell r="H27">
            <v>134718</v>
          </cell>
          <cell r="I27">
            <v>495</v>
          </cell>
          <cell r="J27">
            <v>402</v>
          </cell>
          <cell r="K27">
            <v>164625</v>
          </cell>
          <cell r="L27">
            <v>0</v>
          </cell>
          <cell r="N27">
            <v>836940</v>
          </cell>
          <cell r="O27">
            <v>292</v>
          </cell>
          <cell r="Q27">
            <v>195083</v>
          </cell>
          <cell r="R27">
            <v>228</v>
          </cell>
          <cell r="U27">
            <v>61027.4</v>
          </cell>
          <cell r="V27">
            <v>85.010000000002037</v>
          </cell>
          <cell r="W27">
            <v>39</v>
          </cell>
          <cell r="X27">
            <v>4715</v>
          </cell>
          <cell r="Y27">
            <v>5</v>
          </cell>
          <cell r="AE27">
            <v>7428825.5999999996</v>
          </cell>
          <cell r="AF27">
            <v>2192.3999999994412</v>
          </cell>
          <cell r="AG27">
            <v>1948.8000000007451</v>
          </cell>
          <cell r="AH27">
            <v>14221221.84</v>
          </cell>
          <cell r="AI27">
            <v>4677.1200000010431</v>
          </cell>
          <cell r="AJ27">
            <v>4336.0800000000745</v>
          </cell>
          <cell r="AK27">
            <v>13965149.52</v>
          </cell>
          <cell r="AL27">
            <v>97.439999999478459</v>
          </cell>
          <cell r="AM27">
            <v>194.88000000081956</v>
          </cell>
          <cell r="AN27">
            <v>17049758.879999999</v>
          </cell>
          <cell r="AO27">
            <v>9402.9600000008941</v>
          </cell>
          <cell r="AP27">
            <v>9354.2400000002235</v>
          </cell>
          <cell r="AQ27">
            <v>17416912.800000001</v>
          </cell>
          <cell r="AR27">
            <v>730.80000000074506</v>
          </cell>
          <cell r="AS27">
            <v>487.19999999925494</v>
          </cell>
          <cell r="AT27">
            <v>16051680.960000001</v>
          </cell>
          <cell r="AU27">
            <v>5943.8400000017136</v>
          </cell>
          <cell r="AV27">
            <v>4969.4399999994785</v>
          </cell>
          <cell r="AW27">
            <v>13594877.52</v>
          </cell>
          <cell r="AX27">
            <v>3995.0399999991059</v>
          </cell>
          <cell r="AY27">
            <v>4043.7599999997765</v>
          </cell>
          <cell r="AZ27">
            <v>13093353.84</v>
          </cell>
          <cell r="BB27">
            <v>3946.3199999984354</v>
          </cell>
          <cell r="BC27">
            <v>10403376.48</v>
          </cell>
          <cell r="BD27">
            <v>2923.1999999992549</v>
          </cell>
          <cell r="BE27">
            <v>2874.4800000023097</v>
          </cell>
          <cell r="BF27">
            <v>16209144</v>
          </cell>
          <cell r="BG27">
            <v>5456.6399999987334</v>
          </cell>
          <cell r="BH27">
            <v>5943.8399999979883</v>
          </cell>
          <cell r="BM27">
            <v>69273000</v>
          </cell>
          <cell r="BN27">
            <v>0</v>
          </cell>
          <cell r="BO27">
            <v>0</v>
          </cell>
          <cell r="BP27">
            <v>72033700</v>
          </cell>
          <cell r="BQ27">
            <v>48000</v>
          </cell>
          <cell r="BR27">
            <v>49500</v>
          </cell>
          <cell r="BS27">
            <v>66458900</v>
          </cell>
          <cell r="BT27">
            <v>0</v>
          </cell>
          <cell r="BU27">
            <v>0</v>
          </cell>
          <cell r="BV27">
            <v>8284010</v>
          </cell>
          <cell r="BW27">
            <v>7110</v>
          </cell>
          <cell r="BY27">
            <v>0.67</v>
          </cell>
          <cell r="BZ27">
            <v>9.9999999999999978E-2</v>
          </cell>
          <cell r="CA27">
            <v>-0.14000000000000001</v>
          </cell>
          <cell r="CB27">
            <v>58918</v>
          </cell>
          <cell r="CC27">
            <v>16</v>
          </cell>
          <cell r="CD27">
            <v>50440</v>
          </cell>
          <cell r="CE27">
            <v>18</v>
          </cell>
          <cell r="CF27">
            <v>17250</v>
          </cell>
          <cell r="CG27">
            <v>5</v>
          </cell>
          <cell r="CH27">
            <v>23120</v>
          </cell>
          <cell r="CI27">
            <v>11</v>
          </cell>
          <cell r="CJ27">
            <v>25219</v>
          </cell>
          <cell r="CK27">
            <v>5</v>
          </cell>
          <cell r="CL27">
            <v>55989</v>
          </cell>
          <cell r="CM27">
            <v>31</v>
          </cell>
          <cell r="CN27">
            <v>244442</v>
          </cell>
          <cell r="CO27">
            <v>100</v>
          </cell>
          <cell r="CP27">
            <v>93.279999999998836</v>
          </cell>
          <cell r="CQ27">
            <v>191824</v>
          </cell>
          <cell r="CR27">
            <v>115</v>
          </cell>
          <cell r="CS27">
            <v>96.880000000004657</v>
          </cell>
          <cell r="CT27">
            <v>345366</v>
          </cell>
          <cell r="CU27">
            <v>346</v>
          </cell>
          <cell r="CV27">
            <v>180.75999999995111</v>
          </cell>
          <cell r="CW27">
            <v>643120</v>
          </cell>
          <cell r="CX27">
            <v>226</v>
          </cell>
          <cell r="CZ27">
            <v>7285</v>
          </cell>
          <cell r="DA27">
            <v>11</v>
          </cell>
          <cell r="DB27">
            <v>4674</v>
          </cell>
          <cell r="DC27">
            <v>13</v>
          </cell>
          <cell r="DD27">
            <v>28605</v>
          </cell>
          <cell r="DE27">
            <v>25</v>
          </cell>
          <cell r="DF27">
            <v>29195</v>
          </cell>
          <cell r="DG27">
            <v>18</v>
          </cell>
          <cell r="DH27">
            <v>19585</v>
          </cell>
          <cell r="DI27">
            <v>11</v>
          </cell>
          <cell r="DJ27">
            <v>22570</v>
          </cell>
          <cell r="DK27">
            <v>6</v>
          </cell>
          <cell r="DL27">
            <v>4417</v>
          </cell>
          <cell r="DM27">
            <v>14</v>
          </cell>
          <cell r="DN27">
            <v>7804</v>
          </cell>
          <cell r="DO27">
            <v>6</v>
          </cell>
          <cell r="DP27">
            <v>2258</v>
          </cell>
          <cell r="DQ27">
            <v>5</v>
          </cell>
          <cell r="DR27">
            <v>4308</v>
          </cell>
          <cell r="DS27">
            <v>9</v>
          </cell>
          <cell r="DT27">
            <v>27021</v>
          </cell>
          <cell r="DU27">
            <v>8</v>
          </cell>
          <cell r="DW27">
            <v>4000.7</v>
          </cell>
          <cell r="DX27">
            <v>8.7999999999997272</v>
          </cell>
          <cell r="DY27">
            <v>8950.6</v>
          </cell>
          <cell r="DZ27">
            <v>8.5</v>
          </cell>
          <cell r="EA27">
            <v>3028.8</v>
          </cell>
          <cell r="EB27">
            <v>6.9000000000000909</v>
          </cell>
          <cell r="EC27">
            <v>3193.5</v>
          </cell>
          <cell r="ED27">
            <v>7.0999999999999091</v>
          </cell>
          <cell r="EE27">
            <v>928241</v>
          </cell>
          <cell r="EF27">
            <v>680</v>
          </cell>
          <cell r="EI27">
            <v>191721.2</v>
          </cell>
          <cell r="EJ27">
            <v>157.70000000001164</v>
          </cell>
          <cell r="EL27">
            <v>10692500</v>
          </cell>
          <cell r="EM27">
            <v>3000</v>
          </cell>
          <cell r="EN27">
            <v>852610</v>
          </cell>
          <cell r="EO27">
            <v>250</v>
          </cell>
          <cell r="EP27">
            <v>6466700</v>
          </cell>
          <cell r="EQ27">
            <v>1100</v>
          </cell>
          <cell r="ER27">
            <v>2282300</v>
          </cell>
          <cell r="ES27">
            <v>300</v>
          </cell>
          <cell r="ET27">
            <v>1059750</v>
          </cell>
          <cell r="EU27">
            <v>620</v>
          </cell>
          <cell r="EV27">
            <v>14544100</v>
          </cell>
          <cell r="EW27">
            <v>3100</v>
          </cell>
          <cell r="EY27">
            <v>38946</v>
          </cell>
          <cell r="EZ27">
            <v>18</v>
          </cell>
          <cell r="FA27">
            <v>33722</v>
          </cell>
          <cell r="FB27">
            <v>14</v>
          </cell>
          <cell r="FC27">
            <v>4812</v>
          </cell>
          <cell r="FD27">
            <v>11</v>
          </cell>
          <cell r="FE27">
            <v>55933</v>
          </cell>
          <cell r="FF27">
            <v>16</v>
          </cell>
          <cell r="FG27">
            <v>40897</v>
          </cell>
          <cell r="FH27">
            <v>34</v>
          </cell>
        </row>
        <row r="28">
          <cell r="B28">
            <v>0.81</v>
          </cell>
          <cell r="E28">
            <v>81072</v>
          </cell>
          <cell r="F28">
            <v>844</v>
          </cell>
          <cell r="G28">
            <v>515</v>
          </cell>
          <cell r="H28">
            <v>135260</v>
          </cell>
          <cell r="I28">
            <v>542</v>
          </cell>
          <cell r="J28">
            <v>426</v>
          </cell>
          <cell r="K28">
            <v>164625</v>
          </cell>
          <cell r="L28">
            <v>0</v>
          </cell>
          <cell r="N28">
            <v>837279</v>
          </cell>
          <cell r="O28">
            <v>339</v>
          </cell>
          <cell r="Q28">
            <v>195204</v>
          </cell>
          <cell r="R28">
            <v>121</v>
          </cell>
          <cell r="U28">
            <v>61125.49</v>
          </cell>
          <cell r="V28">
            <v>98.089999999996508</v>
          </cell>
          <cell r="W28">
            <v>45</v>
          </cell>
          <cell r="X28">
            <v>4720</v>
          </cell>
          <cell r="Y28">
            <v>5</v>
          </cell>
          <cell r="AE28">
            <v>7432820.6400000006</v>
          </cell>
          <cell r="AF28">
            <v>3995.0400000009686</v>
          </cell>
          <cell r="AG28">
            <v>1997.519999999553</v>
          </cell>
          <cell r="AH28">
            <v>14225947.68</v>
          </cell>
          <cell r="AI28">
            <v>4725.839999999851</v>
          </cell>
          <cell r="AJ28">
            <v>4482.2400000002235</v>
          </cell>
          <cell r="AK28">
            <v>13965880.319999998</v>
          </cell>
          <cell r="AL28">
            <v>730.79999999888241</v>
          </cell>
          <cell r="AM28">
            <v>292.31999999843538</v>
          </cell>
          <cell r="AN28">
            <v>17050051.199999999</v>
          </cell>
          <cell r="AO28">
            <v>292.32000000029802</v>
          </cell>
          <cell r="AP28">
            <v>11059.439999997616</v>
          </cell>
          <cell r="AQ28">
            <v>17424513.119999997</v>
          </cell>
          <cell r="AR28">
            <v>7600.3199999965727</v>
          </cell>
          <cell r="AS28">
            <v>730.80000000074506</v>
          </cell>
          <cell r="AT28">
            <v>16057527.360000001</v>
          </cell>
          <cell r="AU28">
            <v>5846.4000000003725</v>
          </cell>
          <cell r="AV28">
            <v>5164.3200000021607</v>
          </cell>
          <cell r="AW28">
            <v>13598628.959999999</v>
          </cell>
          <cell r="AX28">
            <v>3751.4399999994785</v>
          </cell>
          <cell r="AY28">
            <v>4189.9200000017881</v>
          </cell>
          <cell r="AZ28">
            <v>13097884.799999999</v>
          </cell>
          <cell r="BB28">
            <v>4092.480000000447</v>
          </cell>
          <cell r="BC28">
            <v>10406445.84</v>
          </cell>
          <cell r="BD28">
            <v>3069.359999999404</v>
          </cell>
          <cell r="BE28">
            <v>2923.1999999992549</v>
          </cell>
          <cell r="BF28">
            <v>16214936.808</v>
          </cell>
          <cell r="BG28">
            <v>5792.8080000001937</v>
          </cell>
          <cell r="BH28">
            <v>6382.320000000298</v>
          </cell>
          <cell r="BM28">
            <v>69273000</v>
          </cell>
          <cell r="BN28">
            <v>0</v>
          </cell>
          <cell r="BO28">
            <v>0</v>
          </cell>
          <cell r="BP28">
            <v>72036400</v>
          </cell>
          <cell r="BQ28">
            <v>2700</v>
          </cell>
          <cell r="BR28">
            <v>58300</v>
          </cell>
          <cell r="BS28">
            <v>66503500</v>
          </cell>
          <cell r="BT28">
            <v>44600</v>
          </cell>
          <cell r="BU28">
            <v>0</v>
          </cell>
          <cell r="BV28">
            <v>8291500</v>
          </cell>
          <cell r="BW28">
            <v>7490</v>
          </cell>
          <cell r="BY28">
            <v>0.59</v>
          </cell>
          <cell r="BZ28">
            <v>8.0000000000000071E-2</v>
          </cell>
          <cell r="CA28">
            <v>6.0000000000000053E-2</v>
          </cell>
          <cell r="CB28">
            <v>58935</v>
          </cell>
          <cell r="CC28">
            <v>17</v>
          </cell>
          <cell r="CD28">
            <v>50458</v>
          </cell>
          <cell r="CE28">
            <v>18</v>
          </cell>
          <cell r="CF28">
            <v>17254</v>
          </cell>
          <cell r="CG28">
            <v>4</v>
          </cell>
          <cell r="CH28">
            <v>23130</v>
          </cell>
          <cell r="CI28">
            <v>10</v>
          </cell>
          <cell r="CJ28">
            <v>25228</v>
          </cell>
          <cell r="CK28">
            <v>9</v>
          </cell>
          <cell r="CL28">
            <v>56018</v>
          </cell>
          <cell r="CM28">
            <v>29</v>
          </cell>
          <cell r="CN28">
            <v>244544</v>
          </cell>
          <cell r="CO28">
            <v>102</v>
          </cell>
          <cell r="CP28">
            <v>94.920000000012806</v>
          </cell>
          <cell r="CQ28">
            <v>191943</v>
          </cell>
          <cell r="CR28">
            <v>119</v>
          </cell>
          <cell r="CS28">
            <v>96.700000000011642</v>
          </cell>
          <cell r="CT28">
            <v>345657</v>
          </cell>
          <cell r="CU28">
            <v>291</v>
          </cell>
          <cell r="CV28">
            <v>185.40000000002328</v>
          </cell>
          <cell r="CW28">
            <v>643346</v>
          </cell>
          <cell r="CX28">
            <v>226</v>
          </cell>
          <cell r="CZ28">
            <v>7296</v>
          </cell>
          <cell r="DA28">
            <v>11</v>
          </cell>
          <cell r="DB28">
            <v>4687</v>
          </cell>
          <cell r="DC28">
            <v>13</v>
          </cell>
          <cell r="DD28">
            <v>28628</v>
          </cell>
          <cell r="DE28">
            <v>23</v>
          </cell>
          <cell r="DF28">
            <v>29215</v>
          </cell>
          <cell r="DG28">
            <v>20</v>
          </cell>
          <cell r="DH28">
            <v>19596</v>
          </cell>
          <cell r="DI28">
            <v>11</v>
          </cell>
          <cell r="DJ28">
            <v>22573</v>
          </cell>
          <cell r="DK28">
            <v>3</v>
          </cell>
          <cell r="DL28">
            <v>4431</v>
          </cell>
          <cell r="DM28">
            <v>14</v>
          </cell>
          <cell r="DN28">
            <v>7810</v>
          </cell>
          <cell r="DO28">
            <v>6</v>
          </cell>
          <cell r="DP28">
            <v>2263</v>
          </cell>
          <cell r="DQ28">
            <v>5</v>
          </cell>
          <cell r="DR28">
            <v>4319</v>
          </cell>
          <cell r="DS28">
            <v>11</v>
          </cell>
          <cell r="DT28">
            <v>27031</v>
          </cell>
          <cell r="DU28">
            <v>10</v>
          </cell>
          <cell r="DW28">
            <v>4009.9</v>
          </cell>
          <cell r="DX28">
            <v>9.2000000000002728</v>
          </cell>
          <cell r="DY28">
            <v>8957.5</v>
          </cell>
          <cell r="DZ28">
            <v>6.8999999999996362</v>
          </cell>
          <cell r="EA28">
            <v>3035.8</v>
          </cell>
          <cell r="EB28">
            <v>7</v>
          </cell>
          <cell r="EC28">
            <v>3201.5</v>
          </cell>
          <cell r="ED28">
            <v>8</v>
          </cell>
          <cell r="EE28">
            <v>928950</v>
          </cell>
          <cell r="EF28">
            <v>709</v>
          </cell>
          <cell r="EI28">
            <v>191880.8</v>
          </cell>
          <cell r="EJ28">
            <v>159.59999999997672</v>
          </cell>
          <cell r="EL28">
            <v>10696300</v>
          </cell>
          <cell r="EM28">
            <v>3800</v>
          </cell>
          <cell r="EN28">
            <v>852890</v>
          </cell>
          <cell r="EO28">
            <v>280</v>
          </cell>
          <cell r="EP28">
            <v>6468200</v>
          </cell>
          <cell r="EQ28">
            <v>1500</v>
          </cell>
          <cell r="ER28">
            <v>2282700</v>
          </cell>
          <cell r="ES28">
            <v>400</v>
          </cell>
          <cell r="ET28">
            <v>1060350</v>
          </cell>
          <cell r="EU28">
            <v>600</v>
          </cell>
          <cell r="EV28">
            <v>14547500</v>
          </cell>
          <cell r="EW28">
            <v>3400</v>
          </cell>
          <cell r="EY28">
            <v>38962</v>
          </cell>
          <cell r="EZ28">
            <v>16</v>
          </cell>
          <cell r="FA28">
            <v>33736</v>
          </cell>
          <cell r="FB28">
            <v>14</v>
          </cell>
          <cell r="FC28">
            <v>4828</v>
          </cell>
          <cell r="FD28">
            <v>16</v>
          </cell>
          <cell r="FE28">
            <v>55954</v>
          </cell>
          <cell r="FF28">
            <v>21</v>
          </cell>
          <cell r="FG28">
            <v>40932</v>
          </cell>
          <cell r="FH28">
            <v>35</v>
          </cell>
        </row>
        <row r="29">
          <cell r="B29">
            <v>0.73</v>
          </cell>
          <cell r="E29">
            <v>81797</v>
          </cell>
          <cell r="F29">
            <v>725</v>
          </cell>
          <cell r="G29">
            <v>510</v>
          </cell>
          <cell r="H29">
            <v>135679</v>
          </cell>
          <cell r="I29">
            <v>419</v>
          </cell>
          <cell r="J29">
            <v>427</v>
          </cell>
          <cell r="K29">
            <v>164625</v>
          </cell>
          <cell r="L29">
            <v>0</v>
          </cell>
          <cell r="N29">
            <v>837546</v>
          </cell>
          <cell r="O29">
            <v>267</v>
          </cell>
          <cell r="Q29">
            <v>195337</v>
          </cell>
          <cell r="R29">
            <v>133</v>
          </cell>
          <cell r="U29">
            <v>61224.74</v>
          </cell>
          <cell r="V29">
            <v>99.25</v>
          </cell>
          <cell r="W29">
            <v>53</v>
          </cell>
          <cell r="X29">
            <v>4723</v>
          </cell>
          <cell r="Y29">
            <v>3</v>
          </cell>
          <cell r="AE29">
            <v>7436766.959999999</v>
          </cell>
          <cell r="AF29">
            <v>3946.3199999984354</v>
          </cell>
          <cell r="AG29">
            <v>2436</v>
          </cell>
          <cell r="AH29">
            <v>14230478.640000001</v>
          </cell>
          <cell r="AI29">
            <v>4530.9600000008941</v>
          </cell>
          <cell r="AJ29">
            <v>4238.6399999987334</v>
          </cell>
          <cell r="AK29">
            <v>13966611.119999999</v>
          </cell>
          <cell r="AL29">
            <v>730.80000000074506</v>
          </cell>
          <cell r="AM29">
            <v>146.16000000014901</v>
          </cell>
          <cell r="AN29">
            <v>17050099.919999998</v>
          </cell>
          <cell r="AO29">
            <v>48.719999998807907</v>
          </cell>
          <cell r="AP29">
            <v>3605.2800000011921</v>
          </cell>
          <cell r="AQ29">
            <v>17433575.039999999</v>
          </cell>
          <cell r="AR29">
            <v>9061.9200000017881</v>
          </cell>
          <cell r="AS29">
            <v>9549.1199999991804</v>
          </cell>
          <cell r="AT29">
            <v>16062837.839999998</v>
          </cell>
          <cell r="AU29">
            <v>5310.4799999967217</v>
          </cell>
          <cell r="AV29">
            <v>4920.7199999988079</v>
          </cell>
          <cell r="AW29">
            <v>13602282.959999999</v>
          </cell>
          <cell r="AX29">
            <v>3654</v>
          </cell>
          <cell r="AY29">
            <v>4043.7599999997765</v>
          </cell>
          <cell r="AZ29">
            <v>13102123.439999999</v>
          </cell>
          <cell r="BB29">
            <v>4092.4799999985844</v>
          </cell>
          <cell r="BC29">
            <v>10409125.439999999</v>
          </cell>
          <cell r="BD29">
            <v>2679.5999999996275</v>
          </cell>
          <cell r="BE29">
            <v>2923.1999999992549</v>
          </cell>
          <cell r="BF29">
            <v>16220447.039999999</v>
          </cell>
          <cell r="BG29">
            <v>5510.2319999989122</v>
          </cell>
          <cell r="BH29">
            <v>6284.8799999989569</v>
          </cell>
          <cell r="BM29">
            <v>69273000</v>
          </cell>
          <cell r="BN29">
            <v>0</v>
          </cell>
          <cell r="BO29">
            <v>0</v>
          </cell>
          <cell r="BP29">
            <v>72036400</v>
          </cell>
          <cell r="BQ29">
            <v>0</v>
          </cell>
          <cell r="BR29">
            <v>14600</v>
          </cell>
          <cell r="BS29">
            <v>66557400</v>
          </cell>
          <cell r="BT29">
            <v>53900</v>
          </cell>
          <cell r="BU29">
            <v>45900</v>
          </cell>
          <cell r="BV29">
            <v>8297790</v>
          </cell>
          <cell r="BW29">
            <v>6290</v>
          </cell>
          <cell r="BY29">
            <v>0.49</v>
          </cell>
          <cell r="BZ29">
            <v>9.9999999999999978E-2</v>
          </cell>
          <cell r="CA29">
            <v>-9.000000000000008E-2</v>
          </cell>
          <cell r="CB29">
            <v>58949</v>
          </cell>
          <cell r="CC29">
            <v>14</v>
          </cell>
          <cell r="CD29">
            <v>50478</v>
          </cell>
          <cell r="CE29">
            <v>20</v>
          </cell>
          <cell r="CF29">
            <v>17260</v>
          </cell>
          <cell r="CG29">
            <v>6</v>
          </cell>
          <cell r="CH29">
            <v>23141</v>
          </cell>
          <cell r="CI29">
            <v>11</v>
          </cell>
          <cell r="CJ29">
            <v>25239</v>
          </cell>
          <cell r="CK29">
            <v>11</v>
          </cell>
          <cell r="CL29">
            <v>56046</v>
          </cell>
          <cell r="CM29">
            <v>28</v>
          </cell>
          <cell r="CN29">
            <v>244642</v>
          </cell>
          <cell r="CO29">
            <v>98</v>
          </cell>
          <cell r="CP29">
            <v>92.019999999989523</v>
          </cell>
          <cell r="CQ29">
            <v>192046</v>
          </cell>
          <cell r="CR29">
            <v>103</v>
          </cell>
          <cell r="CS29">
            <v>95.510000000009313</v>
          </cell>
          <cell r="CT29">
            <v>345908</v>
          </cell>
          <cell r="CU29">
            <v>251</v>
          </cell>
          <cell r="CV29">
            <v>188.47999999998137</v>
          </cell>
          <cell r="CW29">
            <v>643549</v>
          </cell>
          <cell r="CX29">
            <v>203</v>
          </cell>
          <cell r="CZ29">
            <v>7304</v>
          </cell>
          <cell r="DA29">
            <v>8</v>
          </cell>
          <cell r="DB29">
            <v>4688</v>
          </cell>
          <cell r="DC29">
            <v>1</v>
          </cell>
          <cell r="DD29">
            <v>28659</v>
          </cell>
          <cell r="DE29">
            <v>31</v>
          </cell>
          <cell r="DF29">
            <v>29228</v>
          </cell>
          <cell r="DG29">
            <v>13</v>
          </cell>
          <cell r="DH29">
            <v>19609</v>
          </cell>
          <cell r="DI29">
            <v>13</v>
          </cell>
          <cell r="DJ29">
            <v>22581</v>
          </cell>
          <cell r="DK29">
            <v>8</v>
          </cell>
          <cell r="DL29">
            <v>4446</v>
          </cell>
          <cell r="DM29">
            <v>15</v>
          </cell>
          <cell r="DN29">
            <v>7823</v>
          </cell>
          <cell r="DO29">
            <v>13</v>
          </cell>
          <cell r="DP29">
            <v>2271</v>
          </cell>
          <cell r="DQ29">
            <v>8</v>
          </cell>
          <cell r="DR29">
            <v>4323</v>
          </cell>
          <cell r="DS29">
            <v>4</v>
          </cell>
          <cell r="DT29">
            <v>27068</v>
          </cell>
          <cell r="DU29">
            <v>37</v>
          </cell>
          <cell r="DW29">
            <v>4018.7</v>
          </cell>
          <cell r="DX29">
            <v>8.7999999999997272</v>
          </cell>
          <cell r="DY29">
            <v>8967.4</v>
          </cell>
          <cell r="DZ29">
            <v>9.8999999999996362</v>
          </cell>
          <cell r="EA29">
            <v>3042.5</v>
          </cell>
          <cell r="EB29">
            <v>6.6999999999998181</v>
          </cell>
          <cell r="EC29">
            <v>3209.1</v>
          </cell>
          <cell r="ED29">
            <v>7.5999999999999091</v>
          </cell>
          <cell r="EE29">
            <v>929581</v>
          </cell>
          <cell r="EF29">
            <v>631</v>
          </cell>
          <cell r="EI29">
            <v>192029.8</v>
          </cell>
          <cell r="EJ29">
            <v>149</v>
          </cell>
          <cell r="EL29">
            <v>10699400</v>
          </cell>
          <cell r="EM29">
            <v>3100</v>
          </cell>
          <cell r="EN29">
            <v>853110</v>
          </cell>
          <cell r="EO29">
            <v>220</v>
          </cell>
          <cell r="EP29">
            <v>6469600</v>
          </cell>
          <cell r="EQ29">
            <v>1400</v>
          </cell>
          <cell r="ER29">
            <v>2283400</v>
          </cell>
          <cell r="ES29">
            <v>700</v>
          </cell>
          <cell r="ET29">
            <v>1061030</v>
          </cell>
          <cell r="EU29">
            <v>680</v>
          </cell>
          <cell r="EV29">
            <v>14551700</v>
          </cell>
          <cell r="EW29">
            <v>4200</v>
          </cell>
          <cell r="EY29">
            <v>38973</v>
          </cell>
          <cell r="EZ29">
            <v>11</v>
          </cell>
          <cell r="FA29">
            <v>33750</v>
          </cell>
          <cell r="FB29">
            <v>14</v>
          </cell>
          <cell r="FC29">
            <v>4842</v>
          </cell>
          <cell r="FD29">
            <v>14</v>
          </cell>
          <cell r="FE29">
            <v>55969</v>
          </cell>
          <cell r="FF29">
            <v>15</v>
          </cell>
          <cell r="FG29">
            <v>40960</v>
          </cell>
          <cell r="FH29">
            <v>28</v>
          </cell>
        </row>
        <row r="30">
          <cell r="F30">
            <v>-81797</v>
          </cell>
          <cell r="G30">
            <v>503</v>
          </cell>
          <cell r="I30">
            <v>-135679</v>
          </cell>
          <cell r="J30">
            <v>392</v>
          </cell>
          <cell r="L30">
            <v>-164625</v>
          </cell>
          <cell r="O30">
            <v>-837546</v>
          </cell>
          <cell r="R30">
            <v>-195337</v>
          </cell>
          <cell r="V30">
            <v>-61224.74</v>
          </cell>
          <cell r="W30">
            <v>40</v>
          </cell>
          <cell r="Y30">
            <v>-4723</v>
          </cell>
          <cell r="AF30">
            <v>-7436766.959999999</v>
          </cell>
          <cell r="AG30">
            <v>2338.5599999995902</v>
          </cell>
          <cell r="AI30">
            <v>-14230478.640000001</v>
          </cell>
          <cell r="AJ30">
            <v>4384.8000000007451</v>
          </cell>
          <cell r="AL30">
            <v>-13966611.119999999</v>
          </cell>
          <cell r="AM30">
            <v>194.88000000081956</v>
          </cell>
          <cell r="AO30">
            <v>-17050099.919999998</v>
          </cell>
          <cell r="AP30">
            <v>876.96000000089407</v>
          </cell>
          <cell r="AR30">
            <v>-17433575.039999999</v>
          </cell>
          <cell r="AS30">
            <v>9597.839999999851</v>
          </cell>
          <cell r="AU30">
            <v>-16062837.839999998</v>
          </cell>
          <cell r="AV30">
            <v>4774.5600000005215</v>
          </cell>
          <cell r="AX30">
            <v>-13602282.959999999</v>
          </cell>
          <cell r="AY30">
            <v>3995.0400000009686</v>
          </cell>
          <cell r="BB30">
            <v>4043.7600000016391</v>
          </cell>
          <cell r="BD30">
            <v>-10409125.439999999</v>
          </cell>
          <cell r="BE30">
            <v>2971.9199999999255</v>
          </cell>
          <cell r="BG30">
            <v>-16220447.039999999</v>
          </cell>
          <cell r="BH30">
            <v>6187.4400000013411</v>
          </cell>
          <cell r="BN30">
            <v>-69273000</v>
          </cell>
          <cell r="BO30">
            <v>0</v>
          </cell>
          <cell r="BQ30">
            <v>-72036400</v>
          </cell>
          <cell r="BR30">
            <v>0</v>
          </cell>
          <cell r="BT30">
            <v>-66557400</v>
          </cell>
          <cell r="BU30">
            <v>49500</v>
          </cell>
          <cell r="BW30">
            <v>-8297790</v>
          </cell>
          <cell r="BZ30">
            <v>0.49</v>
          </cell>
          <cell r="CA30">
            <v>9.9999999999999978E-2</v>
          </cell>
          <cell r="CC30">
            <v>-58949</v>
          </cell>
          <cell r="CE30">
            <v>-50478</v>
          </cell>
          <cell r="CG30">
            <v>-17260</v>
          </cell>
          <cell r="CI30">
            <v>-23141</v>
          </cell>
          <cell r="CK30">
            <v>-25239</v>
          </cell>
          <cell r="CM30">
            <v>-56046</v>
          </cell>
          <cell r="CO30">
            <v>-244642</v>
          </cell>
          <cell r="CP30">
            <v>98.270000000018626</v>
          </cell>
          <cell r="CR30">
            <v>-192046</v>
          </cell>
          <cell r="CS30">
            <v>98.199999999982538</v>
          </cell>
          <cell r="CU30">
            <v>-345908</v>
          </cell>
          <cell r="CV30">
            <v>351.57000000000698</v>
          </cell>
          <cell r="CX30">
            <v>-643549</v>
          </cell>
          <cell r="DA30">
            <v>-7304</v>
          </cell>
          <cell r="DC30">
            <v>-4688</v>
          </cell>
          <cell r="DE30">
            <v>-28659</v>
          </cell>
          <cell r="DG30">
            <v>-29228</v>
          </cell>
          <cell r="DI30">
            <v>-19609</v>
          </cell>
          <cell r="DK30">
            <v>-22581</v>
          </cell>
          <cell r="DM30">
            <v>-4446</v>
          </cell>
          <cell r="DO30">
            <v>-7823</v>
          </cell>
          <cell r="DQ30">
            <v>-2271</v>
          </cell>
          <cell r="DS30">
            <v>-4323</v>
          </cell>
          <cell r="DU30">
            <v>-27068</v>
          </cell>
          <cell r="DX30">
            <v>-4018.7</v>
          </cell>
          <cell r="DZ30">
            <v>-8967.4</v>
          </cell>
          <cell r="EB30">
            <v>-3042.5</v>
          </cell>
          <cell r="ED30">
            <v>-3209.1</v>
          </cell>
          <cell r="EF30">
            <v>-929581</v>
          </cell>
          <cell r="EJ30">
            <v>-192029.8</v>
          </cell>
          <cell r="EM30">
            <v>-10699400</v>
          </cell>
          <cell r="EO30">
            <v>-853110</v>
          </cell>
          <cell r="EQ30">
            <v>-6469600</v>
          </cell>
          <cell r="ES30">
            <v>-2283400</v>
          </cell>
          <cell r="EU30">
            <v>-1061030</v>
          </cell>
          <cell r="EW30">
            <v>-14551700</v>
          </cell>
          <cell r="EZ30">
            <v>-38973</v>
          </cell>
          <cell r="FB30">
            <v>-33750</v>
          </cell>
          <cell r="FD30">
            <v>-4842</v>
          </cell>
          <cell r="FF30">
            <v>-55969</v>
          </cell>
          <cell r="FH30">
            <v>-40960</v>
          </cell>
        </row>
        <row r="31">
          <cell r="F31">
            <v>0</v>
          </cell>
          <cell r="G31">
            <v>500</v>
          </cell>
          <cell r="I31">
            <v>0</v>
          </cell>
          <cell r="J31">
            <v>390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47</v>
          </cell>
          <cell r="Y31">
            <v>0</v>
          </cell>
          <cell r="AF31">
            <v>0</v>
          </cell>
          <cell r="AG31">
            <v>2484.7200000006706</v>
          </cell>
          <cell r="AI31">
            <v>0</v>
          </cell>
          <cell r="AJ31">
            <v>4336.0800000000745</v>
          </cell>
          <cell r="AL31">
            <v>0</v>
          </cell>
          <cell r="AM31">
            <v>97.439999999478459</v>
          </cell>
          <cell r="AO31">
            <v>0</v>
          </cell>
          <cell r="AP31">
            <v>876.95999999903142</v>
          </cell>
          <cell r="AR31">
            <v>0</v>
          </cell>
          <cell r="AS31">
            <v>9451.6799999978393</v>
          </cell>
          <cell r="AU31">
            <v>0</v>
          </cell>
          <cell r="AV31">
            <v>4433.519999999553</v>
          </cell>
          <cell r="AX31">
            <v>0</v>
          </cell>
          <cell r="AY31">
            <v>4189.9199999980628</v>
          </cell>
          <cell r="BB31">
            <v>3946.320000000298</v>
          </cell>
          <cell r="BD31">
            <v>0</v>
          </cell>
          <cell r="BE31">
            <v>3020.640000000596</v>
          </cell>
          <cell r="BG31">
            <v>0</v>
          </cell>
          <cell r="BH31">
            <v>6041.2800000011921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49500</v>
          </cell>
          <cell r="BW31">
            <v>0</v>
          </cell>
          <cell r="BZ31">
            <v>0</v>
          </cell>
          <cell r="CA31">
            <v>-9.9999999999999978E-2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95.799999999988358</v>
          </cell>
          <cell r="CR31">
            <v>0</v>
          </cell>
          <cell r="CS31">
            <v>97.880000000004657</v>
          </cell>
          <cell r="CU31">
            <v>0</v>
          </cell>
          <cell r="CV31">
            <v>270.3300000000163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462</v>
          </cell>
          <cell r="I32">
            <v>0</v>
          </cell>
          <cell r="J32">
            <v>384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41</v>
          </cell>
          <cell r="Y32">
            <v>0</v>
          </cell>
          <cell r="AF32">
            <v>0</v>
          </cell>
          <cell r="AG32">
            <v>3361.679999999702</v>
          </cell>
          <cell r="AI32">
            <v>0</v>
          </cell>
          <cell r="AJ32">
            <v>4336.0800000000745</v>
          </cell>
          <cell r="AL32">
            <v>0</v>
          </cell>
          <cell r="AM32">
            <v>292.32000000029802</v>
          </cell>
          <cell r="AO32">
            <v>0</v>
          </cell>
          <cell r="AP32">
            <v>730.79999999888241</v>
          </cell>
          <cell r="AR32">
            <v>0</v>
          </cell>
          <cell r="AS32">
            <v>9061.9200000017881</v>
          </cell>
          <cell r="AU32">
            <v>0</v>
          </cell>
          <cell r="AV32">
            <v>4725.839999999851</v>
          </cell>
          <cell r="AX32">
            <v>0</v>
          </cell>
          <cell r="AY32">
            <v>4189.9199999999255</v>
          </cell>
          <cell r="BB32">
            <v>4043.7599999997765</v>
          </cell>
          <cell r="BD32">
            <v>0</v>
          </cell>
          <cell r="BE32">
            <v>3020.640000000596</v>
          </cell>
          <cell r="BG32">
            <v>0</v>
          </cell>
          <cell r="BH32">
            <v>5992.5599999986589</v>
          </cell>
          <cell r="BN32">
            <v>0</v>
          </cell>
          <cell r="BO32">
            <v>1100</v>
          </cell>
          <cell r="BQ32">
            <v>0</v>
          </cell>
          <cell r="BR32">
            <v>0</v>
          </cell>
          <cell r="BT32">
            <v>0</v>
          </cell>
          <cell r="BU32">
            <v>49300</v>
          </cell>
          <cell r="BW32">
            <v>0</v>
          </cell>
          <cell r="BZ32">
            <v>0</v>
          </cell>
          <cell r="CA32">
            <v>8.0000000000000071E-2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94</v>
          </cell>
          <cell r="CR32">
            <v>0</v>
          </cell>
          <cell r="CS32">
            <v>97.790000000008149</v>
          </cell>
          <cell r="CU32">
            <v>0</v>
          </cell>
          <cell r="CV32">
            <v>228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502</v>
          </cell>
          <cell r="I33">
            <v>0</v>
          </cell>
          <cell r="J33">
            <v>416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44</v>
          </cell>
          <cell r="Y33">
            <v>0</v>
          </cell>
          <cell r="AF33">
            <v>0</v>
          </cell>
          <cell r="AG33">
            <v>3751.4400000004098</v>
          </cell>
          <cell r="AI33">
            <v>0</v>
          </cell>
          <cell r="AJ33">
            <v>4384.8000000007451</v>
          </cell>
          <cell r="AL33">
            <v>0</v>
          </cell>
          <cell r="AM33">
            <v>146.16000000014901</v>
          </cell>
          <cell r="AO33">
            <v>0</v>
          </cell>
          <cell r="AP33">
            <v>974.40000000037253</v>
          </cell>
          <cell r="AR33">
            <v>0</v>
          </cell>
          <cell r="AS33">
            <v>9500.4000000003725</v>
          </cell>
          <cell r="AU33">
            <v>0</v>
          </cell>
          <cell r="AV33">
            <v>4823.2799999993294</v>
          </cell>
          <cell r="AX33">
            <v>0</v>
          </cell>
          <cell r="AY33">
            <v>4384.8000000007451</v>
          </cell>
          <cell r="BB33">
            <v>4092.480000000447</v>
          </cell>
          <cell r="BD33">
            <v>0</v>
          </cell>
          <cell r="BE33">
            <v>3020.640000000596</v>
          </cell>
          <cell r="BG33">
            <v>0</v>
          </cell>
          <cell r="BH33">
            <v>6138.7199999988079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54900</v>
          </cell>
          <cell r="BW33">
            <v>0</v>
          </cell>
          <cell r="BZ33">
            <v>0</v>
          </cell>
          <cell r="CA33">
            <v>1.9999999999999907E-2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95</v>
          </cell>
          <cell r="CR33">
            <v>0</v>
          </cell>
          <cell r="CS33">
            <v>99.209999999991851</v>
          </cell>
          <cell r="CU33">
            <v>0</v>
          </cell>
          <cell r="CV33">
            <v>175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534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59</v>
          </cell>
          <cell r="Y34">
            <v>0</v>
          </cell>
          <cell r="AF34">
            <v>0</v>
          </cell>
          <cell r="AG34">
            <v>3800.1599999992177</v>
          </cell>
          <cell r="AI34">
            <v>0</v>
          </cell>
          <cell r="AJ34">
            <v>4384.8000000007451</v>
          </cell>
          <cell r="AL34">
            <v>0</v>
          </cell>
          <cell r="AM34">
            <v>194.88000000081956</v>
          </cell>
          <cell r="AO34">
            <v>0</v>
          </cell>
          <cell r="AP34">
            <v>2582.1600000020117</v>
          </cell>
          <cell r="AR34">
            <v>0</v>
          </cell>
          <cell r="AS34">
            <v>3267.359999999404</v>
          </cell>
          <cell r="AU34">
            <v>0</v>
          </cell>
          <cell r="AV34">
            <v>4872</v>
          </cell>
          <cell r="AX34">
            <v>0</v>
          </cell>
          <cell r="AY34">
            <v>4336.0800000000745</v>
          </cell>
          <cell r="BB34">
            <v>3995.0399999991059</v>
          </cell>
          <cell r="BD34">
            <v>0</v>
          </cell>
          <cell r="BE34">
            <v>2777.0399999972433</v>
          </cell>
          <cell r="BG34">
            <v>0</v>
          </cell>
          <cell r="BH34">
            <v>6431.0400000009686</v>
          </cell>
          <cell r="BN34">
            <v>0</v>
          </cell>
          <cell r="BO34">
            <v>0</v>
          </cell>
          <cell r="BQ34">
            <v>0</v>
          </cell>
          <cell r="BR34">
            <v>8400</v>
          </cell>
          <cell r="BT34">
            <v>0</v>
          </cell>
          <cell r="BU34">
            <v>53300</v>
          </cell>
          <cell r="BW34">
            <v>0</v>
          </cell>
          <cell r="BZ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94</v>
          </cell>
          <cell r="CR34">
            <v>0</v>
          </cell>
          <cell r="CS34">
            <v>99</v>
          </cell>
          <cell r="CU34">
            <v>0</v>
          </cell>
          <cell r="CV34">
            <v>177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541</v>
          </cell>
          <cell r="I35">
            <v>0</v>
          </cell>
          <cell r="J35">
            <v>432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54</v>
          </cell>
          <cell r="Y35">
            <v>0</v>
          </cell>
          <cell r="AF35">
            <v>0</v>
          </cell>
          <cell r="AG35">
            <v>3848.8799999998882</v>
          </cell>
          <cell r="AI35">
            <v>0</v>
          </cell>
          <cell r="AJ35">
            <v>4336.0799999982119</v>
          </cell>
          <cell r="AL35">
            <v>0</v>
          </cell>
          <cell r="AM35">
            <v>243.59999999962747</v>
          </cell>
          <cell r="AO35">
            <v>0</v>
          </cell>
          <cell r="AP35">
            <v>2192.4000000003725</v>
          </cell>
          <cell r="AR35">
            <v>0</v>
          </cell>
          <cell r="AS35">
            <v>15538.560000000522</v>
          </cell>
          <cell r="AU35">
            <v>0</v>
          </cell>
          <cell r="AV35">
            <v>4823.2800000011921</v>
          </cell>
          <cell r="AX35">
            <v>0</v>
          </cell>
          <cell r="AY35">
            <v>4530.9599999990314</v>
          </cell>
          <cell r="BB35">
            <v>3946.320000000298</v>
          </cell>
          <cell r="BD35">
            <v>0</v>
          </cell>
          <cell r="BE35">
            <v>2825.7600000016391</v>
          </cell>
          <cell r="BG35">
            <v>0</v>
          </cell>
          <cell r="BH35">
            <v>6431.0400000009686</v>
          </cell>
          <cell r="BN35">
            <v>0</v>
          </cell>
          <cell r="BO35">
            <v>0</v>
          </cell>
          <cell r="BQ35">
            <v>0</v>
          </cell>
          <cell r="BR35">
            <v>7300</v>
          </cell>
          <cell r="BT35">
            <v>0</v>
          </cell>
          <cell r="BU35">
            <v>50900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97</v>
          </cell>
          <cell r="CR35">
            <v>0</v>
          </cell>
          <cell r="CS35">
            <v>102</v>
          </cell>
          <cell r="CU35">
            <v>0</v>
          </cell>
          <cell r="CV35">
            <v>180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529</v>
          </cell>
          <cell r="I36">
            <v>0</v>
          </cell>
          <cell r="J36">
            <v>428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52</v>
          </cell>
          <cell r="Y36">
            <v>0</v>
          </cell>
          <cell r="AF36">
            <v>0</v>
          </cell>
          <cell r="AG36">
            <v>2046.2400000002235</v>
          </cell>
          <cell r="AI36">
            <v>0</v>
          </cell>
          <cell r="AJ36">
            <v>4384.8000000007451</v>
          </cell>
          <cell r="AL36">
            <v>0</v>
          </cell>
          <cell r="AM36">
            <v>11303.039999999106</v>
          </cell>
          <cell r="AO36">
            <v>0</v>
          </cell>
          <cell r="AP36">
            <v>97.439999997615814</v>
          </cell>
          <cell r="AR36">
            <v>0</v>
          </cell>
          <cell r="AS36">
            <v>1364.1599999982864</v>
          </cell>
          <cell r="AU36">
            <v>0</v>
          </cell>
          <cell r="AV36">
            <v>4725.8399999979883</v>
          </cell>
          <cell r="AX36">
            <v>0</v>
          </cell>
          <cell r="AY36">
            <v>4482.2400000002235</v>
          </cell>
          <cell r="BB36">
            <v>3848.8800000008196</v>
          </cell>
          <cell r="BD36">
            <v>0</v>
          </cell>
          <cell r="BE36">
            <v>2728.320000000298</v>
          </cell>
          <cell r="BG36">
            <v>0</v>
          </cell>
          <cell r="BH36">
            <v>6431.0399999991059</v>
          </cell>
          <cell r="BN36">
            <v>0</v>
          </cell>
          <cell r="BO36">
            <v>59800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96.950000000011642</v>
          </cell>
          <cell r="CR36">
            <v>0</v>
          </cell>
          <cell r="CS36">
            <v>95.399999999994179</v>
          </cell>
          <cell r="CU36">
            <v>0</v>
          </cell>
          <cell r="CV36">
            <v>110.1699999999837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509</v>
          </cell>
          <cell r="I37">
            <v>0</v>
          </cell>
          <cell r="J37">
            <v>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-143668.1</v>
          </cell>
          <cell r="Y37">
            <v>0</v>
          </cell>
          <cell r="AF37">
            <v>0</v>
          </cell>
          <cell r="AG37">
            <v>2728.320000000298</v>
          </cell>
          <cell r="AI37">
            <v>0</v>
          </cell>
          <cell r="AJ37">
            <v>4433.519999999553</v>
          </cell>
          <cell r="AL37">
            <v>0</v>
          </cell>
          <cell r="AM37">
            <v>11497.919999999925</v>
          </cell>
          <cell r="AO37">
            <v>0</v>
          </cell>
          <cell r="AP37">
            <v>48.720000000670552</v>
          </cell>
          <cell r="AR37">
            <v>0</v>
          </cell>
          <cell r="AS37">
            <v>3264.2400000002235</v>
          </cell>
          <cell r="AU37">
            <v>0</v>
          </cell>
          <cell r="AV37">
            <v>4969.4400000013411</v>
          </cell>
          <cell r="AX37">
            <v>0</v>
          </cell>
          <cell r="AY37">
            <v>4482.2400000002235</v>
          </cell>
          <cell r="BB37">
            <v>3995.0399999991059</v>
          </cell>
          <cell r="BD37">
            <v>0</v>
          </cell>
          <cell r="BE37">
            <v>2971.9199999980628</v>
          </cell>
          <cell r="BG37">
            <v>0</v>
          </cell>
          <cell r="BH37">
            <v>4433.519999999553</v>
          </cell>
          <cell r="BN37">
            <v>0</v>
          </cell>
          <cell r="BO37">
            <v>55600</v>
          </cell>
          <cell r="BQ37">
            <v>0</v>
          </cell>
          <cell r="BR37">
            <v>0</v>
          </cell>
          <cell r="BT37">
            <v>0</v>
          </cell>
          <cell r="BU37">
            <v>2400</v>
          </cell>
          <cell r="BW37">
            <v>0</v>
          </cell>
          <cell r="BZ37">
            <v>0</v>
          </cell>
          <cell r="CA37">
            <v>-0.10000000000000009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94.979999999981374</v>
          </cell>
          <cell r="CR37">
            <v>0</v>
          </cell>
          <cell r="CS37">
            <v>100.72000000000116</v>
          </cell>
          <cell r="CU37">
            <v>0</v>
          </cell>
          <cell r="CV37">
            <v>120.60000000003492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503</v>
          </cell>
          <cell r="I38">
            <v>0</v>
          </cell>
          <cell r="J38">
            <v>350.02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89.18</v>
          </cell>
          <cell r="Y38">
            <v>0</v>
          </cell>
          <cell r="AF38">
            <v>0</v>
          </cell>
          <cell r="AG38">
            <v>2436</v>
          </cell>
          <cell r="AI38">
            <v>0</v>
          </cell>
          <cell r="AJ38">
            <v>4530.9600000008941</v>
          </cell>
          <cell r="AL38">
            <v>0</v>
          </cell>
          <cell r="AM38">
            <v>12180</v>
          </cell>
          <cell r="AO38">
            <v>0</v>
          </cell>
          <cell r="AP38">
            <v>0</v>
          </cell>
          <cell r="AR38">
            <v>0</v>
          </cell>
          <cell r="AS38">
            <v>292.32000000216067</v>
          </cell>
          <cell r="AU38">
            <v>0</v>
          </cell>
          <cell r="AV38">
            <v>4872</v>
          </cell>
          <cell r="AX38">
            <v>0</v>
          </cell>
          <cell r="AY38">
            <v>4482.2400000002235</v>
          </cell>
          <cell r="BB38">
            <v>4092.480000000447</v>
          </cell>
          <cell r="BD38">
            <v>0</v>
          </cell>
          <cell r="BE38">
            <v>3069.3600000012666</v>
          </cell>
          <cell r="BG38">
            <v>0</v>
          </cell>
          <cell r="BH38">
            <v>8331.1200000010431</v>
          </cell>
          <cell r="BN38">
            <v>0</v>
          </cell>
          <cell r="BO38">
            <v>64900</v>
          </cell>
          <cell r="BQ38">
            <v>0</v>
          </cell>
          <cell r="BR38">
            <v>0</v>
          </cell>
          <cell r="BT38">
            <v>0</v>
          </cell>
          <cell r="BU38">
            <v>14500</v>
          </cell>
          <cell r="BW38">
            <v>0</v>
          </cell>
          <cell r="BZ38">
            <v>0</v>
          </cell>
          <cell r="CA38">
            <v>0.10000000000000009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94.070000000006985</v>
          </cell>
          <cell r="CR38">
            <v>0</v>
          </cell>
          <cell r="CS38">
            <v>95.880000000004657</v>
          </cell>
          <cell r="CU38">
            <v>0</v>
          </cell>
          <cell r="CV38">
            <v>150.22999999998137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501</v>
          </cell>
          <cell r="I39">
            <v>0</v>
          </cell>
          <cell r="J39">
            <v>356.1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90.799999999999983</v>
          </cell>
          <cell r="Y39">
            <v>0</v>
          </cell>
          <cell r="AF39">
            <v>0</v>
          </cell>
          <cell r="AG39">
            <v>2582.160000000149</v>
          </cell>
          <cell r="AI39">
            <v>0</v>
          </cell>
          <cell r="AJ39">
            <v>4482.2400000002235</v>
          </cell>
          <cell r="AL39">
            <v>0</v>
          </cell>
          <cell r="AM39">
            <v>12813.359999999404</v>
          </cell>
          <cell r="AO39">
            <v>0</v>
          </cell>
          <cell r="AP39">
            <v>48.720000000670552</v>
          </cell>
          <cell r="AR39">
            <v>0</v>
          </cell>
          <cell r="AS39">
            <v>389.75999999977648</v>
          </cell>
          <cell r="AU39">
            <v>0</v>
          </cell>
          <cell r="AV39">
            <v>4774.5599999986589</v>
          </cell>
          <cell r="AX39">
            <v>0</v>
          </cell>
          <cell r="AY39">
            <v>4530.9600000008941</v>
          </cell>
          <cell r="BB39">
            <v>3897.5999999996275</v>
          </cell>
          <cell r="BD39">
            <v>0</v>
          </cell>
          <cell r="BE39">
            <v>3166.8000000007451</v>
          </cell>
          <cell r="BG39">
            <v>0</v>
          </cell>
          <cell r="BH39">
            <v>6382.320000000298</v>
          </cell>
          <cell r="BN39">
            <v>0</v>
          </cell>
          <cell r="BO39">
            <v>68300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-0.10000000000000009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96</v>
          </cell>
          <cell r="CR39">
            <v>0</v>
          </cell>
          <cell r="CS39">
            <v>94</v>
          </cell>
          <cell r="CU39">
            <v>0</v>
          </cell>
          <cell r="CV39">
            <v>127.90000000002328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23" sqref="I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>1.91/0.52</f>
        <v>3.6730769230769229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ref="H4:H32" si="1">1.91/0.52</f>
        <v>3.6730769230769229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1"/>
        <v>3.6730769230769229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1"/>
        <v>3.6730769230769229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1"/>
        <v>3.6730769230769229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1"/>
        <v>3.6730769230769229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1"/>
        <v>3.6730769230769229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Submetering!Z10+Submetering!AA10+Submetering!AB10</f>
        <v>678.51</v>
      </c>
      <c r="H10" s="237">
        <f t="shared" si="1"/>
        <v>3.6730769230769229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42191.519999995828</v>
      </c>
      <c r="F11">
        <v>0.44447999999999999</v>
      </c>
      <c r="G11" s="3">
        <f>Submetering!Z11+Submetering!AA11+Submetering!AB11</f>
        <v>701.19</v>
      </c>
      <c r="H11" s="237">
        <f t="shared" si="1"/>
        <v>3.6730769230769229</v>
      </c>
      <c r="I11" s="3">
        <f>Submetering!G11</f>
        <v>682</v>
      </c>
      <c r="J11">
        <v>13.83</v>
      </c>
      <c r="K11" s="3">
        <f>Submetering!I11</f>
        <v>141</v>
      </c>
      <c r="L11">
        <v>1.2</v>
      </c>
      <c r="M11" s="237">
        <f>Submetering!E11</f>
        <v>210.93</v>
      </c>
      <c r="N11">
        <f>Submetering!F11</f>
        <v>417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43409.519999999553</v>
      </c>
      <c r="F12">
        <v>0.44447999999999999</v>
      </c>
      <c r="G12" s="3">
        <f>Submetering!Z12+Submetering!AA12+Submetering!AB12</f>
        <v>699.3</v>
      </c>
      <c r="H12" s="237">
        <f t="shared" si="1"/>
        <v>3.6730769230769229</v>
      </c>
      <c r="I12" s="3">
        <f>Submetering!G12</f>
        <v>685</v>
      </c>
      <c r="J12">
        <v>13.83</v>
      </c>
      <c r="K12" s="3">
        <f>Submetering!I12</f>
        <v>277</v>
      </c>
      <c r="L12">
        <v>1.2</v>
      </c>
      <c r="M12" s="237">
        <f>Submetering!E12</f>
        <v>218.04000000000002</v>
      </c>
      <c r="N12">
        <f>Submetering!F12</f>
        <v>408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825.93</v>
      </c>
      <c r="H13" s="237">
        <f t="shared" si="1"/>
        <v>3.6730769230769229</v>
      </c>
      <c r="I13" s="3">
        <f>Submetering!G13</f>
        <v>829</v>
      </c>
      <c r="J13">
        <v>13.83</v>
      </c>
      <c r="K13" s="3">
        <f>Submetering!I13</f>
        <v>218</v>
      </c>
      <c r="L13">
        <v>1.2</v>
      </c>
      <c r="M13" s="237">
        <f>Submetering!E13</f>
        <v>210.93</v>
      </c>
      <c r="N13">
        <f>Submetering!F13</f>
        <v>407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43799.280000002123</v>
      </c>
      <c r="F14">
        <v>0.44447999999999999</v>
      </c>
      <c r="G14" s="3">
        <f>Submetering!Z14+Submetering!AA14+Submetering!AB14</f>
        <v>678.51</v>
      </c>
      <c r="H14" s="237">
        <f t="shared" si="1"/>
        <v>3.6730769230769229</v>
      </c>
      <c r="I14" s="3">
        <f>Submetering!G14</f>
        <v>648</v>
      </c>
      <c r="J14">
        <v>13.83</v>
      </c>
      <c r="K14" s="3">
        <f>Submetering!I14</f>
        <v>114</v>
      </c>
      <c r="L14">
        <v>1.2</v>
      </c>
      <c r="M14" s="237">
        <f>Submetering!E14</f>
        <v>191.97</v>
      </c>
      <c r="N14">
        <f>Submetering!F14</f>
        <v>365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44871.120000000112</v>
      </c>
      <c r="F15">
        <v>0.44447999999999999</v>
      </c>
      <c r="G15" s="3">
        <f>Submetering!Z15+Submetering!AA15+Submetering!AB15</f>
        <v>514.07999999999993</v>
      </c>
      <c r="H15" s="237">
        <f t="shared" si="1"/>
        <v>3.6730769230769229</v>
      </c>
      <c r="I15" s="3">
        <f>Submetering!G15</f>
        <v>721</v>
      </c>
      <c r="J15">
        <v>13.83</v>
      </c>
      <c r="K15" s="3">
        <f>Submetering!I15</f>
        <v>302</v>
      </c>
      <c r="L15">
        <v>1.2</v>
      </c>
      <c r="M15" s="237">
        <f>Submetering!E15</f>
        <v>196.70999999999998</v>
      </c>
      <c r="N15">
        <f>Submetering!F15</f>
        <v>394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43604.400000002235</v>
      </c>
      <c r="F16">
        <v>0.44447999999999999</v>
      </c>
      <c r="G16" s="3">
        <f>Submetering!Z16+Submetering!AA16+Submetering!AB16</f>
        <v>517.86</v>
      </c>
      <c r="H16" s="237">
        <f t="shared" si="1"/>
        <v>3.6730769230769229</v>
      </c>
      <c r="I16" s="3">
        <f>Submetering!G16</f>
        <v>681</v>
      </c>
      <c r="J16">
        <v>13.83</v>
      </c>
      <c r="K16" s="3">
        <f>Submetering!I16</f>
        <v>204</v>
      </c>
      <c r="L16">
        <v>1.2</v>
      </c>
      <c r="M16" s="237">
        <f>Submetering!E16</f>
        <v>199.07999999999998</v>
      </c>
      <c r="N16">
        <f>Submetering!F16</f>
        <v>388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44578.799999996088</v>
      </c>
      <c r="F17">
        <v>0.44447999999999999</v>
      </c>
      <c r="G17" s="3">
        <f>Submetering!Z17+Submetering!AA17+Submetering!AB17</f>
        <v>478.17</v>
      </c>
      <c r="H17" s="237">
        <f t="shared" si="1"/>
        <v>3.6730769230769229</v>
      </c>
      <c r="I17" s="3">
        <f>Submetering!G17</f>
        <v>891</v>
      </c>
      <c r="J17">
        <v>13.83</v>
      </c>
      <c r="K17" s="3">
        <f>Submetering!I17</f>
        <v>383</v>
      </c>
      <c r="L17">
        <v>1.2</v>
      </c>
      <c r="M17" s="237">
        <f>Submetering!E17</f>
        <v>196.70999999999998</v>
      </c>
      <c r="N17">
        <f>Submetering!F17</f>
        <v>388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41558.160000002943</v>
      </c>
      <c r="F18">
        <v>0.44447999999999999</v>
      </c>
      <c r="G18" s="3">
        <f>Submetering!Z18+Submetering!AA18+Submetering!AB18</f>
        <v>678.51</v>
      </c>
      <c r="H18" s="237">
        <f t="shared" si="1"/>
        <v>3.6730769230769229</v>
      </c>
      <c r="I18" s="3">
        <f>Submetering!G18</f>
        <v>700</v>
      </c>
      <c r="J18">
        <v>13.83</v>
      </c>
      <c r="K18" s="3">
        <f>Submetering!I18</f>
        <v>270</v>
      </c>
      <c r="L18">
        <v>1.2</v>
      </c>
      <c r="M18" s="237">
        <f>Submetering!E18</f>
        <v>208.56</v>
      </c>
      <c r="N18">
        <f>Submetering!F18</f>
        <v>404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39804.239999999292</v>
      </c>
      <c r="F19">
        <v>0.44447999999999999</v>
      </c>
      <c r="G19" s="3">
        <f>Submetering!Z19+Submetering!AA19+Submetering!AB19</f>
        <v>1060.29</v>
      </c>
      <c r="H19" s="237">
        <f t="shared" si="1"/>
        <v>3.6730769230769229</v>
      </c>
      <c r="I19" s="3">
        <f>Submetering!G19</f>
        <v>895</v>
      </c>
      <c r="J19">
        <v>13.83</v>
      </c>
      <c r="K19" s="3">
        <f>Submetering!I19</f>
        <v>292</v>
      </c>
      <c r="L19">
        <v>1.2</v>
      </c>
      <c r="M19" s="237">
        <f>Submetering!E19</f>
        <v>196.70999999999998</v>
      </c>
      <c r="N19">
        <f>Submetering!F19</f>
        <v>410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40335.287999995053</v>
      </c>
      <c r="F20">
        <v>0.44447999999999999</v>
      </c>
      <c r="G20" s="3">
        <f>Submetering!Z20+Submetering!AA20+Submetering!AB20</f>
        <v>967.68000000000006</v>
      </c>
      <c r="H20" s="237">
        <f t="shared" si="1"/>
        <v>3.6730769230769229</v>
      </c>
      <c r="I20" s="3">
        <f>Submetering!G20</f>
        <v>844</v>
      </c>
      <c r="J20">
        <v>13.83</v>
      </c>
      <c r="K20" s="3">
        <f>Submetering!I20</f>
        <v>339</v>
      </c>
      <c r="L20">
        <v>1.2</v>
      </c>
      <c r="M20" s="237">
        <f>Submetering!E20</f>
        <v>191.97</v>
      </c>
      <c r="N20">
        <f>Submetering!F20</f>
        <v>371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39711.671999996528</v>
      </c>
      <c r="F21">
        <v>0.44447999999999999</v>
      </c>
      <c r="G21" s="3">
        <f>Submetering!Z21+Submetering!AA21+Submetering!AB21</f>
        <v>854.28</v>
      </c>
      <c r="H21" s="237">
        <f t="shared" si="1"/>
        <v>3.6730769230769229</v>
      </c>
      <c r="I21" s="3">
        <f>Submetering!G21</f>
        <v>725</v>
      </c>
      <c r="J21">
        <v>13.83</v>
      </c>
      <c r="K21" s="3">
        <f>Submetering!I21</f>
        <v>267</v>
      </c>
      <c r="L21">
        <v>1.2</v>
      </c>
      <c r="M21" s="237">
        <f>Submetering!E21</f>
        <v>173.01</v>
      </c>
      <c r="N21">
        <f>Submetering!F21</f>
        <v>357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351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BK22" sqref="BK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>
        <f>237*0.89</f>
        <v>210.93</v>
      </c>
      <c r="F11" s="79">
        <f>387+30</f>
        <v>417</v>
      </c>
      <c r="G11" s="3">
        <f>'DJB Daily Readings'!C19-'DJB Daily Readings'!C18</f>
        <v>682</v>
      </c>
      <c r="H11" s="3">
        <f>'DJB Daily Readings'!F19-'DJB Daily Readings'!F18</f>
        <v>481</v>
      </c>
      <c r="I11" s="3">
        <f>'DJB Daily Readings'!K19-'DJB Daily Readings'!K18</f>
        <v>141</v>
      </c>
      <c r="J11" s="3">
        <f>'DJB Daily Readings'!K19-'DJB Daily Readings'!K18</f>
        <v>141</v>
      </c>
      <c r="K11" s="3">
        <f>'DJB Daily Readings'!O19-'DJB Daily Readings'!O18</f>
        <v>116.45999999999913</v>
      </c>
      <c r="L11" s="3">
        <f>'DJB Daily Readings'!R19-'DJB Daily Readings'!R18</f>
        <v>17</v>
      </c>
      <c r="M11" s="3">
        <f>'DJB Daily Readings'!U19-'DJB Daily Readings'!U18</f>
        <v>2777.0399999991059</v>
      </c>
      <c r="N11" s="3">
        <f>'DJB Daily Readings'!X19-'DJB Daily Readings'!X18</f>
        <v>4725.839999999851</v>
      </c>
      <c r="O11" s="3">
        <f>'DJB Daily Readings'!AA19-'DJB Daily Readings'!AA18</f>
        <v>974.40000000037253</v>
      </c>
      <c r="P11" s="3">
        <f>'DJB Daily Readings'!AD19-'DJB Daily Readings'!AD18</f>
        <v>0</v>
      </c>
      <c r="Q11" s="3">
        <f>'DJB Daily Readings'!AG19-'DJB Daily Readings'!AG18</f>
        <v>10231.199999999255</v>
      </c>
      <c r="R11" s="3">
        <f>'DJB Daily Readings'!AJ19-'DJB Daily Readings'!AJ18</f>
        <v>5554.0800000019372</v>
      </c>
      <c r="S11" s="3">
        <f>'DJB Daily Readings'!AM19-'DJB Daily Readings'!AM18</f>
        <v>4336.0799999982119</v>
      </c>
      <c r="T11" s="3">
        <f>'DJB Daily Readings'!AP19-'DJB Daily Readings'!AP18</f>
        <v>4774.5599999986589</v>
      </c>
      <c r="U11" s="3">
        <f>'DJB Daily Readings'!AS19-'DJB Daily Readings'!AS18</f>
        <v>3312.9599999990314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56900</v>
      </c>
      <c r="Z11" s="3">
        <f>('DJB Daily Readings'!CK19-'DJB Daily Readings'!CK18)*1.89</f>
        <v>189</v>
      </c>
      <c r="AA11" s="3">
        <f>('DJB Daily Readings'!CN19-'DJB Daily Readings'!CN18)*1.89</f>
        <v>200.34</v>
      </c>
      <c r="AB11" s="3">
        <f>('DJB Daily Readings'!CQ19-'DJB Daily Readings'!CQ18)*1.89</f>
        <v>311.84999999999997</v>
      </c>
      <c r="AC11" s="3">
        <f>'DJB Daily Readings'!CT19-'DJB Daily Readings'!CT18</f>
        <v>212</v>
      </c>
      <c r="AD11" s="84">
        <f>('DJB Daily Readings'!BY19-'DJB Daily Readings'!BY18)*1.89</f>
        <v>32.129999999999995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24.57</v>
      </c>
      <c r="AI11" s="84">
        <f>('DJB Daily Readings'!CI19-'DJB Daily Readings'!CI18)*1.89</f>
        <v>56.699999999999996</v>
      </c>
      <c r="AJ11" s="81">
        <f>'DJB Daily Readings'!CY19-'DJB Daily Readings'!CY18</f>
        <v>10</v>
      </c>
      <c r="AK11" s="81">
        <f>'DJB Daily Readings'!CW19-'DJB Daily Readings'!CW18</f>
        <v>12</v>
      </c>
      <c r="AL11" s="82">
        <f>'DJB Daily Readings'!DC19-'DJB Daily Readings'!DC18</f>
        <v>15</v>
      </c>
      <c r="AM11" s="82">
        <f>'DJB Daily Readings'!DA19-'DJB Daily Readings'!DA18</f>
        <v>22</v>
      </c>
      <c r="AN11" s="82">
        <f>'DJB Daily Readings'!DG19-'DJB Daily Readings'!DG18</f>
        <v>6</v>
      </c>
      <c r="AO11" s="82">
        <f>'DJB Daily Readings'!DE19-'DJB Daily Readings'!DE18</f>
        <v>10</v>
      </c>
      <c r="AP11" s="82">
        <f>'DJB Daily Readings'!DK19-'DJB Daily Readings'!DK18</f>
        <v>9</v>
      </c>
      <c r="AQ11" s="82">
        <f>'DJB Daily Readings'!DI19-'DJB Daily Readings'!DI18</f>
        <v>7</v>
      </c>
      <c r="AR11" s="82">
        <f>'DJB Daily Readings'!DO19-'DJB Daily Readings'!DO18</f>
        <v>8</v>
      </c>
      <c r="AS11" s="82">
        <f>'DJB Daily Readings'!DM19-'DJB Daily Readings'!DM18</f>
        <v>6</v>
      </c>
      <c r="AT11" s="82">
        <f>'DJB Daily Readings'!DQ19-'DJB Daily Readings'!DQ18</f>
        <v>10</v>
      </c>
      <c r="AU11" s="82">
        <f>'DJB Daily Readings'!DT19-'DJB Daily Readings'!DT18</f>
        <v>9.0999999999999091</v>
      </c>
      <c r="AW11" s="82">
        <f>'DJB Daily Readings'!DX19-'DJB Daily Readings'!DX18</f>
        <v>7.0999999999999091</v>
      </c>
      <c r="AX11" s="82">
        <f>'DJB Daily Readings'!DZ19-'DJB Daily Readings'!DZ18</f>
        <v>8</v>
      </c>
      <c r="AY11" s="82">
        <f>'DJB Daily Readings'!EB19-'DJB Daily Readings'!EB18</f>
        <v>578</v>
      </c>
      <c r="AZ11" s="82">
        <f>'DJB Daily Readings'!ED19-'DJB Daily Readings'!ED18</f>
        <v>156.69999999998254</v>
      </c>
      <c r="BA11" s="82">
        <f>'DJB Daily Readings'!EG19-'DJB Daily Readings'!EG18</f>
        <v>3200</v>
      </c>
      <c r="BB11" s="82">
        <f>'DJB Daily Readings'!EI19-'DJB Daily Readings'!EI18</f>
        <v>270</v>
      </c>
      <c r="BC11" s="82">
        <f>'DJB Daily Readings'!EQ19-'DJB Daily Readings'!EQ18</f>
        <v>4200</v>
      </c>
      <c r="BD11" s="82">
        <f>'DJB Daily Readings'!EK19-'DJB Daily Readings'!EK18</f>
        <v>400</v>
      </c>
      <c r="BE11" s="82">
        <f>'DJB Daily Readings'!EM19-'DJB Daily Readings'!EM18</f>
        <v>800</v>
      </c>
      <c r="BF11" s="82">
        <f>'DJB Daily Readings'!EO19-'DJB Daily Readings'!EO18</f>
        <v>650</v>
      </c>
      <c r="BG11" s="82">
        <f>('DJB Daily Readings'!ET19-'DJB Daily Readings'!ET18)*1.89</f>
        <v>32.129999999999995</v>
      </c>
      <c r="BH11" s="82">
        <f>('DJB Daily Readings'!EV19-'DJB Daily Readings'!EV18)*1.89</f>
        <v>20.79</v>
      </c>
      <c r="BI11" s="82">
        <f>('DJB Daily Readings'!EZ19-'DJB Daily Readings'!EZ18)*1.89</f>
        <v>32.129999999999995</v>
      </c>
      <c r="BJ11" s="82">
        <f>('DJB Daily Readings'!EX19-'DJB Daily Readings'!EX18)*1.89</f>
        <v>22.68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>
        <f>237*0.92</f>
        <v>218.04000000000002</v>
      </c>
      <c r="F12" s="79">
        <f>374+34</f>
        <v>408</v>
      </c>
      <c r="G12" s="3">
        <f>'DJB Daily Readings'!C20-'DJB Daily Readings'!C19</f>
        <v>685</v>
      </c>
      <c r="H12" s="3">
        <f>'DJB Daily Readings'!F20-'DJB Daily Readings'!F19</f>
        <v>472</v>
      </c>
      <c r="I12" s="3">
        <f>'DJB Daily Readings'!K20-'DJB Daily Readings'!K19</f>
        <v>277</v>
      </c>
      <c r="J12" s="3">
        <f>'DJB Daily Readings'!K20-'DJB Daily Readings'!K19</f>
        <v>277</v>
      </c>
      <c r="K12" s="3">
        <f>'DJB Daily Readings'!O20-'DJB Daily Readings'!O19</f>
        <v>119.25</v>
      </c>
      <c r="L12" s="3">
        <f>'DJB Daily Readings'!R20-'DJB Daily Readings'!R19</f>
        <v>19</v>
      </c>
      <c r="M12" s="3">
        <f>'DJB Daily Readings'!U20-'DJB Daily Readings'!U19</f>
        <v>2874.480000000447</v>
      </c>
      <c r="N12" s="3">
        <f>'DJB Daily Readings'!X20-'DJB Daily Readings'!X19</f>
        <v>4823.2799999993294</v>
      </c>
      <c r="O12" s="3">
        <f>'DJB Daily Readings'!AA20-'DJB Daily Readings'!AA19</f>
        <v>974.39999999850988</v>
      </c>
      <c r="P12" s="3">
        <f>'DJB Daily Readings'!AD20-'DJB Daily Readings'!AD19</f>
        <v>48.719999998807907</v>
      </c>
      <c r="Q12" s="3">
        <f>'DJB Daily Readings'!AG20-'DJB Daily Readings'!AG19</f>
        <v>10620.960000000894</v>
      </c>
      <c r="R12" s="3">
        <f>'DJB Daily Readings'!AJ20-'DJB Daily Readings'!AJ19</f>
        <v>5797.679999999702</v>
      </c>
      <c r="S12" s="3">
        <f>'DJB Daily Readings'!AM20-'DJB Daily Readings'!AM19</f>
        <v>4384.8000000007451</v>
      </c>
      <c r="T12" s="3">
        <f>'DJB Daily Readings'!AP20-'DJB Daily Readings'!AP19</f>
        <v>4677.1200000010431</v>
      </c>
      <c r="U12" s="3">
        <f>'DJB Daily Readings'!AS20-'DJB Daily Readings'!AS19</f>
        <v>3361.6800000015646</v>
      </c>
      <c r="V12" s="3">
        <f>'DJB Daily Readings'!AV20-'DJB Daily Readings'!AV19</f>
        <v>5846.3999999985099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58500</v>
      </c>
      <c r="Z12" s="3">
        <f>('DJB Daily Readings'!CK20-'DJB Daily Readings'!CK19)*1.89</f>
        <v>189</v>
      </c>
      <c r="AA12" s="3">
        <f>('DJB Daily Readings'!CN20-'DJB Daily Readings'!CN19)*1.89</f>
        <v>206.01</v>
      </c>
      <c r="AB12" s="3">
        <f>('DJB Daily Readings'!CQ20-'DJB Daily Readings'!CQ19)*1.89</f>
        <v>304.28999999999996</v>
      </c>
      <c r="AC12" s="3">
        <f>'DJB Daily Readings'!CT20-'DJB Daily Readings'!CT19</f>
        <v>215</v>
      </c>
      <c r="AD12" s="84">
        <f>('DJB Daily Readings'!BY20-'DJB Daily Readings'!BY19)*1.89</f>
        <v>34.019999999999996</v>
      </c>
      <c r="AE12" s="84">
        <f>('DJB Daily Readings'!CA20-'DJB Daily Readings'!CA19)*1.89</f>
        <v>37.799999999999997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10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21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24</v>
      </c>
      <c r="AR12" s="82">
        <f>'DJB Daily Readings'!DO20-'DJB Daily Readings'!DO19</f>
        <v>8</v>
      </c>
      <c r="AS12" s="82">
        <f>'DJB Daily Readings'!DM20-'DJB Daily Readings'!DM19</f>
        <v>6</v>
      </c>
      <c r="AT12" s="82">
        <f>'DJB Daily Readings'!DQ20-'DJB Daily Readings'!DQ19</f>
        <v>0</v>
      </c>
      <c r="AU12" s="82">
        <f>'DJB Daily Readings'!DT20-'DJB Daily Readings'!DT19</f>
        <v>9.5</v>
      </c>
      <c r="AW12" s="82">
        <f>'DJB Daily Readings'!DX20-'DJB Daily Readings'!DX19</f>
        <v>7</v>
      </c>
      <c r="AX12" s="82">
        <f>'DJB Daily Readings'!DZ20-'DJB Daily Readings'!DZ19</f>
        <v>8.1999999999998181</v>
      </c>
      <c r="AY12" s="82">
        <f>'DJB Daily Readings'!EB20-'DJB Daily Readings'!EB19</f>
        <v>633</v>
      </c>
      <c r="AZ12" s="82">
        <f>'DJB Daily Readings'!ED20-'DJB Daily Readings'!ED19</f>
        <v>149</v>
      </c>
      <c r="BA12" s="82">
        <f>'DJB Daily Readings'!EG20-'DJB Daily Readings'!EG19</f>
        <v>3400</v>
      </c>
      <c r="BB12" s="82">
        <f>'DJB Daily Readings'!EI20-'DJB Daily Readings'!EI19</f>
        <v>270</v>
      </c>
      <c r="BC12" s="82">
        <f>'DJB Daily Readings'!EQ20-'DJB Daily Readings'!EQ19</f>
        <v>4500</v>
      </c>
      <c r="BD12" s="82">
        <f>'DJB Daily Readings'!EK20-'DJB Daily Readings'!EK19</f>
        <v>500</v>
      </c>
      <c r="BE12" s="82">
        <f>'DJB Daily Readings'!EM20-'DJB Daily Readings'!EM19</f>
        <v>700</v>
      </c>
      <c r="BF12" s="82">
        <f>'DJB Daily Readings'!EO20-'DJB Daily Readings'!EO19</f>
        <v>590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>
        <f>237*0.89</f>
        <v>210.93</v>
      </c>
      <c r="F13" s="79">
        <f>365+42</f>
        <v>407</v>
      </c>
      <c r="G13" s="3">
        <f>'DJB Daily Readings'!C21-'DJB Daily Readings'!C20</f>
        <v>829</v>
      </c>
      <c r="H13" s="3">
        <f>'DJB Daily Readings'!F21-'DJB Daily Readings'!F20</f>
        <v>518</v>
      </c>
      <c r="I13" s="3">
        <f>'DJB Daily Readings'!K21-'DJB Daily Readings'!K20</f>
        <v>218</v>
      </c>
      <c r="J13" s="3">
        <f>'DJB Daily Readings'!K21-'DJB Daily Readings'!K20</f>
        <v>218</v>
      </c>
      <c r="K13" s="3">
        <f>'DJB Daily Readings'!O21-'DJB Daily Readings'!O20</f>
        <v>121.15000000000146</v>
      </c>
      <c r="L13" s="3">
        <f>'DJB Daily Readings'!R21-'DJB Daily Readings'!R20</f>
        <v>31</v>
      </c>
      <c r="M13" s="3">
        <f>'DJB Daily Readings'!U21-'DJB Daily Readings'!U20</f>
        <v>2387.2800000002608</v>
      </c>
      <c r="N13" s="3">
        <f>'DJB Daily Readings'!X21-'DJB Daily Readings'!X20</f>
        <v>4823.2799999993294</v>
      </c>
      <c r="O13" s="3">
        <f>'DJB Daily Readings'!AA21-'DJB Daily Readings'!AA20</f>
        <v>97.440000001341105</v>
      </c>
      <c r="P13" s="3">
        <f>'DJB Daily Readings'!AD21-'DJB Daily Readings'!AD20</f>
        <v>10962</v>
      </c>
      <c r="Q13" s="3">
        <f>'DJB Daily Readings'!AG21-'DJB Daily Readings'!AG20</f>
        <v>974.39999999850988</v>
      </c>
      <c r="R13" s="3">
        <f>'DJB Daily Readings'!AJ21-'DJB Daily Readings'!AJ20</f>
        <v>5846.4000000003725</v>
      </c>
      <c r="S13" s="3">
        <f>'DJB Daily Readings'!AM21-'DJB Daily Readings'!AM20</f>
        <v>4336.0800000000745</v>
      </c>
      <c r="T13" s="3">
        <f>'DJB Daily Readings'!AP21-'DJB Daily Readings'!AP20</f>
        <v>4774.5600000005215</v>
      </c>
      <c r="U13" s="3">
        <f>'DJB Daily Readings'!AS21-'DJB Daily Readings'!AS20</f>
        <v>3312.9599999990314</v>
      </c>
      <c r="V13" s="3">
        <f>'DJB Daily Readings'!AV21-'DJB Daily Readings'!AV20</f>
        <v>6090</v>
      </c>
      <c r="W13" s="3">
        <f>'DJB Daily Readings'!AZ21-'DJB Daily Readings'!AZ20</f>
        <v>0</v>
      </c>
      <c r="X13" s="3">
        <f>'DJB Daily Readings'!BC21-'DJB Daily Readings'!BC20</f>
        <v>55800</v>
      </c>
      <c r="Y13" s="3">
        <f>'DJB Daily Readings'!BF21-'DJB Daily Readings'!BF20</f>
        <v>2400</v>
      </c>
      <c r="Z13" s="3">
        <f>('DJB Daily Readings'!CK21-'DJB Daily Readings'!CK20)*1.89</f>
        <v>194.67</v>
      </c>
      <c r="AA13" s="3">
        <f>('DJB Daily Readings'!CN21-'DJB Daily Readings'!CN20)*1.89</f>
        <v>249.48</v>
      </c>
      <c r="AB13" s="3">
        <f>('DJB Daily Readings'!CQ21-'DJB Daily Readings'!CQ20)*1.89</f>
        <v>381.78</v>
      </c>
      <c r="AC13" s="3">
        <f>'DJB Daily Readings'!CT21-'DJB Daily Readings'!CT20</f>
        <v>227</v>
      </c>
      <c r="AD13" s="84">
        <f>('DJB Daily Readings'!BY21-'DJB Daily Readings'!BY20)*1.89</f>
        <v>34.019999999999996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18.899999999999999</v>
      </c>
      <c r="AH13" s="84">
        <f>('DJB Daily Readings'!CG21-'DJB Daily Readings'!CG20)*1.89</f>
        <v>18.899999999999999</v>
      </c>
      <c r="AI13" s="84">
        <f>('DJB Daily Readings'!CI21-'DJB Daily Readings'!CI20)*1.89</f>
        <v>51.029999999999994</v>
      </c>
      <c r="AJ13" s="81">
        <f>'DJB Daily Readings'!CY21-'DJB Daily Readings'!CY20</f>
        <v>10</v>
      </c>
      <c r="AK13" s="81">
        <f>'DJB Daily Readings'!CW21-'DJB Daily Readings'!CW20</f>
        <v>10</v>
      </c>
      <c r="AL13" s="82">
        <f>'DJB Daily Readings'!DC21-'DJB Daily Readings'!DC20</f>
        <v>20</v>
      </c>
      <c r="AM13" s="82">
        <f>'DJB Daily Readings'!DA21-'DJB Daily Readings'!DA20</f>
        <v>21</v>
      </c>
      <c r="AN13" s="82">
        <f>'DJB Daily Readings'!DG21-'DJB Daily Readings'!DG20</f>
        <v>8</v>
      </c>
      <c r="AO13" s="82">
        <f>'DJB Daily Readings'!DE21-'DJB Daily Readings'!DE20</f>
        <v>11</v>
      </c>
      <c r="AP13" s="82">
        <f>'DJB Daily Readings'!DK21-'DJB Daily Readings'!DK20</f>
        <v>11</v>
      </c>
      <c r="AQ13" s="82">
        <f>'DJB Daily Readings'!DI21-'DJB Daily Readings'!DI20</f>
        <v>12</v>
      </c>
      <c r="AR13" s="82">
        <f>'DJB Daily Readings'!DO21-'DJB Daily Readings'!DO20</f>
        <v>8</v>
      </c>
      <c r="AS13" s="82">
        <f>'DJB Daily Readings'!DM21-'DJB Daily Readings'!DM20</f>
        <v>6</v>
      </c>
      <c r="AT13" s="82">
        <f>'DJB Daily Readings'!DQ21-'DJB Daily Readings'!DQ20</f>
        <v>19</v>
      </c>
      <c r="AU13" s="82">
        <f>'DJB Daily Readings'!DT21-'DJB Daily Readings'!DT20</f>
        <v>10.599999999999909</v>
      </c>
      <c r="AW13" s="82">
        <f>'DJB Daily Readings'!DX21-'DJB Daily Readings'!DX20</f>
        <v>7.2000000000002728</v>
      </c>
      <c r="AX13" s="82">
        <f>'DJB Daily Readings'!DZ21-'DJB Daily Readings'!DZ20</f>
        <v>10.5</v>
      </c>
      <c r="AY13" s="82">
        <f>'DJB Daily Readings'!EB21-'DJB Daily Readings'!EB20</f>
        <v>690</v>
      </c>
      <c r="AZ13" s="82">
        <f>'DJB Daily Readings'!ED21-'DJB Daily Readings'!ED20</f>
        <v>169.30000000001746</v>
      </c>
      <c r="BA13" s="82">
        <f>'DJB Daily Readings'!EG21-'DJB Daily Readings'!EG20</f>
        <v>3700</v>
      </c>
      <c r="BB13" s="82">
        <f>'DJB Daily Readings'!EI21-'DJB Daily Readings'!EI20</f>
        <v>270</v>
      </c>
      <c r="BC13" s="82">
        <f>'DJB Daily Readings'!EQ21-'DJB Daily Readings'!EQ20</f>
        <v>4400</v>
      </c>
      <c r="BD13" s="82">
        <f>'DJB Daily Readings'!EK21-'DJB Daily Readings'!EK20</f>
        <v>1200</v>
      </c>
      <c r="BE13" s="82">
        <f>'DJB Daily Readings'!EM21-'DJB Daily Readings'!EM20</f>
        <v>700</v>
      </c>
      <c r="BF13" s="82">
        <f>'DJB Daily Readings'!EO21-'DJB Daily Readings'!EO20</f>
        <v>650</v>
      </c>
      <c r="BG13" s="82">
        <f>('DJB Daily Readings'!ET21-'DJB Daily Readings'!ET20)*1.89</f>
        <v>37.799999999999997</v>
      </c>
      <c r="BH13" s="82">
        <f>('DJB Daily Readings'!EV21-'DJB Daily Readings'!EV20)*1.89</f>
        <v>24.57</v>
      </c>
      <c r="BI13" s="82">
        <f>('DJB Daily Readings'!EZ21-'DJB Daily Readings'!EZ20)*1.89</f>
        <v>43.47</v>
      </c>
      <c r="BJ13" s="82">
        <f>('DJB Daily Readings'!EX21-'DJB Daily Readings'!EX20)*1.89</f>
        <v>30.24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>
        <f>237*0.81</f>
        <v>191.97</v>
      </c>
      <c r="F14" s="79">
        <f>331+34</f>
        <v>365</v>
      </c>
      <c r="G14" s="3">
        <f>'DJB Daily Readings'!C22-'DJB Daily Readings'!C21</f>
        <v>648</v>
      </c>
      <c r="H14" s="3">
        <f>'DJB Daily Readings'!F22-'DJB Daily Readings'!F21</f>
        <v>441</v>
      </c>
      <c r="I14" s="3">
        <f>'DJB Daily Readings'!K22-'DJB Daily Readings'!K21</f>
        <v>114</v>
      </c>
      <c r="J14" s="3">
        <f>'DJB Daily Readings'!K22-'DJB Daily Readings'!K21</f>
        <v>114</v>
      </c>
      <c r="K14" s="3">
        <f>'DJB Daily Readings'!O22-'DJB Daily Readings'!O21</f>
        <v>119.04000000000087</v>
      </c>
      <c r="L14" s="3">
        <f>'DJB Daily Readings'!R22-'DJB Daily Readings'!R21</f>
        <v>7</v>
      </c>
      <c r="M14" s="3">
        <f>'DJB Daily Readings'!U22-'DJB Daily Readings'!U21</f>
        <v>2094.9599999999627</v>
      </c>
      <c r="N14" s="3">
        <f>'DJB Daily Readings'!X22-'DJB Daily Readings'!X21</f>
        <v>4628.4000000003725</v>
      </c>
      <c r="O14" s="3">
        <f>'DJB Daily Readings'!AA22-'DJB Daily Readings'!AA21</f>
        <v>97.439999999478459</v>
      </c>
      <c r="P14" s="3">
        <f>'DJB Daily Readings'!AD22-'DJB Daily Readings'!AD21</f>
        <v>11692.800000000745</v>
      </c>
      <c r="Q14" s="3">
        <f>'DJB Daily Readings'!AG22-'DJB Daily Readings'!AG21</f>
        <v>876.96000000089407</v>
      </c>
      <c r="R14" s="3">
        <f>'DJB Daily Readings'!AJ22-'DJB Daily Readings'!AJ21</f>
        <v>5748.9599999971688</v>
      </c>
      <c r="S14" s="3">
        <f>'DJB Daily Readings'!AM22-'DJB Daily Readings'!AM21</f>
        <v>4628.4000000003725</v>
      </c>
      <c r="T14" s="3">
        <f>'DJB Daily Readings'!AP22-'DJB Daily Readings'!AP21</f>
        <v>4530.9599999990314</v>
      </c>
      <c r="U14" s="3">
        <f>'DJB Daily Readings'!AS22-'DJB Daily Readings'!AS21</f>
        <v>3312.9600000008941</v>
      </c>
      <c r="V14" s="3">
        <f>'DJB Daily Readings'!AV22-'DJB Daily Readings'!AV21</f>
        <v>6187.4400000032037</v>
      </c>
      <c r="W14" s="3">
        <f>'DJB Daily Readings'!AZ22-'DJB Daily Readings'!AZ21</f>
        <v>0</v>
      </c>
      <c r="X14" s="3">
        <f>'DJB Daily Readings'!BC22-'DJB Daily Readings'!BC21</f>
        <v>62100</v>
      </c>
      <c r="Y14" s="3">
        <f>'DJB Daily Readings'!BF22-'DJB Daily Readings'!BF21</f>
        <v>0</v>
      </c>
      <c r="Z14" s="3">
        <f>('DJB Daily Readings'!CK22-'DJB Daily Readings'!CK21)*1.89</f>
        <v>185.22</v>
      </c>
      <c r="AA14" s="3">
        <f>('DJB Daily Readings'!CN22-'DJB Daily Readings'!CN21)*1.89</f>
        <v>221.13</v>
      </c>
      <c r="AB14" s="3">
        <f>('DJB Daily Readings'!CQ22-'DJB Daily Readings'!CQ21)*1.89</f>
        <v>272.15999999999997</v>
      </c>
      <c r="AC14" s="3">
        <f>'DJB Daily Readings'!CT22-'DJB Daily Readings'!CT21</f>
        <v>220</v>
      </c>
      <c r="AD14" s="84">
        <f>('DJB Daily Readings'!BY22-'DJB Daily Readings'!BY21)*1.89</f>
        <v>34.019999999999996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52.919999999999995</v>
      </c>
      <c r="AJ14" s="81">
        <f>'DJB Daily Readings'!CY22-'DJB Daily Readings'!CY21</f>
        <v>12</v>
      </c>
      <c r="AK14" s="81">
        <f>'DJB Daily Readings'!CW22-'DJB Daily Readings'!CW21</f>
        <v>8</v>
      </c>
      <c r="AL14" s="82">
        <f>'DJB Daily Readings'!DC22-'DJB Daily Readings'!DC21</f>
        <v>15</v>
      </c>
      <c r="AM14" s="82">
        <f>'DJB Daily Readings'!DA22-'DJB Daily Readings'!DA21</f>
        <v>19</v>
      </c>
      <c r="AN14" s="82">
        <f>'DJB Daily Readings'!DG22-'DJB Daily Readings'!DG21</f>
        <v>7</v>
      </c>
      <c r="AO14" s="82">
        <f>'DJB Daily Readings'!DE22-'DJB Daily Readings'!DE21</f>
        <v>9</v>
      </c>
      <c r="AP14" s="82">
        <f>'DJB Daily Readings'!DK22-'DJB Daily Readings'!DK21</f>
        <v>10</v>
      </c>
      <c r="AQ14" s="82">
        <f>'DJB Daily Readings'!DI22-'DJB Daily Readings'!DI21</f>
        <v>19</v>
      </c>
      <c r="AR14" s="82">
        <f>'DJB Daily Readings'!DO22-'DJB Daily Readings'!DO21</f>
        <v>11</v>
      </c>
      <c r="AS14" s="82">
        <f>'DJB Daily Readings'!DM22-'DJB Daily Readings'!DM21</f>
        <v>2</v>
      </c>
      <c r="AT14" s="82">
        <f>'DJB Daily Readings'!DQ22-'DJB Daily Readings'!DQ21</f>
        <v>2</v>
      </c>
      <c r="AU14" s="82">
        <f>'DJB Daily Readings'!DT22-'DJB Daily Readings'!DT21</f>
        <v>9.0999999999999091</v>
      </c>
      <c r="AW14" s="82">
        <f>'DJB Daily Readings'!DX22-'DJB Daily Readings'!DX21</f>
        <v>6.1999999999998181</v>
      </c>
      <c r="AX14" s="82">
        <f>'DJB Daily Readings'!DZ22-'DJB Daily Readings'!DZ21</f>
        <v>9.5</v>
      </c>
      <c r="AY14" s="82">
        <f>'DJB Daily Readings'!EB22-'DJB Daily Readings'!EB21</f>
        <v>577</v>
      </c>
      <c r="AZ14" s="82">
        <f>'DJB Daily Readings'!ED22-'DJB Daily Readings'!ED21</f>
        <v>140.19999999998254</v>
      </c>
      <c r="BA14" s="82">
        <f>'DJB Daily Readings'!EG22-'DJB Daily Readings'!EG21</f>
        <v>3500</v>
      </c>
      <c r="BB14" s="82">
        <f>'DJB Daily Readings'!EI22-'DJB Daily Readings'!EI21</f>
        <v>230</v>
      </c>
      <c r="BC14" s="82">
        <f>'DJB Daily Readings'!EQ22-'DJB Daily Readings'!EQ21</f>
        <v>3900</v>
      </c>
      <c r="BD14" s="82">
        <f>'DJB Daily Readings'!EK22-'DJB Daily Readings'!EK21</f>
        <v>1300</v>
      </c>
      <c r="BE14" s="82">
        <f>'DJB Daily Readings'!EM22-'DJB Daily Readings'!EM21</f>
        <v>600</v>
      </c>
      <c r="BF14" s="82">
        <f>'DJB Daily Readings'!EO22-'DJB Daily Readings'!EO21</f>
        <v>550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15.12</v>
      </c>
      <c r="BJ14" s="82">
        <f>('DJB Daily Readings'!EX22-'DJB Daily Readings'!EX21)*1.89</f>
        <v>30.24</v>
      </c>
      <c r="BK14" s="82">
        <f>('DJB Daily Readings'!FB22-'DJB Daily Readings'!FB21)*1.89</f>
        <v>58.589999999999996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>
        <f>237*0.83</f>
        <v>196.70999999999998</v>
      </c>
      <c r="F15" s="79">
        <f>360+34</f>
        <v>394</v>
      </c>
      <c r="G15" s="3">
        <f>'DJB Daily Readings'!C23-'DJB Daily Readings'!C22</f>
        <v>721</v>
      </c>
      <c r="H15" s="3">
        <f>'DJB Daily Readings'!F23-'DJB Daily Readings'!F22</f>
        <v>454</v>
      </c>
      <c r="I15" s="3">
        <f>'DJB Daily Readings'!K23-'DJB Daily Readings'!K22</f>
        <v>302</v>
      </c>
      <c r="J15" s="3">
        <f>'DJB Daily Readings'!K23-'DJB Daily Readings'!K22</f>
        <v>302</v>
      </c>
      <c r="K15" s="3">
        <f>'DJB Daily Readings'!O23-'DJB Daily Readings'!O22</f>
        <v>124.04000000000087</v>
      </c>
      <c r="L15" s="3">
        <f>'DJB Daily Readings'!R23-'DJB Daily Readings'!R22</f>
        <v>2</v>
      </c>
      <c r="M15" s="3">
        <f>'DJB Daily Readings'!U23-'DJB Daily Readings'!U22</f>
        <v>2241.1200000001118</v>
      </c>
      <c r="N15" s="3">
        <f>'DJB Daily Readings'!X23-'DJB Daily Readings'!X22</f>
        <v>4774.5600000005215</v>
      </c>
      <c r="O15" s="3">
        <f>'DJB Daily Readings'!AA23-'DJB Daily Readings'!AA22</f>
        <v>97.440000001341105</v>
      </c>
      <c r="P15" s="3">
        <f>'DJB Daily Readings'!AD23-'DJB Daily Readings'!AD22</f>
        <v>13251.839999996126</v>
      </c>
      <c r="Q15" s="3">
        <f>'DJB Daily Readings'!AG23-'DJB Daily Readings'!AG22</f>
        <v>828.24000000208616</v>
      </c>
      <c r="R15" s="3">
        <f>'DJB Daily Readings'!AJ23-'DJB Daily Readings'!AJ22</f>
        <v>5797.6800000015646</v>
      </c>
      <c r="S15" s="3">
        <f>'DJB Daily Readings'!AM23-'DJB Daily Readings'!AM22</f>
        <v>4530.9599999990314</v>
      </c>
      <c r="T15" s="3">
        <f>'DJB Daily Readings'!AP23-'DJB Daily Readings'!AP22</f>
        <v>4579.6800000015646</v>
      </c>
      <c r="U15" s="3">
        <f>'DJB Daily Readings'!AS23-'DJB Daily Readings'!AS22</f>
        <v>3069.359999999404</v>
      </c>
      <c r="V15" s="3">
        <f>'DJB Daily Readings'!AV23-'DJB Daily Readings'!AV22</f>
        <v>5700.2399999983609</v>
      </c>
      <c r="W15" s="3">
        <f>'DJB Daily Readings'!AZ23-'DJB Daily Readings'!AZ22</f>
        <v>0</v>
      </c>
      <c r="X15" s="3">
        <f>'DJB Daily Readings'!BC23-'DJB Daily Readings'!BC22</f>
        <v>67000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130.41</v>
      </c>
      <c r="AC15" s="3">
        <f>'DJB Daily Readings'!CT23-'DJB Daily Readings'!CT22</f>
        <v>204</v>
      </c>
      <c r="AD15" s="84">
        <f>('DJB Daily Readings'!BY23-'DJB Daily Readings'!BY22)*1.89</f>
        <v>35.909999999999997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18.899999999999999</v>
      </c>
      <c r="AH15" s="84">
        <f>('DJB Daily Readings'!CG23-'DJB Daily Readings'!CG22)*1.89</f>
        <v>22.68</v>
      </c>
      <c r="AI15" s="84">
        <f>('DJB Daily Readings'!CI23-'DJB Daily Readings'!CI22)*1.89</f>
        <v>52.919999999999995</v>
      </c>
      <c r="AJ15" s="81">
        <f>'DJB Daily Readings'!CY23-'DJB Daily Readings'!CY22</f>
        <v>7</v>
      </c>
      <c r="AK15" s="81">
        <f>'DJB Daily Readings'!CW23-'DJB Daily Readings'!CW22</f>
        <v>9</v>
      </c>
      <c r="AL15" s="82">
        <f>'DJB Daily Readings'!DC23-'DJB Daily Readings'!DC22</f>
        <v>16</v>
      </c>
      <c r="AM15" s="82">
        <f>'DJB Daily Readings'!DA23-'DJB Daily Readings'!DA22</f>
        <v>17</v>
      </c>
      <c r="AN15" s="82">
        <f>'DJB Daily Readings'!DG23-'DJB Daily Readings'!DG22</f>
        <v>6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14</v>
      </c>
      <c r="AR15" s="82">
        <f>'DJB Daily Readings'!DO23-'DJB Daily Readings'!DO22</f>
        <v>8</v>
      </c>
      <c r="AS15" s="82">
        <f>'DJB Daily Readings'!DM23-'DJB Daily Readings'!DM22</f>
        <v>4</v>
      </c>
      <c r="AT15" s="82">
        <f>'DJB Daily Readings'!DQ23-'DJB Daily Readings'!DQ22</f>
        <v>17</v>
      </c>
      <c r="AU15" s="82">
        <f>'DJB Daily Readings'!DT23-'DJB Daily Readings'!DT22</f>
        <v>9.6000000000003638</v>
      </c>
      <c r="AW15" s="82">
        <f>'DJB Daily Readings'!DX23-'DJB Daily Readings'!DX22</f>
        <v>6.7000000000002728</v>
      </c>
      <c r="AX15" s="82">
        <f>'DJB Daily Readings'!DZ23-'DJB Daily Readings'!DZ22</f>
        <v>8.5999999999999091</v>
      </c>
      <c r="AY15" s="82">
        <f>'DJB Daily Readings'!EB23-'DJB Daily Readings'!EB22</f>
        <v>610</v>
      </c>
      <c r="AZ15" s="82">
        <f>'DJB Daily Readings'!ED23-'DJB Daily Readings'!ED22</f>
        <v>150.30000000001746</v>
      </c>
      <c r="BA15" s="82">
        <f>'DJB Daily Readings'!EG23-'DJB Daily Readings'!EG22</f>
        <v>4200</v>
      </c>
      <c r="BB15" s="82">
        <f>'DJB Daily Readings'!EI23-'DJB Daily Readings'!EI22</f>
        <v>270</v>
      </c>
      <c r="BC15" s="82">
        <f>'DJB Daily Readings'!EQ23-'DJB Daily Readings'!EQ22</f>
        <v>5000</v>
      </c>
      <c r="BD15" s="82">
        <f>'DJB Daily Readings'!EK23-'DJB Daily Readings'!EK22</f>
        <v>1600</v>
      </c>
      <c r="BE15" s="82">
        <f>'DJB Daily Readings'!EM23-'DJB Daily Readings'!EM22</f>
        <v>700</v>
      </c>
      <c r="BF15" s="82">
        <f>'DJB Daily Readings'!EO23-'DJB Daily Readings'!EO22</f>
        <v>610</v>
      </c>
      <c r="BG15" s="82">
        <f>('DJB Daily Readings'!ET23-'DJB Daily Readings'!ET22)*1.89</f>
        <v>28.349999999999998</v>
      </c>
      <c r="BH15" s="82">
        <f>('DJB Daily Readings'!EV23-'DJB Daily Readings'!EV22)*1.89</f>
        <v>22.68</v>
      </c>
      <c r="BI15" s="82">
        <f>('DJB Daily Readings'!EZ23-'DJB Daily Readings'!EZ22)*1.89</f>
        <v>26.459999999999997</v>
      </c>
      <c r="BJ15" s="82">
        <f>('DJB Daily Readings'!EX23-'DJB Daily Readings'!EX22)*1.89</f>
        <v>20.79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>
        <f>237*0.84</f>
        <v>199.07999999999998</v>
      </c>
      <c r="F16" s="79">
        <f>352+36</f>
        <v>388</v>
      </c>
      <c r="G16" s="3">
        <f>'DJB Daily Readings'!C24-'DJB Daily Readings'!C23</f>
        <v>681</v>
      </c>
      <c r="H16" s="3">
        <f>'DJB Daily Readings'!F24-'DJB Daily Readings'!F23</f>
        <v>443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124.86000000000058</v>
      </c>
      <c r="L16" s="3">
        <f>'DJB Daily Readings'!R24-'DJB Daily Readings'!R23</f>
        <v>0</v>
      </c>
      <c r="M16" s="3">
        <f>'DJB Daily Readings'!U24-'DJB Daily Readings'!U23</f>
        <v>2046.2400000002235</v>
      </c>
      <c r="N16" s="3">
        <f>'DJB Daily Readings'!X24-'DJB Daily Readings'!X23</f>
        <v>4677.1200000010431</v>
      </c>
      <c r="O16" s="3">
        <f>'DJB Daily Readings'!AA24-'DJB Daily Readings'!AA23</f>
        <v>97.439999997615814</v>
      </c>
      <c r="P16" s="3">
        <f>'DJB Daily Readings'!AD24-'DJB Daily Readings'!AD23</f>
        <v>12618.480000000447</v>
      </c>
      <c r="Q16" s="3">
        <f>'DJB Daily Readings'!AG24-'DJB Daily Readings'!AG23</f>
        <v>828.23999999836087</v>
      </c>
      <c r="R16" s="3">
        <f>'DJB Daily Readings'!AJ24-'DJB Daily Readings'!AJ23</f>
        <v>5748.9600000008941</v>
      </c>
      <c r="S16" s="3">
        <f>'DJB Daily Readings'!AM24-'DJB Daily Readings'!AM23</f>
        <v>4189.9200000017881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5748.9600000008941</v>
      </c>
      <c r="W16" s="3">
        <f>'DJB Daily Readings'!AZ24-'DJB Daily Readings'!AZ23</f>
        <v>0</v>
      </c>
      <c r="X16" s="3">
        <f>'DJB Daily Readings'!BC24-'DJB Daily Readings'!BC23</f>
        <v>64000</v>
      </c>
      <c r="Y16" s="3">
        <f>'DJB Daily Readings'!BF24-'DJB Daily Readings'!BF23</f>
        <v>0</v>
      </c>
      <c r="Z16" s="3">
        <f>('DJB Daily Readings'!CK24-'DJB Daily Readings'!CK23)*1.89</f>
        <v>190.89</v>
      </c>
      <c r="AA16" s="3">
        <f>('DJB Daily Readings'!CN24-'DJB Daily Readings'!CN23)*1.89</f>
        <v>206.01</v>
      </c>
      <c r="AB16" s="3">
        <f>('DJB Daily Readings'!CQ24-'DJB Daily Readings'!CQ23)*1.89</f>
        <v>120.96</v>
      </c>
      <c r="AC16" s="3">
        <f>'DJB Daily Readings'!CT24-'DJB Daily Readings'!CT23</f>
        <v>228</v>
      </c>
      <c r="AD16" s="84">
        <f>('DJB Daily Readings'!BY24-'DJB Daily Readings'!BY23)*1.89</f>
        <v>34.019999999999996</v>
      </c>
      <c r="AE16" s="84">
        <f>('DJB Daily Readings'!CA24-'DJB Daily Readings'!CA23)*1.89</f>
        <v>41.58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11</v>
      </c>
      <c r="AK16" s="81">
        <f>'DJB Daily Readings'!CW24-'DJB Daily Readings'!CW23</f>
        <v>9</v>
      </c>
      <c r="AL16" s="82">
        <f>'DJB Daily Readings'!DC24-'DJB Daily Readings'!DC23</f>
        <v>17</v>
      </c>
      <c r="AM16" s="82">
        <f>'DJB Daily Readings'!DA24-'DJB Daily Readings'!DA23</f>
        <v>16</v>
      </c>
      <c r="AN16" s="82">
        <f>'DJB Daily Readings'!DG24-'DJB Daily Readings'!DG23</f>
        <v>5</v>
      </c>
      <c r="AO16" s="82">
        <f>'DJB Daily Readings'!DE24-'DJB Daily Readings'!DE23</f>
        <v>10</v>
      </c>
      <c r="AP16" s="82">
        <f>'DJB Daily Readings'!DK24-'DJB Daily Readings'!DK23</f>
        <v>1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13</v>
      </c>
      <c r="AU16" s="82">
        <f>'DJB Daily Readings'!DT24-'DJB Daily Readings'!DT23</f>
        <v>9.3999999999996362</v>
      </c>
      <c r="AW16" s="82">
        <f>'DJB Daily Readings'!DX24-'DJB Daily Readings'!DX23</f>
        <v>6.6999999999998181</v>
      </c>
      <c r="AX16" s="82">
        <f>'DJB Daily Readings'!DZ24-'DJB Daily Readings'!DZ23</f>
        <v>7.8000000000001819</v>
      </c>
      <c r="AY16" s="82">
        <f>'DJB Daily Readings'!EB24-'DJB Daily Readings'!EB23</f>
        <v>594</v>
      </c>
      <c r="AZ16" s="82">
        <f>'DJB Daily Readings'!ED24-'DJB Daily Readings'!ED23</f>
        <v>157.09999999997672</v>
      </c>
      <c r="BA16" s="82">
        <f>'DJB Daily Readings'!EG24-'DJB Daily Readings'!EG23</f>
        <v>4100</v>
      </c>
      <c r="BB16" s="82">
        <f>'DJB Daily Readings'!EI24-'DJB Daily Readings'!EI23</f>
        <v>270</v>
      </c>
      <c r="BC16" s="82">
        <f>'DJB Daily Readings'!EQ24-'DJB Daily Readings'!EQ23</f>
        <v>4600</v>
      </c>
      <c r="BD16" s="82">
        <f>'DJB Daily Readings'!EK24-'DJB Daily Readings'!EK23</f>
        <v>1600</v>
      </c>
      <c r="BE16" s="82">
        <f>'DJB Daily Readings'!EM24-'DJB Daily Readings'!EM23</f>
        <v>600</v>
      </c>
      <c r="BF16" s="82">
        <f>'DJB Daily Readings'!EO24-'DJB Daily Readings'!EO23</f>
        <v>630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32.129999999999995</v>
      </c>
      <c r="BJ16" s="82">
        <f>('DJB Daily Readings'!EX24-'DJB Daily Readings'!EX23)*1.89</f>
        <v>20.79</v>
      </c>
      <c r="BK16" s="82">
        <f>('DJB Daily Readings'!FB24-'DJB Daily Readings'!FB23)*1.89</f>
        <v>60.48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2022</v>
      </c>
      <c r="E17" s="78">
        <f>237*0.83</f>
        <v>196.70999999999998</v>
      </c>
      <c r="F17" s="79">
        <f>354+34</f>
        <v>388</v>
      </c>
      <c r="G17" s="3">
        <f>'DJB Daily Readings'!C25-'DJB Daily Readings'!C24</f>
        <v>891</v>
      </c>
      <c r="H17" s="3">
        <f>'DJB Daily Readings'!F25-'DJB Daily Readings'!F24</f>
        <v>482</v>
      </c>
      <c r="I17" s="3">
        <f>'DJB Daily Readings'!K25-'DJB Daily Readings'!K24</f>
        <v>383</v>
      </c>
      <c r="J17" s="3">
        <f>'DJB Daily Readings'!K25-'DJB Daily Readings'!K24</f>
        <v>383</v>
      </c>
      <c r="K17" s="3">
        <f>'DJB Daily Readings'!O25-'DJB Daily Readings'!O24</f>
        <v>132.40999999999622</v>
      </c>
      <c r="L17" s="3">
        <f>'DJB Daily Readings'!R25-'DJB Daily Readings'!R24</f>
        <v>0</v>
      </c>
      <c r="M17" s="3">
        <f>'DJB Daily Readings'!U25-'DJB Daily Readings'!U24</f>
        <v>2046.2399999992922</v>
      </c>
      <c r="N17" s="3">
        <f>'DJB Daily Readings'!X25-'DJB Daily Readings'!X24</f>
        <v>4823.2799999993294</v>
      </c>
      <c r="O17" s="3">
        <f>'DJB Daily Readings'!AA25-'DJB Daily Readings'!AA24</f>
        <v>2728.3200000021607</v>
      </c>
      <c r="P17" s="3">
        <f>'DJB Daily Readings'!AD25-'DJB Daily Readings'!AD24</f>
        <v>10474.800000000745</v>
      </c>
      <c r="Q17" s="3">
        <f>'DJB Daily Readings'!AG25-'DJB Daily Readings'!AG24</f>
        <v>925.67999999970198</v>
      </c>
      <c r="R17" s="3">
        <f>'DJB Daily Readings'!AJ25-'DJB Daily Readings'!AJ24</f>
        <v>5992.5599999986589</v>
      </c>
      <c r="S17" s="3">
        <f>'DJB Daily Readings'!AM25-'DJB Daily Readings'!AM24</f>
        <v>4433.519999999553</v>
      </c>
      <c r="T17" s="3">
        <f>'DJB Daily Readings'!AP25-'DJB Daily Readings'!AP24</f>
        <v>4433.5199999976903</v>
      </c>
      <c r="U17" s="3">
        <f>'DJB Daily Readings'!AS25-'DJB Daily Readings'!AS24</f>
        <v>3166.7999999988824</v>
      </c>
      <c r="V17" s="3">
        <f>'DJB Daily Readings'!AV25-'DJB Daily Readings'!AV24</f>
        <v>5554.0800000000745</v>
      </c>
      <c r="W17" s="3">
        <f>'DJB Daily Readings'!AZ25-'DJB Daily Readings'!AZ24</f>
        <v>15000</v>
      </c>
      <c r="X17" s="3">
        <f>'DJB Daily Readings'!BC25-'DJB Daily Readings'!BC24</f>
        <v>52500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219.23999999999998</v>
      </c>
      <c r="AB17" s="3">
        <f>('DJB Daily Readings'!CQ25-'DJB Daily Readings'!CQ24)*1.89</f>
        <v>69.929999999999993</v>
      </c>
      <c r="AC17" s="3">
        <f>'DJB Daily Readings'!CT25-'DJB Daily Readings'!CT24</f>
        <v>224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18.899999999999999</v>
      </c>
      <c r="AH17" s="84">
        <f>('DJB Daily Readings'!CG25-'DJB Daily Readings'!CG24)*1.89</f>
        <v>18.899999999999999</v>
      </c>
      <c r="AI17" s="84">
        <f>('DJB Daily Readings'!CI25-'DJB Daily Readings'!CI24)*1.89</f>
        <v>56.699999999999996</v>
      </c>
      <c r="AJ17" s="81">
        <f>'DJB Daily Readings'!CY25-'DJB Daily Readings'!CY24</f>
        <v>10</v>
      </c>
      <c r="AK17" s="81">
        <f>'DJB Daily Readings'!CW25-'DJB Daily Readings'!CW24</f>
        <v>12</v>
      </c>
      <c r="AL17" s="82">
        <f>'DJB Daily Readings'!DC25-'DJB Daily Readings'!DC24</f>
        <v>18</v>
      </c>
      <c r="AM17" s="82">
        <f>'DJB Daily Readings'!DA25-'DJB Daily Readings'!DA24</f>
        <v>22</v>
      </c>
      <c r="AN17" s="82">
        <f>'DJB Daily Readings'!DG25-'DJB Daily Readings'!DG24</f>
        <v>6</v>
      </c>
      <c r="AO17" s="82">
        <f>'DJB Daily Readings'!DE25-'DJB Daily Readings'!DE24</f>
        <v>10</v>
      </c>
      <c r="AP17" s="82">
        <f>'DJB Daily Readings'!DK25-'DJB Daily Readings'!DK24</f>
        <v>4</v>
      </c>
      <c r="AQ17" s="82">
        <f>'DJB Daily Readings'!DI25-'DJB Daily Readings'!DI24</f>
        <v>13</v>
      </c>
      <c r="AR17" s="82">
        <f>'DJB Daily Readings'!DO25-'DJB Daily Readings'!DO24</f>
        <v>7</v>
      </c>
      <c r="AS17" s="82">
        <f>'DJB Daily Readings'!DM25-'DJB Daily Readings'!DM24</f>
        <v>5</v>
      </c>
      <c r="AT17" s="82">
        <f>'DJB Daily Readings'!DQ25-'DJB Daily Readings'!DQ24</f>
        <v>21</v>
      </c>
      <c r="AU17" s="82">
        <f>'DJB Daily Readings'!DT25-'DJB Daily Readings'!DT24</f>
        <v>9</v>
      </c>
      <c r="AW17" s="82">
        <f>'DJB Daily Readings'!DX25-'DJB Daily Readings'!DX24</f>
        <v>7</v>
      </c>
      <c r="AX17" s="82">
        <f>'DJB Daily Readings'!DZ25-'DJB Daily Readings'!DZ24</f>
        <v>8.2999999999997272</v>
      </c>
      <c r="AY17" s="82">
        <f>'DJB Daily Readings'!EB25-'DJB Daily Readings'!EB24</f>
        <v>650</v>
      </c>
      <c r="AZ17" s="82">
        <f>'DJB Daily Readings'!ED25-'DJB Daily Readings'!ED24</f>
        <v>154.90000000002328</v>
      </c>
      <c r="BA17" s="82">
        <f>'DJB Daily Readings'!EG25-'DJB Daily Readings'!EG24</f>
        <v>4300</v>
      </c>
      <c r="BB17" s="82">
        <f>'DJB Daily Readings'!EI25-'DJB Daily Readings'!EI24</f>
        <v>270</v>
      </c>
      <c r="BC17" s="82">
        <f>'DJB Daily Readings'!EQ25-'DJB Daily Readings'!EQ24</f>
        <v>4900</v>
      </c>
      <c r="BD17" s="82">
        <f>'DJB Daily Readings'!EK25-'DJB Daily Readings'!EK24</f>
        <v>1600</v>
      </c>
      <c r="BE17" s="82">
        <f>'DJB Daily Readings'!EM25-'DJB Daily Readings'!EM24</f>
        <v>800</v>
      </c>
      <c r="BF17" s="82">
        <f>'DJB Daily Readings'!EO25-'DJB Daily Readings'!EO24</f>
        <v>670</v>
      </c>
      <c r="BG17" s="82">
        <f>('DJB Daily Readings'!ET25-'DJB Daily Readings'!ET24)*1.89</f>
        <v>32.129999999999995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22.68</v>
      </c>
      <c r="BK17" s="82">
        <f>('DJB Daily Readings'!FB25-'DJB Daily Readings'!FB24)*1.89</f>
        <v>69.929999999999993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2022</v>
      </c>
      <c r="E18" s="78">
        <f>237*0.88</f>
        <v>208.56</v>
      </c>
      <c r="F18" s="79">
        <f>370+34</f>
        <v>404</v>
      </c>
      <c r="G18" s="3">
        <f>'DJB Daily Readings'!C26-'DJB Daily Readings'!C25</f>
        <v>700</v>
      </c>
      <c r="H18" s="3">
        <f>'DJB Daily Readings'!F26-'DJB Daily Readings'!F25</f>
        <v>493</v>
      </c>
      <c r="I18" s="3">
        <f>'DJB Daily Readings'!K26-'DJB Daily Readings'!K25</f>
        <v>270</v>
      </c>
      <c r="J18" s="3">
        <f>'DJB Daily Readings'!K26-'DJB Daily Readings'!K25</f>
        <v>270</v>
      </c>
      <c r="K18" s="3">
        <f>'DJB Daily Readings'!O26-'DJB Daily Readings'!O25</f>
        <v>95.940000000002328</v>
      </c>
      <c r="L18" s="3">
        <f>'DJB Daily Readings'!R26-'DJB Daily Readings'!R25</f>
        <v>2</v>
      </c>
      <c r="M18" s="3">
        <f>'DJB Daily Readings'!U26-'DJB Daily Readings'!U25</f>
        <v>1997.5200000004843</v>
      </c>
      <c r="N18" s="3">
        <f>'DJB Daily Readings'!X26-'DJB Daily Readings'!X25</f>
        <v>4774.5599999986589</v>
      </c>
      <c r="O18" s="3">
        <f>'DJB Daily Readings'!AA26-'DJB Daily Readings'!AA25</f>
        <v>97.439999999478459</v>
      </c>
      <c r="P18" s="3">
        <f>'DJB Daily Readings'!AD26-'DJB Daily Readings'!AD25</f>
        <v>10523.519999999553</v>
      </c>
      <c r="Q18" s="3">
        <f>'DJB Daily Readings'!AG26-'DJB Daily Readings'!AG25</f>
        <v>779.51999999955297</v>
      </c>
      <c r="R18" s="3">
        <f>'DJB Daily Readings'!AJ26-'DJB Daily Readings'!AJ25</f>
        <v>6090</v>
      </c>
      <c r="S18" s="3">
        <f>'DJB Daily Readings'!AM26-'DJB Daily Readings'!AM25</f>
        <v>4336.0800000000745</v>
      </c>
      <c r="T18" s="3">
        <f>'DJB Daily Readings'!AP26-'DJB Daily Readings'!AP25</f>
        <v>4482.2400000020862</v>
      </c>
      <c r="U18" s="3">
        <f>'DJB Daily Readings'!AS26-'DJB Daily Readings'!AS25</f>
        <v>3118.0800000019372</v>
      </c>
      <c r="V18" s="3">
        <f>'DJB Daily Readings'!AV26-'DJB Daily Readings'!AV25</f>
        <v>5359.2000000011176</v>
      </c>
      <c r="W18" s="3">
        <f>'DJB Daily Readings'!AZ26-'DJB Daily Readings'!AZ25</f>
        <v>0</v>
      </c>
      <c r="X18" s="3">
        <f>'DJB Daily Readings'!BC26-'DJB Daily Readings'!BC25</f>
        <v>55700</v>
      </c>
      <c r="Y18" s="3">
        <f>'DJB Daily Readings'!BF26-'DJB Daily Readings'!BF25</f>
        <v>0</v>
      </c>
      <c r="Z18" s="3">
        <f>('DJB Daily Readings'!CK26-'DJB Daily Readings'!CK25)*1.89</f>
        <v>189</v>
      </c>
      <c r="AA18" s="3">
        <f>('DJB Daily Readings'!CN26-'DJB Daily Readings'!CN25)*1.89</f>
        <v>217.35</v>
      </c>
      <c r="AB18" s="3">
        <f>('DJB Daily Readings'!CQ26-'DJB Daily Readings'!CQ25)*1.89</f>
        <v>272.15999999999997</v>
      </c>
      <c r="AC18" s="3">
        <f>'DJB Daily Readings'!CT26-'DJB Daily Readings'!CT25</f>
        <v>212</v>
      </c>
      <c r="AD18" s="84">
        <f>('DJB Daily Readings'!BY26-'DJB Daily Readings'!BY25)*1.89</f>
        <v>34.019999999999996</v>
      </c>
      <c r="AE18" s="84">
        <f>('DJB Daily Readings'!CA26-'DJB Daily Readings'!CA25)*1.89</f>
        <v>37.799999999999997</v>
      </c>
      <c r="AF18" s="84">
        <f>('DJB Daily Readings'!CC26-'DJB Daily Readings'!CC25)*1.89</f>
        <v>13.229999999999999</v>
      </c>
      <c r="AG18" s="84">
        <f>('DJB Daily Readings'!CE26-'DJB Daily Readings'!CE25)*1.89</f>
        <v>17.009999999999998</v>
      </c>
      <c r="AH18" s="84">
        <f>('DJB Daily Readings'!CG26-'DJB Daily Readings'!CG25)*1.89</f>
        <v>9.4499999999999993</v>
      </c>
      <c r="AI18" s="84">
        <f>('DJB Daily Readings'!CI26-'DJB Daily Readings'!CI25)*1.89</f>
        <v>47.25</v>
      </c>
      <c r="AJ18" s="81">
        <f>'DJB Daily Readings'!CY26-'DJB Daily Readings'!CY25</f>
        <v>11</v>
      </c>
      <c r="AK18" s="81">
        <f>'DJB Daily Readings'!CW26-'DJB Daily Readings'!CW25</f>
        <v>11</v>
      </c>
      <c r="AL18" s="82">
        <f>'DJB Daily Readings'!DC26-'DJB Daily Readings'!DC25</f>
        <v>18</v>
      </c>
      <c r="AM18" s="82">
        <f>'DJB Daily Readings'!DA26-'DJB Daily Readings'!DA25</f>
        <v>22</v>
      </c>
      <c r="AN18" s="82">
        <f>'DJB Daily Readings'!DG26-'DJB Daily Readings'!DG25</f>
        <v>4</v>
      </c>
      <c r="AO18" s="82">
        <f>'DJB Daily Readings'!DE26-'DJB Daily Readings'!DE25</f>
        <v>10</v>
      </c>
      <c r="AP18" s="82">
        <f>'DJB Daily Readings'!DK26-'DJB Daily Readings'!DK25</f>
        <v>6</v>
      </c>
      <c r="AQ18" s="82">
        <f>'DJB Daily Readings'!DI26-'DJB Daily Readings'!DI25</f>
        <v>15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17</v>
      </c>
      <c r="AU18" s="82">
        <f>'DJB Daily Readings'!DT26-'DJB Daily Readings'!DT25</f>
        <v>8.7000000000002728</v>
      </c>
      <c r="AW18" s="82">
        <f>'DJB Daily Readings'!DX26-'DJB Daily Readings'!DX25</f>
        <v>6.9000000000000909</v>
      </c>
      <c r="AX18" s="82">
        <f>'DJB Daily Readings'!DZ26-'DJB Daily Readings'!DZ25</f>
        <v>7.7000000000002728</v>
      </c>
      <c r="AY18" s="82">
        <f>'DJB Daily Readings'!EB26-'DJB Daily Readings'!EB25</f>
        <v>628</v>
      </c>
      <c r="AZ18" s="82">
        <f>'DJB Daily Readings'!ED26-'DJB Daily Readings'!ED25</f>
        <v>158.79999999998836</v>
      </c>
      <c r="BA18" s="82">
        <f>'DJB Daily Readings'!EG26-'DJB Daily Readings'!EG25</f>
        <v>3300</v>
      </c>
      <c r="BB18" s="82">
        <f>'DJB Daily Readings'!EI26-'DJB Daily Readings'!EI25</f>
        <v>250</v>
      </c>
      <c r="BC18" s="82">
        <f>'DJB Daily Readings'!EQ26-'DJB Daily Readings'!EQ25</f>
        <v>3700</v>
      </c>
      <c r="BD18" s="82">
        <f>'DJB Daily Readings'!EK26-'DJB Daily Readings'!EK25</f>
        <v>1300</v>
      </c>
      <c r="BE18" s="82">
        <f>'DJB Daily Readings'!EM26-'DJB Daily Readings'!EM25</f>
        <v>400</v>
      </c>
      <c r="BF18" s="82">
        <f>'DJB Daily Readings'!EO26-'DJB Daily Readings'!EO25</f>
        <v>620</v>
      </c>
      <c r="BG18" s="82">
        <f>('DJB Daily Readings'!ET26-'DJB Daily Readings'!ET25)*1.89</f>
        <v>30.24</v>
      </c>
      <c r="BH18" s="82">
        <f>('DJB Daily Readings'!EV26-'DJB Daily Readings'!EV25)*1.89</f>
        <v>22.68</v>
      </c>
      <c r="BI18" s="82">
        <f>('DJB Daily Readings'!EZ26-'DJB Daily Readings'!EZ25)*1.89</f>
        <v>32.129999999999995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2022</v>
      </c>
      <c r="E19" s="78">
        <f>237*0.83</f>
        <v>196.70999999999998</v>
      </c>
      <c r="F19" s="79">
        <f>369+41</f>
        <v>410</v>
      </c>
      <c r="G19" s="3">
        <f>'DJB Daily Readings'!C27-'DJB Daily Readings'!C26</f>
        <v>895</v>
      </c>
      <c r="H19" s="3">
        <f>'DJB Daily Readings'!F27-'DJB Daily Readings'!F26</f>
        <v>495</v>
      </c>
      <c r="I19" s="3">
        <f>'DJB Daily Readings'!K27-'DJB Daily Readings'!K26</f>
        <v>292</v>
      </c>
      <c r="J19" s="3">
        <f>'DJB Daily Readings'!K27-'DJB Daily Readings'!K26</f>
        <v>292</v>
      </c>
      <c r="K19" s="3">
        <f>'DJB Daily Readings'!O27-'DJB Daily Readings'!O26</f>
        <v>85.010000000002037</v>
      </c>
      <c r="L19" s="3">
        <f>'DJB Daily Readings'!R27-'DJB Daily Readings'!R26</f>
        <v>5</v>
      </c>
      <c r="M19" s="3">
        <f>'DJB Daily Readings'!U27-'DJB Daily Readings'!U26</f>
        <v>2192.3999999994412</v>
      </c>
      <c r="N19" s="3">
        <f>'DJB Daily Readings'!X27-'DJB Daily Readings'!X26</f>
        <v>4677.1200000010431</v>
      </c>
      <c r="O19" s="3">
        <f>'DJB Daily Readings'!AA27-'DJB Daily Readings'!AA26</f>
        <v>97.439999999478459</v>
      </c>
      <c r="P19" s="3">
        <f>'DJB Daily Readings'!AD27-'DJB Daily Readings'!AD26</f>
        <v>9402.9600000008941</v>
      </c>
      <c r="Q19" s="3">
        <f>'DJB Daily Readings'!AG27-'DJB Daily Readings'!AG26</f>
        <v>730.80000000074506</v>
      </c>
      <c r="R19" s="3">
        <f>'DJB Daily Readings'!AJ27-'DJB Daily Readings'!AJ26</f>
        <v>5943.8400000017136</v>
      </c>
      <c r="S19" s="3">
        <f>'DJB Daily Readings'!AM27-'DJB Daily Readings'!AM26</f>
        <v>3995.0399999991059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5456.6399999987334</v>
      </c>
      <c r="W19" s="3">
        <f>'DJB Daily Readings'!AZ27-'DJB Daily Readings'!AZ26</f>
        <v>0</v>
      </c>
      <c r="X19" s="3">
        <f>'DJB Daily Readings'!BC27-'DJB Daily Readings'!BC26</f>
        <v>48000</v>
      </c>
      <c r="Y19" s="3">
        <f>'DJB Daily Readings'!BF27-'DJB Daily Readings'!BF26</f>
        <v>0</v>
      </c>
      <c r="Z19" s="3">
        <f>('DJB Daily Readings'!CK27-'DJB Daily Readings'!CK26)*1.89</f>
        <v>189</v>
      </c>
      <c r="AA19" s="3">
        <f>('DJB Daily Readings'!CN27-'DJB Daily Readings'!CN26)*1.89</f>
        <v>217.35</v>
      </c>
      <c r="AB19" s="3">
        <f>('DJB Daily Readings'!CQ27-'DJB Daily Readings'!CQ26)*1.89</f>
        <v>653.93999999999994</v>
      </c>
      <c r="AC19" s="3">
        <f>'DJB Daily Readings'!CT27-'DJB Daily Readings'!CT26</f>
        <v>226</v>
      </c>
      <c r="AD19" s="84">
        <f>('DJB Daily Readings'!BY27-'DJB Daily Readings'!BY26)*1.89</f>
        <v>30.24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9.4499999999999993</v>
      </c>
      <c r="AI19" s="84">
        <f>('DJB Daily Readings'!CI27-'DJB Daily Readings'!CI26)*1.89</f>
        <v>58.589999999999996</v>
      </c>
      <c r="AJ19" s="81">
        <f>'DJB Daily Readings'!CY27-'DJB Daily Readings'!CY26</f>
        <v>13</v>
      </c>
      <c r="AK19" s="81">
        <f>'DJB Daily Readings'!CW27-'DJB Daily Readings'!CW26</f>
        <v>11</v>
      </c>
      <c r="AL19" s="82">
        <f>'DJB Daily Readings'!DC27-'DJB Daily Readings'!DC26</f>
        <v>18</v>
      </c>
      <c r="AM19" s="82">
        <f>'DJB Daily Readings'!DA27-'DJB Daily Readings'!DA26</f>
        <v>25</v>
      </c>
      <c r="AN19" s="82">
        <f>'DJB Daily Readings'!DG27-'DJB Daily Readings'!DG26</f>
        <v>6</v>
      </c>
      <c r="AO19" s="82">
        <f>'DJB Daily Readings'!DE27-'DJB Daily Readings'!DE26</f>
        <v>11</v>
      </c>
      <c r="AP19" s="82">
        <f>'DJB Daily Readings'!DK27-'DJB Daily Readings'!DK26</f>
        <v>6</v>
      </c>
      <c r="AQ19" s="82">
        <f>'DJB Daily Readings'!DI27-'DJB Daily Readings'!DI26</f>
        <v>14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8</v>
      </c>
      <c r="AU19" s="82">
        <f>'DJB Daily Readings'!DT27-'DJB Daily Readings'!DT26</f>
        <v>8.7999999999997272</v>
      </c>
      <c r="AW19" s="82">
        <f>'DJB Daily Readings'!DX27-'DJB Daily Readings'!DX26</f>
        <v>6.9000000000000909</v>
      </c>
      <c r="AX19" s="82">
        <f>'DJB Daily Readings'!DZ27-'DJB Daily Readings'!DZ26</f>
        <v>7.0999999999999091</v>
      </c>
      <c r="AY19" s="82">
        <f>'DJB Daily Readings'!EB27-'DJB Daily Readings'!EB26</f>
        <v>680</v>
      </c>
      <c r="AZ19" s="82">
        <f>'DJB Daily Readings'!ED27-'DJB Daily Readings'!ED26</f>
        <v>157.70000000001164</v>
      </c>
      <c r="BA19" s="82">
        <f>'DJB Daily Readings'!EG27-'DJB Daily Readings'!EG26</f>
        <v>3000</v>
      </c>
      <c r="BB19" s="82">
        <f>'DJB Daily Readings'!EI27-'DJB Daily Readings'!EI26</f>
        <v>250</v>
      </c>
      <c r="BC19" s="82">
        <f>'DJB Daily Readings'!EQ27-'DJB Daily Readings'!EQ26</f>
        <v>3100</v>
      </c>
      <c r="BD19" s="82">
        <f>'DJB Daily Readings'!EK27-'DJB Daily Readings'!EK26</f>
        <v>1100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34.019999999999996</v>
      </c>
      <c r="BH19" s="82">
        <f>('DJB Daily Readings'!EV27-'DJB Daily Readings'!EV26)*1.89</f>
        <v>26.459999999999997</v>
      </c>
      <c r="BI19" s="82">
        <f>('DJB Daily Readings'!EZ27-'DJB Daily Readings'!EZ26)*1.89</f>
        <v>30.24</v>
      </c>
      <c r="BJ19" s="82">
        <f>('DJB Daily Readings'!EX27-'DJB Daily Readings'!EX26)*1.89</f>
        <v>20.79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2022</v>
      </c>
      <c r="E20" s="78">
        <f>237*0.81</f>
        <v>191.97</v>
      </c>
      <c r="F20" s="79">
        <f>340+31</f>
        <v>371</v>
      </c>
      <c r="G20" s="3">
        <f>'DJB Daily Readings'!C28-'DJB Daily Readings'!C27</f>
        <v>844</v>
      </c>
      <c r="H20" s="3">
        <f>'DJB Daily Readings'!F28-'DJB Daily Readings'!F27</f>
        <v>542</v>
      </c>
      <c r="I20" s="3">
        <f>'DJB Daily Readings'!K28-'DJB Daily Readings'!K27</f>
        <v>339</v>
      </c>
      <c r="J20" s="3">
        <f>'DJB Daily Readings'!K28-'DJB Daily Readings'!K27</f>
        <v>339</v>
      </c>
      <c r="K20" s="3">
        <f>'DJB Daily Readings'!O28-'DJB Daily Readings'!O27</f>
        <v>98.089999999996508</v>
      </c>
      <c r="L20" s="3">
        <f>'DJB Daily Readings'!R28-'DJB Daily Readings'!R27</f>
        <v>5</v>
      </c>
      <c r="M20" s="3">
        <f>'DJB Daily Readings'!U28-'DJB Daily Readings'!U27</f>
        <v>3995.0400000009686</v>
      </c>
      <c r="N20" s="3">
        <f>'DJB Daily Readings'!X28-'DJB Daily Readings'!X27</f>
        <v>4725.839999999851</v>
      </c>
      <c r="O20" s="3">
        <f>'DJB Daily Readings'!AA28-'DJB Daily Readings'!AA27</f>
        <v>730.79999999888241</v>
      </c>
      <c r="P20" s="3">
        <f>'DJB Daily Readings'!AD28-'DJB Daily Readings'!AD27</f>
        <v>292.32000000029802</v>
      </c>
      <c r="Q20" s="3">
        <f>'DJB Daily Readings'!AG28-'DJB Daily Readings'!AG27</f>
        <v>7600.3199999965727</v>
      </c>
      <c r="R20" s="3">
        <f>'DJB Daily Readings'!AJ28-'DJB Daily Readings'!AJ27</f>
        <v>5846.4000000003725</v>
      </c>
      <c r="S20" s="3">
        <f>'DJB Daily Readings'!AM28-'DJB Daily Readings'!AM27</f>
        <v>3751.4399999994785</v>
      </c>
      <c r="T20" s="3">
        <f>'DJB Daily Readings'!AP28-'DJB Daily Readings'!AP27</f>
        <v>4530.9599999990314</v>
      </c>
      <c r="U20" s="3">
        <f>'DJB Daily Readings'!AS28-'DJB Daily Readings'!AS27</f>
        <v>3069.359999999404</v>
      </c>
      <c r="V20" s="3">
        <f>'DJB Daily Readings'!AV28-'DJB Daily Readings'!AV27</f>
        <v>5792.8080000001937</v>
      </c>
      <c r="W20" s="3">
        <f>'DJB Daily Readings'!AZ28-'DJB Daily Readings'!AZ27</f>
        <v>0</v>
      </c>
      <c r="X20" s="3">
        <f>'DJB Daily Readings'!BC28-'DJB Daily Readings'!BC27</f>
        <v>2700</v>
      </c>
      <c r="Y20" s="3">
        <f>'DJB Daily Readings'!BF28-'DJB Daily Readings'!BF27</f>
        <v>44600</v>
      </c>
      <c r="Z20" s="3">
        <f>('DJB Daily Readings'!CK28-'DJB Daily Readings'!CK27)*1.89</f>
        <v>192.78</v>
      </c>
      <c r="AA20" s="3">
        <f>('DJB Daily Readings'!CN28-'DJB Daily Readings'!CN27)*1.89</f>
        <v>224.91</v>
      </c>
      <c r="AB20" s="3">
        <f>('DJB Daily Readings'!CQ28-'DJB Daily Readings'!CQ27)*1.89</f>
        <v>549.99</v>
      </c>
      <c r="AC20" s="3">
        <f>'DJB Daily Readings'!CT28-'DJB Daily Readings'!CT27</f>
        <v>226</v>
      </c>
      <c r="AD20" s="84">
        <f>('DJB Daily Readings'!BY28-'DJB Daily Readings'!BY27)*1.89</f>
        <v>32.129999999999995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17.009999999999998</v>
      </c>
      <c r="AI20" s="84">
        <f>('DJB Daily Readings'!CI28-'DJB Daily Readings'!CI27)*1.89</f>
        <v>54.809999999999995</v>
      </c>
      <c r="AJ20" s="81">
        <f>'DJB Daily Readings'!CY28-'DJB Daily Readings'!CY27</f>
        <v>13</v>
      </c>
      <c r="AK20" s="81">
        <f>'DJB Daily Readings'!CW28-'DJB Daily Readings'!CW27</f>
        <v>11</v>
      </c>
      <c r="AL20" s="82">
        <f>'DJB Daily Readings'!DC28-'DJB Daily Readings'!DC27</f>
        <v>20</v>
      </c>
      <c r="AM20" s="82">
        <f>'DJB Daily Readings'!DA28-'DJB Daily Readings'!DA27</f>
        <v>23</v>
      </c>
      <c r="AN20" s="82">
        <f>'DJB Daily Readings'!DG28-'DJB Daily Readings'!DG27</f>
        <v>3</v>
      </c>
      <c r="AO20" s="82">
        <f>'DJB Daily Readings'!DE28-'DJB Daily Readings'!DE27</f>
        <v>11</v>
      </c>
      <c r="AP20" s="82">
        <f>'DJB Daily Readings'!DK28-'DJB Daily Readings'!DK27</f>
        <v>6</v>
      </c>
      <c r="AQ20" s="82">
        <f>'DJB Daily Readings'!DI28-'DJB Daily Readings'!DI27</f>
        <v>14</v>
      </c>
      <c r="AR20" s="82">
        <f>'DJB Daily Readings'!DO28-'DJB Daily Readings'!DO27</f>
        <v>11</v>
      </c>
      <c r="AS20" s="82">
        <f>'DJB Daily Readings'!DM28-'DJB Daily Readings'!DM27</f>
        <v>5</v>
      </c>
      <c r="AT20" s="82">
        <f>'DJB Daily Readings'!DQ28-'DJB Daily Readings'!DQ27</f>
        <v>10</v>
      </c>
      <c r="AU20" s="82">
        <f>'DJB Daily Readings'!DT28-'DJB Daily Readings'!DT27</f>
        <v>9.2000000000002728</v>
      </c>
      <c r="AW20" s="82">
        <f>'DJB Daily Readings'!DX28-'DJB Daily Readings'!DX27</f>
        <v>7</v>
      </c>
      <c r="AX20" s="82">
        <f>'DJB Daily Readings'!DZ28-'DJB Daily Readings'!DZ27</f>
        <v>8</v>
      </c>
      <c r="AY20" s="82">
        <f>'DJB Daily Readings'!EB28-'DJB Daily Readings'!EB27</f>
        <v>709</v>
      </c>
      <c r="AZ20" s="82">
        <f>'DJB Daily Readings'!ED28-'DJB Daily Readings'!ED27</f>
        <v>159.59999999997672</v>
      </c>
      <c r="BA20" s="82">
        <f>'DJB Daily Readings'!EG28-'DJB Daily Readings'!EG27</f>
        <v>3800</v>
      </c>
      <c r="BB20" s="82">
        <f>'DJB Daily Readings'!EI28-'DJB Daily Readings'!EI27</f>
        <v>280</v>
      </c>
      <c r="BC20" s="82">
        <f>'DJB Daily Readings'!EQ28-'DJB Daily Readings'!EQ27</f>
        <v>3400</v>
      </c>
      <c r="BD20" s="82">
        <f>'DJB Daily Readings'!EK28-'DJB Daily Readings'!EK27</f>
        <v>1500</v>
      </c>
      <c r="BE20" s="82">
        <f>'DJB Daily Readings'!EM28-'DJB Daily Readings'!EM27</f>
        <v>400</v>
      </c>
      <c r="BF20" s="82">
        <f>'DJB Daily Readings'!EO28-'DJB Daily Readings'!EO27</f>
        <v>600</v>
      </c>
      <c r="BG20" s="82">
        <f>('DJB Daily Readings'!ET28-'DJB Daily Readings'!ET27)*1.89</f>
        <v>30.24</v>
      </c>
      <c r="BH20" s="82">
        <f>('DJB Daily Readings'!EV28-'DJB Daily Readings'!EV27)*1.89</f>
        <v>26.459999999999997</v>
      </c>
      <c r="BI20" s="82">
        <f>('DJB Daily Readings'!EZ28-'DJB Daily Readings'!EZ27)*1.89</f>
        <v>39.69</v>
      </c>
      <c r="BJ20" s="82">
        <f>('DJB Daily Readings'!EX28-'DJB Daily Readings'!EX27)*1.89</f>
        <v>30.24</v>
      </c>
      <c r="BK20" s="82">
        <f>('DJB Daily Readings'!FB28-'DJB Daily Readings'!FB27)*1.89</f>
        <v>66.149999999999991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2022</v>
      </c>
      <c r="E21" s="78">
        <f>237*0.73</f>
        <v>173.01</v>
      </c>
      <c r="F21" s="79">
        <f>320+37</f>
        <v>357</v>
      </c>
      <c r="G21" s="3">
        <f>'DJB Daily Readings'!C29-'DJB Daily Readings'!C28</f>
        <v>725</v>
      </c>
      <c r="H21" s="3">
        <f>'DJB Daily Readings'!F29-'DJB Daily Readings'!F28</f>
        <v>419</v>
      </c>
      <c r="I21" s="3">
        <f>'DJB Daily Readings'!K29-'DJB Daily Readings'!K28</f>
        <v>267</v>
      </c>
      <c r="J21" s="3">
        <f>'DJB Daily Readings'!K29-'DJB Daily Readings'!K28</f>
        <v>267</v>
      </c>
      <c r="K21" s="3">
        <f>'DJB Daily Readings'!O29-'DJB Daily Readings'!O28</f>
        <v>99.25</v>
      </c>
      <c r="L21" s="3">
        <f>'DJB Daily Readings'!R29-'DJB Daily Readings'!R28</f>
        <v>3</v>
      </c>
      <c r="M21" s="3">
        <f>'DJB Daily Readings'!U29-'DJB Daily Readings'!U28</f>
        <v>3946.3199999984354</v>
      </c>
      <c r="N21" s="3">
        <f>'DJB Daily Readings'!X29-'DJB Daily Readings'!X28</f>
        <v>4530.9600000008941</v>
      </c>
      <c r="O21" s="3">
        <f>'DJB Daily Readings'!AA29-'DJB Daily Readings'!AA28</f>
        <v>730.80000000074506</v>
      </c>
      <c r="P21" s="3">
        <f>'DJB Daily Readings'!AD29-'DJB Daily Readings'!AD28</f>
        <v>48.719999998807907</v>
      </c>
      <c r="Q21" s="3">
        <f>'DJB Daily Readings'!AG29-'DJB Daily Readings'!AG28</f>
        <v>9061.9200000017881</v>
      </c>
      <c r="R21" s="3">
        <f>'DJB Daily Readings'!AJ29-'DJB Daily Readings'!AJ28</f>
        <v>5310.4799999967217</v>
      </c>
      <c r="S21" s="3">
        <f>'DJB Daily Readings'!AM29-'DJB Daily Readings'!AM28</f>
        <v>3654</v>
      </c>
      <c r="T21" s="3">
        <f>'DJB Daily Readings'!AP29-'DJB Daily Readings'!AP28</f>
        <v>4238.640000000596</v>
      </c>
      <c r="U21" s="3">
        <f>'DJB Daily Readings'!AS29-'DJB Daily Readings'!AS28</f>
        <v>2679.5999999996275</v>
      </c>
      <c r="V21" s="3">
        <f>'DJB Daily Readings'!AV29-'DJB Daily Readings'!AV28</f>
        <v>5510.2319999989122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53900</v>
      </c>
      <c r="Z21" s="3">
        <f>('DJB Daily Readings'!CK29-'DJB Daily Readings'!CK28)*1.89</f>
        <v>185.22</v>
      </c>
      <c r="AA21" s="3">
        <f>('DJB Daily Readings'!CN29-'DJB Daily Readings'!CN28)*1.89</f>
        <v>194.67</v>
      </c>
      <c r="AB21" s="3">
        <f>('DJB Daily Readings'!CQ29-'DJB Daily Readings'!CQ28)*1.89</f>
        <v>474.39</v>
      </c>
      <c r="AC21" s="3">
        <f>'DJB Daily Readings'!CT29-'DJB Daily Readings'!CT28</f>
        <v>203</v>
      </c>
      <c r="AD21" s="84">
        <f>('DJB Daily Readings'!BY29-'DJB Daily Readings'!BY28)*1.89</f>
        <v>26.459999999999997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20.79</v>
      </c>
      <c r="AI21" s="84">
        <f>('DJB Daily Readings'!CI29-'DJB Daily Readings'!CI28)*1.89</f>
        <v>52.919999999999995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13</v>
      </c>
      <c r="AM21" s="82">
        <f>'DJB Daily Readings'!DA29-'DJB Daily Readings'!DA28</f>
        <v>31</v>
      </c>
      <c r="AN21" s="82">
        <f>'DJB Daily Readings'!DG29-'DJB Daily Readings'!DG28</f>
        <v>8</v>
      </c>
      <c r="AO21" s="82">
        <f>'DJB Daily Readings'!DE29-'DJB Daily Readings'!DE28</f>
        <v>13</v>
      </c>
      <c r="AP21" s="82">
        <f>'DJB Daily Readings'!DK29-'DJB Daily Readings'!DK28</f>
        <v>13</v>
      </c>
      <c r="AQ21" s="82">
        <f>'DJB Daily Readings'!DI29-'DJB Daily Readings'!DI28</f>
        <v>15</v>
      </c>
      <c r="AR21" s="82">
        <f>'DJB Daily Readings'!DO29-'DJB Daily Readings'!DO28</f>
        <v>4</v>
      </c>
      <c r="AS21" s="82">
        <f>'DJB Daily Readings'!DM29-'DJB Daily Readings'!DM28</f>
        <v>8</v>
      </c>
      <c r="AT21" s="82">
        <f>'DJB Daily Readings'!DQ29-'DJB Daily Readings'!DQ28</f>
        <v>37</v>
      </c>
      <c r="AU21" s="82">
        <f>'DJB Daily Readings'!DT29-'DJB Daily Readings'!DT28</f>
        <v>8.7999999999997272</v>
      </c>
      <c r="AW21" s="82">
        <f>'DJB Daily Readings'!DX29-'DJB Daily Readings'!DX28</f>
        <v>6.6999999999998181</v>
      </c>
      <c r="AX21" s="82">
        <f>'DJB Daily Readings'!DZ29-'DJB Daily Readings'!DZ28</f>
        <v>7.5999999999999091</v>
      </c>
      <c r="AY21" s="82">
        <f>'DJB Daily Readings'!EB29-'DJB Daily Readings'!EB28</f>
        <v>631</v>
      </c>
      <c r="AZ21" s="82">
        <f>'DJB Daily Readings'!ED29-'DJB Daily Readings'!ED28</f>
        <v>149</v>
      </c>
      <c r="BA21" s="82">
        <f>'DJB Daily Readings'!EG29-'DJB Daily Readings'!EG28</f>
        <v>3100</v>
      </c>
      <c r="BB21" s="82">
        <f>'DJB Daily Readings'!EI29-'DJB Daily Readings'!EI28</f>
        <v>220</v>
      </c>
      <c r="BC21" s="82">
        <f>'DJB Daily Readings'!EQ29-'DJB Daily Readings'!EQ28</f>
        <v>4200</v>
      </c>
      <c r="BD21" s="82">
        <f>'DJB Daily Readings'!EK29-'DJB Daily Readings'!EK28</f>
        <v>1400</v>
      </c>
      <c r="BE21" s="82">
        <f>'DJB Daily Readings'!EM29-'DJB Daily Readings'!EM28</f>
        <v>700</v>
      </c>
      <c r="BF21" s="82">
        <f>'DJB Daily Readings'!EO29-'DJB Daily Readings'!EO28</f>
        <v>680</v>
      </c>
      <c r="BG21" s="82">
        <f>('DJB Daily Readings'!ET29-'DJB Daily Readings'!ET28)*1.89</f>
        <v>20.79</v>
      </c>
      <c r="BH21" s="82">
        <f>('DJB Daily Readings'!EV29-'DJB Daily Readings'!EV28)*1.89</f>
        <v>26.459999999999997</v>
      </c>
      <c r="BI21" s="82">
        <f>('DJB Daily Readings'!EZ29-'DJB Daily Readings'!EZ28)*1.89</f>
        <v>28.349999999999998</v>
      </c>
      <c r="BJ21" s="82">
        <f>('DJB Daily Readings'!EX29-'DJB Daily Readings'!EX28)*1.89</f>
        <v>26.459999999999997</v>
      </c>
      <c r="BK21" s="82">
        <f>('DJB Daily Readings'!FB29-'DJB Daily Readings'!FB28)*1.89</f>
        <v>52.919999999999995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F22" s="79">
        <f>318+33</f>
        <v>351</v>
      </c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3" t="s">
        <v>105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</row>
    <row r="2" spans="1:159" ht="16.5" customHeight="1" x14ac:dyDescent="0.25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</row>
    <row r="3" spans="1:159" ht="45" customHeight="1" x14ac:dyDescent="0.25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  <c r="BF3" s="433"/>
      <c r="BG3" s="433"/>
      <c r="BH3" s="433"/>
      <c r="BI3" s="433"/>
      <c r="BJ3" s="433"/>
      <c r="BK3" s="433"/>
      <c r="BL3" s="433"/>
      <c r="BM3" s="433"/>
      <c r="BN3" s="433"/>
      <c r="BO3" s="433"/>
      <c r="BP3" s="433"/>
      <c r="BQ3" s="433"/>
      <c r="BR3" s="433"/>
      <c r="BS3" s="433"/>
      <c r="BT3" s="433"/>
      <c r="BU3" s="433"/>
      <c r="BV3" s="433"/>
      <c r="BW3" s="433"/>
      <c r="BX3" s="433"/>
      <c r="BY3" s="433"/>
      <c r="BZ3" s="433"/>
      <c r="CA3" s="433"/>
      <c r="CB3" s="433"/>
      <c r="CC3" s="433"/>
      <c r="CD3" s="433"/>
      <c r="CE3" s="433"/>
      <c r="CF3" s="433"/>
      <c r="CG3" s="433"/>
      <c r="CH3" s="433"/>
      <c r="CI3" s="433"/>
      <c r="CJ3" s="433"/>
      <c r="CK3" s="433"/>
      <c r="CL3" s="433"/>
      <c r="CM3" s="433"/>
      <c r="CN3" s="433"/>
      <c r="CO3" s="433"/>
      <c r="CP3" s="433"/>
      <c r="CQ3" s="433"/>
      <c r="CR3" s="433"/>
      <c r="CS3" s="433"/>
      <c r="CT3" s="433"/>
      <c r="CU3" s="433"/>
      <c r="CV3" s="433"/>
      <c r="CW3" s="433"/>
      <c r="CX3" s="433"/>
      <c r="CY3" s="433"/>
      <c r="CZ3" s="433"/>
      <c r="DA3" s="433"/>
      <c r="DB3" s="433"/>
      <c r="DC3" s="433"/>
      <c r="DD3" s="433"/>
      <c r="DE3" s="433"/>
      <c r="DF3" s="433"/>
      <c r="DG3" s="433"/>
      <c r="DH3" s="433"/>
      <c r="DI3" s="433"/>
      <c r="DJ3" s="433"/>
      <c r="DK3" s="433"/>
      <c r="DL3" s="433"/>
      <c r="DM3" s="433"/>
      <c r="DN3" s="433"/>
      <c r="DO3" s="433"/>
      <c r="DP3" s="433"/>
      <c r="DQ3" s="433"/>
      <c r="DR3" s="433"/>
      <c r="DS3" s="433"/>
      <c r="DT3" s="433"/>
      <c r="DU3" s="433"/>
      <c r="DV3" s="433"/>
      <c r="DW3" s="433"/>
      <c r="DX3" s="433"/>
      <c r="DY3" s="433"/>
      <c r="DZ3" s="433"/>
      <c r="EA3" s="433"/>
      <c r="EB3" s="433"/>
      <c r="EC3" s="433"/>
      <c r="ED3" s="433"/>
      <c r="EE3" s="433"/>
      <c r="EF3" s="433"/>
      <c r="EG3" s="433"/>
      <c r="EH3" s="433"/>
      <c r="EI3" s="433"/>
      <c r="EJ3" s="433"/>
      <c r="EK3" s="433"/>
      <c r="EL3" s="433"/>
      <c r="EM3" s="433"/>
      <c r="EN3" s="433"/>
      <c r="EO3" s="433"/>
      <c r="EP3" s="433"/>
      <c r="EQ3" s="433"/>
      <c r="ER3" s="433"/>
      <c r="ES3" s="433"/>
      <c r="ET3" s="433"/>
      <c r="EU3" s="433"/>
      <c r="EV3" s="433"/>
      <c r="EW3" s="433"/>
      <c r="EX3" s="433"/>
      <c r="EY3" s="433"/>
      <c r="EZ3" s="433"/>
      <c r="FA3" s="433"/>
      <c r="FB3" s="433"/>
      <c r="FC3" s="433"/>
    </row>
    <row r="4" spans="1:159" ht="16.5" customHeight="1" x14ac:dyDescent="0.25">
      <c r="A4" s="433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  <c r="AD4" s="433"/>
      <c r="AE4" s="433"/>
      <c r="AF4" s="433"/>
      <c r="AG4" s="433"/>
      <c r="AH4" s="433"/>
      <c r="AI4" s="433"/>
      <c r="AJ4" s="433"/>
      <c r="AK4" s="433"/>
      <c r="AL4" s="433"/>
      <c r="AM4" s="433"/>
      <c r="AN4" s="433"/>
      <c r="AO4" s="433"/>
      <c r="AP4" s="433"/>
      <c r="AQ4" s="433"/>
      <c r="AR4" s="433"/>
      <c r="AS4" s="433"/>
      <c r="AT4" s="433"/>
      <c r="AU4" s="433"/>
      <c r="AV4" s="433"/>
      <c r="AW4" s="433"/>
      <c r="AX4" s="433"/>
      <c r="AY4" s="433"/>
      <c r="AZ4" s="433"/>
      <c r="BA4" s="433"/>
      <c r="BB4" s="433"/>
      <c r="BC4" s="433"/>
      <c r="BD4" s="433"/>
      <c r="BE4" s="433"/>
      <c r="BF4" s="433"/>
      <c r="BG4" s="433"/>
      <c r="BH4" s="433"/>
      <c r="BI4" s="433"/>
      <c r="BJ4" s="433"/>
      <c r="BK4" s="433"/>
      <c r="BL4" s="433"/>
      <c r="BM4" s="433"/>
      <c r="BN4" s="433"/>
      <c r="BO4" s="433"/>
      <c r="BP4" s="433"/>
      <c r="BQ4" s="433"/>
      <c r="BR4" s="433"/>
      <c r="BS4" s="433"/>
      <c r="BT4" s="433"/>
      <c r="BU4" s="433"/>
      <c r="BV4" s="433"/>
      <c r="BW4" s="433"/>
      <c r="BX4" s="433"/>
      <c r="BY4" s="433"/>
      <c r="BZ4" s="433"/>
      <c r="CA4" s="433"/>
      <c r="CB4" s="433"/>
      <c r="CC4" s="433"/>
      <c r="CD4" s="433"/>
      <c r="CE4" s="433"/>
      <c r="CF4" s="433"/>
      <c r="CG4" s="433"/>
      <c r="CH4" s="433"/>
      <c r="CI4" s="433"/>
      <c r="CJ4" s="433"/>
      <c r="CK4" s="433"/>
      <c r="CL4" s="433"/>
      <c r="CM4" s="433"/>
      <c r="CN4" s="433"/>
      <c r="CO4" s="433"/>
      <c r="CP4" s="433"/>
      <c r="CQ4" s="433"/>
      <c r="CR4" s="433"/>
      <c r="CS4" s="433"/>
      <c r="CT4" s="433"/>
      <c r="CU4" s="433"/>
      <c r="CV4" s="433"/>
      <c r="CW4" s="433"/>
      <c r="CX4" s="433"/>
      <c r="CY4" s="433"/>
      <c r="CZ4" s="433"/>
      <c r="DA4" s="433"/>
      <c r="DB4" s="433"/>
      <c r="DC4" s="433"/>
      <c r="DD4" s="433"/>
      <c r="DE4" s="433"/>
      <c r="DF4" s="433"/>
      <c r="DG4" s="433"/>
      <c r="DH4" s="433"/>
      <c r="DI4" s="433"/>
      <c r="DJ4" s="433"/>
      <c r="DK4" s="433"/>
      <c r="DL4" s="433"/>
      <c r="DM4" s="433"/>
      <c r="DN4" s="433"/>
      <c r="DO4" s="433"/>
      <c r="DP4" s="433"/>
      <c r="DQ4" s="433"/>
      <c r="DR4" s="433"/>
      <c r="DS4" s="433"/>
      <c r="DT4" s="433"/>
      <c r="DU4" s="433"/>
      <c r="DV4" s="433"/>
      <c r="DW4" s="433"/>
      <c r="DX4" s="433"/>
      <c r="DY4" s="433"/>
      <c r="DZ4" s="433"/>
      <c r="EA4" s="433"/>
      <c r="EB4" s="433"/>
      <c r="EC4" s="433"/>
      <c r="ED4" s="433"/>
      <c r="EE4" s="433"/>
      <c r="EF4" s="433"/>
      <c r="EG4" s="433"/>
      <c r="EH4" s="433"/>
      <c r="EI4" s="433"/>
      <c r="EJ4" s="433"/>
      <c r="EK4" s="433"/>
      <c r="EL4" s="433"/>
      <c r="EM4" s="433"/>
      <c r="EN4" s="433"/>
      <c r="EO4" s="433"/>
      <c r="EP4" s="433"/>
      <c r="EQ4" s="433"/>
      <c r="ER4" s="433"/>
      <c r="ES4" s="433"/>
      <c r="ET4" s="433"/>
      <c r="EU4" s="433"/>
      <c r="EV4" s="433"/>
      <c r="EW4" s="433"/>
      <c r="EX4" s="433"/>
      <c r="EY4" s="433"/>
      <c r="EZ4" s="433"/>
      <c r="FA4" s="433"/>
      <c r="FB4" s="433"/>
      <c r="FC4" s="433"/>
    </row>
    <row r="5" spans="1:159" ht="10.5" customHeight="1" thickBot="1" x14ac:dyDescent="0.3">
      <c r="A5" s="434"/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3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4"/>
      <c r="AI5" s="434"/>
      <c r="AJ5" s="434"/>
      <c r="AK5" s="434"/>
      <c r="AL5" s="434"/>
      <c r="AM5" s="434"/>
      <c r="AN5" s="434"/>
      <c r="AO5" s="434"/>
      <c r="AP5" s="434"/>
      <c r="AQ5" s="434"/>
      <c r="AR5" s="434"/>
      <c r="AS5" s="434"/>
      <c r="AT5" s="434"/>
      <c r="AU5" s="434"/>
      <c r="AV5" s="434"/>
      <c r="AW5" s="434"/>
      <c r="AX5" s="434"/>
      <c r="AY5" s="433"/>
      <c r="AZ5" s="434"/>
      <c r="BA5" s="434"/>
      <c r="BB5" s="434"/>
      <c r="BC5" s="434"/>
      <c r="BD5" s="434"/>
      <c r="BE5" s="434"/>
      <c r="BF5" s="434"/>
      <c r="BG5" s="434"/>
      <c r="BH5" s="434"/>
      <c r="BI5" s="434"/>
      <c r="BJ5" s="434"/>
      <c r="BK5" s="434"/>
      <c r="BL5" s="434"/>
      <c r="BM5" s="434"/>
      <c r="BN5" s="434"/>
      <c r="BO5" s="434"/>
      <c r="BP5" s="434"/>
      <c r="BQ5" s="434"/>
      <c r="BR5" s="434"/>
      <c r="BS5" s="434"/>
      <c r="BT5" s="434"/>
      <c r="BU5" s="433"/>
      <c r="BV5" s="434"/>
      <c r="BW5" s="434"/>
      <c r="BX5" s="434"/>
      <c r="BY5" s="434"/>
      <c r="BZ5" s="434"/>
      <c r="CA5" s="434"/>
      <c r="CB5" s="434"/>
      <c r="CC5" s="434"/>
      <c r="CD5" s="434"/>
      <c r="CE5" s="434"/>
      <c r="CF5" s="434"/>
      <c r="CG5" s="434"/>
      <c r="CH5" s="434"/>
      <c r="CI5" s="434"/>
      <c r="CJ5" s="434"/>
      <c r="CK5" s="434"/>
      <c r="CL5" s="434"/>
      <c r="CM5" s="434"/>
      <c r="CN5" s="434"/>
      <c r="CO5" s="434"/>
      <c r="CP5" s="434"/>
      <c r="CQ5" s="434"/>
      <c r="CR5" s="434"/>
      <c r="CS5" s="434"/>
      <c r="CT5" s="434"/>
      <c r="CU5" s="434"/>
      <c r="CV5" s="434"/>
      <c r="CW5" s="434"/>
      <c r="CX5" s="434"/>
      <c r="CY5" s="434"/>
      <c r="CZ5" s="434"/>
      <c r="DA5" s="434"/>
      <c r="DB5" s="434"/>
      <c r="DC5" s="434"/>
      <c r="DD5" s="434"/>
      <c r="DE5" s="434"/>
      <c r="DF5" s="434"/>
      <c r="DG5" s="434"/>
      <c r="DH5" s="434"/>
      <c r="DI5" s="434"/>
      <c r="DJ5" s="434"/>
      <c r="DK5" s="434"/>
      <c r="DL5" s="434"/>
      <c r="DM5" s="434"/>
      <c r="DN5" s="434"/>
      <c r="DO5" s="434"/>
      <c r="DP5" s="434"/>
      <c r="DQ5" s="434"/>
      <c r="DR5" s="434"/>
      <c r="DS5" s="433"/>
      <c r="DT5" s="434"/>
      <c r="DU5" s="434"/>
      <c r="DV5" s="434"/>
      <c r="DW5" s="434"/>
      <c r="DX5" s="434"/>
      <c r="DY5" s="434"/>
      <c r="DZ5" s="434"/>
      <c r="EA5" s="434"/>
      <c r="EB5" s="434"/>
      <c r="EC5" s="434"/>
      <c r="ED5" s="434"/>
      <c r="EE5" s="434"/>
      <c r="EF5" s="433"/>
      <c r="EG5" s="434"/>
      <c r="EH5" s="434"/>
      <c r="EI5" s="434"/>
      <c r="EJ5" s="434"/>
      <c r="EK5" s="434"/>
      <c r="EL5" s="434"/>
      <c r="EM5" s="434"/>
      <c r="EN5" s="434"/>
      <c r="EO5" s="434"/>
      <c r="EP5" s="434"/>
      <c r="EQ5" s="434"/>
      <c r="ER5" s="434"/>
      <c r="ES5" s="433"/>
      <c r="ET5" s="434"/>
      <c r="EU5" s="434"/>
      <c r="EV5" s="434"/>
      <c r="EW5" s="434"/>
      <c r="EX5" s="434"/>
      <c r="EY5" s="434"/>
      <c r="EZ5" s="434"/>
      <c r="FA5" s="434"/>
      <c r="FB5" s="434"/>
      <c r="FC5" s="434"/>
    </row>
    <row r="6" spans="1:159" ht="24.75" customHeight="1" thickBot="1" x14ac:dyDescent="0.3">
      <c r="A6" s="435" t="s">
        <v>185</v>
      </c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37"/>
      <c r="T6" s="464"/>
      <c r="U6" s="438" t="s">
        <v>186</v>
      </c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39"/>
      <c r="AM6" s="439"/>
      <c r="AN6" s="439"/>
      <c r="AO6" s="439"/>
      <c r="AP6" s="439"/>
      <c r="AQ6" s="439"/>
      <c r="AR6" s="439"/>
      <c r="AS6" s="439"/>
      <c r="AT6" s="439"/>
      <c r="AU6" s="439"/>
      <c r="AV6" s="439"/>
      <c r="AW6" s="439"/>
      <c r="AX6" s="440"/>
      <c r="AY6" s="481"/>
      <c r="AZ6" s="438" t="s">
        <v>187</v>
      </c>
      <c r="BA6" s="439"/>
      <c r="BB6" s="439"/>
      <c r="BC6" s="439"/>
      <c r="BD6" s="439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39"/>
      <c r="BQ6" s="439"/>
      <c r="BR6" s="439"/>
      <c r="BS6" s="439"/>
      <c r="BT6" s="440"/>
      <c r="BU6" s="578"/>
      <c r="BV6" s="441" t="s">
        <v>188</v>
      </c>
      <c r="BW6" s="442"/>
      <c r="BX6" s="442"/>
      <c r="BY6" s="442"/>
      <c r="BZ6" s="442"/>
      <c r="CA6" s="442"/>
      <c r="CB6" s="442"/>
      <c r="CC6" s="442"/>
      <c r="CD6" s="442"/>
      <c r="CE6" s="442"/>
      <c r="CF6" s="442"/>
      <c r="CG6" s="442"/>
      <c r="CH6" s="442"/>
      <c r="CI6" s="442"/>
      <c r="CJ6" s="442"/>
      <c r="CK6" s="442"/>
      <c r="CL6" s="442"/>
      <c r="CM6" s="442"/>
      <c r="CN6" s="442"/>
      <c r="CO6" s="442"/>
      <c r="CP6" s="442"/>
      <c r="CQ6" s="442"/>
      <c r="CR6" s="442"/>
      <c r="CS6" s="442"/>
      <c r="CT6" s="442"/>
      <c r="CU6" s="443"/>
      <c r="CV6" s="505"/>
      <c r="CW6" s="454" t="s">
        <v>180</v>
      </c>
      <c r="CX6" s="454"/>
      <c r="CY6" s="454"/>
      <c r="CZ6" s="454"/>
      <c r="DA6" s="454"/>
      <c r="DB6" s="454"/>
      <c r="DC6" s="454"/>
      <c r="DD6" s="454"/>
      <c r="DE6" s="454"/>
      <c r="DF6" s="454"/>
      <c r="DG6" s="454"/>
      <c r="DH6" s="454"/>
      <c r="DI6" s="454"/>
      <c r="DJ6" s="454"/>
      <c r="DK6" s="454"/>
      <c r="DL6" s="454"/>
      <c r="DM6" s="454"/>
      <c r="DN6" s="454"/>
      <c r="DO6" s="454"/>
      <c r="DP6" s="454"/>
      <c r="DQ6" s="454"/>
      <c r="DR6" s="455"/>
      <c r="DS6" s="521"/>
      <c r="DT6" s="529" t="s">
        <v>189</v>
      </c>
      <c r="DU6" s="530"/>
      <c r="DV6" s="530"/>
      <c r="DW6" s="530"/>
      <c r="DX6" s="530"/>
      <c r="DY6" s="530"/>
      <c r="DZ6" s="530"/>
      <c r="EA6" s="530"/>
      <c r="EB6" s="530"/>
      <c r="EC6" s="530"/>
      <c r="ED6" s="530"/>
      <c r="EE6" s="531"/>
      <c r="EF6" s="569"/>
      <c r="EG6" s="529" t="s">
        <v>190</v>
      </c>
      <c r="EH6" s="530"/>
      <c r="EI6" s="530"/>
      <c r="EJ6" s="530"/>
      <c r="EK6" s="530"/>
      <c r="EL6" s="530"/>
      <c r="EM6" s="530"/>
      <c r="EN6" s="530"/>
      <c r="EO6" s="530"/>
      <c r="EP6" s="530"/>
      <c r="EQ6" s="530"/>
      <c r="ER6" s="531"/>
      <c r="ES6" s="544"/>
      <c r="ET6" s="541" t="s">
        <v>191</v>
      </c>
      <c r="EU6" s="542"/>
      <c r="EV6" s="542"/>
      <c r="EW6" s="542"/>
      <c r="EX6" s="542"/>
      <c r="EY6" s="542"/>
      <c r="EZ6" s="542"/>
      <c r="FA6" s="542"/>
      <c r="FB6" s="542"/>
      <c r="FC6" s="543"/>
    </row>
    <row r="7" spans="1:159" ht="45" customHeight="1" thickBot="1" x14ac:dyDescent="0.3">
      <c r="A7" s="444" t="s">
        <v>18</v>
      </c>
      <c r="B7" s="446" t="s">
        <v>106</v>
      </c>
      <c r="C7" s="448" t="s">
        <v>107</v>
      </c>
      <c r="D7" s="449"/>
      <c r="E7" s="450"/>
      <c r="F7" s="451" t="s">
        <v>0</v>
      </c>
      <c r="G7" s="452"/>
      <c r="H7" s="453"/>
      <c r="I7" s="456" t="s">
        <v>1</v>
      </c>
      <c r="J7" s="456"/>
      <c r="K7" s="457" t="s">
        <v>108</v>
      </c>
      <c r="L7" s="458"/>
      <c r="M7" s="459" t="s">
        <v>109</v>
      </c>
      <c r="N7" s="453"/>
      <c r="O7" s="459" t="s">
        <v>2</v>
      </c>
      <c r="P7" s="452"/>
      <c r="Q7" s="453"/>
      <c r="R7" s="457" t="s">
        <v>110</v>
      </c>
      <c r="S7" s="460"/>
      <c r="T7" s="464"/>
      <c r="U7" s="461" t="s">
        <v>3</v>
      </c>
      <c r="V7" s="462"/>
      <c r="W7" s="463"/>
      <c r="X7" s="471" t="s">
        <v>4</v>
      </c>
      <c r="Y7" s="462"/>
      <c r="Z7" s="463"/>
      <c r="AA7" s="471" t="s">
        <v>5</v>
      </c>
      <c r="AB7" s="462"/>
      <c r="AC7" s="463"/>
      <c r="AD7" s="471" t="s">
        <v>6</v>
      </c>
      <c r="AE7" s="462"/>
      <c r="AF7" s="463"/>
      <c r="AG7" s="471" t="s">
        <v>7</v>
      </c>
      <c r="AH7" s="462"/>
      <c r="AI7" s="463"/>
      <c r="AJ7" s="472" t="s">
        <v>111</v>
      </c>
      <c r="AK7" s="473"/>
      <c r="AL7" s="474"/>
      <c r="AM7" s="472" t="s">
        <v>112</v>
      </c>
      <c r="AN7" s="473"/>
      <c r="AO7" s="474"/>
      <c r="AP7" s="471" t="s">
        <v>8</v>
      </c>
      <c r="AQ7" s="462"/>
      <c r="AR7" s="463"/>
      <c r="AS7" s="472" t="s">
        <v>113</v>
      </c>
      <c r="AT7" s="473"/>
      <c r="AU7" s="474"/>
      <c r="AV7" s="475" t="s">
        <v>9</v>
      </c>
      <c r="AW7" s="476"/>
      <c r="AX7" s="477"/>
      <c r="AY7" s="481"/>
      <c r="AZ7" s="478" t="s">
        <v>10</v>
      </c>
      <c r="BA7" s="476"/>
      <c r="BB7" s="479"/>
      <c r="BC7" s="480" t="s">
        <v>11</v>
      </c>
      <c r="BD7" s="480"/>
      <c r="BE7" s="480"/>
      <c r="BF7" s="480" t="s">
        <v>12</v>
      </c>
      <c r="BG7" s="480"/>
      <c r="BH7" s="480"/>
      <c r="BI7" s="493" t="s">
        <v>114</v>
      </c>
      <c r="BJ7" s="493"/>
      <c r="BK7" s="493" t="s">
        <v>115</v>
      </c>
      <c r="BL7" s="493"/>
      <c r="BM7" s="493" t="s">
        <v>116</v>
      </c>
      <c r="BN7" s="493"/>
      <c r="BO7" s="493" t="s">
        <v>117</v>
      </c>
      <c r="BP7" s="493"/>
      <c r="BQ7" s="494" t="s">
        <v>118</v>
      </c>
      <c r="BR7" s="495"/>
      <c r="BS7" s="496" t="s">
        <v>119</v>
      </c>
      <c r="BT7" s="497"/>
      <c r="BU7" s="579"/>
      <c r="BV7" s="581" t="s">
        <v>13</v>
      </c>
      <c r="BW7" s="499"/>
      <c r="BX7" s="500"/>
      <c r="BY7" s="582" t="s">
        <v>120</v>
      </c>
      <c r="BZ7" s="582"/>
      <c r="CA7" s="491" t="s">
        <v>121</v>
      </c>
      <c r="CB7" s="492"/>
      <c r="CC7" s="491" t="s">
        <v>122</v>
      </c>
      <c r="CD7" s="492"/>
      <c r="CE7" s="491" t="s">
        <v>123</v>
      </c>
      <c r="CF7" s="492"/>
      <c r="CG7" s="491" t="s">
        <v>124</v>
      </c>
      <c r="CH7" s="492"/>
      <c r="CI7" s="491" t="s">
        <v>125</v>
      </c>
      <c r="CJ7" s="492"/>
      <c r="CK7" s="498" t="s">
        <v>14</v>
      </c>
      <c r="CL7" s="499"/>
      <c r="CM7" s="500"/>
      <c r="CN7" s="498" t="s">
        <v>15</v>
      </c>
      <c r="CO7" s="499"/>
      <c r="CP7" s="500"/>
      <c r="CQ7" s="498" t="s">
        <v>16</v>
      </c>
      <c r="CR7" s="499"/>
      <c r="CS7" s="500"/>
      <c r="CT7" s="501" t="s">
        <v>17</v>
      </c>
      <c r="CU7" s="502"/>
      <c r="CV7" s="506"/>
      <c r="CW7" s="503" t="s">
        <v>181</v>
      </c>
      <c r="CX7" s="504"/>
      <c r="CY7" s="504"/>
      <c r="CZ7" s="504"/>
      <c r="DA7" s="510" t="s">
        <v>176</v>
      </c>
      <c r="DB7" s="449"/>
      <c r="DC7" s="449"/>
      <c r="DD7" s="511"/>
      <c r="DE7" s="510" t="s">
        <v>82</v>
      </c>
      <c r="DF7" s="449"/>
      <c r="DG7" s="449"/>
      <c r="DH7" s="449"/>
      <c r="DI7" s="503" t="s">
        <v>83</v>
      </c>
      <c r="DJ7" s="510"/>
      <c r="DK7" s="510"/>
      <c r="DL7" s="512"/>
      <c r="DM7" s="448" t="s">
        <v>84</v>
      </c>
      <c r="DN7" s="449"/>
      <c r="DO7" s="449"/>
      <c r="DP7" s="450"/>
      <c r="DQ7" s="448" t="s">
        <v>85</v>
      </c>
      <c r="DR7" s="450"/>
      <c r="DS7" s="522"/>
      <c r="DT7" s="519" t="s">
        <v>86</v>
      </c>
      <c r="DU7" s="520"/>
      <c r="DV7" s="527" t="s">
        <v>184</v>
      </c>
      <c r="DW7" s="520"/>
      <c r="DX7" s="528" t="s">
        <v>87</v>
      </c>
      <c r="DY7" s="527"/>
      <c r="DZ7" s="527" t="s">
        <v>88</v>
      </c>
      <c r="EA7" s="520"/>
      <c r="EB7" s="527" t="s">
        <v>89</v>
      </c>
      <c r="EC7" s="520"/>
      <c r="ED7" s="527" t="s">
        <v>90</v>
      </c>
      <c r="EE7" s="532"/>
      <c r="EF7" s="570"/>
      <c r="EG7" s="539" t="s">
        <v>91</v>
      </c>
      <c r="EH7" s="528"/>
      <c r="EI7" s="528" t="s">
        <v>92</v>
      </c>
      <c r="EJ7" s="528"/>
      <c r="EK7" s="528" t="s">
        <v>93</v>
      </c>
      <c r="EL7" s="528"/>
      <c r="EM7" s="528" t="s">
        <v>94</v>
      </c>
      <c r="EN7" s="528"/>
      <c r="EO7" s="528" t="s">
        <v>95</v>
      </c>
      <c r="EP7" s="528"/>
      <c r="EQ7" s="528" t="s">
        <v>183</v>
      </c>
      <c r="ER7" s="540"/>
      <c r="ES7" s="544"/>
      <c r="ET7" s="503" t="s">
        <v>96</v>
      </c>
      <c r="EU7" s="504"/>
      <c r="EV7" s="504" t="s">
        <v>97</v>
      </c>
      <c r="EW7" s="504"/>
      <c r="EX7" s="504" t="s">
        <v>98</v>
      </c>
      <c r="EY7" s="504"/>
      <c r="EZ7" s="504" t="s">
        <v>182</v>
      </c>
      <c r="FA7" s="504"/>
      <c r="FB7" s="504" t="s">
        <v>99</v>
      </c>
      <c r="FC7" s="512"/>
    </row>
    <row r="8" spans="1:159" s="4" customFormat="1" ht="44.25" customHeight="1" thickBot="1" x14ac:dyDescent="0.3">
      <c r="A8" s="445"/>
      <c r="B8" s="44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64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1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7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06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2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0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1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556">
        <f>C10-C9</f>
        <v>550</v>
      </c>
      <c r="E9" s="469">
        <f>'[1]March - 2022'!G9</f>
        <v>425</v>
      </c>
      <c r="F9" s="168">
        <f>'[1]March - 2022'!H9</f>
        <v>126373</v>
      </c>
      <c r="G9" s="467">
        <f>F10-F9</f>
        <v>416</v>
      </c>
      <c r="H9" s="469">
        <f>'[1]March - 2022'!J9</f>
        <v>377</v>
      </c>
      <c r="I9" s="261">
        <f>'[1]March - 2022'!K9</f>
        <v>164625</v>
      </c>
      <c r="J9" s="467">
        <f>I10-I9</f>
        <v>0</v>
      </c>
      <c r="K9" s="261">
        <f>'[1]March - 2022'!N9</f>
        <v>832518</v>
      </c>
      <c r="L9" s="466">
        <f>K10-K9</f>
        <v>228</v>
      </c>
      <c r="M9" s="261">
        <f>'[1]March - 2022'!Q9</f>
        <v>193942</v>
      </c>
      <c r="N9" s="466">
        <f>M10-M9</f>
        <v>0</v>
      </c>
      <c r="O9" s="261">
        <f>'[1]March - 2022'!U9</f>
        <v>59180.43</v>
      </c>
      <c r="P9" s="467">
        <f>O10-O9</f>
        <v>69</v>
      </c>
      <c r="Q9" s="469">
        <f>'[1]March - 2022'!W9</f>
        <v>20</v>
      </c>
      <c r="R9" s="261">
        <f>'[1]March - 2022'!X9</f>
        <v>4524</v>
      </c>
      <c r="S9" s="558">
        <f>R10-R9</f>
        <v>0</v>
      </c>
      <c r="T9" s="465"/>
      <c r="U9" s="266">
        <f>'[1]March - 2022'!AE9</f>
        <v>7385026.3200000003</v>
      </c>
      <c r="V9" s="560">
        <f>U10-U9</f>
        <v>3264.2399999992922</v>
      </c>
      <c r="W9" s="485">
        <f>'[1]March - 2022'!AG9</f>
        <v>2728.3199999993667</v>
      </c>
      <c r="X9" s="254">
        <f>'[1]March - 2022'!AH9</f>
        <v>14135474.640000001</v>
      </c>
      <c r="Y9" s="467">
        <f>X10-X9</f>
        <v>4725.839999999851</v>
      </c>
      <c r="Z9" s="485">
        <f>'[1]March - 2022'!AJ9</f>
        <v>4433.5199999976903</v>
      </c>
      <c r="AA9" s="254">
        <f>'[1]March - 2022'!AK9</f>
        <v>13909754.880000001</v>
      </c>
      <c r="AB9" s="467">
        <f>AA10-AA9</f>
        <v>584.6399999987334</v>
      </c>
      <c r="AC9" s="485">
        <f>'[1]March - 2022'!AM9</f>
        <v>48.720000000670552</v>
      </c>
      <c r="AD9" s="254">
        <f>'[1]March - 2022'!AN9</f>
        <v>16967032.32</v>
      </c>
      <c r="AE9" s="467">
        <f>AD10-AD9</f>
        <v>2289.839999999851</v>
      </c>
      <c r="AF9" s="485">
        <f>'[1]March - 2022'!AP9</f>
        <v>48.720000000670552</v>
      </c>
      <c r="AG9" s="254">
        <f>'[1]March - 2022'!AQ9</f>
        <v>17352212.639999997</v>
      </c>
      <c r="AH9" s="467">
        <f>AG10-AG9</f>
        <v>6284.8800000026822</v>
      </c>
      <c r="AI9" s="485">
        <f>'[1]March - 2022'!AS9</f>
        <v>7990.0800000000745</v>
      </c>
      <c r="AJ9" s="254">
        <f>'[1]March - 2022'!AT9</f>
        <v>15947907.359999999</v>
      </c>
      <c r="AK9" s="467">
        <f>AJ10-AJ9</f>
        <v>5651.5200000014156</v>
      </c>
      <c r="AL9" s="485">
        <f>'[1]March - 2022'!AV9</f>
        <v>4969.4400000013411</v>
      </c>
      <c r="AM9" s="254">
        <f>'[1]March - 2022'!AW9</f>
        <v>13518484.559999999</v>
      </c>
      <c r="AN9" s="467">
        <f>AM10-AM9</f>
        <v>3897.6000000014901</v>
      </c>
      <c r="AO9" s="485">
        <f>'[1]March - 2022'!AY9</f>
        <v>3995.0399999991059</v>
      </c>
      <c r="AP9" s="254">
        <f>'[1]March - 2022'!AZ9</f>
        <v>13010481.119999999</v>
      </c>
      <c r="AQ9" s="467">
        <f>AP10-AP9</f>
        <v>4530.9600000008941</v>
      </c>
      <c r="AR9" s="485">
        <f>'[1]March - 2022'!BB9</f>
        <v>3946.3199999984354</v>
      </c>
      <c r="AS9" s="254">
        <f>'[1]March - 2022'!BC9</f>
        <v>10347251.040000001</v>
      </c>
      <c r="AT9" s="467">
        <f>AS10-AS9</f>
        <v>2679.5999999996275</v>
      </c>
      <c r="AU9" s="485">
        <f>'[1]March - 2022'!BE9</f>
        <v>2971.9200000017881</v>
      </c>
      <c r="AV9" s="254">
        <f>'[1]March - 2022'!BF9</f>
        <v>16105029.360000001</v>
      </c>
      <c r="AW9" s="467">
        <f>AV10-AV9</f>
        <v>5456.6399999987334</v>
      </c>
      <c r="AX9" s="487">
        <f>'[1]March - 2022'!BH9</f>
        <v>5261.7599999997765</v>
      </c>
      <c r="AY9" s="482"/>
      <c r="AZ9" s="269">
        <f>'[1]March - 2022'!BM9</f>
        <v>69009400</v>
      </c>
      <c r="BA9" s="489">
        <f>AZ10-AZ9</f>
        <v>0</v>
      </c>
      <c r="BB9" s="483">
        <f>'[1]March - 2022'!BO9</f>
        <v>0</v>
      </c>
      <c r="BC9" s="269">
        <f>'[1]March - 2022'!BP9</f>
        <v>71613900</v>
      </c>
      <c r="BD9" s="489">
        <f>BC10-BC9</f>
        <v>14700</v>
      </c>
      <c r="BE9" s="483">
        <f>'[1]March - 2022'!BR9</f>
        <v>0</v>
      </c>
      <c r="BF9" s="269">
        <f>'[1]March - 2022'!BS9</f>
        <v>66152700</v>
      </c>
      <c r="BG9" s="489">
        <f>BF10-BF9</f>
        <v>30400</v>
      </c>
      <c r="BH9" s="483">
        <f>'[1]March - 2022'!BU9</f>
        <v>37400</v>
      </c>
      <c r="BI9" s="26"/>
      <c r="BJ9" s="46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563">
        <f>BS10-BS9</f>
        <v>5690</v>
      </c>
      <c r="BU9" s="579"/>
      <c r="BV9" s="88">
        <f>'[1]March - 2022'!BY9</f>
        <v>0.74</v>
      </c>
      <c r="BW9" s="574">
        <f>BV10-BV9</f>
        <v>-6.9999999999999951E-2</v>
      </c>
      <c r="BX9" s="576">
        <f>'[1]March - 2022'!$CA$9</f>
        <v>6.0000000000000053E-2</v>
      </c>
      <c r="BY9" s="89">
        <f>'[1]March - 2022'!CB9</f>
        <v>58604</v>
      </c>
      <c r="BZ9" s="562">
        <f>BY10-BY9</f>
        <v>18</v>
      </c>
      <c r="CA9" s="89">
        <f>'[1]March - 2022'!CD9</f>
        <v>50104</v>
      </c>
      <c r="CB9" s="562">
        <f>CA10-CA9</f>
        <v>18</v>
      </c>
      <c r="CC9" s="89">
        <f>'[1]March - 2022'!CF9</f>
        <v>17144</v>
      </c>
      <c r="CD9" s="562">
        <f>CC10-CC9</f>
        <v>6</v>
      </c>
      <c r="CE9" s="89">
        <f>'[1]March - 2022'!CH9</f>
        <v>22942</v>
      </c>
      <c r="CF9" s="562">
        <f>CE10-CE9</f>
        <v>11</v>
      </c>
      <c r="CG9" s="89">
        <f>'[1]March - 2022'!CJ9</f>
        <v>25009</v>
      </c>
      <c r="CH9" s="562">
        <f>CG10-CG9</f>
        <v>15</v>
      </c>
      <c r="CI9" s="89">
        <f>'[1]March - 2022'!CL9</f>
        <v>55485</v>
      </c>
      <c r="CJ9" s="562">
        <f>CI10-CI9</f>
        <v>28</v>
      </c>
      <c r="CK9" s="89">
        <f>'[1]March - 2022'!CN9</f>
        <v>242638</v>
      </c>
      <c r="CL9" s="562">
        <f>CK10-CK9</f>
        <v>99</v>
      </c>
      <c r="CM9" s="513">
        <f>'[1]March - 2022'!CP9</f>
        <v>91.660000000003492</v>
      </c>
      <c r="CN9" s="89">
        <f>'[1]March - 2022'!CQ9</f>
        <v>189745</v>
      </c>
      <c r="CO9" s="562">
        <f>CN10-CN9</f>
        <v>114</v>
      </c>
      <c r="CP9" s="513">
        <f>'[1]March - 2022'!CS9</f>
        <v>94.020000000018626</v>
      </c>
      <c r="CQ9" s="89">
        <f>'[1]March - 2022'!CT9</f>
        <v>342319</v>
      </c>
      <c r="CR9" s="562">
        <f>CQ10-CQ9</f>
        <v>269</v>
      </c>
      <c r="CS9" s="513">
        <f>'[1]March - 2022'!CV9</f>
        <v>306.1600000000326</v>
      </c>
      <c r="CT9" s="89">
        <f>'[1]March - 2022'!CW9</f>
        <v>639149</v>
      </c>
      <c r="CU9" s="515">
        <f>CT10-CT9</f>
        <v>222</v>
      </c>
      <c r="CV9" s="506"/>
      <c r="CW9" s="284">
        <f>'[1]March - 2022'!CZ9</f>
        <v>7111</v>
      </c>
      <c r="CX9" s="517">
        <f>CW10-CW9</f>
        <v>9</v>
      </c>
      <c r="CY9" s="285">
        <f>'[1]March - 2022'!DB9</f>
        <v>4504</v>
      </c>
      <c r="CZ9" s="517">
        <f>CY10-CY9</f>
        <v>9</v>
      </c>
      <c r="DA9" s="285">
        <f>'[1]March - 2022'!DD9</f>
        <v>28248</v>
      </c>
      <c r="DB9" s="517">
        <f>DA10-DA9</f>
        <v>16</v>
      </c>
      <c r="DC9" s="285">
        <f>'[1]March - 2022'!DF9</f>
        <v>28903</v>
      </c>
      <c r="DD9" s="517">
        <f>DC10-DC9</f>
        <v>16</v>
      </c>
      <c r="DE9" s="285">
        <f>'[1]March - 2022'!DH9</f>
        <v>19404</v>
      </c>
      <c r="DF9" s="517">
        <f>DE10-DE9</f>
        <v>9</v>
      </c>
      <c r="DG9" s="285">
        <f>'[1]March - 2022'!DJ9</f>
        <v>22445</v>
      </c>
      <c r="DH9" s="517">
        <f>DG10-DG9</f>
        <v>8</v>
      </c>
      <c r="DI9" s="285">
        <f>'[1]March - 2022'!DL9</f>
        <v>4158</v>
      </c>
      <c r="DJ9" s="517">
        <f>DI10-DI9</f>
        <v>13</v>
      </c>
      <c r="DK9" s="285">
        <f>'[1]March - 2022'!DN9</f>
        <v>7684</v>
      </c>
      <c r="DL9" s="517">
        <f>DK10-DK9</f>
        <v>6</v>
      </c>
      <c r="DM9" s="285">
        <f>'[1]March - 2022'!DP9</f>
        <v>2173</v>
      </c>
      <c r="DN9" s="517">
        <f>DM10-DM9</f>
        <v>5</v>
      </c>
      <c r="DO9" s="285">
        <f>'[1]March - 2022'!DR9</f>
        <v>4171</v>
      </c>
      <c r="DP9" s="517">
        <f>DO10-DO9</f>
        <v>6</v>
      </c>
      <c r="DQ9" s="285">
        <f>'[1]March - 2022'!DT9</f>
        <v>26771</v>
      </c>
      <c r="DR9" s="572">
        <f>DQ10-DQ9</f>
        <v>10</v>
      </c>
      <c r="DS9" s="522"/>
      <c r="DT9" s="209">
        <f>'[1]March - 2022'!DW9</f>
        <v>3833.8</v>
      </c>
      <c r="DU9" s="535">
        <f>DT10-DT9</f>
        <v>9.0999999999999091</v>
      </c>
      <c r="DV9" s="91">
        <f>'[1]March - 2022'!DY9</f>
        <v>8804.6</v>
      </c>
      <c r="DW9" s="533">
        <f>DV10-DV9</f>
        <v>7.3999999999996362</v>
      </c>
      <c r="DX9" s="91">
        <f>'[1]March - 2022'!EA9</f>
        <v>2903.3</v>
      </c>
      <c r="DY9" s="535">
        <f>DX10-DX9</f>
        <v>7</v>
      </c>
      <c r="DZ9" s="91">
        <f>'[1]March - 2022'!EC9</f>
        <v>3042.2</v>
      </c>
      <c r="EA9" s="535">
        <f>DZ10-DZ9</f>
        <v>7.1000000000003638</v>
      </c>
      <c r="EB9" s="91">
        <f>'[1]March - 2022'!EE9</f>
        <v>917682</v>
      </c>
      <c r="EC9" s="535">
        <f>EB10-EB9</f>
        <v>501</v>
      </c>
      <c r="ED9" s="91">
        <f>'[1]March - 2022'!EI9</f>
        <v>188934.7</v>
      </c>
      <c r="EE9" s="537">
        <f>ED10-ED9</f>
        <v>153</v>
      </c>
      <c r="EF9" s="570"/>
      <c r="EG9" s="234">
        <f>'[1]March - 2022'!EL9</f>
        <v>10630800</v>
      </c>
      <c r="EH9" s="546">
        <f>EG10-EG9</f>
        <v>3100</v>
      </c>
      <c r="EI9" s="90">
        <f>'[1]March - 2022'!EN9</f>
        <v>847840</v>
      </c>
      <c r="EJ9" s="546">
        <f>EI10-EI9</f>
        <v>270</v>
      </c>
      <c r="EK9" s="90">
        <f>'[1]March - 2022'!EP9</f>
        <v>6452500</v>
      </c>
      <c r="EL9" s="546">
        <f>EK10-EK9</f>
        <v>300</v>
      </c>
      <c r="EM9" s="90">
        <f>'[1]March - 2022'!ER9</f>
        <v>2274400</v>
      </c>
      <c r="EN9" s="546">
        <f>EM10-EM9</f>
        <v>500</v>
      </c>
      <c r="EO9" s="90">
        <f>'[1]March - 2022'!ET9</f>
        <v>1048580</v>
      </c>
      <c r="EP9" s="546">
        <f>EO10-EO9</f>
        <v>610</v>
      </c>
      <c r="EQ9" s="90">
        <f>'[1]March - 2022'!EV9</f>
        <v>14474300</v>
      </c>
      <c r="ER9" s="554">
        <f>EQ10-EQ9</f>
        <v>3200</v>
      </c>
      <c r="ES9" s="544"/>
      <c r="ET9" s="278">
        <f>'[1]March - 2022'!EY9</f>
        <v>38661</v>
      </c>
      <c r="EU9" s="518">
        <f>ET10-ET9</f>
        <v>13</v>
      </c>
      <c r="EV9" s="279">
        <f>'[1]March - 2022'!FA9</f>
        <v>33503</v>
      </c>
      <c r="EW9" s="518">
        <f>EV10-EV9</f>
        <v>12</v>
      </c>
      <c r="EX9" s="279">
        <f>'[1]March - 2022'!FC9</f>
        <v>4594</v>
      </c>
      <c r="EY9" s="549">
        <f>EX10-EX9</f>
        <v>11</v>
      </c>
      <c r="EZ9" s="279">
        <f>'[1]March - 2022'!FE9</f>
        <v>55638</v>
      </c>
      <c r="FA9" s="518">
        <f>EZ10-EZ9</f>
        <v>16</v>
      </c>
      <c r="FB9" s="279">
        <f>'[1]March - 2022'!FG9</f>
        <v>40317</v>
      </c>
      <c r="FC9" s="550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557"/>
      <c r="E10" s="470"/>
      <c r="F10" s="168">
        <f>'[1]March - 2022'!H10</f>
        <v>126789</v>
      </c>
      <c r="G10" s="468"/>
      <c r="H10" s="470"/>
      <c r="I10" s="168">
        <f>'[1]March - 2022'!K10</f>
        <v>164625</v>
      </c>
      <c r="J10" s="468"/>
      <c r="K10" s="168">
        <f>'[1]March - 2022'!N10</f>
        <v>832746</v>
      </c>
      <c r="L10" s="467"/>
      <c r="M10" s="168">
        <f>'[1]March - 2022'!Q10</f>
        <v>193942</v>
      </c>
      <c r="N10" s="467"/>
      <c r="O10" s="261">
        <f>'[1]March - 2022'!U10</f>
        <v>59249.43</v>
      </c>
      <c r="P10" s="468"/>
      <c r="Q10" s="470"/>
      <c r="R10" s="261">
        <f>'[1]March - 2022'!X10</f>
        <v>4524</v>
      </c>
      <c r="S10" s="559"/>
      <c r="T10" s="465"/>
      <c r="U10" s="266">
        <f>'[1]March - 2022'!AE10</f>
        <v>7388290.5599999996</v>
      </c>
      <c r="V10" s="561"/>
      <c r="W10" s="486"/>
      <c r="X10" s="286">
        <f>'[1]March - 2022'!AH10</f>
        <v>14140200.48</v>
      </c>
      <c r="Y10" s="468"/>
      <c r="Z10" s="486"/>
      <c r="AA10" s="286">
        <f>'[1]March - 2022'!AK10</f>
        <v>13910339.52</v>
      </c>
      <c r="AB10" s="468"/>
      <c r="AC10" s="486"/>
      <c r="AD10" s="286">
        <f>'[1]March - 2022'!AN10</f>
        <v>16969322.16</v>
      </c>
      <c r="AE10" s="468"/>
      <c r="AF10" s="486"/>
      <c r="AG10" s="286">
        <f>'[1]March - 2022'!AQ10</f>
        <v>17358497.52</v>
      </c>
      <c r="AH10" s="468"/>
      <c r="AI10" s="486"/>
      <c r="AJ10" s="286">
        <f>'[1]March - 2022'!AT10</f>
        <v>15953558.880000001</v>
      </c>
      <c r="AK10" s="468"/>
      <c r="AL10" s="486"/>
      <c r="AM10" s="286">
        <f>'[1]March - 2022'!AW10</f>
        <v>13522382.16</v>
      </c>
      <c r="AN10" s="468"/>
      <c r="AO10" s="486"/>
      <c r="AP10" s="286">
        <f>'[1]March - 2022'!AZ10</f>
        <v>13015012.08</v>
      </c>
      <c r="AQ10" s="468"/>
      <c r="AR10" s="486"/>
      <c r="AS10" s="286">
        <f>'[1]March - 2022'!BC10</f>
        <v>10349930.640000001</v>
      </c>
      <c r="AT10" s="468"/>
      <c r="AU10" s="486"/>
      <c r="AV10" s="286">
        <f>'[1]March - 2022'!BF10</f>
        <v>16110486</v>
      </c>
      <c r="AW10" s="468"/>
      <c r="AX10" s="488"/>
      <c r="AY10" s="482"/>
      <c r="AZ10" s="269">
        <f>'[1]March - 2022'!BM10</f>
        <v>69009400</v>
      </c>
      <c r="BA10" s="490"/>
      <c r="BB10" s="484"/>
      <c r="BC10" s="269">
        <f>'[1]March - 2022'!BP10</f>
        <v>71628600</v>
      </c>
      <c r="BD10" s="490"/>
      <c r="BE10" s="484"/>
      <c r="BF10" s="269">
        <f>'[1]March - 2022'!BS10</f>
        <v>66183100</v>
      </c>
      <c r="BG10" s="490"/>
      <c r="BH10" s="484"/>
      <c r="BI10" s="25"/>
      <c r="BJ10" s="46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573"/>
      <c r="BU10" s="579"/>
      <c r="BV10" s="88">
        <f>'[1]March - 2022'!BY10</f>
        <v>0.67</v>
      </c>
      <c r="BW10" s="575"/>
      <c r="BX10" s="577"/>
      <c r="BY10" s="89">
        <f>'[1]March - 2022'!CB10</f>
        <v>58622</v>
      </c>
      <c r="BZ10" s="563"/>
      <c r="CA10" s="89">
        <f>'[1]March - 2022'!CD10</f>
        <v>50122</v>
      </c>
      <c r="CB10" s="563"/>
      <c r="CC10" s="89">
        <f>'[1]March - 2022'!CF10</f>
        <v>17150</v>
      </c>
      <c r="CD10" s="563"/>
      <c r="CE10" s="89">
        <f>'[1]March - 2022'!CH10</f>
        <v>22953</v>
      </c>
      <c r="CF10" s="563"/>
      <c r="CG10" s="89">
        <f>'[1]March - 2022'!CJ10</f>
        <v>25024</v>
      </c>
      <c r="CH10" s="563"/>
      <c r="CI10" s="89">
        <f>'[1]March - 2022'!CL10</f>
        <v>55513</v>
      </c>
      <c r="CJ10" s="563"/>
      <c r="CK10" s="89">
        <f>'[1]March - 2022'!CN10</f>
        <v>242737</v>
      </c>
      <c r="CL10" s="563"/>
      <c r="CM10" s="514"/>
      <c r="CN10" s="89">
        <f>'[1]March - 2022'!CQ10</f>
        <v>189859</v>
      </c>
      <c r="CO10" s="563"/>
      <c r="CP10" s="514"/>
      <c r="CQ10" s="89">
        <f>'[1]March - 2022'!CT10</f>
        <v>342588</v>
      </c>
      <c r="CR10" s="563"/>
      <c r="CS10" s="514"/>
      <c r="CT10" s="89">
        <f>'[1]March - 2022'!CW10</f>
        <v>639371</v>
      </c>
      <c r="CU10" s="516"/>
      <c r="CV10" s="506"/>
      <c r="CW10" s="284">
        <f>'[1]March - 2022'!CZ10</f>
        <v>7120</v>
      </c>
      <c r="CX10" s="518"/>
      <c r="CY10" s="285">
        <f>'[1]March - 2022'!DB10</f>
        <v>4513</v>
      </c>
      <c r="CZ10" s="518"/>
      <c r="DA10" s="285">
        <f>'[1]March - 2022'!DD10</f>
        <v>28264</v>
      </c>
      <c r="DB10" s="518"/>
      <c r="DC10" s="285">
        <f>'[1]March - 2022'!DF10</f>
        <v>28919</v>
      </c>
      <c r="DD10" s="518"/>
      <c r="DE10" s="285">
        <f>'[1]March - 2022'!DH10</f>
        <v>19413</v>
      </c>
      <c r="DF10" s="518"/>
      <c r="DG10" s="285">
        <f>'[1]March - 2022'!DJ10</f>
        <v>22453</v>
      </c>
      <c r="DH10" s="518"/>
      <c r="DI10" s="285">
        <f>'[1]March - 2022'!DL10</f>
        <v>4171</v>
      </c>
      <c r="DJ10" s="518"/>
      <c r="DK10" s="285">
        <f>'[1]March - 2022'!DN10</f>
        <v>7690</v>
      </c>
      <c r="DL10" s="518"/>
      <c r="DM10" s="285">
        <f>'[1]March - 2022'!DP10</f>
        <v>2178</v>
      </c>
      <c r="DN10" s="518"/>
      <c r="DO10" s="285">
        <f>'[1]March - 2022'!DR10</f>
        <v>4177</v>
      </c>
      <c r="DP10" s="518"/>
      <c r="DQ10" s="285">
        <f>'[1]March - 2022'!DT10</f>
        <v>26781</v>
      </c>
      <c r="DR10" s="550"/>
      <c r="DS10" s="522"/>
      <c r="DT10" s="209">
        <f>'[1]March - 2022'!DW10</f>
        <v>3842.9</v>
      </c>
      <c r="DU10" s="536"/>
      <c r="DV10" s="91">
        <f>'[1]March - 2022'!DY10</f>
        <v>8812</v>
      </c>
      <c r="DW10" s="534"/>
      <c r="DX10" s="91">
        <f>'[1]March - 2022'!EA10</f>
        <v>2910.3</v>
      </c>
      <c r="DY10" s="536"/>
      <c r="DZ10" s="91">
        <f>'[1]March - 2022'!EC10</f>
        <v>3049.3</v>
      </c>
      <c r="EA10" s="536"/>
      <c r="EB10" s="91">
        <f>'[1]March - 2022'!EE10</f>
        <v>918183</v>
      </c>
      <c r="EC10" s="536"/>
      <c r="ED10" s="91">
        <f>'[1]March - 2022'!EI10</f>
        <v>189087.7</v>
      </c>
      <c r="EE10" s="538"/>
      <c r="EF10" s="570"/>
      <c r="EG10" s="234">
        <f>'[1]March - 2022'!EL10</f>
        <v>10633900</v>
      </c>
      <c r="EH10" s="547"/>
      <c r="EI10" s="90">
        <f>'[1]March - 2022'!EN10</f>
        <v>848110</v>
      </c>
      <c r="EJ10" s="547"/>
      <c r="EK10" s="90">
        <f>'[1]March - 2022'!EP10</f>
        <v>6452800</v>
      </c>
      <c r="EL10" s="547"/>
      <c r="EM10" s="90">
        <f>'[1]March - 2022'!ER10</f>
        <v>2274900</v>
      </c>
      <c r="EN10" s="547"/>
      <c r="EO10" s="90">
        <f>'[1]March - 2022'!ET10</f>
        <v>1049190</v>
      </c>
      <c r="EP10" s="547"/>
      <c r="EQ10" s="90">
        <f>'[1]March - 2022'!EV10</f>
        <v>14477500</v>
      </c>
      <c r="ER10" s="555"/>
      <c r="ES10" s="544"/>
      <c r="ET10" s="278">
        <f>'[1]March - 2022'!EY10</f>
        <v>38674</v>
      </c>
      <c r="EU10" s="548"/>
      <c r="EV10" s="279">
        <f>'[1]March - 2022'!FA10</f>
        <v>33515</v>
      </c>
      <c r="EW10" s="548"/>
      <c r="EX10" s="279">
        <f>'[1]March - 2022'!FC10</f>
        <v>4605</v>
      </c>
      <c r="EY10" s="548"/>
      <c r="EZ10" s="279">
        <f>'[1]March - 2022'!FE10</f>
        <v>55654</v>
      </c>
      <c r="FA10" s="548"/>
      <c r="FB10" s="279">
        <f>'[1]March - 2022'!FG10</f>
        <v>40344</v>
      </c>
      <c r="FC10" s="551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465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82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579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506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522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570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54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465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82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579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506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522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570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54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465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82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579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506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522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570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54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465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82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579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506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522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570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54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465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82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579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506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522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570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54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465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82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579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506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522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570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54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465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82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579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506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522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570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54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465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82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579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506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522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570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54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0.89</v>
      </c>
      <c r="C19" s="249">
        <f>'[1]March - 2022'!E19</f>
        <v>74178</v>
      </c>
      <c r="D19" s="169">
        <f>'[1]March - 2022'!F19</f>
        <v>682</v>
      </c>
      <c r="E19" s="168">
        <f>'[1]March - 2022'!G19</f>
        <v>425</v>
      </c>
      <c r="F19" s="168">
        <f>'[1]March - 2022'!H19</f>
        <v>130920</v>
      </c>
      <c r="G19" s="169">
        <f>'[1]March - 2022'!I19</f>
        <v>481</v>
      </c>
      <c r="H19" s="168">
        <f>'[1]March - 2022'!J19</f>
        <v>377</v>
      </c>
      <c r="I19" s="168">
        <f>'[1]March - 2022'!K19</f>
        <v>164625</v>
      </c>
      <c r="J19" s="169">
        <f>'[1]March - 2022'!L19</f>
        <v>0</v>
      </c>
      <c r="K19" s="168">
        <f>'[1]March - 2022'!N19</f>
        <v>834880</v>
      </c>
      <c r="L19" s="169">
        <f>'[1]March - 2022'!O19</f>
        <v>141</v>
      </c>
      <c r="M19" s="168">
        <f>'[1]March - 2022'!Q19</f>
        <v>194379</v>
      </c>
      <c r="N19" s="169">
        <f>'[1]March - 2022'!R19</f>
        <v>25</v>
      </c>
      <c r="O19" s="261">
        <f>'[1]March - 2022'!U19</f>
        <v>60105.7</v>
      </c>
      <c r="P19" s="169">
        <f>'[1]March - 2022'!V19</f>
        <v>116.45999999999913</v>
      </c>
      <c r="Q19" s="168">
        <f>'[1]March - 2022'!W19</f>
        <v>25</v>
      </c>
      <c r="R19" s="261">
        <f>'[1]March - 2022'!X19</f>
        <v>4649</v>
      </c>
      <c r="S19" s="207">
        <f>'[1]March - 2022'!Y19</f>
        <v>17</v>
      </c>
      <c r="T19" s="465"/>
      <c r="U19" s="266">
        <f>'[1]March - 2022'!AE19</f>
        <v>7410945.3599999994</v>
      </c>
      <c r="V19" s="287">
        <f>'[1]March - 2022'!AF19</f>
        <v>2777.0399999991059</v>
      </c>
      <c r="W19" s="92">
        <f>'[1]March - 2022'!AG19</f>
        <v>1753.9200000008568</v>
      </c>
      <c r="X19" s="286">
        <f>'[1]March - 2022'!AH19</f>
        <v>14183220.24</v>
      </c>
      <c r="Y19" s="287">
        <f>'[1]March - 2022'!AI19</f>
        <v>4725.839999999851</v>
      </c>
      <c r="Z19" s="92">
        <f>'[1]March - 2022'!AJ19</f>
        <v>4384.8000000007451</v>
      </c>
      <c r="AA19" s="286">
        <f>'[1]March - 2022'!AK19</f>
        <v>13960862.16</v>
      </c>
      <c r="AB19" s="287">
        <f>'[1]March - 2022'!AL19</f>
        <v>974.40000000037253</v>
      </c>
      <c r="AC19" s="92">
        <f>'[1]March - 2022'!AM19</f>
        <v>9208.0800000019372</v>
      </c>
      <c r="AD19" s="286">
        <f>'[1]March - 2022'!AN19</f>
        <v>16970783.760000002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17400348</v>
      </c>
      <c r="AH19" s="287">
        <f>'[1]March - 2022'!AR19</f>
        <v>10231.199999999255</v>
      </c>
      <c r="AI19" s="92">
        <f>'[1]March - 2022'!AS19</f>
        <v>292.32000000029802</v>
      </c>
      <c r="AJ19" s="286">
        <f>'[1]March - 2022'!AT19</f>
        <v>16004714.880000001</v>
      </c>
      <c r="AK19" s="287">
        <f>'[1]March - 2022'!AU19</f>
        <v>5554.0800000019372</v>
      </c>
      <c r="AL19" s="92">
        <f>'[1]March - 2022'!AV19</f>
        <v>5115.5999999996275</v>
      </c>
      <c r="AM19" s="286">
        <f>'[1]March - 2022'!AW19</f>
        <v>13560042.719999999</v>
      </c>
      <c r="AN19" s="287">
        <f>'[1]March - 2022'!AX19</f>
        <v>4336.0799999982119</v>
      </c>
      <c r="AO19" s="92">
        <f>'[1]March - 2022'!AY19</f>
        <v>3946.320000000298</v>
      </c>
      <c r="AP19" s="286">
        <f>'[1]March - 2022'!AZ19</f>
        <v>13056862.559999999</v>
      </c>
      <c r="AQ19" s="287">
        <f>'[1]March - 2022'!BD19</f>
        <v>3312.9599999990314</v>
      </c>
      <c r="AR19" s="92">
        <f>'[1]March - 2022'!BB19</f>
        <v>3897.5999999996275</v>
      </c>
      <c r="AS19" s="286">
        <f>'[1]March - 2022'!BC19</f>
        <v>10378090.799999999</v>
      </c>
      <c r="AT19" s="287">
        <f>'[1]March - 2022'!BD19</f>
        <v>3312.9599999990314</v>
      </c>
      <c r="AU19" s="92">
        <f>'[1]March - 2022'!BE19</f>
        <v>2777.0400000009686</v>
      </c>
      <c r="AV19" s="286">
        <f>'[1]March - 2022'!BF19</f>
        <v>16163201.039999999</v>
      </c>
      <c r="AW19" s="251">
        <f>'[1]March - 2022'!BG19</f>
        <v>5505.359999999404</v>
      </c>
      <c r="AX19" s="252">
        <f>'[1]March - 2022'!BH19</f>
        <v>6041.2799999993294</v>
      </c>
      <c r="AY19" s="482"/>
      <c r="AZ19" s="269">
        <f>'[1]March - 2022'!BM19</f>
        <v>69258000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71628600</v>
      </c>
      <c r="BD19" s="244">
        <f>'[1]March - 2022'!BQ19</f>
        <v>0</v>
      </c>
      <c r="BE19" s="93">
        <f>'[1]March - 2022'!BR19</f>
        <v>0</v>
      </c>
      <c r="BF19" s="269">
        <f>'[1]March - 2022'!BS19</f>
        <v>66398000</v>
      </c>
      <c r="BG19" s="244">
        <f>'[1]March - 2022'!BT19</f>
        <v>56900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8231260</v>
      </c>
      <c r="BT19" s="184">
        <f>'[1]March - 2022'!BW19</f>
        <v>6500</v>
      </c>
      <c r="BU19" s="579"/>
      <c r="BV19" s="88">
        <f>'[1]March - 2022'!BY19</f>
        <v>0.73</v>
      </c>
      <c r="BW19" s="240">
        <f>'[1]March - 2022'!BZ19</f>
        <v>-0.18999999999999995</v>
      </c>
      <c r="BX19" s="88">
        <f>'[1]March - 2022'!CA19</f>
        <v>6.0000000000000053E-2</v>
      </c>
      <c r="BY19" s="89">
        <f>'[1]March - 2022'!CB19</f>
        <v>58775</v>
      </c>
      <c r="BZ19" s="190">
        <f>'[1]March - 2022'!CC19</f>
        <v>17</v>
      </c>
      <c r="CA19" s="89">
        <f>'[1]March - 2022'!CD19</f>
        <v>50285</v>
      </c>
      <c r="CB19" s="190">
        <f>'[1]March - 2022'!CE19</f>
        <v>18</v>
      </c>
      <c r="CC19" s="89">
        <f>'[1]March - 2022'!CF19</f>
        <v>17201</v>
      </c>
      <c r="CD19" s="190">
        <f>'[1]March - 2022'!CG19</f>
        <v>6</v>
      </c>
      <c r="CE19" s="89">
        <f>'[1]March - 2022'!CH19</f>
        <v>23040</v>
      </c>
      <c r="CF19" s="190">
        <f>'[1]March - 2022'!CI19</f>
        <v>9</v>
      </c>
      <c r="CG19" s="89">
        <f>'[1]March - 2022'!CJ19</f>
        <v>25145</v>
      </c>
      <c r="CH19" s="190">
        <f>'[1]March - 2022'!CK19</f>
        <v>13</v>
      </c>
      <c r="CI19" s="89">
        <f>'[1]March - 2022'!CL19</f>
        <v>55764</v>
      </c>
      <c r="CJ19" s="190">
        <f>'[1]March - 2022'!CM19</f>
        <v>30</v>
      </c>
      <c r="CK19" s="89">
        <f>'[1]March - 2022'!CN19</f>
        <v>243640</v>
      </c>
      <c r="CL19" s="245">
        <f>'[1]March - 2022'!CO19</f>
        <v>100</v>
      </c>
      <c r="CM19" s="89">
        <f>'[1]March - 2022'!CP19</f>
        <v>92</v>
      </c>
      <c r="CN19" s="89">
        <f>'[1]March - 2022'!CQ19</f>
        <v>190908</v>
      </c>
      <c r="CO19" s="245">
        <f>'[1]March - 2022'!CR19</f>
        <v>106</v>
      </c>
      <c r="CP19" s="89">
        <f>'[1]March - 2022'!CS19</f>
        <v>96</v>
      </c>
      <c r="CQ19" s="89">
        <f>'[1]March - 2022'!CT19</f>
        <v>344199</v>
      </c>
      <c r="CR19" s="245">
        <f>'[1]March - 2022'!CU19</f>
        <v>165</v>
      </c>
      <c r="CS19" s="89">
        <f>'[1]March - 2022'!CV19</f>
        <v>234</v>
      </c>
      <c r="CT19" s="89">
        <f>'[1]March - 2022'!CW19</f>
        <v>641364</v>
      </c>
      <c r="CU19" s="190">
        <f>'[1]March - 2022'!CX19</f>
        <v>212</v>
      </c>
      <c r="CV19" s="506"/>
      <c r="CW19" s="284">
        <f>'[1]March - 2022'!CZ19</f>
        <v>7205</v>
      </c>
      <c r="CX19" s="197">
        <f>'[1]March - 2022'!DA19</f>
        <v>12</v>
      </c>
      <c r="CY19" s="285">
        <f>'[1]March - 2022'!DB19</f>
        <v>4590</v>
      </c>
      <c r="CZ19" s="197">
        <f>'[1]March - 2022'!DC19</f>
        <v>10</v>
      </c>
      <c r="DA19" s="285">
        <f>'[1]March - 2022'!DD19</f>
        <v>28442</v>
      </c>
      <c r="DB19" s="197">
        <f>'[1]March - 2022'!DE19</f>
        <v>22</v>
      </c>
      <c r="DC19" s="285">
        <f>'[1]March - 2022'!DF19</f>
        <v>29058</v>
      </c>
      <c r="DD19" s="197">
        <f>'[1]March - 2022'!DG19</f>
        <v>15</v>
      </c>
      <c r="DE19" s="285">
        <f>'[1]March - 2022'!DH19</f>
        <v>19504</v>
      </c>
      <c r="DF19" s="197">
        <f>'[1]March - 2022'!DI19</f>
        <v>10</v>
      </c>
      <c r="DG19" s="285">
        <f>'[1]March - 2022'!DJ19</f>
        <v>22521</v>
      </c>
      <c r="DH19" s="197">
        <f>'[1]March - 2022'!DK19</f>
        <v>6</v>
      </c>
      <c r="DI19" s="285">
        <f>'[1]March - 2022'!DL19</f>
        <v>4290</v>
      </c>
      <c r="DJ19" s="197">
        <f>'[1]March - 2022'!DM19</f>
        <v>7</v>
      </c>
      <c r="DK19" s="285">
        <f>'[1]March - 2022'!DN19</f>
        <v>7750</v>
      </c>
      <c r="DL19" s="197">
        <f>'[1]March - 2022'!DO19</f>
        <v>9</v>
      </c>
      <c r="DM19" s="285">
        <f>'[1]March - 2022'!DP19</f>
        <v>2223</v>
      </c>
      <c r="DN19" s="197">
        <f>'[1]March - 2022'!DQ19</f>
        <v>6</v>
      </c>
      <c r="DO19" s="285">
        <f>'[1]March - 2022'!DR19</f>
        <v>4241</v>
      </c>
      <c r="DP19" s="197">
        <f>'[1]March - 2022'!DS19</f>
        <v>8</v>
      </c>
      <c r="DQ19" s="285">
        <f>'[1]March - 2022'!DT19</f>
        <v>26924</v>
      </c>
      <c r="DR19" s="205">
        <f>'[1]March - 2022'!DU19</f>
        <v>10</v>
      </c>
      <c r="DS19" s="522"/>
      <c r="DT19" s="209">
        <f>'[1]March - 2022'!DW19</f>
        <v>3926</v>
      </c>
      <c r="DU19" s="220">
        <f>'[1]March - 2022'!DX19</f>
        <v>9.0999999999999091</v>
      </c>
      <c r="DV19" s="91">
        <f>'[1]March - 2022'!DY19</f>
        <v>8883.2999999999993</v>
      </c>
      <c r="DW19" s="214">
        <f>'[1]March - 2022'!DZ19</f>
        <v>8.3999999999996362</v>
      </c>
      <c r="DX19" s="91">
        <f>'[1]March - 2022'!EA19</f>
        <v>2974.2</v>
      </c>
      <c r="DY19" s="214">
        <f>'[1]March - 2022'!EB19</f>
        <v>7.0999999999999091</v>
      </c>
      <c r="DZ19" s="91">
        <f>'[1]March - 2022'!EC19</f>
        <v>3125.8</v>
      </c>
      <c r="EA19" s="214">
        <f>'[1]March - 2022'!ED19</f>
        <v>8</v>
      </c>
      <c r="EB19" s="91">
        <f>'[1]March - 2022'!EE19</f>
        <v>923179</v>
      </c>
      <c r="EC19" s="214">
        <f>'[1]March - 2022'!EF19</f>
        <v>578</v>
      </c>
      <c r="ED19" s="91">
        <f>'[1]March - 2022'!EI19</f>
        <v>190483.9</v>
      </c>
      <c r="EE19" s="228">
        <f>'[1]March - 2022'!EJ19</f>
        <v>156.69999999998254</v>
      </c>
      <c r="EF19" s="570"/>
      <c r="EG19" s="234">
        <f>'[1]March - 2022'!EL19</f>
        <v>10663000</v>
      </c>
      <c r="EH19" s="229">
        <f>'[1]March - 2022'!EM19</f>
        <v>3200</v>
      </c>
      <c r="EI19" s="90">
        <f>'[1]March - 2022'!EN19</f>
        <v>850530</v>
      </c>
      <c r="EJ19" s="229">
        <f>'[1]March - 2022'!EO19</f>
        <v>270</v>
      </c>
      <c r="EK19" s="90">
        <f>'[1]March - 2022'!EP19</f>
        <v>6456500</v>
      </c>
      <c r="EL19" s="229">
        <f>'[1]March - 2022'!EQ19</f>
        <v>400</v>
      </c>
      <c r="EM19" s="90">
        <f>'[1]March - 2022'!ER19</f>
        <v>2277500</v>
      </c>
      <c r="EN19" s="229">
        <f>'[1]March - 2022'!ES19</f>
        <v>800</v>
      </c>
      <c r="EO19" s="90">
        <f>'[1]March - 2022'!ET19</f>
        <v>1054810</v>
      </c>
      <c r="EP19" s="229">
        <f>'[1]March - 2022'!EU19</f>
        <v>650</v>
      </c>
      <c r="EQ19" s="90">
        <f>'[1]March - 2022'!EV19</f>
        <v>14510000</v>
      </c>
      <c r="ER19" s="229">
        <f>'[1]March - 2022'!EW19</f>
        <v>4200</v>
      </c>
      <c r="ES19" s="544"/>
      <c r="ET19" s="278">
        <f>'[1]March - 2022'!EY19</f>
        <v>38811</v>
      </c>
      <c r="EU19" s="272">
        <f>'[1]March - 2022'!EZ19</f>
        <v>17</v>
      </c>
      <c r="EV19" s="279">
        <f>'[1]March - 2022'!FA19</f>
        <v>33623</v>
      </c>
      <c r="EW19" s="272">
        <f>'[1]March - 2022'!FB19</f>
        <v>11</v>
      </c>
      <c r="EX19" s="279">
        <f>'[1]March - 2022'!FC19</f>
        <v>4712</v>
      </c>
      <c r="EY19" s="272">
        <f>'[1]March - 2022'!FD19</f>
        <v>12</v>
      </c>
      <c r="EZ19" s="279">
        <f>'[1]March - 2022'!FE19</f>
        <v>55803</v>
      </c>
      <c r="FA19" s="272">
        <f>'[1]March - 2022'!FF19</f>
        <v>17</v>
      </c>
      <c r="FB19" s="279">
        <f>'[1]March - 2022'!FG19</f>
        <v>40629</v>
      </c>
      <c r="FC19" s="273">
        <f>'[1]March - 2022'!FH19</f>
        <v>33</v>
      </c>
    </row>
    <row r="20" spans="1:159" ht="30" customHeight="1" x14ac:dyDescent="0.25">
      <c r="A20" s="206">
        <v>43841</v>
      </c>
      <c r="B20" s="208">
        <f>'[1]March - 2022'!B20</f>
        <v>0.92</v>
      </c>
      <c r="C20" s="249">
        <f>'[1]March - 2022'!E20</f>
        <v>74863</v>
      </c>
      <c r="D20" s="169">
        <f>'[1]March - 2022'!F20</f>
        <v>685</v>
      </c>
      <c r="E20" s="168">
        <f>'[1]March - 2022'!G20</f>
        <v>491</v>
      </c>
      <c r="F20" s="168">
        <f>'[1]March - 2022'!H20</f>
        <v>131392</v>
      </c>
      <c r="G20" s="169">
        <f>'[1]March - 2022'!I20</f>
        <v>472</v>
      </c>
      <c r="H20" s="168">
        <f>'[1]March - 2022'!J20</f>
        <v>405</v>
      </c>
      <c r="I20" s="168">
        <f>'[1]March - 2022'!K20</f>
        <v>164625</v>
      </c>
      <c r="J20" s="169">
        <f>'[1]March - 2022'!L20</f>
        <v>0</v>
      </c>
      <c r="K20" s="168">
        <f>'[1]March - 2022'!N20</f>
        <v>835157</v>
      </c>
      <c r="L20" s="169">
        <f>'[1]March - 2022'!O20</f>
        <v>277</v>
      </c>
      <c r="M20" s="168">
        <f>'[1]March - 2022'!Q20</f>
        <v>194379</v>
      </c>
      <c r="N20" s="169">
        <f>'[1]March - 2022'!R20</f>
        <v>0</v>
      </c>
      <c r="O20" s="261">
        <f>'[1]March - 2022'!U20</f>
        <v>60224.95</v>
      </c>
      <c r="P20" s="169">
        <f>'[1]March - 2022'!V20</f>
        <v>119.25</v>
      </c>
      <c r="Q20" s="168">
        <f>'[1]March - 2022'!W20</f>
        <v>31</v>
      </c>
      <c r="R20" s="261">
        <f>'[1]March - 2022'!X20</f>
        <v>4668</v>
      </c>
      <c r="S20" s="207">
        <f>'[1]March - 2022'!Y20</f>
        <v>19</v>
      </c>
      <c r="T20" s="465"/>
      <c r="U20" s="266">
        <f>'[1]March - 2022'!AE20</f>
        <v>7413819.8399999999</v>
      </c>
      <c r="V20" s="287">
        <f>'[1]March - 2022'!AF20</f>
        <v>2874.480000000447</v>
      </c>
      <c r="W20" s="92">
        <f>'[1]March - 2022'!AG20</f>
        <v>1900.0799999991432</v>
      </c>
      <c r="X20" s="286">
        <f>'[1]March - 2022'!AH20</f>
        <v>14188043.52</v>
      </c>
      <c r="Y20" s="287">
        <f>'[1]March - 2022'!AI20</f>
        <v>4823.2799999993294</v>
      </c>
      <c r="Z20" s="92">
        <f>'[1]March - 2022'!AJ20</f>
        <v>4336.0799999982119</v>
      </c>
      <c r="AA20" s="286">
        <f>'[1]March - 2022'!AK20</f>
        <v>13961836.559999999</v>
      </c>
      <c r="AB20" s="287">
        <f>'[1]March - 2022'!AL20</f>
        <v>974.39999999850988</v>
      </c>
      <c r="AC20" s="92">
        <f>'[1]March - 2022'!AM20</f>
        <v>9646.5599999986589</v>
      </c>
      <c r="AD20" s="286">
        <f>'[1]March - 2022'!AN20</f>
        <v>16970832.48</v>
      </c>
      <c r="AE20" s="287">
        <f>'[1]March - 2022'!AO20</f>
        <v>48.719999998807907</v>
      </c>
      <c r="AF20" s="92">
        <f>'[1]March - 2022'!AP20</f>
        <v>438.48000000044703</v>
      </c>
      <c r="AG20" s="286">
        <f>'[1]March - 2022'!AQ20</f>
        <v>17410968.960000001</v>
      </c>
      <c r="AH20" s="287">
        <f>'[1]March - 2022'!AR20</f>
        <v>10620.960000000894</v>
      </c>
      <c r="AI20" s="92">
        <f>'[1]March - 2022'!AS20</f>
        <v>146.16000000201166</v>
      </c>
      <c r="AJ20" s="286">
        <f>'[1]March - 2022'!AT20</f>
        <v>16010512.560000001</v>
      </c>
      <c r="AK20" s="287">
        <f>'[1]March - 2022'!AU20</f>
        <v>5797.679999999702</v>
      </c>
      <c r="AL20" s="92">
        <f>'[1]March - 2022'!AV20</f>
        <v>5213.0399999991059</v>
      </c>
      <c r="AM20" s="286">
        <f>'[1]March - 2022'!AW20</f>
        <v>13564427.52</v>
      </c>
      <c r="AN20" s="287">
        <f>'[1]March - 2022'!AX20</f>
        <v>4384.8000000007451</v>
      </c>
      <c r="AO20" s="92">
        <f>'[1]March - 2022'!AY20</f>
        <v>4141.1999999992549</v>
      </c>
      <c r="AP20" s="286">
        <f>'[1]March - 2022'!AZ20</f>
        <v>13061539.68</v>
      </c>
      <c r="AQ20" s="287">
        <f>'[1]March - 2022'!BD20</f>
        <v>3361.6800000015646</v>
      </c>
      <c r="AR20" s="92">
        <f>'[1]March - 2022'!BB20</f>
        <v>3946.3200000021607</v>
      </c>
      <c r="AS20" s="286">
        <f>'[1]March - 2022'!BC20</f>
        <v>10381452.48</v>
      </c>
      <c r="AT20" s="287">
        <f>'[1]March - 2022'!BD20</f>
        <v>3361.6800000015646</v>
      </c>
      <c r="AU20" s="92">
        <f>'[1]March - 2022'!BE20</f>
        <v>2825.7599999997765</v>
      </c>
      <c r="AV20" s="286">
        <f>'[1]March - 2022'!BF20</f>
        <v>16169047.439999998</v>
      </c>
      <c r="AW20" s="251">
        <f>'[1]March - 2022'!BG20</f>
        <v>5846.3999999985099</v>
      </c>
      <c r="AX20" s="252">
        <f>'[1]March - 2022'!BH20</f>
        <v>6284.8799999989569</v>
      </c>
      <c r="AY20" s="482"/>
      <c r="AZ20" s="269">
        <f>'[1]March - 2022'!BM20</f>
        <v>69258000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71628600</v>
      </c>
      <c r="BD20" s="244">
        <f>'[1]March - 2022'!BQ20</f>
        <v>0</v>
      </c>
      <c r="BE20" s="93">
        <f>'[1]March - 2022'!BR20</f>
        <v>0</v>
      </c>
      <c r="BF20" s="269">
        <f>'[1]March - 2022'!BS20</f>
        <v>66456500</v>
      </c>
      <c r="BG20" s="244">
        <f>'[1]March - 2022'!BT20</f>
        <v>58500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8237740</v>
      </c>
      <c r="BT20" s="184">
        <f>'[1]March - 2022'!BW20</f>
        <v>6480</v>
      </c>
      <c r="BU20" s="579"/>
      <c r="BV20" s="88">
        <f>'[1]March - 2022'!BY20</f>
        <v>0.67</v>
      </c>
      <c r="BW20" s="240">
        <f>'[1]March - 2022'!BZ20</f>
        <v>5.9999999999999942E-2</v>
      </c>
      <c r="BX20" s="88">
        <f>'[1]March - 2022'!CA20</f>
        <v>-6.0000000000000053E-2</v>
      </c>
      <c r="BY20" s="89">
        <f>'[1]March - 2022'!CB20</f>
        <v>58793</v>
      </c>
      <c r="BZ20" s="190">
        <f>'[1]March - 2022'!CC20</f>
        <v>18</v>
      </c>
      <c r="CA20" s="89">
        <f>'[1]March - 2022'!CD20</f>
        <v>50305</v>
      </c>
      <c r="CB20" s="190">
        <f>'[1]March - 2022'!CE20</f>
        <v>20</v>
      </c>
      <c r="CC20" s="89">
        <f>'[1]March - 2022'!CF20</f>
        <v>17207</v>
      </c>
      <c r="CD20" s="190">
        <f>'[1]March - 2022'!CG20</f>
        <v>6</v>
      </c>
      <c r="CE20" s="89">
        <f>'[1]March - 2022'!CH20</f>
        <v>23049</v>
      </c>
      <c r="CF20" s="190">
        <f>'[1]March - 2022'!CI20</f>
        <v>9</v>
      </c>
      <c r="CG20" s="89">
        <f>'[1]March - 2022'!CJ20</f>
        <v>25158</v>
      </c>
      <c r="CH20" s="190">
        <f>'[1]March - 2022'!CK20</f>
        <v>13</v>
      </c>
      <c r="CI20" s="89">
        <f>'[1]March - 2022'!CL20</f>
        <v>55793</v>
      </c>
      <c r="CJ20" s="190">
        <f>'[1]March - 2022'!CM20</f>
        <v>29</v>
      </c>
      <c r="CK20" s="89">
        <f>'[1]March - 2022'!CN20</f>
        <v>243740</v>
      </c>
      <c r="CL20" s="245">
        <f>'[1]March - 2022'!CO20</f>
        <v>100</v>
      </c>
      <c r="CM20" s="89">
        <f>'[1]March - 2022'!CP20</f>
        <v>93</v>
      </c>
      <c r="CN20" s="89">
        <f>'[1]March - 2022'!CQ20</f>
        <v>191017</v>
      </c>
      <c r="CO20" s="245">
        <f>'[1]March - 2022'!CR20</f>
        <v>109</v>
      </c>
      <c r="CP20" s="89">
        <f>'[1]March - 2022'!CS20</f>
        <v>97</v>
      </c>
      <c r="CQ20" s="89">
        <f>'[1]March - 2022'!CT20</f>
        <v>344360</v>
      </c>
      <c r="CR20" s="245">
        <f>'[1]March - 2022'!CU20</f>
        <v>161</v>
      </c>
      <c r="CS20" s="89">
        <f>'[1]March - 2022'!CV20</f>
        <v>247</v>
      </c>
      <c r="CT20" s="89">
        <f>'[1]March - 2022'!CW20</f>
        <v>641579</v>
      </c>
      <c r="CU20" s="190">
        <f>'[1]March - 2022'!CX20</f>
        <v>215</v>
      </c>
      <c r="CV20" s="506"/>
      <c r="CW20" s="284">
        <f>'[1]March - 2022'!CZ20</f>
        <v>7215</v>
      </c>
      <c r="CX20" s="197">
        <f>'[1]March - 2022'!DA20</f>
        <v>10</v>
      </c>
      <c r="CY20" s="285">
        <f>'[1]March - 2022'!DB20</f>
        <v>4600</v>
      </c>
      <c r="CZ20" s="197">
        <f>'[1]March - 2022'!DC20</f>
        <v>10</v>
      </c>
      <c r="DA20" s="285">
        <f>'[1]March - 2022'!DD20</f>
        <v>28463</v>
      </c>
      <c r="DB20" s="197">
        <f>'[1]March - 2022'!DE20</f>
        <v>21</v>
      </c>
      <c r="DC20" s="285">
        <f>'[1]March - 2022'!DF20</f>
        <v>29073</v>
      </c>
      <c r="DD20" s="197">
        <f>'[1]March - 2022'!DG20</f>
        <v>15</v>
      </c>
      <c r="DE20" s="285">
        <f>'[1]March - 2022'!DH20</f>
        <v>19515</v>
      </c>
      <c r="DF20" s="197">
        <f>'[1]March - 2022'!DI20</f>
        <v>11</v>
      </c>
      <c r="DG20" s="285">
        <f>'[1]March - 2022'!DJ20</f>
        <v>22528</v>
      </c>
      <c r="DH20" s="197">
        <f>'[1]March - 2022'!DK20</f>
        <v>7</v>
      </c>
      <c r="DI20" s="285">
        <f>'[1]March - 2022'!DL20</f>
        <v>4314</v>
      </c>
      <c r="DJ20" s="197">
        <f>'[1]March - 2022'!DM20</f>
        <v>24</v>
      </c>
      <c r="DK20" s="285">
        <f>'[1]March - 2022'!DN20</f>
        <v>7760</v>
      </c>
      <c r="DL20" s="197">
        <f>'[1]March - 2022'!DO20</f>
        <v>10</v>
      </c>
      <c r="DM20" s="285">
        <f>'[1]March - 2022'!DP20</f>
        <v>2229</v>
      </c>
      <c r="DN20" s="197">
        <f>'[1]March - 2022'!DQ20</f>
        <v>6</v>
      </c>
      <c r="DO20" s="285">
        <f>'[1]March - 2022'!DR20</f>
        <v>4249</v>
      </c>
      <c r="DP20" s="197">
        <f>'[1]March - 2022'!DS20</f>
        <v>8</v>
      </c>
      <c r="DQ20" s="285">
        <f>'[1]March - 2022'!DT20</f>
        <v>26924</v>
      </c>
      <c r="DR20" s="205">
        <f>'[1]March - 2022'!DU20</f>
        <v>0</v>
      </c>
      <c r="DS20" s="522"/>
      <c r="DT20" s="209">
        <f>'[1]March - 2022'!DW20</f>
        <v>3935.5</v>
      </c>
      <c r="DU20" s="220">
        <f>'[1]March - 2022'!DX20</f>
        <v>9.5</v>
      </c>
      <c r="DV20" s="91">
        <f>'[1]March - 2022'!DY20</f>
        <v>8891.7999999999993</v>
      </c>
      <c r="DW20" s="214">
        <f>'[1]March - 2022'!DZ20</f>
        <v>8.5</v>
      </c>
      <c r="DX20" s="91">
        <f>'[1]March - 2022'!EA20</f>
        <v>2981.2</v>
      </c>
      <c r="DY20" s="214">
        <f>'[1]March - 2022'!EB20</f>
        <v>7</v>
      </c>
      <c r="DZ20" s="91">
        <f>'[1]March - 2022'!EC20</f>
        <v>3134</v>
      </c>
      <c r="EA20" s="214">
        <f>'[1]March - 2022'!ED20</f>
        <v>8.1999999999998181</v>
      </c>
      <c r="EB20" s="91">
        <f>'[1]March - 2022'!EE20</f>
        <v>923812</v>
      </c>
      <c r="EC20" s="214">
        <f>'[1]March - 2022'!EF20</f>
        <v>633</v>
      </c>
      <c r="ED20" s="91">
        <f>'[1]March - 2022'!EI20</f>
        <v>190632.9</v>
      </c>
      <c r="EE20" s="228">
        <f>'[1]March - 2022'!EJ20</f>
        <v>149</v>
      </c>
      <c r="EF20" s="570"/>
      <c r="EG20" s="234">
        <f>'[1]March - 2022'!EL20</f>
        <v>10666400</v>
      </c>
      <c r="EH20" s="229">
        <f>'[1]March - 2022'!EM20</f>
        <v>3400</v>
      </c>
      <c r="EI20" s="90">
        <f>'[1]March - 2022'!EN20</f>
        <v>850800</v>
      </c>
      <c r="EJ20" s="229">
        <f>'[1]March - 2022'!EO20</f>
        <v>270</v>
      </c>
      <c r="EK20" s="90">
        <f>'[1]March - 2022'!EP20</f>
        <v>6457000</v>
      </c>
      <c r="EL20" s="229">
        <f>'[1]March - 2022'!EQ20</f>
        <v>500</v>
      </c>
      <c r="EM20" s="90">
        <f>'[1]March - 2022'!ER20</f>
        <v>2278200</v>
      </c>
      <c r="EN20" s="229">
        <f>'[1]March - 2022'!ES20</f>
        <v>700</v>
      </c>
      <c r="EO20" s="90">
        <f>'[1]March - 2022'!ET20</f>
        <v>1055400</v>
      </c>
      <c r="EP20" s="229">
        <f>'[1]March - 2022'!EU20</f>
        <v>590</v>
      </c>
      <c r="EQ20" s="90">
        <f>'[1]March - 2022'!EV20</f>
        <v>14514500</v>
      </c>
      <c r="ER20" s="229">
        <f>'[1]March - 2022'!EW20</f>
        <v>4500</v>
      </c>
      <c r="ES20" s="544"/>
      <c r="ET20" s="278">
        <f>'[1]March - 2022'!EY20</f>
        <v>38828</v>
      </c>
      <c r="EU20" s="272">
        <f>'[1]March - 2022'!EZ20</f>
        <v>17</v>
      </c>
      <c r="EV20" s="279">
        <f>'[1]March - 2022'!FA20</f>
        <v>33636</v>
      </c>
      <c r="EW20" s="272">
        <f>'[1]March - 2022'!FB20</f>
        <v>13</v>
      </c>
      <c r="EX20" s="279">
        <f>'[1]March - 2022'!FC20</f>
        <v>4724</v>
      </c>
      <c r="EY20" s="272">
        <f>'[1]March - 2022'!FD20</f>
        <v>12</v>
      </c>
      <c r="EZ20" s="279">
        <f>'[1]March - 2022'!FE20</f>
        <v>55820</v>
      </c>
      <c r="FA20" s="272">
        <f>'[1]March - 2022'!FF20</f>
        <v>17</v>
      </c>
      <c r="FB20" s="279">
        <f>'[1]March - 2022'!FG20</f>
        <v>40663</v>
      </c>
      <c r="FC20" s="273">
        <f>'[1]March - 2022'!FH20</f>
        <v>34</v>
      </c>
    </row>
    <row r="21" spans="1:159" ht="30" customHeight="1" x14ac:dyDescent="0.25">
      <c r="A21" s="206">
        <v>43842</v>
      </c>
      <c r="B21" s="208">
        <f>'[1]March - 2022'!B21</f>
        <v>0.89</v>
      </c>
      <c r="C21" s="249">
        <f>'[1]March - 2022'!E21</f>
        <v>75692</v>
      </c>
      <c r="D21" s="169">
        <f>'[1]March - 2022'!F21</f>
        <v>829</v>
      </c>
      <c r="E21" s="168">
        <f>'[1]March - 2022'!G21</f>
        <v>475</v>
      </c>
      <c r="F21" s="168">
        <f>'[1]March - 2022'!H21</f>
        <v>131910</v>
      </c>
      <c r="G21" s="169">
        <f>'[1]March - 2022'!I21</f>
        <v>518</v>
      </c>
      <c r="H21" s="168">
        <f>'[1]March - 2022'!J21</f>
        <v>419</v>
      </c>
      <c r="I21" s="168">
        <f>'[1]March - 2022'!K21</f>
        <v>164625</v>
      </c>
      <c r="J21" s="169">
        <f>'[1]March - 2022'!L21</f>
        <v>0</v>
      </c>
      <c r="K21" s="168">
        <f>'[1]March - 2022'!N21</f>
        <v>835375</v>
      </c>
      <c r="L21" s="169">
        <f>'[1]March - 2022'!O21</f>
        <v>218</v>
      </c>
      <c r="M21" s="168">
        <f>'[1]March - 2022'!Q21</f>
        <v>194492</v>
      </c>
      <c r="N21" s="169">
        <f>'[1]March - 2022'!R21</f>
        <v>113</v>
      </c>
      <c r="O21" s="261">
        <f>'[1]March - 2022'!U21</f>
        <v>60346.1</v>
      </c>
      <c r="P21" s="169">
        <f>'[1]March - 2022'!V21</f>
        <v>121.15000000000146</v>
      </c>
      <c r="Q21" s="168">
        <f>'[1]March - 2022'!W21</f>
        <v>36</v>
      </c>
      <c r="R21" s="261">
        <f>'[1]March - 2022'!X21</f>
        <v>4699</v>
      </c>
      <c r="S21" s="207">
        <f>'[1]March - 2022'!Y21</f>
        <v>31</v>
      </c>
      <c r="T21" s="465"/>
      <c r="U21" s="266">
        <f>'[1]March - 2022'!AE21</f>
        <v>7416207.1200000001</v>
      </c>
      <c r="V21" s="287">
        <f>'[1]March - 2022'!AF21</f>
        <v>2387.2800000002608</v>
      </c>
      <c r="W21" s="92">
        <f>'[1]March - 2022'!AG21</f>
        <v>1948.8000000007451</v>
      </c>
      <c r="X21" s="286">
        <f>'[1]March - 2022'!AH21</f>
        <v>14192866.799999999</v>
      </c>
      <c r="Y21" s="287">
        <f>'[1]March - 2022'!AI21</f>
        <v>4823.2799999993294</v>
      </c>
      <c r="Z21" s="92">
        <f>'[1]March - 2022'!AJ21</f>
        <v>4384.8000000007451</v>
      </c>
      <c r="AA21" s="286">
        <f>'[1]March - 2022'!AK21</f>
        <v>13961934</v>
      </c>
      <c r="AB21" s="287">
        <f>'[1]March - 2022'!AL21</f>
        <v>97.440000001341105</v>
      </c>
      <c r="AC21" s="92">
        <f>'[1]March - 2022'!AM21</f>
        <v>9305.519999999553</v>
      </c>
      <c r="AD21" s="286">
        <f>'[1]March - 2022'!AN21</f>
        <v>16981794.48</v>
      </c>
      <c r="AE21" s="287">
        <f>'[1]March - 2022'!AO21</f>
        <v>10962</v>
      </c>
      <c r="AF21" s="92">
        <f>'[1]March - 2022'!AP21</f>
        <v>487.20000000111759</v>
      </c>
      <c r="AG21" s="286">
        <f>'[1]March - 2022'!AQ21</f>
        <v>17411943.359999999</v>
      </c>
      <c r="AH21" s="287">
        <f>'[1]March - 2022'!AR21</f>
        <v>974.39999999850988</v>
      </c>
      <c r="AI21" s="92">
        <f>'[1]March - 2022'!AS21</f>
        <v>97.439999997615814</v>
      </c>
      <c r="AJ21" s="286">
        <f>'[1]March - 2022'!AT21</f>
        <v>16016358.960000001</v>
      </c>
      <c r="AK21" s="287">
        <f>'[1]March - 2022'!AU21</f>
        <v>5846.4000000003725</v>
      </c>
      <c r="AL21" s="92">
        <f>'[1]March - 2022'!AV21</f>
        <v>4920.7200000006706</v>
      </c>
      <c r="AM21" s="286">
        <f>'[1]March - 2022'!AW21</f>
        <v>13568763.6</v>
      </c>
      <c r="AN21" s="287">
        <f>'[1]March - 2022'!AX21</f>
        <v>4336.0800000000745</v>
      </c>
      <c r="AO21" s="92">
        <f>'[1]March - 2022'!AY21</f>
        <v>4092.480000000447</v>
      </c>
      <c r="AP21" s="286">
        <f>'[1]March - 2022'!AZ21</f>
        <v>13066314.24</v>
      </c>
      <c r="AQ21" s="287">
        <f>'[1]March - 2022'!BD21</f>
        <v>3312.9599999990314</v>
      </c>
      <c r="AR21" s="92">
        <f>'[1]March - 2022'!BB21</f>
        <v>3946.3199999984354</v>
      </c>
      <c r="AS21" s="286">
        <f>'[1]March - 2022'!BC21</f>
        <v>10384765.439999999</v>
      </c>
      <c r="AT21" s="287">
        <f>'[1]March - 2022'!BD21</f>
        <v>3312.9599999990314</v>
      </c>
      <c r="AU21" s="92">
        <f>'[1]March - 2022'!BE21</f>
        <v>2728.3199999984354</v>
      </c>
      <c r="AV21" s="286">
        <f>'[1]March - 2022'!BF21</f>
        <v>16175137.439999998</v>
      </c>
      <c r="AW21" s="251">
        <f>'[1]March - 2022'!BG21</f>
        <v>6090</v>
      </c>
      <c r="AX21" s="252">
        <f>'[1]March - 2022'!BH21</f>
        <v>6138.7200000006706</v>
      </c>
      <c r="AY21" s="482"/>
      <c r="AZ21" s="269">
        <f>'[1]March - 2022'!BM21</f>
        <v>69258000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71684400</v>
      </c>
      <c r="BD21" s="244">
        <f>'[1]March - 2022'!BQ21</f>
        <v>55800</v>
      </c>
      <c r="BE21" s="93">
        <f>'[1]March - 2022'!BR21</f>
        <v>0</v>
      </c>
      <c r="BF21" s="269">
        <f>'[1]March - 2022'!BS21</f>
        <v>66458900</v>
      </c>
      <c r="BG21" s="244">
        <f>'[1]March - 2022'!BT21</f>
        <v>2400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8244590</v>
      </c>
      <c r="BT21" s="184">
        <f>'[1]March - 2022'!BW21</f>
        <v>6850</v>
      </c>
      <c r="BU21" s="579"/>
      <c r="BV21" s="88">
        <f>'[1]March - 2022'!BY21</f>
        <v>0.73</v>
      </c>
      <c r="BW21" s="240">
        <f>'[1]March - 2022'!BZ21</f>
        <v>-5.9999999999999942E-2</v>
      </c>
      <c r="BX21" s="88">
        <f>'[1]March - 2022'!CA21</f>
        <v>6.0000000000000053E-2</v>
      </c>
      <c r="BY21" s="89">
        <f>'[1]March - 2022'!CB21</f>
        <v>58811</v>
      </c>
      <c r="BZ21" s="190">
        <f>'[1]March - 2022'!CC21</f>
        <v>18</v>
      </c>
      <c r="CA21" s="89">
        <f>'[1]March - 2022'!CD21</f>
        <v>50325</v>
      </c>
      <c r="CB21" s="190">
        <f>'[1]March - 2022'!CE21</f>
        <v>20</v>
      </c>
      <c r="CC21" s="89">
        <f>'[1]March - 2022'!CF21</f>
        <v>17213</v>
      </c>
      <c r="CD21" s="190">
        <f>'[1]March - 2022'!CG21</f>
        <v>6</v>
      </c>
      <c r="CE21" s="89">
        <f>'[1]March - 2022'!CH21</f>
        <v>23059</v>
      </c>
      <c r="CF21" s="190">
        <f>'[1]March - 2022'!CI21</f>
        <v>10</v>
      </c>
      <c r="CG21" s="89">
        <f>'[1]March - 2022'!CJ21</f>
        <v>25168</v>
      </c>
      <c r="CH21" s="190">
        <f>'[1]March - 2022'!CK21</f>
        <v>10</v>
      </c>
      <c r="CI21" s="89">
        <f>'[1]March - 2022'!CL21</f>
        <v>55820</v>
      </c>
      <c r="CJ21" s="190">
        <f>'[1]March - 2022'!CM21</f>
        <v>27</v>
      </c>
      <c r="CK21" s="89">
        <f>'[1]March - 2022'!CN21</f>
        <v>243843</v>
      </c>
      <c r="CL21" s="245">
        <f>'[1]March - 2022'!CO21</f>
        <v>103</v>
      </c>
      <c r="CM21" s="89">
        <f>'[1]March - 2022'!CP21</f>
        <v>93</v>
      </c>
      <c r="CN21" s="89">
        <f>'[1]March - 2022'!CQ21</f>
        <v>191149</v>
      </c>
      <c r="CO21" s="245">
        <f>'[1]March - 2022'!CR21</f>
        <v>132</v>
      </c>
      <c r="CP21" s="89">
        <f>'[1]March - 2022'!CS21</f>
        <v>98</v>
      </c>
      <c r="CQ21" s="89">
        <f>'[1]March - 2022'!CT21</f>
        <v>344562</v>
      </c>
      <c r="CR21" s="245">
        <f>'[1]March - 2022'!CU21</f>
        <v>202</v>
      </c>
      <c r="CS21" s="89">
        <f>'[1]March - 2022'!CV21</f>
        <v>242</v>
      </c>
      <c r="CT21" s="89">
        <f>'[1]March - 2022'!CW21</f>
        <v>641806</v>
      </c>
      <c r="CU21" s="190">
        <f>'[1]March - 2022'!CX21</f>
        <v>227</v>
      </c>
      <c r="CV21" s="506"/>
      <c r="CW21" s="284">
        <f>'[1]March - 2022'!CZ21</f>
        <v>7225</v>
      </c>
      <c r="CX21" s="197">
        <f>'[1]March - 2022'!DA21</f>
        <v>10</v>
      </c>
      <c r="CY21" s="285">
        <f>'[1]March - 2022'!DB21</f>
        <v>4610</v>
      </c>
      <c r="CZ21" s="197">
        <f>'[1]March - 2022'!DC21</f>
        <v>10</v>
      </c>
      <c r="DA21" s="285">
        <f>'[1]March - 2022'!DD21</f>
        <v>28484</v>
      </c>
      <c r="DB21" s="197">
        <f>'[1]March - 2022'!DE21</f>
        <v>21</v>
      </c>
      <c r="DC21" s="285">
        <f>'[1]March - 2022'!DF21</f>
        <v>29093</v>
      </c>
      <c r="DD21" s="197">
        <f>'[1]March - 2022'!DG21</f>
        <v>20</v>
      </c>
      <c r="DE21" s="285">
        <f>'[1]March - 2022'!DH21</f>
        <v>19526</v>
      </c>
      <c r="DF21" s="197">
        <f>'[1]March - 2022'!DI21</f>
        <v>11</v>
      </c>
      <c r="DG21" s="285">
        <f>'[1]March - 2022'!DJ21</f>
        <v>22536</v>
      </c>
      <c r="DH21" s="197">
        <f>'[1]March - 2022'!DK21</f>
        <v>8</v>
      </c>
      <c r="DI21" s="285">
        <f>'[1]March - 2022'!DL21</f>
        <v>4326</v>
      </c>
      <c r="DJ21" s="197">
        <f>'[1]March - 2022'!DM21</f>
        <v>12</v>
      </c>
      <c r="DK21" s="285">
        <f>'[1]March - 2022'!DN21</f>
        <v>7771</v>
      </c>
      <c r="DL21" s="197">
        <f>'[1]March - 2022'!DO21</f>
        <v>11</v>
      </c>
      <c r="DM21" s="285">
        <f>'[1]March - 2022'!DP21</f>
        <v>2235</v>
      </c>
      <c r="DN21" s="197">
        <f>'[1]March - 2022'!DQ21</f>
        <v>6</v>
      </c>
      <c r="DO21" s="285">
        <f>'[1]March - 2022'!DR21</f>
        <v>4257</v>
      </c>
      <c r="DP21" s="197">
        <f>'[1]March - 2022'!DS21</f>
        <v>8</v>
      </c>
      <c r="DQ21" s="285">
        <f>'[1]March - 2022'!DT21</f>
        <v>26943</v>
      </c>
      <c r="DR21" s="205">
        <f>'[1]March - 2022'!DU21</f>
        <v>19</v>
      </c>
      <c r="DS21" s="522"/>
      <c r="DT21" s="209">
        <f>'[1]March - 2022'!DW21</f>
        <v>3946.1</v>
      </c>
      <c r="DU21" s="220">
        <f>'[1]March - 2022'!DX21</f>
        <v>10.599999999999909</v>
      </c>
      <c r="DV21" s="91">
        <f>'[1]March - 2022'!DY21</f>
        <v>8900.4</v>
      </c>
      <c r="DW21" s="214">
        <f>'[1]March - 2022'!DZ21</f>
        <v>8.6000000000003638</v>
      </c>
      <c r="DX21" s="91">
        <f>'[1]March - 2022'!EA21</f>
        <v>2988.4</v>
      </c>
      <c r="DY21" s="214">
        <f>'[1]March - 2022'!EB21</f>
        <v>7.2000000000002728</v>
      </c>
      <c r="DZ21" s="91">
        <f>'[1]March - 2022'!EC21</f>
        <v>3144.5</v>
      </c>
      <c r="EA21" s="214">
        <f>'[1]March - 2022'!ED21</f>
        <v>10.5</v>
      </c>
      <c r="EB21" s="91">
        <f>'[1]March - 2022'!EE21</f>
        <v>924502</v>
      </c>
      <c r="EC21" s="214">
        <f>'[1]March - 2022'!EF21</f>
        <v>690</v>
      </c>
      <c r="ED21" s="91">
        <f>'[1]March - 2022'!EI21</f>
        <v>190802.2</v>
      </c>
      <c r="EE21" s="228">
        <f>'[1]March - 2022'!EJ21</f>
        <v>169.30000000001746</v>
      </c>
      <c r="EF21" s="570"/>
      <c r="EG21" s="234">
        <f>'[1]March - 2022'!EL21</f>
        <v>10670100</v>
      </c>
      <c r="EH21" s="229">
        <f>'[1]March - 2022'!EM21</f>
        <v>3700</v>
      </c>
      <c r="EI21" s="90">
        <f>'[1]March - 2022'!EN21</f>
        <v>851070</v>
      </c>
      <c r="EJ21" s="229">
        <f>'[1]March - 2022'!EO21</f>
        <v>270</v>
      </c>
      <c r="EK21" s="90">
        <f>'[1]March - 2022'!EP21</f>
        <v>6458200</v>
      </c>
      <c r="EL21" s="229">
        <f>'[1]March - 2022'!EQ21</f>
        <v>1200</v>
      </c>
      <c r="EM21" s="90">
        <f>'[1]March - 2022'!ER21</f>
        <v>2278900</v>
      </c>
      <c r="EN21" s="229">
        <f>'[1]March - 2022'!ES21</f>
        <v>700</v>
      </c>
      <c r="EO21" s="90">
        <f>'[1]March - 2022'!ET21</f>
        <v>1056050</v>
      </c>
      <c r="EP21" s="229">
        <f>'[1]March - 2022'!EU21</f>
        <v>650</v>
      </c>
      <c r="EQ21" s="90">
        <f>'[1]March - 2022'!EV21</f>
        <v>14518900</v>
      </c>
      <c r="ER21" s="229">
        <f>'[1]March - 2022'!EW21</f>
        <v>4400</v>
      </c>
      <c r="ES21" s="544"/>
      <c r="ET21" s="278">
        <f>'[1]March - 2022'!EY21</f>
        <v>38848</v>
      </c>
      <c r="EU21" s="272">
        <f>'[1]March - 2022'!EZ21</f>
        <v>20</v>
      </c>
      <c r="EV21" s="279">
        <f>'[1]March - 2022'!FA21</f>
        <v>33649</v>
      </c>
      <c r="EW21" s="272">
        <f>'[1]March - 2022'!FB21</f>
        <v>13</v>
      </c>
      <c r="EX21" s="279">
        <f>'[1]March - 2022'!FC21</f>
        <v>4740</v>
      </c>
      <c r="EY21" s="272">
        <f>'[1]March - 2022'!FD21</f>
        <v>16</v>
      </c>
      <c r="EZ21" s="279">
        <f>'[1]March - 2022'!FE21</f>
        <v>55843</v>
      </c>
      <c r="FA21" s="272">
        <f>'[1]March - 2022'!FF21</f>
        <v>23</v>
      </c>
      <c r="FB21" s="279">
        <f>'[1]March - 2022'!FG21</f>
        <v>40697</v>
      </c>
      <c r="FC21" s="273">
        <f>'[1]March - 2022'!FH21</f>
        <v>34</v>
      </c>
    </row>
    <row r="22" spans="1:159" ht="30" customHeight="1" x14ac:dyDescent="0.25">
      <c r="A22" s="206">
        <v>43843</v>
      </c>
      <c r="B22" s="208">
        <f>'[1]March - 2022'!B22</f>
        <v>0.81</v>
      </c>
      <c r="C22" s="249">
        <f>'[1]March - 2022'!E22</f>
        <v>76340</v>
      </c>
      <c r="D22" s="169">
        <f>'[1]March - 2022'!F22</f>
        <v>648</v>
      </c>
      <c r="E22" s="168">
        <f>'[1]March - 2022'!G22</f>
        <v>475</v>
      </c>
      <c r="F22" s="168">
        <f>'[1]March - 2022'!H22</f>
        <v>132351</v>
      </c>
      <c r="G22" s="169">
        <f>'[1]March - 2022'!I22</f>
        <v>441</v>
      </c>
      <c r="H22" s="168">
        <f>'[1]March - 2022'!J22</f>
        <v>391</v>
      </c>
      <c r="I22" s="168">
        <f>'[1]March - 2022'!K22</f>
        <v>164625</v>
      </c>
      <c r="J22" s="169">
        <f>'[1]March - 2022'!L22</f>
        <v>0</v>
      </c>
      <c r="K22" s="168">
        <f>'[1]March - 2022'!N22</f>
        <v>835489</v>
      </c>
      <c r="L22" s="169">
        <f>'[1]March - 2022'!O22</f>
        <v>114</v>
      </c>
      <c r="M22" s="168">
        <f>'[1]March - 2022'!Q22</f>
        <v>194492</v>
      </c>
      <c r="N22" s="169">
        <f>'[1]March - 2022'!R22</f>
        <v>0</v>
      </c>
      <c r="O22" s="261">
        <f>'[1]March - 2022'!U22</f>
        <v>60465.14</v>
      </c>
      <c r="P22" s="169">
        <f>'[1]March - 2022'!V22</f>
        <v>119.04000000000087</v>
      </c>
      <c r="Q22" s="168">
        <f>'[1]March - 2022'!W22</f>
        <v>38</v>
      </c>
      <c r="R22" s="261">
        <f>'[1]March - 2022'!X22</f>
        <v>4706</v>
      </c>
      <c r="S22" s="207">
        <f>'[1]March - 2022'!Y22</f>
        <v>7</v>
      </c>
      <c r="T22" s="465"/>
      <c r="U22" s="266">
        <f>'[1]March - 2022'!AE22</f>
        <v>7418302.0800000001</v>
      </c>
      <c r="V22" s="287">
        <f>'[1]March - 2022'!AF22</f>
        <v>2094.9599999999627</v>
      </c>
      <c r="W22" s="92">
        <f>'[1]March - 2022'!AG22</f>
        <v>1851.3600000003353</v>
      </c>
      <c r="X22" s="286">
        <f>'[1]March - 2022'!AH22</f>
        <v>14197495.199999999</v>
      </c>
      <c r="Y22" s="287">
        <f>'[1]March - 2022'!AI22</f>
        <v>4628.4000000003725</v>
      </c>
      <c r="Z22" s="92">
        <f>'[1]March - 2022'!AJ22</f>
        <v>4336.0800000000745</v>
      </c>
      <c r="AA22" s="286">
        <f>'[1]March - 2022'!AK22</f>
        <v>13962031.439999999</v>
      </c>
      <c r="AB22" s="287">
        <f>'[1]March - 2022'!AL22</f>
        <v>97.439999999478459</v>
      </c>
      <c r="AC22" s="92">
        <f>'[1]March - 2022'!AM22</f>
        <v>584.64000000059605</v>
      </c>
      <c r="AD22" s="286">
        <f>'[1]March - 2022'!AN22</f>
        <v>16993487.280000001</v>
      </c>
      <c r="AE22" s="287">
        <f>'[1]March - 2022'!AO22</f>
        <v>11692.800000000745</v>
      </c>
      <c r="AF22" s="92">
        <f>'[1]March - 2022'!AP22</f>
        <v>9256.7999999988824</v>
      </c>
      <c r="AG22" s="286">
        <f>'[1]March - 2022'!AQ22</f>
        <v>17412820.32</v>
      </c>
      <c r="AH22" s="287">
        <f>'[1]March - 2022'!AR22</f>
        <v>876.96000000089407</v>
      </c>
      <c r="AI22" s="92">
        <f>'[1]March - 2022'!AS22</f>
        <v>487.19999999925494</v>
      </c>
      <c r="AJ22" s="286">
        <f>'[1]March - 2022'!AT22</f>
        <v>16022107.919999998</v>
      </c>
      <c r="AK22" s="287">
        <f>'[1]March - 2022'!AU22</f>
        <v>5748.9599999971688</v>
      </c>
      <c r="AL22" s="92">
        <f>'[1]March - 2022'!AV22</f>
        <v>4774.5599999986589</v>
      </c>
      <c r="AM22" s="286">
        <f>'[1]March - 2022'!AW22</f>
        <v>13573392</v>
      </c>
      <c r="AN22" s="287">
        <f>'[1]March - 2022'!AX22</f>
        <v>4628.4000000003725</v>
      </c>
      <c r="AO22" s="92">
        <f>'[1]March - 2022'!AY22</f>
        <v>4092.480000000447</v>
      </c>
      <c r="AP22" s="286">
        <f>'[1]March - 2022'!AZ22</f>
        <v>13070845.199999999</v>
      </c>
      <c r="AQ22" s="287">
        <f>'[1]March - 2022'!BD22</f>
        <v>3312.9600000008941</v>
      </c>
      <c r="AR22" s="92">
        <f>'[1]March - 2022'!BB22</f>
        <v>3848.8800000008196</v>
      </c>
      <c r="AS22" s="286">
        <f>'[1]March - 2022'!BC22</f>
        <v>10388078.4</v>
      </c>
      <c r="AT22" s="287">
        <f>'[1]March - 2022'!BD22</f>
        <v>3312.9600000008941</v>
      </c>
      <c r="AU22" s="92">
        <f>'[1]March - 2022'!BE22</f>
        <v>2679.5999999996275</v>
      </c>
      <c r="AV22" s="286">
        <f>'[1]March - 2022'!BF22</f>
        <v>16181324.880000001</v>
      </c>
      <c r="AW22" s="251">
        <f>'[1]March - 2022'!BG22</f>
        <v>6187.4400000032037</v>
      </c>
      <c r="AX22" s="252">
        <f>'[1]March - 2022'!BH22</f>
        <v>6041.2799999993294</v>
      </c>
      <c r="AY22" s="482"/>
      <c r="AZ22" s="269">
        <f>'[1]March - 2022'!BM22</f>
        <v>69258000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71746500</v>
      </c>
      <c r="BD22" s="244">
        <f>'[1]March - 2022'!BQ22</f>
        <v>62100</v>
      </c>
      <c r="BE22" s="93">
        <f>'[1]March - 2022'!BR22</f>
        <v>47900</v>
      </c>
      <c r="BF22" s="269">
        <f>'[1]March - 2022'!BS22</f>
        <v>66458900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8251060</v>
      </c>
      <c r="BT22" s="184">
        <f>'[1]March - 2022'!BW22</f>
        <v>6470</v>
      </c>
      <c r="BU22" s="579"/>
      <c r="BV22" s="88">
        <f>'[1]March - 2022'!BY22</f>
        <v>0.67</v>
      </c>
      <c r="BW22" s="240">
        <f>'[1]March - 2022'!BZ22</f>
        <v>5.9999999999999942E-2</v>
      </c>
      <c r="BX22" s="88">
        <f>'[1]March - 2022'!CA22</f>
        <v>-5.0000000000000044E-2</v>
      </c>
      <c r="BY22" s="89">
        <f>'[1]March - 2022'!CB22</f>
        <v>58829</v>
      </c>
      <c r="BZ22" s="190">
        <f>'[1]March - 2022'!CC22</f>
        <v>18</v>
      </c>
      <c r="CA22" s="89">
        <f>'[1]March - 2022'!CD22</f>
        <v>50345</v>
      </c>
      <c r="CB22" s="190">
        <f>'[1]March - 2022'!CE22</f>
        <v>20</v>
      </c>
      <c r="CC22" s="89">
        <f>'[1]March - 2022'!CF22</f>
        <v>17220</v>
      </c>
      <c r="CD22" s="190">
        <f>'[1]March - 2022'!CG22</f>
        <v>7</v>
      </c>
      <c r="CE22" s="89">
        <f>'[1]March - 2022'!CH22</f>
        <v>23070</v>
      </c>
      <c r="CF22" s="190">
        <f>'[1]March - 2022'!CI22</f>
        <v>11</v>
      </c>
      <c r="CG22" s="89">
        <f>'[1]March - 2022'!CJ22</f>
        <v>25179</v>
      </c>
      <c r="CH22" s="190">
        <f>'[1]March - 2022'!CK22</f>
        <v>11</v>
      </c>
      <c r="CI22" s="89">
        <f>'[1]March - 2022'!CL22</f>
        <v>55848</v>
      </c>
      <c r="CJ22" s="190">
        <f>'[1]March - 2022'!CM22</f>
        <v>28</v>
      </c>
      <c r="CK22" s="89">
        <f>'[1]March - 2022'!CN22</f>
        <v>243941</v>
      </c>
      <c r="CL22" s="245">
        <f>'[1]March - 2022'!CO22</f>
        <v>98</v>
      </c>
      <c r="CM22" s="89">
        <f>'[1]March - 2022'!CP22</f>
        <v>95</v>
      </c>
      <c r="CN22" s="89">
        <f>'[1]March - 2022'!CQ22</f>
        <v>191266</v>
      </c>
      <c r="CO22" s="245">
        <f>'[1]March - 2022'!CR22</f>
        <v>117</v>
      </c>
      <c r="CP22" s="89">
        <f>'[1]March - 2022'!CS22</f>
        <v>98</v>
      </c>
      <c r="CQ22" s="89">
        <f>'[1]March - 2022'!CT22</f>
        <v>344706</v>
      </c>
      <c r="CR22" s="245">
        <f>'[1]March - 2022'!CU22</f>
        <v>144</v>
      </c>
      <c r="CS22" s="89">
        <f>'[1]March - 2022'!CV22</f>
        <v>312</v>
      </c>
      <c r="CT22" s="89">
        <f>'[1]March - 2022'!CW22</f>
        <v>642026</v>
      </c>
      <c r="CU22" s="190">
        <f>'[1]March - 2022'!CX22</f>
        <v>220</v>
      </c>
      <c r="CV22" s="506"/>
      <c r="CW22" s="284">
        <f>'[1]March - 2022'!CZ22</f>
        <v>7233</v>
      </c>
      <c r="CX22" s="197">
        <f>'[1]March - 2022'!DA22</f>
        <v>8</v>
      </c>
      <c r="CY22" s="285">
        <f>'[1]March - 2022'!DB22</f>
        <v>4622</v>
      </c>
      <c r="CZ22" s="197">
        <f>'[1]March - 2022'!DC22</f>
        <v>12</v>
      </c>
      <c r="DA22" s="285">
        <f>'[1]March - 2022'!DD22</f>
        <v>28503</v>
      </c>
      <c r="DB22" s="197">
        <f>'[1]March - 2022'!DE22</f>
        <v>19</v>
      </c>
      <c r="DC22" s="285">
        <f>'[1]March - 2022'!DF22</f>
        <v>29108</v>
      </c>
      <c r="DD22" s="197">
        <f>'[1]March - 2022'!DG22</f>
        <v>15</v>
      </c>
      <c r="DE22" s="285">
        <f>'[1]March - 2022'!DH22</f>
        <v>19535</v>
      </c>
      <c r="DF22" s="197">
        <f>'[1]March - 2022'!DI22</f>
        <v>9</v>
      </c>
      <c r="DG22" s="285">
        <f>'[1]March - 2022'!DJ22</f>
        <v>22543</v>
      </c>
      <c r="DH22" s="197">
        <f>'[1]March - 2022'!DK22</f>
        <v>7</v>
      </c>
      <c r="DI22" s="285">
        <f>'[1]March - 2022'!DL22</f>
        <v>4345</v>
      </c>
      <c r="DJ22" s="197">
        <f>'[1]March - 2022'!DM22</f>
        <v>19</v>
      </c>
      <c r="DK22" s="285">
        <f>'[1]March - 2022'!DN22</f>
        <v>7781</v>
      </c>
      <c r="DL22" s="197">
        <f>'[1]March - 2022'!DO22</f>
        <v>10</v>
      </c>
      <c r="DM22" s="285">
        <f>'[1]March - 2022'!DP22</f>
        <v>2237</v>
      </c>
      <c r="DN22" s="197">
        <f>'[1]March - 2022'!DQ22</f>
        <v>2</v>
      </c>
      <c r="DO22" s="285">
        <f>'[1]March - 2022'!DR22</f>
        <v>4268</v>
      </c>
      <c r="DP22" s="197">
        <f>'[1]March - 2022'!DS22</f>
        <v>11</v>
      </c>
      <c r="DQ22" s="285">
        <f>'[1]March - 2022'!DT22</f>
        <v>26945</v>
      </c>
      <c r="DR22" s="205">
        <f>'[1]March - 2022'!DU22</f>
        <v>2</v>
      </c>
      <c r="DS22" s="522"/>
      <c r="DT22" s="209">
        <f>'[1]March - 2022'!DW22</f>
        <v>3955.2</v>
      </c>
      <c r="DU22" s="220">
        <f>'[1]March - 2022'!DX22</f>
        <v>9.0999999999999091</v>
      </c>
      <c r="DV22" s="91">
        <f>'[1]March - 2022'!DY22</f>
        <v>8908.4</v>
      </c>
      <c r="DW22" s="214">
        <f>'[1]March - 2022'!DZ22</f>
        <v>8</v>
      </c>
      <c r="DX22" s="91">
        <f>'[1]March - 2022'!EA22</f>
        <v>2994.6</v>
      </c>
      <c r="DY22" s="214">
        <f>'[1]March - 2022'!EB22</f>
        <v>6.1999999999998181</v>
      </c>
      <c r="DZ22" s="91">
        <f>'[1]March - 2022'!EC22</f>
        <v>3154</v>
      </c>
      <c r="EA22" s="214">
        <f>'[1]March - 2022'!ED22</f>
        <v>9.5</v>
      </c>
      <c r="EB22" s="91">
        <f>'[1]March - 2022'!EE22</f>
        <v>925079</v>
      </c>
      <c r="EC22" s="214">
        <f>'[1]March - 2022'!EF22</f>
        <v>577</v>
      </c>
      <c r="ED22" s="91">
        <f>'[1]March - 2022'!EI22</f>
        <v>190942.4</v>
      </c>
      <c r="EE22" s="228">
        <f>'[1]March - 2022'!EJ22</f>
        <v>140.19999999998254</v>
      </c>
      <c r="EF22" s="570"/>
      <c r="EG22" s="234">
        <f>'[1]March - 2022'!EL22</f>
        <v>10673600</v>
      </c>
      <c r="EH22" s="229">
        <f>'[1]March - 2022'!EM22</f>
        <v>3500</v>
      </c>
      <c r="EI22" s="90">
        <f>'[1]March - 2022'!EN22</f>
        <v>851300</v>
      </c>
      <c r="EJ22" s="229">
        <f>'[1]March - 2022'!EO22</f>
        <v>230</v>
      </c>
      <c r="EK22" s="90">
        <f>'[1]March - 2022'!EP22</f>
        <v>6459500</v>
      </c>
      <c r="EL22" s="229">
        <f>'[1]March - 2022'!EQ22</f>
        <v>1300</v>
      </c>
      <c r="EM22" s="90">
        <f>'[1]March - 2022'!ER22</f>
        <v>2279500</v>
      </c>
      <c r="EN22" s="229">
        <f>'[1]March - 2022'!ES22</f>
        <v>600</v>
      </c>
      <c r="EO22" s="90">
        <f>'[1]March - 2022'!ET22</f>
        <v>1056600</v>
      </c>
      <c r="EP22" s="229">
        <f>'[1]March - 2022'!EU22</f>
        <v>550</v>
      </c>
      <c r="EQ22" s="90">
        <f>'[1]March - 2022'!EV22</f>
        <v>14522800</v>
      </c>
      <c r="ER22" s="229">
        <f>'[1]March - 2022'!EW22</f>
        <v>3900</v>
      </c>
      <c r="ES22" s="544"/>
      <c r="ET22" s="278">
        <f>'[1]March - 2022'!EY22</f>
        <v>38863</v>
      </c>
      <c r="EU22" s="272">
        <f>'[1]March - 2022'!EZ22</f>
        <v>15</v>
      </c>
      <c r="EV22" s="279">
        <f>'[1]March - 2022'!FA22</f>
        <v>33659</v>
      </c>
      <c r="EW22" s="272">
        <f>'[1]March - 2022'!FB22</f>
        <v>10</v>
      </c>
      <c r="EX22" s="279">
        <f>'[1]March - 2022'!FC22</f>
        <v>4756</v>
      </c>
      <c r="EY22" s="272">
        <f>'[1]March - 2022'!FD22</f>
        <v>16</v>
      </c>
      <c r="EZ22" s="279">
        <f>'[1]March - 2022'!FE22</f>
        <v>55851</v>
      </c>
      <c r="FA22" s="272">
        <f>'[1]March - 2022'!FF22</f>
        <v>8</v>
      </c>
      <c r="FB22" s="279">
        <f>'[1]March - 2022'!FG22</f>
        <v>40728</v>
      </c>
      <c r="FC22" s="273">
        <f>'[1]March - 2022'!FH22</f>
        <v>31</v>
      </c>
    </row>
    <row r="23" spans="1:159" ht="30" customHeight="1" x14ac:dyDescent="0.25">
      <c r="A23" s="206">
        <v>43844</v>
      </c>
      <c r="B23" s="208">
        <f>'[1]March - 2022'!B23</f>
        <v>0.83</v>
      </c>
      <c r="C23" s="249">
        <f>'[1]March - 2022'!E23</f>
        <v>77061</v>
      </c>
      <c r="D23" s="169">
        <f>'[1]March - 2022'!F23</f>
        <v>721</v>
      </c>
      <c r="E23" s="168">
        <f>'[1]March - 2022'!G23</f>
        <v>453</v>
      </c>
      <c r="F23" s="168">
        <f>'[1]March - 2022'!H23</f>
        <v>132805</v>
      </c>
      <c r="G23" s="169">
        <f>'[1]March - 2022'!I23</f>
        <v>454</v>
      </c>
      <c r="H23" s="168">
        <f>'[1]March - 2022'!J23</f>
        <v>367</v>
      </c>
      <c r="I23" s="168">
        <f>'[1]March - 2022'!K23</f>
        <v>164625</v>
      </c>
      <c r="J23" s="169">
        <f>'[1]March - 2022'!L23</f>
        <v>0</v>
      </c>
      <c r="K23" s="168">
        <f>'[1]March - 2022'!N23</f>
        <v>835791</v>
      </c>
      <c r="L23" s="169">
        <f>'[1]March - 2022'!O23</f>
        <v>302</v>
      </c>
      <c r="M23" s="168">
        <f>'[1]March - 2022'!Q23</f>
        <v>194573</v>
      </c>
      <c r="N23" s="169">
        <f>'[1]March - 2022'!R23</f>
        <v>81</v>
      </c>
      <c r="O23" s="261">
        <f>'[1]March - 2022'!U23</f>
        <v>60589.18</v>
      </c>
      <c r="P23" s="169">
        <f>'[1]March - 2022'!V23</f>
        <v>124.04000000000087</v>
      </c>
      <c r="Q23" s="168">
        <f>'[1]March - 2022'!W23</f>
        <v>28</v>
      </c>
      <c r="R23" s="261">
        <f>'[1]March - 2022'!X23</f>
        <v>4708</v>
      </c>
      <c r="S23" s="207">
        <f>'[1]March - 2022'!Y23</f>
        <v>2</v>
      </c>
      <c r="T23" s="465"/>
      <c r="U23" s="266">
        <f>'[1]March - 2022'!AE23</f>
        <v>7420543.2000000002</v>
      </c>
      <c r="V23" s="287">
        <f>'[1]March - 2022'!AF23</f>
        <v>2241.1200000001118</v>
      </c>
      <c r="W23" s="92">
        <f>'[1]March - 2022'!AG23</f>
        <v>1802.6399999996647</v>
      </c>
      <c r="X23" s="286">
        <f>'[1]March - 2022'!AH23</f>
        <v>14202269.76</v>
      </c>
      <c r="Y23" s="287">
        <f>'[1]March - 2022'!AI23</f>
        <v>4774.5600000005215</v>
      </c>
      <c r="Z23" s="92">
        <f>'[1]March - 2022'!AJ23</f>
        <v>4336.0800000000745</v>
      </c>
      <c r="AA23" s="286">
        <f>'[1]March - 2022'!AK23</f>
        <v>13962128.880000001</v>
      </c>
      <c r="AB23" s="287">
        <f>'[1]March - 2022'!AL23</f>
        <v>97.440000001341105</v>
      </c>
      <c r="AC23" s="92">
        <f>'[1]March - 2022'!AM23</f>
        <v>194.88000000081956</v>
      </c>
      <c r="AD23" s="286">
        <f>'[1]March - 2022'!AN23</f>
        <v>17006739.119999997</v>
      </c>
      <c r="AE23" s="287">
        <f>'[1]March - 2022'!AO23</f>
        <v>13251.839999996126</v>
      </c>
      <c r="AF23" s="92">
        <f>'[1]March - 2022'!AP23</f>
        <v>8769.6000000014901</v>
      </c>
      <c r="AG23" s="286">
        <f>'[1]March - 2022'!AQ23</f>
        <v>17413648.560000002</v>
      </c>
      <c r="AH23" s="287">
        <f>'[1]March - 2022'!AR23</f>
        <v>828.24000000208616</v>
      </c>
      <c r="AI23" s="92">
        <f>'[1]March - 2022'!AS23</f>
        <v>438.48000000230968</v>
      </c>
      <c r="AJ23" s="286">
        <f>'[1]March - 2022'!AT23</f>
        <v>16027905.6</v>
      </c>
      <c r="AK23" s="287">
        <f>'[1]March - 2022'!AU23</f>
        <v>5797.6800000015646</v>
      </c>
      <c r="AL23" s="92">
        <f>'[1]March - 2022'!AV23</f>
        <v>4774.5600000023842</v>
      </c>
      <c r="AM23" s="286">
        <f>'[1]March - 2022'!AW23</f>
        <v>13577922.959999999</v>
      </c>
      <c r="AN23" s="287">
        <f>'[1]March - 2022'!AX23</f>
        <v>4530.9599999990314</v>
      </c>
      <c r="AO23" s="92">
        <f>'[1]March - 2022'!AY23</f>
        <v>3946.3199999984354</v>
      </c>
      <c r="AP23" s="286">
        <f>'[1]March - 2022'!AZ23</f>
        <v>13075424.880000001</v>
      </c>
      <c r="AQ23" s="287">
        <f>'[1]March - 2022'!BD23</f>
        <v>3069.359999999404</v>
      </c>
      <c r="AR23" s="92">
        <f>'[1]March - 2022'!BB23</f>
        <v>3946.3199999984354</v>
      </c>
      <c r="AS23" s="286">
        <f>'[1]March - 2022'!BC23</f>
        <v>10391147.76</v>
      </c>
      <c r="AT23" s="287">
        <f>'[1]March - 2022'!BD23</f>
        <v>3069.359999999404</v>
      </c>
      <c r="AU23" s="92">
        <f>'[1]March - 2022'!BE23</f>
        <v>2630.8800000008196</v>
      </c>
      <c r="AV23" s="286">
        <f>'[1]March - 2022'!BF23</f>
        <v>16187025.119999999</v>
      </c>
      <c r="AW23" s="251">
        <f>'[1]March - 2022'!BG23</f>
        <v>5700.2399999983609</v>
      </c>
      <c r="AX23" s="252">
        <f>'[1]March - 2022'!BH23</f>
        <v>5895.1200000010431</v>
      </c>
      <c r="AY23" s="482"/>
      <c r="AZ23" s="269">
        <f>'[1]March - 2022'!BM23</f>
        <v>69258000</v>
      </c>
      <c r="BA23" s="178">
        <f>'[1]March - 2022'!BN23</f>
        <v>0</v>
      </c>
      <c r="BB23" s="93">
        <f>'[1]March - 2022'!BO23</f>
        <v>0</v>
      </c>
      <c r="BC23" s="269">
        <f>'[1]March - 2022'!BP23</f>
        <v>71813500</v>
      </c>
      <c r="BD23" s="244">
        <f>'[1]March - 2022'!BQ23</f>
        <v>67000</v>
      </c>
      <c r="BE23" s="93">
        <f>'[1]March - 2022'!BR23</f>
        <v>44700</v>
      </c>
      <c r="BF23" s="269">
        <f>'[1]March - 2022'!BS23</f>
        <v>66458900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8257230</v>
      </c>
      <c r="BT23" s="184">
        <f>'[1]March - 2022'!BW23</f>
        <v>6170</v>
      </c>
      <c r="BU23" s="579"/>
      <c r="BV23" s="88">
        <f>'[1]March - 2022'!BY23</f>
        <v>0.62</v>
      </c>
      <c r="BW23" s="240">
        <f>'[1]March - 2022'!BZ23</f>
        <v>5.0000000000000044E-2</v>
      </c>
      <c r="BX23" s="88">
        <f>'[1]March - 2022'!CA23</f>
        <v>6.9999999999999951E-2</v>
      </c>
      <c r="BY23" s="89">
        <f>'[1]March - 2022'!CB23</f>
        <v>58848</v>
      </c>
      <c r="BZ23" s="190">
        <f>'[1]March - 2022'!CC23</f>
        <v>19</v>
      </c>
      <c r="CA23" s="89">
        <f>'[1]March - 2022'!CD23</f>
        <v>50363</v>
      </c>
      <c r="CB23" s="190">
        <f>'[1]March - 2022'!CE23</f>
        <v>18</v>
      </c>
      <c r="CC23" s="89">
        <f>'[1]March - 2022'!CF23</f>
        <v>17227</v>
      </c>
      <c r="CD23" s="190">
        <f>'[1]March - 2022'!CG23</f>
        <v>7</v>
      </c>
      <c r="CE23" s="89">
        <f>'[1]March - 2022'!CH23</f>
        <v>23080</v>
      </c>
      <c r="CF23" s="190">
        <f>'[1]March - 2022'!CI23</f>
        <v>10</v>
      </c>
      <c r="CG23" s="89">
        <f>'[1]March - 2022'!CJ23</f>
        <v>25191</v>
      </c>
      <c r="CH23" s="190">
        <f>'[1]March - 2022'!CK23</f>
        <v>12</v>
      </c>
      <c r="CI23" s="89">
        <f>'[1]March - 2022'!CL23</f>
        <v>55876</v>
      </c>
      <c r="CJ23" s="190">
        <f>'[1]March - 2022'!CM23</f>
        <v>28</v>
      </c>
      <c r="CK23" s="89">
        <f>'[1]March - 2022'!CN23</f>
        <v>244041</v>
      </c>
      <c r="CL23" s="245">
        <f>'[1]March - 2022'!CO23</f>
        <v>100</v>
      </c>
      <c r="CM23" s="89">
        <f>'[1]March - 2022'!CP23</f>
        <v>93</v>
      </c>
      <c r="CN23" s="89">
        <f>'[1]March - 2022'!CQ23</f>
        <v>191369</v>
      </c>
      <c r="CO23" s="245">
        <f>'[1]March - 2022'!CR23</f>
        <v>103</v>
      </c>
      <c r="CP23" s="89">
        <f>'[1]March - 2022'!CS23</f>
        <v>98</v>
      </c>
      <c r="CQ23" s="89">
        <f>'[1]March - 2022'!CT23</f>
        <v>344775</v>
      </c>
      <c r="CR23" s="245">
        <f>'[1]March - 2022'!CU23</f>
        <v>69</v>
      </c>
      <c r="CS23" s="89">
        <f>'[1]March - 2022'!CV23</f>
        <v>266</v>
      </c>
      <c r="CT23" s="89">
        <f>'[1]March - 2022'!CW23</f>
        <v>642230</v>
      </c>
      <c r="CU23" s="190">
        <f>'[1]March - 2022'!CX23</f>
        <v>204</v>
      </c>
      <c r="CV23" s="506"/>
      <c r="CW23" s="284">
        <f>'[1]March - 2022'!CZ23</f>
        <v>7242</v>
      </c>
      <c r="CX23" s="197">
        <f>'[1]March - 2022'!DA23</f>
        <v>9</v>
      </c>
      <c r="CY23" s="285">
        <f>'[1]March - 2022'!DB23</f>
        <v>4629</v>
      </c>
      <c r="CZ23" s="197">
        <f>'[1]March - 2022'!DC23</f>
        <v>7</v>
      </c>
      <c r="DA23" s="285">
        <f>'[1]March - 2022'!DD23</f>
        <v>28520</v>
      </c>
      <c r="DB23" s="197">
        <f>'[1]March - 2022'!DE23</f>
        <v>17</v>
      </c>
      <c r="DC23" s="285">
        <f>'[1]March - 2022'!DF23</f>
        <v>29124</v>
      </c>
      <c r="DD23" s="197">
        <f>'[1]March - 2022'!DG23</f>
        <v>16</v>
      </c>
      <c r="DE23" s="285">
        <f>'[1]March - 2022'!DH23</f>
        <v>19544</v>
      </c>
      <c r="DF23" s="197">
        <f>'[1]March - 2022'!DI23</f>
        <v>9</v>
      </c>
      <c r="DG23" s="285">
        <f>'[1]March - 2022'!DJ23</f>
        <v>22549</v>
      </c>
      <c r="DH23" s="197">
        <f>'[1]March - 2022'!DK23</f>
        <v>6</v>
      </c>
      <c r="DI23" s="285">
        <f>'[1]March - 2022'!DL23</f>
        <v>4359</v>
      </c>
      <c r="DJ23" s="197">
        <f>'[1]March - 2022'!DM23</f>
        <v>14</v>
      </c>
      <c r="DK23" s="285">
        <f>'[1]March - 2022'!DN23</f>
        <v>7787</v>
      </c>
      <c r="DL23" s="197">
        <f>'[1]March - 2022'!DO23</f>
        <v>6</v>
      </c>
      <c r="DM23" s="285">
        <f>'[1]March - 2022'!DP23</f>
        <v>2241</v>
      </c>
      <c r="DN23" s="197">
        <f>'[1]March - 2022'!DQ23</f>
        <v>4</v>
      </c>
      <c r="DO23" s="285">
        <f>'[1]March - 2022'!DR23</f>
        <v>4276</v>
      </c>
      <c r="DP23" s="197">
        <f>'[1]March - 2022'!DS23</f>
        <v>8</v>
      </c>
      <c r="DQ23" s="285">
        <f>'[1]March - 2022'!DT23</f>
        <v>26962</v>
      </c>
      <c r="DR23" s="205">
        <f>'[1]March - 2022'!DU23</f>
        <v>17</v>
      </c>
      <c r="DS23" s="522"/>
      <c r="DT23" s="209">
        <f>'[1]March - 2022'!DW23</f>
        <v>3964.8</v>
      </c>
      <c r="DU23" s="220">
        <f>'[1]March - 2022'!DX23</f>
        <v>9.6000000000003638</v>
      </c>
      <c r="DV23" s="91">
        <f>'[1]March - 2022'!DY23</f>
        <v>8916.6</v>
      </c>
      <c r="DW23" s="214">
        <f>'[1]March - 2022'!DZ23</f>
        <v>8.2000000000007276</v>
      </c>
      <c r="DX23" s="91">
        <f>'[1]March - 2022'!EA23</f>
        <v>3001.3</v>
      </c>
      <c r="DY23" s="214">
        <f>'[1]March - 2022'!EB23</f>
        <v>6.7000000000002728</v>
      </c>
      <c r="DZ23" s="91">
        <f>'[1]March - 2022'!EC23</f>
        <v>3162.6</v>
      </c>
      <c r="EA23" s="214">
        <f>'[1]March - 2022'!ED23</f>
        <v>8.5999999999999091</v>
      </c>
      <c r="EB23" s="91">
        <f>'[1]March - 2022'!EE23</f>
        <v>925689</v>
      </c>
      <c r="EC23" s="214">
        <f>'[1]March - 2022'!EF23</f>
        <v>610</v>
      </c>
      <c r="ED23" s="91">
        <f>'[1]March - 2022'!EI23</f>
        <v>191092.7</v>
      </c>
      <c r="EE23" s="228">
        <f>'[1]March - 2022'!EJ23</f>
        <v>150.30000000001746</v>
      </c>
      <c r="EF23" s="570"/>
      <c r="EG23" s="234">
        <f>'[1]March - 2022'!EL23</f>
        <v>10677800</v>
      </c>
      <c r="EH23" s="229">
        <f>'[1]March - 2022'!EM23</f>
        <v>4200</v>
      </c>
      <c r="EI23" s="90">
        <f>'[1]March - 2022'!EN23</f>
        <v>851570</v>
      </c>
      <c r="EJ23" s="229">
        <f>'[1]March - 2022'!EO23</f>
        <v>270</v>
      </c>
      <c r="EK23" s="90">
        <f>'[1]March - 2022'!EP23</f>
        <v>6461100</v>
      </c>
      <c r="EL23" s="229">
        <f>'[1]March - 2022'!EQ23</f>
        <v>1600</v>
      </c>
      <c r="EM23" s="90">
        <f>'[1]March - 2022'!ER23</f>
        <v>2280200</v>
      </c>
      <c r="EN23" s="229">
        <f>'[1]March - 2022'!ES23</f>
        <v>700</v>
      </c>
      <c r="EO23" s="90">
        <f>'[1]March - 2022'!ET23</f>
        <v>1057210</v>
      </c>
      <c r="EP23" s="229">
        <f>'[1]March - 2022'!EU23</f>
        <v>610</v>
      </c>
      <c r="EQ23" s="90">
        <f>'[1]March - 2022'!EV23</f>
        <v>14527800</v>
      </c>
      <c r="ER23" s="229">
        <f>'[1]March - 2022'!EW23</f>
        <v>5000</v>
      </c>
      <c r="ES23" s="544"/>
      <c r="ET23" s="278">
        <f>'[1]March - 2022'!EY23</f>
        <v>38878</v>
      </c>
      <c r="EU23" s="272">
        <f>'[1]March - 2022'!EZ23</f>
        <v>15</v>
      </c>
      <c r="EV23" s="279">
        <f>'[1]March - 2022'!FA23</f>
        <v>33671</v>
      </c>
      <c r="EW23" s="272">
        <f>'[1]March - 2022'!FB23</f>
        <v>12</v>
      </c>
      <c r="EX23" s="279">
        <f>'[1]March - 2022'!FC23</f>
        <v>4767</v>
      </c>
      <c r="EY23" s="272">
        <f>'[1]March - 2022'!FD23</f>
        <v>11</v>
      </c>
      <c r="EZ23" s="279">
        <f>'[1]March - 2022'!FE23</f>
        <v>55865</v>
      </c>
      <c r="FA23" s="272">
        <f>'[1]March - 2022'!FF23</f>
        <v>14</v>
      </c>
      <c r="FB23" s="279">
        <f>'[1]March - 2022'!FG23</f>
        <v>40761</v>
      </c>
      <c r="FC23" s="273">
        <f>'[1]March - 2022'!FH23</f>
        <v>33</v>
      </c>
    </row>
    <row r="24" spans="1:159" ht="30" customHeight="1" x14ac:dyDescent="0.25">
      <c r="A24" s="206">
        <v>43845</v>
      </c>
      <c r="B24" s="208">
        <f>'[1]March - 2022'!B24</f>
        <v>0.84</v>
      </c>
      <c r="C24" s="249">
        <f>'[1]March - 2022'!E24</f>
        <v>77742</v>
      </c>
      <c r="D24" s="169">
        <f>'[1]March - 2022'!F24</f>
        <v>681</v>
      </c>
      <c r="E24" s="168">
        <f>'[1]March - 2022'!G24</f>
        <v>436</v>
      </c>
      <c r="F24" s="168">
        <f>'[1]March - 2022'!H24</f>
        <v>133248</v>
      </c>
      <c r="G24" s="169">
        <f>'[1]March - 2022'!I24</f>
        <v>443</v>
      </c>
      <c r="H24" s="168">
        <f>'[1]March - 2022'!J24</f>
        <v>382</v>
      </c>
      <c r="I24" s="168">
        <f>'[1]March - 2022'!K24</f>
        <v>164625</v>
      </c>
      <c r="J24" s="169">
        <f>'[1]March - 2022'!L24</f>
        <v>0</v>
      </c>
      <c r="K24" s="168">
        <f>'[1]March - 2022'!N24</f>
        <v>835995</v>
      </c>
      <c r="L24" s="169">
        <f>'[1]March - 2022'!O24</f>
        <v>204</v>
      </c>
      <c r="M24" s="168">
        <f>'[1]March - 2022'!Q24</f>
        <v>194612</v>
      </c>
      <c r="N24" s="169">
        <f>'[1]March - 2022'!R24</f>
        <v>39</v>
      </c>
      <c r="O24" s="261">
        <f>'[1]March - 2022'!U24</f>
        <v>60714.04</v>
      </c>
      <c r="P24" s="169">
        <f>'[1]March - 2022'!V24</f>
        <v>124.86000000000058</v>
      </c>
      <c r="Q24" s="168">
        <f>'[1]March - 2022'!W24</f>
        <v>26</v>
      </c>
      <c r="R24" s="261">
        <f>'[1]March - 2022'!X24</f>
        <v>4708</v>
      </c>
      <c r="S24" s="207">
        <f>'[1]March - 2022'!Y24</f>
        <v>0</v>
      </c>
      <c r="T24" s="465"/>
      <c r="U24" s="266">
        <f>'[1]March - 2022'!AE24</f>
        <v>7422589.4400000004</v>
      </c>
      <c r="V24" s="287">
        <f>'[1]March - 2022'!AF24</f>
        <v>2046.2400000002235</v>
      </c>
      <c r="W24" s="92">
        <f>'[1]March - 2022'!AG24</f>
        <v>1851.3600000003353</v>
      </c>
      <c r="X24" s="286">
        <f>'[1]March - 2022'!AH24</f>
        <v>14206946.880000001</v>
      </c>
      <c r="Y24" s="287">
        <f>'[1]March - 2022'!AI24</f>
        <v>4677.1200000010431</v>
      </c>
      <c r="Z24" s="92">
        <f>'[1]March - 2022'!AJ24</f>
        <v>4482.2399999983609</v>
      </c>
      <c r="AA24" s="286">
        <f>'[1]March - 2022'!AK24</f>
        <v>13962226.319999998</v>
      </c>
      <c r="AB24" s="287">
        <f>'[1]March - 2022'!AL24</f>
        <v>97.439999997615814</v>
      </c>
      <c r="AC24" s="92">
        <f>'[1]March - 2022'!AM24</f>
        <v>194.87999999895692</v>
      </c>
      <c r="AD24" s="286">
        <f>'[1]March - 2022'!AN24</f>
        <v>17019357.599999998</v>
      </c>
      <c r="AE24" s="287">
        <f>'[1]March - 2022'!AO24</f>
        <v>12618.480000000447</v>
      </c>
      <c r="AF24" s="92">
        <f>'[1]March - 2022'!AP24</f>
        <v>8672.1599999982864</v>
      </c>
      <c r="AG24" s="286">
        <f>'[1]March - 2022'!AQ24</f>
        <v>17414476.800000001</v>
      </c>
      <c r="AH24" s="287">
        <f>'[1]March - 2022'!AR24</f>
        <v>828.23999999836087</v>
      </c>
      <c r="AI24" s="92">
        <f>'[1]March - 2022'!AS24</f>
        <v>925.67999999970198</v>
      </c>
      <c r="AJ24" s="286">
        <f>'[1]March - 2022'!AT24</f>
        <v>16033654.560000001</v>
      </c>
      <c r="AK24" s="287">
        <f>'[1]March - 2022'!AU24</f>
        <v>5748.9600000008941</v>
      </c>
      <c r="AL24" s="92">
        <f>'[1]March - 2022'!AV24</f>
        <v>4872</v>
      </c>
      <c r="AM24" s="286">
        <f>'[1]March - 2022'!AW24</f>
        <v>13582112.880000001</v>
      </c>
      <c r="AN24" s="287">
        <f>'[1]March - 2022'!AX24</f>
        <v>4189.9200000017881</v>
      </c>
      <c r="AO24" s="92">
        <f>'[1]March - 2022'!AY24</f>
        <v>4043.7599999997765</v>
      </c>
      <c r="AP24" s="286">
        <f>'[1]March - 2022'!AZ24</f>
        <v>13080053.280000001</v>
      </c>
      <c r="AQ24" s="287">
        <f>'[1]March - 2022'!BD24</f>
        <v>3020.640000000596</v>
      </c>
      <c r="AR24" s="92">
        <f>'[1]March - 2022'!BB24</f>
        <v>4092.4800000023097</v>
      </c>
      <c r="AS24" s="286">
        <f>'[1]March - 2022'!BC24</f>
        <v>10394168.4</v>
      </c>
      <c r="AT24" s="287">
        <f>'[1]March - 2022'!BD24</f>
        <v>3020.640000000596</v>
      </c>
      <c r="AU24" s="92">
        <f>'[1]March - 2022'!BE24</f>
        <v>2874.4799999985844</v>
      </c>
      <c r="AV24" s="286">
        <f>'[1]March - 2022'!BF24</f>
        <v>16192774.08</v>
      </c>
      <c r="AW24" s="251">
        <f>'[1]March - 2022'!BG24</f>
        <v>5748.9600000008941</v>
      </c>
      <c r="AX24" s="252">
        <f>'[1]March - 2022'!BH24</f>
        <v>5943.839999999851</v>
      </c>
      <c r="AY24" s="482"/>
      <c r="AZ24" s="269">
        <f>'[1]March - 2022'!BM24</f>
        <v>69258000</v>
      </c>
      <c r="BA24" s="178">
        <f>'[1]March - 2022'!BN24</f>
        <v>0</v>
      </c>
      <c r="BB24" s="93">
        <f>'[1]March - 2022'!BO24</f>
        <v>0</v>
      </c>
      <c r="BC24" s="269">
        <f>'[1]March - 2022'!BP24</f>
        <v>71877500</v>
      </c>
      <c r="BD24" s="244">
        <f>'[1]March - 2022'!BQ24</f>
        <v>64000</v>
      </c>
      <c r="BE24" s="93">
        <f>'[1]March - 2022'!BR24</f>
        <v>43200</v>
      </c>
      <c r="BF24" s="269">
        <f>'[1]March - 2022'!BS24</f>
        <v>66458900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8263430</v>
      </c>
      <c r="BT24" s="184">
        <f>'[1]March - 2022'!BW24</f>
        <v>6200</v>
      </c>
      <c r="BU24" s="579"/>
      <c r="BV24" s="88">
        <f>'[1]March - 2022'!BY24</f>
        <v>0.78</v>
      </c>
      <c r="BW24" s="240">
        <f>'[1]March - 2022'!BZ24</f>
        <v>-0.16000000000000003</v>
      </c>
      <c r="BX24" s="88">
        <f>'[1]March - 2022'!CA24</f>
        <v>-1.9999999999999907E-2</v>
      </c>
      <c r="BY24" s="89">
        <f>'[1]March - 2022'!CB24</f>
        <v>58866</v>
      </c>
      <c r="BZ24" s="190">
        <f>'[1]March - 2022'!CC24</f>
        <v>18</v>
      </c>
      <c r="CA24" s="89">
        <f>'[1]March - 2022'!CD24</f>
        <v>50385</v>
      </c>
      <c r="CB24" s="190">
        <f>'[1]March - 2022'!CE24</f>
        <v>22</v>
      </c>
      <c r="CC24" s="89">
        <f>'[1]March - 2022'!CF24</f>
        <v>17232</v>
      </c>
      <c r="CD24" s="190">
        <f>'[1]March - 2022'!CG24</f>
        <v>5</v>
      </c>
      <c r="CE24" s="89">
        <f>'[1]March - 2022'!CH24</f>
        <v>23090</v>
      </c>
      <c r="CF24" s="190">
        <f>'[1]March - 2022'!CI24</f>
        <v>10</v>
      </c>
      <c r="CG24" s="89">
        <f>'[1]March - 2022'!CJ24</f>
        <v>25199</v>
      </c>
      <c r="CH24" s="190">
        <f>'[1]March - 2022'!CK24</f>
        <v>8</v>
      </c>
      <c r="CI24" s="89">
        <f>'[1]March - 2022'!CL24</f>
        <v>55903</v>
      </c>
      <c r="CJ24" s="190">
        <f>'[1]March - 2022'!CM24</f>
        <v>27</v>
      </c>
      <c r="CK24" s="89">
        <f>'[1]March - 2022'!CN24</f>
        <v>244142</v>
      </c>
      <c r="CL24" s="245">
        <f>'[1]March - 2022'!CO24</f>
        <v>101</v>
      </c>
      <c r="CM24" s="89">
        <f>'[1]March - 2022'!CP24</f>
        <v>91</v>
      </c>
      <c r="CN24" s="89">
        <f>'[1]March - 2022'!CQ24</f>
        <v>191478</v>
      </c>
      <c r="CO24" s="245">
        <f>'[1]March - 2022'!CR24</f>
        <v>109</v>
      </c>
      <c r="CP24" s="89">
        <f>'[1]March - 2022'!CS24</f>
        <v>94</v>
      </c>
      <c r="CQ24" s="89">
        <f>'[1]March - 2022'!CT24</f>
        <v>344839</v>
      </c>
      <c r="CR24" s="245">
        <f>'[1]March - 2022'!CU24</f>
        <v>64</v>
      </c>
      <c r="CS24" s="89">
        <f>'[1]March - 2022'!CV24</f>
        <v>253</v>
      </c>
      <c r="CT24" s="89">
        <f>'[1]March - 2022'!CW24</f>
        <v>642458</v>
      </c>
      <c r="CU24" s="190">
        <f>'[1]March - 2022'!CX24</f>
        <v>228</v>
      </c>
      <c r="CV24" s="506"/>
      <c r="CW24" s="284">
        <f>'[1]March - 2022'!CZ24</f>
        <v>7251</v>
      </c>
      <c r="CX24" s="197">
        <f>'[1]March - 2022'!DA24</f>
        <v>9</v>
      </c>
      <c r="CY24" s="285">
        <f>'[1]March - 2022'!DB24</f>
        <v>4640</v>
      </c>
      <c r="CZ24" s="197">
        <f>'[1]March - 2022'!DC24</f>
        <v>11</v>
      </c>
      <c r="DA24" s="285">
        <f>'[1]March - 2022'!DD24</f>
        <v>28536</v>
      </c>
      <c r="DB24" s="197">
        <f>'[1]March - 2022'!DE24</f>
        <v>16</v>
      </c>
      <c r="DC24" s="285">
        <f>'[1]March - 2022'!DF24</f>
        <v>29141</v>
      </c>
      <c r="DD24" s="197">
        <f>'[1]March - 2022'!DG24</f>
        <v>17</v>
      </c>
      <c r="DE24" s="285">
        <f>'[1]March - 2022'!DH24</f>
        <v>19554</v>
      </c>
      <c r="DF24" s="197">
        <f>'[1]March - 2022'!DI24</f>
        <v>10</v>
      </c>
      <c r="DG24" s="285">
        <f>'[1]March - 2022'!DJ24</f>
        <v>22554</v>
      </c>
      <c r="DH24" s="197">
        <f>'[1]March - 2022'!DK24</f>
        <v>5</v>
      </c>
      <c r="DI24" s="285">
        <f>'[1]March - 2022'!DL24</f>
        <v>4375</v>
      </c>
      <c r="DJ24" s="197">
        <f>'[1]March - 2022'!DM24</f>
        <v>16</v>
      </c>
      <c r="DK24" s="285">
        <f>'[1]March - 2022'!DN24</f>
        <v>7788</v>
      </c>
      <c r="DL24" s="197">
        <f>'[1]March - 2022'!DO24</f>
        <v>1</v>
      </c>
      <c r="DM24" s="285">
        <f>'[1]March - 2022'!DP24</f>
        <v>2244</v>
      </c>
      <c r="DN24" s="197">
        <f>'[1]March - 2022'!DQ24</f>
        <v>3</v>
      </c>
      <c r="DO24" s="285">
        <f>'[1]March - 2022'!DR24</f>
        <v>4284</v>
      </c>
      <c r="DP24" s="197">
        <f>'[1]March - 2022'!DS24</f>
        <v>8</v>
      </c>
      <c r="DQ24" s="285">
        <f>'[1]March - 2022'!DT24</f>
        <v>26975</v>
      </c>
      <c r="DR24" s="205">
        <f>'[1]March - 2022'!DU24</f>
        <v>13</v>
      </c>
      <c r="DS24" s="522"/>
      <c r="DT24" s="209">
        <f>'[1]March - 2022'!DW24</f>
        <v>3974.2</v>
      </c>
      <c r="DU24" s="220">
        <f>'[1]March - 2022'!DX24</f>
        <v>9.3999999999996362</v>
      </c>
      <c r="DV24" s="91">
        <f>'[1]March - 2022'!DY24</f>
        <v>8924.9</v>
      </c>
      <c r="DW24" s="214">
        <f>'[1]March - 2022'!DZ24</f>
        <v>8.2999999999992724</v>
      </c>
      <c r="DX24" s="91">
        <f>'[1]March - 2022'!EA24</f>
        <v>3008</v>
      </c>
      <c r="DY24" s="214">
        <f>'[1]March - 2022'!EB24</f>
        <v>6.6999999999998181</v>
      </c>
      <c r="DZ24" s="91">
        <f>'[1]March - 2022'!EC24</f>
        <v>3170.4</v>
      </c>
      <c r="EA24" s="214">
        <f>'[1]March - 2022'!ED24</f>
        <v>7.8000000000001819</v>
      </c>
      <c r="EB24" s="91">
        <f>'[1]March - 2022'!EE24</f>
        <v>926283</v>
      </c>
      <c r="EC24" s="214">
        <f>'[1]March - 2022'!EF24</f>
        <v>594</v>
      </c>
      <c r="ED24" s="91">
        <f>'[1]March - 2022'!EI24</f>
        <v>191249.8</v>
      </c>
      <c r="EE24" s="228">
        <f>'[1]March - 2022'!EJ24</f>
        <v>157.09999999997672</v>
      </c>
      <c r="EF24" s="570"/>
      <c r="EG24" s="234">
        <f>'[1]March - 2022'!EL24</f>
        <v>10681900</v>
      </c>
      <c r="EH24" s="229">
        <f>'[1]March - 2022'!EM24</f>
        <v>4100</v>
      </c>
      <c r="EI24" s="90">
        <f>'[1]March - 2022'!EN24</f>
        <v>851840</v>
      </c>
      <c r="EJ24" s="229">
        <f>'[1]March - 2022'!EO24</f>
        <v>270</v>
      </c>
      <c r="EK24" s="90">
        <f>'[1]March - 2022'!EP24</f>
        <v>6462700</v>
      </c>
      <c r="EL24" s="229">
        <f>'[1]March - 2022'!EQ24</f>
        <v>1600</v>
      </c>
      <c r="EM24" s="90">
        <f>'[1]March - 2022'!ER24</f>
        <v>2280800</v>
      </c>
      <c r="EN24" s="229">
        <f>'[1]March - 2022'!ES24</f>
        <v>600</v>
      </c>
      <c r="EO24" s="90">
        <f>'[1]March - 2022'!ET24</f>
        <v>1057840</v>
      </c>
      <c r="EP24" s="229">
        <f>'[1]March - 2022'!EU24</f>
        <v>630</v>
      </c>
      <c r="EQ24" s="90">
        <f>'[1]March - 2022'!EV24</f>
        <v>14532400</v>
      </c>
      <c r="ER24" s="229">
        <f>'[1]March - 2022'!EW24</f>
        <v>4600</v>
      </c>
      <c r="ES24" s="544"/>
      <c r="ET24" s="278">
        <f>'[1]March - 2022'!EY24</f>
        <v>38895</v>
      </c>
      <c r="EU24" s="272">
        <f>'[1]March - 2022'!EZ24</f>
        <v>17</v>
      </c>
      <c r="EV24" s="279">
        <f>'[1]March - 2022'!FA24</f>
        <v>33684</v>
      </c>
      <c r="EW24" s="272">
        <f>'[1]March - 2022'!FB24</f>
        <v>13</v>
      </c>
      <c r="EX24" s="279">
        <f>'[1]March - 2022'!FC24</f>
        <v>4778</v>
      </c>
      <c r="EY24" s="272">
        <f>'[1]March - 2022'!FD24</f>
        <v>11</v>
      </c>
      <c r="EZ24" s="279">
        <f>'[1]March - 2022'!FE24</f>
        <v>55882</v>
      </c>
      <c r="FA24" s="272">
        <f>'[1]March - 2022'!FF24</f>
        <v>17</v>
      </c>
      <c r="FB24" s="279">
        <f>'[1]March - 2022'!FG24</f>
        <v>40793</v>
      </c>
      <c r="FC24" s="273">
        <f>'[1]March - 2022'!FH24</f>
        <v>32</v>
      </c>
    </row>
    <row r="25" spans="1:159" ht="30" customHeight="1" x14ac:dyDescent="0.25">
      <c r="A25" s="206">
        <v>43846</v>
      </c>
      <c r="B25" s="208">
        <f>'[1]March - 2022'!B25</f>
        <v>0.83</v>
      </c>
      <c r="C25" s="249">
        <f>'[1]March - 2022'!E25</f>
        <v>78633</v>
      </c>
      <c r="D25" s="169">
        <f>'[1]March - 2022'!F25</f>
        <v>891</v>
      </c>
      <c r="E25" s="168">
        <f>'[1]March - 2022'!G25</f>
        <v>444</v>
      </c>
      <c r="F25" s="168">
        <f>'[1]March - 2022'!H25</f>
        <v>133730</v>
      </c>
      <c r="G25" s="169">
        <f>'[1]March - 2022'!I25</f>
        <v>482</v>
      </c>
      <c r="H25" s="168">
        <f>'[1]March - 2022'!J25</f>
        <v>378</v>
      </c>
      <c r="I25" s="168">
        <f>'[1]March - 2022'!K25</f>
        <v>164625</v>
      </c>
      <c r="J25" s="169">
        <f>'[1]March - 2022'!L25</f>
        <v>0</v>
      </c>
      <c r="K25" s="168">
        <f>'[1]March - 2022'!N25</f>
        <v>836378</v>
      </c>
      <c r="L25" s="169">
        <f>'[1]March - 2022'!O25</f>
        <v>383</v>
      </c>
      <c r="M25" s="168">
        <f>'[1]March - 2022'!Q25</f>
        <v>194842</v>
      </c>
      <c r="N25" s="169">
        <f>'[1]March - 2022'!R25</f>
        <v>230</v>
      </c>
      <c r="O25" s="261">
        <f>'[1]March - 2022'!U25</f>
        <v>60846.45</v>
      </c>
      <c r="P25" s="169">
        <f>'[1]March - 2022'!V25</f>
        <v>132.40999999999622</v>
      </c>
      <c r="Q25" s="168">
        <f>'[1]March - 2022'!W25</f>
        <v>28</v>
      </c>
      <c r="R25" s="261">
        <f>'[1]March - 2022'!X25</f>
        <v>4708</v>
      </c>
      <c r="S25" s="207">
        <f>'[1]March - 2022'!Y25</f>
        <v>0</v>
      </c>
      <c r="T25" s="465"/>
      <c r="U25" s="266">
        <f>'[1]March - 2022'!AE25</f>
        <v>7424635.6799999997</v>
      </c>
      <c r="V25" s="287">
        <f>'[1]March - 2022'!AF25</f>
        <v>2046.2399999992922</v>
      </c>
      <c r="W25" s="92">
        <f>'[1]March - 2022'!AG25</f>
        <v>1753.9199999999255</v>
      </c>
      <c r="X25" s="286">
        <f>'[1]March - 2022'!AH25</f>
        <v>14211770.16</v>
      </c>
      <c r="Y25" s="287">
        <f>'[1]March - 2022'!AI25</f>
        <v>4823.2799999993294</v>
      </c>
      <c r="Z25" s="92">
        <f>'[1]March - 2022'!AJ25</f>
        <v>4287.3600000012666</v>
      </c>
      <c r="AA25" s="286">
        <f>'[1]March - 2022'!AK25</f>
        <v>13964954.640000001</v>
      </c>
      <c r="AB25" s="287">
        <f>'[1]March - 2022'!AL25</f>
        <v>2728.3200000021607</v>
      </c>
      <c r="AC25" s="92">
        <f>'[1]March - 2022'!AM25</f>
        <v>194.88000000081956</v>
      </c>
      <c r="AD25" s="286">
        <f>'[1]March - 2022'!AN25</f>
        <v>17029832.399999999</v>
      </c>
      <c r="AE25" s="287">
        <f>'[1]March - 2022'!AO25</f>
        <v>10474.800000000745</v>
      </c>
      <c r="AF25" s="92">
        <f>'[1]March - 2022'!AP25</f>
        <v>8574.7200000006706</v>
      </c>
      <c r="AG25" s="286">
        <f>'[1]March - 2022'!AQ25</f>
        <v>17415402.48</v>
      </c>
      <c r="AH25" s="287">
        <f>'[1]March - 2022'!AR25</f>
        <v>925.67999999970198</v>
      </c>
      <c r="AI25" s="92">
        <f>'[1]March - 2022'!AS25</f>
        <v>0</v>
      </c>
      <c r="AJ25" s="286">
        <f>'[1]March - 2022'!AT25</f>
        <v>16039647.119999999</v>
      </c>
      <c r="AK25" s="287">
        <f>'[1]March - 2022'!AU25</f>
        <v>5992.5599999986589</v>
      </c>
      <c r="AL25" s="92">
        <f>'[1]March - 2022'!AV25</f>
        <v>4628.4000000003725</v>
      </c>
      <c r="AM25" s="286">
        <f>'[1]March - 2022'!AW25</f>
        <v>13586546.4</v>
      </c>
      <c r="AN25" s="287">
        <f>'[1]March - 2022'!AX25</f>
        <v>4433.519999999553</v>
      </c>
      <c r="AO25" s="92">
        <f>'[1]March - 2022'!AY25</f>
        <v>3995.0400000009686</v>
      </c>
      <c r="AP25" s="286">
        <f>'[1]March - 2022'!AZ25</f>
        <v>13084486.799999999</v>
      </c>
      <c r="AQ25" s="287">
        <f>'[1]March - 2022'!BD25</f>
        <v>3166.7999999988824</v>
      </c>
      <c r="AR25" s="92">
        <f>'[1]March - 2022'!BB25</f>
        <v>3848.8799999989569</v>
      </c>
      <c r="AS25" s="286">
        <f>'[1]March - 2022'!BC25</f>
        <v>10397335.199999999</v>
      </c>
      <c r="AT25" s="287">
        <f>'[1]March - 2022'!BD25</f>
        <v>3166.7999999988824</v>
      </c>
      <c r="AU25" s="92">
        <f>'[1]March - 2022'!BE25</f>
        <v>2777.0400000009686</v>
      </c>
      <c r="AV25" s="286">
        <f>'[1]March - 2022'!BF25</f>
        <v>16198328.16</v>
      </c>
      <c r="AW25" s="251">
        <f>'[1]March - 2022'!BG25</f>
        <v>5554.0800000000745</v>
      </c>
      <c r="AX25" s="252">
        <f>'[1]March - 2022'!BH25</f>
        <v>5895.1199999991804</v>
      </c>
      <c r="AY25" s="482"/>
      <c r="AZ25" s="269">
        <f>'[1]March - 2022'!BM25</f>
        <v>69273000</v>
      </c>
      <c r="BA25" s="178">
        <f>'[1]March - 2022'!BN25</f>
        <v>15000</v>
      </c>
      <c r="BB25" s="93">
        <f>'[1]March - 2022'!BO25</f>
        <v>0</v>
      </c>
      <c r="BC25" s="269">
        <f>'[1]March - 2022'!BP25</f>
        <v>71930000</v>
      </c>
      <c r="BD25" s="244">
        <f>'[1]March - 2022'!BQ25</f>
        <v>52500</v>
      </c>
      <c r="BE25" s="93">
        <f>'[1]March - 2022'!BR25</f>
        <v>44600</v>
      </c>
      <c r="BF25" s="269">
        <f>'[1]March - 2022'!BS25</f>
        <v>66458900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8270110</v>
      </c>
      <c r="BT25" s="184">
        <f>'[1]March - 2022'!BW25</f>
        <v>6680</v>
      </c>
      <c r="BU25" s="579"/>
      <c r="BV25" s="88">
        <f>'[1]March - 2022'!BY25</f>
        <v>0.71</v>
      </c>
      <c r="BW25" s="240">
        <f>'[1]March - 2022'!BZ25</f>
        <v>7.0000000000000062E-2</v>
      </c>
      <c r="BX25" s="88">
        <f>'[1]March - 2022'!CA25</f>
        <v>0</v>
      </c>
      <c r="BY25" s="89">
        <f>'[1]March - 2022'!CB25</f>
        <v>58884</v>
      </c>
      <c r="BZ25" s="190">
        <f>'[1]March - 2022'!CC25</f>
        <v>18</v>
      </c>
      <c r="CA25" s="89">
        <f>'[1]March - 2022'!CD25</f>
        <v>50402</v>
      </c>
      <c r="CB25" s="190">
        <f>'[1]March - 2022'!CE25</f>
        <v>17</v>
      </c>
      <c r="CC25" s="89">
        <f>'[1]March - 2022'!CF25</f>
        <v>17238</v>
      </c>
      <c r="CD25" s="190">
        <f>'[1]March - 2022'!CG25</f>
        <v>6</v>
      </c>
      <c r="CE25" s="89">
        <f>'[1]March - 2022'!CH25</f>
        <v>23100</v>
      </c>
      <c r="CF25" s="190">
        <f>'[1]March - 2022'!CI25</f>
        <v>10</v>
      </c>
      <c r="CG25" s="89">
        <f>'[1]March - 2022'!CJ25</f>
        <v>25209</v>
      </c>
      <c r="CH25" s="190">
        <f>'[1]March - 2022'!CK25</f>
        <v>10</v>
      </c>
      <c r="CI25" s="89">
        <f>'[1]March - 2022'!CL25</f>
        <v>55933</v>
      </c>
      <c r="CJ25" s="190">
        <f>'[1]March - 2022'!CM25</f>
        <v>30</v>
      </c>
      <c r="CK25" s="89">
        <f>'[1]March - 2022'!CN25</f>
        <v>244242</v>
      </c>
      <c r="CL25" s="245">
        <f>'[1]March - 2022'!CO25</f>
        <v>100</v>
      </c>
      <c r="CM25" s="89">
        <f>'[1]March - 2022'!CP25</f>
        <v>93</v>
      </c>
      <c r="CN25" s="89">
        <f>'[1]March - 2022'!CQ25</f>
        <v>191594</v>
      </c>
      <c r="CO25" s="245">
        <f>'[1]March - 2022'!CR25</f>
        <v>116</v>
      </c>
      <c r="CP25" s="89">
        <f>'[1]March - 2022'!CS25</f>
        <v>95</v>
      </c>
      <c r="CQ25" s="89">
        <f>'[1]March - 2022'!CT25</f>
        <v>344876</v>
      </c>
      <c r="CR25" s="245">
        <f>'[1]March - 2022'!CU25</f>
        <v>37</v>
      </c>
      <c r="CS25" s="89">
        <f>'[1]March - 2022'!CV25</f>
        <v>229</v>
      </c>
      <c r="CT25" s="89">
        <f>'[1]March - 2022'!CW25</f>
        <v>642682</v>
      </c>
      <c r="CU25" s="190">
        <f>'[1]March - 2022'!CX25</f>
        <v>224</v>
      </c>
      <c r="CV25" s="506"/>
      <c r="CW25" s="284">
        <f>'[1]March - 2022'!CZ25</f>
        <v>7263</v>
      </c>
      <c r="CX25" s="197">
        <f>'[1]March - 2022'!DA25</f>
        <v>12</v>
      </c>
      <c r="CY25" s="285">
        <f>'[1]March - 2022'!DB25</f>
        <v>4650</v>
      </c>
      <c r="CZ25" s="197">
        <f>'[1]March - 2022'!DC25</f>
        <v>10</v>
      </c>
      <c r="DA25" s="285">
        <f>'[1]March - 2022'!DD25</f>
        <v>28558</v>
      </c>
      <c r="DB25" s="197">
        <f>'[1]March - 2022'!DE25</f>
        <v>22</v>
      </c>
      <c r="DC25" s="285">
        <f>'[1]March - 2022'!DF25</f>
        <v>29159</v>
      </c>
      <c r="DD25" s="197">
        <f>'[1]March - 2022'!DG25</f>
        <v>18</v>
      </c>
      <c r="DE25" s="285">
        <f>'[1]March - 2022'!DH25</f>
        <v>19564</v>
      </c>
      <c r="DF25" s="197">
        <f>'[1]March - 2022'!DI25</f>
        <v>10</v>
      </c>
      <c r="DG25" s="285">
        <f>'[1]March - 2022'!DJ25</f>
        <v>22560</v>
      </c>
      <c r="DH25" s="197">
        <f>'[1]March - 2022'!DK25</f>
        <v>6</v>
      </c>
      <c r="DI25" s="285">
        <f>'[1]March - 2022'!DL25</f>
        <v>4388</v>
      </c>
      <c r="DJ25" s="197">
        <f>'[1]March - 2022'!DM25</f>
        <v>13</v>
      </c>
      <c r="DK25" s="285">
        <f>'[1]March - 2022'!DN25</f>
        <v>7792</v>
      </c>
      <c r="DL25" s="197">
        <f>'[1]March - 2022'!DO25</f>
        <v>4</v>
      </c>
      <c r="DM25" s="285">
        <f>'[1]March - 2022'!DP25</f>
        <v>2249</v>
      </c>
      <c r="DN25" s="197">
        <f>'[1]March - 2022'!DQ25</f>
        <v>5</v>
      </c>
      <c r="DO25" s="285">
        <f>'[1]March - 2022'!DR25</f>
        <v>4291</v>
      </c>
      <c r="DP25" s="197">
        <f>'[1]March - 2022'!DS25</f>
        <v>7</v>
      </c>
      <c r="DQ25" s="285">
        <f>'[1]March - 2022'!DT25</f>
        <v>26996</v>
      </c>
      <c r="DR25" s="205">
        <f>'[1]March - 2022'!DU25</f>
        <v>21</v>
      </c>
      <c r="DS25" s="522"/>
      <c r="DT25" s="209">
        <f>'[1]March - 2022'!DW25</f>
        <v>3983.2</v>
      </c>
      <c r="DU25" s="220">
        <f>'[1]March - 2022'!DX25</f>
        <v>9</v>
      </c>
      <c r="DV25" s="91">
        <f>'[1]March - 2022'!DY25</f>
        <v>8933.4</v>
      </c>
      <c r="DW25" s="214">
        <f>'[1]March - 2022'!DZ25</f>
        <v>8.5</v>
      </c>
      <c r="DX25" s="91">
        <f>'[1]March - 2022'!EA25</f>
        <v>3015</v>
      </c>
      <c r="DY25" s="214">
        <f>'[1]March - 2022'!EB25</f>
        <v>7</v>
      </c>
      <c r="DZ25" s="91">
        <f>'[1]March - 2022'!EC25</f>
        <v>3178.7</v>
      </c>
      <c r="EA25" s="214">
        <f>'[1]March - 2022'!ED25</f>
        <v>8.2999999999997272</v>
      </c>
      <c r="EB25" s="91">
        <f>'[1]March - 2022'!EE25</f>
        <v>926933</v>
      </c>
      <c r="EC25" s="214">
        <f>'[1]March - 2022'!EF25</f>
        <v>650</v>
      </c>
      <c r="ED25" s="91">
        <f>'[1]March - 2022'!EI25</f>
        <v>191404.7</v>
      </c>
      <c r="EE25" s="228">
        <f>'[1]March - 2022'!EJ25</f>
        <v>154.90000000002328</v>
      </c>
      <c r="EF25" s="570"/>
      <c r="EG25" s="234">
        <f>'[1]March - 2022'!EL25</f>
        <v>10686200</v>
      </c>
      <c r="EH25" s="229">
        <f>'[1]March - 2022'!EM25</f>
        <v>4300</v>
      </c>
      <c r="EI25" s="90">
        <f>'[1]March - 2022'!EN25</f>
        <v>852110</v>
      </c>
      <c r="EJ25" s="229">
        <f>'[1]March - 2022'!EO25</f>
        <v>270</v>
      </c>
      <c r="EK25" s="90">
        <f>'[1]March - 2022'!EP25</f>
        <v>6464300</v>
      </c>
      <c r="EL25" s="229">
        <f>'[1]March - 2022'!EQ25</f>
        <v>1600</v>
      </c>
      <c r="EM25" s="90">
        <f>'[1]March - 2022'!ER25</f>
        <v>2281600</v>
      </c>
      <c r="EN25" s="229">
        <f>'[1]March - 2022'!ES25</f>
        <v>800</v>
      </c>
      <c r="EO25" s="90">
        <f>'[1]March - 2022'!ET25</f>
        <v>1058510</v>
      </c>
      <c r="EP25" s="229">
        <f>'[1]March - 2022'!EU25</f>
        <v>670</v>
      </c>
      <c r="EQ25" s="90">
        <f>'[1]March - 2022'!EV25</f>
        <v>14537300</v>
      </c>
      <c r="ER25" s="229">
        <f>'[1]March - 2022'!EW25</f>
        <v>4900</v>
      </c>
      <c r="ES25" s="544"/>
      <c r="ET25" s="278">
        <f>'[1]March - 2022'!EY25</f>
        <v>38912</v>
      </c>
      <c r="EU25" s="272">
        <f>'[1]March - 2022'!EZ25</f>
        <v>17</v>
      </c>
      <c r="EV25" s="279">
        <f>'[1]March - 2022'!FA25</f>
        <v>33696</v>
      </c>
      <c r="EW25" s="272">
        <f>'[1]March - 2022'!FB25</f>
        <v>12</v>
      </c>
      <c r="EX25" s="279">
        <f>'[1]March - 2022'!FC25</f>
        <v>4790</v>
      </c>
      <c r="EY25" s="272">
        <f>'[1]March - 2022'!FD25</f>
        <v>12</v>
      </c>
      <c r="EZ25" s="279">
        <f>'[1]March - 2022'!FE25</f>
        <v>55900</v>
      </c>
      <c r="FA25" s="272">
        <f>'[1]March - 2022'!FF25</f>
        <v>18</v>
      </c>
      <c r="FB25" s="279">
        <f>'[1]March - 2022'!FG25</f>
        <v>40830</v>
      </c>
      <c r="FC25" s="273">
        <f>'[1]March - 2022'!FH25</f>
        <v>37</v>
      </c>
    </row>
    <row r="26" spans="1:159" ht="30" customHeight="1" x14ac:dyDescent="0.25">
      <c r="A26" s="206">
        <v>43847</v>
      </c>
      <c r="B26" s="208">
        <f>'[1]March - 2022'!B26</f>
        <v>0.88</v>
      </c>
      <c r="C26" s="249">
        <f>'[1]March - 2022'!E26</f>
        <v>79333</v>
      </c>
      <c r="D26" s="169">
        <f>'[1]March - 2022'!F26</f>
        <v>700</v>
      </c>
      <c r="E26" s="168">
        <f>'[1]March - 2022'!G26</f>
        <v>461</v>
      </c>
      <c r="F26" s="168">
        <f>'[1]March - 2022'!H26</f>
        <v>134223</v>
      </c>
      <c r="G26" s="169">
        <f>'[1]March - 2022'!I26</f>
        <v>493</v>
      </c>
      <c r="H26" s="168">
        <f>'[1]March - 2022'!J26</f>
        <v>387</v>
      </c>
      <c r="I26" s="168">
        <f>'[1]March - 2022'!K26</f>
        <v>164625</v>
      </c>
      <c r="J26" s="169">
        <f>'[1]March - 2022'!L26</f>
        <v>0</v>
      </c>
      <c r="K26" s="168">
        <f>'[1]March - 2022'!N26</f>
        <v>836648</v>
      </c>
      <c r="L26" s="169">
        <f>'[1]March - 2022'!O26</f>
        <v>270</v>
      </c>
      <c r="M26" s="168">
        <f>'[1]March - 2022'!Q26</f>
        <v>194855</v>
      </c>
      <c r="N26" s="169">
        <f>'[1]March - 2022'!R26</f>
        <v>13</v>
      </c>
      <c r="O26" s="261">
        <f>'[1]March - 2022'!U26</f>
        <v>60942.39</v>
      </c>
      <c r="P26" s="169">
        <f>'[1]March - 2022'!V26</f>
        <v>95.940000000002328</v>
      </c>
      <c r="Q26" s="168">
        <f>'[1]March - 2022'!W26</f>
        <v>35</v>
      </c>
      <c r="R26" s="261">
        <f>'[1]March - 2022'!X26</f>
        <v>4710</v>
      </c>
      <c r="S26" s="207">
        <f>'[1]March - 2022'!Y26</f>
        <v>2</v>
      </c>
      <c r="T26" s="465"/>
      <c r="U26" s="266">
        <f>'[1]March - 2022'!AE26</f>
        <v>7426633.2000000002</v>
      </c>
      <c r="V26" s="287">
        <f>'[1]March - 2022'!AF26</f>
        <v>1997.5200000004843</v>
      </c>
      <c r="W26" s="92">
        <f>'[1]March - 2022'!AG26</f>
        <v>1851.359999999404</v>
      </c>
      <c r="X26" s="286">
        <f>'[1]March - 2022'!AH26</f>
        <v>14216544.719999999</v>
      </c>
      <c r="Y26" s="287">
        <f>'[1]March - 2022'!AI26</f>
        <v>4774.5599999986589</v>
      </c>
      <c r="Z26" s="92">
        <f>'[1]March - 2022'!AJ26</f>
        <v>4336.0800000000745</v>
      </c>
      <c r="AA26" s="286">
        <f>'[1]March - 2022'!AK26</f>
        <v>13965052.08</v>
      </c>
      <c r="AB26" s="287">
        <f>'[1]March - 2022'!AL26</f>
        <v>97.439999999478459</v>
      </c>
      <c r="AC26" s="92">
        <f>'[1]March - 2022'!AM26</f>
        <v>243.59999999962747</v>
      </c>
      <c r="AD26" s="286">
        <f>'[1]March - 2022'!AN26</f>
        <v>17040355.919999998</v>
      </c>
      <c r="AE26" s="287">
        <f>'[1]March - 2022'!AO26</f>
        <v>10523.519999999553</v>
      </c>
      <c r="AF26" s="92">
        <f>'[1]March - 2022'!AP26</f>
        <v>9208.0800000000745</v>
      </c>
      <c r="AG26" s="286">
        <f>'[1]March - 2022'!AQ26</f>
        <v>17416182</v>
      </c>
      <c r="AH26" s="287">
        <f>'[1]March - 2022'!AR26</f>
        <v>779.51999999955297</v>
      </c>
      <c r="AI26" s="92">
        <f>'[1]March - 2022'!AS26</f>
        <v>487.20000000111759</v>
      </c>
      <c r="AJ26" s="286">
        <f>'[1]March - 2022'!AT26</f>
        <v>16045737.119999999</v>
      </c>
      <c r="AK26" s="287">
        <f>'[1]March - 2022'!AU26</f>
        <v>6090</v>
      </c>
      <c r="AL26" s="92">
        <f>'[1]March - 2022'!AV26</f>
        <v>4725.8399999979883</v>
      </c>
      <c r="AM26" s="286">
        <f>'[1]March - 2022'!AW26</f>
        <v>13590882.48</v>
      </c>
      <c r="AN26" s="287">
        <f>'[1]March - 2022'!AX26</f>
        <v>4336.0800000000745</v>
      </c>
      <c r="AO26" s="92">
        <f>'[1]March - 2022'!AY26</f>
        <v>3995.0399999991059</v>
      </c>
      <c r="AP26" s="286">
        <f>'[1]March - 2022'!AZ26</f>
        <v>13088969.040000001</v>
      </c>
      <c r="AQ26" s="287">
        <f>'[1]March - 2022'!BD26</f>
        <v>3118.0800000019372</v>
      </c>
      <c r="AR26" s="92">
        <f>'[1]March - 2022'!BB26</f>
        <v>3848.8800000008196</v>
      </c>
      <c r="AS26" s="286">
        <f>'[1]March - 2022'!BC26</f>
        <v>10400453.280000001</v>
      </c>
      <c r="AT26" s="287">
        <f>'[1]March - 2022'!BD26</f>
        <v>3118.0800000019372</v>
      </c>
      <c r="AU26" s="92">
        <f>'[1]March - 2022'!BE26</f>
        <v>2923.1999999992549</v>
      </c>
      <c r="AV26" s="286">
        <f>'[1]March - 2022'!BF26</f>
        <v>16203687.360000001</v>
      </c>
      <c r="AW26" s="251">
        <f>'[1]March - 2022'!BG26</f>
        <v>5359.2000000011176</v>
      </c>
      <c r="AX26" s="252">
        <f>'[1]March - 2022'!BH26</f>
        <v>6479.7600000016391</v>
      </c>
      <c r="AY26" s="482"/>
      <c r="AZ26" s="269">
        <f>'[1]March - 2022'!BM26</f>
        <v>69273000</v>
      </c>
      <c r="BA26" s="178">
        <f>'[1]March - 2022'!BN26</f>
        <v>0</v>
      </c>
      <c r="BB26" s="93">
        <f>'[1]March - 2022'!BO26</f>
        <v>0</v>
      </c>
      <c r="BC26" s="269">
        <f>'[1]March - 2022'!BP26</f>
        <v>71985700</v>
      </c>
      <c r="BD26" s="244">
        <f>'[1]March - 2022'!BQ26</f>
        <v>55700</v>
      </c>
      <c r="BE26" s="93">
        <f>'[1]March - 2022'!BR26</f>
        <v>47700</v>
      </c>
      <c r="BF26" s="269">
        <f>'[1]March - 2022'!BS26</f>
        <v>66458900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8276900</v>
      </c>
      <c r="BT26" s="184">
        <f>'[1]March - 2022'!BW26</f>
        <v>6790</v>
      </c>
      <c r="BU26" s="579"/>
      <c r="BV26" s="88">
        <f>'[1]March - 2022'!BY26</f>
        <v>0.77</v>
      </c>
      <c r="BW26" s="240">
        <f>'[1]March - 2022'!BZ26</f>
        <v>-6.0000000000000053E-2</v>
      </c>
      <c r="BX26" s="88">
        <f>'[1]March - 2022'!CA26</f>
        <v>8.9999999999999969E-2</v>
      </c>
      <c r="BY26" s="89">
        <f>'[1]March - 2022'!CB26</f>
        <v>58902</v>
      </c>
      <c r="BZ26" s="190">
        <f>'[1]March - 2022'!CC26</f>
        <v>18</v>
      </c>
      <c r="CA26" s="89">
        <f>'[1]March - 2022'!CD26</f>
        <v>50422</v>
      </c>
      <c r="CB26" s="190">
        <f>'[1]March - 2022'!CE26</f>
        <v>20</v>
      </c>
      <c r="CC26" s="89">
        <f>'[1]March - 2022'!CF26</f>
        <v>17245</v>
      </c>
      <c r="CD26" s="190">
        <f>'[1]March - 2022'!CG26</f>
        <v>7</v>
      </c>
      <c r="CE26" s="89">
        <f>'[1]March - 2022'!CH26</f>
        <v>23109</v>
      </c>
      <c r="CF26" s="190">
        <f>'[1]March - 2022'!CI26</f>
        <v>9</v>
      </c>
      <c r="CG26" s="89">
        <f>'[1]March - 2022'!CJ26</f>
        <v>25214</v>
      </c>
      <c r="CH26" s="190">
        <f>'[1]March - 2022'!CK26</f>
        <v>5</v>
      </c>
      <c r="CI26" s="89">
        <f>'[1]March - 2022'!CL26</f>
        <v>55958</v>
      </c>
      <c r="CJ26" s="190">
        <f>'[1]March - 2022'!CM26</f>
        <v>25</v>
      </c>
      <c r="CK26" s="89">
        <f>'[1]March - 2022'!CN26</f>
        <v>244342</v>
      </c>
      <c r="CL26" s="245">
        <f>'[1]March - 2022'!CO26</f>
        <v>100</v>
      </c>
      <c r="CM26" s="89">
        <f>'[1]March - 2022'!CP26</f>
        <v>96.709999999991851</v>
      </c>
      <c r="CN26" s="89">
        <f>'[1]March - 2022'!CQ26</f>
        <v>191709</v>
      </c>
      <c r="CO26" s="245">
        <f>'[1]March - 2022'!CR26</f>
        <v>115</v>
      </c>
      <c r="CP26" s="89">
        <f>'[1]March - 2022'!CS26</f>
        <v>100.82999999998719</v>
      </c>
      <c r="CQ26" s="89">
        <f>'[1]March - 2022'!CT26</f>
        <v>345020</v>
      </c>
      <c r="CR26" s="245">
        <f>'[1]March - 2022'!CU26</f>
        <v>144</v>
      </c>
      <c r="CS26" s="89">
        <f>'[1]March - 2022'!CV26</f>
        <v>191.46000000002095</v>
      </c>
      <c r="CT26" s="89">
        <f>'[1]March - 2022'!CW26</f>
        <v>642894</v>
      </c>
      <c r="CU26" s="190">
        <f>'[1]March - 2022'!CX26</f>
        <v>212</v>
      </c>
      <c r="CV26" s="506"/>
      <c r="CW26" s="284">
        <f>'[1]March - 2022'!CZ26</f>
        <v>7274</v>
      </c>
      <c r="CX26" s="197">
        <f>'[1]March - 2022'!DA26</f>
        <v>11</v>
      </c>
      <c r="CY26" s="285">
        <f>'[1]March - 2022'!DB26</f>
        <v>4661</v>
      </c>
      <c r="CZ26" s="197">
        <f>'[1]March - 2022'!DC26</f>
        <v>11</v>
      </c>
      <c r="DA26" s="285">
        <f>'[1]March - 2022'!DD26</f>
        <v>28580</v>
      </c>
      <c r="DB26" s="197">
        <f>'[1]March - 2022'!DE26</f>
        <v>22</v>
      </c>
      <c r="DC26" s="285">
        <f>'[1]March - 2022'!DF26</f>
        <v>29177</v>
      </c>
      <c r="DD26" s="197">
        <f>'[1]March - 2022'!DG26</f>
        <v>18</v>
      </c>
      <c r="DE26" s="285">
        <f>'[1]March - 2022'!DH26</f>
        <v>19574</v>
      </c>
      <c r="DF26" s="197">
        <f>'[1]March - 2022'!DI26</f>
        <v>10</v>
      </c>
      <c r="DG26" s="285">
        <f>'[1]March - 2022'!DJ26</f>
        <v>22564</v>
      </c>
      <c r="DH26" s="197">
        <f>'[1]March - 2022'!DK26</f>
        <v>4</v>
      </c>
      <c r="DI26" s="285">
        <f>'[1]March - 2022'!DL26</f>
        <v>4403</v>
      </c>
      <c r="DJ26" s="197">
        <f>'[1]March - 2022'!DM26</f>
        <v>15</v>
      </c>
      <c r="DK26" s="285">
        <f>'[1]March - 2022'!DN26</f>
        <v>7798</v>
      </c>
      <c r="DL26" s="197">
        <f>'[1]March - 2022'!DO26</f>
        <v>6</v>
      </c>
      <c r="DM26" s="285">
        <f>'[1]March - 2022'!DP26</f>
        <v>2253</v>
      </c>
      <c r="DN26" s="197">
        <f>'[1]March - 2022'!DQ26</f>
        <v>4</v>
      </c>
      <c r="DO26" s="285">
        <f>'[1]March - 2022'!DR26</f>
        <v>4299</v>
      </c>
      <c r="DP26" s="197">
        <f>'[1]March - 2022'!DS26</f>
        <v>8</v>
      </c>
      <c r="DQ26" s="285">
        <f>'[1]March - 2022'!DT26</f>
        <v>27013</v>
      </c>
      <c r="DR26" s="205">
        <f>'[1]March - 2022'!DU26</f>
        <v>17</v>
      </c>
      <c r="DS26" s="522"/>
      <c r="DT26" s="209">
        <f>'[1]March - 2022'!DW26</f>
        <v>3991.9</v>
      </c>
      <c r="DU26" s="220">
        <f>'[1]March - 2022'!DX26</f>
        <v>8.7000000000002728</v>
      </c>
      <c r="DV26" s="91">
        <f>'[1]March - 2022'!DY26</f>
        <v>8942.1</v>
      </c>
      <c r="DW26" s="214">
        <f>'[1]March - 2022'!DZ26</f>
        <v>8.7000000000007276</v>
      </c>
      <c r="DX26" s="91">
        <f>'[1]March - 2022'!EA26</f>
        <v>3021.9</v>
      </c>
      <c r="DY26" s="214">
        <f>'[1]March - 2022'!EB26</f>
        <v>6.9000000000000909</v>
      </c>
      <c r="DZ26" s="91">
        <f>'[1]March - 2022'!EC26</f>
        <v>3186.4</v>
      </c>
      <c r="EA26" s="214">
        <f>'[1]March - 2022'!ED26</f>
        <v>7.7000000000002728</v>
      </c>
      <c r="EB26" s="91">
        <f>'[1]March - 2022'!EE26</f>
        <v>927561</v>
      </c>
      <c r="EC26" s="214">
        <f>'[1]March - 2022'!EF26</f>
        <v>628</v>
      </c>
      <c r="ED26" s="91">
        <f>'[1]March - 2022'!EI26</f>
        <v>191563.5</v>
      </c>
      <c r="EE26" s="228">
        <f>'[1]March - 2022'!EJ26</f>
        <v>158.79999999998836</v>
      </c>
      <c r="EF26" s="570"/>
      <c r="EG26" s="234">
        <f>'[1]March - 2022'!EL26</f>
        <v>10689500</v>
      </c>
      <c r="EH26" s="229">
        <f>'[1]March - 2022'!EM26</f>
        <v>3300</v>
      </c>
      <c r="EI26" s="90">
        <f>'[1]March - 2022'!EN26</f>
        <v>852360</v>
      </c>
      <c r="EJ26" s="229">
        <f>'[1]March - 2022'!EO26</f>
        <v>250</v>
      </c>
      <c r="EK26" s="90">
        <f>'[1]March - 2022'!EP26</f>
        <v>6465600</v>
      </c>
      <c r="EL26" s="229">
        <f>'[1]March - 2022'!EQ26</f>
        <v>1300</v>
      </c>
      <c r="EM26" s="90">
        <f>'[1]March - 2022'!ER26</f>
        <v>2282000</v>
      </c>
      <c r="EN26" s="229">
        <f>'[1]March - 2022'!ES26</f>
        <v>400</v>
      </c>
      <c r="EO26" s="90">
        <f>'[1]March - 2022'!ET26</f>
        <v>1059130</v>
      </c>
      <c r="EP26" s="229">
        <f>'[1]March - 2022'!EU26</f>
        <v>620</v>
      </c>
      <c r="EQ26" s="90">
        <f>'[1]March - 2022'!EV26</f>
        <v>14541000</v>
      </c>
      <c r="ER26" s="229">
        <f>'[1]March - 2022'!EW26</f>
        <v>3700</v>
      </c>
      <c r="ES26" s="544"/>
      <c r="ET26" s="278">
        <f>'[1]March - 2022'!EY26</f>
        <v>38928</v>
      </c>
      <c r="EU26" s="272">
        <f>'[1]March - 2022'!EZ26</f>
        <v>16</v>
      </c>
      <c r="EV26" s="279">
        <f>'[1]March - 2022'!FA26</f>
        <v>33708</v>
      </c>
      <c r="EW26" s="272">
        <f>'[1]March - 2022'!FB26</f>
        <v>12</v>
      </c>
      <c r="EX26" s="279">
        <f>'[1]March - 2022'!FC26</f>
        <v>4801</v>
      </c>
      <c r="EY26" s="272">
        <f>'[1]March - 2022'!FD26</f>
        <v>11</v>
      </c>
      <c r="EZ26" s="279">
        <f>'[1]March - 2022'!FE26</f>
        <v>55917</v>
      </c>
      <c r="FA26" s="272">
        <f>'[1]March - 2022'!FF26</f>
        <v>17</v>
      </c>
      <c r="FB26" s="279">
        <f>'[1]March - 2022'!FG26</f>
        <v>40863</v>
      </c>
      <c r="FC26" s="273">
        <f>'[1]March - 2022'!FH26</f>
        <v>33</v>
      </c>
    </row>
    <row r="27" spans="1:159" ht="30" customHeight="1" x14ac:dyDescent="0.25">
      <c r="A27" s="206">
        <v>43848</v>
      </c>
      <c r="B27" s="208">
        <f>'[1]March - 2022'!B27</f>
        <v>0.83</v>
      </c>
      <c r="C27" s="249">
        <f>'[1]March - 2022'!E27</f>
        <v>80228</v>
      </c>
      <c r="D27" s="169">
        <f>'[1]March - 2022'!F27</f>
        <v>895</v>
      </c>
      <c r="E27" s="168">
        <f>'[1]March - 2022'!G27</f>
        <v>481</v>
      </c>
      <c r="F27" s="168">
        <f>'[1]March - 2022'!H27</f>
        <v>134718</v>
      </c>
      <c r="G27" s="169">
        <f>'[1]March - 2022'!I27</f>
        <v>495</v>
      </c>
      <c r="H27" s="168">
        <f>'[1]March - 2022'!J27</f>
        <v>402</v>
      </c>
      <c r="I27" s="168">
        <f>'[1]March - 2022'!K27</f>
        <v>164625</v>
      </c>
      <c r="J27" s="169">
        <f>'[1]March - 2022'!L27</f>
        <v>0</v>
      </c>
      <c r="K27" s="168">
        <f>'[1]March - 2022'!N27</f>
        <v>836940</v>
      </c>
      <c r="L27" s="169">
        <f>'[1]March - 2022'!O27</f>
        <v>292</v>
      </c>
      <c r="M27" s="168">
        <f>'[1]March - 2022'!Q27</f>
        <v>195083</v>
      </c>
      <c r="N27" s="169">
        <f>'[1]March - 2022'!R27</f>
        <v>228</v>
      </c>
      <c r="O27" s="261">
        <f>'[1]March - 2022'!U27</f>
        <v>61027.4</v>
      </c>
      <c r="P27" s="169">
        <f>'[1]March - 2022'!V27</f>
        <v>85.010000000002037</v>
      </c>
      <c r="Q27" s="168">
        <f>'[1]March - 2022'!W27</f>
        <v>39</v>
      </c>
      <c r="R27" s="261">
        <f>'[1]March - 2022'!X27</f>
        <v>4715</v>
      </c>
      <c r="S27" s="207">
        <f>'[1]March - 2022'!Y27</f>
        <v>5</v>
      </c>
      <c r="T27" s="465"/>
      <c r="U27" s="266">
        <f>'[1]March - 2022'!AE27</f>
        <v>7428825.5999999996</v>
      </c>
      <c r="V27" s="287">
        <f>'[1]March - 2022'!AF27</f>
        <v>2192.3999999994412</v>
      </c>
      <c r="W27" s="92">
        <f>'[1]March - 2022'!AG27</f>
        <v>1948.8000000007451</v>
      </c>
      <c r="X27" s="286">
        <f>'[1]March - 2022'!AH27</f>
        <v>14221221.84</v>
      </c>
      <c r="Y27" s="287">
        <f>'[1]March - 2022'!AI27</f>
        <v>4677.1200000010431</v>
      </c>
      <c r="Z27" s="92">
        <f>'[1]March - 2022'!AJ27</f>
        <v>4336.0800000000745</v>
      </c>
      <c r="AA27" s="286">
        <f>'[1]March - 2022'!AK27</f>
        <v>13965149.52</v>
      </c>
      <c r="AB27" s="287">
        <f>'[1]March - 2022'!AL27</f>
        <v>97.439999999478459</v>
      </c>
      <c r="AC27" s="92">
        <f>'[1]March - 2022'!AM27</f>
        <v>194.88000000081956</v>
      </c>
      <c r="AD27" s="286">
        <f>'[1]March - 2022'!AN27</f>
        <v>17049758.879999999</v>
      </c>
      <c r="AE27" s="287">
        <f>'[1]March - 2022'!AO27</f>
        <v>9402.9600000008941</v>
      </c>
      <c r="AF27" s="92">
        <f>'[1]March - 2022'!AP27</f>
        <v>9354.2400000002235</v>
      </c>
      <c r="AG27" s="286">
        <f>'[1]March - 2022'!AQ27</f>
        <v>17416912.800000001</v>
      </c>
      <c r="AH27" s="287">
        <f>'[1]March - 2022'!AR27</f>
        <v>730.80000000074506</v>
      </c>
      <c r="AI27" s="92">
        <f>'[1]March - 2022'!AS27</f>
        <v>487.19999999925494</v>
      </c>
      <c r="AJ27" s="286">
        <f>'[1]March - 2022'!AT27</f>
        <v>16051680.960000001</v>
      </c>
      <c r="AK27" s="287">
        <f>'[1]March - 2022'!AU27</f>
        <v>5943.8400000017136</v>
      </c>
      <c r="AL27" s="92">
        <f>'[1]March - 2022'!AV27</f>
        <v>4969.4399999994785</v>
      </c>
      <c r="AM27" s="286">
        <f>'[1]March - 2022'!AW27</f>
        <v>13594877.52</v>
      </c>
      <c r="AN27" s="287">
        <f>'[1]March - 2022'!AX27</f>
        <v>3995.0399999991059</v>
      </c>
      <c r="AO27" s="92">
        <f>'[1]March - 2022'!AY27</f>
        <v>4043.7599999997765</v>
      </c>
      <c r="AP27" s="286">
        <f>'[1]March - 2022'!AZ27</f>
        <v>13093353.84</v>
      </c>
      <c r="AQ27" s="287">
        <f>'[1]March - 2022'!BD27</f>
        <v>2923.1999999992549</v>
      </c>
      <c r="AR27" s="92">
        <f>'[1]March - 2022'!BB27</f>
        <v>3946.3199999984354</v>
      </c>
      <c r="AS27" s="286">
        <f>'[1]March - 2022'!BC27</f>
        <v>10403376.48</v>
      </c>
      <c r="AT27" s="287">
        <f>'[1]March - 2022'!BD27</f>
        <v>2923.1999999992549</v>
      </c>
      <c r="AU27" s="92">
        <f>'[1]March - 2022'!BE27</f>
        <v>2874.4800000023097</v>
      </c>
      <c r="AV27" s="286">
        <f>'[1]March - 2022'!BF27</f>
        <v>16209144</v>
      </c>
      <c r="AW27" s="251">
        <f>'[1]March - 2022'!BG27</f>
        <v>5456.6399999987334</v>
      </c>
      <c r="AX27" s="252">
        <f>'[1]March - 2022'!BH27</f>
        <v>5943.8399999979883</v>
      </c>
      <c r="AY27" s="482"/>
      <c r="AZ27" s="269">
        <f>'[1]March - 2022'!BM27</f>
        <v>69273000</v>
      </c>
      <c r="BA27" s="178">
        <f>'[1]March - 2022'!BN27</f>
        <v>0</v>
      </c>
      <c r="BB27" s="93">
        <f>'[1]March - 2022'!BO27</f>
        <v>0</v>
      </c>
      <c r="BC27" s="269">
        <f>'[1]March - 2022'!BP27</f>
        <v>72033700</v>
      </c>
      <c r="BD27" s="244">
        <f>'[1]March - 2022'!BQ27</f>
        <v>48000</v>
      </c>
      <c r="BE27" s="93">
        <f>'[1]March - 2022'!BR27</f>
        <v>49500</v>
      </c>
      <c r="BF27" s="269">
        <f>'[1]March - 2022'!BS27</f>
        <v>66458900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8284010</v>
      </c>
      <c r="BT27" s="184">
        <f>'[1]March - 2022'!BW27</f>
        <v>7110</v>
      </c>
      <c r="BU27" s="579"/>
      <c r="BV27" s="88">
        <f>'[1]March - 2022'!BY27</f>
        <v>0.67</v>
      </c>
      <c r="BW27" s="240">
        <f>'[1]March - 2022'!BZ27</f>
        <v>9.9999999999999978E-2</v>
      </c>
      <c r="BX27" s="88">
        <f>'[1]March - 2022'!CA27</f>
        <v>-0.14000000000000001</v>
      </c>
      <c r="BY27" s="89">
        <f>'[1]March - 2022'!CB27</f>
        <v>58918</v>
      </c>
      <c r="BZ27" s="190">
        <f>'[1]March - 2022'!CC27</f>
        <v>16</v>
      </c>
      <c r="CA27" s="89">
        <f>'[1]March - 2022'!CD27</f>
        <v>50440</v>
      </c>
      <c r="CB27" s="190">
        <f>'[1]March - 2022'!CE27</f>
        <v>18</v>
      </c>
      <c r="CC27" s="89">
        <f>'[1]March - 2022'!CF27</f>
        <v>17250</v>
      </c>
      <c r="CD27" s="190">
        <f>'[1]March - 2022'!CG27</f>
        <v>5</v>
      </c>
      <c r="CE27" s="89">
        <f>'[1]March - 2022'!CH27</f>
        <v>23120</v>
      </c>
      <c r="CF27" s="190">
        <f>'[1]March - 2022'!CI27</f>
        <v>11</v>
      </c>
      <c r="CG27" s="89">
        <f>'[1]March - 2022'!CJ27</f>
        <v>25219</v>
      </c>
      <c r="CH27" s="190">
        <f>'[1]March - 2022'!CK27</f>
        <v>5</v>
      </c>
      <c r="CI27" s="89">
        <f>'[1]March - 2022'!CL27</f>
        <v>55989</v>
      </c>
      <c r="CJ27" s="190">
        <f>'[1]March - 2022'!CM27</f>
        <v>31</v>
      </c>
      <c r="CK27" s="89">
        <f>'[1]March - 2022'!CN27</f>
        <v>244442</v>
      </c>
      <c r="CL27" s="245">
        <f>'[1]March - 2022'!CO27</f>
        <v>100</v>
      </c>
      <c r="CM27" s="89">
        <f>'[1]March - 2022'!CP27</f>
        <v>93.279999999998836</v>
      </c>
      <c r="CN27" s="89">
        <f>'[1]March - 2022'!CQ27</f>
        <v>191824</v>
      </c>
      <c r="CO27" s="245">
        <f>'[1]March - 2022'!CR27</f>
        <v>115</v>
      </c>
      <c r="CP27" s="89">
        <f>'[1]March - 2022'!CS27</f>
        <v>96.880000000004657</v>
      </c>
      <c r="CQ27" s="89">
        <f>'[1]March - 2022'!CT27</f>
        <v>345366</v>
      </c>
      <c r="CR27" s="245">
        <f>'[1]March - 2022'!CU27</f>
        <v>346</v>
      </c>
      <c r="CS27" s="89">
        <f>'[1]March - 2022'!CV27</f>
        <v>180.75999999995111</v>
      </c>
      <c r="CT27" s="89">
        <f>'[1]March - 2022'!CW27</f>
        <v>643120</v>
      </c>
      <c r="CU27" s="190">
        <f>'[1]March - 2022'!CX27</f>
        <v>226</v>
      </c>
      <c r="CV27" s="506"/>
      <c r="CW27" s="284">
        <f>'[1]March - 2022'!CZ27</f>
        <v>7285</v>
      </c>
      <c r="CX27" s="197">
        <f>'[1]March - 2022'!DA27</f>
        <v>11</v>
      </c>
      <c r="CY27" s="285">
        <f>'[1]March - 2022'!DB27</f>
        <v>4674</v>
      </c>
      <c r="CZ27" s="197">
        <f>'[1]March - 2022'!DC27</f>
        <v>13</v>
      </c>
      <c r="DA27" s="285">
        <f>'[1]March - 2022'!DD27</f>
        <v>28605</v>
      </c>
      <c r="DB27" s="197">
        <f>'[1]March - 2022'!DE27</f>
        <v>25</v>
      </c>
      <c r="DC27" s="285">
        <f>'[1]March - 2022'!DF27</f>
        <v>29195</v>
      </c>
      <c r="DD27" s="197">
        <f>'[1]March - 2022'!DG27</f>
        <v>18</v>
      </c>
      <c r="DE27" s="285">
        <f>'[1]March - 2022'!DH27</f>
        <v>19585</v>
      </c>
      <c r="DF27" s="197">
        <f>'[1]March - 2022'!DI27</f>
        <v>11</v>
      </c>
      <c r="DG27" s="285">
        <f>'[1]March - 2022'!DJ27</f>
        <v>22570</v>
      </c>
      <c r="DH27" s="197">
        <f>'[1]March - 2022'!DK27</f>
        <v>6</v>
      </c>
      <c r="DI27" s="285">
        <f>'[1]March - 2022'!DL27</f>
        <v>4417</v>
      </c>
      <c r="DJ27" s="197">
        <f>'[1]March - 2022'!DM27</f>
        <v>14</v>
      </c>
      <c r="DK27" s="285">
        <f>'[1]March - 2022'!DN27</f>
        <v>7804</v>
      </c>
      <c r="DL27" s="197">
        <f>'[1]March - 2022'!DO27</f>
        <v>6</v>
      </c>
      <c r="DM27" s="285">
        <f>'[1]March - 2022'!DP27</f>
        <v>2258</v>
      </c>
      <c r="DN27" s="197">
        <f>'[1]March - 2022'!DQ27</f>
        <v>5</v>
      </c>
      <c r="DO27" s="285">
        <f>'[1]March - 2022'!DR27</f>
        <v>4308</v>
      </c>
      <c r="DP27" s="197">
        <f>'[1]March - 2022'!DS27</f>
        <v>9</v>
      </c>
      <c r="DQ27" s="285">
        <f>'[1]March - 2022'!DT27</f>
        <v>27021</v>
      </c>
      <c r="DR27" s="205">
        <f>'[1]March - 2022'!DU27</f>
        <v>8</v>
      </c>
      <c r="DS27" s="522"/>
      <c r="DT27" s="209">
        <f>'[1]March - 2022'!DW27</f>
        <v>4000.7</v>
      </c>
      <c r="DU27" s="220">
        <f>'[1]March - 2022'!DX27</f>
        <v>8.7999999999997272</v>
      </c>
      <c r="DV27" s="91">
        <f>'[1]March - 2022'!DY27</f>
        <v>8950.6</v>
      </c>
      <c r="DW27" s="214">
        <f>'[1]March - 2022'!DZ27</f>
        <v>8.5</v>
      </c>
      <c r="DX27" s="91">
        <f>'[1]March - 2022'!EA27</f>
        <v>3028.8</v>
      </c>
      <c r="DY27" s="214">
        <f>'[1]March - 2022'!EB27</f>
        <v>6.9000000000000909</v>
      </c>
      <c r="DZ27" s="91">
        <f>'[1]March - 2022'!EC27</f>
        <v>3193.5</v>
      </c>
      <c r="EA27" s="214">
        <f>'[1]March - 2022'!ED27</f>
        <v>7.0999999999999091</v>
      </c>
      <c r="EB27" s="91">
        <f>'[1]March - 2022'!EE27</f>
        <v>928241</v>
      </c>
      <c r="EC27" s="214">
        <f>'[1]March - 2022'!EF27</f>
        <v>680</v>
      </c>
      <c r="ED27" s="91">
        <f>'[1]March - 2022'!EI27</f>
        <v>191721.2</v>
      </c>
      <c r="EE27" s="228">
        <f>'[1]March - 2022'!EJ27</f>
        <v>157.70000000001164</v>
      </c>
      <c r="EF27" s="570"/>
      <c r="EG27" s="234">
        <f>'[1]March - 2022'!EL27</f>
        <v>10692500</v>
      </c>
      <c r="EH27" s="229">
        <f>'[1]March - 2022'!EM27</f>
        <v>3000</v>
      </c>
      <c r="EI27" s="90">
        <f>'[1]March - 2022'!EN27</f>
        <v>852610</v>
      </c>
      <c r="EJ27" s="229">
        <f>'[1]March - 2022'!EO27</f>
        <v>250</v>
      </c>
      <c r="EK27" s="90">
        <f>'[1]March - 2022'!EP27</f>
        <v>6466700</v>
      </c>
      <c r="EL27" s="229">
        <f>'[1]March - 2022'!EQ27</f>
        <v>1100</v>
      </c>
      <c r="EM27" s="90">
        <f>'[1]March - 2022'!ER27</f>
        <v>2282300</v>
      </c>
      <c r="EN27" s="229">
        <f>'[1]March - 2022'!ES27</f>
        <v>300</v>
      </c>
      <c r="EO27" s="90">
        <f>'[1]March - 2022'!ET27</f>
        <v>1059750</v>
      </c>
      <c r="EP27" s="229">
        <f>'[1]March - 2022'!EU27</f>
        <v>620</v>
      </c>
      <c r="EQ27" s="90">
        <f>'[1]March - 2022'!EV27</f>
        <v>14544100</v>
      </c>
      <c r="ER27" s="229">
        <f>'[1]March - 2022'!EW27</f>
        <v>3100</v>
      </c>
      <c r="ES27" s="544"/>
      <c r="ET27" s="278">
        <f>'[1]March - 2022'!EY27</f>
        <v>38946</v>
      </c>
      <c r="EU27" s="272">
        <f>'[1]March - 2022'!EZ27</f>
        <v>18</v>
      </c>
      <c r="EV27" s="279">
        <f>'[1]March - 2022'!FA27</f>
        <v>33722</v>
      </c>
      <c r="EW27" s="272">
        <f>'[1]March - 2022'!FB27</f>
        <v>14</v>
      </c>
      <c r="EX27" s="279">
        <f>'[1]March - 2022'!FC27</f>
        <v>4812</v>
      </c>
      <c r="EY27" s="272">
        <f>'[1]March - 2022'!FD27</f>
        <v>11</v>
      </c>
      <c r="EZ27" s="279">
        <f>'[1]March - 2022'!FE27</f>
        <v>55933</v>
      </c>
      <c r="FA27" s="272">
        <f>'[1]March - 2022'!FF27</f>
        <v>16</v>
      </c>
      <c r="FB27" s="279">
        <f>'[1]March - 2022'!FG27</f>
        <v>40897</v>
      </c>
      <c r="FC27" s="273">
        <f>'[1]March - 2022'!FH27</f>
        <v>34</v>
      </c>
    </row>
    <row r="28" spans="1:159" ht="30" customHeight="1" x14ac:dyDescent="0.25">
      <c r="A28" s="206">
        <v>43849</v>
      </c>
      <c r="B28" s="208">
        <f>'[1]March - 2022'!B28</f>
        <v>0.81</v>
      </c>
      <c r="C28" s="249">
        <f>'[1]March - 2022'!E28</f>
        <v>81072</v>
      </c>
      <c r="D28" s="169">
        <f>'[1]March - 2022'!F28</f>
        <v>844</v>
      </c>
      <c r="E28" s="168">
        <f>'[1]March - 2022'!G28</f>
        <v>515</v>
      </c>
      <c r="F28" s="168">
        <f>'[1]March - 2022'!H28</f>
        <v>135260</v>
      </c>
      <c r="G28" s="169">
        <f>'[1]March - 2022'!I28</f>
        <v>542</v>
      </c>
      <c r="H28" s="168">
        <f>'[1]March - 2022'!J28</f>
        <v>426</v>
      </c>
      <c r="I28" s="168">
        <f>'[1]March - 2022'!K28</f>
        <v>164625</v>
      </c>
      <c r="J28" s="169">
        <f>'[1]March - 2022'!L28</f>
        <v>0</v>
      </c>
      <c r="K28" s="168">
        <f>'[1]March - 2022'!N28</f>
        <v>837279</v>
      </c>
      <c r="L28" s="169">
        <f>'[1]March - 2022'!O28</f>
        <v>339</v>
      </c>
      <c r="M28" s="168">
        <f>'[1]March - 2022'!Q28</f>
        <v>195204</v>
      </c>
      <c r="N28" s="169">
        <f>'[1]March - 2022'!R28</f>
        <v>121</v>
      </c>
      <c r="O28" s="261">
        <f>'[1]March - 2022'!U28</f>
        <v>61125.49</v>
      </c>
      <c r="P28" s="169">
        <f>'[1]March - 2022'!V28</f>
        <v>98.089999999996508</v>
      </c>
      <c r="Q28" s="168">
        <f>'[1]March - 2022'!W28</f>
        <v>45</v>
      </c>
      <c r="R28" s="261">
        <f>'[1]March - 2022'!X28</f>
        <v>4720</v>
      </c>
      <c r="S28" s="207">
        <f>'[1]March - 2022'!Y28</f>
        <v>5</v>
      </c>
      <c r="T28" s="465"/>
      <c r="U28" s="266">
        <f>'[1]March - 2022'!AE28</f>
        <v>7432820.6400000006</v>
      </c>
      <c r="V28" s="287">
        <f>'[1]March - 2022'!AF28</f>
        <v>3995.0400000009686</v>
      </c>
      <c r="W28" s="92">
        <f>'[1]March - 2022'!AG28</f>
        <v>1997.519999999553</v>
      </c>
      <c r="X28" s="286">
        <f>'[1]March - 2022'!AH28</f>
        <v>14225947.68</v>
      </c>
      <c r="Y28" s="287">
        <f>'[1]March - 2022'!AI28</f>
        <v>4725.839999999851</v>
      </c>
      <c r="Z28" s="92">
        <f>'[1]March - 2022'!AJ28</f>
        <v>4482.2400000002235</v>
      </c>
      <c r="AA28" s="286">
        <f>'[1]March - 2022'!AK28</f>
        <v>13965880.319999998</v>
      </c>
      <c r="AB28" s="287">
        <f>'[1]March - 2022'!AL28</f>
        <v>730.79999999888241</v>
      </c>
      <c r="AC28" s="92">
        <f>'[1]March - 2022'!AM28</f>
        <v>292.31999999843538</v>
      </c>
      <c r="AD28" s="286">
        <f>'[1]March - 2022'!AN28</f>
        <v>17050051.199999999</v>
      </c>
      <c r="AE28" s="287">
        <f>'[1]March - 2022'!AO28</f>
        <v>292.32000000029802</v>
      </c>
      <c r="AF28" s="92">
        <f>'[1]March - 2022'!AP28</f>
        <v>11059.439999997616</v>
      </c>
      <c r="AG28" s="286">
        <f>'[1]March - 2022'!AQ28</f>
        <v>17424513.119999997</v>
      </c>
      <c r="AH28" s="287">
        <f>'[1]March - 2022'!AR28</f>
        <v>7600.3199999965727</v>
      </c>
      <c r="AI28" s="92">
        <f>'[1]March - 2022'!AS28</f>
        <v>730.80000000074506</v>
      </c>
      <c r="AJ28" s="286">
        <f>'[1]March - 2022'!AT28</f>
        <v>16057527.360000001</v>
      </c>
      <c r="AK28" s="287">
        <f>'[1]March - 2022'!AU28</f>
        <v>5846.4000000003725</v>
      </c>
      <c r="AL28" s="92">
        <f>'[1]March - 2022'!AV28</f>
        <v>5164.3200000021607</v>
      </c>
      <c r="AM28" s="286">
        <f>'[1]March - 2022'!AW28</f>
        <v>13598628.959999999</v>
      </c>
      <c r="AN28" s="287">
        <f>'[1]March - 2022'!AX28</f>
        <v>3751.4399999994785</v>
      </c>
      <c r="AO28" s="92">
        <f>'[1]March - 2022'!AY28</f>
        <v>4189.9200000017881</v>
      </c>
      <c r="AP28" s="286">
        <f>'[1]March - 2022'!AZ28</f>
        <v>13097884.799999999</v>
      </c>
      <c r="AQ28" s="287">
        <f>'[1]March - 2022'!BD28</f>
        <v>3069.359999999404</v>
      </c>
      <c r="AR28" s="92">
        <f>'[1]March - 2022'!BB28</f>
        <v>4092.480000000447</v>
      </c>
      <c r="AS28" s="286">
        <f>'[1]March - 2022'!BC28</f>
        <v>10406445.84</v>
      </c>
      <c r="AT28" s="287">
        <f>'[1]March - 2022'!BD28</f>
        <v>3069.359999999404</v>
      </c>
      <c r="AU28" s="92">
        <f>'[1]March - 2022'!BE28</f>
        <v>2923.1999999992549</v>
      </c>
      <c r="AV28" s="286">
        <f>'[1]March - 2022'!BF28</f>
        <v>16214936.808</v>
      </c>
      <c r="AW28" s="251">
        <f>'[1]March - 2022'!BG28</f>
        <v>5792.8080000001937</v>
      </c>
      <c r="AX28" s="252">
        <f>'[1]March - 2022'!BH28</f>
        <v>6382.320000000298</v>
      </c>
      <c r="AY28" s="482"/>
      <c r="AZ28" s="269">
        <f>'[1]March - 2022'!BM28</f>
        <v>69273000</v>
      </c>
      <c r="BA28" s="178">
        <f>'[1]March - 2022'!BN28</f>
        <v>0</v>
      </c>
      <c r="BB28" s="93">
        <f>'[1]March - 2022'!BO28</f>
        <v>0</v>
      </c>
      <c r="BC28" s="269">
        <f>'[1]March - 2022'!BP28</f>
        <v>72036400</v>
      </c>
      <c r="BD28" s="244">
        <f>'[1]March - 2022'!BQ28</f>
        <v>2700</v>
      </c>
      <c r="BE28" s="93">
        <f>'[1]March - 2022'!BR28</f>
        <v>58300</v>
      </c>
      <c r="BF28" s="269">
        <f>'[1]March - 2022'!BS28</f>
        <v>66503500</v>
      </c>
      <c r="BG28" s="244">
        <f>'[1]March - 2022'!BT28</f>
        <v>44600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8291500</v>
      </c>
      <c r="BT28" s="184">
        <f>'[1]March - 2022'!BW28</f>
        <v>7490</v>
      </c>
      <c r="BU28" s="579"/>
      <c r="BV28" s="88">
        <f>'[1]March - 2022'!BY28</f>
        <v>0.59</v>
      </c>
      <c r="BW28" s="240">
        <f>'[1]March - 2022'!BZ28</f>
        <v>8.0000000000000071E-2</v>
      </c>
      <c r="BX28" s="88">
        <f>'[1]March - 2022'!CA28</f>
        <v>6.0000000000000053E-2</v>
      </c>
      <c r="BY28" s="89">
        <f>'[1]March - 2022'!CB28</f>
        <v>58935</v>
      </c>
      <c r="BZ28" s="190">
        <f>'[1]March - 2022'!CC28</f>
        <v>17</v>
      </c>
      <c r="CA28" s="89">
        <f>'[1]March - 2022'!CD28</f>
        <v>50458</v>
      </c>
      <c r="CB28" s="190">
        <f>'[1]March - 2022'!CE28</f>
        <v>18</v>
      </c>
      <c r="CC28" s="89">
        <f>'[1]March - 2022'!CF28</f>
        <v>17254</v>
      </c>
      <c r="CD28" s="190">
        <f>'[1]March - 2022'!CG28</f>
        <v>4</v>
      </c>
      <c r="CE28" s="89">
        <f>'[1]March - 2022'!CH28</f>
        <v>23130</v>
      </c>
      <c r="CF28" s="190">
        <f>'[1]March - 2022'!CI28</f>
        <v>10</v>
      </c>
      <c r="CG28" s="89">
        <f>'[1]March - 2022'!CJ28</f>
        <v>25228</v>
      </c>
      <c r="CH28" s="190">
        <f>'[1]March - 2022'!CK28</f>
        <v>9</v>
      </c>
      <c r="CI28" s="89">
        <f>'[1]March - 2022'!CL28</f>
        <v>56018</v>
      </c>
      <c r="CJ28" s="190">
        <f>'[1]March - 2022'!CM28</f>
        <v>29</v>
      </c>
      <c r="CK28" s="89">
        <f>'[1]March - 2022'!CN28</f>
        <v>244544</v>
      </c>
      <c r="CL28" s="245">
        <f>'[1]March - 2022'!CO28</f>
        <v>102</v>
      </c>
      <c r="CM28" s="89">
        <f>'[1]March - 2022'!CP28</f>
        <v>94.920000000012806</v>
      </c>
      <c r="CN28" s="89">
        <f>'[1]March - 2022'!CQ28</f>
        <v>191943</v>
      </c>
      <c r="CO28" s="245">
        <f>'[1]March - 2022'!CR28</f>
        <v>119</v>
      </c>
      <c r="CP28" s="89">
        <f>'[1]March - 2022'!CS28</f>
        <v>96.700000000011642</v>
      </c>
      <c r="CQ28" s="89">
        <f>'[1]March - 2022'!CT28</f>
        <v>345657</v>
      </c>
      <c r="CR28" s="245">
        <f>'[1]March - 2022'!CU28</f>
        <v>291</v>
      </c>
      <c r="CS28" s="89">
        <f>'[1]March - 2022'!CV28</f>
        <v>185.40000000002328</v>
      </c>
      <c r="CT28" s="89">
        <f>'[1]March - 2022'!CW28</f>
        <v>643346</v>
      </c>
      <c r="CU28" s="190">
        <f>'[1]March - 2022'!CX28</f>
        <v>226</v>
      </c>
      <c r="CV28" s="506"/>
      <c r="CW28" s="284">
        <f>'[1]March - 2022'!CZ28</f>
        <v>7296</v>
      </c>
      <c r="CX28" s="197">
        <f>'[1]March - 2022'!DA28</f>
        <v>11</v>
      </c>
      <c r="CY28" s="285">
        <f>'[1]March - 2022'!DB28</f>
        <v>4687</v>
      </c>
      <c r="CZ28" s="197">
        <f>'[1]March - 2022'!DC28</f>
        <v>13</v>
      </c>
      <c r="DA28" s="285">
        <f>'[1]March - 2022'!DD28</f>
        <v>28628</v>
      </c>
      <c r="DB28" s="197">
        <f>'[1]March - 2022'!DE28</f>
        <v>23</v>
      </c>
      <c r="DC28" s="285">
        <f>'[1]March - 2022'!DF28</f>
        <v>29215</v>
      </c>
      <c r="DD28" s="197">
        <f>'[1]March - 2022'!DG28</f>
        <v>20</v>
      </c>
      <c r="DE28" s="285">
        <f>'[1]March - 2022'!DH28</f>
        <v>19596</v>
      </c>
      <c r="DF28" s="197">
        <f>'[1]March - 2022'!DI28</f>
        <v>11</v>
      </c>
      <c r="DG28" s="285">
        <f>'[1]March - 2022'!DJ28</f>
        <v>22573</v>
      </c>
      <c r="DH28" s="197">
        <f>'[1]March - 2022'!DK28</f>
        <v>3</v>
      </c>
      <c r="DI28" s="285">
        <f>'[1]March - 2022'!DL28</f>
        <v>4431</v>
      </c>
      <c r="DJ28" s="197">
        <f>'[1]March - 2022'!DM28</f>
        <v>14</v>
      </c>
      <c r="DK28" s="285">
        <f>'[1]March - 2022'!DN28</f>
        <v>7810</v>
      </c>
      <c r="DL28" s="197">
        <f>'[1]March - 2022'!DO28</f>
        <v>6</v>
      </c>
      <c r="DM28" s="285">
        <f>'[1]March - 2022'!DP28</f>
        <v>2263</v>
      </c>
      <c r="DN28" s="197">
        <f>'[1]March - 2022'!DQ28</f>
        <v>5</v>
      </c>
      <c r="DO28" s="285">
        <f>'[1]March - 2022'!DR28</f>
        <v>4319</v>
      </c>
      <c r="DP28" s="197">
        <f>'[1]March - 2022'!DS28</f>
        <v>11</v>
      </c>
      <c r="DQ28" s="285">
        <f>'[1]March - 2022'!DT28</f>
        <v>27031</v>
      </c>
      <c r="DR28" s="205">
        <f>'[1]March - 2022'!DU28</f>
        <v>10</v>
      </c>
      <c r="DS28" s="522"/>
      <c r="DT28" s="209">
        <f>'[1]March - 2022'!DW28</f>
        <v>4009.9</v>
      </c>
      <c r="DU28" s="220">
        <f>'[1]March - 2022'!DX28</f>
        <v>9.2000000000002728</v>
      </c>
      <c r="DV28" s="91">
        <f>'[1]March - 2022'!DY28</f>
        <v>8957.5</v>
      </c>
      <c r="DW28" s="214">
        <f>'[1]March - 2022'!DZ28</f>
        <v>6.8999999999996362</v>
      </c>
      <c r="DX28" s="91">
        <f>'[1]March - 2022'!EA28</f>
        <v>3035.8</v>
      </c>
      <c r="DY28" s="214">
        <f>'[1]March - 2022'!EB28</f>
        <v>7</v>
      </c>
      <c r="DZ28" s="91">
        <f>'[1]March - 2022'!EC28</f>
        <v>3201.5</v>
      </c>
      <c r="EA28" s="214">
        <f>'[1]March - 2022'!ED28</f>
        <v>8</v>
      </c>
      <c r="EB28" s="91">
        <f>'[1]March - 2022'!EE28</f>
        <v>928950</v>
      </c>
      <c r="EC28" s="214">
        <f>'[1]March - 2022'!EF28</f>
        <v>709</v>
      </c>
      <c r="ED28" s="91">
        <f>'[1]March - 2022'!EI28</f>
        <v>191880.8</v>
      </c>
      <c r="EE28" s="228">
        <f>'[1]March - 2022'!EJ28</f>
        <v>159.59999999997672</v>
      </c>
      <c r="EF28" s="570"/>
      <c r="EG28" s="234">
        <f>'[1]March - 2022'!EL28</f>
        <v>10696300</v>
      </c>
      <c r="EH28" s="229">
        <f>'[1]March - 2022'!EM28</f>
        <v>3800</v>
      </c>
      <c r="EI28" s="90">
        <f>'[1]March - 2022'!EN28</f>
        <v>852890</v>
      </c>
      <c r="EJ28" s="229">
        <f>'[1]March - 2022'!EO28</f>
        <v>280</v>
      </c>
      <c r="EK28" s="90">
        <f>'[1]March - 2022'!EP28</f>
        <v>6468200</v>
      </c>
      <c r="EL28" s="229">
        <f>'[1]March - 2022'!EQ28</f>
        <v>1500</v>
      </c>
      <c r="EM28" s="90">
        <f>'[1]March - 2022'!ER28</f>
        <v>2282700</v>
      </c>
      <c r="EN28" s="229">
        <f>'[1]March - 2022'!ES28</f>
        <v>400</v>
      </c>
      <c r="EO28" s="90">
        <f>'[1]March - 2022'!ET28</f>
        <v>1060350</v>
      </c>
      <c r="EP28" s="229">
        <f>'[1]March - 2022'!EU28</f>
        <v>600</v>
      </c>
      <c r="EQ28" s="90">
        <f>'[1]March - 2022'!EV28</f>
        <v>14547500</v>
      </c>
      <c r="ER28" s="229">
        <f>'[1]March - 2022'!EW28</f>
        <v>3400</v>
      </c>
      <c r="ES28" s="544"/>
      <c r="ET28" s="278">
        <f>'[1]March - 2022'!EY28</f>
        <v>38962</v>
      </c>
      <c r="EU28" s="272">
        <f>'[1]March - 2022'!EZ28</f>
        <v>16</v>
      </c>
      <c r="EV28" s="279">
        <f>'[1]March - 2022'!FA28</f>
        <v>33736</v>
      </c>
      <c r="EW28" s="272">
        <f>'[1]March - 2022'!FB28</f>
        <v>14</v>
      </c>
      <c r="EX28" s="279">
        <f>'[1]March - 2022'!FC28</f>
        <v>4828</v>
      </c>
      <c r="EY28" s="272">
        <f>'[1]March - 2022'!FD28</f>
        <v>16</v>
      </c>
      <c r="EZ28" s="279">
        <f>'[1]March - 2022'!FE28</f>
        <v>55954</v>
      </c>
      <c r="FA28" s="272">
        <f>'[1]March - 2022'!FF28</f>
        <v>21</v>
      </c>
      <c r="FB28" s="279">
        <f>'[1]March - 2022'!FG28</f>
        <v>40932</v>
      </c>
      <c r="FC28" s="273">
        <f>'[1]March - 2022'!FH28</f>
        <v>35</v>
      </c>
    </row>
    <row r="29" spans="1:159" ht="30" customHeight="1" x14ac:dyDescent="0.25">
      <c r="A29" s="206">
        <v>43850</v>
      </c>
      <c r="B29" s="208">
        <f>'[1]March - 2022'!B29</f>
        <v>0.73</v>
      </c>
      <c r="C29" s="249">
        <f>'[1]March - 2022'!E29</f>
        <v>81797</v>
      </c>
      <c r="D29" s="169">
        <f>'[1]March - 2022'!F29</f>
        <v>725</v>
      </c>
      <c r="E29" s="168">
        <f>'[1]March - 2022'!G29</f>
        <v>510</v>
      </c>
      <c r="F29" s="168">
        <f>'[1]March - 2022'!H29</f>
        <v>135679</v>
      </c>
      <c r="G29" s="169">
        <f>'[1]March - 2022'!I29</f>
        <v>419</v>
      </c>
      <c r="H29" s="168">
        <f>'[1]March - 2022'!J29</f>
        <v>427</v>
      </c>
      <c r="I29" s="168">
        <f>'[1]March - 2022'!K29</f>
        <v>164625</v>
      </c>
      <c r="J29" s="169">
        <f>'[1]March - 2022'!L29</f>
        <v>0</v>
      </c>
      <c r="K29" s="168">
        <f>'[1]March - 2022'!N29</f>
        <v>837546</v>
      </c>
      <c r="L29" s="169">
        <f>'[1]March - 2022'!O29</f>
        <v>267</v>
      </c>
      <c r="M29" s="168">
        <f>'[1]March - 2022'!Q29</f>
        <v>195337</v>
      </c>
      <c r="N29" s="169">
        <f>'[1]March - 2022'!R29</f>
        <v>133</v>
      </c>
      <c r="O29" s="261">
        <f>'[1]March - 2022'!U29</f>
        <v>61224.74</v>
      </c>
      <c r="P29" s="169">
        <f>'[1]March - 2022'!V29</f>
        <v>99.25</v>
      </c>
      <c r="Q29" s="168">
        <f>'[1]March - 2022'!W29</f>
        <v>53</v>
      </c>
      <c r="R29" s="261">
        <f>'[1]March - 2022'!X29</f>
        <v>4723</v>
      </c>
      <c r="S29" s="207">
        <f>'[1]March - 2022'!Y29</f>
        <v>3</v>
      </c>
      <c r="T29" s="465"/>
      <c r="U29" s="266">
        <f>'[1]March - 2022'!AE29</f>
        <v>7436766.959999999</v>
      </c>
      <c r="V29" s="287">
        <f>'[1]March - 2022'!AF29</f>
        <v>3946.3199999984354</v>
      </c>
      <c r="W29" s="92">
        <f>'[1]March - 2022'!AG29</f>
        <v>2436</v>
      </c>
      <c r="X29" s="286">
        <f>'[1]March - 2022'!AH29</f>
        <v>14230478.640000001</v>
      </c>
      <c r="Y29" s="287">
        <f>'[1]March - 2022'!AI29</f>
        <v>4530.9600000008941</v>
      </c>
      <c r="Z29" s="92">
        <f>'[1]March - 2022'!AJ29</f>
        <v>4238.6399999987334</v>
      </c>
      <c r="AA29" s="286">
        <f>'[1]March - 2022'!AK29</f>
        <v>13966611.119999999</v>
      </c>
      <c r="AB29" s="287">
        <f>'[1]March - 2022'!AL29</f>
        <v>730.80000000074506</v>
      </c>
      <c r="AC29" s="92">
        <f>'[1]March - 2022'!AM29</f>
        <v>146.16000000014901</v>
      </c>
      <c r="AD29" s="286">
        <f>'[1]March - 2022'!AN29</f>
        <v>17050099.919999998</v>
      </c>
      <c r="AE29" s="287">
        <f>'[1]March - 2022'!AO29</f>
        <v>48.719999998807907</v>
      </c>
      <c r="AF29" s="92">
        <f>'[1]March - 2022'!AP29</f>
        <v>3605.2800000011921</v>
      </c>
      <c r="AG29" s="286">
        <f>'[1]March - 2022'!AQ29</f>
        <v>17433575.039999999</v>
      </c>
      <c r="AH29" s="287">
        <f>'[1]March - 2022'!AR29</f>
        <v>9061.9200000017881</v>
      </c>
      <c r="AI29" s="92">
        <f>'[1]March - 2022'!AS29</f>
        <v>9549.1199999991804</v>
      </c>
      <c r="AJ29" s="286">
        <f>'[1]March - 2022'!AT29</f>
        <v>16062837.839999998</v>
      </c>
      <c r="AK29" s="287">
        <f>'[1]March - 2022'!AU29</f>
        <v>5310.4799999967217</v>
      </c>
      <c r="AL29" s="92">
        <f>'[1]March - 2022'!AV29</f>
        <v>4920.7199999988079</v>
      </c>
      <c r="AM29" s="286">
        <f>'[1]March - 2022'!AW29</f>
        <v>13602282.959999999</v>
      </c>
      <c r="AN29" s="287">
        <f>'[1]March - 2022'!AX29</f>
        <v>3654</v>
      </c>
      <c r="AO29" s="92">
        <f>'[1]March - 2022'!AY29</f>
        <v>4043.7599999997765</v>
      </c>
      <c r="AP29" s="286">
        <f>'[1]March - 2022'!AZ29</f>
        <v>13102123.439999999</v>
      </c>
      <c r="AQ29" s="287">
        <f>'[1]March - 2022'!BD29</f>
        <v>2679.5999999996275</v>
      </c>
      <c r="AR29" s="92">
        <f>'[1]March - 2022'!BB29</f>
        <v>4092.4799999985844</v>
      </c>
      <c r="AS29" s="286">
        <f>'[1]March - 2022'!BC29</f>
        <v>10409125.439999999</v>
      </c>
      <c r="AT29" s="287">
        <f>'[1]March - 2022'!BD29</f>
        <v>2679.5999999996275</v>
      </c>
      <c r="AU29" s="92">
        <f>'[1]March - 2022'!BE29</f>
        <v>2923.1999999992549</v>
      </c>
      <c r="AV29" s="286">
        <f>'[1]March - 2022'!BF29</f>
        <v>16220447.039999999</v>
      </c>
      <c r="AW29" s="251">
        <f>'[1]March - 2022'!BG29</f>
        <v>5510.2319999989122</v>
      </c>
      <c r="AX29" s="252">
        <f>'[1]March - 2022'!BH29</f>
        <v>6284.8799999989569</v>
      </c>
      <c r="AY29" s="482"/>
      <c r="AZ29" s="269">
        <f>'[1]March - 2022'!BM29</f>
        <v>69273000</v>
      </c>
      <c r="BA29" s="178">
        <f>'[1]March - 2022'!BN29</f>
        <v>0</v>
      </c>
      <c r="BB29" s="93">
        <f>'[1]March - 2022'!BO29</f>
        <v>0</v>
      </c>
      <c r="BC29" s="269">
        <f>'[1]March - 2022'!BP29</f>
        <v>72036400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66557400</v>
      </c>
      <c r="BG29" s="244">
        <f>'[1]March - 2022'!BT29</f>
        <v>53900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8297790</v>
      </c>
      <c r="BT29" s="184">
        <f>'[1]March - 2022'!BW29</f>
        <v>6290</v>
      </c>
      <c r="BU29" s="579"/>
      <c r="BV29" s="88">
        <f>'[1]March - 2022'!BY29</f>
        <v>0.49</v>
      </c>
      <c r="BW29" s="240">
        <f>'[1]March - 2022'!BZ29</f>
        <v>9.9999999999999978E-2</v>
      </c>
      <c r="BX29" s="88">
        <f>'[1]March - 2022'!CA29</f>
        <v>-9.000000000000008E-2</v>
      </c>
      <c r="BY29" s="89">
        <f>'[1]March - 2022'!CB29</f>
        <v>58949</v>
      </c>
      <c r="BZ29" s="190">
        <f>'[1]March - 2022'!CC29</f>
        <v>14</v>
      </c>
      <c r="CA29" s="89">
        <f>'[1]March - 2022'!CD29</f>
        <v>50478</v>
      </c>
      <c r="CB29" s="190">
        <f>'[1]March - 2022'!CE29</f>
        <v>20</v>
      </c>
      <c r="CC29" s="89">
        <f>'[1]March - 2022'!CF29</f>
        <v>17260</v>
      </c>
      <c r="CD29" s="190">
        <f>'[1]March - 2022'!CG29</f>
        <v>6</v>
      </c>
      <c r="CE29" s="89">
        <f>'[1]March - 2022'!CH29</f>
        <v>23141</v>
      </c>
      <c r="CF29" s="190">
        <f>'[1]March - 2022'!CI29</f>
        <v>11</v>
      </c>
      <c r="CG29" s="89">
        <f>'[1]March - 2022'!CJ29</f>
        <v>25239</v>
      </c>
      <c r="CH29" s="190">
        <f>'[1]March - 2022'!CK29</f>
        <v>11</v>
      </c>
      <c r="CI29" s="89">
        <f>'[1]March - 2022'!CL29</f>
        <v>56046</v>
      </c>
      <c r="CJ29" s="190">
        <f>'[1]March - 2022'!CM29</f>
        <v>28</v>
      </c>
      <c r="CK29" s="89">
        <f>'[1]March - 2022'!CN29</f>
        <v>244642</v>
      </c>
      <c r="CL29" s="245">
        <f>'[1]March - 2022'!CO29</f>
        <v>98</v>
      </c>
      <c r="CM29" s="89">
        <f>'[1]March - 2022'!CP29</f>
        <v>92.019999999989523</v>
      </c>
      <c r="CN29" s="89">
        <f>'[1]March - 2022'!CQ29</f>
        <v>192046</v>
      </c>
      <c r="CO29" s="245">
        <f>'[1]March - 2022'!CR29</f>
        <v>103</v>
      </c>
      <c r="CP29" s="89">
        <f>'[1]March - 2022'!CS29</f>
        <v>95.510000000009313</v>
      </c>
      <c r="CQ29" s="89">
        <f>'[1]March - 2022'!CT29</f>
        <v>345908</v>
      </c>
      <c r="CR29" s="245">
        <f>'[1]March - 2022'!CU29</f>
        <v>251</v>
      </c>
      <c r="CS29" s="89">
        <f>'[1]March - 2022'!CV29</f>
        <v>188.47999999998137</v>
      </c>
      <c r="CT29" s="89">
        <f>'[1]March - 2022'!CW29</f>
        <v>643549</v>
      </c>
      <c r="CU29" s="190">
        <f>'[1]March - 2022'!CX29</f>
        <v>203</v>
      </c>
      <c r="CV29" s="506"/>
      <c r="CW29" s="284">
        <f>'[1]March - 2022'!CZ29</f>
        <v>7304</v>
      </c>
      <c r="CX29" s="197">
        <f>'[1]March - 2022'!DA29</f>
        <v>8</v>
      </c>
      <c r="CY29" s="285">
        <f>'[1]March - 2022'!DB29</f>
        <v>4688</v>
      </c>
      <c r="CZ29" s="197">
        <f>'[1]March - 2022'!DC29</f>
        <v>1</v>
      </c>
      <c r="DA29" s="285">
        <f>'[1]March - 2022'!DD29</f>
        <v>28659</v>
      </c>
      <c r="DB29" s="197">
        <f>'[1]March - 2022'!DE29</f>
        <v>31</v>
      </c>
      <c r="DC29" s="285">
        <f>'[1]March - 2022'!DF29</f>
        <v>29228</v>
      </c>
      <c r="DD29" s="197">
        <f>'[1]March - 2022'!DG29</f>
        <v>13</v>
      </c>
      <c r="DE29" s="285">
        <f>'[1]March - 2022'!DH29</f>
        <v>19609</v>
      </c>
      <c r="DF29" s="197">
        <f>'[1]March - 2022'!DI29</f>
        <v>13</v>
      </c>
      <c r="DG29" s="285">
        <f>'[1]March - 2022'!DJ29</f>
        <v>22581</v>
      </c>
      <c r="DH29" s="197">
        <f>'[1]March - 2022'!DK29</f>
        <v>8</v>
      </c>
      <c r="DI29" s="285">
        <f>'[1]March - 2022'!DL29</f>
        <v>4446</v>
      </c>
      <c r="DJ29" s="197">
        <f>'[1]March - 2022'!DM29</f>
        <v>15</v>
      </c>
      <c r="DK29" s="285">
        <f>'[1]March - 2022'!DN29</f>
        <v>7823</v>
      </c>
      <c r="DL29" s="197">
        <f>'[1]March - 2022'!DO29</f>
        <v>13</v>
      </c>
      <c r="DM29" s="285">
        <f>'[1]March - 2022'!DP29</f>
        <v>2271</v>
      </c>
      <c r="DN29" s="197">
        <f>'[1]March - 2022'!DQ29</f>
        <v>8</v>
      </c>
      <c r="DO29" s="285">
        <f>'[1]March - 2022'!DR29</f>
        <v>4323</v>
      </c>
      <c r="DP29" s="197">
        <f>'[1]March - 2022'!DS29</f>
        <v>4</v>
      </c>
      <c r="DQ29" s="285">
        <f>'[1]March - 2022'!DT29</f>
        <v>27068</v>
      </c>
      <c r="DR29" s="205">
        <f>'[1]March - 2022'!DU29</f>
        <v>37</v>
      </c>
      <c r="DS29" s="522"/>
      <c r="DT29" s="209">
        <f>'[1]March - 2022'!DW29</f>
        <v>4018.7</v>
      </c>
      <c r="DU29" s="220">
        <f>'[1]March - 2022'!DX29</f>
        <v>8.7999999999997272</v>
      </c>
      <c r="DV29" s="91">
        <f>'[1]March - 2022'!DY29</f>
        <v>8967.4</v>
      </c>
      <c r="DW29" s="214">
        <f>'[1]March - 2022'!DZ29</f>
        <v>9.8999999999996362</v>
      </c>
      <c r="DX29" s="91">
        <f>'[1]March - 2022'!EA29</f>
        <v>3042.5</v>
      </c>
      <c r="DY29" s="214">
        <f>'[1]March - 2022'!EB29</f>
        <v>6.6999999999998181</v>
      </c>
      <c r="DZ29" s="91">
        <f>'[1]March - 2022'!EC29</f>
        <v>3209.1</v>
      </c>
      <c r="EA29" s="214">
        <f>'[1]March - 2022'!ED29</f>
        <v>7.5999999999999091</v>
      </c>
      <c r="EB29" s="91">
        <f>'[1]March - 2022'!EE29</f>
        <v>929581</v>
      </c>
      <c r="EC29" s="214">
        <f>'[1]March - 2022'!EF29</f>
        <v>631</v>
      </c>
      <c r="ED29" s="91">
        <f>'[1]March - 2022'!EI29</f>
        <v>192029.8</v>
      </c>
      <c r="EE29" s="228">
        <f>'[1]March - 2022'!EJ29</f>
        <v>149</v>
      </c>
      <c r="EF29" s="570"/>
      <c r="EG29" s="234">
        <f>'[1]March - 2022'!EL29</f>
        <v>10699400</v>
      </c>
      <c r="EH29" s="229">
        <f>'[1]March - 2022'!EM29</f>
        <v>3100</v>
      </c>
      <c r="EI29" s="90">
        <f>'[1]March - 2022'!EN29</f>
        <v>853110</v>
      </c>
      <c r="EJ29" s="229">
        <f>'[1]March - 2022'!EO29</f>
        <v>220</v>
      </c>
      <c r="EK29" s="90">
        <f>'[1]March - 2022'!EP29</f>
        <v>6469600</v>
      </c>
      <c r="EL29" s="229">
        <f>'[1]March - 2022'!EQ29</f>
        <v>1400</v>
      </c>
      <c r="EM29" s="90">
        <f>'[1]March - 2022'!ER29</f>
        <v>2283400</v>
      </c>
      <c r="EN29" s="229">
        <f>'[1]March - 2022'!ES29</f>
        <v>700</v>
      </c>
      <c r="EO29" s="90">
        <f>'[1]March - 2022'!ET29</f>
        <v>1061030</v>
      </c>
      <c r="EP29" s="229">
        <f>'[1]March - 2022'!EU29</f>
        <v>680</v>
      </c>
      <c r="EQ29" s="90">
        <f>'[1]March - 2022'!EV29</f>
        <v>14551700</v>
      </c>
      <c r="ER29" s="229">
        <f>'[1]March - 2022'!EW29</f>
        <v>4200</v>
      </c>
      <c r="ES29" s="544"/>
      <c r="ET29" s="278">
        <f>'[1]March - 2022'!EY29</f>
        <v>38973</v>
      </c>
      <c r="EU29" s="272">
        <f>'[1]March - 2022'!EZ29</f>
        <v>11</v>
      </c>
      <c r="EV29" s="279">
        <f>'[1]March - 2022'!FA29</f>
        <v>33750</v>
      </c>
      <c r="EW29" s="272">
        <f>'[1]March - 2022'!FB29</f>
        <v>14</v>
      </c>
      <c r="EX29" s="279">
        <f>'[1]March - 2022'!FC29</f>
        <v>4842</v>
      </c>
      <c r="EY29" s="272">
        <f>'[1]March - 2022'!FD29</f>
        <v>14</v>
      </c>
      <c r="EZ29" s="279">
        <f>'[1]March - 2022'!FE29</f>
        <v>55969</v>
      </c>
      <c r="FA29" s="272">
        <f>'[1]March - 2022'!FF29</f>
        <v>15</v>
      </c>
      <c r="FB29" s="279">
        <f>'[1]March - 2022'!FG29</f>
        <v>40960</v>
      </c>
      <c r="FC29" s="273">
        <f>'[1]March - 2022'!FH29</f>
        <v>28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-81797</v>
      </c>
      <c r="E30" s="168">
        <f>'[1]March - 2022'!G30</f>
        <v>503</v>
      </c>
      <c r="F30" s="168">
        <f>'[1]March - 2022'!H30</f>
        <v>0</v>
      </c>
      <c r="G30" s="169">
        <f>'[1]March - 2022'!I30</f>
        <v>-135679</v>
      </c>
      <c r="H30" s="168">
        <f>'[1]March - 2022'!J30</f>
        <v>392</v>
      </c>
      <c r="I30" s="168">
        <f>'[1]March - 2022'!K30</f>
        <v>0</v>
      </c>
      <c r="J30" s="169">
        <f>'[1]March - 2022'!L30</f>
        <v>-164625</v>
      </c>
      <c r="K30" s="168">
        <f>'[1]March - 2022'!N30</f>
        <v>0</v>
      </c>
      <c r="L30" s="169">
        <f>'[1]March - 2022'!O30</f>
        <v>-837546</v>
      </c>
      <c r="M30" s="168">
        <f>'[1]March - 2022'!Q30</f>
        <v>0</v>
      </c>
      <c r="N30" s="169">
        <f>'[1]March - 2022'!R30</f>
        <v>-195337</v>
      </c>
      <c r="O30" s="261">
        <f>'[1]March - 2022'!U30</f>
        <v>0</v>
      </c>
      <c r="P30" s="169">
        <f>'[1]March - 2022'!V30</f>
        <v>-61224.74</v>
      </c>
      <c r="Q30" s="168">
        <f>'[1]March - 2022'!W30</f>
        <v>40</v>
      </c>
      <c r="R30" s="261">
        <f>'[1]March - 2022'!X30</f>
        <v>0</v>
      </c>
      <c r="S30" s="207">
        <f>'[1]March - 2022'!Y30</f>
        <v>-4723</v>
      </c>
      <c r="T30" s="465"/>
      <c r="U30" s="266">
        <f>'[1]March - 2022'!AE30</f>
        <v>0</v>
      </c>
      <c r="V30" s="287">
        <f>'[1]March - 2022'!AF30</f>
        <v>-7436766.959999999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-14230478.640000001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-13966611.119999999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-17050099.919999998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-17433575.039999999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-16062837.839999998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-13602282.959999999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-10409125.439999999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-10409125.439999999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-16220447.039999999</v>
      </c>
      <c r="AX30" s="252">
        <f>'[1]March - 2022'!BH30</f>
        <v>6187.4400000013411</v>
      </c>
      <c r="AY30" s="482"/>
      <c r="AZ30" s="269">
        <f>'[1]March - 2022'!BM30</f>
        <v>0</v>
      </c>
      <c r="BA30" s="178">
        <f>'[1]March - 2022'!BN30</f>
        <v>-69273000</v>
      </c>
      <c r="BB30" s="93">
        <f>'[1]March - 2022'!BO30</f>
        <v>0</v>
      </c>
      <c r="BC30" s="269">
        <f>'[1]March - 2022'!BP30</f>
        <v>0</v>
      </c>
      <c r="BD30" s="244">
        <f>'[1]March - 2022'!BQ30</f>
        <v>-72036400</v>
      </c>
      <c r="BE30" s="93">
        <f>'[1]March - 2022'!BR30</f>
        <v>0</v>
      </c>
      <c r="BF30" s="269">
        <f>'[1]March - 2022'!BS30</f>
        <v>0</v>
      </c>
      <c r="BG30" s="244">
        <f>'[1]March - 2022'!BT30</f>
        <v>-66557400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-8297790</v>
      </c>
      <c r="BU30" s="579"/>
      <c r="BV30" s="88">
        <f>'[1]March - 2022'!BY30</f>
        <v>0</v>
      </c>
      <c r="BW30" s="240">
        <f>'[1]March - 2022'!BZ30</f>
        <v>0.49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-58949</v>
      </c>
      <c r="CA30" s="89">
        <f>'[1]March - 2022'!CD30</f>
        <v>0</v>
      </c>
      <c r="CB30" s="190">
        <f>'[1]March - 2022'!CE30</f>
        <v>-50478</v>
      </c>
      <c r="CC30" s="89">
        <f>'[1]March - 2022'!CF30</f>
        <v>0</v>
      </c>
      <c r="CD30" s="190">
        <f>'[1]March - 2022'!CG30</f>
        <v>-17260</v>
      </c>
      <c r="CE30" s="89">
        <f>'[1]March - 2022'!CH30</f>
        <v>0</v>
      </c>
      <c r="CF30" s="190">
        <f>'[1]March - 2022'!CI30</f>
        <v>-23141</v>
      </c>
      <c r="CG30" s="89">
        <f>'[1]March - 2022'!CJ30</f>
        <v>0</v>
      </c>
      <c r="CH30" s="190">
        <f>'[1]March - 2022'!CK30</f>
        <v>-25239</v>
      </c>
      <c r="CI30" s="89">
        <f>'[1]March - 2022'!CL30</f>
        <v>0</v>
      </c>
      <c r="CJ30" s="190">
        <f>'[1]March - 2022'!CM30</f>
        <v>-56046</v>
      </c>
      <c r="CK30" s="89">
        <f>'[1]March - 2022'!CN30</f>
        <v>0</v>
      </c>
      <c r="CL30" s="245">
        <f>'[1]March - 2022'!CO30</f>
        <v>-244642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-192046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-345908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-643549</v>
      </c>
      <c r="CV30" s="506"/>
      <c r="CW30" s="284">
        <f>'[1]March - 2022'!CZ30</f>
        <v>0</v>
      </c>
      <c r="CX30" s="197">
        <f>'[1]March - 2022'!DA30</f>
        <v>-7304</v>
      </c>
      <c r="CY30" s="285">
        <f>'[1]March - 2022'!DB30</f>
        <v>0</v>
      </c>
      <c r="CZ30" s="197">
        <f>'[1]March - 2022'!DC30</f>
        <v>-4688</v>
      </c>
      <c r="DA30" s="285">
        <f>'[1]March - 2022'!DD30</f>
        <v>0</v>
      </c>
      <c r="DB30" s="197">
        <f>'[1]March - 2022'!DE30</f>
        <v>-28659</v>
      </c>
      <c r="DC30" s="285">
        <f>'[1]March - 2022'!DF30</f>
        <v>0</v>
      </c>
      <c r="DD30" s="197">
        <f>'[1]March - 2022'!DG30</f>
        <v>-29228</v>
      </c>
      <c r="DE30" s="285">
        <f>'[1]March - 2022'!DH30</f>
        <v>0</v>
      </c>
      <c r="DF30" s="197">
        <f>'[1]March - 2022'!DI30</f>
        <v>-19609</v>
      </c>
      <c r="DG30" s="285">
        <f>'[1]March - 2022'!DJ30</f>
        <v>0</v>
      </c>
      <c r="DH30" s="197">
        <f>'[1]March - 2022'!DK30</f>
        <v>-22581</v>
      </c>
      <c r="DI30" s="285">
        <f>'[1]March - 2022'!DL30</f>
        <v>0</v>
      </c>
      <c r="DJ30" s="197">
        <f>'[1]March - 2022'!DM30</f>
        <v>-4446</v>
      </c>
      <c r="DK30" s="285">
        <f>'[1]March - 2022'!DN30</f>
        <v>0</v>
      </c>
      <c r="DL30" s="197">
        <f>'[1]March - 2022'!DO30</f>
        <v>-7823</v>
      </c>
      <c r="DM30" s="285">
        <f>'[1]March - 2022'!DP30</f>
        <v>0</v>
      </c>
      <c r="DN30" s="197">
        <f>'[1]March - 2022'!DQ30</f>
        <v>-2271</v>
      </c>
      <c r="DO30" s="285">
        <f>'[1]March - 2022'!DR30</f>
        <v>0</v>
      </c>
      <c r="DP30" s="197">
        <f>'[1]March - 2022'!DS30</f>
        <v>-4323</v>
      </c>
      <c r="DQ30" s="285">
        <f>'[1]March - 2022'!DT30</f>
        <v>0</v>
      </c>
      <c r="DR30" s="205">
        <f>'[1]March - 2022'!DU30</f>
        <v>-27068</v>
      </c>
      <c r="DS30" s="522"/>
      <c r="DT30" s="209">
        <f>'[1]March - 2022'!DW30</f>
        <v>0</v>
      </c>
      <c r="DU30" s="220">
        <f>'[1]March - 2022'!DX30</f>
        <v>-4018.7</v>
      </c>
      <c r="DV30" s="91">
        <f>'[1]March - 2022'!DY30</f>
        <v>0</v>
      </c>
      <c r="DW30" s="214">
        <f>'[1]March - 2022'!DZ30</f>
        <v>-8967.4</v>
      </c>
      <c r="DX30" s="91">
        <f>'[1]March - 2022'!EA30</f>
        <v>0</v>
      </c>
      <c r="DY30" s="214">
        <f>'[1]March - 2022'!EB30</f>
        <v>-3042.5</v>
      </c>
      <c r="DZ30" s="91">
        <f>'[1]March - 2022'!EC30</f>
        <v>0</v>
      </c>
      <c r="EA30" s="214">
        <f>'[1]March - 2022'!ED30</f>
        <v>-3209.1</v>
      </c>
      <c r="EB30" s="91">
        <f>'[1]March - 2022'!EE30</f>
        <v>0</v>
      </c>
      <c r="EC30" s="214">
        <f>'[1]March - 2022'!EF30</f>
        <v>-929581</v>
      </c>
      <c r="ED30" s="91">
        <f>'[1]March - 2022'!EI30</f>
        <v>0</v>
      </c>
      <c r="EE30" s="228">
        <f>'[1]March - 2022'!EJ30</f>
        <v>-192029.8</v>
      </c>
      <c r="EF30" s="570"/>
      <c r="EG30" s="234">
        <f>'[1]March - 2022'!EL30</f>
        <v>0</v>
      </c>
      <c r="EH30" s="229">
        <f>'[1]March - 2022'!EM30</f>
        <v>-10699400</v>
      </c>
      <c r="EI30" s="90">
        <f>'[1]March - 2022'!EN30</f>
        <v>0</v>
      </c>
      <c r="EJ30" s="229">
        <f>'[1]March - 2022'!EO30</f>
        <v>-853110</v>
      </c>
      <c r="EK30" s="90">
        <f>'[1]March - 2022'!EP30</f>
        <v>0</v>
      </c>
      <c r="EL30" s="229">
        <f>'[1]March - 2022'!EQ30</f>
        <v>-6469600</v>
      </c>
      <c r="EM30" s="90">
        <f>'[1]March - 2022'!ER30</f>
        <v>0</v>
      </c>
      <c r="EN30" s="229">
        <f>'[1]March - 2022'!ES30</f>
        <v>-2283400</v>
      </c>
      <c r="EO30" s="90">
        <f>'[1]March - 2022'!ET30</f>
        <v>0</v>
      </c>
      <c r="EP30" s="229">
        <f>'[1]March - 2022'!EU30</f>
        <v>-1061030</v>
      </c>
      <c r="EQ30" s="90">
        <f>'[1]March - 2022'!EV30</f>
        <v>0</v>
      </c>
      <c r="ER30" s="229">
        <f>'[1]March - 2022'!EW30</f>
        <v>-14551700</v>
      </c>
      <c r="ES30" s="544"/>
      <c r="ET30" s="278">
        <f>'[1]March - 2022'!EY30</f>
        <v>0</v>
      </c>
      <c r="EU30" s="272">
        <f>'[1]March - 2022'!EZ30</f>
        <v>-38973</v>
      </c>
      <c r="EV30" s="279">
        <f>'[1]March - 2022'!FA30</f>
        <v>0</v>
      </c>
      <c r="EW30" s="272">
        <f>'[1]March - 2022'!FB30</f>
        <v>-33750</v>
      </c>
      <c r="EX30" s="279">
        <f>'[1]March - 2022'!FC30</f>
        <v>0</v>
      </c>
      <c r="EY30" s="272">
        <f>'[1]March - 2022'!FD30</f>
        <v>-4842</v>
      </c>
      <c r="EZ30" s="279">
        <f>'[1]March - 2022'!FE30</f>
        <v>0</v>
      </c>
      <c r="FA30" s="272">
        <f>'[1]March - 2022'!FF30</f>
        <v>-55969</v>
      </c>
      <c r="FB30" s="279">
        <f>'[1]March - 2022'!FG30</f>
        <v>0</v>
      </c>
      <c r="FC30" s="273">
        <f>'[1]March - 2022'!FH30</f>
        <v>-40960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465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82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579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506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522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570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54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465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82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579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506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522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570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54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465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82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579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506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522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570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54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465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82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579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506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522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570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54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465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82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579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506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522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570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54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465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82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579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506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522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570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54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465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82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579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506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522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570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54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465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82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579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506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522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570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54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465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82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580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506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522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570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54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506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522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570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545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416"/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8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417"/>
      <c r="AV41" s="417"/>
      <c r="AW41" s="417"/>
      <c r="AX41" s="417"/>
      <c r="AY41" s="419"/>
      <c r="AZ41" s="417"/>
      <c r="BA41" s="417"/>
      <c r="BB41" s="417"/>
      <c r="BC41" s="417"/>
      <c r="BD41" s="417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BS41" s="417"/>
      <c r="BT41" s="417"/>
      <c r="BU41" s="420"/>
      <c r="BV41" s="417"/>
      <c r="BW41" s="417"/>
      <c r="BX41" s="417"/>
      <c r="BY41" s="417"/>
      <c r="BZ41" s="417"/>
      <c r="CA41" s="417"/>
      <c r="CB41" s="417"/>
      <c r="CC41" s="417"/>
      <c r="CD41" s="417"/>
      <c r="CE41" s="417"/>
      <c r="CF41" s="417"/>
      <c r="CG41" s="417"/>
      <c r="CH41" s="417"/>
      <c r="CI41" s="417"/>
      <c r="CJ41" s="417"/>
      <c r="CK41" s="417"/>
      <c r="CL41" s="417"/>
      <c r="CM41" s="417"/>
      <c r="CN41" s="417"/>
      <c r="CO41" s="417"/>
      <c r="CP41" s="417"/>
      <c r="CQ41" s="417"/>
      <c r="CR41" s="417"/>
      <c r="CS41" s="417"/>
      <c r="CT41" s="417"/>
      <c r="CU41" s="417"/>
      <c r="CV41" s="506"/>
      <c r="CW41" s="508"/>
      <c r="CX41" s="508"/>
      <c r="CY41" s="508"/>
      <c r="CZ41" s="508"/>
      <c r="DA41" s="508"/>
      <c r="DB41" s="508"/>
      <c r="DC41" s="508"/>
      <c r="DD41" s="508"/>
      <c r="DE41" s="508"/>
      <c r="DF41" s="508"/>
      <c r="DG41" s="508"/>
      <c r="DH41" s="508"/>
      <c r="DI41" s="508"/>
      <c r="DJ41" s="508"/>
      <c r="DK41" s="508"/>
      <c r="DL41" s="508"/>
      <c r="DM41" s="508"/>
      <c r="DN41" s="508"/>
      <c r="DO41" s="508"/>
      <c r="DP41" s="508"/>
      <c r="DQ41" s="508"/>
      <c r="DR41" s="509"/>
      <c r="DS41" s="523"/>
      <c r="DT41" s="524"/>
      <c r="DU41" s="525"/>
      <c r="DV41" s="525"/>
      <c r="DW41" s="525"/>
      <c r="DX41" s="525"/>
      <c r="DY41" s="525"/>
      <c r="DZ41" s="525"/>
      <c r="EA41" s="525"/>
      <c r="EB41" s="525"/>
      <c r="EC41" s="525"/>
      <c r="ED41" s="525"/>
      <c r="EE41" s="526"/>
      <c r="EF41" s="571"/>
      <c r="EG41" s="552"/>
      <c r="EH41" s="552"/>
      <c r="EI41" s="552"/>
      <c r="EJ41" s="552"/>
      <c r="EK41" s="552"/>
      <c r="EL41" s="552"/>
      <c r="EM41" s="552"/>
      <c r="EN41" s="552"/>
      <c r="EO41" s="552"/>
      <c r="EP41" s="552"/>
      <c r="EQ41" s="552"/>
      <c r="ER41" s="552"/>
      <c r="ES41" s="545"/>
      <c r="ET41" s="553"/>
      <c r="EU41" s="553"/>
      <c r="EV41" s="553"/>
      <c r="EW41" s="553"/>
      <c r="EX41" s="553"/>
      <c r="EY41" s="553"/>
      <c r="EZ41" s="553"/>
      <c r="FA41" s="553"/>
      <c r="FB41" s="553"/>
      <c r="FC41" s="553"/>
      <c r="FD41" s="28"/>
    </row>
    <row r="42" spans="1:160" ht="28.5" customHeight="1" thickBot="1" x14ac:dyDescent="0.35">
      <c r="A42" s="396" t="s">
        <v>192</v>
      </c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  <c r="M42" s="397"/>
      <c r="N42" s="397"/>
      <c r="O42" s="397"/>
      <c r="P42" s="397"/>
      <c r="Q42" s="397"/>
      <c r="R42" s="397"/>
      <c r="S42" s="398"/>
      <c r="T42" s="399"/>
      <c r="U42" s="402" t="s">
        <v>193</v>
      </c>
      <c r="V42" s="402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2"/>
      <c r="AS42" s="402"/>
      <c r="AT42" s="402"/>
      <c r="AU42" s="402"/>
      <c r="AV42" s="402"/>
      <c r="AW42" s="402"/>
      <c r="AX42" s="402"/>
      <c r="AY42" s="403"/>
      <c r="AZ42" s="404" t="s">
        <v>130</v>
      </c>
      <c r="BA42" s="405"/>
      <c r="BB42" s="405"/>
      <c r="BC42" s="405"/>
      <c r="BD42" s="405"/>
      <c r="BE42" s="405"/>
      <c r="BF42" s="405"/>
      <c r="BG42" s="405"/>
      <c r="BH42" s="406"/>
      <c r="BI42" s="407"/>
      <c r="BJ42" s="408"/>
      <c r="BK42" s="408"/>
      <c r="BL42" s="408"/>
      <c r="BM42" s="408"/>
      <c r="BN42" s="408"/>
      <c r="BO42" s="408"/>
      <c r="BP42" s="408"/>
      <c r="BQ42" s="408"/>
      <c r="BR42" s="409"/>
      <c r="BS42" s="410" t="s">
        <v>131</v>
      </c>
      <c r="BT42" s="411"/>
      <c r="BU42" s="30"/>
      <c r="BV42" s="564" t="s">
        <v>194</v>
      </c>
      <c r="BW42" s="565"/>
      <c r="BX42" s="565"/>
      <c r="BY42" s="565"/>
      <c r="BZ42" s="565"/>
      <c r="CA42" s="565"/>
      <c r="CB42" s="565"/>
      <c r="CC42" s="565"/>
      <c r="CD42" s="565"/>
      <c r="CE42" s="565"/>
      <c r="CF42" s="565"/>
      <c r="CG42" s="565"/>
      <c r="CH42" s="565"/>
      <c r="CI42" s="565"/>
      <c r="CJ42" s="565"/>
      <c r="CK42" s="565"/>
      <c r="CL42" s="565"/>
      <c r="CM42" s="565"/>
      <c r="CN42" s="565"/>
      <c r="CO42" s="565"/>
      <c r="CP42" s="565"/>
      <c r="CQ42" s="565"/>
      <c r="CR42" s="565"/>
      <c r="CS42" s="565"/>
      <c r="CT42" s="565"/>
      <c r="CU42" s="566"/>
      <c r="CV42" s="506"/>
      <c r="CW42" s="412"/>
      <c r="CX42" s="413"/>
      <c r="CY42" s="413"/>
      <c r="CZ42" s="413"/>
      <c r="DA42" s="413"/>
      <c r="DB42" s="413"/>
      <c r="DC42" s="413"/>
      <c r="DD42" s="413"/>
      <c r="DE42" s="413"/>
      <c r="DF42" s="413"/>
      <c r="DG42" s="413"/>
      <c r="DH42" s="413"/>
      <c r="DI42" s="413"/>
      <c r="DJ42" s="413"/>
      <c r="DK42" s="413"/>
      <c r="DL42" s="413"/>
      <c r="DM42" s="413"/>
      <c r="DN42" s="413"/>
      <c r="DO42" s="413"/>
      <c r="DP42" s="413"/>
      <c r="DQ42" s="413"/>
      <c r="DR42" s="414"/>
      <c r="DS42" s="523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1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45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15" t="s">
        <v>31</v>
      </c>
      <c r="B43" s="415"/>
      <c r="C43" s="373" t="s">
        <v>32</v>
      </c>
      <c r="D43" s="373"/>
      <c r="E43" s="374"/>
      <c r="F43" s="372" t="s">
        <v>33</v>
      </c>
      <c r="G43" s="373"/>
      <c r="H43" s="374"/>
      <c r="I43" s="378" t="s">
        <v>34</v>
      </c>
      <c r="J43" s="378"/>
      <c r="K43" s="378" t="s">
        <v>35</v>
      </c>
      <c r="L43" s="378"/>
      <c r="M43" s="378"/>
      <c r="N43" s="378"/>
      <c r="O43" s="372" t="s">
        <v>132</v>
      </c>
      <c r="P43" s="373"/>
      <c r="Q43" s="373"/>
      <c r="R43" s="373"/>
      <c r="S43" s="373"/>
      <c r="T43" s="400"/>
      <c r="U43" s="372" t="s">
        <v>36</v>
      </c>
      <c r="V43" s="373"/>
      <c r="W43" s="374"/>
      <c r="X43" s="372" t="s">
        <v>37</v>
      </c>
      <c r="Y43" s="373"/>
      <c r="Z43" s="374"/>
      <c r="AA43" s="372" t="s">
        <v>38</v>
      </c>
      <c r="AB43" s="373"/>
      <c r="AC43" s="374"/>
      <c r="AD43" s="372" t="s">
        <v>39</v>
      </c>
      <c r="AE43" s="373"/>
      <c r="AF43" s="374"/>
      <c r="AG43" s="372" t="s">
        <v>40</v>
      </c>
      <c r="AH43" s="373"/>
      <c r="AI43" s="374"/>
      <c r="AJ43" s="372" t="s">
        <v>41</v>
      </c>
      <c r="AK43" s="373"/>
      <c r="AL43" s="374"/>
      <c r="AM43" s="372" t="s">
        <v>42</v>
      </c>
      <c r="AN43" s="373"/>
      <c r="AO43" s="374"/>
      <c r="AP43" s="372" t="s">
        <v>43</v>
      </c>
      <c r="AQ43" s="373"/>
      <c r="AR43" s="374"/>
      <c r="AS43" s="372" t="s">
        <v>44</v>
      </c>
      <c r="AT43" s="373"/>
      <c r="AU43" s="374"/>
      <c r="AV43" s="372" t="s">
        <v>45</v>
      </c>
      <c r="AW43" s="373"/>
      <c r="AX43" s="373"/>
      <c r="AY43" s="375"/>
      <c r="AZ43" s="567" t="s">
        <v>133</v>
      </c>
      <c r="BA43" s="568"/>
      <c r="BB43" s="568"/>
      <c r="BC43" s="568" t="s">
        <v>134</v>
      </c>
      <c r="BD43" s="568"/>
      <c r="BE43" s="568"/>
      <c r="BF43" s="568" t="s">
        <v>135</v>
      </c>
      <c r="BG43" s="568"/>
      <c r="BH43" s="568"/>
      <c r="BI43" s="376"/>
      <c r="BJ43" s="377"/>
      <c r="BK43" s="376"/>
      <c r="BL43" s="377"/>
      <c r="BM43" s="376"/>
      <c r="BN43" s="377"/>
      <c r="BO43" s="376"/>
      <c r="BP43" s="377"/>
      <c r="BQ43" s="376"/>
      <c r="BR43" s="377"/>
      <c r="BS43" s="376" t="s">
        <v>136</v>
      </c>
      <c r="BT43" s="377"/>
      <c r="BU43" s="382"/>
      <c r="BV43" s="383" t="s">
        <v>13</v>
      </c>
      <c r="BW43" s="384"/>
      <c r="BX43" s="95"/>
      <c r="BY43" s="385" t="s">
        <v>120</v>
      </c>
      <c r="BZ43" s="385"/>
      <c r="CA43" s="380" t="s">
        <v>121</v>
      </c>
      <c r="CB43" s="381"/>
      <c r="CC43" s="380" t="s">
        <v>122</v>
      </c>
      <c r="CD43" s="381"/>
      <c r="CE43" s="380" t="s">
        <v>123</v>
      </c>
      <c r="CF43" s="381"/>
      <c r="CG43" s="380" t="s">
        <v>124</v>
      </c>
      <c r="CH43" s="381"/>
      <c r="CI43" s="380" t="s">
        <v>125</v>
      </c>
      <c r="CJ43" s="381"/>
      <c r="CK43" s="391" t="s">
        <v>14</v>
      </c>
      <c r="CL43" s="392"/>
      <c r="CM43" s="393"/>
      <c r="CN43" s="388" t="s">
        <v>15</v>
      </c>
      <c r="CO43" s="389"/>
      <c r="CP43" s="390"/>
      <c r="CQ43" s="391" t="s">
        <v>137</v>
      </c>
      <c r="CR43" s="392"/>
      <c r="CS43" s="393"/>
      <c r="CT43" s="363" t="s">
        <v>138</v>
      </c>
      <c r="CU43" s="364"/>
      <c r="CV43" s="506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3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1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45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1" t="s">
        <v>195</v>
      </c>
      <c r="B44" s="421"/>
      <c r="C44" s="422">
        <f>SUM(E9:E24)</f>
        <v>6821</v>
      </c>
      <c r="D44" s="423"/>
      <c r="E44" s="424"/>
      <c r="F44" s="425">
        <f>SUM(H9:H24)</f>
        <v>5747</v>
      </c>
      <c r="G44" s="426"/>
      <c r="H44" s="427"/>
      <c r="I44" s="425"/>
      <c r="J44" s="427"/>
      <c r="K44" s="428"/>
      <c r="L44" s="429"/>
      <c r="M44" s="430"/>
      <c r="N44" s="430"/>
      <c r="O44" s="425">
        <f>SUM(Q9:Q24)</f>
        <v>495</v>
      </c>
      <c r="P44" s="426"/>
      <c r="Q44" s="427"/>
      <c r="R44" s="431"/>
      <c r="S44" s="432"/>
      <c r="T44" s="400"/>
      <c r="U44" s="369">
        <f>SUM(W9:W24)</f>
        <v>32837.280000000261</v>
      </c>
      <c r="V44" s="370"/>
      <c r="W44" s="371"/>
      <c r="X44" s="369">
        <f>SUM(Z9:Z24)</f>
        <v>65723.279999997467</v>
      </c>
      <c r="Y44" s="370"/>
      <c r="Z44" s="371"/>
      <c r="AA44" s="369">
        <f>SUM(AC9:AC24)</f>
        <v>48330.240000002086</v>
      </c>
      <c r="AB44" s="370"/>
      <c r="AC44" s="371"/>
      <c r="AD44" s="369">
        <f>SUM(AF9:AF24)</f>
        <v>29378.159999998286</v>
      </c>
      <c r="AE44" s="370"/>
      <c r="AF44" s="371"/>
      <c r="AG44" s="369">
        <f>SUM(AI9:AI24)</f>
        <v>54127.919999999925</v>
      </c>
      <c r="AH44" s="370"/>
      <c r="AI44" s="371"/>
      <c r="AJ44" s="369">
        <f>SUM(AL9:AL24)</f>
        <v>74200.560000002384</v>
      </c>
      <c r="AK44" s="370"/>
      <c r="AL44" s="371"/>
      <c r="AM44" s="369">
        <f>SUM(AO9:AO24)</f>
        <v>60510.239999998361</v>
      </c>
      <c r="AN44" s="370"/>
      <c r="AO44" s="371"/>
      <c r="AP44" s="369">
        <f>SUM(AR9:AR24)</f>
        <v>58805.040000000969</v>
      </c>
      <c r="AQ44" s="370"/>
      <c r="AR44" s="371"/>
      <c r="AS44" s="369">
        <f>SUM(AU9:AU24)</f>
        <v>43506.959999999031</v>
      </c>
      <c r="AT44" s="370"/>
      <c r="AU44" s="371"/>
      <c r="AV44" s="369">
        <f>SUM(AX9:AX24)</f>
        <v>87208.800000000745</v>
      </c>
      <c r="AW44" s="370"/>
      <c r="AX44" s="370"/>
      <c r="AY44" s="375"/>
      <c r="AZ44" s="370">
        <f>SUM(BB9:BB24)</f>
        <v>316300</v>
      </c>
      <c r="BA44" s="370"/>
      <c r="BB44" s="370"/>
      <c r="BC44" s="369">
        <f>SUM(BE9:BE24)</f>
        <v>135800</v>
      </c>
      <c r="BD44" s="370"/>
      <c r="BE44" s="370"/>
      <c r="BF44" s="365">
        <f>SUM(BH9:BH24)</f>
        <v>238700</v>
      </c>
      <c r="BG44" s="365"/>
      <c r="BH44" s="36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65">
        <f>SUM(CM9:CM24)</f>
        <v>1388.1499999999942</v>
      </c>
      <c r="CL44" s="365"/>
      <c r="CM44" s="365"/>
      <c r="CN44" s="365">
        <f>SUM(CP9:CP24)</f>
        <v>1435.8800000000047</v>
      </c>
      <c r="CO44" s="365"/>
      <c r="CP44" s="365"/>
      <c r="CQ44" s="365">
        <f>SUM(CS9:CS24)</f>
        <v>3682.0200000000186</v>
      </c>
      <c r="CR44" s="365"/>
      <c r="CS44" s="365"/>
      <c r="CT44" s="100"/>
      <c r="CU44" s="195"/>
      <c r="CV44" s="506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3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1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45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3" t="s">
        <v>196</v>
      </c>
      <c r="B45" s="583"/>
      <c r="C45" s="584">
        <f>SUM(D9:D24)</f>
        <v>10067</v>
      </c>
      <c r="D45" s="584"/>
      <c r="E45" s="585"/>
      <c r="F45" s="584">
        <f>SUM(G9:G24)</f>
        <v>6875</v>
      </c>
      <c r="G45" s="584"/>
      <c r="H45" s="585"/>
      <c r="I45" s="586"/>
      <c r="J45" s="586"/>
      <c r="K45" s="586"/>
      <c r="L45" s="586"/>
      <c r="M45" s="586"/>
      <c r="N45" s="586"/>
      <c r="O45" s="584">
        <f>SUM(P9:P24)</f>
        <v>1533.6100000000006</v>
      </c>
      <c r="P45" s="584"/>
      <c r="Q45" s="585"/>
      <c r="R45" s="587"/>
      <c r="S45" s="588"/>
      <c r="T45" s="401"/>
      <c r="U45" s="354">
        <f>SUM(V9:V24)</f>
        <v>37563.120000000112</v>
      </c>
      <c r="V45" s="354"/>
      <c r="W45" s="355"/>
      <c r="X45" s="354">
        <f>SUM(Y9:Y24)</f>
        <v>71472.240000000224</v>
      </c>
      <c r="Y45" s="354"/>
      <c r="Z45" s="355"/>
      <c r="AA45" s="354">
        <f>SUM(AB9:AB24)</f>
        <v>52471.439999997616</v>
      </c>
      <c r="AB45" s="354"/>
      <c r="AC45" s="355"/>
      <c r="AD45" s="354">
        <f>SUM(AE9:AE24)</f>
        <v>52325.279999997467</v>
      </c>
      <c r="AE45" s="354"/>
      <c r="AF45" s="355"/>
      <c r="AG45" s="354">
        <f>SUM(AH9:AH24)</f>
        <v>62264.160000003874</v>
      </c>
      <c r="AH45" s="354"/>
      <c r="AI45" s="355"/>
      <c r="AJ45" s="354">
        <f>SUM(AK9:AK24)</f>
        <v>85747.200000001118</v>
      </c>
      <c r="AK45" s="354"/>
      <c r="AL45" s="355"/>
      <c r="AM45" s="354">
        <f>SUM(AN9:AN24)</f>
        <v>63628.320000002161</v>
      </c>
      <c r="AN45" s="354"/>
      <c r="AO45" s="355"/>
      <c r="AP45" s="354">
        <f>SUM(AQ9:AQ24)</f>
        <v>48768.720000000671</v>
      </c>
      <c r="AQ45" s="354"/>
      <c r="AR45" s="355"/>
      <c r="AS45" s="354">
        <f>SUM(AT9:AT24)</f>
        <v>46917.359999999404</v>
      </c>
      <c r="AT45" s="354"/>
      <c r="AU45" s="355"/>
      <c r="AV45" s="354">
        <f>SUM(AW9:AW24)</f>
        <v>87744.719999998808</v>
      </c>
      <c r="AW45" s="354"/>
      <c r="AX45" s="354"/>
      <c r="AY45" s="375"/>
      <c r="AZ45" s="355">
        <f>SUM(BA9:BA24)</f>
        <v>248600</v>
      </c>
      <c r="BA45" s="365"/>
      <c r="BB45" s="365"/>
      <c r="BC45" s="365">
        <f>SUM(BD9:BD24)</f>
        <v>263600</v>
      </c>
      <c r="BD45" s="365"/>
      <c r="BE45" s="365"/>
      <c r="BF45" s="365">
        <f>SUM(BG9:BG24)</f>
        <v>306200</v>
      </c>
      <c r="BG45" s="365"/>
      <c r="BH45" s="36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65">
        <f>SUM(CL9:CL24)</f>
        <v>1504</v>
      </c>
      <c r="CL45" s="365"/>
      <c r="CM45" s="365"/>
      <c r="CN45" s="365">
        <f>SUM(CO9:CO24)</f>
        <v>1733</v>
      </c>
      <c r="CO45" s="365"/>
      <c r="CP45" s="365"/>
      <c r="CQ45" s="365">
        <f>SUM(CR9:CR24)</f>
        <v>2520</v>
      </c>
      <c r="CR45" s="365"/>
      <c r="CS45" s="365"/>
      <c r="CT45" s="105"/>
      <c r="CU45" s="196"/>
      <c r="CV45" s="506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3"/>
      <c r="DT45" s="366" t="s">
        <v>104</v>
      </c>
      <c r="DU45" s="367"/>
      <c r="DV45" s="367"/>
      <c r="DW45" s="367"/>
      <c r="DX45" s="367"/>
      <c r="DY45" s="367"/>
      <c r="DZ45" s="367"/>
      <c r="EA45" s="367"/>
      <c r="EB45" s="367"/>
      <c r="EC45" s="367"/>
      <c r="ED45" s="367"/>
      <c r="EE45" s="367"/>
      <c r="EF45" s="367"/>
      <c r="EG45" s="367"/>
      <c r="EH45" s="367"/>
      <c r="EI45" s="367"/>
      <c r="EJ45" s="368"/>
      <c r="EK45" s="379"/>
      <c r="EL45" s="379"/>
      <c r="EM45" s="379"/>
      <c r="EN45" s="379"/>
      <c r="EO45" s="379"/>
      <c r="EP45" s="379"/>
      <c r="EQ45" s="379"/>
      <c r="ER45" s="37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5"/>
      <c r="AZ46" s="394">
        <f>AZ44-AZ45</f>
        <v>67700</v>
      </c>
      <c r="BA46" s="395"/>
      <c r="BB46" s="395"/>
      <c r="BC46" s="394">
        <f>BC45-BC44</f>
        <v>127800</v>
      </c>
      <c r="BD46" s="395"/>
      <c r="BE46" s="395"/>
      <c r="BF46" s="394">
        <f>BF45-BF44</f>
        <v>67500</v>
      </c>
      <c r="BG46" s="395"/>
      <c r="BH46" s="39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2"/>
      <c r="BV46" s="386"/>
      <c r="BW46" s="386"/>
      <c r="BX46" s="386"/>
      <c r="BY46" s="386"/>
      <c r="BZ46" s="386"/>
      <c r="CA46" s="386"/>
      <c r="CB46" s="386"/>
      <c r="CC46" s="386"/>
      <c r="CD46" s="386"/>
      <c r="CE46" s="386"/>
      <c r="CF46" s="386"/>
      <c r="CG46" s="386"/>
      <c r="CH46" s="386"/>
      <c r="CI46" s="386"/>
      <c r="CJ46" s="386"/>
      <c r="CK46" s="386"/>
      <c r="CL46" s="386"/>
      <c r="CM46" s="386"/>
      <c r="CN46" s="386"/>
      <c r="CO46" s="386"/>
      <c r="CP46" s="386"/>
      <c r="CQ46" s="386"/>
      <c r="CR46" s="386"/>
      <c r="CS46" s="386"/>
      <c r="CT46" s="386"/>
      <c r="CU46" s="387"/>
      <c r="CV46" s="506"/>
    </row>
    <row r="47" spans="1:160" ht="33.75" customHeight="1" x14ac:dyDescent="0.25">
      <c r="A47" s="362" t="s">
        <v>197</v>
      </c>
      <c r="B47" s="362"/>
      <c r="C47" s="350">
        <f>SUM(E9:E39)</f>
        <v>14316</v>
      </c>
      <c r="D47" s="351"/>
      <c r="E47" s="352"/>
      <c r="F47" s="350">
        <f>SUM(H9:H39)</f>
        <v>11329.12</v>
      </c>
      <c r="G47" s="351"/>
      <c r="H47" s="352"/>
      <c r="I47" s="356">
        <v>7048.9</v>
      </c>
      <c r="J47" s="356"/>
      <c r="K47" s="356">
        <v>7702.2000000000116</v>
      </c>
      <c r="L47" s="356"/>
      <c r="M47" s="356"/>
      <c r="N47" s="356"/>
      <c r="O47" s="356">
        <f>SUM(Q9:Q39)</f>
        <v>-142456.12000000002</v>
      </c>
      <c r="P47" s="356"/>
      <c r="Q47" s="356"/>
      <c r="R47" s="350">
        <v>476</v>
      </c>
      <c r="S47" s="351"/>
      <c r="T47" s="357"/>
      <c r="U47" s="353">
        <f>SUM(W9:W39)</f>
        <v>72203.040000000037</v>
      </c>
      <c r="V47" s="354"/>
      <c r="W47" s="355"/>
      <c r="X47" s="353">
        <f>SUM(Z9:Z39)</f>
        <v>131397.83999999985</v>
      </c>
      <c r="Y47" s="354"/>
      <c r="Z47" s="355"/>
      <c r="AA47" s="353">
        <f>SUM(AC9:AC39)</f>
        <v>98365.680000001565</v>
      </c>
      <c r="AB47" s="354"/>
      <c r="AC47" s="355"/>
      <c r="AD47" s="353">
        <f>SUM(AF9:AF39)</f>
        <v>79608.479999998584</v>
      </c>
      <c r="AE47" s="354"/>
      <c r="AF47" s="355"/>
      <c r="AG47" s="353">
        <f>SUM(AI9:AI39)</f>
        <v>127110.48000000045</v>
      </c>
      <c r="AH47" s="354"/>
      <c r="AI47" s="355"/>
      <c r="AJ47" s="353">
        <f>SUM(AL9:AL39)</f>
        <v>146403.59999999963</v>
      </c>
      <c r="AK47" s="354"/>
      <c r="AL47" s="355"/>
      <c r="AM47" s="353">
        <f>SUM(AO9:AO39)</f>
        <v>124382.16000000015</v>
      </c>
      <c r="AN47" s="354"/>
      <c r="AO47" s="355"/>
      <c r="AP47" s="353">
        <f>SUM(AR9:AR39)</f>
        <v>118535.75999999978</v>
      </c>
      <c r="AQ47" s="354"/>
      <c r="AR47" s="355"/>
      <c r="AS47" s="353">
        <f>SUM(AU9:AU39)</f>
        <v>87501.120000001043</v>
      </c>
      <c r="AT47" s="354"/>
      <c r="AU47" s="355"/>
      <c r="AV47" s="353">
        <f>SUM(AX9:AX39)</f>
        <v>180994.80000000075</v>
      </c>
      <c r="AW47" s="354"/>
      <c r="AX47" s="354"/>
      <c r="AY47" s="375"/>
      <c r="AZ47" s="338">
        <v>347300</v>
      </c>
      <c r="BA47" s="338"/>
      <c r="BB47" s="339"/>
      <c r="BC47" s="340">
        <v>361100</v>
      </c>
      <c r="BD47" s="338"/>
      <c r="BE47" s="339"/>
      <c r="BF47" s="340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2">
        <v>131110</v>
      </c>
      <c r="BT47" s="593"/>
      <c r="BU47" s="382"/>
      <c r="BV47" s="594"/>
      <c r="BW47" s="59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53">
        <f>SUM(CM9:CM39)</f>
        <v>2814.1499999999942</v>
      </c>
      <c r="CL47" s="354"/>
      <c r="CM47" s="355"/>
      <c r="CN47" s="353">
        <f>SUM(CP9:CP39)</f>
        <v>2900.8800000000047</v>
      </c>
      <c r="CO47" s="354"/>
      <c r="CP47" s="355"/>
      <c r="CQ47" s="353">
        <f>SUM(CS9:CS39)</f>
        <v>6547.9200000000419</v>
      </c>
      <c r="CR47" s="354"/>
      <c r="CS47" s="355"/>
      <c r="CT47" s="589">
        <v>3894</v>
      </c>
      <c r="CU47" s="590"/>
      <c r="CV47" s="506"/>
      <c r="DJ47" s="4">
        <v>487.2</v>
      </c>
    </row>
    <row r="48" spans="1:160" ht="30" customHeight="1" x14ac:dyDescent="0.25">
      <c r="A48" s="329" t="s">
        <v>198</v>
      </c>
      <c r="B48" s="329"/>
      <c r="C48" s="350">
        <f>SUM(D10:D39)</f>
        <v>-68225</v>
      </c>
      <c r="D48" s="351"/>
      <c r="E48" s="352"/>
      <c r="F48" s="350">
        <f>SUM(G9:G39)</f>
        <v>-126373</v>
      </c>
      <c r="G48" s="351"/>
      <c r="H48" s="352"/>
      <c r="I48" s="350">
        <f>SUM(J10:J39)</f>
        <v>-164625</v>
      </c>
      <c r="J48" s="352"/>
      <c r="K48" s="350">
        <f>SUM(L9:L39)</f>
        <v>-832518</v>
      </c>
      <c r="L48" s="352"/>
      <c r="M48" s="350"/>
      <c r="N48" s="352"/>
      <c r="O48" s="350">
        <f>SUM(P9:P39)</f>
        <v>-59180.43</v>
      </c>
      <c r="P48" s="351"/>
      <c r="Q48" s="352"/>
      <c r="R48" s="350">
        <f>SUM(S9:S39)</f>
        <v>-4524</v>
      </c>
      <c r="S48" s="351"/>
      <c r="T48" s="357"/>
      <c r="U48" s="358">
        <f>SUM(V9:V39)</f>
        <v>-7385026.3200000003</v>
      </c>
      <c r="V48" s="359"/>
      <c r="W48" s="360"/>
      <c r="X48" s="358">
        <f>SUM(Y9:Y39)</f>
        <v>-14135474.640000001</v>
      </c>
      <c r="Y48" s="359"/>
      <c r="Z48" s="360"/>
      <c r="AA48" s="347">
        <f>SUM(AB9:AB39)</f>
        <v>-13909754.880000001</v>
      </c>
      <c r="AB48" s="348"/>
      <c r="AC48" s="349"/>
      <c r="AD48" s="347">
        <f>SUM(AE9:AE39)</f>
        <v>-16967032.32</v>
      </c>
      <c r="AE48" s="348"/>
      <c r="AF48" s="349"/>
      <c r="AG48" s="347">
        <f>SUM(AH9:AH39)</f>
        <v>-17352212.639999997</v>
      </c>
      <c r="AH48" s="348"/>
      <c r="AI48" s="349"/>
      <c r="AJ48" s="347">
        <f>SUM(AK9:AK39)</f>
        <v>-15947907.359999999</v>
      </c>
      <c r="AK48" s="348"/>
      <c r="AL48" s="349"/>
      <c r="AM48" s="347">
        <f>SUM(AN9:AN39)</f>
        <v>-13518484.559999999</v>
      </c>
      <c r="AN48" s="348"/>
      <c r="AO48" s="349"/>
      <c r="AP48" s="347">
        <f>SUM(AQ9:AQ39)</f>
        <v>-10345399.68</v>
      </c>
      <c r="AQ48" s="348"/>
      <c r="AR48" s="349"/>
      <c r="AS48" s="347">
        <f>SUM(AT9:AT39)</f>
        <v>-10347251.040000001</v>
      </c>
      <c r="AT48" s="348"/>
      <c r="AU48" s="349"/>
      <c r="AV48" s="347">
        <f>SUM(AW9:AW39)</f>
        <v>-16105029.360000001</v>
      </c>
      <c r="AW48" s="348"/>
      <c r="AX48" s="348"/>
      <c r="AY48" s="375"/>
      <c r="AZ48" s="338">
        <f>SUM(BA9:BA40)</f>
        <v>-69009400</v>
      </c>
      <c r="BA48" s="338"/>
      <c r="BB48" s="339"/>
      <c r="BC48" s="338">
        <f t="shared" ref="BC48" si="0">SUM(BD9:BD40)</f>
        <v>-71613900</v>
      </c>
      <c r="BD48" s="338"/>
      <c r="BE48" s="339"/>
      <c r="BF48" s="338">
        <f t="shared" ref="BF48" si="1">SUM(BG9:BG40)</f>
        <v>-66152700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1">
        <f>SUM(BT9:BT39)</f>
        <v>-8170760</v>
      </c>
      <c r="BT48" s="591"/>
      <c r="BU48" s="382"/>
      <c r="BV48" s="595"/>
      <c r="BW48" s="596"/>
      <c r="BX48" s="117"/>
      <c r="BY48" s="335">
        <f>SUM(BZ9:BZ39)</f>
        <v>-58604</v>
      </c>
      <c r="BZ48" s="336"/>
      <c r="CA48" s="335">
        <f>SUM(CB9:CB39)</f>
        <v>-50104</v>
      </c>
      <c r="CB48" s="336"/>
      <c r="CC48" s="335">
        <f>SUM(CD9:CD39)</f>
        <v>-17144</v>
      </c>
      <c r="CD48" s="336"/>
      <c r="CE48" s="335">
        <f>SUM(CF9:CF39)</f>
        <v>-22942</v>
      </c>
      <c r="CF48" s="336"/>
      <c r="CG48" s="335">
        <f>SUM(CH9:CH39)</f>
        <v>-25009</v>
      </c>
      <c r="CH48" s="336"/>
      <c r="CI48" s="335">
        <f>SUM(CJ9:CJ39)</f>
        <v>-55485</v>
      </c>
      <c r="CJ48" s="336"/>
      <c r="CK48" s="335">
        <f>SUM(CL9:CL39)</f>
        <v>-242638</v>
      </c>
      <c r="CL48" s="337"/>
      <c r="CM48" s="336"/>
      <c r="CN48" s="335">
        <f>SUM(CO9:CO39)</f>
        <v>-189745</v>
      </c>
      <c r="CO48" s="337"/>
      <c r="CP48" s="336"/>
      <c r="CQ48" s="335">
        <f>SUM(CR9:CR39)</f>
        <v>-342319</v>
      </c>
      <c r="CR48" s="337"/>
      <c r="CS48" s="336"/>
      <c r="CT48" s="335">
        <f>SUM(CU9:CU39)</f>
        <v>-639149</v>
      </c>
      <c r="CU48" s="337"/>
      <c r="CV48" s="506"/>
    </row>
    <row r="49" spans="1:159" ht="30" customHeight="1" x14ac:dyDescent="0.25">
      <c r="A49" s="597" t="s">
        <v>46</v>
      </c>
      <c r="B49" s="597"/>
      <c r="C49" s="330">
        <f>C47-C48</f>
        <v>82541</v>
      </c>
      <c r="D49" s="331"/>
      <c r="E49" s="346"/>
      <c r="F49" s="330">
        <f>F47-F48</f>
        <v>137702.12</v>
      </c>
      <c r="G49" s="331"/>
      <c r="H49" s="346"/>
      <c r="I49" s="330">
        <f>I47-I48</f>
        <v>171673.9</v>
      </c>
      <c r="J49" s="346"/>
      <c r="K49" s="330">
        <f>K47-K48</f>
        <v>840220.2</v>
      </c>
      <c r="L49" s="346"/>
      <c r="M49" s="330"/>
      <c r="N49" s="346"/>
      <c r="O49" s="361">
        <f>O47-O48</f>
        <v>-83275.690000000031</v>
      </c>
      <c r="P49" s="361"/>
      <c r="Q49" s="361"/>
      <c r="R49" s="330">
        <f>R47-R48</f>
        <v>5000</v>
      </c>
      <c r="S49" s="331"/>
      <c r="T49" s="357"/>
      <c r="U49" s="332">
        <f>U48-U47</f>
        <v>-7457229.3600000003</v>
      </c>
      <c r="V49" s="333"/>
      <c r="W49" s="334"/>
      <c r="X49" s="332">
        <f>X47-X48</f>
        <v>14266872.48</v>
      </c>
      <c r="Y49" s="333"/>
      <c r="Z49" s="334"/>
      <c r="AA49" s="332">
        <f>AA47-AA48</f>
        <v>14008120.560000002</v>
      </c>
      <c r="AB49" s="333"/>
      <c r="AC49" s="334"/>
      <c r="AD49" s="332">
        <f>AD47-AD48</f>
        <v>17046640.799999997</v>
      </c>
      <c r="AE49" s="333"/>
      <c r="AF49" s="334"/>
      <c r="AG49" s="332">
        <f>AG47-AG48</f>
        <v>17479323.119999997</v>
      </c>
      <c r="AH49" s="333"/>
      <c r="AI49" s="334"/>
      <c r="AJ49" s="332">
        <f>AJ47-AJ48</f>
        <v>16094310.959999999</v>
      </c>
      <c r="AK49" s="333"/>
      <c r="AL49" s="334"/>
      <c r="AM49" s="332">
        <f>AM47-AM48</f>
        <v>13642866.719999999</v>
      </c>
      <c r="AN49" s="333"/>
      <c r="AO49" s="334"/>
      <c r="AP49" s="332">
        <f>AP47-AP48</f>
        <v>10463935.439999999</v>
      </c>
      <c r="AQ49" s="333"/>
      <c r="AR49" s="334"/>
      <c r="AS49" s="332">
        <f>AS47-AS48</f>
        <v>10434752.160000002</v>
      </c>
      <c r="AT49" s="333"/>
      <c r="AU49" s="334"/>
      <c r="AV49" s="332">
        <f>AV47-AV48</f>
        <v>16286024.160000002</v>
      </c>
      <c r="AW49" s="333"/>
      <c r="AX49" s="333"/>
      <c r="AY49" s="375"/>
      <c r="AZ49" s="338">
        <f>AZ48-AZ47</f>
        <v>-69356700</v>
      </c>
      <c r="BA49" s="338"/>
      <c r="BB49" s="339"/>
      <c r="BC49" s="338">
        <f t="shared" ref="BC49" si="2">BC48-BC47</f>
        <v>-71975000</v>
      </c>
      <c r="BD49" s="338"/>
      <c r="BE49" s="339"/>
      <c r="BF49" s="338">
        <f t="shared" ref="BF49" si="3">BF48-BF47</f>
        <v>-66711542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0"/>
      <c r="BT49" s="339"/>
      <c r="BU49" s="382"/>
      <c r="BV49" s="341"/>
      <c r="BW49" s="34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3">
        <f>CK47-CK48</f>
        <v>245452.15</v>
      </c>
      <c r="CL49" s="344"/>
      <c r="CM49" s="345"/>
      <c r="CN49" s="343">
        <f>CN47-CN48</f>
        <v>192645.88</v>
      </c>
      <c r="CO49" s="344"/>
      <c r="CP49" s="345"/>
      <c r="CQ49" s="343">
        <f>CQ47-CQ48</f>
        <v>348866.92000000004</v>
      </c>
      <c r="CR49" s="344"/>
      <c r="CS49" s="345"/>
      <c r="CT49" s="598">
        <f>CT47-CT48</f>
        <v>643043</v>
      </c>
      <c r="CU49" s="343"/>
      <c r="CV49" s="506"/>
    </row>
    <row r="50" spans="1:159" ht="31.5" customHeight="1" thickBot="1" x14ac:dyDescent="0.3">
      <c r="A50" s="599" t="s">
        <v>139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600" t="s">
        <v>199</v>
      </c>
      <c r="V50" s="601"/>
      <c r="W50" s="601"/>
      <c r="X50" s="601"/>
      <c r="Y50" s="601"/>
      <c r="Z50" s="602"/>
      <c r="AA50" s="318">
        <f>SUM(U47,X47,AA47,AD47,AG47,AJ47,AM47,AP47,AS47,AV47)</f>
        <v>1166502.9600000018</v>
      </c>
      <c r="AB50" s="319"/>
      <c r="AC50" s="319"/>
      <c r="AD50" s="319"/>
      <c r="AE50" s="319"/>
      <c r="AF50" s="320"/>
      <c r="AG50" s="603" t="s">
        <v>200</v>
      </c>
      <c r="AH50" s="604"/>
      <c r="AI50" s="604"/>
      <c r="AJ50" s="604"/>
      <c r="AK50" s="604"/>
      <c r="AL50" s="605"/>
      <c r="AM50" s="606">
        <f>SUM(U48,X48,AA48,AD48,AG48,AJ48,AM48,AP48,AS48,AV48)</f>
        <v>-136013572.80000001</v>
      </c>
      <c r="AN50" s="607"/>
      <c r="AO50" s="607"/>
      <c r="AP50" s="607"/>
      <c r="AQ50" s="607"/>
      <c r="AR50" s="608"/>
      <c r="AS50" s="325" t="s">
        <v>140</v>
      </c>
      <c r="AT50" s="326"/>
      <c r="AU50" s="327"/>
      <c r="AV50" s="325">
        <f>AA50-AM50</f>
        <v>137180075.76000002</v>
      </c>
      <c r="AW50" s="326"/>
      <c r="AX50" s="326"/>
      <c r="AY50" s="375"/>
      <c r="AZ50" s="609">
        <v>42751</v>
      </c>
      <c r="BA50" s="610"/>
      <c r="BB50" s="611"/>
      <c r="BC50" s="609">
        <v>43116</v>
      </c>
      <c r="BD50" s="610"/>
      <c r="BE50" s="611"/>
      <c r="BF50" s="299" t="s">
        <v>46</v>
      </c>
      <c r="BG50" s="300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1"/>
      <c r="BT50" s="302"/>
      <c r="BU50" s="382"/>
      <c r="BV50" s="341"/>
      <c r="BW50" s="34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1"/>
      <c r="CL50" s="613"/>
      <c r="CM50" s="342"/>
      <c r="CN50" s="341"/>
      <c r="CO50" s="613"/>
      <c r="CP50" s="342"/>
      <c r="CQ50" s="341"/>
      <c r="CR50" s="613"/>
      <c r="CS50" s="342"/>
      <c r="CT50" s="612"/>
      <c r="CU50" s="341"/>
      <c r="CV50" s="507"/>
    </row>
    <row r="51" spans="1:159" ht="27.75" customHeight="1" x14ac:dyDescent="0.3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4"/>
      <c r="U51" s="315" t="s">
        <v>201</v>
      </c>
      <c r="V51" s="316"/>
      <c r="W51" s="316"/>
      <c r="X51" s="316"/>
      <c r="Y51" s="316"/>
      <c r="Z51" s="317"/>
      <c r="AA51" s="318">
        <f>SUM(U44:AX44)</f>
        <v>554628.47999999952</v>
      </c>
      <c r="AB51" s="319"/>
      <c r="AC51" s="319"/>
      <c r="AD51" s="319"/>
      <c r="AE51" s="319"/>
      <c r="AF51" s="320"/>
      <c r="AG51" s="321" t="s">
        <v>202</v>
      </c>
      <c r="AH51" s="322"/>
      <c r="AI51" s="322"/>
      <c r="AJ51" s="322"/>
      <c r="AK51" s="322"/>
      <c r="AL51" s="323"/>
      <c r="AM51" s="324">
        <f>SUM(U45:AX45)</f>
        <v>608902.56000000145</v>
      </c>
      <c r="AN51" s="324"/>
      <c r="AO51" s="324"/>
      <c r="AP51" s="324"/>
      <c r="AQ51" s="324"/>
      <c r="AR51" s="324"/>
      <c r="AS51" s="325" t="s">
        <v>140</v>
      </c>
      <c r="AT51" s="326"/>
      <c r="AU51" s="327"/>
      <c r="AV51" s="325">
        <f>AA51-AM51</f>
        <v>-54274.080000001937</v>
      </c>
      <c r="AW51" s="326"/>
      <c r="AX51" s="327"/>
      <c r="AY51" s="375"/>
      <c r="AZ51" s="299">
        <f>SUM(AZ47,BC47,BF47)</f>
        <v>1267242</v>
      </c>
      <c r="BA51" s="300"/>
      <c r="BB51" s="328"/>
      <c r="BC51" s="299">
        <f>SUM(AZ48:BG48)</f>
        <v>-206776000</v>
      </c>
      <c r="BD51" s="300"/>
      <c r="BE51" s="328"/>
      <c r="BF51" s="299">
        <v>643100</v>
      </c>
      <c r="BG51" s="300"/>
      <c r="BH51" s="30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1"/>
      <c r="BT51" s="302"/>
      <c r="BU51" s="38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3"/>
      <c r="B52" s="303"/>
      <c r="C52" s="303"/>
      <c r="D52" s="304"/>
      <c r="E52" s="304"/>
      <c r="F52" s="304"/>
      <c r="G52" s="305"/>
      <c r="H52" s="305"/>
      <c r="I52" s="305"/>
      <c r="J52" s="305"/>
      <c r="K52" s="123"/>
      <c r="L52" s="304"/>
      <c r="M52" s="304"/>
      <c r="N52" s="304"/>
      <c r="O52" s="304"/>
      <c r="P52" s="36"/>
      <c r="Q52" s="36"/>
      <c r="R52" s="124"/>
      <c r="S52" s="37"/>
      <c r="T52" s="38"/>
      <c r="U52" s="306"/>
      <c r="V52" s="306"/>
      <c r="W52" s="39"/>
      <c r="X52" s="307"/>
      <c r="Y52" s="307"/>
      <c r="Z52" s="7"/>
      <c r="AA52" s="125"/>
      <c r="AY52" s="375"/>
    </row>
    <row r="53" spans="1:159" ht="25.5" customHeight="1" x14ac:dyDescent="0.25">
      <c r="A53" s="308">
        <v>487.2</v>
      </c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  <c r="AC53" s="308"/>
      <c r="AD53" s="308"/>
      <c r="AE53" s="308"/>
      <c r="AF53" s="308"/>
      <c r="AG53" s="308"/>
      <c r="AH53" s="308"/>
      <c r="AI53" s="308"/>
      <c r="AJ53" s="308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</row>
    <row r="54" spans="1:159" s="1" customFormat="1" ht="12.75" customHeight="1" x14ac:dyDescent="0.4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40"/>
      <c r="R54" s="40"/>
      <c r="S54" s="167"/>
      <c r="T54" s="38"/>
      <c r="U54" s="312"/>
      <c r="V54" s="312"/>
      <c r="W54" s="312"/>
      <c r="X54" s="312"/>
      <c r="Y54" s="3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3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1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2"/>
      <c r="K56" s="292"/>
      <c r="L56" s="292"/>
      <c r="M56" s="292"/>
      <c r="N56" s="291"/>
      <c r="O56" s="291"/>
      <c r="P56" s="291"/>
      <c r="Q56" s="291"/>
      <c r="R56" s="291"/>
      <c r="S56" s="291"/>
      <c r="T56" s="291"/>
      <c r="U56" s="291"/>
      <c r="V56" s="309">
        <v>487.2</v>
      </c>
      <c r="W56" s="309"/>
      <c r="X56" s="313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311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310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88"/>
      <c r="D58" s="156"/>
      <c r="E58" s="289"/>
      <c r="F58" s="45"/>
      <c r="G58" s="289"/>
      <c r="H58" s="127"/>
      <c r="I58" s="288"/>
      <c r="J58" s="160"/>
      <c r="K58" s="288"/>
      <c r="L58" s="163"/>
      <c r="M58" s="288"/>
      <c r="N58" s="160"/>
      <c r="O58" s="288"/>
      <c r="P58" s="160"/>
      <c r="Q58" s="289"/>
      <c r="R58" s="128"/>
      <c r="S58" s="141"/>
      <c r="T58" s="47"/>
      <c r="U58" s="128"/>
      <c r="V58" s="48"/>
      <c r="W58" s="289"/>
      <c r="X58" s="313"/>
      <c r="Y58" s="61"/>
      <c r="Z58" s="289"/>
      <c r="AA58" s="49"/>
      <c r="AB58" s="293"/>
      <c r="AC58" s="45"/>
      <c r="AD58" s="288"/>
      <c r="AE58" s="141"/>
      <c r="AF58" s="289"/>
      <c r="AG58" s="45"/>
      <c r="AH58" s="289"/>
      <c r="AI58" s="45"/>
      <c r="AJ58" s="288"/>
      <c r="AK58" s="311"/>
      <c r="AL58" s="51"/>
      <c r="AM58" s="288"/>
      <c r="AN58" s="170"/>
      <c r="AO58" s="289"/>
      <c r="AP58" s="52"/>
      <c r="AQ58" s="289"/>
      <c r="AR58" s="49"/>
      <c r="AS58" s="288"/>
      <c r="AT58" s="61"/>
      <c r="AU58" s="289"/>
      <c r="AV58" s="53"/>
      <c r="AW58" s="294"/>
      <c r="AX58" s="310"/>
      <c r="AY58" s="54"/>
      <c r="AZ58" s="288"/>
      <c r="BA58" s="177"/>
      <c r="BB58" s="289"/>
      <c r="BC58" s="55"/>
      <c r="BD58" s="296"/>
      <c r="BE58" s="55"/>
      <c r="BF58" s="288"/>
      <c r="BG58" s="177"/>
      <c r="BH58" s="289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88"/>
      <c r="D59" s="157"/>
      <c r="E59" s="289"/>
      <c r="F59" s="57"/>
      <c r="G59" s="289"/>
      <c r="H59" s="129"/>
      <c r="I59" s="288"/>
      <c r="J59" s="144"/>
      <c r="K59" s="288"/>
      <c r="L59" s="144"/>
      <c r="M59" s="288"/>
      <c r="N59" s="165"/>
      <c r="O59" s="288"/>
      <c r="P59" s="160"/>
      <c r="Q59" s="289"/>
      <c r="R59" s="128"/>
      <c r="S59" s="141"/>
      <c r="T59" s="47"/>
      <c r="U59" s="128"/>
      <c r="V59" s="48"/>
      <c r="W59" s="289"/>
      <c r="X59" s="313"/>
      <c r="Y59" s="144"/>
      <c r="Z59" s="289"/>
      <c r="AA59" s="49"/>
      <c r="AB59" s="293"/>
      <c r="AC59" s="57"/>
      <c r="AD59" s="288"/>
      <c r="AE59" s="141"/>
      <c r="AF59" s="289"/>
      <c r="AG59" s="57"/>
      <c r="AH59" s="289"/>
      <c r="AI59" s="57"/>
      <c r="AJ59" s="288"/>
      <c r="AK59" s="311"/>
      <c r="AL59" s="51"/>
      <c r="AM59" s="288"/>
      <c r="AN59" s="171"/>
      <c r="AO59" s="289"/>
      <c r="AP59" s="52"/>
      <c r="AQ59" s="289"/>
      <c r="AR59" s="58"/>
      <c r="AS59" s="288"/>
      <c r="AT59" s="171"/>
      <c r="AU59" s="289"/>
      <c r="AV59" s="59"/>
      <c r="AW59" s="293"/>
      <c r="AX59" s="310"/>
      <c r="AY59" s="60"/>
      <c r="AZ59" s="288"/>
      <c r="BA59" s="177"/>
      <c r="BB59" s="289"/>
      <c r="BC59" s="55"/>
      <c r="BD59" s="296"/>
      <c r="BE59" s="55"/>
      <c r="BF59" s="288"/>
      <c r="BG59" s="177"/>
      <c r="BH59" s="289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3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8"/>
      <c r="AQ94" s="298"/>
      <c r="AR94" s="298"/>
      <c r="AS94" s="298"/>
      <c r="AT94" s="298"/>
      <c r="AU94" s="298"/>
      <c r="AV94" s="298"/>
      <c r="AW94" s="298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2022-03-21T06:19:17Z</dcterms:modified>
</cp:coreProperties>
</file>