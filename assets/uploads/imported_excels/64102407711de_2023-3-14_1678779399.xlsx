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0\"/>
    </mc:Choice>
  </mc:AlternateContent>
  <xr:revisionPtr revIDLastSave="0" documentId="13_ncr:1_{ADC3F5FB-E4A1-468F-B692-CDA667232A61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4" l="1"/>
  <c r="E2" i="4"/>
  <c r="F2" i="4"/>
  <c r="G2" i="4"/>
  <c r="J2" i="4"/>
  <c r="K2" i="4"/>
  <c r="L2" i="4"/>
  <c r="N2" i="4"/>
  <c r="O2" i="4"/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L3" i="4"/>
  <c r="N3" i="4" s="1"/>
  <c r="L4" i="4"/>
  <c r="N4" i="4" s="1"/>
  <c r="L5" i="4"/>
  <c r="N5" i="4" s="1"/>
  <c r="L6" i="4"/>
  <c r="L7" i="4"/>
  <c r="L8" i="4"/>
  <c r="L9" i="4"/>
  <c r="N9" i="4" s="1"/>
  <c r="L10" i="4"/>
  <c r="N10" i="4" s="1"/>
  <c r="L11" i="4"/>
  <c r="N11" i="4" s="1"/>
  <c r="L12" i="4"/>
  <c r="L13" i="4"/>
  <c r="L14" i="4"/>
  <c r="L15" i="4"/>
  <c r="N15" i="4" s="1"/>
  <c r="L16" i="4"/>
  <c r="N16" i="4" s="1"/>
  <c r="L17" i="4"/>
  <c r="N17" i="4" s="1"/>
  <c r="L18" i="4"/>
  <c r="L19" i="4"/>
  <c r="L20" i="4"/>
  <c r="L21" i="4"/>
  <c r="N21" i="4" s="1"/>
  <c r="L22" i="4"/>
  <c r="N22" i="4" s="1"/>
  <c r="L23" i="4"/>
  <c r="N23" i="4" s="1"/>
  <c r="L24" i="4"/>
  <c r="L25" i="4"/>
  <c r="L26" i="4"/>
  <c r="L27" i="4"/>
  <c r="N27" i="4" s="1"/>
  <c r="L28" i="4"/>
  <c r="N28" i="4" s="1"/>
  <c r="L29" i="4"/>
  <c r="N29" i="4" s="1"/>
  <c r="L30" i="4"/>
  <c r="L31" i="4"/>
  <c r="L32" i="4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N6" i="4"/>
  <c r="N7" i="4"/>
  <c r="N8" i="4"/>
  <c r="N12" i="4"/>
  <c r="N13" i="4"/>
  <c r="N14" i="4"/>
  <c r="N18" i="4"/>
  <c r="N19" i="4"/>
  <c r="N20" i="4"/>
  <c r="N24" i="4"/>
  <c r="N25" i="4"/>
  <c r="N26" i="4"/>
  <c r="N30" i="4"/>
  <c r="N31" i="4"/>
  <c r="N32" i="4"/>
  <c r="C8" i="1" l="1"/>
  <c r="C9" i="1"/>
  <c r="C10" i="1"/>
  <c r="C11" i="1"/>
  <c r="C12" i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7" i="1"/>
  <c r="F36" i="2" l="1"/>
  <c r="E36" i="2"/>
  <c r="D6" i="2" l="1"/>
  <c r="D3" i="4" s="1"/>
  <c r="D7" i="2" l="1"/>
  <c r="D4" i="4" s="1"/>
  <c r="D8" i="2"/>
  <c r="G31" i="4"/>
  <c r="G32" i="4"/>
  <c r="F31" i="4"/>
  <c r="F32" i="4"/>
  <c r="D9" i="2" l="1"/>
  <c r="D5" i="4"/>
  <c r="G35" i="1"/>
  <c r="E31" i="4" s="1"/>
  <c r="H35" i="1"/>
  <c r="I35" i="1"/>
  <c r="G36" i="1"/>
  <c r="E32" i="4" s="1"/>
  <c r="H36" i="1"/>
  <c r="I36" i="1"/>
  <c r="G35" i="2"/>
  <c r="D10" i="2" l="1"/>
  <c r="D6" i="4"/>
  <c r="J36" i="1"/>
  <c r="K36" i="1" s="1"/>
  <c r="L36" i="1" s="1"/>
  <c r="J32" i="4" s="1"/>
  <c r="J35" i="1"/>
  <c r="K35" i="1" s="1"/>
  <c r="L35" i="1" s="1"/>
  <c r="J31" i="4" s="1"/>
  <c r="D11" i="2" l="1"/>
  <c r="D7" i="4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6" i="2" l="1"/>
  <c r="D12" i="2"/>
  <c r="D8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E37" i="1"/>
  <c r="F37" i="1"/>
  <c r="I6" i="1"/>
  <c r="H6" i="1"/>
  <c r="G34" i="1"/>
  <c r="E30" i="4" s="1"/>
  <c r="H34" i="1"/>
  <c r="I34" i="1"/>
  <c r="D13" i="2" l="1"/>
  <c r="D9" i="4"/>
  <c r="J34" i="1"/>
  <c r="K34" i="1" s="1"/>
  <c r="L34" i="1"/>
  <c r="J30" i="4" s="1"/>
  <c r="D14" i="2" l="1"/>
  <c r="D10" i="4"/>
  <c r="C37" i="1"/>
  <c r="G6" i="1"/>
  <c r="D15" i="2" l="1"/>
  <c r="D11" i="4"/>
  <c r="G40" i="2"/>
  <c r="G46" i="2" s="1"/>
  <c r="D16" i="2" l="1"/>
  <c r="D12" i="4"/>
  <c r="H31" i="1"/>
  <c r="I31" i="1"/>
  <c r="H32" i="1"/>
  <c r="I32" i="1"/>
  <c r="H33" i="1"/>
  <c r="I33" i="1"/>
  <c r="G31" i="1"/>
  <c r="E27" i="4" s="1"/>
  <c r="G32" i="1"/>
  <c r="E28" i="4" s="1"/>
  <c r="G33" i="1"/>
  <c r="E29" i="4" s="1"/>
  <c r="D17" i="2" l="1"/>
  <c r="D13" i="4"/>
  <c r="J32" i="1"/>
  <c r="K32" i="1" s="1"/>
  <c r="J33" i="1"/>
  <c r="K33" i="1" s="1"/>
  <c r="J31" i="1"/>
  <c r="K31" i="1" s="1"/>
  <c r="D18" i="2" l="1"/>
  <c r="D14" i="4"/>
  <c r="L31" i="1"/>
  <c r="J27" i="4" s="1"/>
  <c r="L32" i="1"/>
  <c r="J28" i="4" s="1"/>
  <c r="L33" i="1"/>
  <c r="J29" i="4" s="1"/>
  <c r="D19" i="2" l="1"/>
  <c r="D15" i="4"/>
  <c r="G27" i="1"/>
  <c r="E23" i="4" s="1"/>
  <c r="G28" i="1"/>
  <c r="E24" i="4" s="1"/>
  <c r="G29" i="1"/>
  <c r="E25" i="4" s="1"/>
  <c r="G30" i="1"/>
  <c r="E26" i="4" s="1"/>
  <c r="D20" i="2" l="1"/>
  <c r="D16" i="4"/>
  <c r="H9" i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D21" i="2" l="1"/>
  <c r="D17" i="4"/>
  <c r="H37" i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D22" i="2" l="1"/>
  <c r="D18" i="4"/>
  <c r="I37" i="1"/>
  <c r="E3" i="4"/>
  <c r="G37" i="1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D23" i="2" l="1"/>
  <c r="D19" i="4"/>
  <c r="K6" i="1"/>
  <c r="K37" i="1" s="1"/>
  <c r="J37" i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D24" i="2" l="1"/>
  <c r="D20" i="4"/>
  <c r="L6" i="1"/>
  <c r="D25" i="2" l="1"/>
  <c r="D21" i="4"/>
  <c r="L37" i="1"/>
  <c r="D26" i="2" l="1"/>
  <c r="D22" i="4"/>
  <c r="D27" i="2" l="1"/>
  <c r="D23" i="4"/>
  <c r="D28" i="2" l="1"/>
  <c r="D24" i="4"/>
  <c r="D29" i="2" l="1"/>
  <c r="D25" i="4"/>
  <c r="D30" i="2" l="1"/>
  <c r="D26" i="4"/>
  <c r="D31" i="2" l="1"/>
  <c r="D27" i="4"/>
  <c r="D32" i="2" l="1"/>
  <c r="D28" i="4"/>
  <c r="D33" i="2" l="1"/>
  <c r="D29" i="4"/>
  <c r="D34" i="2" l="1"/>
  <c r="D30" i="4"/>
  <c r="D35" i="2" l="1"/>
  <c r="D32" i="4" s="1"/>
  <c r="D31" i="4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<sst xmlns="http://schemas.openxmlformats.org/spreadsheetml/2006/main" count="117" uniqueCount="45">
  <si>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</si>
  <si>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</si>
  <si>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</si>
  <si>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</si>
  <si>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</si>
  <si>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</si>
  <si>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</si>
  <si>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</si>
  <si>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</si>
  <si>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</si>
  <si>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</si>
  <si>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</si>
  <si>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</si>
  <si>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</si>
  <si>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</si>
  <si>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</si>
  <si>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</si>
  <si>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</si>
  <si>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</si>
  <si>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</si>
  <si>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</si>
  <si>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</si>
  <si>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</si>
  <si>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</si>
  <si>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</si>
  <si>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</si>
  <si>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</si>
  <si>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</si>
  <si>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</si>
  <si>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</si>
  <si>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</si>
  <si>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</si>
  <si>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</si>
  <si>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</si>
  <si>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</si>
  <si>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</si>
  <si>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</si>
  <si>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Electricity Distribution 2020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</si>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</sst>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1" fontId="1" fillId="0" borderId="4" xfId="1" applyNumberFormat="1" applyFont="1" applyBorder="1" applyAlignment="1">
      <alignment horizontal="center"/>
    </xf>
    <xf numFmtId="1" fontId="1" fillId="2" borderId="4" xfId="1" applyNumberFormat="1" applyFont="1" applyFill="1" applyBorder="1" applyAlignment="1">
      <alignment horizont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164" fontId="1" fillId="0" borderId="5" xfId="1" applyFont="1" applyBorder="1" applyAlignment="1">
      <alignment vertic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zoomScale="85" zoomScaleNormal="85" workbookViewId="0">
      <selection activeCell="A2" sqref="A2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10" t="s">
        <v>24</v>
      </c>
      <c r="B1" s="111" t="s">
        <v>23</v>
      </c>
      <c r="C1" s="111" t="s">
        <v>22</v>
      </c>
      <c r="D1" s="112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36</v>
      </c>
      <c r="O1" s="138" t="s">
        <v>43</v>
      </c>
    </row>
    <row r="2" spans="1:15" x14ac:dyDescent="0.25">
      <c r="A2" s="48" t="s">
        <v>44</v>
      </c>
      <c r="B2" s="45">
        <v>1</v>
      </c>
      <c r="C2" s="45">
        <v>5</v>
      </c>
      <c r="D2" s="45">
        <f>Water!D5</f>
        <v>2020</v>
      </c>
      <c r="E2" s="43">
        <f>Electricity!G6</f>
        <v>10640.000000001237</v>
      </c>
      <c r="F2" s="43">
        <f>Electricity!E6</f>
        <v>1399.9999999996362</v>
      </c>
      <c r="G2" s="43">
        <f>Electricity!F6</f>
        <v>9240.0000000016007</v>
      </c>
      <c r="H2" s="47">
        <v>1553.67</v>
      </c>
      <c r="I2" s="57" t="s">
        <v>28</v>
      </c>
      <c r="J2" s="106">
        <f>Electricity!L6</f>
        <v>12027643.084801117</v>
      </c>
      <c r="K2" s="43">
        <f>J2/E2</f>
        <v>1130.4175831578682</v>
      </c>
      <c r="L2" s="58">
        <f>Water!G5</f>
        <v>313</v>
      </c>
      <c r="M2" s="58">
        <v>12550</v>
      </c>
      <c r="N2" s="106">
        <f>TOTAL!L2*TOTAL!M2</f>
        <v>3928150</v>
      </c>
      <c r="O2" s="43">
        <f>Electricity!C6</f>
        <v>170</v>
      </c>
    </row>
    <row r="3" spans="1:15" x14ac:dyDescent="0.25">
      <c r="A3" s="48" t="s">
        <v>44</v>
      </c>
      <c r="B3" s="45">
        <v>2</v>
      </c>
      <c r="C3" s="45">
        <v>5</v>
      </c>
      <c r="D3" s="45">
        <f>Water!D6</f>
        <v>2020</v>
      </c>
      <c r="E3" s="43">
        <f>Electricity!G7</f>
        <v>27519.999999999527</v>
      </c>
      <c r="F3" s="43">
        <f>Electricity!E7</f>
        <v>5359.9999999996726</v>
      </c>
      <c r="G3" s="43">
        <f>Electricity!F7</f>
        <v>22159.999999999854</v>
      </c>
      <c r="H3" s="47">
        <v>1553.67</v>
      </c>
      <c r="I3" s="57" t="s">
        <v>28</v>
      </c>
      <c r="J3" s="106">
        <f>Electricity!L7</f>
        <v>32031289.343999323</v>
      </c>
      <c r="K3" s="43">
        <f t="shared" ref="K3:K32" si="0">J3/E3</f>
        <v>1163.9276651162745</v>
      </c>
      <c r="L3" s="58">
        <f>Water!G6</f>
        <v>277</v>
      </c>
      <c r="M3" s="58">
        <v>12550</v>
      </c>
      <c r="N3" s="106">
        <f>TOTAL!L3*TOTAL!M3</f>
        <v>3476350</v>
      </c>
      <c r="O3" s="43">
        <f>O2</f>
        <v>170</v>
      </c>
    </row>
    <row r="4" spans="1:15" x14ac:dyDescent="0.25">
      <c r="A4" s="48" t="s">
        <v>44</v>
      </c>
      <c r="B4" s="45">
        <v>3</v>
      </c>
      <c r="C4" s="45">
        <v>5</v>
      </c>
      <c r="D4" s="45">
        <f>Water!D7</f>
        <v>2020</v>
      </c>
      <c r="E4" s="43">
        <f>Electricity!G8</f>
        <v>27119.999999998981</v>
      </c>
      <c r="F4" s="43">
        <f>Electricity!E8</f>
        <v>5200.0000000007276</v>
      </c>
      <c r="G4" s="43">
        <f>Electricity!F8</f>
        <v>21919.999999998254</v>
      </c>
      <c r="H4" s="47">
        <v>1553.67</v>
      </c>
      <c r="I4" s="57" t="s">
        <v>28</v>
      </c>
      <c r="J4" s="106">
        <f>Electricity!L8</f>
        <v>31522182.758399308</v>
      </c>
      <c r="K4" s="43">
        <f t="shared" si="0"/>
        <v>1162.3223730973632</v>
      </c>
      <c r="L4" s="58">
        <f>Water!G7</f>
        <v>277</v>
      </c>
      <c r="M4" s="58">
        <v>12550</v>
      </c>
      <c r="N4" s="106">
        <f>TOTAL!L4*TOTAL!M4</f>
        <v>3476350</v>
      </c>
      <c r="O4" s="43">
        <f t="shared" ref="N4:O32" si="1">O3</f>
        <v>170</v>
      </c>
    </row>
    <row r="5" spans="1:15" x14ac:dyDescent="0.25">
      <c r="A5" s="48" t="s">
        <v>44</v>
      </c>
      <c r="B5" s="45">
        <v>4</v>
      </c>
      <c r="C5" s="45">
        <v>5</v>
      </c>
      <c r="D5" s="45">
        <f>Water!D8</f>
        <v>2020</v>
      </c>
      <c r="E5" s="43">
        <f>Electricity!G9</f>
        <v>27399.999999998727</v>
      </c>
      <c r="F5" s="43">
        <f>Electricity!E9</f>
        <v>5439.9999999995998</v>
      </c>
      <c r="G5" s="43">
        <f>Electricity!F9</f>
        <v>21959.999999999127</v>
      </c>
      <c r="H5" s="47">
        <v>1553.67</v>
      </c>
      <c r="I5" s="57" t="s">
        <v>28</v>
      </c>
      <c r="J5" s="106">
        <f>Electricity!L9</f>
        <v>31946438.246398438</v>
      </c>
      <c r="K5" s="43">
        <f t="shared" si="0"/>
        <v>1165.9284031532818</v>
      </c>
      <c r="L5" s="58">
        <f>Water!G8</f>
        <v>280</v>
      </c>
      <c r="M5" s="58">
        <v>12550</v>
      </c>
      <c r="N5" s="106">
        <f>TOTAL!L5*TOTAL!M5</f>
        <v>3514000</v>
      </c>
      <c r="O5" s="43">
        <f t="shared" si="1"/>
        <v>170</v>
      </c>
    </row>
    <row r="6" spans="1:15" x14ac:dyDescent="0.25">
      <c r="A6" s="48" t="s">
        <v>44</v>
      </c>
      <c r="B6" s="45">
        <v>5</v>
      </c>
      <c r="C6" s="45">
        <v>5</v>
      </c>
      <c r="D6" s="45">
        <f>Water!D9</f>
        <v>2020</v>
      </c>
      <c r="E6" s="43">
        <f>Electricity!G10</f>
        <v>25520.000000003165</v>
      </c>
      <c r="F6" s="43">
        <f>Electricity!E10</f>
        <v>2720.0000000002547</v>
      </c>
      <c r="G6" s="43">
        <f>Electricity!F10</f>
        <v>22800.00000000291</v>
      </c>
      <c r="H6" s="47">
        <v>1553.67</v>
      </c>
      <c r="I6" s="57" t="s">
        <v>28</v>
      </c>
      <c r="J6" s="106">
        <f>Electricity!L10</f>
        <v>28509968.793603491</v>
      </c>
      <c r="K6" s="43">
        <f t="shared" si="0"/>
        <v>1117.1617865830704</v>
      </c>
      <c r="L6" s="58">
        <f>Water!G9</f>
        <v>338</v>
      </c>
      <c r="M6" s="58">
        <v>12550</v>
      </c>
      <c r="N6" s="106">
        <f>TOTAL!L6*TOTAL!M6</f>
        <v>4241900</v>
      </c>
      <c r="O6" s="43">
        <f t="shared" si="1"/>
        <v>170</v>
      </c>
    </row>
    <row r="7" spans="1:15" x14ac:dyDescent="0.25">
      <c r="A7" s="48" t="s">
        <v>44</v>
      </c>
      <c r="B7" s="45">
        <v>6</v>
      </c>
      <c r="C7" s="45">
        <v>5</v>
      </c>
      <c r="D7" s="45">
        <f>Water!D10</f>
        <v>2020</v>
      </c>
      <c r="E7" s="43">
        <f>Electricity!G11</f>
        <v>30199.999999998909</v>
      </c>
      <c r="F7" s="43">
        <f>Electricity!E11</f>
        <v>8079.9999999999272</v>
      </c>
      <c r="G7" s="43">
        <f>Electricity!F11</f>
        <v>22119.999999998981</v>
      </c>
      <c r="H7" s="47">
        <v>1553.67</v>
      </c>
      <c r="I7" s="57" t="s">
        <v>28</v>
      </c>
      <c r="J7" s="106">
        <f>Electricity!L11</f>
        <v>36316269.772798799</v>
      </c>
      <c r="K7" s="43">
        <f t="shared" si="0"/>
        <v>1202.5254891655666</v>
      </c>
      <c r="L7" s="58">
        <f>Water!G10</f>
        <v>465</v>
      </c>
      <c r="M7" s="58">
        <v>12550</v>
      </c>
      <c r="N7" s="106">
        <f>TOTAL!L7*TOTAL!M7</f>
        <v>5835750</v>
      </c>
      <c r="O7" s="43">
        <f t="shared" si="1"/>
        <v>170</v>
      </c>
    </row>
    <row r="8" spans="1:15" x14ac:dyDescent="0.25">
      <c r="A8" s="48" t="s">
        <v>44</v>
      </c>
      <c r="B8" s="45">
        <v>7</v>
      </c>
      <c r="C8" s="45">
        <v>5</v>
      </c>
      <c r="D8" s="45">
        <f>Water!D11</f>
        <v>2020</v>
      </c>
      <c r="E8" s="43">
        <f>Electricity!G12</f>
        <v>28079.999999999927</v>
      </c>
      <c r="F8" s="43">
        <f>Electricity!E12</f>
        <v>5239.9999999997817</v>
      </c>
      <c r="G8" s="43">
        <f>Electricity!F12</f>
        <v>22840.000000000146</v>
      </c>
      <c r="H8" s="47">
        <v>1553.67</v>
      </c>
      <c r="I8" s="57" t="s">
        <v>28</v>
      </c>
      <c r="J8" s="106">
        <f>Electricity!L12</f>
        <v>32561608.703999806</v>
      </c>
      <c r="K8" s="43">
        <f t="shared" si="0"/>
        <v>1159.6014495726456</v>
      </c>
      <c r="L8" s="58">
        <f>Water!G11</f>
        <v>308</v>
      </c>
      <c r="M8" s="58">
        <v>12550</v>
      </c>
      <c r="N8" s="106">
        <f>TOTAL!L8*TOTAL!M8</f>
        <v>3865400</v>
      </c>
      <c r="O8" s="43">
        <f t="shared" si="1"/>
        <v>170</v>
      </c>
    </row>
    <row r="9" spans="1:15" x14ac:dyDescent="0.25">
      <c r="A9" s="48" t="s">
        <v>44</v>
      </c>
      <c r="B9" s="45">
        <v>8</v>
      </c>
      <c r="C9" s="45">
        <v>5</v>
      </c>
      <c r="D9" s="45">
        <f>Water!D12</f>
        <v>2020</v>
      </c>
      <c r="E9" s="43">
        <f>Electricity!G13</f>
        <v>29320.000000000618</v>
      </c>
      <c r="F9" s="43">
        <f>Electricity!E13</f>
        <v>5119.9999999998909</v>
      </c>
      <c r="G9" s="43">
        <f>Electricity!F13</f>
        <v>24200.000000000728</v>
      </c>
      <c r="H9" s="47">
        <v>1553.67</v>
      </c>
      <c r="I9" s="57" t="s">
        <v>28</v>
      </c>
      <c r="J9" s="106">
        <f>Electricity!L13</f>
        <v>33813162.393600598</v>
      </c>
      <c r="K9" s="43">
        <f t="shared" si="0"/>
        <v>1153.2456478035431</v>
      </c>
      <c r="L9" s="58">
        <f>Water!G12</f>
        <v>285</v>
      </c>
      <c r="M9" s="58">
        <v>12550</v>
      </c>
      <c r="N9" s="106">
        <f>TOTAL!L9*TOTAL!M9</f>
        <v>3576750</v>
      </c>
      <c r="O9" s="43">
        <f t="shared" si="1"/>
        <v>170</v>
      </c>
    </row>
    <row r="10" spans="1:15" x14ac:dyDescent="0.25">
      <c r="A10" s="48" t="s">
        <v>44</v>
      </c>
      <c r="B10" s="45">
        <v>9</v>
      </c>
      <c r="C10" s="45">
        <v>5</v>
      </c>
      <c r="D10" s="45">
        <f>Water!D13</f>
        <v>2020</v>
      </c>
      <c r="E10" s="43">
        <f>Electricity!G14</f>
        <v>28639.999999999418</v>
      </c>
      <c r="F10" s="43">
        <f>Electricity!E14</f>
        <v>6159.9999999998545</v>
      </c>
      <c r="G10" s="43">
        <f>Electricity!F14</f>
        <v>22479.999999999563</v>
      </c>
      <c r="H10" s="47">
        <v>1553.67</v>
      </c>
      <c r="I10" s="57" t="s">
        <v>28</v>
      </c>
      <c r="J10" s="106">
        <f>Electricity!L14</f>
        <v>33643460.198399305</v>
      </c>
      <c r="K10" s="43">
        <f t="shared" si="0"/>
        <v>1174.7018225698321</v>
      </c>
      <c r="L10" s="58">
        <f>Water!G13</f>
        <v>281</v>
      </c>
      <c r="M10" s="58">
        <v>12550</v>
      </c>
      <c r="N10" s="106">
        <f>TOTAL!L10*TOTAL!M10</f>
        <v>3526550</v>
      </c>
      <c r="O10" s="43">
        <f t="shared" si="1"/>
        <v>170</v>
      </c>
    </row>
    <row r="11" spans="1:15" x14ac:dyDescent="0.25">
      <c r="A11" s="48" t="s">
        <v>44</v>
      </c>
      <c r="B11" s="45">
        <v>10</v>
      </c>
      <c r="C11" s="45">
        <v>5</v>
      </c>
      <c r="D11" s="45">
        <f>Water!D14</f>
        <v>2020</v>
      </c>
      <c r="E11" s="43">
        <f>Electricity!G15</f>
        <v>26760.000000000218</v>
      </c>
      <c r="F11" s="43">
        <f>Electricity!E15</f>
        <v>5120.0000000008004</v>
      </c>
      <c r="G11" s="43">
        <f>Electricity!F15</f>
        <v>21639.999999999418</v>
      </c>
      <c r="H11" s="47">
        <v>1553.67</v>
      </c>
      <c r="I11" s="57" t="s">
        <v>28</v>
      </c>
      <c r="J11" s="106">
        <f>Electricity!L15</f>
        <v>31097927.270400655</v>
      </c>
      <c r="K11" s="43">
        <f t="shared" si="0"/>
        <v>1162.1049054708669</v>
      </c>
      <c r="L11" s="58">
        <f>Water!G14</f>
        <v>278</v>
      </c>
      <c r="M11" s="58">
        <v>12550</v>
      </c>
      <c r="N11" s="106">
        <f>TOTAL!L11*TOTAL!M11</f>
        <v>3488900</v>
      </c>
      <c r="O11" s="43">
        <f t="shared" si="1"/>
        <v>170</v>
      </c>
    </row>
    <row r="12" spans="1:15" x14ac:dyDescent="0.25">
      <c r="A12" s="48" t="s">
        <v>44</v>
      </c>
      <c r="B12" s="45">
        <v>11</v>
      </c>
      <c r="C12" s="45">
        <v>5</v>
      </c>
      <c r="D12" s="45">
        <f>Water!D15</f>
        <v>2020</v>
      </c>
      <c r="E12" s="43">
        <f>Electricity!G16</f>
        <v>27519.999999998618</v>
      </c>
      <c r="F12" s="43">
        <f>Electricity!E16</f>
        <v>5239.9999999997817</v>
      </c>
      <c r="G12" s="43">
        <f>Electricity!F16</f>
        <v>22279.999999998836</v>
      </c>
      <c r="H12" s="47">
        <v>1553.67</v>
      </c>
      <c r="I12" s="57" t="s">
        <v>28</v>
      </c>
      <c r="J12" s="106">
        <f>Electricity!L16</f>
        <v>31967651.020798419</v>
      </c>
      <c r="K12" s="43">
        <f t="shared" si="0"/>
        <v>1161.6152260465126</v>
      </c>
      <c r="L12" s="58">
        <f>Water!G15</f>
        <v>273</v>
      </c>
      <c r="M12" s="58">
        <v>12550</v>
      </c>
      <c r="N12" s="106">
        <f>TOTAL!L12*TOTAL!M12</f>
        <v>3426150</v>
      </c>
      <c r="O12" s="43">
        <f t="shared" si="1"/>
        <v>170</v>
      </c>
    </row>
    <row r="13" spans="1:15" x14ac:dyDescent="0.25">
      <c r="A13" s="48" t="s">
        <v>44</v>
      </c>
      <c r="B13" s="45">
        <v>12</v>
      </c>
      <c r="C13" s="45">
        <v>5</v>
      </c>
      <c r="D13" s="45">
        <f>Water!D16</f>
        <v>2020</v>
      </c>
      <c r="E13" s="43">
        <f>Electricity!G17</f>
        <v>28119.999999999891</v>
      </c>
      <c r="F13" s="43">
        <f>Electricity!E17</f>
        <v>5439.9999999995998</v>
      </c>
      <c r="G13" s="43">
        <f>Electricity!F17</f>
        <v>22680.000000000291</v>
      </c>
      <c r="H13" s="47">
        <v>1553.67</v>
      </c>
      <c r="I13" s="57" t="s">
        <v>28</v>
      </c>
      <c r="J13" s="106">
        <f>Electricity!L17</f>
        <v>32710098.124799673</v>
      </c>
      <c r="K13" s="43">
        <f t="shared" si="0"/>
        <v>1163.232507994303</v>
      </c>
      <c r="L13" s="58">
        <f>Water!G16</f>
        <v>305</v>
      </c>
      <c r="M13" s="58">
        <v>12550</v>
      </c>
      <c r="N13" s="106">
        <f>TOTAL!L13*TOTAL!M13</f>
        <v>3827750</v>
      </c>
      <c r="O13" s="43">
        <f t="shared" si="1"/>
        <v>170</v>
      </c>
    </row>
    <row r="14" spans="1:15" x14ac:dyDescent="0.25">
      <c r="A14" s="48" t="s">
        <v>44</v>
      </c>
      <c r="B14" s="45">
        <v>13</v>
      </c>
      <c r="C14" s="45">
        <v>5</v>
      </c>
      <c r="D14" s="45">
        <f>Water!D17</f>
        <v>2020</v>
      </c>
      <c r="E14" s="43">
        <f>Electricity!G18</f>
        <v>29200.000000002547</v>
      </c>
      <c r="F14" s="43">
        <f>Electricity!E18</f>
        <v>5600.0000000003638</v>
      </c>
      <c r="G14" s="43">
        <f>Electricity!F18</f>
        <v>23600.000000002183</v>
      </c>
      <c r="H14" s="47">
        <v>1553.67</v>
      </c>
      <c r="I14" s="57" t="s">
        <v>28</v>
      </c>
      <c r="J14" s="106">
        <f>Electricity!L18</f>
        <v>33940439.04000289</v>
      </c>
      <c r="K14" s="43">
        <f t="shared" si="0"/>
        <v>1162.3438027397235</v>
      </c>
      <c r="L14" s="58">
        <f>Water!G17</f>
        <v>300</v>
      </c>
      <c r="M14" s="58">
        <v>12550</v>
      </c>
      <c r="N14" s="106">
        <f>TOTAL!L14*TOTAL!M14</f>
        <v>3765000</v>
      </c>
      <c r="O14" s="43">
        <f t="shared" si="1"/>
        <v>170</v>
      </c>
    </row>
    <row r="15" spans="1:15" x14ac:dyDescent="0.25">
      <c r="A15" s="48" t="s">
        <v>44</v>
      </c>
      <c r="B15" s="45">
        <v>14</v>
      </c>
      <c r="C15" s="45">
        <v>5</v>
      </c>
      <c r="D15" s="45">
        <f>Water!D18</f>
        <v>2020</v>
      </c>
      <c r="E15" s="43">
        <f>Electricity!G19</f>
        <v>29159.999999998035</v>
      </c>
      <c r="F15" s="43">
        <f>Electricity!E19</f>
        <v>5399.9999999996362</v>
      </c>
      <c r="G15" s="43">
        <f>Electricity!F19</f>
        <v>23759.999999998399</v>
      </c>
      <c r="H15" s="47">
        <v>1553.67</v>
      </c>
      <c r="I15" s="57" t="s">
        <v>28</v>
      </c>
      <c r="J15" s="106">
        <f>Electricity!L19</f>
        <v>33791949.619197726</v>
      </c>
      <c r="K15" s="43">
        <f t="shared" si="0"/>
        <v>1158.8460088888889</v>
      </c>
      <c r="L15" s="58">
        <f>Water!G18</f>
        <v>284</v>
      </c>
      <c r="M15" s="58">
        <v>12550</v>
      </c>
      <c r="N15" s="106">
        <f>TOTAL!L15*TOTAL!M15</f>
        <v>3564200</v>
      </c>
      <c r="O15" s="43">
        <f t="shared" si="1"/>
        <v>170</v>
      </c>
    </row>
    <row r="16" spans="1:15" x14ac:dyDescent="0.25">
      <c r="A16" s="48" t="s">
        <v>44</v>
      </c>
      <c r="B16" s="45">
        <v>15</v>
      </c>
      <c r="C16" s="45">
        <v>5</v>
      </c>
      <c r="D16" s="45">
        <f>Water!D19</f>
        <v>2020</v>
      </c>
      <c r="E16" s="43">
        <f>Electricity!G20</f>
        <v>29520.000000002256</v>
      </c>
      <c r="F16" s="43">
        <f>Electricity!E20</f>
        <v>5600.0000000003638</v>
      </c>
      <c r="G16" s="43">
        <f>Electricity!F20</f>
        <v>23920.000000001892</v>
      </c>
      <c r="H16" s="47">
        <v>1553.67</v>
      </c>
      <c r="I16" s="57" t="s">
        <v>28</v>
      </c>
      <c r="J16" s="106">
        <f>Electricity!L20</f>
        <v>34279843.430402577</v>
      </c>
      <c r="K16" s="43">
        <f t="shared" si="0"/>
        <v>1161.2413086178847</v>
      </c>
      <c r="L16" s="58">
        <f>Water!G19</f>
        <v>395</v>
      </c>
      <c r="M16" s="58">
        <v>12550</v>
      </c>
      <c r="N16" s="106">
        <f>TOTAL!L16*TOTAL!M16</f>
        <v>4957250</v>
      </c>
      <c r="O16" s="43">
        <f t="shared" si="1"/>
        <v>170</v>
      </c>
    </row>
    <row r="17" spans="1:15" x14ac:dyDescent="0.25">
      <c r="A17" s="48" t="s">
        <v>44</v>
      </c>
      <c r="B17" s="45">
        <v>16</v>
      </c>
      <c r="C17" s="45">
        <v>5</v>
      </c>
      <c r="D17" s="45">
        <f>Water!D20</f>
        <v>2020</v>
      </c>
      <c r="E17" s="43">
        <f>Electricity!G21</f>
        <v>30359.999999996944</v>
      </c>
      <c r="F17" s="43">
        <f>Electricity!E21</f>
        <v>5680.000000000291</v>
      </c>
      <c r="G17" s="43">
        <f>Electricity!F21</f>
        <v>24679.999999996653</v>
      </c>
      <c r="H17" s="47">
        <v>1553.67</v>
      </c>
      <c r="I17" s="57" t="s">
        <v>28</v>
      </c>
      <c r="J17" s="106">
        <f>Electricity!L21</f>
        <v>35213205.503996916</v>
      </c>
      <c r="K17" s="43">
        <f t="shared" si="0"/>
        <v>1159.8552537549558</v>
      </c>
      <c r="L17" s="58">
        <f>Water!G20</f>
        <v>387</v>
      </c>
      <c r="M17" s="58">
        <v>12550</v>
      </c>
      <c r="N17" s="106">
        <f>TOTAL!L17*TOTAL!M17</f>
        <v>4856850</v>
      </c>
      <c r="O17" s="43">
        <f t="shared" si="1"/>
        <v>170</v>
      </c>
    </row>
    <row r="18" spans="1:15" x14ac:dyDescent="0.25">
      <c r="A18" s="48" t="s">
        <v>44</v>
      </c>
      <c r="B18" s="45">
        <v>17</v>
      </c>
      <c r="C18" s="45">
        <v>5</v>
      </c>
      <c r="D18" s="45">
        <f>Water!D21</f>
        <v>2020</v>
      </c>
      <c r="E18" s="43">
        <f>Electricity!G22</f>
        <v>29120.0000000008</v>
      </c>
      <c r="F18" s="43">
        <f>Electricity!E22</f>
        <v>5559.9999999994907</v>
      </c>
      <c r="G18" s="43">
        <f>Electricity!F22</f>
        <v>23560.00000000131</v>
      </c>
      <c r="H18" s="47">
        <v>1553.67</v>
      </c>
      <c r="I18" s="57" t="s">
        <v>28</v>
      </c>
      <c r="J18" s="106">
        <f>Electricity!L22</f>
        <v>33834375.168000579</v>
      </c>
      <c r="K18" s="43">
        <f t="shared" si="0"/>
        <v>1161.8947516483397</v>
      </c>
      <c r="L18" s="58">
        <f>Water!G21</f>
        <v>208</v>
      </c>
      <c r="M18" s="58">
        <v>12550</v>
      </c>
      <c r="N18" s="106">
        <f>TOTAL!L18*TOTAL!M18</f>
        <v>2610400</v>
      </c>
      <c r="O18" s="43">
        <f t="shared" si="1"/>
        <v>170</v>
      </c>
    </row>
    <row r="19" spans="1:15" x14ac:dyDescent="0.25">
      <c r="A19" s="48" t="s">
        <v>44</v>
      </c>
      <c r="B19" s="45">
        <v>18</v>
      </c>
      <c r="C19" s="45">
        <v>5</v>
      </c>
      <c r="D19" s="45">
        <f>Water!D22</f>
        <v>2020</v>
      </c>
      <c r="E19" s="43">
        <f>Electricity!G23</f>
        <v>30960.000000000036</v>
      </c>
      <c r="F19" s="43">
        <f>Electricity!E23</f>
        <v>5960.0000000000364</v>
      </c>
      <c r="G19" s="43">
        <f>Electricity!F23</f>
        <v>25000</v>
      </c>
      <c r="H19" s="47">
        <v>1553.67</v>
      </c>
      <c r="I19" s="57" t="s">
        <v>28</v>
      </c>
      <c r="J19" s="106">
        <f>Electricity!L23</f>
        <v>35998078.156800054</v>
      </c>
      <c r="K19" s="43">
        <f t="shared" si="0"/>
        <v>1162.7286226356593</v>
      </c>
      <c r="L19" s="58">
        <f>Water!G22</f>
        <v>364</v>
      </c>
      <c r="M19" s="58">
        <v>12550</v>
      </c>
      <c r="N19" s="106">
        <f>TOTAL!L19*TOTAL!M19</f>
        <v>4568200</v>
      </c>
      <c r="O19" s="43">
        <f t="shared" si="1"/>
        <v>170</v>
      </c>
    </row>
    <row r="20" spans="1:15" x14ac:dyDescent="0.25">
      <c r="A20" s="48" t="s">
        <v>44</v>
      </c>
      <c r="B20" s="45">
        <v>19</v>
      </c>
      <c r="C20" s="45">
        <v>5</v>
      </c>
      <c r="D20" s="45">
        <f>Water!D23</f>
        <v>2020</v>
      </c>
      <c r="E20" s="43">
        <f>Electricity!G24</f>
        <v>28200.000000000728</v>
      </c>
      <c r="F20" s="43">
        <f>Electricity!E24</f>
        <v>5159.9999999998545</v>
      </c>
      <c r="G20" s="43">
        <f>Electricity!F24</f>
        <v>23040.000000000873</v>
      </c>
      <c r="H20" s="47">
        <v>1553.67</v>
      </c>
      <c r="I20" s="57" t="s">
        <v>28</v>
      </c>
      <c r="J20" s="106">
        <f>Electricity!L24</f>
        <v>32646459.801600695</v>
      </c>
      <c r="K20" s="43">
        <f t="shared" si="0"/>
        <v>1157.6758794893565</v>
      </c>
      <c r="L20" s="58">
        <f>Water!G23</f>
        <v>293</v>
      </c>
      <c r="M20" s="58">
        <v>12550</v>
      </c>
      <c r="N20" s="106">
        <f>TOTAL!L20*TOTAL!M20</f>
        <v>3677150</v>
      </c>
      <c r="O20" s="43">
        <f t="shared" si="1"/>
        <v>170</v>
      </c>
    </row>
    <row r="21" spans="1:15" x14ac:dyDescent="0.25">
      <c r="A21" s="48" t="s">
        <v>44</v>
      </c>
      <c r="B21" s="45">
        <v>20</v>
      </c>
      <c r="C21" s="45">
        <v>5</v>
      </c>
      <c r="D21" s="45">
        <f>Water!D24</f>
        <v>2020</v>
      </c>
      <c r="E21" s="43">
        <f>Electricity!G25</f>
        <v>27919.999999999163</v>
      </c>
      <c r="F21" s="43">
        <f>Electricity!E25</f>
        <v>5480.0000000004729</v>
      </c>
      <c r="G21" s="43">
        <f>Electricity!F25</f>
        <v>22439.99999999869</v>
      </c>
      <c r="H21" s="47">
        <v>1553.67</v>
      </c>
      <c r="I21" s="57" t="s">
        <v>28</v>
      </c>
      <c r="J21" s="106">
        <f>Electricity!L25</f>
        <v>32519183.155199364</v>
      </c>
      <c r="K21" s="43">
        <f t="shared" si="0"/>
        <v>1164.727190372505</v>
      </c>
      <c r="L21" s="58">
        <f>Water!G24</f>
        <v>284</v>
      </c>
      <c r="M21" s="58">
        <v>12550</v>
      </c>
      <c r="N21" s="106">
        <f>TOTAL!L21*TOTAL!M21</f>
        <v>3564200</v>
      </c>
      <c r="O21" s="43">
        <f t="shared" si="1"/>
        <v>170</v>
      </c>
    </row>
    <row r="22" spans="1:15" x14ac:dyDescent="0.25">
      <c r="A22" s="48" t="s">
        <v>44</v>
      </c>
      <c r="B22" s="45">
        <v>21</v>
      </c>
      <c r="C22" s="45">
        <v>5</v>
      </c>
      <c r="D22" s="45">
        <f>Water!D25</f>
        <v>2020</v>
      </c>
      <c r="E22" s="43">
        <f>Electricity!G26</f>
        <v>28560.00000000131</v>
      </c>
      <c r="F22" s="43">
        <f>Electricity!E26</f>
        <v>5319.999999999709</v>
      </c>
      <c r="G22" s="43">
        <f>Electricity!F26</f>
        <v>23240.000000001601</v>
      </c>
      <c r="H22" s="47">
        <v>1553.67</v>
      </c>
      <c r="I22" s="57" t="s">
        <v>28</v>
      </c>
      <c r="J22" s="106">
        <f>Electricity!L26</f>
        <v>33113140.838401232</v>
      </c>
      <c r="K22" s="43">
        <f t="shared" si="0"/>
        <v>1159.4236988235193</v>
      </c>
      <c r="L22" s="58">
        <f>Water!G25</f>
        <v>303</v>
      </c>
      <c r="M22" s="58">
        <v>12550</v>
      </c>
      <c r="N22" s="106">
        <f>TOTAL!L22*TOTAL!M22</f>
        <v>3802650</v>
      </c>
      <c r="O22" s="43">
        <f t="shared" si="1"/>
        <v>170</v>
      </c>
    </row>
    <row r="23" spans="1:15" x14ac:dyDescent="0.25">
      <c r="A23" s="48" t="s">
        <v>44</v>
      </c>
      <c r="B23" s="45">
        <v>22</v>
      </c>
      <c r="C23" s="45">
        <v>5</v>
      </c>
      <c r="D23" s="45">
        <f>Water!D26</f>
        <v>2020</v>
      </c>
      <c r="E23" s="43">
        <f>Electricity!G27</f>
        <v>28879.99999999829</v>
      </c>
      <c r="F23" s="43">
        <f>Electricity!E27</f>
        <v>5439.9999999995998</v>
      </c>
      <c r="G23" s="43">
        <f>Electricity!F27</f>
        <v>23439.99999999869</v>
      </c>
      <c r="H23" s="47">
        <v>1553.67</v>
      </c>
      <c r="I23" s="57" t="s">
        <v>28</v>
      </c>
      <c r="J23" s="106">
        <f>Electricity!L27</f>
        <v>33516183.551997975</v>
      </c>
      <c r="K23" s="43">
        <f t="shared" si="0"/>
        <v>1160.5326714681426</v>
      </c>
      <c r="L23" s="58">
        <f>Water!G26</f>
        <v>443</v>
      </c>
      <c r="M23" s="58">
        <v>12550</v>
      </c>
      <c r="N23" s="106">
        <f>TOTAL!L23*TOTAL!M23</f>
        <v>5559650</v>
      </c>
      <c r="O23" s="43">
        <f t="shared" si="1"/>
        <v>170</v>
      </c>
    </row>
    <row r="24" spans="1:15" x14ac:dyDescent="0.25">
      <c r="A24" s="48" t="s">
        <v>44</v>
      </c>
      <c r="B24" s="45">
        <v>23</v>
      </c>
      <c r="C24" s="45">
        <v>5</v>
      </c>
      <c r="D24" s="45">
        <f>Water!D27</f>
        <v>2020</v>
      </c>
      <c r="E24" s="43">
        <f>Electricity!G28</f>
        <v>28239.999999999782</v>
      </c>
      <c r="F24" s="43">
        <f>Electricity!E28</f>
        <v>5440.0000000005093</v>
      </c>
      <c r="G24" s="43">
        <f>Electricity!F28</f>
        <v>22799.999999999272</v>
      </c>
      <c r="H24" s="47">
        <v>1553.67</v>
      </c>
      <c r="I24" s="57" t="s">
        <v>28</v>
      </c>
      <c r="J24" s="106">
        <f>Electricity!L28</f>
        <v>32837374.771200038</v>
      </c>
      <c r="K24" s="43">
        <f t="shared" si="0"/>
        <v>1162.7965570538347</v>
      </c>
      <c r="L24" s="58">
        <f>Water!G27</f>
        <v>304</v>
      </c>
      <c r="M24" s="58">
        <v>12550</v>
      </c>
      <c r="N24" s="106">
        <f>TOTAL!L24*TOTAL!M24</f>
        <v>3815200</v>
      </c>
      <c r="O24" s="43">
        <f t="shared" si="1"/>
        <v>170</v>
      </c>
    </row>
    <row r="25" spans="1:15" x14ac:dyDescent="0.25">
      <c r="A25" s="48" t="s">
        <v>44</v>
      </c>
      <c r="B25" s="45">
        <v>24</v>
      </c>
      <c r="C25" s="45">
        <v>5</v>
      </c>
      <c r="D25" s="45">
        <f>Water!D28</f>
        <v>2020</v>
      </c>
      <c r="E25" s="43">
        <f>Electricity!G29</f>
        <v>27759.999999999309</v>
      </c>
      <c r="F25" s="43">
        <f>Electricity!E29</f>
        <v>5439.9999999995998</v>
      </c>
      <c r="G25" s="43">
        <f>Electricity!F29</f>
        <v>22319.999999999709</v>
      </c>
      <c r="H25" s="47">
        <v>1553.67</v>
      </c>
      <c r="I25" s="57" t="s">
        <v>28</v>
      </c>
      <c r="J25" s="106">
        <f>Electricity!L29</f>
        <v>32328268.185599055</v>
      </c>
      <c r="K25" s="43">
        <f t="shared" si="0"/>
        <v>1164.5629749855857</v>
      </c>
      <c r="L25" s="58">
        <f>Water!G28</f>
        <v>273</v>
      </c>
      <c r="M25" s="58">
        <v>12550</v>
      </c>
      <c r="N25" s="106">
        <f>TOTAL!L25*TOTAL!M25</f>
        <v>3426150</v>
      </c>
      <c r="O25" s="43">
        <f t="shared" si="1"/>
        <v>170</v>
      </c>
    </row>
    <row r="26" spans="1:15" x14ac:dyDescent="0.25">
      <c r="A26" s="48" t="s">
        <v>44</v>
      </c>
      <c r="B26" s="45">
        <v>25</v>
      </c>
      <c r="C26" s="45">
        <v>5</v>
      </c>
      <c r="D26" s="45">
        <f>Water!D29</f>
        <v>2020</v>
      </c>
      <c r="E26" s="43">
        <f>Electricity!G30</f>
        <v>29680.000000000291</v>
      </c>
      <c r="F26" s="43">
        <f>Electricity!E30</f>
        <v>5520.0000000004366</v>
      </c>
      <c r="G26" s="43">
        <f>Electricity!F30</f>
        <v>24159.999999999854</v>
      </c>
      <c r="H26" s="47">
        <v>1553.67</v>
      </c>
      <c r="I26" s="57" t="s">
        <v>28</v>
      </c>
      <c r="J26" s="106">
        <f>Electricity!L30</f>
        <v>34407120.07680054</v>
      </c>
      <c r="K26" s="43">
        <f t="shared" si="0"/>
        <v>1159.2695443665837</v>
      </c>
      <c r="L26" s="58">
        <f>Water!G29</f>
        <v>298</v>
      </c>
      <c r="M26" s="58">
        <v>12550</v>
      </c>
      <c r="N26" s="106">
        <f>TOTAL!L26*TOTAL!M26</f>
        <v>3739900</v>
      </c>
      <c r="O26" s="43">
        <f t="shared" si="1"/>
        <v>170</v>
      </c>
    </row>
    <row r="27" spans="1:15" x14ac:dyDescent="0.25">
      <c r="A27" s="48" t="s">
        <v>44</v>
      </c>
      <c r="B27" s="45">
        <v>26</v>
      </c>
      <c r="C27" s="45">
        <v>5</v>
      </c>
      <c r="D27" s="45">
        <f>Water!D30</f>
        <v>2020</v>
      </c>
      <c r="E27" s="43">
        <f>Electricity!G31</f>
        <v>29000.000000001819</v>
      </c>
      <c r="F27" s="43">
        <f>Electricity!E31</f>
        <v>5559.9999999994907</v>
      </c>
      <c r="G27" s="43">
        <f>Electricity!F31</f>
        <v>23440.000000002328</v>
      </c>
      <c r="H27" s="47">
        <v>1553.67</v>
      </c>
      <c r="I27" s="57" t="s">
        <v>28</v>
      </c>
      <c r="J27" s="106">
        <f>Electricity!L31</f>
        <v>33707098.521601655</v>
      </c>
      <c r="K27" s="43">
        <f t="shared" si="0"/>
        <v>1162.313742124122</v>
      </c>
      <c r="L27" s="58">
        <f>Water!G30</f>
        <v>279</v>
      </c>
      <c r="M27" s="58">
        <v>12550</v>
      </c>
      <c r="N27" s="106">
        <f>TOTAL!L27*TOTAL!M27</f>
        <v>3501450</v>
      </c>
      <c r="O27" s="43">
        <f t="shared" si="1"/>
        <v>170</v>
      </c>
    </row>
    <row r="28" spans="1:15" x14ac:dyDescent="0.25">
      <c r="A28" s="48" t="s">
        <v>44</v>
      </c>
      <c r="B28" s="45">
        <v>27</v>
      </c>
      <c r="C28" s="45">
        <v>5</v>
      </c>
      <c r="D28" s="45">
        <f>Water!D31</f>
        <v>2020</v>
      </c>
      <c r="E28" s="43">
        <f>Electricity!G32</f>
        <v>29160.000000001673</v>
      </c>
      <c r="F28" s="43">
        <f>Electricity!E32</f>
        <v>5440.0000000005093</v>
      </c>
      <c r="G28" s="43">
        <f>Electricity!F32</f>
        <v>23720.000000001164</v>
      </c>
      <c r="H28" s="47">
        <v>1553.67</v>
      </c>
      <c r="I28" s="57" t="s">
        <v>28</v>
      </c>
      <c r="J28" s="106">
        <f>Electricity!L32</f>
        <v>33813162.393602043</v>
      </c>
      <c r="K28" s="43">
        <f t="shared" si="0"/>
        <v>1159.5734702880693</v>
      </c>
      <c r="L28" s="58">
        <f>Water!G31</f>
        <v>286</v>
      </c>
      <c r="M28" s="58">
        <v>12550</v>
      </c>
      <c r="N28" s="106">
        <f>TOTAL!L28*TOTAL!M28</f>
        <v>3589300</v>
      </c>
      <c r="O28" s="43">
        <f t="shared" si="1"/>
        <v>170</v>
      </c>
    </row>
    <row r="29" spans="1:15" x14ac:dyDescent="0.25">
      <c r="A29" s="48" t="s">
        <v>44</v>
      </c>
      <c r="B29" s="45">
        <v>28</v>
      </c>
      <c r="C29" s="45">
        <v>5</v>
      </c>
      <c r="D29" s="45">
        <f>Water!D32</f>
        <v>2020</v>
      </c>
      <c r="E29" s="43">
        <f>Electricity!G33</f>
        <v>29239.999999997963</v>
      </c>
      <c r="F29" s="43">
        <f>Electricity!E33</f>
        <v>5680.000000000291</v>
      </c>
      <c r="G29" s="43">
        <f>Electricity!F33</f>
        <v>23559.999999997672</v>
      </c>
      <c r="H29" s="47">
        <v>1553.67</v>
      </c>
      <c r="I29" s="57" t="s">
        <v>28</v>
      </c>
      <c r="J29" s="106">
        <f>Electricity!L33</f>
        <v>34025290.137597993</v>
      </c>
      <c r="K29" s="43">
        <f t="shared" si="0"/>
        <v>1163.6556134610248</v>
      </c>
      <c r="L29" s="58">
        <f>Water!G32</f>
        <v>305</v>
      </c>
      <c r="M29" s="58">
        <v>12550</v>
      </c>
      <c r="N29" s="106">
        <f>TOTAL!L29*TOTAL!M29</f>
        <v>3827750</v>
      </c>
      <c r="O29" s="43">
        <f t="shared" si="1"/>
        <v>170</v>
      </c>
    </row>
    <row r="30" spans="1:15" s="43" customFormat="1" x14ac:dyDescent="0.25">
      <c r="A30" s="48" t="s">
        <v>44</v>
      </c>
      <c r="B30" s="45">
        <v>29</v>
      </c>
      <c r="C30" s="45">
        <v>5</v>
      </c>
      <c r="D30" s="45">
        <f>Water!D33</f>
        <v>2020</v>
      </c>
      <c r="E30" s="43">
        <f>Electricity!G34</f>
        <v>29279.999999999745</v>
      </c>
      <c r="F30" s="43">
        <f>Electricity!E34</f>
        <v>5599.9999999994543</v>
      </c>
      <c r="G30" s="43">
        <f>Electricity!F34</f>
        <v>23680.000000000291</v>
      </c>
      <c r="H30" s="47">
        <v>1553.67</v>
      </c>
      <c r="I30" s="57" t="s">
        <v>28</v>
      </c>
      <c r="J30" s="106">
        <f>Electricity!L34</f>
        <v>34025290.137599438</v>
      </c>
      <c r="K30" s="43">
        <f t="shared" si="0"/>
        <v>1162.0659199999909</v>
      </c>
      <c r="L30" s="58">
        <f>Water!G33</f>
        <v>466</v>
      </c>
      <c r="M30" s="58">
        <v>12550</v>
      </c>
      <c r="N30" s="106">
        <f>TOTAL!L30*TOTAL!M30</f>
        <v>5848300</v>
      </c>
      <c r="O30" s="43">
        <f t="shared" si="1"/>
        <v>170</v>
      </c>
    </row>
    <row r="31" spans="1:15" s="43" customFormat="1" x14ac:dyDescent="0.25">
      <c r="A31" s="48" t="s">
        <v>44</v>
      </c>
      <c r="B31" s="45">
        <v>30</v>
      </c>
      <c r="C31" s="45">
        <v>5</v>
      </c>
      <c r="D31" s="45">
        <f>Water!D34</f>
        <v>2020</v>
      </c>
      <c r="E31" s="43">
        <f>Electricity!G35</f>
        <v>30680.000000000291</v>
      </c>
      <c r="F31" s="43">
        <f>Electricity!E35</f>
        <v>5520.0000000004366</v>
      </c>
      <c r="G31" s="43">
        <f>Electricity!F35</f>
        <v>25159.999999999854</v>
      </c>
      <c r="H31" s="47">
        <v>1553.67</v>
      </c>
      <c r="I31" s="57" t="s">
        <v>28</v>
      </c>
      <c r="J31" s="106">
        <f>Electricity!L35</f>
        <v>35467758.796800539</v>
      </c>
      <c r="K31" s="43">
        <f t="shared" si="0"/>
        <v>1156.0547195827967</v>
      </c>
      <c r="L31" s="58">
        <f>Water!G34</f>
        <v>332</v>
      </c>
      <c r="M31" s="58">
        <v>12550</v>
      </c>
      <c r="N31" s="106">
        <f>TOTAL!L31*TOTAL!M31</f>
        <v>4166600</v>
      </c>
      <c r="O31" s="43">
        <f t="shared" si="1"/>
        <v>170</v>
      </c>
    </row>
    <row r="32" spans="1:15" s="43" customFormat="1" x14ac:dyDescent="0.25">
      <c r="A32" s="48" t="s">
        <v>44</v>
      </c>
      <c r="B32" s="45">
        <v>31</v>
      </c>
      <c r="C32" s="45">
        <v>5</v>
      </c>
      <c r="D32" s="45">
        <f>Water!D35</f>
        <v>2020</v>
      </c>
      <c r="E32" s="43">
        <f>Electricity!G36</f>
        <v>27999.999999998181</v>
      </c>
      <c r="F32" s="43">
        <f>Electricity!E36</f>
        <v>5559.9999999994907</v>
      </c>
      <c r="G32" s="43">
        <f>Electricity!F36</f>
        <v>22439.99999999869</v>
      </c>
      <c r="H32" s="47">
        <v>1553.67</v>
      </c>
      <c r="I32" s="57" t="s">
        <v>28</v>
      </c>
      <c r="J32" s="106">
        <f>Electricity!L36</f>
        <v>32646459.8015978</v>
      </c>
      <c r="K32" s="43">
        <f t="shared" si="0"/>
        <v>1165.9449929142829</v>
      </c>
      <c r="L32" s="58">
        <f>Water!G35</f>
        <v>274</v>
      </c>
      <c r="M32" s="58">
        <v>12550</v>
      </c>
      <c r="N32" s="106">
        <f>TOTAL!L32*TOTAL!M32</f>
        <v>3438700</v>
      </c>
      <c r="O32" s="43">
        <f t="shared" si="1"/>
        <v>170</v>
      </c>
    </row>
    <row r="33" spans="1:13" s="43" customFormat="1" x14ac:dyDescent="0.25">
      <c r="A33" s="44"/>
      <c r="B33" s="46"/>
      <c r="C33" s="46"/>
      <c r="D33" s="45"/>
      <c r="I33" s="47"/>
      <c r="J33" s="47"/>
      <c r="K33" s="47"/>
      <c r="L33" s="47"/>
      <c r="M33" s="47"/>
    </row>
    <row r="34" spans="1:13" s="43" customFormat="1" x14ac:dyDescent="0.25">
      <c r="A34" s="44"/>
      <c r="B34" s="46"/>
      <c r="C34" s="46"/>
      <c r="D34" s="45"/>
      <c r="I34" s="47"/>
      <c r="J34" s="47"/>
      <c r="K34" s="47"/>
      <c r="L34" s="47"/>
      <c r="M34" s="4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E2" sqref="E2:L2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18" t="s">
        <v>37</v>
      </c>
      <c r="C1" s="119"/>
      <c r="D1" s="119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0" t="s">
        <v>0</v>
      </c>
      <c r="C2" s="132" t="s">
        <v>33</v>
      </c>
      <c r="D2" s="123" t="s">
        <v>9</v>
      </c>
      <c r="E2" s="126" t="s">
        <v>38</v>
      </c>
      <c r="F2" s="127"/>
      <c r="G2" s="127"/>
      <c r="H2" s="127"/>
      <c r="I2" s="127"/>
      <c r="J2" s="127"/>
      <c r="K2" s="127"/>
      <c r="L2" s="128"/>
      <c r="M2" s="2"/>
      <c r="N2" s="2"/>
      <c r="O2" s="1"/>
      <c r="P2" s="1"/>
      <c r="Q2" s="1"/>
    </row>
    <row r="3" spans="2:17" s="23" customFormat="1" ht="25.5" customHeight="1" x14ac:dyDescent="0.25">
      <c r="B3" s="121"/>
      <c r="C3" s="133"/>
      <c r="D3" s="124"/>
      <c r="E3" s="20" t="s">
        <v>7</v>
      </c>
      <c r="F3" s="24" t="s">
        <v>13</v>
      </c>
      <c r="G3" s="24" t="s">
        <v>16</v>
      </c>
      <c r="H3" s="129" t="s">
        <v>17</v>
      </c>
      <c r="I3" s="130"/>
      <c r="J3" s="131"/>
      <c r="K3" s="114" t="s">
        <v>35</v>
      </c>
      <c r="L3" s="116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2"/>
      <c r="C4" s="52"/>
      <c r="D4" s="125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15"/>
      <c r="L4" s="117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34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43952</v>
      </c>
      <c r="C6" s="59">
        <v>170</v>
      </c>
      <c r="D6" s="87">
        <v>1035.78</v>
      </c>
      <c r="E6" s="113">
        <v>1399.9999999996362</v>
      </c>
      <c r="F6" s="113">
        <v>9240.0000000016007</v>
      </c>
      <c r="G6" s="80">
        <f>F6+E6</f>
        <v>10640.000000001237</v>
      </c>
      <c r="H6" s="81">
        <f t="shared" ref="H6:H33" si="0">E6*1.5*D6</f>
        <v>2175137.9999994347</v>
      </c>
      <c r="I6" s="81">
        <f t="shared" ref="I6:I33" si="1">F6*D6</f>
        <v>9570607.200001657</v>
      </c>
      <c r="J6" s="81">
        <f t="shared" ref="J6:J30" si="2">I6+H6</f>
        <v>11745745.200001091</v>
      </c>
      <c r="K6" s="81">
        <f>J6*0.024</f>
        <v>281897.88480002619</v>
      </c>
      <c r="L6" s="104">
        <f>J6+K6</f>
        <v>12027643.084801117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43953</v>
      </c>
      <c r="C7" s="59">
        <f>C6</f>
        <v>170</v>
      </c>
      <c r="D7" s="87">
        <v>1035.78</v>
      </c>
      <c r="E7" s="113">
        <v>5359.9999999996726</v>
      </c>
      <c r="F7" s="113">
        <v>22159.999999999854</v>
      </c>
      <c r="G7" s="80">
        <f t="shared" ref="G7:G33" si="3">F7+E7</f>
        <v>27519.999999999527</v>
      </c>
      <c r="H7" s="81">
        <f t="shared" si="0"/>
        <v>8327671.1999994908</v>
      </c>
      <c r="I7" s="81">
        <f t="shared" si="1"/>
        <v>22952884.799999848</v>
      </c>
      <c r="J7" s="81">
        <f t="shared" si="2"/>
        <v>31280555.999999337</v>
      </c>
      <c r="K7" s="81">
        <f t="shared" ref="K7:K36" si="4">J7*0.024</f>
        <v>750733.34399998409</v>
      </c>
      <c r="L7" s="104">
        <f>J7+K7</f>
        <v>32031289.343999323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43954</v>
      </c>
      <c r="C8" s="59">
        <f t="shared" ref="C8:C36" si="5">C7</f>
        <v>170</v>
      </c>
      <c r="D8" s="87">
        <v>1035.78</v>
      </c>
      <c r="E8" s="113">
        <v>5200.0000000007276</v>
      </c>
      <c r="F8" s="113">
        <v>21919.999999998254</v>
      </c>
      <c r="G8" s="80">
        <f t="shared" si="3"/>
        <v>27119.999999998981</v>
      </c>
      <c r="H8" s="81">
        <f t="shared" si="0"/>
        <v>8079084.0000011306</v>
      </c>
      <c r="I8" s="81">
        <f t="shared" si="1"/>
        <v>22704297.599998191</v>
      </c>
      <c r="J8" s="81">
        <f t="shared" si="2"/>
        <v>30783381.599999323</v>
      </c>
      <c r="K8" s="81">
        <f t="shared" si="4"/>
        <v>738801.15839998377</v>
      </c>
      <c r="L8" s="104">
        <f t="shared" ref="L8:L30" si="6">J8+K8</f>
        <v>31522182.758399308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43955</v>
      </c>
      <c r="C9" s="59">
        <f t="shared" si="5"/>
        <v>170</v>
      </c>
      <c r="D9" s="87">
        <v>1035.78</v>
      </c>
      <c r="E9" s="113">
        <v>5439.9999999995998</v>
      </c>
      <c r="F9" s="113">
        <v>21959.999999999127</v>
      </c>
      <c r="G9" s="80">
        <f t="shared" si="3"/>
        <v>27399.999999998727</v>
      </c>
      <c r="H9" s="81">
        <f t="shared" si="0"/>
        <v>8451964.7999993786</v>
      </c>
      <c r="I9" s="81">
        <f t="shared" si="1"/>
        <v>22745728.799999095</v>
      </c>
      <c r="J9" s="81">
        <f t="shared" si="2"/>
        <v>31197693.599998474</v>
      </c>
      <c r="K9" s="81">
        <f t="shared" si="4"/>
        <v>748744.64639996341</v>
      </c>
      <c r="L9" s="104">
        <f t="shared" si="6"/>
        <v>31946438.246398438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43956</v>
      </c>
      <c r="C10" s="59">
        <f t="shared" si="5"/>
        <v>170</v>
      </c>
      <c r="D10" s="87">
        <v>1035.78</v>
      </c>
      <c r="E10" s="113">
        <v>2720.0000000002547</v>
      </c>
      <c r="F10" s="113">
        <v>22800.00000000291</v>
      </c>
      <c r="G10" s="80">
        <f t="shared" si="3"/>
        <v>25520.000000003165</v>
      </c>
      <c r="H10" s="81">
        <f t="shared" si="0"/>
        <v>4225982.4000003953</v>
      </c>
      <c r="I10" s="81">
        <f t="shared" si="1"/>
        <v>23615784.000003014</v>
      </c>
      <c r="J10" s="81">
        <f t="shared" si="2"/>
        <v>27841766.400003411</v>
      </c>
      <c r="K10" s="81">
        <f t="shared" si="4"/>
        <v>668202.39360008191</v>
      </c>
      <c r="L10" s="104">
        <f t="shared" si="6"/>
        <v>28509968.793603491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43957</v>
      </c>
      <c r="C11" s="59">
        <f t="shared" si="5"/>
        <v>170</v>
      </c>
      <c r="D11" s="87">
        <v>1035.78</v>
      </c>
      <c r="E11" s="113">
        <v>8079.9999999999272</v>
      </c>
      <c r="F11" s="113">
        <v>22119.999999998981</v>
      </c>
      <c r="G11" s="80">
        <f t="shared" si="3"/>
        <v>30199.999999998909</v>
      </c>
      <c r="H11" s="81">
        <f t="shared" si="0"/>
        <v>12553653.599999886</v>
      </c>
      <c r="I11" s="81">
        <f t="shared" si="1"/>
        <v>22911453.599998944</v>
      </c>
      <c r="J11" s="81">
        <f t="shared" si="2"/>
        <v>35465107.199998826</v>
      </c>
      <c r="K11" s="81">
        <f t="shared" si="4"/>
        <v>851162.57279997179</v>
      </c>
      <c r="L11" s="104">
        <f t="shared" si="6"/>
        <v>36316269.772798799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43958</v>
      </c>
      <c r="C12" s="59">
        <f t="shared" si="5"/>
        <v>170</v>
      </c>
      <c r="D12" s="87">
        <v>1035.78</v>
      </c>
      <c r="E12" s="113">
        <v>5239.9999999997817</v>
      </c>
      <c r="F12" s="113">
        <v>22840.000000000146</v>
      </c>
      <c r="G12" s="80">
        <f t="shared" si="3"/>
        <v>28079.999999999927</v>
      </c>
      <c r="H12" s="81">
        <f t="shared" si="0"/>
        <v>8141230.7999996608</v>
      </c>
      <c r="I12" s="81">
        <f t="shared" si="1"/>
        <v>23657215.200000148</v>
      </c>
      <c r="J12" s="81">
        <f t="shared" si="2"/>
        <v>31798445.99999981</v>
      </c>
      <c r="K12" s="81">
        <f t="shared" si="4"/>
        <v>763162.70399999549</v>
      </c>
      <c r="L12" s="104">
        <f t="shared" si="6"/>
        <v>32561608.703999806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43959</v>
      </c>
      <c r="C13" s="59">
        <f t="shared" si="5"/>
        <v>170</v>
      </c>
      <c r="D13" s="87">
        <v>1035.78</v>
      </c>
      <c r="E13" s="113">
        <v>5119.9999999998909</v>
      </c>
      <c r="F13" s="113">
        <v>24200.000000000728</v>
      </c>
      <c r="G13" s="80">
        <f t="shared" si="3"/>
        <v>29320.000000000618</v>
      </c>
      <c r="H13" s="81">
        <f t="shared" si="0"/>
        <v>7954790.3999998299</v>
      </c>
      <c r="I13" s="81">
        <f t="shared" si="1"/>
        <v>25065876.000000753</v>
      </c>
      <c r="J13" s="81">
        <f t="shared" si="2"/>
        <v>33020666.400000583</v>
      </c>
      <c r="K13" s="81">
        <f t="shared" si="4"/>
        <v>792495.99360001402</v>
      </c>
      <c r="L13" s="104">
        <f t="shared" si="6"/>
        <v>33813162.393600598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43960</v>
      </c>
      <c r="C14" s="59">
        <f t="shared" si="5"/>
        <v>170</v>
      </c>
      <c r="D14" s="87">
        <v>1035.78</v>
      </c>
      <c r="E14" s="113">
        <v>6159.9999999998545</v>
      </c>
      <c r="F14" s="113">
        <v>22479.999999999563</v>
      </c>
      <c r="G14" s="80">
        <f t="shared" si="3"/>
        <v>28639.999999999418</v>
      </c>
      <c r="H14" s="81">
        <f t="shared" si="0"/>
        <v>9570607.1999997739</v>
      </c>
      <c r="I14" s="81">
        <f t="shared" si="1"/>
        <v>23284334.399999548</v>
      </c>
      <c r="J14" s="81">
        <f t="shared" si="2"/>
        <v>32854941.599999323</v>
      </c>
      <c r="K14" s="81">
        <f t="shared" si="4"/>
        <v>788518.59839998384</v>
      </c>
      <c r="L14" s="104">
        <f t="shared" si="6"/>
        <v>33643460.198399305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43961</v>
      </c>
      <c r="C15" s="59">
        <f t="shared" si="5"/>
        <v>170</v>
      </c>
      <c r="D15" s="87">
        <v>1035.78</v>
      </c>
      <c r="E15" s="113">
        <v>5120.0000000008004</v>
      </c>
      <c r="F15" s="113">
        <v>21639.999999999418</v>
      </c>
      <c r="G15" s="80">
        <f t="shared" si="3"/>
        <v>26760.000000000218</v>
      </c>
      <c r="H15" s="81">
        <f t="shared" si="0"/>
        <v>7954790.4000012437</v>
      </c>
      <c r="I15" s="81">
        <f t="shared" si="1"/>
        <v>22414279.199999396</v>
      </c>
      <c r="J15" s="81">
        <f t="shared" si="2"/>
        <v>30369069.600000639</v>
      </c>
      <c r="K15" s="81">
        <f t="shared" si="4"/>
        <v>728857.67040001531</v>
      </c>
      <c r="L15" s="104">
        <f t="shared" si="6"/>
        <v>31097927.270400655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43962</v>
      </c>
      <c r="C16" s="59">
        <f t="shared" si="5"/>
        <v>170</v>
      </c>
      <c r="D16" s="87">
        <v>1035.78</v>
      </c>
      <c r="E16" s="113">
        <v>5239.9999999997817</v>
      </c>
      <c r="F16" s="113">
        <v>22279.999999998836</v>
      </c>
      <c r="G16" s="80">
        <f t="shared" si="3"/>
        <v>27519.999999998618</v>
      </c>
      <c r="H16" s="81">
        <f t="shared" si="0"/>
        <v>8141230.7999996608</v>
      </c>
      <c r="I16" s="81">
        <f t="shared" si="1"/>
        <v>23077178.399998795</v>
      </c>
      <c r="J16" s="81">
        <f t="shared" si="2"/>
        <v>31218409.199998457</v>
      </c>
      <c r="K16" s="81">
        <f t="shared" si="4"/>
        <v>749241.82079996297</v>
      </c>
      <c r="L16" s="104">
        <f t="shared" si="6"/>
        <v>31967651.020798419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43963</v>
      </c>
      <c r="C17" s="59">
        <f t="shared" si="5"/>
        <v>170</v>
      </c>
      <c r="D17" s="87">
        <v>1035.78</v>
      </c>
      <c r="E17" s="113">
        <v>5439.9999999995998</v>
      </c>
      <c r="F17" s="113">
        <v>22680.000000000291</v>
      </c>
      <c r="G17" s="80">
        <f t="shared" si="3"/>
        <v>28119.999999999891</v>
      </c>
      <c r="H17" s="81">
        <f t="shared" si="0"/>
        <v>8451964.7999993786</v>
      </c>
      <c r="I17" s="81">
        <f t="shared" si="1"/>
        <v>23491490.4000003</v>
      </c>
      <c r="J17" s="81">
        <f t="shared" si="2"/>
        <v>31943455.199999679</v>
      </c>
      <c r="K17" s="81">
        <f t="shared" si="4"/>
        <v>766642.92479999235</v>
      </c>
      <c r="L17" s="104">
        <f t="shared" si="6"/>
        <v>32710098.124799673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43964</v>
      </c>
      <c r="C18" s="59">
        <f t="shared" si="5"/>
        <v>170</v>
      </c>
      <c r="D18" s="87">
        <v>1035.78</v>
      </c>
      <c r="E18" s="113">
        <v>5600.0000000003638</v>
      </c>
      <c r="F18" s="113">
        <v>23600.000000002183</v>
      </c>
      <c r="G18" s="80">
        <f t="shared" si="3"/>
        <v>29200.000000002547</v>
      </c>
      <c r="H18" s="81">
        <f t="shared" si="0"/>
        <v>8700552.0000005644</v>
      </c>
      <c r="I18" s="81">
        <f t="shared" si="1"/>
        <v>24444408.000002261</v>
      </c>
      <c r="J18" s="81">
        <f t="shared" si="2"/>
        <v>33144960.000002824</v>
      </c>
      <c r="K18" s="81">
        <f t="shared" si="4"/>
        <v>795479.04000006779</v>
      </c>
      <c r="L18" s="104">
        <f t="shared" si="6"/>
        <v>33940439.04000289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43965</v>
      </c>
      <c r="C19" s="59">
        <f t="shared" si="5"/>
        <v>170</v>
      </c>
      <c r="D19" s="87">
        <v>1035.78</v>
      </c>
      <c r="E19" s="113">
        <v>5399.9999999996362</v>
      </c>
      <c r="F19" s="113">
        <v>23759.999999998399</v>
      </c>
      <c r="G19" s="80">
        <f t="shared" si="3"/>
        <v>29159.999999998035</v>
      </c>
      <c r="H19" s="81">
        <f t="shared" si="0"/>
        <v>8389817.9999994338</v>
      </c>
      <c r="I19" s="81">
        <f t="shared" si="1"/>
        <v>24610132.799998343</v>
      </c>
      <c r="J19" s="81">
        <f t="shared" si="2"/>
        <v>32999950.799997777</v>
      </c>
      <c r="K19" s="81">
        <f t="shared" si="4"/>
        <v>791998.81919994671</v>
      </c>
      <c r="L19" s="104">
        <f t="shared" si="6"/>
        <v>33791949.619197726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43966</v>
      </c>
      <c r="C20" s="59">
        <f t="shared" si="5"/>
        <v>170</v>
      </c>
      <c r="D20" s="87">
        <v>1035.78</v>
      </c>
      <c r="E20" s="113">
        <v>5600.0000000003638</v>
      </c>
      <c r="F20" s="113">
        <v>23920.000000001892</v>
      </c>
      <c r="G20" s="80">
        <f t="shared" si="3"/>
        <v>29520.000000002256</v>
      </c>
      <c r="H20" s="81">
        <f t="shared" si="0"/>
        <v>8700552.0000005644</v>
      </c>
      <c r="I20" s="81">
        <f t="shared" si="1"/>
        <v>24775857.600001957</v>
      </c>
      <c r="J20" s="81">
        <f t="shared" si="2"/>
        <v>33476409.60000252</v>
      </c>
      <c r="K20" s="81">
        <f t="shared" si="4"/>
        <v>803433.83040006051</v>
      </c>
      <c r="L20" s="104">
        <f t="shared" si="6"/>
        <v>34279843.430402577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43967</v>
      </c>
      <c r="C21" s="59">
        <f t="shared" si="5"/>
        <v>170</v>
      </c>
      <c r="D21" s="87">
        <v>1035.78</v>
      </c>
      <c r="E21" s="113">
        <v>5680.000000000291</v>
      </c>
      <c r="F21" s="113">
        <v>24679.999999996653</v>
      </c>
      <c r="G21" s="80">
        <f t="shared" si="3"/>
        <v>30359.999999996944</v>
      </c>
      <c r="H21" s="81">
        <f t="shared" si="0"/>
        <v>8824845.6000004523</v>
      </c>
      <c r="I21" s="81">
        <f t="shared" si="1"/>
        <v>25563050.399996534</v>
      </c>
      <c r="J21" s="81">
        <f t="shared" si="2"/>
        <v>34387895.99999699</v>
      </c>
      <c r="K21" s="81">
        <f t="shared" si="4"/>
        <v>825309.50399992778</v>
      </c>
      <c r="L21" s="104">
        <f t="shared" si="6"/>
        <v>35213205.503996916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43968</v>
      </c>
      <c r="C22" s="59">
        <f t="shared" si="5"/>
        <v>170</v>
      </c>
      <c r="D22" s="87">
        <v>1035.78</v>
      </c>
      <c r="E22" s="113">
        <v>5559.9999999994907</v>
      </c>
      <c r="F22" s="113">
        <v>23560.00000000131</v>
      </c>
      <c r="G22" s="80">
        <f t="shared" si="3"/>
        <v>29120.0000000008</v>
      </c>
      <c r="H22" s="81">
        <f t="shared" si="0"/>
        <v>8638405.1999992076</v>
      </c>
      <c r="I22" s="81">
        <f t="shared" si="1"/>
        <v>24402976.800001357</v>
      </c>
      <c r="J22" s="81">
        <f t="shared" si="2"/>
        <v>33041382.000000566</v>
      </c>
      <c r="K22" s="81">
        <f t="shared" si="4"/>
        <v>792993.16800001357</v>
      </c>
      <c r="L22" s="104">
        <f t="shared" si="6"/>
        <v>33834375.168000579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43969</v>
      </c>
      <c r="C23" s="59">
        <f t="shared" si="5"/>
        <v>170</v>
      </c>
      <c r="D23" s="87">
        <v>1035.78</v>
      </c>
      <c r="E23" s="113">
        <v>5960.0000000000364</v>
      </c>
      <c r="F23" s="113">
        <v>25000</v>
      </c>
      <c r="G23" s="80">
        <f t="shared" si="3"/>
        <v>30960.000000000036</v>
      </c>
      <c r="H23" s="81">
        <f t="shared" si="0"/>
        <v>9259873.200000057</v>
      </c>
      <c r="I23" s="81">
        <f t="shared" si="1"/>
        <v>25894500</v>
      </c>
      <c r="J23" s="81">
        <f t="shared" si="2"/>
        <v>35154373.200000055</v>
      </c>
      <c r="K23" s="81">
        <f t="shared" si="4"/>
        <v>843704.95680000132</v>
      </c>
      <c r="L23" s="104">
        <f t="shared" si="6"/>
        <v>35998078.156800054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43970</v>
      </c>
      <c r="C24" s="59">
        <f t="shared" si="5"/>
        <v>170</v>
      </c>
      <c r="D24" s="87">
        <v>1035.78</v>
      </c>
      <c r="E24" s="113">
        <v>5159.9999999998545</v>
      </c>
      <c r="F24" s="113">
        <v>23040.000000000873</v>
      </c>
      <c r="G24" s="80">
        <f t="shared" si="3"/>
        <v>28200.000000000728</v>
      </c>
      <c r="H24" s="81">
        <f t="shared" si="0"/>
        <v>8016937.1999997739</v>
      </c>
      <c r="I24" s="81">
        <f t="shared" si="1"/>
        <v>23864371.200000905</v>
      </c>
      <c r="J24" s="81">
        <f t="shared" si="2"/>
        <v>31881308.400000677</v>
      </c>
      <c r="K24" s="81">
        <f t="shared" si="4"/>
        <v>765151.40160001628</v>
      </c>
      <c r="L24" s="104">
        <f t="shared" si="6"/>
        <v>32646459.801600695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43971</v>
      </c>
      <c r="C25" s="59">
        <f t="shared" si="5"/>
        <v>170</v>
      </c>
      <c r="D25" s="87">
        <v>1035.78</v>
      </c>
      <c r="E25" s="113">
        <v>5480.0000000004729</v>
      </c>
      <c r="F25" s="113">
        <v>22439.99999999869</v>
      </c>
      <c r="G25" s="80">
        <f t="shared" si="3"/>
        <v>27919.999999999163</v>
      </c>
      <c r="H25" s="81">
        <f t="shared" si="0"/>
        <v>8514111.6000007354</v>
      </c>
      <c r="I25" s="81">
        <f t="shared" si="1"/>
        <v>23242903.199998643</v>
      </c>
      <c r="J25" s="81">
        <f t="shared" si="2"/>
        <v>31757014.799999379</v>
      </c>
      <c r="K25" s="81">
        <f t="shared" si="4"/>
        <v>762168.35519998509</v>
      </c>
      <c r="L25" s="104">
        <f t="shared" si="6"/>
        <v>32519183.155199364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43972</v>
      </c>
      <c r="C26" s="59">
        <f t="shared" si="5"/>
        <v>170</v>
      </c>
      <c r="D26" s="87">
        <v>1035.78</v>
      </c>
      <c r="E26" s="113">
        <v>5319.999999999709</v>
      </c>
      <c r="F26" s="113">
        <v>23240.000000001601</v>
      </c>
      <c r="G26" s="80">
        <f t="shared" si="3"/>
        <v>28560.00000000131</v>
      </c>
      <c r="H26" s="81">
        <f t="shared" si="0"/>
        <v>8265524.3999995477</v>
      </c>
      <c r="I26" s="81">
        <f t="shared" si="1"/>
        <v>24071527.200001657</v>
      </c>
      <c r="J26" s="81">
        <f t="shared" si="2"/>
        <v>32337051.600001205</v>
      </c>
      <c r="K26" s="81">
        <f t="shared" si="4"/>
        <v>776089.2384000289</v>
      </c>
      <c r="L26" s="104">
        <f>J26+K26</f>
        <v>33113140.838401232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43973</v>
      </c>
      <c r="C27" s="59">
        <f t="shared" si="5"/>
        <v>170</v>
      </c>
      <c r="D27" s="87">
        <v>1035.78</v>
      </c>
      <c r="E27" s="113">
        <v>5439.9999999995998</v>
      </c>
      <c r="F27" s="113">
        <v>23439.99999999869</v>
      </c>
      <c r="G27" s="80">
        <f t="shared" si="3"/>
        <v>28879.99999999829</v>
      </c>
      <c r="H27" s="81">
        <f t="shared" si="0"/>
        <v>8451964.7999993786</v>
      </c>
      <c r="I27" s="81">
        <f t="shared" si="1"/>
        <v>24278683.199998643</v>
      </c>
      <c r="J27" s="81">
        <f t="shared" si="2"/>
        <v>32730647.999998022</v>
      </c>
      <c r="K27" s="81">
        <f t="shared" si="4"/>
        <v>785535.55199995253</v>
      </c>
      <c r="L27" s="104">
        <f t="shared" si="6"/>
        <v>33516183.551997975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43974</v>
      </c>
      <c r="C28" s="59">
        <f t="shared" si="5"/>
        <v>170</v>
      </c>
      <c r="D28" s="87">
        <v>1035.78</v>
      </c>
      <c r="E28" s="113">
        <v>5440.0000000005093</v>
      </c>
      <c r="F28" s="113">
        <v>22799.999999999272</v>
      </c>
      <c r="G28" s="80">
        <f t="shared" si="3"/>
        <v>28239.999999999782</v>
      </c>
      <c r="H28" s="81">
        <f t="shared" si="0"/>
        <v>8451964.8000007905</v>
      </c>
      <c r="I28" s="81">
        <f t="shared" si="1"/>
        <v>23615783.999999247</v>
      </c>
      <c r="J28" s="81">
        <f t="shared" si="2"/>
        <v>32067748.800000038</v>
      </c>
      <c r="K28" s="81">
        <f t="shared" si="4"/>
        <v>769625.97120000096</v>
      </c>
      <c r="L28" s="104">
        <f t="shared" si="6"/>
        <v>32837374.771200038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43975</v>
      </c>
      <c r="C29" s="59">
        <f t="shared" si="5"/>
        <v>170</v>
      </c>
      <c r="D29" s="87">
        <v>1035.78</v>
      </c>
      <c r="E29" s="113">
        <v>5439.9999999995998</v>
      </c>
      <c r="F29" s="113">
        <v>22319.999999999709</v>
      </c>
      <c r="G29" s="80">
        <f t="shared" si="3"/>
        <v>27759.999999999309</v>
      </c>
      <c r="H29" s="81">
        <f t="shared" si="0"/>
        <v>8451964.7999993786</v>
      </c>
      <c r="I29" s="81">
        <f t="shared" si="1"/>
        <v>23118609.5999997</v>
      </c>
      <c r="J29" s="81">
        <f t="shared" si="2"/>
        <v>31570574.399999078</v>
      </c>
      <c r="K29" s="81">
        <f t="shared" si="4"/>
        <v>757693.78559997794</v>
      </c>
      <c r="L29" s="104">
        <f t="shared" si="6"/>
        <v>32328268.185599055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43976</v>
      </c>
      <c r="C30" s="59">
        <f t="shared" si="5"/>
        <v>170</v>
      </c>
      <c r="D30" s="87">
        <v>1035.78</v>
      </c>
      <c r="E30" s="113">
        <v>5520.0000000004366</v>
      </c>
      <c r="F30" s="113">
        <v>24159.999999999854</v>
      </c>
      <c r="G30" s="80">
        <f t="shared" si="3"/>
        <v>29680.000000000291</v>
      </c>
      <c r="H30" s="81">
        <f t="shared" si="0"/>
        <v>8576258.4000006784</v>
      </c>
      <c r="I30" s="81">
        <f t="shared" si="1"/>
        <v>25024444.799999848</v>
      </c>
      <c r="J30" s="81">
        <f t="shared" si="2"/>
        <v>33600703.200000525</v>
      </c>
      <c r="K30" s="81">
        <f t="shared" si="4"/>
        <v>806416.87680001266</v>
      </c>
      <c r="L30" s="104">
        <f t="shared" si="6"/>
        <v>34407120.07680054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43977</v>
      </c>
      <c r="C31" s="59">
        <f t="shared" si="5"/>
        <v>170</v>
      </c>
      <c r="D31" s="87">
        <v>1035.78</v>
      </c>
      <c r="E31" s="113">
        <v>5559.9999999994907</v>
      </c>
      <c r="F31" s="113">
        <v>23440.000000002328</v>
      </c>
      <c r="G31" s="80">
        <f t="shared" si="3"/>
        <v>29000.000000001819</v>
      </c>
      <c r="H31" s="81">
        <f t="shared" si="0"/>
        <v>8638405.1999992076</v>
      </c>
      <c r="I31" s="81">
        <f t="shared" si="1"/>
        <v>24278683.20000241</v>
      </c>
      <c r="J31" s="81">
        <f t="shared" ref="J31:J33" si="7">I31+H31</f>
        <v>32917088.400001615</v>
      </c>
      <c r="K31" s="81">
        <f t="shared" si="4"/>
        <v>790010.12160003884</v>
      </c>
      <c r="L31" s="104">
        <f t="shared" ref="L31:L33" si="8">J31+K31</f>
        <v>33707098.521601655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43978</v>
      </c>
      <c r="C32" s="59">
        <f t="shared" si="5"/>
        <v>170</v>
      </c>
      <c r="D32" s="87">
        <v>1035.78</v>
      </c>
      <c r="E32" s="113">
        <v>5440.0000000005093</v>
      </c>
      <c r="F32" s="113">
        <v>23720.000000001164</v>
      </c>
      <c r="G32" s="80">
        <f t="shared" si="3"/>
        <v>29160.000000001673</v>
      </c>
      <c r="H32" s="81">
        <f t="shared" si="0"/>
        <v>8451964.8000007905</v>
      </c>
      <c r="I32" s="81">
        <f t="shared" si="1"/>
        <v>24568701.600001205</v>
      </c>
      <c r="J32" s="81">
        <f t="shared" si="7"/>
        <v>33020666.400001995</v>
      </c>
      <c r="K32" s="81">
        <f t="shared" si="4"/>
        <v>792495.99360004789</v>
      </c>
      <c r="L32" s="104">
        <f t="shared" si="8"/>
        <v>33813162.393602043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43979</v>
      </c>
      <c r="C33" s="59">
        <f t="shared" si="5"/>
        <v>170</v>
      </c>
      <c r="D33" s="87">
        <v>1035.78</v>
      </c>
      <c r="E33" s="113">
        <v>5680.000000000291</v>
      </c>
      <c r="F33" s="113">
        <v>23559.999999997672</v>
      </c>
      <c r="G33" s="80">
        <f t="shared" si="3"/>
        <v>29239.999999997963</v>
      </c>
      <c r="H33" s="81">
        <f t="shared" si="0"/>
        <v>8824845.6000004523</v>
      </c>
      <c r="I33" s="81">
        <f t="shared" si="1"/>
        <v>24402976.799997587</v>
      </c>
      <c r="J33" s="81">
        <f t="shared" si="7"/>
        <v>33227822.399998039</v>
      </c>
      <c r="K33" s="81">
        <f t="shared" si="4"/>
        <v>797467.73759995296</v>
      </c>
      <c r="L33" s="104">
        <f t="shared" si="8"/>
        <v>34025290.137597993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43980</v>
      </c>
      <c r="C34" s="59">
        <f t="shared" si="5"/>
        <v>170</v>
      </c>
      <c r="D34" s="87">
        <v>1035.78</v>
      </c>
      <c r="E34" s="113">
        <v>5599.9999999994543</v>
      </c>
      <c r="F34" s="113">
        <v>23680.000000000291</v>
      </c>
      <c r="G34" s="80">
        <f t="shared" ref="G34" si="9">F34+E34</f>
        <v>29279.999999999745</v>
      </c>
      <c r="H34" s="81">
        <f t="shared" ref="H34" si="10">E34*1.5*D34</f>
        <v>8700551.9999991525</v>
      </c>
      <c r="I34" s="81">
        <f t="shared" ref="I34" si="11">F34*D34</f>
        <v>24527270.4000003</v>
      </c>
      <c r="J34" s="81">
        <f t="shared" ref="J34" si="12">I34+H34</f>
        <v>33227822.399999455</v>
      </c>
      <c r="K34" s="81">
        <f t="shared" si="4"/>
        <v>797467.73759998695</v>
      </c>
      <c r="L34" s="104">
        <f t="shared" ref="L34" si="13">J34+K34</f>
        <v>34025290.137599438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43981</v>
      </c>
      <c r="C35" s="59">
        <f t="shared" si="5"/>
        <v>170</v>
      </c>
      <c r="D35" s="87">
        <v>1035.78</v>
      </c>
      <c r="E35" s="113">
        <v>5520.0000000004366</v>
      </c>
      <c r="F35" s="113">
        <v>25159.999999999854</v>
      </c>
      <c r="G35" s="80">
        <f t="shared" ref="G35:G36" si="14">F35+E35</f>
        <v>30680.000000000291</v>
      </c>
      <c r="H35" s="81">
        <f t="shared" ref="H35:H36" si="15">E35*1.5*D35</f>
        <v>8576258.4000006784</v>
      </c>
      <c r="I35" s="81">
        <f t="shared" ref="I35:I36" si="16">F35*D35</f>
        <v>26060224.799999848</v>
      </c>
      <c r="J35" s="81">
        <f t="shared" ref="J35:J36" si="17">I35+H35</f>
        <v>34636483.200000525</v>
      </c>
      <c r="K35" s="81">
        <f t="shared" si="4"/>
        <v>831275.59680001263</v>
      </c>
      <c r="L35" s="104">
        <f t="shared" ref="L35:L36" si="18">J35+K35</f>
        <v>35467758.796800539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43982</v>
      </c>
      <c r="C36" s="59">
        <f t="shared" si="5"/>
        <v>170</v>
      </c>
      <c r="D36" s="87">
        <v>1035.78</v>
      </c>
      <c r="E36" s="113">
        <v>5559.9999999994907</v>
      </c>
      <c r="F36" s="113">
        <v>22439.99999999869</v>
      </c>
      <c r="G36" s="80">
        <f t="shared" si="14"/>
        <v>27999.999999998181</v>
      </c>
      <c r="H36" s="81">
        <f t="shared" si="15"/>
        <v>8638405.1999992076</v>
      </c>
      <c r="I36" s="81">
        <f t="shared" si="16"/>
        <v>23242903.199998643</v>
      </c>
      <c r="J36" s="81">
        <f t="shared" si="17"/>
        <v>31881308.399997853</v>
      </c>
      <c r="K36" s="81">
        <f t="shared" si="4"/>
        <v>765151.40159994853</v>
      </c>
      <c r="L36" s="104">
        <f t="shared" si="18"/>
        <v>32646459.8015978</v>
      </c>
      <c r="M36" s="1"/>
      <c r="N36" s="1"/>
      <c r="O36" s="1"/>
      <c r="P36" s="1"/>
      <c r="Q36" s="1"/>
    </row>
    <row r="37" spans="2:17" s="1" customFormat="1" x14ac:dyDescent="0.25">
      <c r="B37" s="7"/>
      <c r="C37" s="9">
        <f>SUM(C6:C33)</f>
        <v>4760</v>
      </c>
      <c r="D37" s="88"/>
      <c r="E37" s="82">
        <f t="shared" ref="E37:L37" si="19">SUM(E6:E36)</f>
        <v>165479.99999999953</v>
      </c>
      <c r="F37" s="82">
        <f t="shared" si="19"/>
        <v>704279.99999999884</v>
      </c>
      <c r="G37" s="82">
        <f t="shared" si="19"/>
        <v>869759.99999999814</v>
      </c>
      <c r="H37" s="82">
        <f t="shared" si="19"/>
        <v>257101311.59999937</v>
      </c>
      <c r="I37" s="82">
        <f t="shared" si="19"/>
        <v>729479138.39999866</v>
      </c>
      <c r="J37" s="82">
        <f t="shared" si="19"/>
        <v>986580449.99999809</v>
      </c>
      <c r="K37" s="82">
        <f t="shared" si="19"/>
        <v>23677930.79999996</v>
      </c>
      <c r="L37" s="82">
        <f t="shared" si="19"/>
        <v>1010258380.7999983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D8" sqref="D8"/>
    </sheetView>
  </sheetViews>
  <sheetFormatPr defaultRowHeight="15" x14ac:dyDescent="0.25"/>
  <cols>
    <col min="1" max="4" width="9.140625" style="55"/>
    <col min="5" max="5" width="19.28515625" style="55" customWidth="1"/>
    <col min="6" max="6" width="29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4" t="s">
        <v>3</v>
      </c>
      <c r="C1" s="134"/>
      <c r="D1" s="134"/>
      <c r="E1" s="134"/>
      <c r="F1" s="134"/>
      <c r="G1" s="134"/>
    </row>
    <row r="2" spans="1:43" ht="15" customHeight="1" x14ac:dyDescent="0.25">
      <c r="B2" s="134"/>
      <c r="C2" s="134"/>
      <c r="D2" s="134"/>
      <c r="E2" s="134"/>
      <c r="F2" s="134"/>
      <c r="G2" s="134"/>
    </row>
    <row r="3" spans="1:43" s="63" customFormat="1" ht="27" customHeight="1" x14ac:dyDescent="0.3">
      <c r="A3" s="61"/>
      <c r="B3" s="135" t="s">
        <v>0</v>
      </c>
      <c r="C3" s="135" t="s">
        <v>22</v>
      </c>
      <c r="D3" s="136" t="s">
        <v>21</v>
      </c>
      <c r="E3" s="75" t="s">
        <v>30</v>
      </c>
      <c r="F3" s="62" t="s">
        <v>32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5"/>
      <c r="C4" s="135"/>
      <c r="D4" s="137"/>
      <c r="E4" s="77" t="s">
        <v>31</v>
      </c>
      <c r="F4" s="62" t="s">
        <v>31</v>
      </c>
      <c r="G4" s="62" t="s">
        <v>31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5</v>
      </c>
      <c r="D5" s="78">
        <v>2020</v>
      </c>
      <c r="E5" s="108">
        <v>90</v>
      </c>
      <c r="F5" s="108">
        <v>223</v>
      </c>
      <c r="G5" s="56">
        <f>E5+F5</f>
        <v>313</v>
      </c>
    </row>
    <row r="6" spans="1:43" ht="15.75" x14ac:dyDescent="0.25">
      <c r="B6" s="78">
        <v>2</v>
      </c>
      <c r="C6" s="78">
        <v>5</v>
      </c>
      <c r="D6" s="78">
        <f>D5</f>
        <v>2020</v>
      </c>
      <c r="E6" s="108">
        <v>47</v>
      </c>
      <c r="F6" s="108">
        <v>230</v>
      </c>
      <c r="G6" s="56">
        <f t="shared" ref="G6:G34" si="0">E6+F6</f>
        <v>277</v>
      </c>
    </row>
    <row r="7" spans="1:43" ht="15.75" x14ac:dyDescent="0.25">
      <c r="B7" s="78">
        <v>3</v>
      </c>
      <c r="C7" s="78">
        <v>5</v>
      </c>
      <c r="D7" s="78">
        <f t="shared" ref="D7:D35" si="1">D6</f>
        <v>2020</v>
      </c>
      <c r="E7" s="108">
        <v>48</v>
      </c>
      <c r="F7" s="108">
        <v>229</v>
      </c>
      <c r="G7" s="56">
        <f t="shared" si="0"/>
        <v>277</v>
      </c>
    </row>
    <row r="8" spans="1:43" ht="15.75" x14ac:dyDescent="0.25">
      <c r="B8" s="78">
        <v>4</v>
      </c>
      <c r="C8" s="78">
        <v>5</v>
      </c>
      <c r="D8" s="78">
        <f t="shared" si="1"/>
        <v>2020</v>
      </c>
      <c r="E8" s="108">
        <v>49</v>
      </c>
      <c r="F8" s="108">
        <v>231</v>
      </c>
      <c r="G8" s="56">
        <f t="shared" si="0"/>
        <v>280</v>
      </c>
    </row>
    <row r="9" spans="1:43" ht="15.75" x14ac:dyDescent="0.25">
      <c r="B9" s="78">
        <v>5</v>
      </c>
      <c r="C9" s="78">
        <v>5</v>
      </c>
      <c r="D9" s="78">
        <f t="shared" si="1"/>
        <v>2020</v>
      </c>
      <c r="E9" s="109">
        <v>58</v>
      </c>
      <c r="F9" s="109">
        <v>280</v>
      </c>
      <c r="G9" s="56">
        <f t="shared" si="0"/>
        <v>338</v>
      </c>
    </row>
    <row r="10" spans="1:43" ht="15.75" x14ac:dyDescent="0.25">
      <c r="B10" s="78">
        <v>6</v>
      </c>
      <c r="C10" s="78">
        <v>5</v>
      </c>
      <c r="D10" s="78">
        <f t="shared" si="1"/>
        <v>2020</v>
      </c>
      <c r="E10" s="108">
        <v>82</v>
      </c>
      <c r="F10" s="108">
        <v>383</v>
      </c>
      <c r="G10" s="56">
        <f t="shared" si="0"/>
        <v>465</v>
      </c>
    </row>
    <row r="11" spans="1:43" ht="15.75" x14ac:dyDescent="0.25">
      <c r="B11" s="78">
        <v>7</v>
      </c>
      <c r="C11" s="78">
        <v>5</v>
      </c>
      <c r="D11" s="78">
        <f t="shared" si="1"/>
        <v>2020</v>
      </c>
      <c r="E11" s="108">
        <v>54</v>
      </c>
      <c r="F11" s="108">
        <v>254</v>
      </c>
      <c r="G11" s="56">
        <f t="shared" si="0"/>
        <v>308</v>
      </c>
    </row>
    <row r="12" spans="1:43" ht="15.75" x14ac:dyDescent="0.25">
      <c r="B12" s="78">
        <v>8</v>
      </c>
      <c r="C12" s="78">
        <v>5</v>
      </c>
      <c r="D12" s="78">
        <f t="shared" si="1"/>
        <v>2020</v>
      </c>
      <c r="E12" s="108">
        <v>50</v>
      </c>
      <c r="F12" s="108">
        <v>235</v>
      </c>
      <c r="G12" s="56">
        <f t="shared" si="0"/>
        <v>285</v>
      </c>
    </row>
    <row r="13" spans="1:43" ht="15.75" x14ac:dyDescent="0.25">
      <c r="B13" s="78">
        <v>9</v>
      </c>
      <c r="C13" s="78">
        <v>5</v>
      </c>
      <c r="D13" s="78">
        <f t="shared" si="1"/>
        <v>2020</v>
      </c>
      <c r="E13" s="108">
        <v>48</v>
      </c>
      <c r="F13" s="108">
        <v>233</v>
      </c>
      <c r="G13" s="56">
        <f t="shared" si="0"/>
        <v>281</v>
      </c>
    </row>
    <row r="14" spans="1:43" ht="15.75" x14ac:dyDescent="0.25">
      <c r="B14" s="78">
        <v>10</v>
      </c>
      <c r="C14" s="78">
        <v>5</v>
      </c>
      <c r="D14" s="78">
        <f t="shared" si="1"/>
        <v>2020</v>
      </c>
      <c r="E14" s="108">
        <v>48</v>
      </c>
      <c r="F14" s="108">
        <v>230</v>
      </c>
      <c r="G14" s="56">
        <f t="shared" si="0"/>
        <v>278</v>
      </c>
    </row>
    <row r="15" spans="1:43" ht="15.75" x14ac:dyDescent="0.25">
      <c r="B15" s="78">
        <v>11</v>
      </c>
      <c r="C15" s="78">
        <v>5</v>
      </c>
      <c r="D15" s="78">
        <f t="shared" si="1"/>
        <v>2020</v>
      </c>
      <c r="E15" s="108">
        <v>47</v>
      </c>
      <c r="F15" s="109">
        <v>226</v>
      </c>
      <c r="G15" s="56">
        <f t="shared" si="0"/>
        <v>273</v>
      </c>
    </row>
    <row r="16" spans="1:43" ht="15.75" x14ac:dyDescent="0.25">
      <c r="B16" s="78">
        <v>12</v>
      </c>
      <c r="C16" s="78">
        <v>5</v>
      </c>
      <c r="D16" s="78">
        <f t="shared" si="1"/>
        <v>2020</v>
      </c>
      <c r="E16" s="109">
        <v>54</v>
      </c>
      <c r="F16" s="109">
        <v>251</v>
      </c>
      <c r="G16" s="56">
        <f t="shared" si="0"/>
        <v>305</v>
      </c>
    </row>
    <row r="17" spans="2:7" ht="15.75" x14ac:dyDescent="0.25">
      <c r="B17" s="78">
        <v>13</v>
      </c>
      <c r="C17" s="78">
        <v>5</v>
      </c>
      <c r="D17" s="78">
        <f t="shared" si="1"/>
        <v>2020</v>
      </c>
      <c r="E17" s="108">
        <v>53</v>
      </c>
      <c r="F17" s="109">
        <v>247</v>
      </c>
      <c r="G17" s="56">
        <f t="shared" si="0"/>
        <v>300</v>
      </c>
    </row>
    <row r="18" spans="2:7" ht="15.75" x14ac:dyDescent="0.25">
      <c r="B18" s="78">
        <v>14</v>
      </c>
      <c r="C18" s="78">
        <v>5</v>
      </c>
      <c r="D18" s="78">
        <f t="shared" si="1"/>
        <v>2020</v>
      </c>
      <c r="E18" s="108">
        <v>50</v>
      </c>
      <c r="F18" s="108">
        <v>234</v>
      </c>
      <c r="G18" s="56">
        <f t="shared" si="0"/>
        <v>284</v>
      </c>
    </row>
    <row r="19" spans="2:7" ht="15.75" x14ac:dyDescent="0.25">
      <c r="B19" s="78">
        <v>15</v>
      </c>
      <c r="C19" s="78">
        <v>5</v>
      </c>
      <c r="D19" s="78">
        <f t="shared" si="1"/>
        <v>2020</v>
      </c>
      <c r="E19" s="108">
        <v>69</v>
      </c>
      <c r="F19" s="108">
        <v>326</v>
      </c>
      <c r="G19" s="56">
        <f t="shared" si="0"/>
        <v>395</v>
      </c>
    </row>
    <row r="20" spans="2:7" ht="15.75" x14ac:dyDescent="0.25">
      <c r="B20" s="78">
        <v>16</v>
      </c>
      <c r="C20" s="78">
        <v>5</v>
      </c>
      <c r="D20" s="78">
        <f t="shared" si="1"/>
        <v>2020</v>
      </c>
      <c r="E20" s="108">
        <v>68</v>
      </c>
      <c r="F20" s="108">
        <v>319</v>
      </c>
      <c r="G20" s="56">
        <f t="shared" si="0"/>
        <v>387</v>
      </c>
    </row>
    <row r="21" spans="2:7" ht="15.75" x14ac:dyDescent="0.25">
      <c r="B21" s="78">
        <v>17</v>
      </c>
      <c r="C21" s="78">
        <v>5</v>
      </c>
      <c r="D21" s="78">
        <f t="shared" si="1"/>
        <v>2020</v>
      </c>
      <c r="E21" s="108">
        <v>-38</v>
      </c>
      <c r="F21" s="108">
        <v>246</v>
      </c>
      <c r="G21" s="56">
        <f t="shared" si="0"/>
        <v>208</v>
      </c>
    </row>
    <row r="22" spans="2:7" ht="15.75" x14ac:dyDescent="0.25">
      <c r="B22" s="78">
        <v>18</v>
      </c>
      <c r="C22" s="78">
        <v>5</v>
      </c>
      <c r="D22" s="78">
        <f t="shared" si="1"/>
        <v>2020</v>
      </c>
      <c r="E22" s="108">
        <v>135</v>
      </c>
      <c r="F22" s="108">
        <v>229</v>
      </c>
      <c r="G22" s="56">
        <f t="shared" si="0"/>
        <v>364</v>
      </c>
    </row>
    <row r="23" spans="2:7" ht="15.75" x14ac:dyDescent="0.25">
      <c r="B23" s="78">
        <v>19</v>
      </c>
      <c r="C23" s="78">
        <v>5</v>
      </c>
      <c r="D23" s="78">
        <f t="shared" si="1"/>
        <v>2020</v>
      </c>
      <c r="E23" s="109">
        <v>51</v>
      </c>
      <c r="F23" s="109">
        <v>242</v>
      </c>
      <c r="G23" s="56">
        <f t="shared" si="0"/>
        <v>293</v>
      </c>
    </row>
    <row r="24" spans="2:7" ht="15.75" x14ac:dyDescent="0.25">
      <c r="B24" s="78">
        <v>20</v>
      </c>
      <c r="C24" s="78">
        <v>5</v>
      </c>
      <c r="D24" s="78">
        <f t="shared" si="1"/>
        <v>2020</v>
      </c>
      <c r="E24" s="108">
        <v>48</v>
      </c>
      <c r="F24" s="108">
        <v>236</v>
      </c>
      <c r="G24" s="56">
        <f t="shared" si="0"/>
        <v>284</v>
      </c>
    </row>
    <row r="25" spans="2:7" ht="15.75" x14ac:dyDescent="0.25">
      <c r="B25" s="78">
        <v>21</v>
      </c>
      <c r="C25" s="78">
        <v>5</v>
      </c>
      <c r="D25" s="78">
        <f t="shared" si="1"/>
        <v>2020</v>
      </c>
      <c r="E25" s="108">
        <v>52</v>
      </c>
      <c r="F25" s="108">
        <v>251</v>
      </c>
      <c r="G25" s="56">
        <f t="shared" si="0"/>
        <v>303</v>
      </c>
    </row>
    <row r="26" spans="2:7" ht="15.75" x14ac:dyDescent="0.25">
      <c r="B26" s="78">
        <v>22</v>
      </c>
      <c r="C26" s="78">
        <v>5</v>
      </c>
      <c r="D26" s="78">
        <f t="shared" si="1"/>
        <v>2020</v>
      </c>
      <c r="E26" s="108">
        <v>77</v>
      </c>
      <c r="F26" s="108">
        <v>366</v>
      </c>
      <c r="G26" s="56">
        <f t="shared" si="0"/>
        <v>443</v>
      </c>
    </row>
    <row r="27" spans="2:7" ht="15.75" x14ac:dyDescent="0.25">
      <c r="B27" s="78">
        <v>23</v>
      </c>
      <c r="C27" s="78">
        <v>5</v>
      </c>
      <c r="D27" s="78">
        <f t="shared" si="1"/>
        <v>2020</v>
      </c>
      <c r="E27" s="108">
        <v>52</v>
      </c>
      <c r="F27" s="108">
        <v>252</v>
      </c>
      <c r="G27" s="56">
        <f t="shared" si="0"/>
        <v>304</v>
      </c>
    </row>
    <row r="28" spans="2:7" ht="15.75" x14ac:dyDescent="0.25">
      <c r="B28" s="78">
        <v>24</v>
      </c>
      <c r="C28" s="78">
        <v>5</v>
      </c>
      <c r="D28" s="78">
        <f t="shared" si="1"/>
        <v>2020</v>
      </c>
      <c r="E28" s="108">
        <v>46</v>
      </c>
      <c r="F28" s="108">
        <v>227</v>
      </c>
      <c r="G28" s="56">
        <f t="shared" si="0"/>
        <v>273</v>
      </c>
    </row>
    <row r="29" spans="2:7" ht="15.75" x14ac:dyDescent="0.25">
      <c r="B29" s="78">
        <v>25</v>
      </c>
      <c r="C29" s="78">
        <v>5</v>
      </c>
      <c r="D29" s="78">
        <f t="shared" si="1"/>
        <v>2020</v>
      </c>
      <c r="E29" s="108">
        <v>51</v>
      </c>
      <c r="F29" s="108">
        <v>247</v>
      </c>
      <c r="G29" s="56">
        <f t="shared" si="0"/>
        <v>298</v>
      </c>
    </row>
    <row r="30" spans="2:7" ht="15.75" x14ac:dyDescent="0.25">
      <c r="B30" s="78">
        <v>26</v>
      </c>
      <c r="C30" s="78">
        <v>5</v>
      </c>
      <c r="D30" s="78">
        <f t="shared" si="1"/>
        <v>2020</v>
      </c>
      <c r="E30" s="109">
        <v>47</v>
      </c>
      <c r="F30" s="109">
        <v>232</v>
      </c>
      <c r="G30" s="56">
        <f t="shared" si="0"/>
        <v>279</v>
      </c>
    </row>
    <row r="31" spans="2:7" ht="15.75" x14ac:dyDescent="0.25">
      <c r="B31" s="78">
        <v>27</v>
      </c>
      <c r="C31" s="78">
        <v>5</v>
      </c>
      <c r="D31" s="78">
        <f t="shared" si="1"/>
        <v>2020</v>
      </c>
      <c r="E31" s="108">
        <v>50</v>
      </c>
      <c r="F31" s="108">
        <v>236</v>
      </c>
      <c r="G31" s="56">
        <f t="shared" si="0"/>
        <v>286</v>
      </c>
    </row>
    <row r="32" spans="2:7" ht="15.75" x14ac:dyDescent="0.25">
      <c r="B32" s="78">
        <v>28</v>
      </c>
      <c r="C32" s="78">
        <v>5</v>
      </c>
      <c r="D32" s="78">
        <f t="shared" si="1"/>
        <v>2020</v>
      </c>
      <c r="E32" s="108">
        <v>53</v>
      </c>
      <c r="F32" s="108">
        <v>252</v>
      </c>
      <c r="G32" s="56">
        <f t="shared" si="0"/>
        <v>305</v>
      </c>
    </row>
    <row r="33" spans="2:9" ht="15.75" x14ac:dyDescent="0.25">
      <c r="B33" s="78">
        <v>29</v>
      </c>
      <c r="C33" s="78">
        <v>5</v>
      </c>
      <c r="D33" s="78">
        <f t="shared" si="1"/>
        <v>2020</v>
      </c>
      <c r="E33" s="108">
        <v>82</v>
      </c>
      <c r="F33" s="108">
        <v>384</v>
      </c>
      <c r="G33" s="56">
        <f t="shared" si="0"/>
        <v>466</v>
      </c>
    </row>
    <row r="34" spans="2:9" ht="15.75" x14ac:dyDescent="0.25">
      <c r="B34" s="78">
        <v>30</v>
      </c>
      <c r="C34" s="78">
        <v>5</v>
      </c>
      <c r="D34" s="78">
        <f t="shared" si="1"/>
        <v>2020</v>
      </c>
      <c r="E34" s="108">
        <v>59</v>
      </c>
      <c r="F34" s="108">
        <v>273</v>
      </c>
      <c r="G34" s="56">
        <f t="shared" si="0"/>
        <v>332</v>
      </c>
    </row>
    <row r="35" spans="2:9" ht="15.75" x14ac:dyDescent="0.25">
      <c r="B35" s="78">
        <v>31</v>
      </c>
      <c r="C35" s="78">
        <v>5</v>
      </c>
      <c r="D35" s="78">
        <f t="shared" si="1"/>
        <v>2020</v>
      </c>
      <c r="E35" s="108">
        <v>47</v>
      </c>
      <c r="F35" s="108">
        <v>227</v>
      </c>
      <c r="G35" s="56">
        <f t="shared" ref="G35" si="2">E35+F35</f>
        <v>274</v>
      </c>
    </row>
    <row r="36" spans="2:9" ht="21" x14ac:dyDescent="0.35">
      <c r="B36" s="64"/>
      <c r="C36" s="64"/>
      <c r="D36" s="64"/>
      <c r="E36" s="14">
        <f>SUM(E5:E35)</f>
        <v>1727</v>
      </c>
      <c r="F36" s="14">
        <f>SUM(F5:F35)</f>
        <v>8031</v>
      </c>
      <c r="G36" s="14">
        <f>SUM(G5:G35)</f>
        <v>9758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E36+F36</f>
        <v>9758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122462900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2023-03-14T07:25:51Z</dcterms:modified>
</cp:coreProperties>
</file>