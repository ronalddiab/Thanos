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2" l="1"/>
  <c r="K21" i="2"/>
  <c r="K22" i="2"/>
  <c r="K23" i="2"/>
  <c r="K24" i="2"/>
  <c r="K25" i="2"/>
  <c r="K26" i="2"/>
  <c r="K27" i="2"/>
  <c r="K28" i="2"/>
  <c r="K29" i="2"/>
  <c r="K30" i="2"/>
  <c r="K31" i="2"/>
  <c r="K32" i="2"/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 l="1"/>
  <c r="Y40" i="3" l="1"/>
  <c r="U39" i="3"/>
  <c r="P39" i="3"/>
  <c r="I32" i="2" s="1"/>
  <c r="N39" i="3"/>
  <c r="H39" i="3"/>
  <c r="G32" i="2" s="1"/>
  <c r="F39" i="3"/>
  <c r="F32" i="2" s="1"/>
  <c r="D39" i="3"/>
  <c r="U38" i="3"/>
  <c r="V38" i="3" s="1"/>
  <c r="P38" i="3"/>
  <c r="I31" i="2" s="1"/>
  <c r="N38" i="3"/>
  <c r="H31" i="2" s="1"/>
  <c r="H38" i="3"/>
  <c r="G31" i="2" s="1"/>
  <c r="F38" i="3"/>
  <c r="F31" i="2" s="1"/>
  <c r="D38" i="3"/>
  <c r="E31" i="2" s="1"/>
  <c r="U37" i="3"/>
  <c r="P37" i="3"/>
  <c r="I30" i="2" s="1"/>
  <c r="N37" i="3"/>
  <c r="H37" i="3"/>
  <c r="G30" i="2" s="1"/>
  <c r="F37" i="3"/>
  <c r="F30" i="2" s="1"/>
  <c r="D37" i="3"/>
  <c r="E30" i="2" s="1"/>
  <c r="U36" i="3"/>
  <c r="P36" i="3"/>
  <c r="I29" i="2" s="1"/>
  <c r="N36" i="3"/>
  <c r="H29" i="2" s="1"/>
  <c r="H36" i="3"/>
  <c r="G29" i="2" s="1"/>
  <c r="F36" i="3"/>
  <c r="F29" i="2" s="1"/>
  <c r="D36" i="3"/>
  <c r="E29" i="2" s="1"/>
  <c r="U35" i="3"/>
  <c r="P35" i="3"/>
  <c r="N35" i="3"/>
  <c r="H35" i="3"/>
  <c r="G28" i="2" s="1"/>
  <c r="F35" i="3"/>
  <c r="F28" i="2" s="1"/>
  <c r="D35" i="3"/>
  <c r="E28" i="2" s="1"/>
  <c r="U34" i="3"/>
  <c r="V34" i="3" s="1"/>
  <c r="P34" i="3"/>
  <c r="N34" i="3"/>
  <c r="H27" i="2" s="1"/>
  <c r="H34" i="3"/>
  <c r="G27" i="2" s="1"/>
  <c r="F34" i="3"/>
  <c r="F27" i="2" s="1"/>
  <c r="D34" i="3"/>
  <c r="E27" i="2" s="1"/>
  <c r="U33" i="3"/>
  <c r="P33" i="3"/>
  <c r="I26" i="2" s="1"/>
  <c r="N33" i="3"/>
  <c r="H33" i="3"/>
  <c r="G26" i="2" s="1"/>
  <c r="F33" i="3"/>
  <c r="F26" i="2" s="1"/>
  <c r="D33" i="3"/>
  <c r="E26" i="2" s="1"/>
  <c r="U32" i="3"/>
  <c r="V32" i="3" s="1"/>
  <c r="P32" i="3"/>
  <c r="I25" i="2" s="1"/>
  <c r="N32" i="3"/>
  <c r="H25" i="2" s="1"/>
  <c r="H32" i="3"/>
  <c r="G25" i="2" s="1"/>
  <c r="F32" i="3"/>
  <c r="F25" i="2" s="1"/>
  <c r="D32" i="3"/>
  <c r="E25" i="2" s="1"/>
  <c r="U31" i="3"/>
  <c r="V31" i="3" s="1"/>
  <c r="P31" i="3"/>
  <c r="N31" i="3"/>
  <c r="H24" i="2" s="1"/>
  <c r="H31" i="3"/>
  <c r="G24" i="2" s="1"/>
  <c r="F31" i="3"/>
  <c r="F24" i="2" s="1"/>
  <c r="D31" i="3"/>
  <c r="E24" i="2" s="1"/>
  <c r="U30" i="3"/>
  <c r="P30" i="3"/>
  <c r="I23" i="2" s="1"/>
  <c r="N30" i="3"/>
  <c r="H30" i="3"/>
  <c r="G23" i="2" s="1"/>
  <c r="F30" i="3"/>
  <c r="F23" i="2" s="1"/>
  <c r="D30" i="3"/>
  <c r="E23" i="2" s="1"/>
  <c r="U29" i="3"/>
  <c r="V29" i="3" s="1"/>
  <c r="P29" i="3"/>
  <c r="I22" i="2" s="1"/>
  <c r="N29" i="3"/>
  <c r="H22" i="2" s="1"/>
  <c r="H29" i="3"/>
  <c r="G22" i="2" s="1"/>
  <c r="F29" i="3"/>
  <c r="F22" i="2" s="1"/>
  <c r="D29" i="3"/>
  <c r="E22" i="2" s="1"/>
  <c r="U28" i="3"/>
  <c r="P28" i="3"/>
  <c r="I21" i="2" s="1"/>
  <c r="N28" i="3"/>
  <c r="H28" i="3"/>
  <c r="G21" i="2" s="1"/>
  <c r="F28" i="3"/>
  <c r="F21" i="2" s="1"/>
  <c r="D28" i="3"/>
  <c r="E21" i="2" s="1"/>
  <c r="U27" i="3"/>
  <c r="V27" i="3" s="1"/>
  <c r="P27" i="3"/>
  <c r="I20" i="2" s="1"/>
  <c r="N27" i="3"/>
  <c r="H20" i="2" s="1"/>
  <c r="H27" i="3"/>
  <c r="G20" i="2" s="1"/>
  <c r="F27" i="3"/>
  <c r="F20" i="2" s="1"/>
  <c r="D27" i="3"/>
  <c r="E20" i="2" s="1"/>
  <c r="U26" i="3"/>
  <c r="P26" i="3"/>
  <c r="N26" i="3"/>
  <c r="H26" i="3"/>
  <c r="G19" i="2" s="1"/>
  <c r="F26" i="3"/>
  <c r="F19" i="2" s="1"/>
  <c r="D26" i="3"/>
  <c r="E19" i="2" s="1"/>
  <c r="U25" i="3"/>
  <c r="P25" i="3"/>
  <c r="I18" i="2" s="1"/>
  <c r="N25" i="3"/>
  <c r="H18" i="2" s="1"/>
  <c r="H25" i="3"/>
  <c r="G18" i="2" s="1"/>
  <c r="F25" i="3"/>
  <c r="F18" i="2" s="1"/>
  <c r="D25" i="3"/>
  <c r="E18" i="2" s="1"/>
  <c r="U24" i="3"/>
  <c r="P24" i="3"/>
  <c r="I17" i="2" s="1"/>
  <c r="N24" i="3"/>
  <c r="H17" i="2" s="1"/>
  <c r="H24" i="3"/>
  <c r="G17" i="2" s="1"/>
  <c r="F24" i="3"/>
  <c r="F17" i="2" s="1"/>
  <c r="D24" i="3"/>
  <c r="E17" i="2" s="1"/>
  <c r="U23" i="3"/>
  <c r="P23" i="3"/>
  <c r="N23" i="3"/>
  <c r="H16" i="2" s="1"/>
  <c r="H23" i="3"/>
  <c r="G16" i="2" s="1"/>
  <c r="F23" i="3"/>
  <c r="F16" i="2" s="1"/>
  <c r="D23" i="3"/>
  <c r="E16" i="2" s="1"/>
  <c r="U22" i="3"/>
  <c r="P22" i="3"/>
  <c r="I15" i="2" s="1"/>
  <c r="N22" i="3"/>
  <c r="H15" i="2" s="1"/>
  <c r="H22" i="3"/>
  <c r="G15" i="2" s="1"/>
  <c r="F22" i="3"/>
  <c r="F15" i="2" s="1"/>
  <c r="D22" i="3"/>
  <c r="E15" i="2" s="1"/>
  <c r="U21" i="3"/>
  <c r="V21" i="3" s="1"/>
  <c r="P21" i="3"/>
  <c r="I14" i="2" s="1"/>
  <c r="N21" i="3"/>
  <c r="H14" i="2" s="1"/>
  <c r="H21" i="3"/>
  <c r="G14" i="2" s="1"/>
  <c r="F21" i="3"/>
  <c r="F14" i="2" s="1"/>
  <c r="D21" i="3"/>
  <c r="E14" i="2" s="1"/>
  <c r="U20" i="3"/>
  <c r="P20" i="3"/>
  <c r="I13" i="2" s="1"/>
  <c r="N20" i="3"/>
  <c r="H13" i="2" s="1"/>
  <c r="H20" i="3"/>
  <c r="G13" i="2" s="1"/>
  <c r="F20" i="3"/>
  <c r="F13" i="2" s="1"/>
  <c r="D20" i="3"/>
  <c r="E13" i="2" s="1"/>
  <c r="U19" i="3"/>
  <c r="P19" i="3"/>
  <c r="I12" i="2" s="1"/>
  <c r="N19" i="3"/>
  <c r="H12" i="2" s="1"/>
  <c r="H19" i="3"/>
  <c r="G12" i="2" s="1"/>
  <c r="F19" i="3"/>
  <c r="F12" i="2" s="1"/>
  <c r="D19" i="3"/>
  <c r="E12" i="2" s="1"/>
  <c r="U18" i="3"/>
  <c r="P18" i="3"/>
  <c r="I11" i="2" s="1"/>
  <c r="N18" i="3"/>
  <c r="H11" i="2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P17" i="3"/>
  <c r="I10" i="2" s="1"/>
  <c r="N17" i="3"/>
  <c r="H10" i="2" s="1"/>
  <c r="H17" i="3"/>
  <c r="G10" i="2" s="1"/>
  <c r="F17" i="3"/>
  <c r="F10" i="2" s="1"/>
  <c r="D17" i="3"/>
  <c r="E10" i="2" s="1"/>
  <c r="U16" i="3"/>
  <c r="P16" i="3"/>
  <c r="I9" i="2" s="1"/>
  <c r="N16" i="3"/>
  <c r="H9" i="2" s="1"/>
  <c r="H16" i="3"/>
  <c r="G9" i="2" s="1"/>
  <c r="F16" i="3"/>
  <c r="F9" i="2" s="1"/>
  <c r="D16" i="3"/>
  <c r="E9" i="2" s="1"/>
  <c r="U15" i="3"/>
  <c r="P15" i="3"/>
  <c r="I8" i="2" s="1"/>
  <c r="N15" i="3"/>
  <c r="H8" i="2" s="1"/>
  <c r="H15" i="3"/>
  <c r="G8" i="2" s="1"/>
  <c r="F15" i="3"/>
  <c r="F8" i="2" s="1"/>
  <c r="D15" i="3"/>
  <c r="E8" i="2" s="1"/>
  <c r="U14" i="3"/>
  <c r="P14" i="3"/>
  <c r="I7" i="2" s="1"/>
  <c r="N14" i="3"/>
  <c r="H7" i="2" s="1"/>
  <c r="H14" i="3"/>
  <c r="G7" i="2" s="1"/>
  <c r="F14" i="3"/>
  <c r="F7" i="2" s="1"/>
  <c r="D14" i="3"/>
  <c r="E7" i="2" s="1"/>
  <c r="U13" i="3"/>
  <c r="P13" i="3"/>
  <c r="I6" i="2" s="1"/>
  <c r="N13" i="3"/>
  <c r="H6" i="2" s="1"/>
  <c r="H13" i="3"/>
  <c r="G6" i="2" s="1"/>
  <c r="F13" i="3"/>
  <c r="F6" i="2" s="1"/>
  <c r="D13" i="3"/>
  <c r="E6" i="2" s="1"/>
  <c r="U12" i="3"/>
  <c r="P12" i="3"/>
  <c r="I5" i="2" s="1"/>
  <c r="N12" i="3"/>
  <c r="H5" i="2" s="1"/>
  <c r="H12" i="3"/>
  <c r="G5" i="2" s="1"/>
  <c r="F12" i="3"/>
  <c r="F5" i="2" s="1"/>
  <c r="D12" i="3"/>
  <c r="E5" i="2" s="1"/>
  <c r="U11" i="3"/>
  <c r="P11" i="3"/>
  <c r="I4" i="2" s="1"/>
  <c r="N11" i="3"/>
  <c r="H4" i="2" s="1"/>
  <c r="H11" i="3"/>
  <c r="G4" i="2" s="1"/>
  <c r="F11" i="3"/>
  <c r="F4" i="2" s="1"/>
  <c r="D11" i="3"/>
  <c r="E4" i="2" s="1"/>
  <c r="U10" i="3"/>
  <c r="P10" i="3"/>
  <c r="I3" i="2" s="1"/>
  <c r="N10" i="3"/>
  <c r="H3" i="2" s="1"/>
  <c r="H10" i="3"/>
  <c r="G3" i="2" s="1"/>
  <c r="F10" i="3"/>
  <c r="F3" i="2" s="1"/>
  <c r="D10" i="3"/>
  <c r="B10" i="3"/>
  <c r="B11" i="3" s="1"/>
  <c r="B12" i="3" s="1"/>
  <c r="B13" i="3" s="1"/>
  <c r="B14" i="3" s="1"/>
  <c r="B15" i="3" s="1"/>
  <c r="B16" i="3" s="1"/>
  <c r="U9" i="3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G20" i="1" l="1"/>
  <c r="Q6" i="3"/>
  <c r="R6" i="3" s="1"/>
  <c r="G25" i="1"/>
  <c r="G29" i="1"/>
  <c r="E29" i="1"/>
  <c r="G22" i="1"/>
  <c r="G11" i="1"/>
  <c r="E11" i="1"/>
  <c r="E13" i="1"/>
  <c r="G2" i="1"/>
  <c r="G3" i="1"/>
  <c r="G5" i="1"/>
  <c r="G7" i="1"/>
  <c r="G9" i="1"/>
  <c r="V11" i="3"/>
  <c r="I4" i="1"/>
  <c r="J4" i="2"/>
  <c r="V13" i="3"/>
  <c r="I6" i="1"/>
  <c r="J6" i="2"/>
  <c r="V17" i="3"/>
  <c r="I10" i="1"/>
  <c r="J10" i="2"/>
  <c r="V15" i="3"/>
  <c r="I8" i="1"/>
  <c r="J8" i="2"/>
  <c r="V10" i="3"/>
  <c r="I3" i="1"/>
  <c r="J3" i="2"/>
  <c r="V12" i="3"/>
  <c r="I5" i="1"/>
  <c r="J5" i="2"/>
  <c r="V14" i="3"/>
  <c r="I7" i="1"/>
  <c r="J7" i="2"/>
  <c r="V16" i="3"/>
  <c r="I9" i="1"/>
  <c r="J9" i="2"/>
  <c r="I2" i="1"/>
  <c r="J2" i="2"/>
  <c r="V18" i="3"/>
  <c r="I11" i="1"/>
  <c r="J11" i="2"/>
  <c r="G4" i="1"/>
  <c r="G6" i="1"/>
  <c r="G8" i="1"/>
  <c r="G10" i="1"/>
  <c r="G15" i="1"/>
  <c r="G17" i="1"/>
  <c r="G12" i="1"/>
  <c r="G14" i="1"/>
  <c r="R10" i="3"/>
  <c r="R14" i="3"/>
  <c r="Q16" i="3"/>
  <c r="R13" i="3"/>
  <c r="E21" i="1"/>
  <c r="E23" i="1"/>
  <c r="E30" i="1"/>
  <c r="E5" i="1"/>
  <c r="E7" i="1"/>
  <c r="E9" i="1"/>
  <c r="E16" i="1"/>
  <c r="E18" i="1"/>
  <c r="E27" i="1"/>
  <c r="E2" i="1"/>
  <c r="E4" i="1"/>
  <c r="E6" i="1"/>
  <c r="E8" i="1"/>
  <c r="E10" i="1"/>
  <c r="E19" i="1"/>
  <c r="I10" i="3"/>
  <c r="K10" i="3" s="1"/>
  <c r="E3" i="2"/>
  <c r="E3" i="1" s="1"/>
  <c r="I24" i="1"/>
  <c r="J24" i="2"/>
  <c r="J27" i="2"/>
  <c r="I27" i="1"/>
  <c r="V37" i="3"/>
  <c r="J30" i="2"/>
  <c r="I30" i="1"/>
  <c r="I25" i="1"/>
  <c r="J25" i="2"/>
  <c r="V35" i="3"/>
  <c r="I28" i="1"/>
  <c r="J28" i="2"/>
  <c r="I29" i="1"/>
  <c r="J29" i="2"/>
  <c r="V39" i="3"/>
  <c r="I32" i="1"/>
  <c r="J32" i="2"/>
  <c r="V30" i="3"/>
  <c r="J23" i="2"/>
  <c r="I23" i="1"/>
  <c r="V33" i="3"/>
  <c r="J26" i="2"/>
  <c r="I26" i="1"/>
  <c r="V36" i="3"/>
  <c r="J31" i="2"/>
  <c r="I31" i="1"/>
  <c r="R31" i="3"/>
  <c r="I24" i="2"/>
  <c r="G24" i="1" s="1"/>
  <c r="Q34" i="3"/>
  <c r="I27" i="2"/>
  <c r="G27" i="1" s="1"/>
  <c r="G31" i="1"/>
  <c r="R35" i="3"/>
  <c r="I28" i="2"/>
  <c r="Q39" i="3"/>
  <c r="H32" i="2"/>
  <c r="G32" i="1" s="1"/>
  <c r="Q30" i="3"/>
  <c r="Q33" i="3"/>
  <c r="H26" i="2"/>
  <c r="G26" i="1" s="1"/>
  <c r="R39" i="3"/>
  <c r="Q35" i="3"/>
  <c r="H28" i="2"/>
  <c r="G28" i="1" s="1"/>
  <c r="Q38" i="3"/>
  <c r="R30" i="3"/>
  <c r="H23" i="2"/>
  <c r="G23" i="1" s="1"/>
  <c r="R32" i="3"/>
  <c r="Q37" i="3"/>
  <c r="H30" i="2"/>
  <c r="G30" i="1" s="1"/>
  <c r="E25" i="1"/>
  <c r="E26" i="1"/>
  <c r="E31" i="1"/>
  <c r="I35" i="3"/>
  <c r="K35" i="3" s="1"/>
  <c r="I34" i="3"/>
  <c r="K34" i="3" s="1"/>
  <c r="E24" i="1"/>
  <c r="E28" i="1"/>
  <c r="I39" i="3"/>
  <c r="K39" i="3" s="1"/>
  <c r="X39" i="3" s="1"/>
  <c r="Z39" i="3" s="1"/>
  <c r="E32" i="2"/>
  <c r="E32" i="1" s="1"/>
  <c r="J16" i="2"/>
  <c r="I16" i="1"/>
  <c r="V26" i="3"/>
  <c r="I19" i="1"/>
  <c r="J19" i="2"/>
  <c r="V20" i="3"/>
  <c r="I13" i="1"/>
  <c r="J13" i="2"/>
  <c r="V23" i="3"/>
  <c r="I18" i="1"/>
  <c r="J18" i="2"/>
  <c r="V28" i="3"/>
  <c r="I21" i="1"/>
  <c r="J21" i="2"/>
  <c r="V22" i="3"/>
  <c r="I15" i="1"/>
  <c r="J15" i="2"/>
  <c r="V25" i="3"/>
  <c r="J20" i="2"/>
  <c r="I20" i="1"/>
  <c r="V19" i="3"/>
  <c r="J12" i="2"/>
  <c r="I12" i="1"/>
  <c r="I14" i="1"/>
  <c r="J14" i="2"/>
  <c r="V24" i="3"/>
  <c r="I17" i="1"/>
  <c r="J17" i="2"/>
  <c r="I22" i="1"/>
  <c r="J22" i="2"/>
  <c r="G13" i="1"/>
  <c r="R23" i="3"/>
  <c r="I16" i="2"/>
  <c r="G16" i="1" s="1"/>
  <c r="G18" i="1"/>
  <c r="Q26" i="3"/>
  <c r="I19" i="2"/>
  <c r="R27" i="3"/>
  <c r="R24" i="3"/>
  <c r="R26" i="3"/>
  <c r="H19" i="2"/>
  <c r="G19" i="1" s="1"/>
  <c r="R28" i="3"/>
  <c r="H21" i="2"/>
  <c r="G21" i="1" s="1"/>
  <c r="E22" i="1"/>
  <c r="E15" i="1"/>
  <c r="E20" i="1"/>
  <c r="E12" i="1"/>
  <c r="E14" i="1"/>
  <c r="E17" i="1"/>
  <c r="I27" i="3"/>
  <c r="K27" i="3" s="1"/>
  <c r="Q10" i="3"/>
  <c r="Q12" i="3"/>
  <c r="Q14" i="3"/>
  <c r="R19" i="3"/>
  <c r="I11" i="3"/>
  <c r="K11" i="3" s="1"/>
  <c r="I15" i="3"/>
  <c r="K15" i="3" s="1"/>
  <c r="C40" i="3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X6" i="3" s="1"/>
  <c r="Z6" i="3" s="1"/>
  <c r="J6" i="3"/>
  <c r="M40" i="3"/>
  <c r="Q9" i="3"/>
  <c r="Q17" i="3"/>
  <c r="I20" i="3"/>
  <c r="K20" i="3" s="1"/>
  <c r="Q23" i="3"/>
  <c r="X36" i="3" l="1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I40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<sst xmlns="http://schemas.openxmlformats.org/spreadsheetml/2006/main" count="310" uniqueCount="123">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</sst>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4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5" fillId="11" borderId="0" xfId="0" applyFont="1" applyFill="1" applyAlignment="1">
      <alignment horizontal="center" vertic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  <xf numFmtId="3" fontId="28" fillId="0" borderId="32" xfId="0" applyNumberFormat="1" applyFont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3" workbookViewId="0">
      <selection activeCell="F37" sqref="F37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9</v>
      </c>
      <c r="D2" s="7">
        <v>2020</v>
      </c>
      <c r="E2" s="9">
        <f>submetering!E2+submetering!F2+submetering!G2</f>
        <v>12704</v>
      </c>
      <c r="F2" s="7">
        <v>0.251</v>
      </c>
      <c r="G2" s="9">
        <f>submetering!H2+submetering!I2</f>
        <v>812</v>
      </c>
      <c r="H2" s="7">
        <v>0.57181599999999999</v>
      </c>
      <c r="I2" s="9">
        <f>HOTEL!U9</f>
        <v>250</v>
      </c>
      <c r="J2" s="7">
        <v>2.855</v>
      </c>
      <c r="K2" s="7">
        <f>HOTEL!Y9</f>
        <v>25</v>
      </c>
    </row>
    <row r="3" spans="1:11" s="12" customFormat="1" x14ac:dyDescent="0.25">
      <c r="A3" s="7" t="s">
        <v>11</v>
      </c>
      <c r="B3" s="11">
        <f>B2+1</f>
        <v>2</v>
      </c>
      <c r="C3" s="8">
        <v>9</v>
      </c>
      <c r="D3" s="7">
        <v>2020</v>
      </c>
      <c r="E3" s="9">
        <f>submetering!E3+submetering!F3+submetering!G3</f>
        <v>11122</v>
      </c>
      <c r="F3" s="7">
        <v>0.251</v>
      </c>
      <c r="G3" s="9">
        <f>submetering!H3+submetering!I3</f>
        <v>878</v>
      </c>
      <c r="H3" s="7">
        <v>0.57181599999999999</v>
      </c>
      <c r="I3" s="9">
        <f>HOTEL!U10</f>
        <v>264</v>
      </c>
      <c r="J3" s="7">
        <v>2.855</v>
      </c>
      <c r="K3" s="7">
        <f>HOTEL!Y10</f>
        <v>22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9</v>
      </c>
      <c r="D4" s="7">
        <v>2020</v>
      </c>
      <c r="E4" s="9">
        <f>submetering!E4+submetering!F4+submetering!G4</f>
        <v>12798</v>
      </c>
      <c r="F4" s="7">
        <v>0.251</v>
      </c>
      <c r="G4" s="9">
        <f>submetering!H4+submetering!I4</f>
        <v>768</v>
      </c>
      <c r="H4" s="7">
        <v>0.57181599999999999</v>
      </c>
      <c r="I4" s="9">
        <f>HOTEL!U11</f>
        <v>456</v>
      </c>
      <c r="J4" s="7">
        <v>2.855</v>
      </c>
      <c r="K4" s="7">
        <f>HOTEL!Y11</f>
        <v>21</v>
      </c>
    </row>
    <row r="5" spans="1:11" s="12" customFormat="1" x14ac:dyDescent="0.25">
      <c r="A5" s="7" t="s">
        <v>11</v>
      </c>
      <c r="B5" s="11">
        <f t="shared" si="0"/>
        <v>4</v>
      </c>
      <c r="C5" s="8">
        <v>9</v>
      </c>
      <c r="D5" s="7">
        <v>2020</v>
      </c>
      <c r="E5" s="9">
        <f>submetering!E5+submetering!F5+submetering!G5</f>
        <v>11509</v>
      </c>
      <c r="F5" s="7">
        <v>0.251</v>
      </c>
      <c r="G5" s="9">
        <f>submetering!H5+submetering!I5</f>
        <v>860</v>
      </c>
      <c r="H5" s="7">
        <v>0.57181599999999999</v>
      </c>
      <c r="I5" s="9">
        <f>HOTEL!U12</f>
        <v>380</v>
      </c>
      <c r="J5" s="7">
        <v>2.855</v>
      </c>
      <c r="K5" s="7">
        <f>HOTEL!Y12</f>
        <v>31</v>
      </c>
    </row>
    <row r="6" spans="1:11" s="12" customFormat="1" x14ac:dyDescent="0.25">
      <c r="A6" s="7" t="s">
        <v>11</v>
      </c>
      <c r="B6" s="11">
        <f t="shared" si="0"/>
        <v>5</v>
      </c>
      <c r="C6" s="8">
        <v>9</v>
      </c>
      <c r="D6" s="7">
        <v>2020</v>
      </c>
      <c r="E6" s="9">
        <f>submetering!E6+submetering!F6+submetering!G6</f>
        <v>10148</v>
      </c>
      <c r="F6" s="7">
        <v>0.251</v>
      </c>
      <c r="G6" s="9">
        <f>submetering!H6+submetering!I6</f>
        <v>779</v>
      </c>
      <c r="H6" s="7">
        <v>0.57181599999999999</v>
      </c>
      <c r="I6" s="9">
        <f>HOTEL!U13</f>
        <v>339</v>
      </c>
      <c r="J6" s="7">
        <v>2.855</v>
      </c>
      <c r="K6" s="7">
        <f>HOTEL!Y13</f>
        <v>44</v>
      </c>
    </row>
    <row r="7" spans="1:11" s="12" customFormat="1" x14ac:dyDescent="0.25">
      <c r="A7" s="7" t="s">
        <v>11</v>
      </c>
      <c r="B7" s="11">
        <f t="shared" si="0"/>
        <v>6</v>
      </c>
      <c r="C7" s="8">
        <v>9</v>
      </c>
      <c r="D7" s="7">
        <v>2020</v>
      </c>
      <c r="E7" s="9">
        <f>submetering!E7+submetering!F7+submetering!G7</f>
        <v>12940</v>
      </c>
      <c r="F7" s="7">
        <v>0.251</v>
      </c>
      <c r="G7" s="9">
        <f>submetering!H7+submetering!I7</f>
        <v>811</v>
      </c>
      <c r="H7" s="7">
        <v>0.57181599999999999</v>
      </c>
      <c r="I7" s="9">
        <f>HOTEL!U14</f>
        <v>391</v>
      </c>
      <c r="J7" s="7">
        <v>2.855</v>
      </c>
      <c r="K7" s="7">
        <f>HOTEL!Y14</f>
        <v>38</v>
      </c>
    </row>
    <row r="8" spans="1:11" s="12" customFormat="1" x14ac:dyDescent="0.25">
      <c r="A8" s="7" t="s">
        <v>11</v>
      </c>
      <c r="B8" s="11">
        <f t="shared" si="0"/>
        <v>7</v>
      </c>
      <c r="C8" s="8">
        <v>9</v>
      </c>
      <c r="D8" s="7">
        <v>2020</v>
      </c>
      <c r="E8" s="9">
        <f>submetering!E8+submetering!F8+submetering!G8</f>
        <v>11546</v>
      </c>
      <c r="F8" s="7">
        <v>0.251</v>
      </c>
      <c r="G8" s="9">
        <f>submetering!H8+submetering!I8</f>
        <v>951</v>
      </c>
      <c r="H8" s="7">
        <v>0.57181599999999999</v>
      </c>
      <c r="I8" s="9">
        <f>HOTEL!U15</f>
        <v>409</v>
      </c>
      <c r="J8" s="7">
        <v>2.855</v>
      </c>
      <c r="K8" s="7">
        <f>HOTEL!Y15</f>
        <v>27</v>
      </c>
    </row>
    <row r="9" spans="1:11" s="12" customFormat="1" x14ac:dyDescent="0.25">
      <c r="A9" s="7" t="s">
        <v>11</v>
      </c>
      <c r="B9" s="11">
        <f t="shared" si="0"/>
        <v>8</v>
      </c>
      <c r="C9" s="8">
        <v>9</v>
      </c>
      <c r="D9" s="7">
        <v>2020</v>
      </c>
      <c r="E9" s="9">
        <f>submetering!E9+submetering!F9+submetering!G9</f>
        <v>12600</v>
      </c>
      <c r="F9" s="7">
        <v>0.251</v>
      </c>
      <c r="G9" s="9">
        <f>submetering!H9+submetering!I9</f>
        <v>734</v>
      </c>
      <c r="H9" s="7">
        <v>0.57181599999999999</v>
      </c>
      <c r="I9" s="9">
        <f>HOTEL!U16</f>
        <v>320</v>
      </c>
      <c r="J9" s="7">
        <v>2.855</v>
      </c>
      <c r="K9" s="7">
        <f>HOTEL!Y16</f>
        <v>23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9</v>
      </c>
      <c r="D10" s="7">
        <v>2020</v>
      </c>
      <c r="E10" s="9">
        <f>submetering!E10+submetering!F10+submetering!G10</f>
        <v>12143</v>
      </c>
      <c r="F10" s="7">
        <v>0.251</v>
      </c>
      <c r="G10" s="9">
        <f>submetering!H10+submetering!I10</f>
        <v>721</v>
      </c>
      <c r="H10" s="7">
        <v>0.57181599999999999</v>
      </c>
      <c r="I10" s="9">
        <f>HOTEL!U17</f>
        <v>427</v>
      </c>
      <c r="J10" s="7">
        <v>2.855</v>
      </c>
      <c r="K10" s="7">
        <f>HOTEL!Y17</f>
        <v>30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9</v>
      </c>
      <c r="D11" s="7">
        <v>2020</v>
      </c>
      <c r="E11" s="9">
        <f>submetering!E11+submetering!F11+submetering!G11</f>
        <v>12591</v>
      </c>
      <c r="F11" s="7">
        <v>0.251</v>
      </c>
      <c r="G11" s="9">
        <f>submetering!H11+submetering!I11</f>
        <v>583</v>
      </c>
      <c r="H11" s="7">
        <v>0.57181599999999999</v>
      </c>
      <c r="I11" s="9">
        <f>HOTEL!U18</f>
        <v>391</v>
      </c>
      <c r="J11" s="7">
        <v>2.855</v>
      </c>
      <c r="K11" s="7">
        <f>HOTEL!Y18</f>
        <v>25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9</v>
      </c>
      <c r="D12" s="7">
        <v>2020</v>
      </c>
      <c r="E12" s="9">
        <f>submetering!E12+submetering!F12+submetering!G12</f>
        <v>12304</v>
      </c>
      <c r="F12" s="7">
        <v>0.251</v>
      </c>
      <c r="G12" s="9">
        <f>submetering!H12+submetering!I12</f>
        <v>924</v>
      </c>
      <c r="H12" s="7">
        <v>0.57181599999999999</v>
      </c>
      <c r="I12" s="9">
        <f>HOTEL!U19</f>
        <v>493</v>
      </c>
      <c r="J12" s="7">
        <v>2.855</v>
      </c>
      <c r="K12" s="7">
        <f>HOTEL!Y19</f>
        <v>22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9</v>
      </c>
      <c r="D13" s="7">
        <v>2020</v>
      </c>
      <c r="E13" s="9">
        <f>submetering!E13+submetering!F13+submetering!G13</f>
        <v>12230</v>
      </c>
      <c r="F13" s="7">
        <v>0.251</v>
      </c>
      <c r="G13" s="9">
        <f>submetering!H13+submetering!I13</f>
        <v>741</v>
      </c>
      <c r="H13" s="7">
        <v>0.57181599999999999</v>
      </c>
      <c r="I13" s="9">
        <f>HOTEL!U20</f>
        <v>597</v>
      </c>
      <c r="J13" s="7">
        <v>2.855</v>
      </c>
      <c r="K13" s="7">
        <f>HOTEL!Y20</f>
        <v>35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9</v>
      </c>
      <c r="D14" s="7">
        <v>2020</v>
      </c>
      <c r="E14" s="9">
        <f>submetering!E14+submetering!F14+submetering!G14</f>
        <v>10679</v>
      </c>
      <c r="F14" s="7">
        <v>0.251</v>
      </c>
      <c r="G14" s="9">
        <f>submetering!H14+submetering!I14</f>
        <v>799</v>
      </c>
      <c r="H14" s="7">
        <v>0.57181599999999999</v>
      </c>
      <c r="I14" s="9">
        <f>HOTEL!U21</f>
        <v>335</v>
      </c>
      <c r="J14" s="7">
        <v>2.855</v>
      </c>
      <c r="K14" s="7">
        <f>HOTEL!Y21</f>
        <v>33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9</v>
      </c>
      <c r="D15" s="7">
        <v>2020</v>
      </c>
      <c r="E15" s="9">
        <f>submetering!E15+submetering!F15+submetering!G15</f>
        <v>10185</v>
      </c>
      <c r="F15" s="7">
        <v>0.251</v>
      </c>
      <c r="G15" s="9">
        <f>submetering!H15+submetering!I15</f>
        <v>740</v>
      </c>
      <c r="H15" s="7">
        <v>0.57181599999999999</v>
      </c>
      <c r="I15" s="9">
        <f>HOTEL!U22</f>
        <v>409</v>
      </c>
      <c r="J15" s="7">
        <v>2.855</v>
      </c>
      <c r="K15" s="7">
        <f>HOTEL!Y22</f>
        <v>26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9</v>
      </c>
      <c r="D16" s="7">
        <v>2020</v>
      </c>
      <c r="E16" s="9">
        <f>submetering!E16+submetering!F16+submetering!G16</f>
        <v>11072</v>
      </c>
      <c r="F16" s="7">
        <v>0.251</v>
      </c>
      <c r="G16" s="9">
        <f>submetering!H16+submetering!I16</f>
        <v>960</v>
      </c>
      <c r="H16" s="7">
        <v>0.57181599999999999</v>
      </c>
      <c r="I16" s="9">
        <f>HOTEL!U23</f>
        <v>467</v>
      </c>
      <c r="J16" s="7">
        <v>2.855</v>
      </c>
      <c r="K16" s="7">
        <f>HOTEL!Y23</f>
        <v>22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9</v>
      </c>
      <c r="D17" s="7">
        <v>2020</v>
      </c>
      <c r="E17" s="9">
        <f>submetering!E17+submetering!F17+submetering!G17</f>
        <v>11188</v>
      </c>
      <c r="F17" s="7">
        <v>0.251</v>
      </c>
      <c r="G17" s="9">
        <f>submetering!H17+submetering!I17</f>
        <v>677</v>
      </c>
      <c r="H17" s="7">
        <v>0.57181599999999999</v>
      </c>
      <c r="I17" s="9">
        <f>HOTEL!U24</f>
        <v>423</v>
      </c>
      <c r="J17" s="7">
        <v>2.855</v>
      </c>
      <c r="K17" s="7">
        <f>HOTEL!Y24</f>
        <v>18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9</v>
      </c>
      <c r="D18" s="7">
        <v>2020</v>
      </c>
      <c r="E18" s="9">
        <f>submetering!E18+submetering!F18+submetering!G18</f>
        <v>11583</v>
      </c>
      <c r="F18" s="7">
        <v>0.251</v>
      </c>
      <c r="G18" s="9">
        <f>submetering!H18+submetering!I18</f>
        <v>735</v>
      </c>
      <c r="H18" s="7">
        <v>0.57181599999999999</v>
      </c>
      <c r="I18" s="9">
        <f>HOTEL!U25</f>
        <v>445</v>
      </c>
      <c r="J18" s="7">
        <v>2.855</v>
      </c>
      <c r="K18" s="7">
        <f>HOTEL!Y25</f>
        <v>17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9</v>
      </c>
      <c r="D19" s="7">
        <v>2020</v>
      </c>
      <c r="E19" s="9">
        <f>submetering!E19+submetering!F19+submetering!G19</f>
        <v>11862</v>
      </c>
      <c r="F19" s="7">
        <v>0.251</v>
      </c>
      <c r="G19" s="9">
        <f>submetering!H19+submetering!I19</f>
        <v>947</v>
      </c>
      <c r="H19" s="7">
        <v>0.57181599999999999</v>
      </c>
      <c r="I19" s="9">
        <f>HOTEL!U26</f>
        <v>353</v>
      </c>
      <c r="J19" s="7">
        <v>2.855</v>
      </c>
      <c r="K19" s="7">
        <f>HOTEL!Y26</f>
        <v>15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9</v>
      </c>
      <c r="D20" s="7">
        <v>2020</v>
      </c>
      <c r="E20" s="9">
        <f>submetering!E20+submetering!F20+submetering!G20</f>
        <v>12202</v>
      </c>
      <c r="F20" s="7">
        <v>0.251</v>
      </c>
      <c r="G20" s="9">
        <f>submetering!H20+submetering!I20</f>
        <v>890</v>
      </c>
      <c r="H20" s="7">
        <v>0.57181599999999999</v>
      </c>
      <c r="I20" s="9">
        <f>HOTEL!U27</f>
        <v>446</v>
      </c>
      <c r="J20" s="7">
        <v>2.855</v>
      </c>
      <c r="K20" s="7">
        <f>HOTEL!Y27</f>
        <v>25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9</v>
      </c>
      <c r="D21" s="7">
        <v>2020</v>
      </c>
      <c r="E21" s="9">
        <f>submetering!E21+submetering!F21+submetering!G21</f>
        <v>11867</v>
      </c>
      <c r="F21" s="7">
        <v>0.251</v>
      </c>
      <c r="G21" s="9">
        <f>submetering!H21+submetering!I21</f>
        <v>840</v>
      </c>
      <c r="H21" s="7">
        <v>0.57181599999999999</v>
      </c>
      <c r="I21" s="9">
        <f>HOTEL!U28</f>
        <v>461</v>
      </c>
      <c r="J21" s="7">
        <v>2.855</v>
      </c>
      <c r="K21" s="7">
        <f>HOTEL!Y28</f>
        <v>33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9</v>
      </c>
      <c r="D22" s="7">
        <v>2020</v>
      </c>
      <c r="E22" s="9">
        <f>submetering!E22+submetering!F22+submetering!G22</f>
        <v>0</v>
      </c>
      <c r="F22" s="7">
        <v>0.251</v>
      </c>
      <c r="G22" s="9">
        <f>submetering!H22+submetering!I22</f>
        <v>0</v>
      </c>
      <c r="H22" s="7">
        <v>0.57181599999999999</v>
      </c>
      <c r="I22" s="9" t="str">
        <f>HOTEL!U29</f>
        <v>0</v>
      </c>
      <c r="J22" s="7">
        <v>2.855</v>
      </c>
      <c r="K22" s="7">
        <f>HOTEL!Y29</f>
        <v>0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9</v>
      </c>
      <c r="D23" s="7">
        <v>2020</v>
      </c>
      <c r="E23" s="9">
        <f>submetering!E23+submetering!F23+submetering!G23</f>
        <v>0</v>
      </c>
      <c r="F23" s="7">
        <v>0.251</v>
      </c>
      <c r="G23" s="9">
        <f>submetering!H23+submetering!I23</f>
        <v>0</v>
      </c>
      <c r="H23" s="7">
        <v>0.57181599999999999</v>
      </c>
      <c r="I23" s="9">
        <f>HOTEL!U30</f>
        <v>0</v>
      </c>
      <c r="J23" s="7">
        <v>2.855</v>
      </c>
      <c r="K23" s="7">
        <f>HOTEL!Y30</f>
        <v>0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9</v>
      </c>
      <c r="D24" s="7">
        <v>2020</v>
      </c>
      <c r="E24" s="9">
        <f>submetering!E24+submetering!F24+submetering!G24</f>
        <v>0</v>
      </c>
      <c r="F24" s="7">
        <v>0.251</v>
      </c>
      <c r="G24" s="9">
        <f>submetering!H24+submetering!I24</f>
        <v>0</v>
      </c>
      <c r="H24" s="7">
        <v>0.57181599999999999</v>
      </c>
      <c r="I24" s="9">
        <f>HOTEL!U31</f>
        <v>0</v>
      </c>
      <c r="J24" s="7">
        <v>2.855</v>
      </c>
      <c r="K24" s="7">
        <f>HOTEL!Y31</f>
        <v>0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9</v>
      </c>
      <c r="D25" s="7">
        <v>2020</v>
      </c>
      <c r="E25" s="9">
        <f>submetering!E25+submetering!F25+submetering!G25</f>
        <v>0</v>
      </c>
      <c r="F25" s="7">
        <v>0.251</v>
      </c>
      <c r="G25" s="9">
        <f>submetering!H25+submetering!I25</f>
        <v>0</v>
      </c>
      <c r="H25" s="7">
        <v>0.57181599999999999</v>
      </c>
      <c r="I25" s="9">
        <f>HOTEL!U32</f>
        <v>0</v>
      </c>
      <c r="J25" s="7">
        <v>2.855</v>
      </c>
      <c r="K25" s="7">
        <f>HOTEL!Y32</f>
        <v>0</v>
      </c>
    </row>
    <row r="26" spans="1:11" s="12" customFormat="1" x14ac:dyDescent="0.25">
      <c r="A26" s="7" t="s">
        <v>11</v>
      </c>
      <c r="B26" s="11">
        <f>B25+1</f>
        <v>25</v>
      </c>
      <c r="C26" s="8">
        <v>9</v>
      </c>
      <c r="D26" s="7">
        <v>2020</v>
      </c>
      <c r="E26" s="9">
        <f>submetering!E26+submetering!F26+submetering!G26</f>
        <v>0</v>
      </c>
      <c r="F26" s="7">
        <v>0.251</v>
      </c>
      <c r="G26" s="9">
        <f>submetering!H26+submetering!I26</f>
        <v>0</v>
      </c>
      <c r="H26" s="7">
        <v>0.57181599999999999</v>
      </c>
      <c r="I26" s="9">
        <f>HOTEL!U33</f>
        <v>0</v>
      </c>
      <c r="J26" s="7">
        <v>2.855</v>
      </c>
      <c r="K26" s="7">
        <f>HOTEL!Y33</f>
        <v>0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9</v>
      </c>
      <c r="D27" s="7">
        <v>2020</v>
      </c>
      <c r="E27" s="9">
        <f>submetering!E27+submetering!F27+submetering!G27</f>
        <v>0</v>
      </c>
      <c r="F27" s="7">
        <v>0.251</v>
      </c>
      <c r="G27" s="9">
        <f>submetering!H27+submetering!I27</f>
        <v>0</v>
      </c>
      <c r="H27" s="7">
        <v>0.57181599999999999</v>
      </c>
      <c r="I27" s="9">
        <f>HOTEL!U34</f>
        <v>0</v>
      </c>
      <c r="J27" s="7">
        <v>2.855</v>
      </c>
      <c r="K27" s="7">
        <f>HOTEL!Y34</f>
        <v>0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9</v>
      </c>
      <c r="D28" s="7">
        <v>2020</v>
      </c>
      <c r="E28" s="9">
        <f>submetering!E28+submetering!F28+submetering!G28</f>
        <v>0</v>
      </c>
      <c r="F28" s="7">
        <v>0.251</v>
      </c>
      <c r="G28" s="9">
        <f>submetering!H28+submetering!I28</f>
        <v>0</v>
      </c>
      <c r="H28" s="7">
        <v>0.57181599999999999</v>
      </c>
      <c r="I28" s="9">
        <f>HOTEL!U35</f>
        <v>0</v>
      </c>
      <c r="J28" s="7">
        <v>2.855</v>
      </c>
      <c r="K28" s="7">
        <f>HOTEL!Y35</f>
        <v>0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9</v>
      </c>
      <c r="D29" s="7">
        <v>2020</v>
      </c>
      <c r="E29" s="9">
        <f>submetering!E29+submetering!F29+submetering!G29</f>
        <v>0</v>
      </c>
      <c r="F29" s="7">
        <v>0.251</v>
      </c>
      <c r="G29" s="9">
        <f>submetering!H29+submetering!I29</f>
        <v>0</v>
      </c>
      <c r="H29" s="7">
        <v>0.57181599999999999</v>
      </c>
      <c r="I29" s="9">
        <f>HOTEL!U36</f>
        <v>0</v>
      </c>
      <c r="J29" s="7">
        <v>2.855</v>
      </c>
      <c r="K29" s="7">
        <f>HOTEL!Y36</f>
        <v>0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9</v>
      </c>
      <c r="D30" s="7">
        <v>2020</v>
      </c>
      <c r="E30" s="9">
        <f>submetering!E30+submetering!F30+submetering!G30</f>
        <v>0</v>
      </c>
      <c r="F30" s="7">
        <v>0.251</v>
      </c>
      <c r="G30" s="9">
        <f>submetering!H30+submetering!I30</f>
        <v>0</v>
      </c>
      <c r="H30" s="7">
        <v>0.57181599999999999</v>
      </c>
      <c r="I30" s="9">
        <f>HOTEL!U37</f>
        <v>0</v>
      </c>
      <c r="J30" s="7">
        <v>2.855</v>
      </c>
      <c r="K30" s="7">
        <f>HOTEL!Y37</f>
        <v>0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9</v>
      </c>
      <c r="D31" s="7">
        <v>2020</v>
      </c>
      <c r="E31" s="9">
        <f>submetering!E31+submetering!F31+submetering!G31</f>
        <v>0</v>
      </c>
      <c r="F31" s="7">
        <v>0.251</v>
      </c>
      <c r="G31" s="9">
        <f>submetering!H31+submetering!I31</f>
        <v>0</v>
      </c>
      <c r="H31" s="7">
        <v>0.57181599999999999</v>
      </c>
      <c r="I31" s="9">
        <f>HOTEL!U38</f>
        <v>0</v>
      </c>
      <c r="J31" s="7">
        <v>2.855</v>
      </c>
      <c r="K31" s="7">
        <f>HOTEL!Y38</f>
        <v>0</v>
      </c>
    </row>
    <row r="32" spans="1:11" s="10" customFormat="1" x14ac:dyDescent="0.25">
      <c r="A32" s="7" t="s">
        <v>11</v>
      </c>
      <c r="B32" s="11">
        <f t="shared" si="0"/>
        <v>31</v>
      </c>
      <c r="C32" s="8">
        <v>9</v>
      </c>
      <c r="D32" s="7">
        <v>2020</v>
      </c>
      <c r="E32" s="9">
        <f>submetering!E32+submetering!F32+submetering!G32</f>
        <v>0</v>
      </c>
      <c r="F32" s="7">
        <v>0.251</v>
      </c>
      <c r="G32" s="9">
        <f>submetering!H32+submetering!I32</f>
        <v>0</v>
      </c>
      <c r="H32" s="7">
        <v>0.57181599999999999</v>
      </c>
      <c r="I32" s="9">
        <f>HOTEL!U39</f>
        <v>0</v>
      </c>
      <c r="J32" s="7">
        <v>2.855</v>
      </c>
      <c r="K32" s="7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9"/>
  <sheetViews>
    <sheetView workbookViewId="0">
      <selection activeCell="O22" sqref="O22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9</v>
      </c>
      <c r="D2" s="13">
        <v>2020</v>
      </c>
      <c r="E2" s="16">
        <f>HOTEL!D9</f>
        <v>4331</v>
      </c>
      <c r="F2" s="16">
        <f>HOTEL!F9</f>
        <v>4340</v>
      </c>
      <c r="G2" s="16">
        <f>HOTEL!H9</f>
        <v>4033</v>
      </c>
      <c r="H2" s="16">
        <f>HOTEL!N9</f>
        <v>80</v>
      </c>
      <c r="I2" s="16">
        <f>HOTEL!P9</f>
        <v>732</v>
      </c>
      <c r="J2" s="16">
        <f>HOTEL!U9</f>
        <v>250</v>
      </c>
      <c r="K2" s="16">
        <f>HOTEL!Y9</f>
        <v>25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9</v>
      </c>
      <c r="D3" s="13">
        <v>2020</v>
      </c>
      <c r="E3" s="16">
        <f>HOTEL!D10</f>
        <v>3780</v>
      </c>
      <c r="F3" s="16">
        <f>HOTEL!F10</f>
        <v>3810</v>
      </c>
      <c r="G3" s="16">
        <f>HOTEL!H10</f>
        <v>3532</v>
      </c>
      <c r="H3" s="16">
        <f>HOTEL!N10</f>
        <v>117</v>
      </c>
      <c r="I3" s="16">
        <f>HOTEL!P10</f>
        <v>761</v>
      </c>
      <c r="J3" s="16">
        <f>HOTEL!U10</f>
        <v>264</v>
      </c>
      <c r="K3" s="16">
        <f>HOTEL!Y10</f>
        <v>22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9</v>
      </c>
      <c r="D4" s="13">
        <v>2020</v>
      </c>
      <c r="E4" s="16">
        <f>HOTEL!D11</f>
        <v>4350</v>
      </c>
      <c r="F4" s="16">
        <f>HOTEL!F11</f>
        <v>4375</v>
      </c>
      <c r="G4" s="16">
        <f>HOTEL!H11</f>
        <v>4073</v>
      </c>
      <c r="H4" s="16">
        <f>HOTEL!N11</f>
        <v>94</v>
      </c>
      <c r="I4" s="16">
        <f>HOTEL!P11</f>
        <v>674</v>
      </c>
      <c r="J4" s="16">
        <f>HOTEL!U11</f>
        <v>456</v>
      </c>
      <c r="K4" s="16">
        <f>HOTEL!Y11</f>
        <v>21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9</v>
      </c>
      <c r="D5" s="13">
        <v>2020</v>
      </c>
      <c r="E5" s="16">
        <f>HOTEL!D12</f>
        <v>3909</v>
      </c>
      <c r="F5" s="16">
        <f>HOTEL!F12</f>
        <v>3928</v>
      </c>
      <c r="G5" s="16">
        <f>HOTEL!H12</f>
        <v>3672</v>
      </c>
      <c r="H5" s="16">
        <f>HOTEL!N12</f>
        <v>132</v>
      </c>
      <c r="I5" s="16">
        <f>HOTEL!P12</f>
        <v>728</v>
      </c>
      <c r="J5" s="16">
        <f>HOTEL!U12</f>
        <v>380</v>
      </c>
      <c r="K5" s="16">
        <f>HOTEL!Y12</f>
        <v>31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9</v>
      </c>
      <c r="D6" s="13">
        <v>2020</v>
      </c>
      <c r="E6" s="16">
        <f>HOTEL!D13</f>
        <v>3437</v>
      </c>
      <c r="F6" s="16">
        <f>HOTEL!F13</f>
        <v>3476</v>
      </c>
      <c r="G6" s="16">
        <f>HOTEL!H13</f>
        <v>3235</v>
      </c>
      <c r="H6" s="16">
        <f>HOTEL!N13</f>
        <v>110</v>
      </c>
      <c r="I6" s="16">
        <f>HOTEL!P13</f>
        <v>669</v>
      </c>
      <c r="J6" s="16">
        <f>HOTEL!U13</f>
        <v>339</v>
      </c>
      <c r="K6" s="16">
        <f>HOTEL!Y13</f>
        <v>44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9</v>
      </c>
      <c r="D7" s="13">
        <v>2020</v>
      </c>
      <c r="E7" s="16">
        <f>HOTEL!D14</f>
        <v>4769</v>
      </c>
      <c r="F7" s="16">
        <f>HOTEL!F14</f>
        <v>4397</v>
      </c>
      <c r="G7" s="16">
        <f>HOTEL!H14</f>
        <v>3774</v>
      </c>
      <c r="H7" s="16">
        <f>HOTEL!N14</f>
        <v>111</v>
      </c>
      <c r="I7" s="16">
        <f>HOTEL!P14</f>
        <v>700</v>
      </c>
      <c r="J7" s="16">
        <f>HOTEL!U14</f>
        <v>391</v>
      </c>
      <c r="K7" s="16">
        <f>HOTEL!Y14</f>
        <v>38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9</v>
      </c>
      <c r="D8" s="13">
        <v>2020</v>
      </c>
      <c r="E8" s="16">
        <f>HOTEL!D15</f>
        <v>3542</v>
      </c>
      <c r="F8" s="16">
        <f>HOTEL!F15</f>
        <v>3970</v>
      </c>
      <c r="G8" s="16">
        <f>HOTEL!H15</f>
        <v>4034</v>
      </c>
      <c r="H8" s="16">
        <f>HOTEL!N15</f>
        <v>116</v>
      </c>
      <c r="I8" s="16">
        <f>HOTEL!P15</f>
        <v>835</v>
      </c>
      <c r="J8" s="16">
        <f>HOTEL!U15</f>
        <v>409</v>
      </c>
      <c r="K8" s="16">
        <f>HOTEL!Y15</f>
        <v>27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9</v>
      </c>
      <c r="D9" s="13">
        <v>2020</v>
      </c>
      <c r="E9" s="16">
        <f>HOTEL!D16</f>
        <v>4255</v>
      </c>
      <c r="F9" s="16">
        <f>HOTEL!F16</f>
        <v>4273</v>
      </c>
      <c r="G9" s="16">
        <f>HOTEL!H16</f>
        <v>4072</v>
      </c>
      <c r="H9" s="16">
        <f>HOTEL!N16</f>
        <v>91</v>
      </c>
      <c r="I9" s="16">
        <f>HOTEL!P16</f>
        <v>643</v>
      </c>
      <c r="J9" s="16">
        <f>HOTEL!U16</f>
        <v>320</v>
      </c>
      <c r="K9" s="16">
        <f>HOTEL!Y16</f>
        <v>23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9</v>
      </c>
      <c r="D10" s="13">
        <v>2020</v>
      </c>
      <c r="E10" s="16">
        <f>HOTEL!D17</f>
        <v>4176</v>
      </c>
      <c r="F10" s="16">
        <f>HOTEL!F17</f>
        <v>4168</v>
      </c>
      <c r="G10" s="16">
        <f>HOTEL!H17</f>
        <v>3799</v>
      </c>
      <c r="H10" s="16">
        <f>HOTEL!N17</f>
        <v>105</v>
      </c>
      <c r="I10" s="16">
        <f>HOTEL!P17</f>
        <v>616</v>
      </c>
      <c r="J10" s="16">
        <f>HOTEL!U17</f>
        <v>427</v>
      </c>
      <c r="K10" s="16">
        <f>HOTEL!Y17</f>
        <v>30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9</v>
      </c>
      <c r="D11" s="13">
        <v>2020</v>
      </c>
      <c r="E11" s="16">
        <f>HOTEL!D18</f>
        <v>4287</v>
      </c>
      <c r="F11" s="16">
        <f>HOTEL!F18</f>
        <v>4286</v>
      </c>
      <c r="G11" s="16">
        <f>HOTEL!H18</f>
        <v>4018</v>
      </c>
      <c r="H11" s="16">
        <f>HOTEL!N18</f>
        <v>105</v>
      </c>
      <c r="I11" s="16">
        <f>HOTEL!P18</f>
        <v>478</v>
      </c>
      <c r="J11" s="16">
        <f>HOTEL!U18</f>
        <v>391</v>
      </c>
      <c r="K11" s="16">
        <f>HOTEL!Y18</f>
        <v>25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9</v>
      </c>
      <c r="D12" s="13">
        <v>2020</v>
      </c>
      <c r="E12" s="16">
        <f>HOTEL!D19</f>
        <v>4168</v>
      </c>
      <c r="F12" s="16">
        <f>HOTEL!F19</f>
        <v>4158</v>
      </c>
      <c r="G12" s="16">
        <f>HOTEL!H19</f>
        <v>3978</v>
      </c>
      <c r="H12" s="16">
        <f>HOTEL!N19</f>
        <v>107</v>
      </c>
      <c r="I12" s="16">
        <f>HOTEL!P19</f>
        <v>817</v>
      </c>
      <c r="J12" s="16">
        <f>HOTEL!U19</f>
        <v>493</v>
      </c>
      <c r="K12" s="16">
        <f>HOTEL!Y19</f>
        <v>22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9</v>
      </c>
      <c r="D13" s="13">
        <v>2020</v>
      </c>
      <c r="E13" s="16">
        <f>HOTEL!D20</f>
        <v>4157</v>
      </c>
      <c r="F13" s="16">
        <f>HOTEL!F20</f>
        <v>4233</v>
      </c>
      <c r="G13" s="16">
        <f>HOTEL!H20</f>
        <v>3840</v>
      </c>
      <c r="H13" s="16">
        <f>HOTEL!N20</f>
        <v>108</v>
      </c>
      <c r="I13" s="16">
        <f>HOTEL!P20</f>
        <v>633</v>
      </c>
      <c r="J13" s="16">
        <f>HOTEL!U20</f>
        <v>597</v>
      </c>
      <c r="K13" s="16">
        <f>HOTEL!Y20</f>
        <v>35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9</v>
      </c>
      <c r="D14" s="13">
        <v>2020</v>
      </c>
      <c r="E14" s="16">
        <f>HOTEL!D21</f>
        <v>3592</v>
      </c>
      <c r="F14" s="16">
        <f>HOTEL!F21</f>
        <v>3724</v>
      </c>
      <c r="G14" s="16">
        <f>HOTEL!H21</f>
        <v>3363</v>
      </c>
      <c r="H14" s="16">
        <f>HOTEL!N21</f>
        <v>116</v>
      </c>
      <c r="I14" s="16">
        <f>HOTEL!P21</f>
        <v>683</v>
      </c>
      <c r="J14" s="16">
        <f>HOTEL!U21</f>
        <v>335</v>
      </c>
      <c r="K14" s="16">
        <f>HOTEL!Y21</f>
        <v>33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9</v>
      </c>
      <c r="D15" s="13">
        <v>2020</v>
      </c>
      <c r="E15" s="16">
        <f>HOTEL!D22</f>
        <v>3484</v>
      </c>
      <c r="F15" s="16">
        <f>HOTEL!F22</f>
        <v>3403</v>
      </c>
      <c r="G15" s="16">
        <f>HOTEL!H22</f>
        <v>3298</v>
      </c>
      <c r="H15" s="16">
        <f>HOTEL!N22</f>
        <v>111</v>
      </c>
      <c r="I15" s="16">
        <f>HOTEL!P22</f>
        <v>629</v>
      </c>
      <c r="J15" s="16">
        <f>HOTEL!U22</f>
        <v>409</v>
      </c>
      <c r="K15" s="16">
        <f>HOTEL!Y22</f>
        <v>26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9</v>
      </c>
      <c r="D16" s="13">
        <v>2020</v>
      </c>
      <c r="E16" s="16">
        <f>HOTEL!D23</f>
        <v>3746</v>
      </c>
      <c r="F16" s="16">
        <f>HOTEL!F23</f>
        <v>3790</v>
      </c>
      <c r="G16" s="16">
        <f>HOTEL!H23</f>
        <v>3536</v>
      </c>
      <c r="H16" s="16">
        <f>HOTEL!N23</f>
        <v>110</v>
      </c>
      <c r="I16" s="16">
        <f>HOTEL!P23</f>
        <v>850</v>
      </c>
      <c r="J16" s="16">
        <f>HOTEL!U23</f>
        <v>467</v>
      </c>
      <c r="K16" s="16">
        <f>HOTEL!Y23</f>
        <v>22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9</v>
      </c>
      <c r="D17" s="13">
        <v>2020</v>
      </c>
      <c r="E17" s="16">
        <f>HOTEL!D24</f>
        <v>3807</v>
      </c>
      <c r="F17" s="16">
        <f>HOTEL!F24</f>
        <v>3799</v>
      </c>
      <c r="G17" s="16">
        <f>HOTEL!H24</f>
        <v>3582</v>
      </c>
      <c r="H17" s="16">
        <f>HOTEL!N24</f>
        <v>93</v>
      </c>
      <c r="I17" s="16">
        <f>HOTEL!P24</f>
        <v>584</v>
      </c>
      <c r="J17" s="16">
        <f>HOTEL!U24</f>
        <v>423</v>
      </c>
      <c r="K17" s="16">
        <f>HOTEL!Y24</f>
        <v>18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9</v>
      </c>
      <c r="D18" s="13">
        <v>2020</v>
      </c>
      <c r="E18" s="16">
        <f>HOTEL!D25</f>
        <v>3969</v>
      </c>
      <c r="F18" s="16">
        <f>HOTEL!F25</f>
        <v>3917</v>
      </c>
      <c r="G18" s="16">
        <f>HOTEL!H25</f>
        <v>3697</v>
      </c>
      <c r="H18" s="16">
        <f>HOTEL!N25</f>
        <v>112</v>
      </c>
      <c r="I18" s="16">
        <f>HOTEL!P25</f>
        <v>623</v>
      </c>
      <c r="J18" s="16">
        <f>HOTEL!U25</f>
        <v>445</v>
      </c>
      <c r="K18" s="16">
        <f>HOTEL!Y25</f>
        <v>17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9</v>
      </c>
      <c r="D19" s="13">
        <v>2020</v>
      </c>
      <c r="E19" s="16">
        <f>HOTEL!D26</f>
        <v>4063</v>
      </c>
      <c r="F19" s="16">
        <f>HOTEL!F26</f>
        <v>4008</v>
      </c>
      <c r="G19" s="16">
        <f>HOTEL!H26</f>
        <v>3791</v>
      </c>
      <c r="H19" s="16">
        <f>HOTEL!N26</f>
        <v>117</v>
      </c>
      <c r="I19" s="16">
        <f>HOTEL!P26</f>
        <v>830</v>
      </c>
      <c r="J19" s="16">
        <f>HOTEL!U26</f>
        <v>353</v>
      </c>
      <c r="K19" s="16">
        <f>HOTEL!Y26</f>
        <v>15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9</v>
      </c>
      <c r="D20" s="13">
        <v>2020</v>
      </c>
      <c r="E20" s="16">
        <f>HOTEL!D27</f>
        <v>4181</v>
      </c>
      <c r="F20" s="16">
        <f>HOTEL!F27</f>
        <v>4133</v>
      </c>
      <c r="G20" s="16">
        <f>HOTEL!H27</f>
        <v>3888</v>
      </c>
      <c r="H20" s="16">
        <f>HOTEL!N27</f>
        <v>109</v>
      </c>
      <c r="I20" s="16">
        <f>HOTEL!P27</f>
        <v>781</v>
      </c>
      <c r="J20" s="16">
        <f>HOTEL!U27</f>
        <v>446</v>
      </c>
      <c r="K20" s="16">
        <f>HOTEL!Y27</f>
        <v>25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9</v>
      </c>
      <c r="D21" s="13">
        <v>2020</v>
      </c>
      <c r="E21" s="16">
        <f>HOTEL!D28</f>
        <v>4075</v>
      </c>
      <c r="F21" s="16">
        <f>HOTEL!F28</f>
        <v>4017</v>
      </c>
      <c r="G21" s="16">
        <f>HOTEL!H28</f>
        <v>3775</v>
      </c>
      <c r="H21" s="16">
        <f>HOTEL!N28</f>
        <v>108</v>
      </c>
      <c r="I21" s="16">
        <f>HOTEL!P28</f>
        <v>732</v>
      </c>
      <c r="J21" s="16">
        <f>HOTEL!U28</f>
        <v>461</v>
      </c>
      <c r="K21" s="16">
        <f>HOTEL!Y28</f>
        <v>33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9</v>
      </c>
      <c r="D22" s="13">
        <v>2020</v>
      </c>
      <c r="E22" s="16" t="str">
        <f>HOTEL!D29</f>
        <v>0</v>
      </c>
      <c r="F22" s="16" t="str">
        <f>HOTEL!F29</f>
        <v>0</v>
      </c>
      <c r="G22" s="16" t="str">
        <f>HOTEL!H29</f>
        <v>0</v>
      </c>
      <c r="H22" s="16" t="str">
        <f>HOTEL!N29</f>
        <v>0</v>
      </c>
      <c r="I22" s="16" t="str">
        <f>HOTEL!P29</f>
        <v>0</v>
      </c>
      <c r="J22" s="16" t="str">
        <f>HOTEL!U29</f>
        <v>0</v>
      </c>
      <c r="K22" s="16">
        <f>HOTEL!Y29</f>
        <v>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9</v>
      </c>
      <c r="D23" s="13">
        <v>2020</v>
      </c>
      <c r="E23" s="16">
        <f>HOTEL!D30</f>
        <v>0</v>
      </c>
      <c r="F23" s="16">
        <f>HOTEL!F30</f>
        <v>0</v>
      </c>
      <c r="G23" s="16">
        <f>HOTEL!H30</f>
        <v>0</v>
      </c>
      <c r="H23" s="16">
        <f>HOTEL!N30</f>
        <v>0</v>
      </c>
      <c r="I23" s="16">
        <f>HOTEL!P30</f>
        <v>0</v>
      </c>
      <c r="J23" s="16">
        <f>HOTEL!U30</f>
        <v>0</v>
      </c>
      <c r="K23" s="16">
        <f>HOTEL!Y30</f>
        <v>0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9</v>
      </c>
      <c r="D24" s="13">
        <v>2020</v>
      </c>
      <c r="E24" s="16">
        <f>HOTEL!D31</f>
        <v>0</v>
      </c>
      <c r="F24" s="16">
        <f>HOTEL!F31</f>
        <v>0</v>
      </c>
      <c r="G24" s="16">
        <f>HOTEL!H31</f>
        <v>0</v>
      </c>
      <c r="H24" s="16">
        <f>HOTEL!N31</f>
        <v>0</v>
      </c>
      <c r="I24" s="16">
        <f>HOTEL!P31</f>
        <v>0</v>
      </c>
      <c r="J24" s="16">
        <f>HOTEL!U31</f>
        <v>0</v>
      </c>
      <c r="K24" s="16">
        <f>HOTEL!Y31</f>
        <v>0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9</v>
      </c>
      <c r="D25" s="13">
        <v>2020</v>
      </c>
      <c r="E25" s="16">
        <f>HOTEL!D32</f>
        <v>0</v>
      </c>
      <c r="F25" s="16">
        <f>HOTEL!F32</f>
        <v>0</v>
      </c>
      <c r="G25" s="16">
        <f>HOTEL!H32</f>
        <v>0</v>
      </c>
      <c r="H25" s="16">
        <f>HOTEL!N32</f>
        <v>0</v>
      </c>
      <c r="I25" s="16">
        <f>HOTEL!P32</f>
        <v>0</v>
      </c>
      <c r="J25" s="16">
        <f>HOTEL!U32</f>
        <v>0</v>
      </c>
      <c r="K25" s="16">
        <f>HOTEL!Y32</f>
        <v>0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9</v>
      </c>
      <c r="D26" s="13">
        <v>2020</v>
      </c>
      <c r="E26" s="16">
        <f>HOTEL!D33</f>
        <v>0</v>
      </c>
      <c r="F26" s="16">
        <f>HOTEL!F33</f>
        <v>0</v>
      </c>
      <c r="G26" s="16">
        <f>HOTEL!H33</f>
        <v>0</v>
      </c>
      <c r="H26" s="16">
        <f>HOTEL!N33</f>
        <v>0</v>
      </c>
      <c r="I26" s="16">
        <f>HOTEL!P33</f>
        <v>0</v>
      </c>
      <c r="J26" s="16">
        <f>HOTEL!U33</f>
        <v>0</v>
      </c>
      <c r="K26" s="16">
        <f>HOTEL!Y33</f>
        <v>0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9</v>
      </c>
      <c r="D27" s="13">
        <v>2020</v>
      </c>
      <c r="E27" s="16">
        <f>HOTEL!D34</f>
        <v>0</v>
      </c>
      <c r="F27" s="16">
        <f>HOTEL!F34</f>
        <v>0</v>
      </c>
      <c r="G27" s="16">
        <f>HOTEL!H34</f>
        <v>0</v>
      </c>
      <c r="H27" s="16">
        <f>HOTEL!N34</f>
        <v>0</v>
      </c>
      <c r="I27" s="16">
        <f>HOTEL!P34</f>
        <v>0</v>
      </c>
      <c r="J27" s="16">
        <f>HOTEL!U34</f>
        <v>0</v>
      </c>
      <c r="K27" s="16">
        <f>HOTEL!Y34</f>
        <v>0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9</v>
      </c>
      <c r="D28" s="13">
        <v>2020</v>
      </c>
      <c r="E28" s="16">
        <f>HOTEL!D35</f>
        <v>0</v>
      </c>
      <c r="F28" s="16">
        <f>HOTEL!F35</f>
        <v>0</v>
      </c>
      <c r="G28" s="16">
        <f>HOTEL!H35</f>
        <v>0</v>
      </c>
      <c r="H28" s="16">
        <f>HOTEL!N35</f>
        <v>0</v>
      </c>
      <c r="I28" s="16">
        <f>HOTEL!P35</f>
        <v>0</v>
      </c>
      <c r="J28" s="16">
        <f>HOTEL!U35</f>
        <v>0</v>
      </c>
      <c r="K28" s="16">
        <f>HOTEL!Y35</f>
        <v>0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9</v>
      </c>
      <c r="D29" s="13">
        <v>2020</v>
      </c>
      <c r="E29" s="16">
        <f>HOTEL!D36</f>
        <v>0</v>
      </c>
      <c r="F29" s="16">
        <f>HOTEL!F36</f>
        <v>0</v>
      </c>
      <c r="G29" s="16">
        <f>HOTEL!H36</f>
        <v>0</v>
      </c>
      <c r="H29" s="16">
        <f>HOTEL!N36</f>
        <v>0</v>
      </c>
      <c r="I29" s="16">
        <f>HOTEL!P36</f>
        <v>0</v>
      </c>
      <c r="J29" s="16">
        <f>HOTEL!U36</f>
        <v>0</v>
      </c>
      <c r="K29" s="16">
        <f>HOTEL!Y36</f>
        <v>0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9</v>
      </c>
      <c r="D30" s="13">
        <v>2020</v>
      </c>
      <c r="E30" s="16">
        <f>HOTEL!D37</f>
        <v>0</v>
      </c>
      <c r="F30" s="16">
        <f>HOTEL!F37</f>
        <v>0</v>
      </c>
      <c r="G30" s="16">
        <f>HOTEL!H37</f>
        <v>0</v>
      </c>
      <c r="H30" s="16">
        <f>HOTEL!N37</f>
        <v>0</v>
      </c>
      <c r="I30" s="16">
        <f>HOTEL!P37</f>
        <v>0</v>
      </c>
      <c r="J30" s="16">
        <f>HOTEL!U37</f>
        <v>0</v>
      </c>
      <c r="K30" s="16">
        <f>HOTEL!Y37</f>
        <v>0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9</v>
      </c>
      <c r="D31" s="13">
        <v>2020</v>
      </c>
      <c r="E31" s="16">
        <f>HOTEL!D38</f>
        <v>0</v>
      </c>
      <c r="F31" s="16">
        <f>HOTEL!F38</f>
        <v>0</v>
      </c>
      <c r="G31" s="16">
        <f>HOTEL!H38</f>
        <v>0</v>
      </c>
      <c r="H31" s="16">
        <f>HOTEL!N38</f>
        <v>0</v>
      </c>
      <c r="I31" s="16">
        <f>HOTEL!P38</f>
        <v>0</v>
      </c>
      <c r="J31" s="16">
        <f>HOTEL!U38</f>
        <v>0</v>
      </c>
      <c r="K31" s="16">
        <f>HOTEL!Y38</f>
        <v>0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9</v>
      </c>
      <c r="D32" s="13">
        <v>2020</v>
      </c>
      <c r="E32" s="16">
        <f>HOTEL!D39</f>
        <v>0</v>
      </c>
      <c r="F32" s="16">
        <f>HOTEL!F39</f>
        <v>0</v>
      </c>
      <c r="G32" s="16">
        <f>HOTEL!H39</f>
        <v>0</v>
      </c>
      <c r="H32" s="16">
        <f>HOTEL!N39</f>
        <v>0</v>
      </c>
      <c r="I32" s="16">
        <f>HOTEL!P39</f>
        <v>0</v>
      </c>
      <c r="J32" s="16">
        <f>HOTEL!U39</f>
        <v>0</v>
      </c>
      <c r="K32" s="16">
        <f>HOTEL!Y39</f>
        <v>0</v>
      </c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 t="str">
        <f>IF(([1]Submeters!AY38-[1]Submeters!AY37)&lt;0,"0",[1]Submeters!AY38-[1]Submeters!AY37)</f>
        <v>0</v>
      </c>
      <c r="BJ32" s="29">
        <f>IF(([1]Submeters!AZ38-[1]Submeters!AZ37)&lt;0,"0",[1]Submeters!AZ38-[1]Submeters!AZ37)</f>
        <v>0</v>
      </c>
      <c r="BK32" s="29">
        <f>IF(([1]Submeters!BA38-[1]Submeters!BA37)&lt;0,"0",[1]Submeters!BA38-[1]Submeters!BA37)</f>
        <v>0</v>
      </c>
      <c r="BL32" s="29">
        <f>IF(([1]Submeters!BB38-[1]Submeters!BB37)&lt;0,"0",[1]Submeters!BB38-[1]Submeters!BB37)</f>
        <v>0</v>
      </c>
      <c r="BM32" s="29">
        <f>IF(([1]Submeters!BC38-[1]Submeters!BC37)&lt;0,"0",[1]Submeters!BC38-[1]Submeters!BC37)</f>
        <v>0</v>
      </c>
      <c r="BN32" s="29">
        <f>IF(([1]Submeters!BD38-[1]Submeters!BD37)&lt;0,"0",[1]Submeters!BD38-[1]Submeters!BD37)</f>
        <v>0</v>
      </c>
      <c r="BO32" s="29">
        <f>IF(([1]Submeters!BE38-[1]Submeters!BE37)&lt;0,"0",[1]Submeters!BE38-[1]Submeters!BE37)</f>
        <v>0</v>
      </c>
      <c r="BP32" s="29">
        <f>IF(([1]Submeters!BF38-[1]Submeters!BF37)&lt;0,"0",[1]Submeters!BF38-[1]Submeters!BF37)</f>
        <v>0</v>
      </c>
      <c r="BQ32" s="29">
        <f>IF(([1]Submeters!BG38-[1]Submeters!BG37)&lt;0,"0",[1]Submeters!BG38-[1]Submeters!BG37)</f>
        <v>0</v>
      </c>
      <c r="BR32" s="29">
        <f>IF(([1]Submeters!BH38-[1]Submeters!BH37)&lt;0,"0",[1]Submeters!BH38-[1]Submeters!BH37)</f>
        <v>0</v>
      </c>
      <c r="BS32" s="29">
        <f>IF(([1]Submeters!BI38-[1]Submeters!BI37)&lt;0,"0",[1]Submeters!BI38-[1]Submeters!BI37)</f>
        <v>0</v>
      </c>
      <c r="BT32" s="29">
        <f>IF(([1]Submeters!BJ38-[1]Submeters!BJ37)&lt;0,"0",[1]Submeters!BJ38-[1]Submeters!BJ37)</f>
        <v>0</v>
      </c>
      <c r="BU32" s="29">
        <f>IF(([1]Submeters!BK38-[1]Submeters!BK37)&lt;0,"0",[1]Submeters!BK38-[1]Submeters!BK37)</f>
        <v>0</v>
      </c>
      <c r="BV32" s="29">
        <f>IF(([1]Submeters!BL38-[1]Submeters!BL37)&lt;0,"0",[1]Submeters!BL38-[1]Submeters!BL37)</f>
        <v>0</v>
      </c>
      <c r="BW32" s="29">
        <f>IF(([1]Submeters!BM38-[1]Submeters!BM37)&lt;0,"0",[1]Submeters!BM38-[1]Submeters!BM37)</f>
        <v>0</v>
      </c>
      <c r="BX32" s="29">
        <f>IF(([1]Submeters!BN38-[1]Submeters!BN37)&lt;0,"0",[1]Submeters!BN38-[1]Submeters!BN37)</f>
        <v>0</v>
      </c>
      <c r="BY32" s="29">
        <f>IF(([1]Submeters!BO38-[1]Submeters!BO37)&lt;0,"0",[1]Submeters!BO38-[1]Submeters!BO37)</f>
        <v>0</v>
      </c>
      <c r="BZ32" s="29">
        <f>IF(([1]Submeters!BP38-[1]Submeters!BP37)&lt;0,"0",[1]Submeters!BP38-[1]Submeters!BP37)</f>
        <v>0</v>
      </c>
      <c r="CA32" s="29">
        <f>IF(([1]Submeters!BQ38-[1]Submeters!BQ37)&lt;0,"0",[1]Submeters!BQ38-[1]Submeters!BQ37)</f>
        <v>0</v>
      </c>
      <c r="CB32" s="29">
        <f>IF(([1]Submeters!BR38-[1]Submeters!BR37)&lt;0,"0",[1]Submeters!BR38-[1]Submeters!BR37)</f>
        <v>0</v>
      </c>
      <c r="CC32" s="29">
        <f>IF(([1]Submeters!BS38-[1]Submeters!BS37)&lt;0,"0",[1]Submeters!BS38-[1]Submeters!BS37)</f>
        <v>0</v>
      </c>
      <c r="CD32" s="29">
        <f>IF(([1]Submeters!BT38-[1]Submeters!BT37)&lt;0,"0",[1]Submeters!BT38-[1]Submeters!BT37)</f>
        <v>0</v>
      </c>
      <c r="CE32" s="29">
        <f>IF(([1]Submeters!BU38-[1]Submeters!BU37)&lt;0,"0",[1]Submeters!BU38-[1]Submeters!BU37)</f>
        <v>0</v>
      </c>
      <c r="CF32" s="29">
        <f>IF(([1]Submeters!BV38-[1]Submeters!BV37)&lt;0,"0",[1]Submeters!BV38-[1]Submeters!BV37)</f>
        <v>0</v>
      </c>
      <c r="CG32" s="29">
        <f>IF(([1]Submeters!BW38-[1]Submeters!BW37)&lt;0,"0",[1]Submeters!BW38-[1]Submeters!BW37)</f>
        <v>0</v>
      </c>
      <c r="CH32" s="29">
        <f>IF(([1]Submeters!BX38-[1]Submeters!BX37)&lt;0,"0",[1]Submeters!BX38-[1]Submeters!BX37)</f>
        <v>0</v>
      </c>
      <c r="CI32" s="29">
        <f>IF(([1]Submeters!BY38-[1]Submeters!BY37)&lt;0,"0",[1]Submeters!BY38-[1]Submeters!BY37)</f>
        <v>0</v>
      </c>
      <c r="CJ32" s="29">
        <f>IF(([1]Submeters!BZ38-[1]Submeters!BZ37)&lt;0,"0",[1]Submeters!BZ38-[1]Submeters!BZ37)</f>
        <v>0</v>
      </c>
      <c r="CK32" s="29">
        <f>IF(([1]Submeters!CA38-[1]Submeters!CA37)&lt;0,"0",[1]Submeters!CA38-[1]Submeters!CA37)</f>
        <v>0</v>
      </c>
      <c r="CL32" s="29">
        <f>IF(([1]Submeters!CB38-[1]Submeters!CB37)&lt;0,"0",[1]Submeters!CB38-[1]Submeters!CB37)</f>
        <v>0</v>
      </c>
      <c r="CM32" s="29">
        <f>IF(([1]Submeters!CC38-[1]Submeters!CC37)&lt;0,"0",[1]Submeters!CC38-[1]Submeters!CC37)</f>
        <v>0</v>
      </c>
      <c r="CN32" s="29">
        <f>IF(([1]Submeters!CD38-[1]Submeters!CD37)&lt;0,"0",[1]Submeters!CD38-[1]Submeters!CD37)</f>
        <v>0</v>
      </c>
      <c r="CO32" s="29">
        <f>IF(([1]Submeters!CE38-[1]Submeters!CE37)&lt;0,"0",[1]Submeters!CE38-[1]Submeters!CE37)</f>
        <v>0</v>
      </c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  <row r="39" spans="12:93" x14ac:dyDescent="0.25"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Y33" sqref="Y33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5"/>
      <c r="C1" s="145"/>
      <c r="D1" s="145"/>
      <c r="E1" s="145"/>
      <c r="F1" s="146" t="s">
        <v>95</v>
      </c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8"/>
      <c r="W1" s="146" t="s">
        <v>122</v>
      </c>
      <c r="X1" s="147"/>
      <c r="Y1" s="147"/>
      <c r="Z1" s="148"/>
    </row>
    <row r="2" spans="1:27" x14ac:dyDescent="0.25">
      <c r="A2" s="13"/>
      <c r="B2" s="145"/>
      <c r="C2" s="145"/>
      <c r="D2" s="145"/>
      <c r="E2" s="145"/>
      <c r="F2" s="149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1"/>
      <c r="W2" s="149"/>
      <c r="X2" s="150"/>
      <c r="Y2" s="150"/>
      <c r="Z2" s="151"/>
    </row>
    <row r="3" spans="1:27" x14ac:dyDescent="0.25">
      <c r="A3" s="13"/>
      <c r="B3" s="145"/>
      <c r="C3" s="145"/>
      <c r="D3" s="145"/>
      <c r="E3" s="145"/>
      <c r="F3" s="149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49">
        <v>2020</v>
      </c>
      <c r="X3" s="150"/>
      <c r="Y3" s="150"/>
      <c r="Z3" s="151"/>
    </row>
    <row r="4" spans="1:27" x14ac:dyDescent="0.25">
      <c r="A4" s="13"/>
      <c r="B4" s="145"/>
      <c r="C4" s="145"/>
      <c r="D4" s="145"/>
      <c r="E4" s="145"/>
      <c r="F4" s="152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4"/>
      <c r="W4" s="152"/>
      <c r="X4" s="153"/>
      <c r="Y4" s="153"/>
      <c r="Z4" s="154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4664538</v>
      </c>
      <c r="D6" s="36"/>
      <c r="E6" s="37">
        <v>4617078</v>
      </c>
      <c r="F6" s="38"/>
      <c r="G6" s="35">
        <v>4373796</v>
      </c>
      <c r="H6" s="39">
        <f>G6-G5</f>
        <v>4373796</v>
      </c>
      <c r="I6" s="40"/>
      <c r="J6" s="41">
        <f>D6+F6+H6</f>
        <v>4373796</v>
      </c>
      <c r="K6" s="41" t="e">
        <f>D6*0.152+F6*0.238+H6*0.115+#REF!*0.218</f>
        <v>#REF!</v>
      </c>
      <c r="L6" s="42"/>
      <c r="M6" s="43">
        <v>107649</v>
      </c>
      <c r="N6" s="39" t="e">
        <f>M6-#REF!</f>
        <v>#REF!</v>
      </c>
      <c r="O6" s="44">
        <v>1868350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203052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5" t="s">
        <v>97</v>
      </c>
      <c r="D7" s="156"/>
      <c r="E7" s="156"/>
      <c r="F7" s="156"/>
      <c r="G7" s="156"/>
      <c r="H7" s="156"/>
      <c r="I7" s="156"/>
      <c r="J7" s="156"/>
      <c r="K7" s="157"/>
      <c r="L7" s="49"/>
      <c r="M7" s="155" t="s">
        <v>98</v>
      </c>
      <c r="N7" s="156"/>
      <c r="O7" s="156"/>
      <c r="P7" s="156"/>
      <c r="Q7" s="156"/>
      <c r="R7" s="157"/>
      <c r="S7" s="49"/>
      <c r="T7" s="158" t="s">
        <v>99</v>
      </c>
      <c r="U7" s="158"/>
      <c r="V7" s="159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116</v>
      </c>
      <c r="B9" s="67">
        <v>1</v>
      </c>
      <c r="C9" s="105">
        <v>4668869</v>
      </c>
      <c r="D9" s="69">
        <f>IF((C9-C6&lt;0), "0",C9-C6)</f>
        <v>4331</v>
      </c>
      <c r="E9" s="106">
        <v>4621418</v>
      </c>
      <c r="F9" s="69">
        <f>IF((E9-E6&lt;0), "0",E9-E6)</f>
        <v>4340</v>
      </c>
      <c r="G9" s="88">
        <v>4377829</v>
      </c>
      <c r="H9" s="69">
        <f>IF((G9-G6&lt;0), "0",G9-G6)</f>
        <v>4033</v>
      </c>
      <c r="I9" s="71">
        <f>SUM(H9,F9,D9)</f>
        <v>12704</v>
      </c>
      <c r="J9" s="72">
        <v>0.99</v>
      </c>
      <c r="K9" s="73">
        <f>I9*0.251</f>
        <v>3188.7040000000002</v>
      </c>
      <c r="L9" s="74"/>
      <c r="M9" s="105">
        <v>107729</v>
      </c>
      <c r="N9" s="69">
        <f>IF((M9-M6&lt;0), "0",M9-M6)</f>
        <v>80</v>
      </c>
      <c r="O9" s="105">
        <v>1869082</v>
      </c>
      <c r="P9" s="69">
        <f>IF((O9-O6&lt;0), "0",O9-O6)</f>
        <v>732</v>
      </c>
      <c r="Q9" s="75">
        <f t="shared" ref="Q9:Q39" si="0">N9+P9</f>
        <v>812</v>
      </c>
      <c r="R9" s="76">
        <f>(P9+N9)*0.056*10.211</f>
        <v>464.314592</v>
      </c>
      <c r="S9" s="77"/>
      <c r="T9" s="107">
        <v>203302</v>
      </c>
      <c r="U9" s="69">
        <f>IF((T9-T6&lt;0), "0",T9-T6)</f>
        <v>250</v>
      </c>
      <c r="V9" s="79">
        <f>U9*(1.315+1.54)</f>
        <v>713.75</v>
      </c>
      <c r="W9" s="80"/>
      <c r="X9" s="81">
        <f t="shared" ref="X9:X39" si="1">K9+R9+V9</f>
        <v>4366.7685920000004</v>
      </c>
      <c r="Y9" s="82">
        <v>25</v>
      </c>
      <c r="Z9" s="83">
        <f>X9/Y9</f>
        <v>174.67074368000002</v>
      </c>
    </row>
    <row r="10" spans="1:27" x14ac:dyDescent="0.25">
      <c r="A10" s="13" t="s">
        <v>117</v>
      </c>
      <c r="B10" s="67">
        <f>B9+1</f>
        <v>2</v>
      </c>
      <c r="C10" s="68">
        <v>4672649</v>
      </c>
      <c r="D10" s="69">
        <f t="shared" ref="D10:D19" si="2">IF((C10-C9&lt;0), "0",C10-C9)</f>
        <v>3780</v>
      </c>
      <c r="E10" s="70">
        <v>4625228</v>
      </c>
      <c r="F10" s="69">
        <f>IF((E10-E9&lt;0), "0",E10-E9)</f>
        <v>3810</v>
      </c>
      <c r="G10" s="70">
        <v>4381361</v>
      </c>
      <c r="H10" s="69">
        <f>IF((G10-G9&lt;0), "0",G10-G9)</f>
        <v>3532</v>
      </c>
      <c r="I10" s="71">
        <f t="shared" ref="I10:I39" si="3">SUM(H10,F10,D10)</f>
        <v>11122</v>
      </c>
      <c r="J10" s="72">
        <v>0.99</v>
      </c>
      <c r="K10" s="73">
        <f t="shared" ref="K10:K39" si="4">I10*0.251</f>
        <v>2791.6219999999998</v>
      </c>
      <c r="L10" s="74"/>
      <c r="M10" s="70">
        <v>107846</v>
      </c>
      <c r="N10" s="69">
        <f>IF((M10-M9&lt;0), "0",M10-M9)</f>
        <v>117</v>
      </c>
      <c r="O10" s="70">
        <v>1869843</v>
      </c>
      <c r="P10" s="69">
        <f>IF((O10-O9&lt;0), "0",O10-O9)</f>
        <v>761</v>
      </c>
      <c r="Q10" s="75">
        <f t="shared" si="0"/>
        <v>878</v>
      </c>
      <c r="R10" s="76">
        <f t="shared" ref="R10:R39" si="5">(P10+N10)*0.056*10.211</f>
        <v>502.05444799999998</v>
      </c>
      <c r="S10" s="77"/>
      <c r="T10" s="78">
        <v>203566</v>
      </c>
      <c r="U10" s="69">
        <f>IF((T10-T9&lt;0), "0",T10-T9)</f>
        <v>264</v>
      </c>
      <c r="V10" s="79">
        <f t="shared" ref="V10:V39" si="6">U10*(1.315+1.54)</f>
        <v>753.72</v>
      </c>
      <c r="W10" s="80"/>
      <c r="X10" s="84">
        <f t="shared" si="1"/>
        <v>4047.3964479999995</v>
      </c>
      <c r="Y10" s="85">
        <v>22</v>
      </c>
      <c r="Z10" s="86">
        <f t="shared" ref="Z10:Z39" si="7">X10/Y10</f>
        <v>183.97256581818181</v>
      </c>
    </row>
    <row r="11" spans="1:27" x14ac:dyDescent="0.25">
      <c r="A11" s="13" t="s">
        <v>118</v>
      </c>
      <c r="B11" s="67">
        <f t="shared" ref="B11:B38" si="8">B10+1</f>
        <v>3</v>
      </c>
      <c r="C11" s="68">
        <v>4676999</v>
      </c>
      <c r="D11" s="69">
        <f t="shared" si="2"/>
        <v>4350</v>
      </c>
      <c r="E11" s="68">
        <v>4629603</v>
      </c>
      <c r="F11" s="69">
        <f t="shared" ref="F11:F39" si="9">IF((E11-E10&lt;0), "0",E11-E10)</f>
        <v>4375</v>
      </c>
      <c r="G11" s="70">
        <v>4385434</v>
      </c>
      <c r="H11" s="69">
        <f t="shared" ref="H11:H39" si="10">IF((G11-G10&lt;0), "0",G11-G10)</f>
        <v>4073</v>
      </c>
      <c r="I11" s="71">
        <f t="shared" si="3"/>
        <v>12798</v>
      </c>
      <c r="J11" s="72">
        <v>0.99</v>
      </c>
      <c r="K11" s="73">
        <f t="shared" si="4"/>
        <v>3212.2980000000002</v>
      </c>
      <c r="L11" s="74"/>
      <c r="M11" s="70">
        <v>107940</v>
      </c>
      <c r="N11" s="69">
        <f t="shared" ref="N11:N39" si="11">IF((M11-M10&lt;0), "0",M11-M10)</f>
        <v>94</v>
      </c>
      <c r="O11" s="70">
        <v>1870517</v>
      </c>
      <c r="P11" s="69">
        <f t="shared" ref="P11:P39" si="12">IF((O11-O10&lt;0), "0",O11-O10)</f>
        <v>674</v>
      </c>
      <c r="Q11" s="75">
        <f t="shared" si="0"/>
        <v>768</v>
      </c>
      <c r="R11" s="76">
        <f t="shared" si="5"/>
        <v>439.15468800000002</v>
      </c>
      <c r="S11" s="77"/>
      <c r="T11" s="87">
        <v>204022</v>
      </c>
      <c r="U11" s="69">
        <f t="shared" ref="U11:U39" si="13">IF((T11-T10&lt;0), "0",T11-T10)</f>
        <v>456</v>
      </c>
      <c r="V11" s="79">
        <f t="shared" si="6"/>
        <v>1301.8799999999999</v>
      </c>
      <c r="W11" s="80"/>
      <c r="X11" s="84">
        <f t="shared" si="1"/>
        <v>4953.3326880000004</v>
      </c>
      <c r="Y11" s="85">
        <v>21</v>
      </c>
      <c r="Z11" s="86">
        <f t="shared" si="7"/>
        <v>235.87298514285717</v>
      </c>
    </row>
    <row r="12" spans="1:27" x14ac:dyDescent="0.25">
      <c r="A12" s="13" t="s">
        <v>119</v>
      </c>
      <c r="B12" s="67">
        <f t="shared" si="8"/>
        <v>4</v>
      </c>
      <c r="C12" s="68">
        <v>4680908</v>
      </c>
      <c r="D12" s="69">
        <f t="shared" si="2"/>
        <v>3909</v>
      </c>
      <c r="E12" s="68">
        <v>4633531</v>
      </c>
      <c r="F12" s="69">
        <f t="shared" si="9"/>
        <v>3928</v>
      </c>
      <c r="G12" s="70">
        <v>4389106</v>
      </c>
      <c r="H12" s="69">
        <f t="shared" si="10"/>
        <v>3672</v>
      </c>
      <c r="I12" s="71">
        <f t="shared" si="3"/>
        <v>11509</v>
      </c>
      <c r="J12" s="72">
        <v>0.99</v>
      </c>
      <c r="K12" s="73">
        <f t="shared" si="4"/>
        <v>2888.759</v>
      </c>
      <c r="L12" s="74"/>
      <c r="M12" s="70">
        <v>108072</v>
      </c>
      <c r="N12" s="69">
        <f t="shared" si="11"/>
        <v>132</v>
      </c>
      <c r="O12" s="70">
        <v>1871245</v>
      </c>
      <c r="P12" s="69">
        <f t="shared" si="12"/>
        <v>728</v>
      </c>
      <c r="Q12" s="75">
        <f t="shared" si="0"/>
        <v>860</v>
      </c>
      <c r="R12" s="76">
        <f t="shared" si="5"/>
        <v>491.76176000000004</v>
      </c>
      <c r="S12" s="77"/>
      <c r="T12" s="78">
        <v>204402</v>
      </c>
      <c r="U12" s="69">
        <f t="shared" si="13"/>
        <v>380</v>
      </c>
      <c r="V12" s="79">
        <f t="shared" si="6"/>
        <v>1084.9000000000001</v>
      </c>
      <c r="W12" s="80"/>
      <c r="X12" s="84">
        <f t="shared" si="1"/>
        <v>4465.42076</v>
      </c>
      <c r="Y12" s="85">
        <v>31</v>
      </c>
      <c r="Z12" s="86">
        <f t="shared" si="7"/>
        <v>144.04583096774192</v>
      </c>
    </row>
    <row r="13" spans="1:27" x14ac:dyDescent="0.25">
      <c r="A13" s="13" t="s">
        <v>120</v>
      </c>
      <c r="B13" s="67">
        <f t="shared" si="8"/>
        <v>5</v>
      </c>
      <c r="C13" s="88">
        <v>4684345</v>
      </c>
      <c r="D13" s="69">
        <f t="shared" si="2"/>
        <v>3437</v>
      </c>
      <c r="E13" s="68">
        <v>4637007</v>
      </c>
      <c r="F13" s="69">
        <f t="shared" si="9"/>
        <v>3476</v>
      </c>
      <c r="G13" s="88">
        <v>4392341</v>
      </c>
      <c r="H13" s="69">
        <f t="shared" si="10"/>
        <v>3235</v>
      </c>
      <c r="I13" s="71">
        <f t="shared" si="3"/>
        <v>10148</v>
      </c>
      <c r="J13" s="72">
        <v>0.99</v>
      </c>
      <c r="K13" s="73">
        <f t="shared" si="4"/>
        <v>2547.1480000000001</v>
      </c>
      <c r="L13" s="74"/>
      <c r="M13" s="70">
        <v>108182</v>
      </c>
      <c r="N13" s="69">
        <f t="shared" si="11"/>
        <v>110</v>
      </c>
      <c r="O13" s="68">
        <v>1871914</v>
      </c>
      <c r="P13" s="69">
        <f t="shared" si="12"/>
        <v>669</v>
      </c>
      <c r="Q13" s="75">
        <f t="shared" si="0"/>
        <v>779</v>
      </c>
      <c r="R13" s="76">
        <f t="shared" si="5"/>
        <v>445.44466400000005</v>
      </c>
      <c r="S13" s="77"/>
      <c r="T13" s="89">
        <v>204741</v>
      </c>
      <c r="U13" s="69">
        <f t="shared" si="13"/>
        <v>339</v>
      </c>
      <c r="V13" s="79">
        <f t="shared" si="6"/>
        <v>967.84500000000003</v>
      </c>
      <c r="W13" s="80"/>
      <c r="X13" s="84">
        <f t="shared" si="1"/>
        <v>3960.437664</v>
      </c>
      <c r="Y13" s="85">
        <v>44</v>
      </c>
      <c r="Z13" s="86">
        <f t="shared" si="7"/>
        <v>90.009946909090914</v>
      </c>
    </row>
    <row r="14" spans="1:27" x14ac:dyDescent="0.25">
      <c r="A14" s="13" t="s">
        <v>96</v>
      </c>
      <c r="B14" s="67">
        <f t="shared" si="8"/>
        <v>6</v>
      </c>
      <c r="C14" s="68">
        <v>4689114</v>
      </c>
      <c r="D14" s="69">
        <f t="shared" si="2"/>
        <v>4769</v>
      </c>
      <c r="E14" s="68">
        <v>4641404</v>
      </c>
      <c r="F14" s="69">
        <f t="shared" si="9"/>
        <v>4397</v>
      </c>
      <c r="G14" s="88">
        <v>4396115</v>
      </c>
      <c r="H14" s="69">
        <f t="shared" si="10"/>
        <v>3774</v>
      </c>
      <c r="I14" s="71">
        <f t="shared" si="3"/>
        <v>12940</v>
      </c>
      <c r="J14" s="72">
        <v>0.99</v>
      </c>
      <c r="K14" s="73">
        <f t="shared" si="4"/>
        <v>3247.94</v>
      </c>
      <c r="L14" s="74"/>
      <c r="M14" s="70">
        <v>108293</v>
      </c>
      <c r="N14" s="69">
        <f t="shared" si="11"/>
        <v>111</v>
      </c>
      <c r="O14" s="68">
        <v>1872614</v>
      </c>
      <c r="P14" s="69">
        <f t="shared" si="12"/>
        <v>700</v>
      </c>
      <c r="Q14" s="75">
        <f t="shared" si="0"/>
        <v>811</v>
      </c>
      <c r="R14" s="76">
        <f t="shared" si="5"/>
        <v>463.74277600000005</v>
      </c>
      <c r="S14" s="77"/>
      <c r="T14" s="89">
        <v>205132</v>
      </c>
      <c r="U14" s="69">
        <f t="shared" si="13"/>
        <v>391</v>
      </c>
      <c r="V14" s="79">
        <f t="shared" si="6"/>
        <v>1116.3050000000001</v>
      </c>
      <c r="W14" s="80"/>
      <c r="X14" s="84">
        <f t="shared" si="1"/>
        <v>4827.9877759999999</v>
      </c>
      <c r="Y14" s="85">
        <v>38</v>
      </c>
      <c r="Z14" s="86">
        <f t="shared" si="7"/>
        <v>127.05230989473684</v>
      </c>
    </row>
    <row r="15" spans="1:27" x14ac:dyDescent="0.25">
      <c r="A15" s="13" t="s">
        <v>121</v>
      </c>
      <c r="B15" s="67">
        <f t="shared" si="8"/>
        <v>7</v>
      </c>
      <c r="C15" s="68">
        <v>4692656</v>
      </c>
      <c r="D15" s="69">
        <f t="shared" si="2"/>
        <v>3542</v>
      </c>
      <c r="E15" s="68">
        <v>4645374</v>
      </c>
      <c r="F15" s="69">
        <f t="shared" si="9"/>
        <v>3970</v>
      </c>
      <c r="G15" s="68">
        <v>4400149</v>
      </c>
      <c r="H15" s="69">
        <f t="shared" si="10"/>
        <v>4034</v>
      </c>
      <c r="I15" s="71">
        <f t="shared" si="3"/>
        <v>11546</v>
      </c>
      <c r="J15" s="72">
        <v>0.99</v>
      </c>
      <c r="K15" s="73">
        <f t="shared" si="4"/>
        <v>2898.0459999999998</v>
      </c>
      <c r="L15" s="74"/>
      <c r="M15" s="70">
        <v>108409</v>
      </c>
      <c r="N15" s="69">
        <f t="shared" si="11"/>
        <v>116</v>
      </c>
      <c r="O15" s="68">
        <v>1873449</v>
      </c>
      <c r="P15" s="69">
        <f t="shared" si="12"/>
        <v>835</v>
      </c>
      <c r="Q15" s="75">
        <f t="shared" si="0"/>
        <v>951</v>
      </c>
      <c r="R15" s="76">
        <f t="shared" si="5"/>
        <v>543.79701599999999</v>
      </c>
      <c r="S15" s="77"/>
      <c r="T15" s="89">
        <v>205541</v>
      </c>
      <c r="U15" s="69">
        <f t="shared" si="13"/>
        <v>409</v>
      </c>
      <c r="V15" s="79">
        <f t="shared" si="6"/>
        <v>1167.6949999999999</v>
      </c>
      <c r="W15" s="80"/>
      <c r="X15" s="84">
        <f t="shared" si="1"/>
        <v>4609.5380159999995</v>
      </c>
      <c r="Y15" s="85">
        <v>27</v>
      </c>
      <c r="Z15" s="86">
        <f t="shared" si="7"/>
        <v>170.7236302222222</v>
      </c>
    </row>
    <row r="16" spans="1:27" x14ac:dyDescent="0.25">
      <c r="A16" s="13" t="s">
        <v>116</v>
      </c>
      <c r="B16" s="67">
        <f t="shared" si="8"/>
        <v>8</v>
      </c>
      <c r="C16" s="68">
        <v>4696911</v>
      </c>
      <c r="D16" s="69">
        <f t="shared" si="2"/>
        <v>4255</v>
      </c>
      <c r="E16" s="68">
        <v>4649647</v>
      </c>
      <c r="F16" s="69">
        <f t="shared" si="9"/>
        <v>4273</v>
      </c>
      <c r="G16" s="68">
        <v>4404221</v>
      </c>
      <c r="H16" s="69">
        <f t="shared" si="10"/>
        <v>4072</v>
      </c>
      <c r="I16" s="71">
        <f t="shared" si="3"/>
        <v>12600</v>
      </c>
      <c r="J16" s="72">
        <v>0.99</v>
      </c>
      <c r="K16" s="73">
        <f t="shared" si="4"/>
        <v>3162.6</v>
      </c>
      <c r="L16" s="74"/>
      <c r="M16" s="70">
        <v>108500</v>
      </c>
      <c r="N16" s="69">
        <f t="shared" si="11"/>
        <v>91</v>
      </c>
      <c r="O16" s="68">
        <v>1874092</v>
      </c>
      <c r="P16" s="69">
        <f t="shared" si="12"/>
        <v>643</v>
      </c>
      <c r="Q16" s="75">
        <f t="shared" si="0"/>
        <v>734</v>
      </c>
      <c r="R16" s="76">
        <f t="shared" si="5"/>
        <v>419.71294399999999</v>
      </c>
      <c r="S16" s="77"/>
      <c r="T16" s="89">
        <v>205861</v>
      </c>
      <c r="U16" s="69">
        <f t="shared" si="13"/>
        <v>320</v>
      </c>
      <c r="V16" s="79">
        <f t="shared" si="6"/>
        <v>913.6</v>
      </c>
      <c r="W16" s="80"/>
      <c r="X16" s="84">
        <f t="shared" si="1"/>
        <v>4495.9129439999997</v>
      </c>
      <c r="Y16" s="85">
        <v>23</v>
      </c>
      <c r="Z16" s="86">
        <f t="shared" si="7"/>
        <v>195.47447582608694</v>
      </c>
    </row>
    <row r="17" spans="1:26" x14ac:dyDescent="0.25">
      <c r="A17" s="13" t="s">
        <v>117</v>
      </c>
      <c r="B17" s="67">
        <v>9</v>
      </c>
      <c r="C17" s="90">
        <v>4701087</v>
      </c>
      <c r="D17" s="69">
        <f t="shared" si="2"/>
        <v>4176</v>
      </c>
      <c r="E17" s="90">
        <v>4653815</v>
      </c>
      <c r="F17" s="69">
        <f t="shared" si="9"/>
        <v>4168</v>
      </c>
      <c r="G17" s="90">
        <v>4408020</v>
      </c>
      <c r="H17" s="69">
        <f t="shared" si="10"/>
        <v>3799</v>
      </c>
      <c r="I17" s="71">
        <f t="shared" si="3"/>
        <v>12143</v>
      </c>
      <c r="J17" s="72">
        <v>0.99</v>
      </c>
      <c r="K17" s="73">
        <f t="shared" si="4"/>
        <v>3047.893</v>
      </c>
      <c r="L17" s="74"/>
      <c r="M17" s="90">
        <v>108605</v>
      </c>
      <c r="N17" s="69">
        <f t="shared" si="11"/>
        <v>105</v>
      </c>
      <c r="O17" s="90">
        <v>1874708</v>
      </c>
      <c r="P17" s="69">
        <f t="shared" si="12"/>
        <v>616</v>
      </c>
      <c r="Q17" s="75">
        <f t="shared" si="0"/>
        <v>721</v>
      </c>
      <c r="R17" s="76">
        <f t="shared" si="5"/>
        <v>412.279336</v>
      </c>
      <c r="S17" s="77"/>
      <c r="T17" s="91">
        <v>206288</v>
      </c>
      <c r="U17" s="69">
        <f t="shared" si="13"/>
        <v>427</v>
      </c>
      <c r="V17" s="79">
        <f t="shared" si="6"/>
        <v>1219.085</v>
      </c>
      <c r="W17" s="80"/>
      <c r="X17" s="84">
        <f t="shared" si="1"/>
        <v>4679.2573360000006</v>
      </c>
      <c r="Y17" s="85">
        <v>30</v>
      </c>
      <c r="Z17" s="86">
        <f t="shared" si="7"/>
        <v>155.97524453333335</v>
      </c>
    </row>
    <row r="18" spans="1:26" x14ac:dyDescent="0.25">
      <c r="A18" s="13" t="s">
        <v>118</v>
      </c>
      <c r="B18" s="92">
        <f t="shared" si="8"/>
        <v>10</v>
      </c>
      <c r="C18" s="90">
        <v>4705374</v>
      </c>
      <c r="D18" s="69">
        <f t="shared" si="2"/>
        <v>4287</v>
      </c>
      <c r="E18" s="68">
        <v>4658101</v>
      </c>
      <c r="F18" s="69">
        <f t="shared" si="9"/>
        <v>4286</v>
      </c>
      <c r="G18" s="68">
        <v>4412038</v>
      </c>
      <c r="H18" s="69">
        <f t="shared" si="10"/>
        <v>4018</v>
      </c>
      <c r="I18" s="71">
        <f t="shared" si="3"/>
        <v>12591</v>
      </c>
      <c r="J18" s="72">
        <v>0.99</v>
      </c>
      <c r="K18" s="73">
        <f t="shared" si="4"/>
        <v>3160.3409999999999</v>
      </c>
      <c r="L18" s="93"/>
      <c r="M18" s="70">
        <v>108710</v>
      </c>
      <c r="N18" s="69">
        <f t="shared" si="11"/>
        <v>105</v>
      </c>
      <c r="O18" s="68">
        <v>1875186</v>
      </c>
      <c r="P18" s="69">
        <f t="shared" si="12"/>
        <v>478</v>
      </c>
      <c r="Q18" s="75">
        <f t="shared" si="0"/>
        <v>583</v>
      </c>
      <c r="R18" s="76">
        <f t="shared" si="5"/>
        <v>333.36872800000003</v>
      </c>
      <c r="S18" s="94"/>
      <c r="T18" s="89">
        <v>206679</v>
      </c>
      <c r="U18" s="69">
        <f t="shared" si="13"/>
        <v>391</v>
      </c>
      <c r="V18" s="79">
        <f t="shared" si="6"/>
        <v>1116.3050000000001</v>
      </c>
      <c r="W18" s="80"/>
      <c r="X18" s="84">
        <f t="shared" si="1"/>
        <v>4610.0147280000001</v>
      </c>
      <c r="Y18" s="85">
        <v>25</v>
      </c>
      <c r="Z18" s="95">
        <f t="shared" si="7"/>
        <v>184.40058912000001</v>
      </c>
    </row>
    <row r="19" spans="1:26" x14ac:dyDescent="0.25">
      <c r="A19" s="13" t="s">
        <v>119</v>
      </c>
      <c r="B19" s="96">
        <f t="shared" si="8"/>
        <v>11</v>
      </c>
      <c r="C19" s="68">
        <v>4709542</v>
      </c>
      <c r="D19" s="69">
        <f t="shared" si="2"/>
        <v>4168</v>
      </c>
      <c r="E19" s="68">
        <v>4662259</v>
      </c>
      <c r="F19" s="69">
        <f t="shared" si="9"/>
        <v>4158</v>
      </c>
      <c r="G19" s="68">
        <v>4416016</v>
      </c>
      <c r="H19" s="69">
        <f t="shared" si="10"/>
        <v>3978</v>
      </c>
      <c r="I19" s="71">
        <f t="shared" si="3"/>
        <v>12304</v>
      </c>
      <c r="J19" s="72">
        <v>0.99</v>
      </c>
      <c r="K19" s="73">
        <f t="shared" si="4"/>
        <v>3088.3040000000001</v>
      </c>
      <c r="L19" s="74"/>
      <c r="M19" s="70">
        <v>108817</v>
      </c>
      <c r="N19" s="69">
        <f t="shared" si="11"/>
        <v>107</v>
      </c>
      <c r="O19" s="97">
        <v>1876003</v>
      </c>
      <c r="P19" s="69">
        <f t="shared" si="12"/>
        <v>817</v>
      </c>
      <c r="Q19" s="75">
        <f t="shared" si="0"/>
        <v>924</v>
      </c>
      <c r="R19" s="76">
        <f t="shared" si="5"/>
        <v>528.35798399999999</v>
      </c>
      <c r="S19" s="77"/>
      <c r="T19" s="98">
        <v>207172</v>
      </c>
      <c r="U19" s="69">
        <f t="shared" si="13"/>
        <v>493</v>
      </c>
      <c r="V19" s="79">
        <f t="shared" si="6"/>
        <v>1407.5150000000001</v>
      </c>
      <c r="W19" s="80"/>
      <c r="X19" s="84">
        <f t="shared" si="1"/>
        <v>5024.1769840000006</v>
      </c>
      <c r="Y19" s="85">
        <v>22</v>
      </c>
      <c r="Z19" s="83">
        <f t="shared" si="7"/>
        <v>228.37168109090911</v>
      </c>
    </row>
    <row r="20" spans="1:26" x14ac:dyDescent="0.25">
      <c r="A20" s="13" t="s">
        <v>120</v>
      </c>
      <c r="B20" s="67">
        <f t="shared" si="8"/>
        <v>12</v>
      </c>
      <c r="C20" s="68">
        <v>4713699</v>
      </c>
      <c r="D20" s="69">
        <f t="shared" ref="D20:D39" si="14">IF((C20-C19&lt;0), "0",C20-C19)</f>
        <v>4157</v>
      </c>
      <c r="E20" s="68">
        <v>4666492</v>
      </c>
      <c r="F20" s="69">
        <f t="shared" si="9"/>
        <v>4233</v>
      </c>
      <c r="G20" s="68">
        <v>4419856</v>
      </c>
      <c r="H20" s="69">
        <f t="shared" si="10"/>
        <v>3840</v>
      </c>
      <c r="I20" s="71">
        <f t="shared" si="3"/>
        <v>12230</v>
      </c>
      <c r="J20" s="72">
        <v>0.99</v>
      </c>
      <c r="K20" s="73">
        <f t="shared" si="4"/>
        <v>3069.73</v>
      </c>
      <c r="L20" s="74"/>
      <c r="M20" s="70">
        <v>108925</v>
      </c>
      <c r="N20" s="69">
        <f t="shared" si="11"/>
        <v>108</v>
      </c>
      <c r="O20" s="68">
        <v>1876636</v>
      </c>
      <c r="P20" s="69">
        <f t="shared" si="12"/>
        <v>633</v>
      </c>
      <c r="Q20" s="75">
        <f t="shared" si="0"/>
        <v>741</v>
      </c>
      <c r="R20" s="76">
        <f t="shared" si="5"/>
        <v>423.71565600000002</v>
      </c>
      <c r="S20" s="77"/>
      <c r="T20" s="89">
        <v>207769</v>
      </c>
      <c r="U20" s="69">
        <f t="shared" si="13"/>
        <v>597</v>
      </c>
      <c r="V20" s="79">
        <f t="shared" si="6"/>
        <v>1704.4349999999999</v>
      </c>
      <c r="W20" s="80"/>
      <c r="X20" s="84">
        <f t="shared" si="1"/>
        <v>5197.8806559999994</v>
      </c>
      <c r="Y20" s="85">
        <v>35</v>
      </c>
      <c r="Z20" s="86">
        <f t="shared" si="7"/>
        <v>148.51087588571426</v>
      </c>
    </row>
    <row r="21" spans="1:26" x14ac:dyDescent="0.25">
      <c r="A21" s="13" t="s">
        <v>96</v>
      </c>
      <c r="B21" s="67">
        <f t="shared" si="8"/>
        <v>13</v>
      </c>
      <c r="C21" s="90">
        <v>4717291</v>
      </c>
      <c r="D21" s="69">
        <f t="shared" si="14"/>
        <v>3592</v>
      </c>
      <c r="E21" s="68">
        <v>4670216</v>
      </c>
      <c r="F21" s="69">
        <f t="shared" si="9"/>
        <v>3724</v>
      </c>
      <c r="G21" s="68">
        <v>4423219</v>
      </c>
      <c r="H21" s="69">
        <f t="shared" si="10"/>
        <v>3363</v>
      </c>
      <c r="I21" s="71">
        <f t="shared" si="3"/>
        <v>10679</v>
      </c>
      <c r="J21" s="72">
        <v>0.99</v>
      </c>
      <c r="K21" s="73">
        <f t="shared" si="4"/>
        <v>2680.4290000000001</v>
      </c>
      <c r="L21" s="74"/>
      <c r="M21" s="70">
        <v>109041</v>
      </c>
      <c r="N21" s="69">
        <f t="shared" si="11"/>
        <v>116</v>
      </c>
      <c r="O21" s="68">
        <v>1877319</v>
      </c>
      <c r="P21" s="69">
        <f t="shared" si="12"/>
        <v>683</v>
      </c>
      <c r="Q21" s="75">
        <f t="shared" si="0"/>
        <v>799</v>
      </c>
      <c r="R21" s="76">
        <f t="shared" si="5"/>
        <v>456.88098400000001</v>
      </c>
      <c r="S21" s="77"/>
      <c r="T21" s="89">
        <v>208104</v>
      </c>
      <c r="U21" s="69">
        <f t="shared" si="13"/>
        <v>335</v>
      </c>
      <c r="V21" s="79">
        <f t="shared" si="6"/>
        <v>956.42499999999995</v>
      </c>
      <c r="W21" s="80"/>
      <c r="X21" s="84">
        <f t="shared" si="1"/>
        <v>4093.7349839999997</v>
      </c>
      <c r="Y21" s="85">
        <v>33</v>
      </c>
      <c r="Z21" s="86">
        <f t="shared" si="7"/>
        <v>124.05257527272727</v>
      </c>
    </row>
    <row r="22" spans="1:26" x14ac:dyDescent="0.25">
      <c r="A22" s="13" t="s">
        <v>121</v>
      </c>
      <c r="B22" s="67">
        <f t="shared" si="8"/>
        <v>14</v>
      </c>
      <c r="C22" s="90">
        <v>4720775</v>
      </c>
      <c r="D22" s="69">
        <f t="shared" si="14"/>
        <v>3484</v>
      </c>
      <c r="E22" s="68">
        <v>4673619</v>
      </c>
      <c r="F22" s="69">
        <f t="shared" si="9"/>
        <v>3403</v>
      </c>
      <c r="G22" s="68">
        <v>4426517</v>
      </c>
      <c r="H22" s="69">
        <f t="shared" si="10"/>
        <v>3298</v>
      </c>
      <c r="I22" s="71">
        <f t="shared" si="3"/>
        <v>10185</v>
      </c>
      <c r="J22" s="72">
        <v>0.99</v>
      </c>
      <c r="K22" s="73">
        <f t="shared" si="4"/>
        <v>2556.4349999999999</v>
      </c>
      <c r="L22" s="74"/>
      <c r="M22" s="70">
        <v>109152</v>
      </c>
      <c r="N22" s="69">
        <f t="shared" si="11"/>
        <v>111</v>
      </c>
      <c r="O22" s="68">
        <v>1877948</v>
      </c>
      <c r="P22" s="69">
        <f t="shared" si="12"/>
        <v>629</v>
      </c>
      <c r="Q22" s="75">
        <f t="shared" si="0"/>
        <v>740</v>
      </c>
      <c r="R22" s="76">
        <f t="shared" si="5"/>
        <v>423.14384000000001</v>
      </c>
      <c r="S22" s="77"/>
      <c r="T22" s="89">
        <v>208513</v>
      </c>
      <c r="U22" s="69">
        <f t="shared" si="13"/>
        <v>409</v>
      </c>
      <c r="V22" s="79">
        <f t="shared" si="6"/>
        <v>1167.6949999999999</v>
      </c>
      <c r="W22" s="80"/>
      <c r="X22" s="84">
        <f t="shared" si="1"/>
        <v>4147.2738399999998</v>
      </c>
      <c r="Y22" s="85">
        <v>26</v>
      </c>
      <c r="Z22" s="86">
        <f t="shared" si="7"/>
        <v>159.5105323076923</v>
      </c>
    </row>
    <row r="23" spans="1:26" x14ac:dyDescent="0.25">
      <c r="A23" s="13" t="s">
        <v>116</v>
      </c>
      <c r="B23" s="67">
        <f t="shared" si="8"/>
        <v>15</v>
      </c>
      <c r="C23" s="68">
        <v>4724521</v>
      </c>
      <c r="D23" s="69">
        <f t="shared" si="14"/>
        <v>3746</v>
      </c>
      <c r="E23" s="68">
        <v>4677409</v>
      </c>
      <c r="F23" s="69">
        <f t="shared" si="9"/>
        <v>3790</v>
      </c>
      <c r="G23" s="68">
        <v>4430053</v>
      </c>
      <c r="H23" s="69">
        <f t="shared" si="10"/>
        <v>3536</v>
      </c>
      <c r="I23" s="71">
        <f t="shared" si="3"/>
        <v>11072</v>
      </c>
      <c r="J23" s="72">
        <v>0.99</v>
      </c>
      <c r="K23" s="73">
        <f t="shared" si="4"/>
        <v>2779.0720000000001</v>
      </c>
      <c r="L23" s="74"/>
      <c r="M23" s="70">
        <v>109262</v>
      </c>
      <c r="N23" s="69">
        <f t="shared" si="11"/>
        <v>110</v>
      </c>
      <c r="O23" s="68">
        <v>1878798</v>
      </c>
      <c r="P23" s="69">
        <f t="shared" si="12"/>
        <v>850</v>
      </c>
      <c r="Q23" s="75">
        <f t="shared" si="0"/>
        <v>960</v>
      </c>
      <c r="R23" s="76">
        <f t="shared" si="5"/>
        <v>548.94335999999998</v>
      </c>
      <c r="S23" s="77"/>
      <c r="T23" s="89">
        <v>208980</v>
      </c>
      <c r="U23" s="69">
        <f t="shared" si="13"/>
        <v>467</v>
      </c>
      <c r="V23" s="79">
        <f t="shared" si="6"/>
        <v>1333.2850000000001</v>
      </c>
      <c r="W23" s="80"/>
      <c r="X23" s="84">
        <f t="shared" si="1"/>
        <v>4661.3003600000002</v>
      </c>
      <c r="Y23" s="85">
        <v>22</v>
      </c>
      <c r="Z23" s="86">
        <f t="shared" si="7"/>
        <v>211.8772890909091</v>
      </c>
    </row>
    <row r="24" spans="1:26" x14ac:dyDescent="0.25">
      <c r="A24" s="13" t="s">
        <v>117</v>
      </c>
      <c r="B24" s="67">
        <f t="shared" si="8"/>
        <v>16</v>
      </c>
      <c r="C24" s="68">
        <v>4728328</v>
      </c>
      <c r="D24" s="69">
        <f t="shared" si="14"/>
        <v>3807</v>
      </c>
      <c r="E24" s="68">
        <v>4681208</v>
      </c>
      <c r="F24" s="69">
        <f t="shared" si="9"/>
        <v>3799</v>
      </c>
      <c r="G24" s="68">
        <v>4433635</v>
      </c>
      <c r="H24" s="69">
        <f t="shared" si="10"/>
        <v>3582</v>
      </c>
      <c r="I24" s="71">
        <f t="shared" si="3"/>
        <v>11188</v>
      </c>
      <c r="J24" s="72">
        <v>0.99</v>
      </c>
      <c r="K24" s="73">
        <f t="shared" si="4"/>
        <v>2808.1880000000001</v>
      </c>
      <c r="L24" s="74"/>
      <c r="M24" s="70">
        <v>109355</v>
      </c>
      <c r="N24" s="69">
        <f t="shared" si="11"/>
        <v>93</v>
      </c>
      <c r="O24" s="68">
        <v>1879382</v>
      </c>
      <c r="P24" s="69">
        <f t="shared" si="12"/>
        <v>584</v>
      </c>
      <c r="Q24" s="75">
        <f t="shared" si="0"/>
        <v>677</v>
      </c>
      <c r="R24" s="76">
        <f t="shared" si="5"/>
        <v>387.11943200000002</v>
      </c>
      <c r="S24" s="77"/>
      <c r="T24" s="89">
        <v>209403</v>
      </c>
      <c r="U24" s="69">
        <f t="shared" si="13"/>
        <v>423</v>
      </c>
      <c r="V24" s="79">
        <f t="shared" si="6"/>
        <v>1207.665</v>
      </c>
      <c r="W24" s="80"/>
      <c r="X24" s="84">
        <f t="shared" si="1"/>
        <v>4402.9724320000005</v>
      </c>
      <c r="Y24" s="85">
        <v>18</v>
      </c>
      <c r="Z24" s="86">
        <f t="shared" si="7"/>
        <v>244.60957955555557</v>
      </c>
    </row>
    <row r="25" spans="1:26" x14ac:dyDescent="0.25">
      <c r="A25" s="13" t="s">
        <v>118</v>
      </c>
      <c r="B25" s="67">
        <f t="shared" si="8"/>
        <v>17</v>
      </c>
      <c r="C25" s="68">
        <v>4732297</v>
      </c>
      <c r="D25" s="69">
        <f t="shared" si="14"/>
        <v>3969</v>
      </c>
      <c r="E25" s="68">
        <v>4685125</v>
      </c>
      <c r="F25" s="69">
        <f t="shared" si="9"/>
        <v>3917</v>
      </c>
      <c r="G25" s="68">
        <v>4437332</v>
      </c>
      <c r="H25" s="69">
        <f t="shared" si="10"/>
        <v>3697</v>
      </c>
      <c r="I25" s="71">
        <f t="shared" si="3"/>
        <v>11583</v>
      </c>
      <c r="J25" s="72">
        <v>0.99</v>
      </c>
      <c r="K25" s="73">
        <f t="shared" si="4"/>
        <v>2907.3330000000001</v>
      </c>
      <c r="L25" s="74"/>
      <c r="M25" s="70">
        <v>109467</v>
      </c>
      <c r="N25" s="69">
        <f t="shared" si="11"/>
        <v>112</v>
      </c>
      <c r="O25" s="68">
        <v>1880005</v>
      </c>
      <c r="P25" s="69">
        <f t="shared" si="12"/>
        <v>623</v>
      </c>
      <c r="Q25" s="75">
        <f t="shared" si="0"/>
        <v>735</v>
      </c>
      <c r="R25" s="76">
        <f t="shared" si="5"/>
        <v>420.28476000000006</v>
      </c>
      <c r="S25" s="77"/>
      <c r="T25" s="89">
        <v>209848</v>
      </c>
      <c r="U25" s="69">
        <f t="shared" si="13"/>
        <v>445</v>
      </c>
      <c r="V25" s="79">
        <f t="shared" si="6"/>
        <v>1270.4749999999999</v>
      </c>
      <c r="W25" s="80"/>
      <c r="X25" s="84">
        <f t="shared" si="1"/>
        <v>4598.0927599999995</v>
      </c>
      <c r="Y25" s="85">
        <v>17</v>
      </c>
      <c r="Z25" s="86">
        <f t="shared" si="7"/>
        <v>270.47604470588232</v>
      </c>
    </row>
    <row r="26" spans="1:26" x14ac:dyDescent="0.25">
      <c r="A26" s="13" t="s">
        <v>119</v>
      </c>
      <c r="B26" s="67">
        <f t="shared" si="8"/>
        <v>18</v>
      </c>
      <c r="C26" s="68">
        <v>4736360</v>
      </c>
      <c r="D26" s="69">
        <f t="shared" si="14"/>
        <v>4063</v>
      </c>
      <c r="E26" s="68">
        <v>4689133</v>
      </c>
      <c r="F26" s="69">
        <f t="shared" si="9"/>
        <v>4008</v>
      </c>
      <c r="G26" s="68">
        <v>4441123</v>
      </c>
      <c r="H26" s="69">
        <f t="shared" si="10"/>
        <v>3791</v>
      </c>
      <c r="I26" s="71">
        <f t="shared" si="3"/>
        <v>11862</v>
      </c>
      <c r="J26" s="72">
        <v>0.99</v>
      </c>
      <c r="K26" s="73">
        <f t="shared" si="4"/>
        <v>2977.3620000000001</v>
      </c>
      <c r="L26" s="74"/>
      <c r="M26" s="70">
        <v>109584</v>
      </c>
      <c r="N26" s="69">
        <f t="shared" si="11"/>
        <v>117</v>
      </c>
      <c r="O26" s="68">
        <v>1880835</v>
      </c>
      <c r="P26" s="69">
        <f t="shared" si="12"/>
        <v>830</v>
      </c>
      <c r="Q26" s="75">
        <f t="shared" si="0"/>
        <v>947</v>
      </c>
      <c r="R26" s="76">
        <f t="shared" si="5"/>
        <v>541.50975200000005</v>
      </c>
      <c r="S26" s="77"/>
      <c r="T26" s="89">
        <v>210201</v>
      </c>
      <c r="U26" s="69">
        <f t="shared" si="13"/>
        <v>353</v>
      </c>
      <c r="V26" s="79">
        <f t="shared" si="6"/>
        <v>1007.8149999999999</v>
      </c>
      <c r="W26" s="80"/>
      <c r="X26" s="84">
        <f t="shared" si="1"/>
        <v>4526.6867519999996</v>
      </c>
      <c r="Y26" s="85">
        <v>15</v>
      </c>
      <c r="Z26" s="86">
        <f t="shared" si="7"/>
        <v>301.7791168</v>
      </c>
    </row>
    <row r="27" spans="1:26" x14ac:dyDescent="0.25">
      <c r="A27" s="13" t="s">
        <v>120</v>
      </c>
      <c r="B27" s="67">
        <f t="shared" si="8"/>
        <v>19</v>
      </c>
      <c r="C27" s="68">
        <v>4740541</v>
      </c>
      <c r="D27" s="69">
        <f t="shared" si="14"/>
        <v>4181</v>
      </c>
      <c r="E27" s="68">
        <v>4693266</v>
      </c>
      <c r="F27" s="69">
        <f t="shared" si="9"/>
        <v>4133</v>
      </c>
      <c r="G27" s="68">
        <v>4445011</v>
      </c>
      <c r="H27" s="69">
        <f t="shared" si="10"/>
        <v>3888</v>
      </c>
      <c r="I27" s="71">
        <f t="shared" si="3"/>
        <v>12202</v>
      </c>
      <c r="J27" s="72">
        <v>0.99</v>
      </c>
      <c r="K27" s="73">
        <f t="shared" si="4"/>
        <v>3062.7020000000002</v>
      </c>
      <c r="L27" s="99"/>
      <c r="M27" s="70">
        <v>109693</v>
      </c>
      <c r="N27" s="69">
        <f t="shared" si="11"/>
        <v>109</v>
      </c>
      <c r="O27" s="68">
        <v>1881616</v>
      </c>
      <c r="P27" s="69">
        <f t="shared" si="12"/>
        <v>781</v>
      </c>
      <c r="Q27" s="75">
        <f t="shared" si="0"/>
        <v>890</v>
      </c>
      <c r="R27" s="76">
        <f t="shared" si="5"/>
        <v>508.91624000000007</v>
      </c>
      <c r="S27" s="77"/>
      <c r="T27" s="89">
        <v>210647</v>
      </c>
      <c r="U27" s="69">
        <f t="shared" si="13"/>
        <v>446</v>
      </c>
      <c r="V27" s="79">
        <f t="shared" si="6"/>
        <v>1273.33</v>
      </c>
      <c r="W27" s="80"/>
      <c r="X27" s="84">
        <f t="shared" si="1"/>
        <v>4844.9482399999997</v>
      </c>
      <c r="Y27" s="85">
        <v>25</v>
      </c>
      <c r="Z27" s="86">
        <f t="shared" si="7"/>
        <v>193.79792959999997</v>
      </c>
    </row>
    <row r="28" spans="1:26" x14ac:dyDescent="0.25">
      <c r="A28" s="13" t="s">
        <v>96</v>
      </c>
      <c r="B28" s="92">
        <f t="shared" si="8"/>
        <v>20</v>
      </c>
      <c r="C28" s="90">
        <v>4744616</v>
      </c>
      <c r="D28" s="69">
        <f t="shared" si="14"/>
        <v>4075</v>
      </c>
      <c r="E28" s="90">
        <v>4697283</v>
      </c>
      <c r="F28" s="69">
        <f t="shared" si="9"/>
        <v>4017</v>
      </c>
      <c r="G28" s="90">
        <v>4448786</v>
      </c>
      <c r="H28" s="69">
        <f t="shared" si="10"/>
        <v>3775</v>
      </c>
      <c r="I28" s="71">
        <f t="shared" si="3"/>
        <v>11867</v>
      </c>
      <c r="J28" s="72">
        <v>0.99</v>
      </c>
      <c r="K28" s="73">
        <f t="shared" si="4"/>
        <v>2978.6170000000002</v>
      </c>
      <c r="L28" s="100"/>
      <c r="M28" s="70">
        <v>109801</v>
      </c>
      <c r="N28" s="69">
        <f t="shared" si="11"/>
        <v>108</v>
      </c>
      <c r="O28" s="68">
        <v>1882348</v>
      </c>
      <c r="P28" s="69">
        <f t="shared" si="12"/>
        <v>732</v>
      </c>
      <c r="Q28" s="75">
        <f t="shared" si="0"/>
        <v>840</v>
      </c>
      <c r="R28" s="76">
        <f t="shared" si="5"/>
        <v>480.32544000000001</v>
      </c>
      <c r="S28" s="68"/>
      <c r="T28" s="89">
        <v>211108</v>
      </c>
      <c r="U28" s="69">
        <f t="shared" si="13"/>
        <v>461</v>
      </c>
      <c r="V28" s="79">
        <f t="shared" si="6"/>
        <v>1316.155</v>
      </c>
      <c r="W28" s="80"/>
      <c r="X28" s="101">
        <f t="shared" si="1"/>
        <v>4775.0974400000005</v>
      </c>
      <c r="Y28" s="85">
        <v>33</v>
      </c>
      <c r="Z28" s="95">
        <f t="shared" si="7"/>
        <v>144.69992242424243</v>
      </c>
    </row>
    <row r="29" spans="1:26" x14ac:dyDescent="0.25">
      <c r="A29" s="13" t="s">
        <v>121</v>
      </c>
      <c r="B29" s="96">
        <f t="shared" si="8"/>
        <v>21</v>
      </c>
      <c r="C29" s="68"/>
      <c r="D29" s="69" t="str">
        <f t="shared" si="14"/>
        <v>0</v>
      </c>
      <c r="E29" s="68"/>
      <c r="F29" s="69" t="str">
        <f t="shared" si="9"/>
        <v>0</v>
      </c>
      <c r="G29" s="68"/>
      <c r="H29" s="69" t="str">
        <f t="shared" si="10"/>
        <v>0</v>
      </c>
      <c r="I29" s="71">
        <f t="shared" si="3"/>
        <v>0</v>
      </c>
      <c r="J29" s="72"/>
      <c r="K29" s="73">
        <f t="shared" si="4"/>
        <v>0</v>
      </c>
      <c r="L29" s="74"/>
      <c r="M29" s="70"/>
      <c r="N29" s="69" t="str">
        <f t="shared" si="11"/>
        <v>0</v>
      </c>
      <c r="O29" s="68"/>
      <c r="P29" s="69" t="str">
        <f t="shared" si="12"/>
        <v>0</v>
      </c>
      <c r="Q29" s="75">
        <f t="shared" si="0"/>
        <v>0</v>
      </c>
      <c r="R29" s="76">
        <f t="shared" si="5"/>
        <v>0</v>
      </c>
      <c r="S29" s="77"/>
      <c r="T29" s="89"/>
      <c r="U29" s="69" t="str">
        <f t="shared" si="13"/>
        <v>0</v>
      </c>
      <c r="V29" s="79">
        <f t="shared" si="6"/>
        <v>0</v>
      </c>
      <c r="W29" s="80"/>
      <c r="X29" s="81">
        <f t="shared" si="1"/>
        <v>0</v>
      </c>
      <c r="Y29" s="85"/>
      <c r="Z29" s="83" t="e">
        <f t="shared" si="7"/>
        <v>#DIV/0!</v>
      </c>
    </row>
    <row r="30" spans="1:26" x14ac:dyDescent="0.25">
      <c r="A30" s="13" t="s">
        <v>116</v>
      </c>
      <c r="B30" s="67">
        <f t="shared" si="8"/>
        <v>22</v>
      </c>
      <c r="C30" s="68"/>
      <c r="D30" s="69">
        <f t="shared" si="14"/>
        <v>0</v>
      </c>
      <c r="E30" s="68"/>
      <c r="F30" s="69">
        <f t="shared" si="9"/>
        <v>0</v>
      </c>
      <c r="G30" s="68"/>
      <c r="H30" s="69">
        <f t="shared" si="10"/>
        <v>0</v>
      </c>
      <c r="I30" s="71">
        <f t="shared" si="3"/>
        <v>0</v>
      </c>
      <c r="J30" s="72"/>
      <c r="K30" s="73">
        <f t="shared" si="4"/>
        <v>0</v>
      </c>
      <c r="L30" s="74"/>
      <c r="M30" s="70"/>
      <c r="N30" s="69">
        <f t="shared" si="11"/>
        <v>0</v>
      </c>
      <c r="O30" s="68"/>
      <c r="P30" s="69">
        <f t="shared" si="12"/>
        <v>0</v>
      </c>
      <c r="Q30" s="75">
        <f t="shared" si="0"/>
        <v>0</v>
      </c>
      <c r="R30" s="76">
        <f t="shared" si="5"/>
        <v>0</v>
      </c>
      <c r="S30" s="77"/>
      <c r="T30" s="89"/>
      <c r="U30" s="69">
        <f t="shared" si="13"/>
        <v>0</v>
      </c>
      <c r="V30" s="79">
        <f t="shared" si="6"/>
        <v>0</v>
      </c>
      <c r="W30" s="80"/>
      <c r="X30" s="84">
        <f t="shared" si="1"/>
        <v>0</v>
      </c>
      <c r="Y30" s="85"/>
      <c r="Z30" s="86" t="e">
        <f t="shared" si="7"/>
        <v>#DIV/0!</v>
      </c>
    </row>
    <row r="31" spans="1:26" x14ac:dyDescent="0.25">
      <c r="A31" s="13" t="s">
        <v>117</v>
      </c>
      <c r="B31" s="67">
        <f t="shared" si="8"/>
        <v>23</v>
      </c>
      <c r="C31" s="68"/>
      <c r="D31" s="69">
        <f t="shared" si="14"/>
        <v>0</v>
      </c>
      <c r="E31" s="68"/>
      <c r="F31" s="69">
        <f t="shared" si="9"/>
        <v>0</v>
      </c>
      <c r="G31" s="68"/>
      <c r="H31" s="69">
        <f t="shared" si="10"/>
        <v>0</v>
      </c>
      <c r="I31" s="71">
        <f t="shared" si="3"/>
        <v>0</v>
      </c>
      <c r="J31" s="72"/>
      <c r="K31" s="73">
        <f t="shared" si="4"/>
        <v>0</v>
      </c>
      <c r="L31" s="74"/>
      <c r="M31" s="70"/>
      <c r="N31" s="69">
        <f t="shared" si="11"/>
        <v>0</v>
      </c>
      <c r="O31" s="68"/>
      <c r="P31" s="69">
        <f t="shared" si="12"/>
        <v>0</v>
      </c>
      <c r="Q31" s="75">
        <f t="shared" si="0"/>
        <v>0</v>
      </c>
      <c r="R31" s="76">
        <f t="shared" si="5"/>
        <v>0</v>
      </c>
      <c r="S31" s="77"/>
      <c r="T31" s="89"/>
      <c r="U31" s="69">
        <f t="shared" si="13"/>
        <v>0</v>
      </c>
      <c r="V31" s="79">
        <f t="shared" si="6"/>
        <v>0</v>
      </c>
      <c r="W31" s="80"/>
      <c r="X31" s="102">
        <f t="shared" si="1"/>
        <v>0</v>
      </c>
      <c r="Y31" s="85"/>
      <c r="Z31" s="86" t="e">
        <f t="shared" si="7"/>
        <v>#DIV/0!</v>
      </c>
    </row>
    <row r="32" spans="1:26" x14ac:dyDescent="0.25">
      <c r="A32" s="13" t="s">
        <v>118</v>
      </c>
      <c r="B32" s="67">
        <f t="shared" si="8"/>
        <v>24</v>
      </c>
      <c r="C32" s="68"/>
      <c r="D32" s="69">
        <f t="shared" si="14"/>
        <v>0</v>
      </c>
      <c r="E32" s="68"/>
      <c r="F32" s="69">
        <f t="shared" si="9"/>
        <v>0</v>
      </c>
      <c r="G32" s="68"/>
      <c r="H32" s="69">
        <f t="shared" si="10"/>
        <v>0</v>
      </c>
      <c r="I32" s="71">
        <f t="shared" si="3"/>
        <v>0</v>
      </c>
      <c r="J32" s="72"/>
      <c r="K32" s="73">
        <f t="shared" si="4"/>
        <v>0</v>
      </c>
      <c r="L32" s="74"/>
      <c r="M32" s="70"/>
      <c r="N32" s="69">
        <f t="shared" si="11"/>
        <v>0</v>
      </c>
      <c r="O32" s="68"/>
      <c r="P32" s="69">
        <f t="shared" si="12"/>
        <v>0</v>
      </c>
      <c r="Q32" s="75">
        <f t="shared" si="0"/>
        <v>0</v>
      </c>
      <c r="R32" s="76">
        <f t="shared" si="5"/>
        <v>0</v>
      </c>
      <c r="S32" s="77"/>
      <c r="T32" s="89"/>
      <c r="U32" s="69">
        <f t="shared" si="13"/>
        <v>0</v>
      </c>
      <c r="V32" s="79">
        <f t="shared" si="6"/>
        <v>0</v>
      </c>
      <c r="W32" s="80"/>
      <c r="X32" s="102">
        <f t="shared" si="1"/>
        <v>0</v>
      </c>
      <c r="Y32" s="85"/>
      <c r="Z32" s="86" t="e">
        <f t="shared" si="7"/>
        <v>#DIV/0!</v>
      </c>
    </row>
    <row r="33" spans="1:26" x14ac:dyDescent="0.25">
      <c r="A33" s="13" t="s">
        <v>119</v>
      </c>
      <c r="B33" s="67">
        <f t="shared" si="8"/>
        <v>25</v>
      </c>
      <c r="C33" s="68"/>
      <c r="D33" s="69">
        <f t="shared" si="14"/>
        <v>0</v>
      </c>
      <c r="E33" s="68"/>
      <c r="F33" s="69">
        <f t="shared" si="9"/>
        <v>0</v>
      </c>
      <c r="G33" s="68"/>
      <c r="H33" s="69">
        <f t="shared" si="10"/>
        <v>0</v>
      </c>
      <c r="I33" s="71">
        <f t="shared" si="3"/>
        <v>0</v>
      </c>
      <c r="J33" s="72"/>
      <c r="K33" s="73">
        <f t="shared" si="4"/>
        <v>0</v>
      </c>
      <c r="L33" s="74"/>
      <c r="M33" s="70"/>
      <c r="N33" s="69">
        <f t="shared" si="11"/>
        <v>0</v>
      </c>
      <c r="O33" s="68"/>
      <c r="P33" s="69">
        <f t="shared" si="12"/>
        <v>0</v>
      </c>
      <c r="Q33" s="75">
        <f t="shared" si="0"/>
        <v>0</v>
      </c>
      <c r="R33" s="76">
        <f t="shared" si="5"/>
        <v>0</v>
      </c>
      <c r="S33" s="77"/>
      <c r="T33" s="89"/>
      <c r="U33" s="69">
        <f t="shared" si="13"/>
        <v>0</v>
      </c>
      <c r="V33" s="79">
        <f t="shared" si="6"/>
        <v>0</v>
      </c>
      <c r="W33" s="80"/>
      <c r="X33" s="102">
        <f t="shared" si="1"/>
        <v>0</v>
      </c>
      <c r="Y33" s="85"/>
      <c r="Z33" s="86" t="e">
        <f t="shared" si="7"/>
        <v>#DIV/0!</v>
      </c>
    </row>
    <row r="34" spans="1:26" x14ac:dyDescent="0.25">
      <c r="A34" s="13" t="s">
        <v>120</v>
      </c>
      <c r="B34" s="67">
        <f t="shared" si="8"/>
        <v>26</v>
      </c>
      <c r="C34" s="90"/>
      <c r="D34" s="69">
        <f t="shared" si="14"/>
        <v>0</v>
      </c>
      <c r="E34" s="68"/>
      <c r="F34" s="69">
        <f t="shared" si="9"/>
        <v>0</v>
      </c>
      <c r="G34" s="68"/>
      <c r="H34" s="69">
        <f t="shared" si="10"/>
        <v>0</v>
      </c>
      <c r="I34" s="71">
        <f t="shared" si="3"/>
        <v>0</v>
      </c>
      <c r="J34" s="72"/>
      <c r="K34" s="73">
        <f t="shared" si="4"/>
        <v>0</v>
      </c>
      <c r="L34" s="74"/>
      <c r="M34" s="70"/>
      <c r="N34" s="69">
        <f t="shared" si="11"/>
        <v>0</v>
      </c>
      <c r="O34" s="68"/>
      <c r="P34" s="69">
        <f t="shared" si="12"/>
        <v>0</v>
      </c>
      <c r="Q34" s="75">
        <f t="shared" si="0"/>
        <v>0</v>
      </c>
      <c r="R34" s="76">
        <f t="shared" si="5"/>
        <v>0</v>
      </c>
      <c r="S34" s="77"/>
      <c r="T34" s="89"/>
      <c r="U34" s="69">
        <f t="shared" si="13"/>
        <v>0</v>
      </c>
      <c r="V34" s="79">
        <f t="shared" si="6"/>
        <v>0</v>
      </c>
      <c r="W34" s="80"/>
      <c r="X34" s="102">
        <f t="shared" si="1"/>
        <v>0</v>
      </c>
      <c r="Y34" s="85"/>
      <c r="Z34" s="86" t="e">
        <f t="shared" si="7"/>
        <v>#DIV/0!</v>
      </c>
    </row>
    <row r="35" spans="1:26" x14ac:dyDescent="0.25">
      <c r="A35" s="13" t="s">
        <v>96</v>
      </c>
      <c r="B35" s="67">
        <f t="shared" si="8"/>
        <v>27</v>
      </c>
      <c r="C35" s="90"/>
      <c r="D35" s="69">
        <f t="shared" si="14"/>
        <v>0</v>
      </c>
      <c r="E35" s="68"/>
      <c r="F35" s="69">
        <f t="shared" si="9"/>
        <v>0</v>
      </c>
      <c r="G35" s="68"/>
      <c r="H35" s="69">
        <f t="shared" si="10"/>
        <v>0</v>
      </c>
      <c r="I35" s="71">
        <f t="shared" si="3"/>
        <v>0</v>
      </c>
      <c r="J35" s="72"/>
      <c r="K35" s="73">
        <f t="shared" si="4"/>
        <v>0</v>
      </c>
      <c r="L35" s="74"/>
      <c r="M35" s="70"/>
      <c r="N35" s="69">
        <f t="shared" si="11"/>
        <v>0</v>
      </c>
      <c r="O35" s="68"/>
      <c r="P35" s="69">
        <f t="shared" si="12"/>
        <v>0</v>
      </c>
      <c r="Q35" s="75">
        <f t="shared" si="0"/>
        <v>0</v>
      </c>
      <c r="R35" s="76">
        <f t="shared" si="5"/>
        <v>0</v>
      </c>
      <c r="S35" s="77"/>
      <c r="T35" s="89"/>
      <c r="U35" s="69">
        <f t="shared" si="13"/>
        <v>0</v>
      </c>
      <c r="V35" s="79">
        <f t="shared" si="6"/>
        <v>0</v>
      </c>
      <c r="W35" s="80"/>
      <c r="X35" s="102">
        <f t="shared" si="1"/>
        <v>0</v>
      </c>
      <c r="Y35" s="85"/>
      <c r="Z35" s="86" t="e">
        <f t="shared" si="7"/>
        <v>#DIV/0!</v>
      </c>
    </row>
    <row r="36" spans="1:26" x14ac:dyDescent="0.25">
      <c r="A36" s="13" t="s">
        <v>121</v>
      </c>
      <c r="B36" s="67">
        <f>B35+1</f>
        <v>28</v>
      </c>
      <c r="C36" s="90"/>
      <c r="D36" s="69">
        <f t="shared" si="14"/>
        <v>0</v>
      </c>
      <c r="E36" s="103"/>
      <c r="F36" s="69">
        <f t="shared" si="9"/>
        <v>0</v>
      </c>
      <c r="G36" s="103"/>
      <c r="H36" s="69">
        <f t="shared" si="10"/>
        <v>0</v>
      </c>
      <c r="I36" s="71">
        <f t="shared" si="3"/>
        <v>0</v>
      </c>
      <c r="J36" s="72"/>
      <c r="K36" s="73">
        <f t="shared" si="4"/>
        <v>0</v>
      </c>
      <c r="L36" s="74"/>
      <c r="M36" s="70"/>
      <c r="N36" s="69">
        <f t="shared" si="11"/>
        <v>0</v>
      </c>
      <c r="O36" s="68"/>
      <c r="P36" s="69">
        <f t="shared" si="12"/>
        <v>0</v>
      </c>
      <c r="Q36" s="75">
        <f t="shared" si="0"/>
        <v>0</v>
      </c>
      <c r="R36" s="76">
        <f t="shared" si="5"/>
        <v>0</v>
      </c>
      <c r="S36" s="77"/>
      <c r="T36" s="89"/>
      <c r="U36" s="69">
        <f t="shared" si="13"/>
        <v>0</v>
      </c>
      <c r="V36" s="79">
        <f t="shared" si="6"/>
        <v>0</v>
      </c>
      <c r="W36" s="80"/>
      <c r="X36" s="102">
        <f t="shared" si="1"/>
        <v>0</v>
      </c>
      <c r="Y36" s="85"/>
      <c r="Z36" s="86" t="e">
        <f t="shared" si="7"/>
        <v>#DIV/0!</v>
      </c>
    </row>
    <row r="37" spans="1:26" x14ac:dyDescent="0.25">
      <c r="A37" s="13" t="s">
        <v>116</v>
      </c>
      <c r="B37" s="67">
        <f t="shared" si="8"/>
        <v>29</v>
      </c>
      <c r="C37" s="90"/>
      <c r="D37" s="69">
        <f t="shared" si="14"/>
        <v>0</v>
      </c>
      <c r="E37" s="103"/>
      <c r="F37" s="69">
        <f t="shared" si="9"/>
        <v>0</v>
      </c>
      <c r="G37" s="103"/>
      <c r="H37" s="69">
        <f t="shared" si="10"/>
        <v>0</v>
      </c>
      <c r="I37" s="71">
        <f t="shared" si="3"/>
        <v>0</v>
      </c>
      <c r="J37" s="72"/>
      <c r="K37" s="73">
        <f t="shared" si="4"/>
        <v>0</v>
      </c>
      <c r="L37" s="74"/>
      <c r="M37" s="70"/>
      <c r="N37" s="69">
        <f t="shared" si="11"/>
        <v>0</v>
      </c>
      <c r="O37" s="68"/>
      <c r="P37" s="69">
        <f t="shared" si="12"/>
        <v>0</v>
      </c>
      <c r="Q37" s="75">
        <f t="shared" si="0"/>
        <v>0</v>
      </c>
      <c r="R37" s="76">
        <f t="shared" si="5"/>
        <v>0</v>
      </c>
      <c r="S37" s="77"/>
      <c r="T37" s="89"/>
      <c r="U37" s="69">
        <f t="shared" si="13"/>
        <v>0</v>
      </c>
      <c r="V37" s="79">
        <f t="shared" si="6"/>
        <v>0</v>
      </c>
      <c r="W37" s="80"/>
      <c r="X37" s="102">
        <f t="shared" si="1"/>
        <v>0</v>
      </c>
      <c r="Y37" s="80"/>
      <c r="Z37" s="86" t="e">
        <f t="shared" si="7"/>
        <v>#DIV/0!</v>
      </c>
    </row>
    <row r="38" spans="1:26" x14ac:dyDescent="0.25">
      <c r="A38" s="13" t="s">
        <v>117</v>
      </c>
      <c r="B38" s="67">
        <f t="shared" si="8"/>
        <v>30</v>
      </c>
      <c r="C38" s="68"/>
      <c r="D38" s="69">
        <f t="shared" si="14"/>
        <v>0</v>
      </c>
      <c r="E38" s="90"/>
      <c r="F38" s="69">
        <f t="shared" si="9"/>
        <v>0</v>
      </c>
      <c r="G38" s="90"/>
      <c r="H38" s="69">
        <f t="shared" si="10"/>
        <v>0</v>
      </c>
      <c r="I38" s="71">
        <f t="shared" si="3"/>
        <v>0</v>
      </c>
      <c r="J38" s="72"/>
      <c r="K38" s="73">
        <f t="shared" si="4"/>
        <v>0</v>
      </c>
      <c r="L38" s="74"/>
      <c r="M38" s="70"/>
      <c r="N38" s="69">
        <f t="shared" si="11"/>
        <v>0</v>
      </c>
      <c r="O38" s="68"/>
      <c r="P38" s="69">
        <f t="shared" si="12"/>
        <v>0</v>
      </c>
      <c r="Q38" s="75">
        <f t="shared" si="0"/>
        <v>0</v>
      </c>
      <c r="R38" s="76">
        <f t="shared" si="5"/>
        <v>0</v>
      </c>
      <c r="S38" s="77"/>
      <c r="T38" s="89"/>
      <c r="U38" s="69">
        <f t="shared" si="13"/>
        <v>0</v>
      </c>
      <c r="V38" s="79">
        <f t="shared" si="6"/>
        <v>0</v>
      </c>
      <c r="W38" s="80"/>
      <c r="X38" s="102">
        <f t="shared" si="1"/>
        <v>0</v>
      </c>
      <c r="Y38" s="80"/>
      <c r="Z38" s="86" t="e">
        <f t="shared" si="7"/>
        <v>#DIV/0!</v>
      </c>
    </row>
    <row r="39" spans="1:26" x14ac:dyDescent="0.25">
      <c r="A39" s="13" t="s">
        <v>118</v>
      </c>
      <c r="B39" s="104">
        <v>31</v>
      </c>
      <c r="C39" s="105"/>
      <c r="D39" s="69">
        <f t="shared" si="14"/>
        <v>0</v>
      </c>
      <c r="E39" s="106"/>
      <c r="F39" s="69">
        <f t="shared" si="9"/>
        <v>0</v>
      </c>
      <c r="G39" s="88"/>
      <c r="H39" s="69">
        <f t="shared" si="10"/>
        <v>0</v>
      </c>
      <c r="I39" s="71">
        <f t="shared" si="3"/>
        <v>0</v>
      </c>
      <c r="J39" s="72"/>
      <c r="K39" s="73">
        <f t="shared" si="4"/>
        <v>0</v>
      </c>
      <c r="L39" s="74"/>
      <c r="M39" s="105"/>
      <c r="N39" s="69">
        <f t="shared" si="11"/>
        <v>0</v>
      </c>
      <c r="O39" s="105"/>
      <c r="P39" s="69">
        <f t="shared" si="12"/>
        <v>0</v>
      </c>
      <c r="Q39" s="75">
        <f t="shared" si="0"/>
        <v>0</v>
      </c>
      <c r="R39" s="76">
        <f t="shared" si="5"/>
        <v>0</v>
      </c>
      <c r="S39" s="77"/>
      <c r="T39" s="107"/>
      <c r="U39" s="69">
        <f t="shared" si="13"/>
        <v>0</v>
      </c>
      <c r="V39" s="79">
        <f t="shared" si="6"/>
        <v>0</v>
      </c>
      <c r="W39" s="80"/>
      <c r="X39" s="102">
        <f t="shared" si="1"/>
        <v>0</v>
      </c>
      <c r="Y39" s="80"/>
      <c r="Z39" s="86" t="e">
        <f t="shared" si="7"/>
        <v>#DIV/0!</v>
      </c>
    </row>
    <row r="40" spans="1:26" x14ac:dyDescent="0.25">
      <c r="A40" s="13"/>
      <c r="B40" s="108"/>
      <c r="C40" s="160">
        <f>SUMIF(D9:D39,"&gt;0")</f>
        <v>80078</v>
      </c>
      <c r="D40" s="161"/>
      <c r="E40" s="162">
        <f>SUMIF(F9:F39,"&gt;0")</f>
        <v>80205</v>
      </c>
      <c r="F40" s="163"/>
      <c r="G40" s="160">
        <f>SUMIF(H9:H39,"&gt;0")</f>
        <v>74990</v>
      </c>
      <c r="H40" s="163"/>
      <c r="I40" s="109">
        <f>SUMIF(I9:I39,"&gt;0")</f>
        <v>235273</v>
      </c>
      <c r="J40" s="110"/>
      <c r="K40" s="111">
        <f>SUMIF(K9:K39,"&gt;0")</f>
        <v>59053.522999999994</v>
      </c>
      <c r="L40" s="109"/>
      <c r="M40" s="160">
        <f>SUMIF(N9:N39,"&gt;0")</f>
        <v>2152</v>
      </c>
      <c r="N40" s="163"/>
      <c r="O40" s="160">
        <f>SUMIF(P9:P39,"&gt;0")</f>
        <v>13998</v>
      </c>
      <c r="P40" s="163"/>
      <c r="Q40" s="110">
        <f>SUMIF(Q9:Q39,"&gt;0")</f>
        <v>16150</v>
      </c>
      <c r="R40" s="111">
        <f>SUMIF(R9:R39,"&gt;0")</f>
        <v>9234.828400000004</v>
      </c>
      <c r="S40" s="112"/>
      <c r="T40" s="144">
        <f>SUMIF(U9:U39,"&gt;0")</f>
        <v>8056</v>
      </c>
      <c r="U40" s="144"/>
      <c r="V40" s="113">
        <f>SUMIF(V9:V39,"&gt;0")</f>
        <v>22999.879999999997</v>
      </c>
      <c r="W40" s="114"/>
      <c r="X40" s="115">
        <f>SUMIF(X9:X39,"&gt;0")</f>
        <v>91288.23139999999</v>
      </c>
      <c r="Y40" s="116">
        <f>SUM(Y9:Y39)</f>
        <v>532</v>
      </c>
      <c r="Z40" s="117">
        <f>(SUMIF(Z9:Z36,"&gt;0")/31)</f>
        <v>119.02851189831881</v>
      </c>
    </row>
  </sheetData>
  <mergeCells count="13">
    <mergeCell ref="T40:U40"/>
    <mergeCell ref="B1:E4"/>
    <mergeCell ref="F1:V4"/>
    <mergeCell ref="W1:Z2"/>
    <mergeCell ref="W3:Z4"/>
    <mergeCell ref="C7:K7"/>
    <mergeCell ref="M7:R7"/>
    <mergeCell ref="T7:V7"/>
    <mergeCell ref="C40:D40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38"/>
  <sheetViews>
    <sheetView tabSelected="1" zoomScale="75" zoomScaleNormal="75" workbookViewId="0">
      <selection activeCell="B27" sqref="B27:AY27"/>
    </sheetView>
  </sheetViews>
  <sheetFormatPr defaultRowHeight="15" x14ac:dyDescent="0.25"/>
  <sheetData>
    <row r="6" spans="1:83" ht="15.75" thickBot="1" x14ac:dyDescent="0.3">
      <c r="B6" s="118">
        <v>49433</v>
      </c>
      <c r="C6" s="119">
        <v>79236</v>
      </c>
      <c r="D6" s="120">
        <v>15207</v>
      </c>
      <c r="E6" s="120">
        <v>13719</v>
      </c>
      <c r="F6" s="120">
        <v>189420</v>
      </c>
      <c r="G6" s="120">
        <v>3495</v>
      </c>
      <c r="H6" s="119">
        <v>1485</v>
      </c>
      <c r="I6" s="120">
        <v>380288</v>
      </c>
      <c r="J6" s="120">
        <v>68377</v>
      </c>
      <c r="K6" s="120">
        <v>7921</v>
      </c>
      <c r="L6" s="120">
        <v>29890</v>
      </c>
      <c r="M6" s="120">
        <v>52115</v>
      </c>
      <c r="N6" s="120">
        <v>38542</v>
      </c>
      <c r="O6" s="120">
        <v>181658</v>
      </c>
      <c r="P6" s="120">
        <v>375920</v>
      </c>
      <c r="Q6" s="120">
        <v>2808</v>
      </c>
      <c r="R6" s="120">
        <v>18050</v>
      </c>
      <c r="S6" s="120">
        <v>25503</v>
      </c>
      <c r="T6" s="120">
        <v>278413</v>
      </c>
      <c r="U6" s="120">
        <v>375407</v>
      </c>
      <c r="V6" s="120">
        <v>40159</v>
      </c>
      <c r="W6" s="120">
        <v>5416</v>
      </c>
      <c r="X6" s="120">
        <v>13927</v>
      </c>
      <c r="Y6" s="120">
        <v>86195</v>
      </c>
      <c r="Z6" s="119">
        <v>540</v>
      </c>
      <c r="AA6" s="120">
        <v>170186</v>
      </c>
      <c r="AB6" s="120">
        <v>7562</v>
      </c>
      <c r="AC6" s="120">
        <v>1974</v>
      </c>
      <c r="AD6" s="120">
        <v>17975</v>
      </c>
      <c r="AE6" s="120">
        <v>76508</v>
      </c>
      <c r="AF6" s="120">
        <v>205359</v>
      </c>
      <c r="AG6" s="120">
        <v>1125790</v>
      </c>
      <c r="AH6" s="120">
        <v>11123</v>
      </c>
      <c r="AI6" s="120">
        <v>483379</v>
      </c>
      <c r="AJ6" s="120">
        <v>637743</v>
      </c>
      <c r="AK6" s="120">
        <v>9334</v>
      </c>
      <c r="AL6" s="121">
        <v>29315</v>
      </c>
      <c r="AM6" s="120">
        <v>28542</v>
      </c>
      <c r="AN6" s="122">
        <v>596531</v>
      </c>
      <c r="AO6" s="122">
        <v>5246</v>
      </c>
      <c r="AP6" s="123">
        <v>0</v>
      </c>
      <c r="AQ6" s="120">
        <v>109712</v>
      </c>
      <c r="AR6" s="120">
        <v>217210</v>
      </c>
      <c r="AS6" s="120">
        <v>63112</v>
      </c>
      <c r="AT6" s="120">
        <v>560</v>
      </c>
      <c r="AU6" s="120">
        <v>107079</v>
      </c>
      <c r="AV6" s="120">
        <v>44534</v>
      </c>
      <c r="AW6" s="120">
        <v>38275</v>
      </c>
      <c r="AX6" s="120">
        <v>175158</v>
      </c>
      <c r="AY6" s="124">
        <v>481902</v>
      </c>
    </row>
    <row r="7" spans="1:83" ht="90" x14ac:dyDescent="0.25">
      <c r="A7" s="125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6" t="s">
        <v>63</v>
      </c>
      <c r="BA7" s="126" t="s">
        <v>64</v>
      </c>
      <c r="BB7" s="126" t="s">
        <v>65</v>
      </c>
      <c r="BC7" s="126" t="s">
        <v>66</v>
      </c>
      <c r="BD7" s="126" t="s">
        <v>67</v>
      </c>
      <c r="BE7" s="126" t="s">
        <v>68</v>
      </c>
      <c r="BF7" s="126" t="s">
        <v>69</v>
      </c>
      <c r="BG7" s="126" t="s">
        <v>70</v>
      </c>
      <c r="BH7" s="126" t="s">
        <v>71</v>
      </c>
      <c r="BI7" s="126" t="s">
        <v>72</v>
      </c>
      <c r="BJ7" s="126" t="s">
        <v>73</v>
      </c>
      <c r="BK7" s="126" t="s">
        <v>74</v>
      </c>
      <c r="BL7" s="126" t="s">
        <v>75</v>
      </c>
      <c r="BM7" s="126" t="s">
        <v>76</v>
      </c>
      <c r="BN7" s="126" t="s">
        <v>77</v>
      </c>
      <c r="BO7" s="126" t="s">
        <v>78</v>
      </c>
      <c r="BP7" s="126" t="s">
        <v>79</v>
      </c>
      <c r="BQ7" s="126" t="s">
        <v>80</v>
      </c>
      <c r="BR7" s="126" t="s">
        <v>81</v>
      </c>
      <c r="BS7" s="127" t="s">
        <v>82</v>
      </c>
      <c r="BT7" s="127" t="s">
        <v>83</v>
      </c>
      <c r="BU7" s="127" t="s">
        <v>84</v>
      </c>
      <c r="BV7" s="127" t="s">
        <v>85</v>
      </c>
      <c r="BW7" s="127" t="s">
        <v>86</v>
      </c>
      <c r="BX7" s="127" t="s">
        <v>87</v>
      </c>
      <c r="BY7" s="127" t="s">
        <v>88</v>
      </c>
      <c r="BZ7" s="127" t="s">
        <v>89</v>
      </c>
      <c r="CA7" s="127" t="s">
        <v>90</v>
      </c>
      <c r="CB7" s="127" t="s">
        <v>91</v>
      </c>
      <c r="CC7" s="127" t="s">
        <v>92</v>
      </c>
      <c r="CD7" s="127" t="s">
        <v>93</v>
      </c>
      <c r="CE7" s="127" t="s">
        <v>94</v>
      </c>
    </row>
    <row r="8" spans="1:83" ht="15.75" thickBot="1" x14ac:dyDescent="0.3">
      <c r="A8">
        <v>1</v>
      </c>
      <c r="B8" s="134">
        <v>58196</v>
      </c>
      <c r="C8" s="135">
        <v>92153</v>
      </c>
      <c r="D8" s="135">
        <v>16891</v>
      </c>
      <c r="E8" s="135">
        <v>15148</v>
      </c>
      <c r="F8" s="135">
        <v>210441</v>
      </c>
      <c r="G8" s="135">
        <v>3984</v>
      </c>
      <c r="H8" s="135">
        <v>2748</v>
      </c>
      <c r="I8" s="135">
        <v>422367</v>
      </c>
      <c r="J8" s="135">
        <v>76749</v>
      </c>
      <c r="K8" s="135">
        <v>7946</v>
      </c>
      <c r="L8" s="135">
        <v>32126</v>
      </c>
      <c r="M8" s="135">
        <v>56124</v>
      </c>
      <c r="N8" s="135">
        <v>42997</v>
      </c>
      <c r="O8" s="135">
        <v>207266</v>
      </c>
      <c r="P8" s="135">
        <v>447216</v>
      </c>
      <c r="Q8" s="135">
        <v>3415</v>
      </c>
      <c r="R8" s="135">
        <v>21006</v>
      </c>
      <c r="S8" s="135">
        <v>25503</v>
      </c>
      <c r="T8" s="135">
        <v>306359</v>
      </c>
      <c r="U8" s="135">
        <v>422172</v>
      </c>
      <c r="V8" s="135">
        <v>46028</v>
      </c>
      <c r="W8" s="135">
        <v>5768</v>
      </c>
      <c r="X8" s="135">
        <v>15833</v>
      </c>
      <c r="Y8" s="135">
        <v>99093</v>
      </c>
      <c r="Z8" s="135">
        <v>586</v>
      </c>
      <c r="AA8" s="135">
        <v>188830</v>
      </c>
      <c r="AB8" s="135">
        <v>9698</v>
      </c>
      <c r="AC8" s="135">
        <v>2195</v>
      </c>
      <c r="AD8" s="135">
        <v>19903</v>
      </c>
      <c r="AE8" s="135">
        <v>90124</v>
      </c>
      <c r="AF8" s="135">
        <v>232452</v>
      </c>
      <c r="AG8" s="135">
        <v>1225438</v>
      </c>
      <c r="AH8" s="135">
        <v>12459</v>
      </c>
      <c r="AI8" s="135">
        <v>486507</v>
      </c>
      <c r="AJ8" s="135">
        <v>706216</v>
      </c>
      <c r="AK8" s="135">
        <v>10801</v>
      </c>
      <c r="AL8" s="141">
        <v>36538</v>
      </c>
      <c r="AM8" s="135">
        <v>33620</v>
      </c>
      <c r="AN8" s="138">
        <v>663681</v>
      </c>
      <c r="AO8" s="138">
        <v>5374</v>
      </c>
      <c r="AP8" s="138">
        <v>0</v>
      </c>
      <c r="AQ8" s="135">
        <v>119182</v>
      </c>
      <c r="AR8" s="135">
        <v>239945</v>
      </c>
      <c r="AS8" s="135">
        <v>69264</v>
      </c>
      <c r="AT8" s="135">
        <v>655</v>
      </c>
      <c r="AU8" s="135">
        <v>118790</v>
      </c>
      <c r="AV8" s="135">
        <v>47022</v>
      </c>
      <c r="AW8" s="135">
        <v>40452</v>
      </c>
      <c r="AX8" s="135">
        <v>196903</v>
      </c>
      <c r="AY8" s="136">
        <v>546062</v>
      </c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</row>
    <row r="9" spans="1:83" x14ac:dyDescent="0.25">
      <c r="A9">
        <v>2</v>
      </c>
      <c r="B9" s="129">
        <v>58271</v>
      </c>
      <c r="C9" s="129">
        <v>92294</v>
      </c>
      <c r="D9" s="129">
        <v>16899</v>
      </c>
      <c r="E9" s="129">
        <v>15169</v>
      </c>
      <c r="F9" s="129">
        <v>210633</v>
      </c>
      <c r="G9" s="129">
        <v>3987</v>
      </c>
      <c r="H9" s="129">
        <v>2780</v>
      </c>
      <c r="I9" s="129">
        <v>422743</v>
      </c>
      <c r="J9" s="129">
        <v>76816</v>
      </c>
      <c r="K9" s="129">
        <v>7946</v>
      </c>
      <c r="L9" s="129">
        <v>32147</v>
      </c>
      <c r="M9" s="129">
        <v>56168</v>
      </c>
      <c r="N9" s="129">
        <v>43034</v>
      </c>
      <c r="O9" s="129">
        <v>207454</v>
      </c>
      <c r="P9" s="129">
        <v>447814</v>
      </c>
      <c r="Q9" s="129">
        <v>3422</v>
      </c>
      <c r="R9" s="129">
        <v>21024</v>
      </c>
      <c r="S9" s="129">
        <v>25503</v>
      </c>
      <c r="T9" s="129">
        <v>306583</v>
      </c>
      <c r="U9" s="129">
        <v>422527</v>
      </c>
      <c r="V9" s="129">
        <v>46072</v>
      </c>
      <c r="W9" s="129">
        <v>5768</v>
      </c>
      <c r="X9" s="129">
        <v>15845</v>
      </c>
      <c r="Y9" s="129">
        <v>99187</v>
      </c>
      <c r="Z9" s="129">
        <v>587</v>
      </c>
      <c r="AA9" s="129">
        <v>188968</v>
      </c>
      <c r="AB9" s="129">
        <v>9723</v>
      </c>
      <c r="AC9" s="129">
        <v>2197</v>
      </c>
      <c r="AD9" s="129">
        <v>19913</v>
      </c>
      <c r="AE9" s="129">
        <v>90214</v>
      </c>
      <c r="AF9" s="129">
        <v>232640</v>
      </c>
      <c r="AG9" s="129">
        <v>1226552</v>
      </c>
      <c r="AH9" s="129">
        <v>12470</v>
      </c>
      <c r="AI9" s="129">
        <v>486524</v>
      </c>
      <c r="AJ9" s="129">
        <v>706711</v>
      </c>
      <c r="AK9" s="129">
        <v>10813</v>
      </c>
      <c r="AL9" s="142">
        <v>36635</v>
      </c>
      <c r="AM9" s="129">
        <v>33676</v>
      </c>
      <c r="AN9" s="139">
        <v>664296</v>
      </c>
      <c r="AO9" s="139">
        <v>5375</v>
      </c>
      <c r="AP9" s="139">
        <v>0</v>
      </c>
      <c r="AQ9" s="129">
        <v>119269</v>
      </c>
      <c r="AR9" s="129">
        <v>240250</v>
      </c>
      <c r="AS9" s="129">
        <v>69305</v>
      </c>
      <c r="AT9" s="129">
        <v>656</v>
      </c>
      <c r="AU9" s="129">
        <v>118884</v>
      </c>
      <c r="AV9" s="129">
        <v>47052</v>
      </c>
      <c r="AW9" s="129">
        <v>40480</v>
      </c>
      <c r="AX9" s="129">
        <v>197137</v>
      </c>
      <c r="AY9" s="129">
        <v>546485</v>
      </c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</row>
    <row r="10" spans="1:83" x14ac:dyDescent="0.25">
      <c r="A10">
        <v>3</v>
      </c>
      <c r="B10" s="129">
        <v>58360</v>
      </c>
      <c r="C10" s="129">
        <v>92422</v>
      </c>
      <c r="D10" s="129">
        <v>16907</v>
      </c>
      <c r="E10" s="129">
        <v>15177</v>
      </c>
      <c r="F10" s="129">
        <v>210841</v>
      </c>
      <c r="G10" s="129">
        <v>3990</v>
      </c>
      <c r="H10" s="129">
        <v>2813</v>
      </c>
      <c r="I10" s="129">
        <v>423152</v>
      </c>
      <c r="J10" s="129">
        <v>76887</v>
      </c>
      <c r="K10" s="129">
        <v>7946</v>
      </c>
      <c r="L10" s="129">
        <v>32171</v>
      </c>
      <c r="M10" s="129">
        <v>56218</v>
      </c>
      <c r="N10" s="129">
        <v>43074</v>
      </c>
      <c r="O10" s="129">
        <v>207663</v>
      </c>
      <c r="P10" s="129">
        <v>448466</v>
      </c>
      <c r="Q10" s="129">
        <v>3429</v>
      </c>
      <c r="R10" s="129">
        <v>21047</v>
      </c>
      <c r="S10" s="129">
        <v>25503</v>
      </c>
      <c r="T10" s="129">
        <v>306849</v>
      </c>
      <c r="U10" s="129">
        <v>422926</v>
      </c>
      <c r="V10" s="129">
        <v>46114</v>
      </c>
      <c r="W10" s="129">
        <v>5770</v>
      </c>
      <c r="X10" s="129">
        <v>15857</v>
      </c>
      <c r="Y10" s="129">
        <v>99289</v>
      </c>
      <c r="Z10" s="129">
        <v>588</v>
      </c>
      <c r="AA10" s="129">
        <v>189138</v>
      </c>
      <c r="AB10" s="129">
        <v>9756</v>
      </c>
      <c r="AC10" s="129">
        <v>2199</v>
      </c>
      <c r="AD10" s="129">
        <v>19932</v>
      </c>
      <c r="AE10" s="129">
        <v>90306</v>
      </c>
      <c r="AF10" s="129">
        <v>232831</v>
      </c>
      <c r="AG10" s="129">
        <v>1227954</v>
      </c>
      <c r="AH10" s="129">
        <v>12477</v>
      </c>
      <c r="AI10" s="129">
        <v>486544</v>
      </c>
      <c r="AJ10" s="129">
        <v>707261</v>
      </c>
      <c r="AK10" s="129">
        <v>10830</v>
      </c>
      <c r="AL10" s="142">
        <v>36762</v>
      </c>
      <c r="AM10" s="129">
        <v>33748</v>
      </c>
      <c r="AN10" s="139">
        <v>664948</v>
      </c>
      <c r="AO10" s="139">
        <v>5376</v>
      </c>
      <c r="AP10" s="139">
        <v>0</v>
      </c>
      <c r="AQ10" s="129">
        <v>119359</v>
      </c>
      <c r="AR10" s="129">
        <v>240364</v>
      </c>
      <c r="AS10" s="129">
        <v>69351</v>
      </c>
      <c r="AT10" s="129">
        <v>656</v>
      </c>
      <c r="AU10" s="129">
        <v>119028</v>
      </c>
      <c r="AV10" s="129">
        <v>47084</v>
      </c>
      <c r="AW10" s="129">
        <v>40507</v>
      </c>
      <c r="AX10" s="129">
        <v>197315</v>
      </c>
      <c r="AY10" s="129">
        <v>546992</v>
      </c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/>
      <c r="BZ10" s="128"/>
      <c r="CA10" s="128"/>
      <c r="CB10" s="128"/>
      <c r="CC10" s="128"/>
      <c r="CD10" s="128"/>
      <c r="CE10" s="128"/>
    </row>
    <row r="11" spans="1:83" x14ac:dyDescent="0.25">
      <c r="A11">
        <v>4</v>
      </c>
      <c r="B11" s="129">
        <v>58445</v>
      </c>
      <c r="C11" s="129">
        <v>92549</v>
      </c>
      <c r="D11" s="129">
        <v>16927</v>
      </c>
      <c r="E11" s="129">
        <v>15181</v>
      </c>
      <c r="F11" s="129">
        <v>211037</v>
      </c>
      <c r="G11" s="129">
        <v>3994</v>
      </c>
      <c r="H11" s="129">
        <v>2844</v>
      </c>
      <c r="I11" s="129">
        <v>423513</v>
      </c>
      <c r="J11" s="129">
        <v>76953</v>
      </c>
      <c r="K11" s="129">
        <v>7946</v>
      </c>
      <c r="L11" s="129">
        <v>32198</v>
      </c>
      <c r="M11" s="129">
        <v>56260</v>
      </c>
      <c r="N11" s="129">
        <v>43110</v>
      </c>
      <c r="O11" s="129">
        <v>207857</v>
      </c>
      <c r="P11" s="129">
        <v>449037</v>
      </c>
      <c r="Q11" s="129">
        <v>3436</v>
      </c>
      <c r="R11" s="129">
        <v>21067</v>
      </c>
      <c r="S11" s="129">
        <v>25503</v>
      </c>
      <c r="T11" s="129">
        <v>307072</v>
      </c>
      <c r="U11" s="129">
        <v>423310</v>
      </c>
      <c r="V11" s="129">
        <v>46158</v>
      </c>
      <c r="W11" s="129">
        <v>5775</v>
      </c>
      <c r="X11" s="129">
        <v>15865</v>
      </c>
      <c r="Y11" s="129">
        <v>99377</v>
      </c>
      <c r="Z11" s="129">
        <v>590</v>
      </c>
      <c r="AA11" s="129">
        <v>189284</v>
      </c>
      <c r="AB11" s="129">
        <v>9781</v>
      </c>
      <c r="AC11" s="129">
        <v>2201</v>
      </c>
      <c r="AD11" s="129">
        <v>19956</v>
      </c>
      <c r="AE11" s="129">
        <v>90398</v>
      </c>
      <c r="AF11" s="129">
        <v>233027</v>
      </c>
      <c r="AG11" s="129">
        <v>1228888</v>
      </c>
      <c r="AH11" s="129">
        <v>12478</v>
      </c>
      <c r="AI11" s="129">
        <v>486562</v>
      </c>
      <c r="AJ11" s="129">
        <v>707725</v>
      </c>
      <c r="AK11" s="142">
        <v>10844</v>
      </c>
      <c r="AL11" s="142">
        <v>36880</v>
      </c>
      <c r="AM11" s="129">
        <v>33819</v>
      </c>
      <c r="AN11" s="139">
        <v>665601</v>
      </c>
      <c r="AO11" s="139">
        <v>5378</v>
      </c>
      <c r="AP11" s="139">
        <v>0</v>
      </c>
      <c r="AQ11" s="129">
        <v>119436</v>
      </c>
      <c r="AR11" s="129">
        <v>240556</v>
      </c>
      <c r="AS11" s="129">
        <v>69378</v>
      </c>
      <c r="AT11" s="129">
        <v>657</v>
      </c>
      <c r="AU11" s="129">
        <v>119155</v>
      </c>
      <c r="AV11" s="129">
        <v>47112</v>
      </c>
      <c r="AW11" s="129">
        <v>40533</v>
      </c>
      <c r="AX11" s="129">
        <v>197532</v>
      </c>
      <c r="AY11" s="129">
        <v>547454</v>
      </c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</row>
    <row r="12" spans="1:83" x14ac:dyDescent="0.25">
      <c r="A12">
        <v>5</v>
      </c>
      <c r="B12" s="129">
        <v>58511</v>
      </c>
      <c r="C12" s="129">
        <v>92660</v>
      </c>
      <c r="D12" s="129">
        <v>16943</v>
      </c>
      <c r="E12" s="129">
        <v>15186</v>
      </c>
      <c r="F12" s="129">
        <v>211209</v>
      </c>
      <c r="G12" s="129">
        <v>3996</v>
      </c>
      <c r="H12" s="129">
        <v>2875</v>
      </c>
      <c r="I12" s="129">
        <v>423846</v>
      </c>
      <c r="J12" s="129">
        <v>77014</v>
      </c>
      <c r="K12" s="129">
        <v>7947</v>
      </c>
      <c r="L12" s="129">
        <v>32222</v>
      </c>
      <c r="M12" s="129">
        <v>56324</v>
      </c>
      <c r="N12" s="129">
        <v>43144</v>
      </c>
      <c r="O12" s="129">
        <v>208025</v>
      </c>
      <c r="P12" s="129">
        <v>449615</v>
      </c>
      <c r="Q12" s="129">
        <v>3442</v>
      </c>
      <c r="R12" s="129">
        <v>21082</v>
      </c>
      <c r="S12" s="129">
        <v>25503</v>
      </c>
      <c r="T12" s="129">
        <v>307252</v>
      </c>
      <c r="U12" s="129">
        <v>423636</v>
      </c>
      <c r="V12" s="129">
        <v>46195</v>
      </c>
      <c r="W12" s="129">
        <v>5780</v>
      </c>
      <c r="X12" s="129">
        <v>15873</v>
      </c>
      <c r="Y12" s="129">
        <v>99462</v>
      </c>
      <c r="Z12" s="129">
        <v>593</v>
      </c>
      <c r="AA12" s="129">
        <v>189427</v>
      </c>
      <c r="AB12" s="129">
        <v>9794</v>
      </c>
      <c r="AC12" s="129">
        <v>2202</v>
      </c>
      <c r="AD12" s="129">
        <v>19977</v>
      </c>
      <c r="AE12" s="129">
        <v>90468</v>
      </c>
      <c r="AF12" s="129">
        <v>233204</v>
      </c>
      <c r="AG12" s="129">
        <v>1229569</v>
      </c>
      <c r="AH12" s="129">
        <v>12480</v>
      </c>
      <c r="AI12" s="129">
        <v>486577</v>
      </c>
      <c r="AJ12" s="129">
        <v>708194</v>
      </c>
      <c r="AK12" s="129">
        <v>10853</v>
      </c>
      <c r="AL12" s="129">
        <v>36975</v>
      </c>
      <c r="AM12" s="129">
        <v>33884</v>
      </c>
      <c r="AN12" s="129">
        <v>666161</v>
      </c>
      <c r="AO12" s="129">
        <v>5380</v>
      </c>
      <c r="AP12" s="129">
        <v>0</v>
      </c>
      <c r="AQ12" s="129">
        <v>119500</v>
      </c>
      <c r="AR12" s="129">
        <v>240776</v>
      </c>
      <c r="AS12" s="129">
        <v>69402</v>
      </c>
      <c r="AT12" s="129">
        <v>657</v>
      </c>
      <c r="AU12" s="129">
        <v>119246</v>
      </c>
      <c r="AV12" s="129">
        <v>47142</v>
      </c>
      <c r="AW12" s="129">
        <v>40556</v>
      </c>
      <c r="AX12" s="129">
        <v>197726</v>
      </c>
      <c r="AY12" s="129">
        <v>547875</v>
      </c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</row>
    <row r="13" spans="1:83" x14ac:dyDescent="0.25">
      <c r="A13">
        <v>6</v>
      </c>
      <c r="B13" s="129">
        <v>58595</v>
      </c>
      <c r="C13" s="129">
        <v>92830</v>
      </c>
      <c r="D13" s="129">
        <v>16975</v>
      </c>
      <c r="E13" s="129">
        <v>15203</v>
      </c>
      <c r="F13" s="129">
        <v>211428</v>
      </c>
      <c r="G13" s="129">
        <v>4000</v>
      </c>
      <c r="H13" s="129">
        <v>2919</v>
      </c>
      <c r="I13" s="129">
        <v>424258</v>
      </c>
      <c r="J13" s="129">
        <v>77094</v>
      </c>
      <c r="K13" s="129">
        <v>7947</v>
      </c>
      <c r="L13" s="129">
        <v>32254</v>
      </c>
      <c r="M13" s="129">
        <v>56373</v>
      </c>
      <c r="N13" s="129">
        <v>43182</v>
      </c>
      <c r="O13" s="129">
        <v>208254</v>
      </c>
      <c r="P13" s="129">
        <v>450243</v>
      </c>
      <c r="Q13" s="129">
        <v>3450</v>
      </c>
      <c r="R13" s="129">
        <v>21106</v>
      </c>
      <c r="S13" s="129">
        <v>25503</v>
      </c>
      <c r="T13" s="129">
        <v>307503</v>
      </c>
      <c r="U13" s="129">
        <v>424044</v>
      </c>
      <c r="V13" s="129">
        <v>46244</v>
      </c>
      <c r="W13" s="129">
        <v>5784</v>
      </c>
      <c r="X13" s="129">
        <v>15887</v>
      </c>
      <c r="Y13" s="129">
        <v>99548</v>
      </c>
      <c r="Z13" s="129">
        <v>595</v>
      </c>
      <c r="AA13" s="129">
        <v>189587</v>
      </c>
      <c r="AB13" s="129">
        <v>9816</v>
      </c>
      <c r="AC13" s="129">
        <v>2204</v>
      </c>
      <c r="AD13" s="129">
        <v>20000</v>
      </c>
      <c r="AE13" s="129">
        <v>90569</v>
      </c>
      <c r="AF13" s="129">
        <v>233437</v>
      </c>
      <c r="AG13" s="129">
        <v>1230627</v>
      </c>
      <c r="AH13" s="129">
        <v>12483</v>
      </c>
      <c r="AI13" s="129">
        <v>486598</v>
      </c>
      <c r="AJ13" s="129">
        <v>708854</v>
      </c>
      <c r="AK13" s="129">
        <v>10866</v>
      </c>
      <c r="AL13" s="142">
        <v>37108</v>
      </c>
      <c r="AM13" s="129">
        <v>33967</v>
      </c>
      <c r="AN13" s="139">
        <v>666873</v>
      </c>
      <c r="AO13" s="139">
        <v>5380</v>
      </c>
      <c r="AP13" s="139">
        <v>0</v>
      </c>
      <c r="AQ13" s="129">
        <v>119581</v>
      </c>
      <c r="AR13" s="129">
        <v>240929</v>
      </c>
      <c r="AS13" s="129">
        <v>69431</v>
      </c>
      <c r="AT13" s="129">
        <v>658</v>
      </c>
      <c r="AU13" s="129">
        <v>119354</v>
      </c>
      <c r="AV13" s="129">
        <v>47179</v>
      </c>
      <c r="AW13" s="129">
        <v>40593</v>
      </c>
      <c r="AX13" s="129">
        <v>197990</v>
      </c>
      <c r="AY13" s="129">
        <v>548451</v>
      </c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</row>
    <row r="14" spans="1:83" x14ac:dyDescent="0.25">
      <c r="A14">
        <v>7</v>
      </c>
      <c r="B14" s="129">
        <v>58660</v>
      </c>
      <c r="C14" s="129">
        <v>92958</v>
      </c>
      <c r="D14" s="129">
        <v>16984</v>
      </c>
      <c r="E14" s="129">
        <v>15225</v>
      </c>
      <c r="F14" s="129">
        <v>211601</v>
      </c>
      <c r="G14" s="129">
        <v>4003</v>
      </c>
      <c r="H14" s="129">
        <v>2956</v>
      </c>
      <c r="I14" s="129">
        <v>424610</v>
      </c>
      <c r="J14" s="129">
        <v>77160</v>
      </c>
      <c r="K14" s="129">
        <v>7947</v>
      </c>
      <c r="L14" s="129">
        <v>32278</v>
      </c>
      <c r="M14" s="129">
        <v>56413</v>
      </c>
      <c r="N14" s="129">
        <v>43214</v>
      </c>
      <c r="O14" s="129">
        <v>208434</v>
      </c>
      <c r="P14" s="129">
        <v>450657</v>
      </c>
      <c r="Q14" s="129">
        <v>3457</v>
      </c>
      <c r="R14" s="129">
        <v>21127</v>
      </c>
      <c r="S14" s="129">
        <v>25503</v>
      </c>
      <c r="T14" s="129">
        <v>307717</v>
      </c>
      <c r="U14" s="129">
        <v>424368</v>
      </c>
      <c r="V14" s="129">
        <v>46284</v>
      </c>
      <c r="W14" s="129">
        <v>5788</v>
      </c>
      <c r="X14" s="129">
        <v>15898</v>
      </c>
      <c r="Y14" s="129">
        <v>99617</v>
      </c>
      <c r="Z14" s="129">
        <v>597</v>
      </c>
      <c r="AA14" s="129">
        <v>189729</v>
      </c>
      <c r="AB14" s="129">
        <v>9835</v>
      </c>
      <c r="AC14" s="129">
        <v>2206</v>
      </c>
      <c r="AD14" s="129">
        <v>20023</v>
      </c>
      <c r="AE14" s="129">
        <v>90649</v>
      </c>
      <c r="AF14" s="129">
        <v>233632</v>
      </c>
      <c r="AG14" s="129">
        <v>1231454</v>
      </c>
      <c r="AH14" s="129">
        <v>12485</v>
      </c>
      <c r="AI14" s="129">
        <v>486615</v>
      </c>
      <c r="AJ14" s="129">
        <v>709359</v>
      </c>
      <c r="AK14" s="129">
        <v>10876</v>
      </c>
      <c r="AL14" s="142">
        <v>37231</v>
      </c>
      <c r="AM14" s="129">
        <v>34039</v>
      </c>
      <c r="AN14" s="139">
        <v>667479</v>
      </c>
      <c r="AO14" s="139">
        <v>5382</v>
      </c>
      <c r="AP14" s="139">
        <v>0</v>
      </c>
      <c r="AQ14" s="129">
        <v>119639</v>
      </c>
      <c r="AR14" s="129">
        <v>241090</v>
      </c>
      <c r="AS14" s="129">
        <v>69455</v>
      </c>
      <c r="AT14" s="129">
        <v>659</v>
      </c>
      <c r="AU14" s="129">
        <v>119443</v>
      </c>
      <c r="AV14" s="129">
        <v>47215</v>
      </c>
      <c r="AW14" s="129">
        <v>40622</v>
      </c>
      <c r="AX14" s="129">
        <v>198211</v>
      </c>
      <c r="AY14" s="129">
        <v>548894</v>
      </c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</row>
    <row r="15" spans="1:83" x14ac:dyDescent="0.25">
      <c r="A15">
        <v>8</v>
      </c>
      <c r="B15" s="129">
        <v>58734</v>
      </c>
      <c r="C15" s="129">
        <v>93104</v>
      </c>
      <c r="D15" s="129">
        <v>16990</v>
      </c>
      <c r="E15" s="129">
        <v>15234</v>
      </c>
      <c r="F15" s="129">
        <v>211797</v>
      </c>
      <c r="G15" s="129">
        <v>4006</v>
      </c>
      <c r="H15" s="129">
        <v>2995</v>
      </c>
      <c r="I15" s="129">
        <v>424991</v>
      </c>
      <c r="J15" s="129">
        <v>77228</v>
      </c>
      <c r="K15" s="129">
        <v>7947</v>
      </c>
      <c r="L15" s="129">
        <v>32305</v>
      </c>
      <c r="M15" s="129">
        <v>56455</v>
      </c>
      <c r="N15" s="129">
        <v>43245</v>
      </c>
      <c r="O15" s="129">
        <v>208633</v>
      </c>
      <c r="P15" s="129">
        <v>451260</v>
      </c>
      <c r="Q15" s="129">
        <v>3464</v>
      </c>
      <c r="R15" s="129">
        <v>21146</v>
      </c>
      <c r="S15" s="129">
        <v>25508</v>
      </c>
      <c r="T15" s="129">
        <v>307952</v>
      </c>
      <c r="U15" s="129">
        <v>424723</v>
      </c>
      <c r="V15" s="129">
        <v>46324</v>
      </c>
      <c r="W15" s="129">
        <v>5794</v>
      </c>
      <c r="X15" s="129">
        <v>15908</v>
      </c>
      <c r="Y15" s="129">
        <v>99709</v>
      </c>
      <c r="Z15" s="129">
        <v>599</v>
      </c>
      <c r="AA15" s="129">
        <v>189877</v>
      </c>
      <c r="AB15" s="129">
        <v>9854</v>
      </c>
      <c r="AC15" s="129">
        <v>2207</v>
      </c>
      <c r="AD15" s="129">
        <v>20044</v>
      </c>
      <c r="AE15" s="129">
        <v>90735</v>
      </c>
      <c r="AF15" s="129">
        <v>233814</v>
      </c>
      <c r="AG15" s="129">
        <v>1232614</v>
      </c>
      <c r="AH15" s="129">
        <v>12489</v>
      </c>
      <c r="AI15" s="129">
        <v>486634</v>
      </c>
      <c r="AJ15" s="129">
        <v>709845</v>
      </c>
      <c r="AK15" s="129">
        <v>10884</v>
      </c>
      <c r="AL15" s="142">
        <v>37364</v>
      </c>
      <c r="AM15" s="129">
        <v>34115</v>
      </c>
      <c r="AN15" s="139">
        <v>668125</v>
      </c>
      <c r="AO15" s="139">
        <v>5383</v>
      </c>
      <c r="AP15" s="139">
        <v>0</v>
      </c>
      <c r="AQ15" s="129">
        <v>119706</v>
      </c>
      <c r="AR15" s="129">
        <v>241272</v>
      </c>
      <c r="AS15" s="129">
        <v>69481</v>
      </c>
      <c r="AT15" s="129">
        <v>659</v>
      </c>
      <c r="AU15" s="129">
        <v>119483</v>
      </c>
      <c r="AV15" s="129">
        <v>47252</v>
      </c>
      <c r="AW15" s="129">
        <v>40656</v>
      </c>
      <c r="AX15" s="129">
        <v>198457</v>
      </c>
      <c r="AY15" s="129">
        <v>549337</v>
      </c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</row>
    <row r="16" spans="1:83" x14ac:dyDescent="0.25">
      <c r="A16">
        <v>9</v>
      </c>
      <c r="B16" s="129">
        <v>58813</v>
      </c>
      <c r="C16" s="129">
        <v>93251</v>
      </c>
      <c r="D16" s="129">
        <v>17012</v>
      </c>
      <c r="E16" s="129">
        <v>15238</v>
      </c>
      <c r="F16" s="129">
        <v>211987</v>
      </c>
      <c r="G16" s="129">
        <v>4010</v>
      </c>
      <c r="H16" s="129">
        <v>3033</v>
      </c>
      <c r="I16" s="129">
        <v>425369</v>
      </c>
      <c r="J16" s="129">
        <v>77292</v>
      </c>
      <c r="K16" s="129">
        <v>7947</v>
      </c>
      <c r="L16" s="129">
        <v>32321</v>
      </c>
      <c r="M16" s="129">
        <v>56504</v>
      </c>
      <c r="N16" s="129">
        <v>43282</v>
      </c>
      <c r="O16" s="129">
        <v>208830</v>
      </c>
      <c r="P16" s="129">
        <v>451840</v>
      </c>
      <c r="Q16" s="129">
        <v>3470</v>
      </c>
      <c r="R16" s="129">
        <v>21156</v>
      </c>
      <c r="S16" s="129">
        <v>25503</v>
      </c>
      <c r="T16" s="129">
        <v>308179</v>
      </c>
      <c r="U16" s="129">
        <v>425067</v>
      </c>
      <c r="V16" s="129">
        <v>46364</v>
      </c>
      <c r="W16" s="129">
        <v>5797</v>
      </c>
      <c r="X16" s="129">
        <v>15920</v>
      </c>
      <c r="Y16" s="129">
        <v>99803</v>
      </c>
      <c r="Z16" s="129">
        <v>601</v>
      </c>
      <c r="AA16" s="129">
        <v>190028</v>
      </c>
      <c r="AB16" s="129">
        <v>9872</v>
      </c>
      <c r="AC16" s="129">
        <v>2209</v>
      </c>
      <c r="AD16" s="129">
        <v>20071</v>
      </c>
      <c r="AE16" s="129">
        <v>90829</v>
      </c>
      <c r="AF16" s="129">
        <v>234019</v>
      </c>
      <c r="AG16" s="129">
        <v>1233772</v>
      </c>
      <c r="AH16" s="129">
        <v>12492</v>
      </c>
      <c r="AI16" s="129">
        <v>486652</v>
      </c>
      <c r="AJ16" s="129">
        <v>710363</v>
      </c>
      <c r="AK16" s="129">
        <v>10895</v>
      </c>
      <c r="AL16" s="142">
        <v>37510</v>
      </c>
      <c r="AM16" s="129">
        <v>34207</v>
      </c>
      <c r="AN16" s="139">
        <v>668712</v>
      </c>
      <c r="AO16" s="139">
        <v>5384</v>
      </c>
      <c r="AP16" s="139">
        <v>0</v>
      </c>
      <c r="AQ16" s="129">
        <v>119780</v>
      </c>
      <c r="AR16" s="129">
        <v>241443</v>
      </c>
      <c r="AS16" s="129">
        <v>69524</v>
      </c>
      <c r="AT16" s="129">
        <v>660</v>
      </c>
      <c r="AU16" s="129">
        <v>119598</v>
      </c>
      <c r="AV16" s="129">
        <v>47279</v>
      </c>
      <c r="AW16" s="129">
        <v>40681</v>
      </c>
      <c r="AX16" s="129">
        <v>198694</v>
      </c>
      <c r="AY16" s="129">
        <v>549797</v>
      </c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</row>
    <row r="17" spans="1:83" x14ac:dyDescent="0.25">
      <c r="A17">
        <v>10</v>
      </c>
      <c r="B17" s="129">
        <v>58889</v>
      </c>
      <c r="C17" s="129">
        <v>93392</v>
      </c>
      <c r="D17" s="129">
        <v>17034</v>
      </c>
      <c r="E17" s="129">
        <v>15245</v>
      </c>
      <c r="F17" s="129">
        <v>212193</v>
      </c>
      <c r="G17" s="129">
        <v>4013</v>
      </c>
      <c r="H17" s="129">
        <v>3065</v>
      </c>
      <c r="I17" s="129">
        <v>425729</v>
      </c>
      <c r="J17" s="129">
        <v>77355</v>
      </c>
      <c r="K17" s="129">
        <v>7948</v>
      </c>
      <c r="L17" s="129">
        <v>32334</v>
      </c>
      <c r="M17" s="129">
        <v>56562</v>
      </c>
      <c r="N17" s="129">
        <v>43321</v>
      </c>
      <c r="O17" s="129">
        <v>209016</v>
      </c>
      <c r="P17" s="129">
        <v>452429</v>
      </c>
      <c r="Q17" s="129">
        <v>3477</v>
      </c>
      <c r="R17" s="129">
        <v>21183</v>
      </c>
      <c r="S17" s="129">
        <v>25503</v>
      </c>
      <c r="T17" s="129">
        <v>308405</v>
      </c>
      <c r="U17" s="129">
        <v>425412</v>
      </c>
      <c r="V17" s="129">
        <v>46407</v>
      </c>
      <c r="W17" s="129">
        <v>5797</v>
      </c>
      <c r="X17" s="129">
        <v>15930</v>
      </c>
      <c r="Y17" s="129">
        <v>99891</v>
      </c>
      <c r="Z17" s="129">
        <v>602</v>
      </c>
      <c r="AA17" s="129">
        <v>190178</v>
      </c>
      <c r="AB17" s="129">
        <v>9891</v>
      </c>
      <c r="AC17" s="129">
        <v>2210</v>
      </c>
      <c r="AD17" s="129">
        <v>20097</v>
      </c>
      <c r="AE17" s="129">
        <v>90922</v>
      </c>
      <c r="AF17" s="129">
        <v>234218</v>
      </c>
      <c r="AG17" s="129">
        <v>1234816</v>
      </c>
      <c r="AH17" s="129">
        <v>12498</v>
      </c>
      <c r="AI17" s="129">
        <v>486670</v>
      </c>
      <c r="AJ17" s="129">
        <v>710806</v>
      </c>
      <c r="AK17" s="129">
        <v>10910</v>
      </c>
      <c r="AL17" s="142">
        <v>37649</v>
      </c>
      <c r="AM17" s="129">
        <v>34295</v>
      </c>
      <c r="AN17" s="139">
        <v>669349</v>
      </c>
      <c r="AO17" s="139">
        <v>5386</v>
      </c>
      <c r="AP17" s="139">
        <v>0</v>
      </c>
      <c r="AQ17" s="129">
        <v>119850</v>
      </c>
      <c r="AR17" s="129">
        <v>241604</v>
      </c>
      <c r="AS17" s="129">
        <v>69656</v>
      </c>
      <c r="AT17" s="129">
        <v>661</v>
      </c>
      <c r="AU17" s="129">
        <v>119699</v>
      </c>
      <c r="AV17" s="129">
        <v>47299</v>
      </c>
      <c r="AW17" s="129">
        <v>40701</v>
      </c>
      <c r="AX17" s="129">
        <v>198918</v>
      </c>
      <c r="AY17" s="129">
        <v>550220</v>
      </c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</row>
    <row r="18" spans="1:83" x14ac:dyDescent="0.25">
      <c r="A18">
        <v>11</v>
      </c>
      <c r="B18" s="129">
        <v>58958</v>
      </c>
      <c r="C18" s="129">
        <v>93525</v>
      </c>
      <c r="D18" s="129">
        <v>17048</v>
      </c>
      <c r="E18" s="129">
        <v>15254</v>
      </c>
      <c r="F18" s="129">
        <v>212404</v>
      </c>
      <c r="G18" s="129">
        <v>4016</v>
      </c>
      <c r="H18" s="129">
        <v>3096</v>
      </c>
      <c r="I18" s="129">
        <v>426091</v>
      </c>
      <c r="J18" s="129">
        <v>77414</v>
      </c>
      <c r="K18" s="129">
        <v>7948</v>
      </c>
      <c r="L18" s="129">
        <v>32351</v>
      </c>
      <c r="M18" s="129">
        <v>56608</v>
      </c>
      <c r="N18" s="129">
        <v>43359</v>
      </c>
      <c r="O18" s="129">
        <v>209210</v>
      </c>
      <c r="P18" s="129">
        <v>453043</v>
      </c>
      <c r="Q18" s="129">
        <v>3484</v>
      </c>
      <c r="R18" s="129">
        <v>21203</v>
      </c>
      <c r="S18" s="129">
        <v>25503</v>
      </c>
      <c r="T18" s="129">
        <v>308629</v>
      </c>
      <c r="U18" s="129">
        <v>425799</v>
      </c>
      <c r="V18" s="129">
        <v>46448</v>
      </c>
      <c r="W18" s="129">
        <v>5800</v>
      </c>
      <c r="X18" s="129">
        <v>15944</v>
      </c>
      <c r="Y18" s="129">
        <v>99986</v>
      </c>
      <c r="Z18" s="129">
        <v>604</v>
      </c>
      <c r="AA18" s="129">
        <v>190327</v>
      </c>
      <c r="AB18" s="129">
        <v>9916</v>
      </c>
      <c r="AC18" s="129">
        <v>2212</v>
      </c>
      <c r="AD18" s="129">
        <v>20116</v>
      </c>
      <c r="AE18" s="129">
        <v>91009</v>
      </c>
      <c r="AF18" s="129">
        <v>234399</v>
      </c>
      <c r="AG18" s="129">
        <v>1235847</v>
      </c>
      <c r="AH18" s="129">
        <v>12503</v>
      </c>
      <c r="AI18" s="129">
        <v>486688</v>
      </c>
      <c r="AJ18" s="129">
        <v>711263</v>
      </c>
      <c r="AK18" s="129">
        <v>10919</v>
      </c>
      <c r="AL18" s="142">
        <v>37768</v>
      </c>
      <c r="AM18" s="129">
        <v>34373</v>
      </c>
      <c r="AN18" s="139">
        <v>669916</v>
      </c>
      <c r="AO18" s="139">
        <v>5387</v>
      </c>
      <c r="AP18" s="139">
        <v>0</v>
      </c>
      <c r="AQ18" s="129">
        <v>119923</v>
      </c>
      <c r="AR18" s="129">
        <v>241773</v>
      </c>
      <c r="AS18" s="129">
        <v>69604</v>
      </c>
      <c r="AT18" s="129">
        <v>661</v>
      </c>
      <c r="AU18" s="129">
        <v>119834</v>
      </c>
      <c r="AV18" s="129">
        <v>47329</v>
      </c>
      <c r="AW18" s="129">
        <v>40724</v>
      </c>
      <c r="AX18" s="129">
        <v>199169</v>
      </c>
      <c r="AY18" s="129">
        <v>550679</v>
      </c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</row>
    <row r="19" spans="1:83" x14ac:dyDescent="0.25">
      <c r="A19">
        <v>12</v>
      </c>
      <c r="B19" s="129">
        <v>59036</v>
      </c>
      <c r="C19" s="129">
        <v>93654</v>
      </c>
      <c r="D19" s="129">
        <v>17061</v>
      </c>
      <c r="E19" s="129">
        <v>15275</v>
      </c>
      <c r="F19" s="129">
        <v>212601</v>
      </c>
      <c r="G19" s="129">
        <v>4020</v>
      </c>
      <c r="H19" s="129">
        <v>3133</v>
      </c>
      <c r="I19" s="129">
        <v>426429</v>
      </c>
      <c r="J19" s="129">
        <v>77484</v>
      </c>
      <c r="K19" s="129">
        <v>7949</v>
      </c>
      <c r="L19" s="129">
        <v>32369</v>
      </c>
      <c r="M19" s="129">
        <v>56662</v>
      </c>
      <c r="N19" s="129">
        <v>43397</v>
      </c>
      <c r="O19" s="129">
        <v>209402</v>
      </c>
      <c r="P19" s="129">
        <v>453524</v>
      </c>
      <c r="Q19" s="129">
        <v>3492</v>
      </c>
      <c r="R19" s="129">
        <v>21225</v>
      </c>
      <c r="S19" s="129">
        <v>25503</v>
      </c>
      <c r="T19" s="129">
        <v>308872</v>
      </c>
      <c r="U19" s="129">
        <v>426177</v>
      </c>
      <c r="V19" s="129">
        <v>46490</v>
      </c>
      <c r="W19" s="129">
        <v>5803</v>
      </c>
      <c r="X19" s="129">
        <v>15955</v>
      </c>
      <c r="Y19" s="129">
        <v>100075</v>
      </c>
      <c r="Z19" s="129">
        <v>607</v>
      </c>
      <c r="AA19" s="129">
        <v>190480</v>
      </c>
      <c r="AB19" s="129">
        <v>9935</v>
      </c>
      <c r="AC19" s="129">
        <v>2214</v>
      </c>
      <c r="AD19" s="129">
        <v>20132</v>
      </c>
      <c r="AE19" s="129">
        <v>91097</v>
      </c>
      <c r="AF19" s="129">
        <v>234590</v>
      </c>
      <c r="AG19" s="129">
        <v>1237128</v>
      </c>
      <c r="AH19" s="129">
        <v>12506</v>
      </c>
      <c r="AI19" s="129">
        <v>486706</v>
      </c>
      <c r="AJ19" s="129">
        <v>711806</v>
      </c>
      <c r="AK19" s="129">
        <v>10938</v>
      </c>
      <c r="AL19" s="142">
        <v>37893</v>
      </c>
      <c r="AM19" s="129">
        <v>34451</v>
      </c>
      <c r="AN19" s="139">
        <v>670511</v>
      </c>
      <c r="AO19" s="139">
        <v>5389</v>
      </c>
      <c r="AP19" s="139">
        <v>0</v>
      </c>
      <c r="AQ19" s="129">
        <v>120005</v>
      </c>
      <c r="AR19" s="129">
        <v>241939</v>
      </c>
      <c r="AS19" s="129">
        <v>69637</v>
      </c>
      <c r="AT19" s="129">
        <v>662</v>
      </c>
      <c r="AU19" s="129">
        <v>119944</v>
      </c>
      <c r="AV19" s="129">
        <v>47356</v>
      </c>
      <c r="AW19" s="129">
        <v>40751</v>
      </c>
      <c r="AX19" s="129">
        <v>199437</v>
      </c>
      <c r="AY19" s="129">
        <v>551133</v>
      </c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</row>
    <row r="20" spans="1:83" x14ac:dyDescent="0.25">
      <c r="A20">
        <v>13</v>
      </c>
      <c r="B20" s="129">
        <v>59114</v>
      </c>
      <c r="C20" s="129">
        <v>93783</v>
      </c>
      <c r="D20" s="129">
        <v>17073</v>
      </c>
      <c r="E20" s="129">
        <v>15295</v>
      </c>
      <c r="F20" s="129">
        <v>212797</v>
      </c>
      <c r="G20" s="129">
        <v>4023</v>
      </c>
      <c r="H20" s="129">
        <v>3169</v>
      </c>
      <c r="I20" s="129">
        <v>426766</v>
      </c>
      <c r="J20" s="129">
        <v>77553</v>
      </c>
      <c r="K20" s="129">
        <v>7949</v>
      </c>
      <c r="L20" s="129">
        <v>32386</v>
      </c>
      <c r="M20" s="129">
        <v>56715</v>
      </c>
      <c r="N20" s="129">
        <v>43435</v>
      </c>
      <c r="O20" s="129">
        <v>209594</v>
      </c>
      <c r="P20" s="129">
        <v>454005</v>
      </c>
      <c r="Q20" s="129">
        <v>3499</v>
      </c>
      <c r="R20" s="129">
        <v>21246</v>
      </c>
      <c r="S20" s="129">
        <v>25503</v>
      </c>
      <c r="T20" s="129">
        <v>309114</v>
      </c>
      <c r="U20" s="129">
        <v>426555</v>
      </c>
      <c r="V20" s="129">
        <v>46532</v>
      </c>
      <c r="W20" s="129">
        <v>5806</v>
      </c>
      <c r="X20" s="129">
        <v>15966</v>
      </c>
      <c r="Y20" s="129">
        <v>100163</v>
      </c>
      <c r="Z20" s="129">
        <v>609</v>
      </c>
      <c r="AA20" s="129">
        <v>190632</v>
      </c>
      <c r="AB20" s="129">
        <v>9954</v>
      </c>
      <c r="AC20" s="129">
        <v>2215</v>
      </c>
      <c r="AD20" s="129">
        <v>20148</v>
      </c>
      <c r="AE20" s="129">
        <v>91184</v>
      </c>
      <c r="AF20" s="129">
        <v>234780</v>
      </c>
      <c r="AG20" s="129">
        <v>1238409</v>
      </c>
      <c r="AH20" s="129">
        <v>12508</v>
      </c>
      <c r="AI20" s="129">
        <v>486724</v>
      </c>
      <c r="AJ20" s="129">
        <v>712349</v>
      </c>
      <c r="AK20" s="129">
        <v>10956</v>
      </c>
      <c r="AL20" s="142">
        <v>38017</v>
      </c>
      <c r="AM20" s="129">
        <v>34529</v>
      </c>
      <c r="AN20" s="139">
        <v>671106</v>
      </c>
      <c r="AO20" s="139">
        <v>5390</v>
      </c>
      <c r="AP20" s="139">
        <v>0</v>
      </c>
      <c r="AQ20" s="129">
        <v>120086</v>
      </c>
      <c r="AR20" s="129">
        <v>242105</v>
      </c>
      <c r="AS20" s="129">
        <v>69669</v>
      </c>
      <c r="AT20" s="129">
        <v>663</v>
      </c>
      <c r="AU20" s="129">
        <v>120054</v>
      </c>
      <c r="AV20" s="129">
        <v>47382</v>
      </c>
      <c r="AW20" s="129">
        <v>40778</v>
      </c>
      <c r="AX20" s="129">
        <v>199705</v>
      </c>
      <c r="AY20" s="129">
        <v>551586</v>
      </c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</row>
    <row r="21" spans="1:83" x14ac:dyDescent="0.25">
      <c r="A21">
        <v>14</v>
      </c>
      <c r="B21" s="129">
        <v>59184</v>
      </c>
      <c r="C21" s="129">
        <v>93922</v>
      </c>
      <c r="D21" s="129">
        <v>17085</v>
      </c>
      <c r="E21" s="129">
        <v>15301</v>
      </c>
      <c r="F21" s="129">
        <v>212985</v>
      </c>
      <c r="G21" s="129">
        <v>4026</v>
      </c>
      <c r="H21" s="129">
        <v>3201</v>
      </c>
      <c r="I21" s="129">
        <v>427001</v>
      </c>
      <c r="J21" s="129">
        <v>77620</v>
      </c>
      <c r="K21" s="129">
        <v>7949</v>
      </c>
      <c r="L21" s="129">
        <v>32397</v>
      </c>
      <c r="M21" s="129">
        <v>56747</v>
      </c>
      <c r="N21" s="129">
        <v>43468</v>
      </c>
      <c r="O21" s="129">
        <v>209780</v>
      </c>
      <c r="P21" s="129">
        <v>454370</v>
      </c>
      <c r="Q21" s="129">
        <v>3506</v>
      </c>
      <c r="R21" s="129">
        <v>21268</v>
      </c>
      <c r="S21" s="129">
        <v>25503</v>
      </c>
      <c r="T21" s="129">
        <v>309324</v>
      </c>
      <c r="U21" s="129">
        <v>426903</v>
      </c>
      <c r="V21" s="129">
        <v>46572</v>
      </c>
      <c r="W21" s="129">
        <v>5817</v>
      </c>
      <c r="X21" s="129">
        <v>15978</v>
      </c>
      <c r="Y21" s="129">
        <v>100236</v>
      </c>
      <c r="Z21" s="129">
        <v>611</v>
      </c>
      <c r="AA21" s="129">
        <v>190774</v>
      </c>
      <c r="AB21" s="129">
        <v>9971</v>
      </c>
      <c r="AC21" s="129">
        <v>2217</v>
      </c>
      <c r="AD21" s="129">
        <v>20165</v>
      </c>
      <c r="AE21" s="129">
        <v>91265</v>
      </c>
      <c r="AF21" s="129">
        <v>234951</v>
      </c>
      <c r="AG21" s="129">
        <v>1239395</v>
      </c>
      <c r="AH21" s="129">
        <v>12510</v>
      </c>
      <c r="AI21" s="129">
        <v>486742</v>
      </c>
      <c r="AJ21" s="139">
        <v>712883</v>
      </c>
      <c r="AK21" s="139">
        <v>10971</v>
      </c>
      <c r="AL21" s="142">
        <v>38135</v>
      </c>
      <c r="AM21" s="139">
        <v>34565</v>
      </c>
      <c r="AN21" s="139">
        <v>671678</v>
      </c>
      <c r="AO21" s="139">
        <v>5391</v>
      </c>
      <c r="AP21" s="139">
        <v>0</v>
      </c>
      <c r="AQ21" s="139">
        <v>120161</v>
      </c>
      <c r="AR21" s="139">
        <v>242264</v>
      </c>
      <c r="AS21" s="139">
        <v>69697</v>
      </c>
      <c r="AT21" s="139">
        <v>663</v>
      </c>
      <c r="AU21" s="139">
        <v>120144</v>
      </c>
      <c r="AV21" s="139">
        <v>47401</v>
      </c>
      <c r="AW21" s="139">
        <v>40797</v>
      </c>
      <c r="AX21" s="139">
        <v>199936</v>
      </c>
      <c r="AY21" s="139">
        <v>551969</v>
      </c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</row>
    <row r="22" spans="1:83" x14ac:dyDescent="0.25">
      <c r="A22">
        <v>15</v>
      </c>
      <c r="B22" s="129">
        <v>59266</v>
      </c>
      <c r="C22" s="129">
        <v>94068</v>
      </c>
      <c r="D22" s="129">
        <v>17099</v>
      </c>
      <c r="E22" s="129">
        <v>15306</v>
      </c>
      <c r="F22" s="129">
        <v>213204</v>
      </c>
      <c r="G22" s="129">
        <v>4029</v>
      </c>
      <c r="H22" s="129">
        <v>3242</v>
      </c>
      <c r="I22" s="129">
        <v>427477</v>
      </c>
      <c r="J22" s="129">
        <v>77701</v>
      </c>
      <c r="K22" s="129">
        <v>7949</v>
      </c>
      <c r="L22" s="129">
        <v>32419</v>
      </c>
      <c r="M22" s="129">
        <v>56812</v>
      </c>
      <c r="N22" s="129">
        <v>43507</v>
      </c>
      <c r="O22" s="129">
        <v>209993</v>
      </c>
      <c r="P22" s="129">
        <v>455050</v>
      </c>
      <c r="Q22" s="129">
        <v>3517</v>
      </c>
      <c r="R22" s="129">
        <v>21290</v>
      </c>
      <c r="S22" s="129">
        <v>25503</v>
      </c>
      <c r="T22" s="129">
        <v>309564</v>
      </c>
      <c r="U22" s="129">
        <v>427294</v>
      </c>
      <c r="V22" s="129">
        <v>46614</v>
      </c>
      <c r="W22" s="129">
        <v>5821</v>
      </c>
      <c r="X22" s="129">
        <v>15990</v>
      </c>
      <c r="Y22" s="129">
        <v>100347</v>
      </c>
      <c r="Z22" s="129">
        <v>612</v>
      </c>
      <c r="AA22" s="129">
        <v>190927</v>
      </c>
      <c r="AB22" s="129">
        <v>10000</v>
      </c>
      <c r="AC22" s="129">
        <v>2219</v>
      </c>
      <c r="AD22" s="129">
        <v>20181</v>
      </c>
      <c r="AE22" s="129">
        <v>91358</v>
      </c>
      <c r="AF22" s="129">
        <v>235144</v>
      </c>
      <c r="AG22" s="129">
        <v>1240329</v>
      </c>
      <c r="AH22" s="129">
        <v>12515</v>
      </c>
      <c r="AI22" s="129">
        <v>486762</v>
      </c>
      <c r="AJ22" s="139">
        <v>713396</v>
      </c>
      <c r="AK22" s="139">
        <v>10987</v>
      </c>
      <c r="AL22" s="142">
        <v>38270</v>
      </c>
      <c r="AM22" s="139">
        <v>34584</v>
      </c>
      <c r="AN22" s="139">
        <v>672345</v>
      </c>
      <c r="AO22" s="139">
        <v>5393</v>
      </c>
      <c r="AP22" s="139">
        <v>0</v>
      </c>
      <c r="AQ22" s="139">
        <v>120249</v>
      </c>
      <c r="AR22" s="139">
        <v>242454</v>
      </c>
      <c r="AS22" s="139">
        <v>69740</v>
      </c>
      <c r="AT22" s="139">
        <v>664</v>
      </c>
      <c r="AU22" s="139">
        <v>120264</v>
      </c>
      <c r="AV22" s="139">
        <v>47422</v>
      </c>
      <c r="AW22" s="139">
        <v>40819</v>
      </c>
      <c r="AX22" s="139">
        <v>200163</v>
      </c>
      <c r="AY22" s="139">
        <v>552503</v>
      </c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</row>
    <row r="23" spans="1:83" x14ac:dyDescent="0.25">
      <c r="A23">
        <v>16</v>
      </c>
      <c r="B23" s="129">
        <v>59326</v>
      </c>
      <c r="C23" s="129">
        <v>94208</v>
      </c>
      <c r="D23" s="129">
        <v>17115</v>
      </c>
      <c r="E23" s="129">
        <v>15311</v>
      </c>
      <c r="F23" s="129">
        <v>213387</v>
      </c>
      <c r="G23" s="129">
        <v>4032</v>
      </c>
      <c r="H23" s="129">
        <v>3274</v>
      </c>
      <c r="I23" s="129">
        <v>427802</v>
      </c>
      <c r="J23" s="129">
        <v>77769</v>
      </c>
      <c r="K23" s="129">
        <v>7949</v>
      </c>
      <c r="L23" s="129">
        <v>32432</v>
      </c>
      <c r="M23" s="129">
        <v>56852</v>
      </c>
      <c r="N23" s="129">
        <v>43541</v>
      </c>
      <c r="O23" s="129">
        <v>210172</v>
      </c>
      <c r="P23" s="129">
        <v>455588</v>
      </c>
      <c r="Q23" s="129">
        <v>3525</v>
      </c>
      <c r="R23" s="129">
        <v>21311</v>
      </c>
      <c r="S23" s="129">
        <v>25503</v>
      </c>
      <c r="T23" s="129">
        <v>309775</v>
      </c>
      <c r="U23" s="129">
        <v>427648</v>
      </c>
      <c r="V23" s="129">
        <v>46651</v>
      </c>
      <c r="W23" s="129">
        <v>5826</v>
      </c>
      <c r="X23" s="129">
        <v>16001</v>
      </c>
      <c r="Y23" s="129">
        <v>100414</v>
      </c>
      <c r="Z23" s="129">
        <v>614</v>
      </c>
      <c r="AA23" s="129">
        <v>191056</v>
      </c>
      <c r="AB23" s="129">
        <v>10013</v>
      </c>
      <c r="AC23" s="129">
        <v>2220</v>
      </c>
      <c r="AD23" s="129">
        <v>20192</v>
      </c>
      <c r="AE23" s="129">
        <v>91440</v>
      </c>
      <c r="AF23" s="129">
        <v>235354</v>
      </c>
      <c r="AG23" s="129">
        <v>1241130</v>
      </c>
      <c r="AH23" s="129">
        <v>12523</v>
      </c>
      <c r="AI23" s="129">
        <v>486779</v>
      </c>
      <c r="AJ23" s="129">
        <v>713769</v>
      </c>
      <c r="AK23" s="129">
        <v>10997</v>
      </c>
      <c r="AL23" s="142">
        <v>38425</v>
      </c>
      <c r="AM23" s="129">
        <v>34600</v>
      </c>
      <c r="AN23" s="139">
        <v>672809</v>
      </c>
      <c r="AO23" s="139">
        <v>5394</v>
      </c>
      <c r="AP23" s="139">
        <v>0</v>
      </c>
      <c r="AQ23" s="129">
        <v>120317</v>
      </c>
      <c r="AR23" s="129">
        <v>242596</v>
      </c>
      <c r="AS23" s="129">
        <v>69776</v>
      </c>
      <c r="AT23" s="129">
        <v>664</v>
      </c>
      <c r="AU23" s="129">
        <v>120423</v>
      </c>
      <c r="AV23" s="129">
        <v>47441</v>
      </c>
      <c r="AW23" s="129">
        <v>40838</v>
      </c>
      <c r="AX23" s="129">
        <v>200341</v>
      </c>
      <c r="AY23" s="129">
        <v>552916</v>
      </c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</row>
    <row r="24" spans="1:83" x14ac:dyDescent="0.25">
      <c r="A24">
        <v>17</v>
      </c>
      <c r="B24" s="129">
        <v>59405</v>
      </c>
      <c r="C24" s="129">
        <v>94346</v>
      </c>
      <c r="D24" s="129">
        <v>17137</v>
      </c>
      <c r="E24" s="129">
        <v>15313</v>
      </c>
      <c r="F24" s="129">
        <v>213588</v>
      </c>
      <c r="G24" s="129">
        <v>4035</v>
      </c>
      <c r="H24" s="129">
        <v>3284</v>
      </c>
      <c r="I24" s="129">
        <v>428086</v>
      </c>
      <c r="J24" s="129">
        <v>77845</v>
      </c>
      <c r="K24" s="129">
        <v>7949</v>
      </c>
      <c r="L24" s="129">
        <v>32443</v>
      </c>
      <c r="M24" s="129">
        <v>56860</v>
      </c>
      <c r="N24" s="129">
        <v>43577</v>
      </c>
      <c r="O24" s="129">
        <v>210366</v>
      </c>
      <c r="P24" s="129">
        <v>456032</v>
      </c>
      <c r="Q24" s="129">
        <v>3533</v>
      </c>
      <c r="R24" s="129">
        <v>21333</v>
      </c>
      <c r="S24" s="129">
        <v>25503</v>
      </c>
      <c r="T24" s="129">
        <v>310002</v>
      </c>
      <c r="U24" s="129">
        <v>428028</v>
      </c>
      <c r="V24" s="129">
        <v>46690</v>
      </c>
      <c r="W24" s="129">
        <v>5833</v>
      </c>
      <c r="X24" s="129">
        <v>16013</v>
      </c>
      <c r="Y24" s="129">
        <v>100550</v>
      </c>
      <c r="Z24" s="129">
        <v>615</v>
      </c>
      <c r="AA24" s="129">
        <v>191205</v>
      </c>
      <c r="AB24" s="129">
        <v>10033</v>
      </c>
      <c r="AC24" s="129">
        <v>2221</v>
      </c>
      <c r="AD24" s="129">
        <v>20212</v>
      </c>
      <c r="AE24" s="129">
        <v>91528</v>
      </c>
      <c r="AF24" s="129">
        <v>235587</v>
      </c>
      <c r="AG24" s="129">
        <v>1242002</v>
      </c>
      <c r="AH24" s="129">
        <v>12532</v>
      </c>
      <c r="AI24" s="129">
        <v>486797</v>
      </c>
      <c r="AJ24" s="129">
        <v>714216</v>
      </c>
      <c r="AK24" s="129">
        <v>11005</v>
      </c>
      <c r="AL24" s="142">
        <v>38587</v>
      </c>
      <c r="AM24" s="129">
        <v>34617</v>
      </c>
      <c r="AN24" s="139">
        <v>673207</v>
      </c>
      <c r="AO24" s="139">
        <v>5395</v>
      </c>
      <c r="AP24" s="139">
        <v>0</v>
      </c>
      <c r="AQ24" s="129">
        <v>120368</v>
      </c>
      <c r="AR24" s="129">
        <v>242684</v>
      </c>
      <c r="AS24" s="129">
        <v>69806</v>
      </c>
      <c r="AT24" s="129">
        <v>665</v>
      </c>
      <c r="AU24" s="129">
        <v>120580</v>
      </c>
      <c r="AV24" s="129">
        <v>47466</v>
      </c>
      <c r="AW24" s="129">
        <v>40861</v>
      </c>
      <c r="AX24" s="129">
        <v>200535</v>
      </c>
      <c r="AY24" s="129">
        <v>553370</v>
      </c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</row>
    <row r="25" spans="1:83" x14ac:dyDescent="0.25">
      <c r="A25">
        <v>18</v>
      </c>
      <c r="B25" s="129">
        <v>59484</v>
      </c>
      <c r="C25" s="129">
        <v>94478</v>
      </c>
      <c r="D25" s="129">
        <v>17155</v>
      </c>
      <c r="E25" s="129">
        <v>15319</v>
      </c>
      <c r="F25" s="129">
        <v>213788</v>
      </c>
      <c r="G25" s="129">
        <v>4038</v>
      </c>
      <c r="H25" s="129">
        <v>3289</v>
      </c>
      <c r="I25" s="129">
        <v>428347</v>
      </c>
      <c r="J25" s="129">
        <v>77926</v>
      </c>
      <c r="K25" s="129">
        <v>7949</v>
      </c>
      <c r="L25" s="129">
        <v>32463</v>
      </c>
      <c r="M25" s="129">
        <v>56864</v>
      </c>
      <c r="N25" s="129">
        <v>43613</v>
      </c>
      <c r="O25" s="129">
        <v>210555</v>
      </c>
      <c r="P25" s="129">
        <v>456644</v>
      </c>
      <c r="Q25" s="129">
        <v>3538</v>
      </c>
      <c r="R25" s="129">
        <v>21354</v>
      </c>
      <c r="S25" s="129">
        <v>25503</v>
      </c>
      <c r="T25" s="129">
        <v>310224</v>
      </c>
      <c r="U25" s="129">
        <v>428411</v>
      </c>
      <c r="V25" s="129">
        <v>46729</v>
      </c>
      <c r="W25" s="129">
        <v>5836</v>
      </c>
      <c r="X25" s="129">
        <v>16026</v>
      </c>
      <c r="Y25" s="129">
        <v>100647</v>
      </c>
      <c r="Z25" s="129">
        <v>616</v>
      </c>
      <c r="AA25" s="129">
        <v>191358</v>
      </c>
      <c r="AB25" s="129">
        <v>10044</v>
      </c>
      <c r="AC25" s="129">
        <v>2223</v>
      </c>
      <c r="AD25" s="129">
        <v>20236</v>
      </c>
      <c r="AE25" s="129">
        <v>91614</v>
      </c>
      <c r="AF25" s="129">
        <v>235781</v>
      </c>
      <c r="AG25" s="129">
        <v>1242969</v>
      </c>
      <c r="AH25" s="129">
        <v>12539</v>
      </c>
      <c r="AI25" s="129">
        <v>486815</v>
      </c>
      <c r="AJ25" s="129">
        <v>714688</v>
      </c>
      <c r="AK25" s="129">
        <v>11017</v>
      </c>
      <c r="AL25" s="142">
        <v>38758</v>
      </c>
      <c r="AM25" s="129">
        <v>34634</v>
      </c>
      <c r="AN25" s="139">
        <v>673736</v>
      </c>
      <c r="AO25" s="139">
        <v>5397</v>
      </c>
      <c r="AP25" s="139">
        <v>0</v>
      </c>
      <c r="AQ25" s="129">
        <v>120417</v>
      </c>
      <c r="AR25" s="129">
        <v>242770</v>
      </c>
      <c r="AS25" s="129">
        <v>69836</v>
      </c>
      <c r="AT25" s="129">
        <v>666</v>
      </c>
      <c r="AU25" s="129">
        <v>120734</v>
      </c>
      <c r="AV25" s="129">
        <v>47491</v>
      </c>
      <c r="AW25" s="129">
        <v>40883</v>
      </c>
      <c r="AX25" s="129">
        <v>200732</v>
      </c>
      <c r="AY25" s="129">
        <v>553792</v>
      </c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</row>
    <row r="26" spans="1:83" x14ac:dyDescent="0.25">
      <c r="A26">
        <v>19</v>
      </c>
      <c r="B26" s="129">
        <v>59551</v>
      </c>
      <c r="C26" s="129">
        <v>94640</v>
      </c>
      <c r="D26" s="129">
        <v>17174</v>
      </c>
      <c r="E26" s="129">
        <v>15323</v>
      </c>
      <c r="F26" s="129">
        <v>213977</v>
      </c>
      <c r="G26" s="129">
        <v>4041</v>
      </c>
      <c r="H26" s="129">
        <v>3298</v>
      </c>
      <c r="I26" s="129">
        <v>428602</v>
      </c>
      <c r="J26" s="129">
        <v>77992</v>
      </c>
      <c r="K26" s="129">
        <v>7950</v>
      </c>
      <c r="L26" s="129">
        <v>32483</v>
      </c>
      <c r="M26" s="129">
        <v>56867</v>
      </c>
      <c r="N26" s="129">
        <v>43650</v>
      </c>
      <c r="O26" s="129">
        <v>210740</v>
      </c>
      <c r="P26" s="129">
        <v>457263</v>
      </c>
      <c r="Q26" s="129">
        <v>3545</v>
      </c>
      <c r="R26" s="129">
        <v>21376</v>
      </c>
      <c r="S26" s="129">
        <v>25503</v>
      </c>
      <c r="T26" s="129">
        <v>310442</v>
      </c>
      <c r="U26" s="129">
        <v>428761</v>
      </c>
      <c r="V26" s="129">
        <v>46767</v>
      </c>
      <c r="W26" s="129">
        <v>5840</v>
      </c>
      <c r="X26" s="129">
        <v>16040</v>
      </c>
      <c r="Y26" s="129">
        <v>100742</v>
      </c>
      <c r="Z26" s="129">
        <v>618</v>
      </c>
      <c r="AA26" s="129">
        <v>191506</v>
      </c>
      <c r="AB26" s="129">
        <v>10046</v>
      </c>
      <c r="AC26" s="129">
        <v>2225</v>
      </c>
      <c r="AD26" s="129">
        <v>20248</v>
      </c>
      <c r="AE26" s="129">
        <v>91698</v>
      </c>
      <c r="AF26" s="129">
        <v>235982</v>
      </c>
      <c r="AG26" s="129">
        <v>1244431</v>
      </c>
      <c r="AH26" s="129">
        <v>12550</v>
      </c>
      <c r="AI26" s="129">
        <v>486833</v>
      </c>
      <c r="AJ26" s="129">
        <v>715176</v>
      </c>
      <c r="AK26" s="129">
        <v>11029</v>
      </c>
      <c r="AL26" s="142">
        <v>38935</v>
      </c>
      <c r="AM26" s="129">
        <v>34649</v>
      </c>
      <c r="AN26" s="139">
        <v>674308</v>
      </c>
      <c r="AO26" s="139">
        <v>5398</v>
      </c>
      <c r="AP26" s="139">
        <v>0</v>
      </c>
      <c r="AQ26" s="129">
        <v>120463</v>
      </c>
      <c r="AR26" s="129">
        <v>242876</v>
      </c>
      <c r="AS26" s="129">
        <v>69866</v>
      </c>
      <c r="AT26" s="129">
        <v>666</v>
      </c>
      <c r="AU26" s="129">
        <v>120884</v>
      </c>
      <c r="AV26" s="129">
        <v>47524</v>
      </c>
      <c r="AW26" s="129">
        <v>40905</v>
      </c>
      <c r="AX26" s="129">
        <v>200922</v>
      </c>
      <c r="AY26" s="129">
        <v>554230</v>
      </c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</row>
    <row r="27" spans="1:83" x14ac:dyDescent="0.25">
      <c r="A27">
        <v>20</v>
      </c>
      <c r="B27" s="129">
        <v>59620</v>
      </c>
      <c r="C27" s="129">
        <v>94750</v>
      </c>
      <c r="D27" s="129">
        <v>17180</v>
      </c>
      <c r="E27" s="129">
        <v>15333</v>
      </c>
      <c r="F27" s="129">
        <v>214170</v>
      </c>
      <c r="G27" s="129">
        <v>4044</v>
      </c>
      <c r="H27" s="129">
        <v>3304</v>
      </c>
      <c r="I27" s="129">
        <v>428862</v>
      </c>
      <c r="J27" s="129">
        <v>78060</v>
      </c>
      <c r="K27" s="129">
        <v>7950</v>
      </c>
      <c r="L27" s="129">
        <v>32503</v>
      </c>
      <c r="M27" s="129">
        <v>56872</v>
      </c>
      <c r="N27" s="129">
        <v>43684</v>
      </c>
      <c r="O27" s="129">
        <v>210939</v>
      </c>
      <c r="P27" s="129">
        <v>457905</v>
      </c>
      <c r="Q27" s="129">
        <v>3551</v>
      </c>
      <c r="R27" s="129">
        <v>21397</v>
      </c>
      <c r="S27" s="129">
        <v>25503</v>
      </c>
      <c r="T27" s="129">
        <v>310676</v>
      </c>
      <c r="U27" s="129">
        <v>429115</v>
      </c>
      <c r="V27" s="129">
        <v>46809</v>
      </c>
      <c r="W27" s="129">
        <v>5843</v>
      </c>
      <c r="X27" s="129">
        <v>16055</v>
      </c>
      <c r="Y27" s="129">
        <v>100827</v>
      </c>
      <c r="Z27" s="129">
        <v>621</v>
      </c>
      <c r="AA27" s="129">
        <v>191658</v>
      </c>
      <c r="AB27" s="129">
        <v>10048</v>
      </c>
      <c r="AC27" s="129">
        <v>2227</v>
      </c>
      <c r="AD27" s="129">
        <v>20271</v>
      </c>
      <c r="AE27" s="129">
        <v>91789</v>
      </c>
      <c r="AF27" s="129">
        <v>236183</v>
      </c>
      <c r="AG27" s="129">
        <v>1245357</v>
      </c>
      <c r="AH27" s="129">
        <v>12557</v>
      </c>
      <c r="AI27" s="129">
        <v>486851</v>
      </c>
      <c r="AJ27" s="129">
        <v>715653</v>
      </c>
      <c r="AK27" s="129">
        <v>11041</v>
      </c>
      <c r="AL27" s="142">
        <v>39112</v>
      </c>
      <c r="AM27" s="129">
        <v>34666</v>
      </c>
      <c r="AN27" s="139">
        <v>674931</v>
      </c>
      <c r="AO27" s="139">
        <v>5399</v>
      </c>
      <c r="AP27" s="139">
        <v>0</v>
      </c>
      <c r="AQ27" s="129">
        <v>120513</v>
      </c>
      <c r="AR27" s="129">
        <v>242980</v>
      </c>
      <c r="AS27" s="129">
        <v>69898</v>
      </c>
      <c r="AT27" s="129">
        <v>667</v>
      </c>
      <c r="AU27" s="129">
        <v>121040</v>
      </c>
      <c r="AV27" s="129">
        <v>47550</v>
      </c>
      <c r="AW27" s="129">
        <v>40924</v>
      </c>
      <c r="AX27" s="129">
        <v>201124</v>
      </c>
      <c r="AY27" s="129">
        <v>554661</v>
      </c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</row>
    <row r="28" spans="1:83" x14ac:dyDescent="0.25">
      <c r="A28">
        <v>21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42"/>
      <c r="AM28" s="129"/>
      <c r="AN28" s="139"/>
      <c r="AO28" s="139"/>
      <c r="AP28" s="13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</row>
    <row r="29" spans="1:83" x14ac:dyDescent="0.25">
      <c r="A29">
        <v>22</v>
      </c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42"/>
      <c r="AM29" s="129"/>
      <c r="AN29" s="139"/>
      <c r="AO29" s="139"/>
      <c r="AP29" s="13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28"/>
      <c r="CB29" s="128"/>
      <c r="CC29" s="128"/>
      <c r="CD29" s="128"/>
      <c r="CE29" s="128"/>
    </row>
    <row r="30" spans="1:83" x14ac:dyDescent="0.25">
      <c r="A30">
        <v>23</v>
      </c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42"/>
      <c r="AM30" s="129"/>
      <c r="AN30" s="139"/>
      <c r="AO30" s="139"/>
      <c r="AP30" s="139"/>
      <c r="AQ30" s="129"/>
      <c r="AR30" s="139"/>
      <c r="AS30" s="129"/>
      <c r="AT30" s="129"/>
      <c r="AU30" s="129"/>
      <c r="AV30" s="129"/>
      <c r="AW30" s="129"/>
      <c r="AX30" s="129"/>
      <c r="AY30" s="129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</row>
    <row r="31" spans="1:83" x14ac:dyDescent="0.25">
      <c r="A31">
        <v>24</v>
      </c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42"/>
      <c r="AM31" s="129"/>
      <c r="AN31" s="139"/>
      <c r="AO31" s="139"/>
      <c r="AP31" s="13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/>
      <c r="BO31" s="128"/>
      <c r="BP31" s="128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28"/>
      <c r="CB31" s="128"/>
      <c r="CC31" s="128"/>
      <c r="CD31" s="128"/>
      <c r="CE31" s="128"/>
    </row>
    <row r="32" spans="1:83" x14ac:dyDescent="0.25">
      <c r="A32">
        <v>25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42"/>
      <c r="AM32" s="129"/>
      <c r="AN32" s="139"/>
      <c r="AO32" s="139"/>
      <c r="AP32" s="13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</row>
    <row r="33" spans="1:83" x14ac:dyDescent="0.25">
      <c r="A33">
        <v>26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42"/>
      <c r="AM33" s="129"/>
      <c r="AN33" s="139"/>
      <c r="AO33" s="139"/>
      <c r="AP33" s="13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128"/>
      <c r="CE33" s="128"/>
    </row>
    <row r="34" spans="1:83" x14ac:dyDescent="0.25">
      <c r="A34">
        <v>27</v>
      </c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42"/>
      <c r="AM34" s="129"/>
      <c r="AN34" s="139"/>
      <c r="AO34" s="139"/>
      <c r="AP34" s="13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</row>
    <row r="35" spans="1:83" x14ac:dyDescent="0.25">
      <c r="A35">
        <v>28</v>
      </c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42"/>
      <c r="AM35" s="129"/>
      <c r="AN35" s="139"/>
      <c r="AO35" s="139"/>
      <c r="AP35" s="13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28"/>
      <c r="CB35" s="128"/>
      <c r="CC35" s="128"/>
      <c r="CD35" s="128"/>
      <c r="CE35" s="128"/>
    </row>
    <row r="36" spans="1:83" x14ac:dyDescent="0.25">
      <c r="A36">
        <v>29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42"/>
      <c r="AM36" s="129"/>
      <c r="AN36" s="139"/>
      <c r="AO36" s="139"/>
      <c r="AP36" s="13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</row>
    <row r="37" spans="1:83" ht="15.75" thickBot="1" x14ac:dyDescent="0.3">
      <c r="A37">
        <v>30</v>
      </c>
      <c r="B37" s="131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42"/>
      <c r="AM37" s="129"/>
      <c r="AN37" s="139"/>
      <c r="AO37" s="139"/>
      <c r="AP37" s="139"/>
      <c r="AQ37" s="129"/>
      <c r="AR37" s="129"/>
      <c r="AS37" s="129"/>
      <c r="AT37" s="129"/>
      <c r="AU37" s="129"/>
      <c r="AV37" s="129"/>
      <c r="AW37" s="129"/>
      <c r="AX37" s="129"/>
      <c r="AY37" s="130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28"/>
      <c r="CB37" s="128"/>
      <c r="CC37" s="128"/>
      <c r="CD37" s="128"/>
      <c r="CE37" s="128"/>
    </row>
    <row r="38" spans="1:83" ht="15.75" thickBot="1" x14ac:dyDescent="0.3">
      <c r="A38">
        <v>31</v>
      </c>
      <c r="B38" s="132"/>
      <c r="C38" s="129"/>
      <c r="D38" s="133"/>
      <c r="E38" s="133"/>
      <c r="F38" s="133"/>
      <c r="G38" s="133"/>
      <c r="H38" s="129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29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43"/>
      <c r="AM38" s="133"/>
      <c r="AN38" s="140"/>
      <c r="AO38" s="140"/>
      <c r="AP38" s="139"/>
      <c r="AQ38" s="133"/>
      <c r="AR38" s="133"/>
      <c r="AS38" s="133"/>
      <c r="AT38" s="133"/>
      <c r="AU38" s="133"/>
      <c r="AV38" s="133"/>
      <c r="AW38" s="133"/>
      <c r="AX38" s="133"/>
      <c r="AY38" s="137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2020-09-21T14:16:04Z</dcterms:modified>
</cp:coreProperties>
</file>