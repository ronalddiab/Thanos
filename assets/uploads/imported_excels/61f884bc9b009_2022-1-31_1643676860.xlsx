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/>
  <c r="K32" i="1" l="1"/>
  <c r="K30" i="1" l="1"/>
  <c r="K31" i="1"/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3" i="1" s="1"/>
  <c r="AB24" i="1" s="1"/>
  <c r="AB27" i="1" s="1"/>
  <c r="AB28" i="1" s="1"/>
  <c r="AB29" i="1" s="1"/>
  <c r="AB31" i="1" s="1"/>
  <c r="AB33" i="1" s="1"/>
  <c r="AF18" i="1"/>
  <c r="AF23" i="1" s="1"/>
  <c r="AF25" i="1" s="1"/>
  <c r="AF27" i="1" s="1"/>
  <c r="AF28" i="1" s="1"/>
  <c r="AF29" i="1" s="1"/>
  <c r="AF30" i="1" s="1"/>
  <c r="AF31" i="1" s="1"/>
  <c r="AF32" i="1" s="1"/>
  <c r="AF33" i="1" s="1"/>
  <c r="AD8" i="1"/>
  <c r="Z31" i="1"/>
  <c r="X31" i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31" i="1"/>
  <c r="K18" i="1"/>
  <c r="K25" i="1" s="1"/>
  <c r="K26" i="1" s="1"/>
  <c r="K27" i="1" s="1"/>
  <c r="K28" i="1" s="1"/>
  <c r="K29" i="1" s="1"/>
  <c r="H31" i="1"/>
  <c r="E31" i="1"/>
  <c r="B31" i="1"/>
  <c r="AA2" i="1"/>
  <c r="Y2" i="1"/>
  <c r="S2" i="1"/>
  <c r="P2" i="1"/>
  <c r="M2" i="1"/>
  <c r="J2" i="1"/>
  <c r="G2" i="1"/>
  <c r="D2" i="1"/>
  <c r="J2" i="3"/>
  <c r="K2" i="3" s="1"/>
  <c r="T20" i="2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7" i="2" s="1"/>
  <c r="P28" i="2" s="1"/>
  <c r="P30" i="2" s="1"/>
  <c r="P31" i="2" s="1"/>
  <c r="N20" i="2"/>
  <c r="L20" i="2"/>
  <c r="J10" i="2"/>
  <c r="J11" i="2" s="1"/>
  <c r="J12" i="2" s="1"/>
  <c r="J18" i="2" s="1"/>
  <c r="J20" i="2" s="1"/>
  <c r="J24" i="2" s="1"/>
  <c r="J30" i="2" s="1"/>
  <c r="J32" i="2" s="1"/>
  <c r="H20" i="2"/>
  <c r="F20" i="2"/>
  <c r="D20" i="2"/>
  <c r="B20" i="2"/>
  <c r="P2" i="2"/>
  <c r="B10" i="4"/>
  <c r="B22" i="4" s="1"/>
  <c r="B29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C31" i="3"/>
  <c r="AD29" i="8" l="1"/>
  <c r="E30" i="8"/>
  <c r="J31" i="3"/>
  <c r="I28" i="9"/>
  <c r="C32" i="3"/>
  <c r="C33" i="3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<sst xmlns="http://schemas.openxmlformats.org/spreadsheetml/2006/main" count="443" uniqueCount="149">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</sst>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8" sqref="K3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56256.802928000012</v>
      </c>
      <c r="F21" s="144">
        <v>1.27</v>
      </c>
      <c r="G21" s="41">
        <f>Gas!C22*0.9147</f>
        <v>3405.4280999999996</v>
      </c>
      <c r="H21" s="145">
        <v>3.65</v>
      </c>
      <c r="I21" s="147">
        <f>Submetering!H21+Submetering!AD21+Submetering!AE21</f>
        <v>616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43884.782759999995</v>
      </c>
      <c r="F22" s="144">
        <v>1.27</v>
      </c>
      <c r="G22" s="41">
        <f>Gas!C23*0.9147</f>
        <v>2579.4539999999997</v>
      </c>
      <c r="H22" s="145">
        <v>3.65</v>
      </c>
      <c r="I22" s="147">
        <f>Submetering!H22+Submetering!AD22+Submetering!AE22</f>
        <v>596.00000000000011</v>
      </c>
      <c r="J22" s="147">
        <v>10.029999999999999</v>
      </c>
      <c r="K22" s="41">
        <f>ELECT.!B23</f>
        <v>143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40430.859568000007</v>
      </c>
      <c r="F23" s="144">
        <v>1.27</v>
      </c>
      <c r="G23" s="41">
        <f>Gas!C24*0.9147</f>
        <v>3938.6981999999998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209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53180.020064000004</v>
      </c>
      <c r="F24" s="144">
        <v>1.27</v>
      </c>
      <c r="G24" s="41">
        <f>Gas!C25*0.9147</f>
        <v>3485.0070000000001</v>
      </c>
      <c r="H24" s="145">
        <v>3.65</v>
      </c>
      <c r="I24" s="147">
        <f>Submetering!H24+Submetering!AD24+Submetering!AE24</f>
        <v>595.99999999999989</v>
      </c>
      <c r="J24" s="147">
        <v>10.029999999999999</v>
      </c>
      <c r="K24" s="41">
        <f>ELECT.!B25</f>
        <v>193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38072.815635999992</v>
      </c>
      <c r="F25" s="144">
        <v>1.27</v>
      </c>
      <c r="G25" s="41">
        <f>Gas!C26*0.9147</f>
        <v>3120.9564</v>
      </c>
      <c r="H25" s="145">
        <v>3.65</v>
      </c>
      <c r="I25" s="147">
        <f>Submetering!H25+Submetering!AD25+Submetering!AE25</f>
        <v>526</v>
      </c>
      <c r="J25" s="147">
        <v>10.029999999999999</v>
      </c>
      <c r="K25" s="41">
        <f>ELECT.!B26</f>
        <v>164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48842.857351999999</v>
      </c>
      <c r="F26" s="144">
        <v>1.27</v>
      </c>
      <c r="G26" s="41">
        <f>Gas!C27*0.9147</f>
        <v>3488.6657999999998</v>
      </c>
      <c r="H26" s="145">
        <v>3.65</v>
      </c>
      <c r="I26" s="147">
        <f>Submetering!H26+Submetering!AD26+Submetering!AE26</f>
        <v>525.99999999999989</v>
      </c>
      <c r="J26" s="147">
        <v>10.029999999999999</v>
      </c>
      <c r="K26" s="41">
        <f>ELECT.!B27</f>
        <v>192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46054.426683999998</v>
      </c>
      <c r="F27" s="144">
        <v>1.27</v>
      </c>
      <c r="G27" s="41">
        <f>Gas!C28*0.9147</f>
        <v>3442.9307999999996</v>
      </c>
      <c r="H27" s="145">
        <v>3.65</v>
      </c>
      <c r="I27" s="147">
        <f>Submetering!H27+Submetering!AD27+Submetering!AE27</f>
        <v>486.00000000000006</v>
      </c>
      <c r="J27" s="147">
        <v>10.029999999999999</v>
      </c>
      <c r="K27" s="41">
        <f>ELECT.!B28</f>
        <v>180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48821.946616000001</v>
      </c>
      <c r="F28" s="144">
        <v>1.27</v>
      </c>
      <c r="G28" s="41">
        <f>Gas!C29*0.9147</f>
        <v>2514.5102999999999</v>
      </c>
      <c r="H28" s="145">
        <v>3.65</v>
      </c>
      <c r="I28" s="147">
        <f>Submetering!H28+Submetering!AD28+Submetering!AE28</f>
        <v>486.00000000000006</v>
      </c>
      <c r="J28" s="147">
        <v>10.029999999999999</v>
      </c>
      <c r="K28" s="41">
        <f>ELECT.!B29</f>
        <v>180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42791.062264</v>
      </c>
      <c r="F29" s="144">
        <v>1.27</v>
      </c>
      <c r="G29" s="41">
        <f>Gas!C30*0.9147</f>
        <v>2840.1434999999997</v>
      </c>
      <c r="H29" s="145">
        <v>3.65</v>
      </c>
      <c r="I29" s="147">
        <f>Submetering!H29+Submetering!AD29+Submetering!AE29</f>
        <v>516.00000000000011</v>
      </c>
      <c r="J29" s="147">
        <v>10.029999999999999</v>
      </c>
      <c r="K29" s="41">
        <f>ELECT.!B30</f>
        <v>191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32104.822131199995</v>
      </c>
      <c r="F30" s="144">
        <v>1.27</v>
      </c>
      <c r="G30" s="41">
        <f>Gas!C31*0.9147</f>
        <v>3006.6188999999999</v>
      </c>
      <c r="H30" s="145">
        <v>3.65</v>
      </c>
      <c r="I30" s="147">
        <f>Submetering!H30+Submetering!AD30+Submetering!AE30</f>
        <v>576</v>
      </c>
      <c r="J30" s="147">
        <v>10.029999999999999</v>
      </c>
      <c r="K30" s="41">
        <f>ELECT.!B31</f>
        <v>194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29350.001875199996</v>
      </c>
      <c r="F31" s="144">
        <v>1.27</v>
      </c>
      <c r="G31" s="41">
        <f>Gas!C32*0.9147</f>
        <v>2794.4085</v>
      </c>
      <c r="H31" s="145">
        <v>3.65</v>
      </c>
      <c r="I31" s="147">
        <f>Submetering!H31+Submetering!AD31+Submetering!AE31</f>
        <v>616.00000000000011</v>
      </c>
      <c r="J31" s="147">
        <v>10.029999999999999</v>
      </c>
      <c r="K31" s="41">
        <f>ELECT.!B32</f>
        <v>217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43896.754660799998</v>
      </c>
      <c r="F32" s="145">
        <v>1.27</v>
      </c>
      <c r="G32" s="41">
        <f>Gas!C33*0.9147</f>
        <v>2921.5517999999997</v>
      </c>
      <c r="H32" s="145">
        <v>3.65</v>
      </c>
      <c r="I32" s="147">
        <f>Submetering!H32+Submetering!AD32+Submetering!AE32</f>
        <v>555.99999999999989</v>
      </c>
      <c r="J32" s="147">
        <v>10.029999999999999</v>
      </c>
      <c r="K32" s="41">
        <f>ELECT.!B33</f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4" sqref="E24:V2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810</v>
      </c>
      <c r="F21" s="41">
        <f>Water!E22</f>
        <v>430</v>
      </c>
      <c r="G21" s="41">
        <f>Water!G22</f>
        <v>283.5</v>
      </c>
      <c r="H21" s="41">
        <f>Water!I22</f>
        <v>5.0759999999999996</v>
      </c>
      <c r="I21" s="41">
        <f>ELECT.!F22</f>
        <v>7308</v>
      </c>
      <c r="J21" s="41">
        <f>ELECT.!H22</f>
        <v>51351</v>
      </c>
      <c r="K21" s="41">
        <f>ELECT.!K22</f>
        <v>10426</v>
      </c>
      <c r="L21" s="41">
        <f>ELECT.!M22</f>
        <v>5735</v>
      </c>
      <c r="M21" s="41">
        <f>ELECT.!O22</f>
        <v>1434</v>
      </c>
      <c r="N21" s="41">
        <f>ELECT.!Q22</f>
        <v>4230</v>
      </c>
      <c r="O21" s="41">
        <f>ELECT.!S22</f>
        <v>12052</v>
      </c>
      <c r="P21" s="41">
        <f>ELECT.!W22*2</f>
        <v>25640</v>
      </c>
      <c r="Q21" s="41">
        <f>ELECT.!D22</f>
        <v>480</v>
      </c>
      <c r="R21" s="42">
        <f>BTU!C22</f>
        <v>1.521999999997206</v>
      </c>
      <c r="S21" s="42">
        <f>BTU!F22</f>
        <v>0.36799999999993815</v>
      </c>
      <c r="T21" s="42">
        <f>BTU!I22</f>
        <v>4</v>
      </c>
      <c r="U21" s="42">
        <f>BTU!O22</f>
        <v>0.93600000000014916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-858</v>
      </c>
      <c r="Z21">
        <f>'Mall, Citadel, Rotana'!C22+'Mall, Citadel, Rotana'!E22+'Mall, Citadel, Rotana'!G22+'Mall, Citadel, Rotana'!I22</f>
        <v>1375</v>
      </c>
      <c r="AA21">
        <f>'Mall, Citadel, Rotana'!K22+'Mall, Citadel, Rotana'!M22</f>
        <v>480</v>
      </c>
      <c r="AB21">
        <f>'Mall, Citadel, Rotana'!O22</f>
        <v>123</v>
      </c>
      <c r="AC21">
        <f>'Mall, Citadel, Rotana'!Q22+'Mall, Citadel, Rotana'!S22</f>
        <v>0</v>
      </c>
      <c r="AD21" s="39">
        <f t="shared" si="1"/>
        <v>80.519783199999992</v>
      </c>
      <c r="AE21" s="39">
        <f t="shared" si="2"/>
        <v>530.40421679999997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790</v>
      </c>
      <c r="F22" s="41">
        <f>Water!E23</f>
        <v>490</v>
      </c>
      <c r="G22" s="41">
        <f>Water!G23</f>
        <v>270</v>
      </c>
      <c r="H22" s="41">
        <f>Water!I23</f>
        <v>4.05</v>
      </c>
      <c r="I22" s="41">
        <f>ELECT.!F23</f>
        <v>6197</v>
      </c>
      <c r="J22" s="41">
        <f>ELECT.!H23</f>
        <v>39998</v>
      </c>
      <c r="K22" s="41">
        <f>ELECT.!K23</f>
        <v>7272</v>
      </c>
      <c r="L22" s="41">
        <f>ELECT.!M23</f>
        <v>4644</v>
      </c>
      <c r="M22" s="41">
        <f>ELECT.!O23</f>
        <v>1416</v>
      </c>
      <c r="N22" s="41">
        <f>ELECT.!Q23</f>
        <v>5928</v>
      </c>
      <c r="O22" s="41">
        <f>ELECT.!S23</f>
        <v>9436</v>
      </c>
      <c r="P22" s="41">
        <f>ELECT.!W23*2</f>
        <v>19654</v>
      </c>
      <c r="Q22" s="41">
        <f>ELECT.!D23</f>
        <v>480</v>
      </c>
      <c r="R22" s="42">
        <f>BTU!C23</f>
        <v>1.5540000000000873</v>
      </c>
      <c r="S22" s="42">
        <f>BTU!F23</f>
        <v>0.28199999999969805</v>
      </c>
      <c r="T22" s="42">
        <f>BTU!I23</f>
        <v>4</v>
      </c>
      <c r="U22" s="42">
        <f>BTU!O23</f>
        <v>0.94200000000000728</v>
      </c>
      <c r="V22" s="42">
        <f>BTU!L23</f>
        <v>0</v>
      </c>
      <c r="W22" s="42">
        <f>BTU!R23</f>
        <v>0</v>
      </c>
      <c r="X22" s="39">
        <f>ELECT.!B23</f>
        <v>143</v>
      </c>
      <c r="Y22" s="39">
        <f t="shared" si="0"/>
        <v>-2155</v>
      </c>
      <c r="Z22">
        <f>'Mall, Citadel, Rotana'!C23+'Mall, Citadel, Rotana'!E23+'Mall, Citadel, Rotana'!G23+'Mall, Citadel, Rotana'!I23</f>
        <v>1558</v>
      </c>
      <c r="AA22">
        <f>'Mall, Citadel, Rotana'!K23+'Mall, Citadel, Rotana'!M23</f>
        <v>320</v>
      </c>
      <c r="AB22">
        <f>'Mall, Citadel, Rotana'!O23</f>
        <v>72</v>
      </c>
      <c r="AC22">
        <f>'Mall, Citadel, Rotana'!Q23+'Mall, Citadel, Rotana'!S23</f>
        <v>0</v>
      </c>
      <c r="AD22" s="39">
        <f t="shared" si="1"/>
        <v>78.019010000000009</v>
      </c>
      <c r="AE22" s="39">
        <f t="shared" si="2"/>
        <v>513.93099000000007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800</v>
      </c>
      <c r="F23" s="41">
        <f>Water!E24</f>
        <v>460</v>
      </c>
      <c r="G23" s="41">
        <f>Water!G24</f>
        <v>251.1</v>
      </c>
      <c r="H23" s="41">
        <f>Water!I24</f>
        <v>5.2110000000000003</v>
      </c>
      <c r="I23" s="41">
        <f>ELECT.!F24</f>
        <v>5543</v>
      </c>
      <c r="J23" s="41">
        <f>ELECT.!H24</f>
        <v>36662</v>
      </c>
      <c r="K23" s="41">
        <f>ELECT.!K24</f>
        <v>7414</v>
      </c>
      <c r="L23" s="41">
        <f>ELECT.!M24</f>
        <v>4241</v>
      </c>
      <c r="M23" s="41">
        <f>ELECT.!O24</f>
        <v>1266</v>
      </c>
      <c r="N23" s="41">
        <f>ELECT.!Q24</f>
        <v>5862</v>
      </c>
      <c r="O23" s="41">
        <f>ELECT.!S24</f>
        <v>8562</v>
      </c>
      <c r="P23" s="41">
        <f>ELECT.!W24*2</f>
        <v>17690</v>
      </c>
      <c r="Q23" s="41">
        <f>ELECT.!D24</f>
        <v>320</v>
      </c>
      <c r="R23" s="42">
        <f>BTU!C24</f>
        <v>2.1240000000034343</v>
      </c>
      <c r="S23" s="42">
        <f>BTU!F24</f>
        <v>0.31900000000041473</v>
      </c>
      <c r="T23" s="42">
        <f>BTU!I24</f>
        <v>5</v>
      </c>
      <c r="U23" s="42">
        <f>BTU!O24</f>
        <v>1.0489999999999782</v>
      </c>
      <c r="V23" s="42">
        <f>BTU!L24</f>
        <v>0</v>
      </c>
      <c r="W23" s="42">
        <f>BTU!R24</f>
        <v>0</v>
      </c>
      <c r="X23" s="39">
        <f>ELECT.!B24</f>
        <v>209</v>
      </c>
      <c r="Y23" s="39">
        <f t="shared" si="0"/>
        <v>-2830</v>
      </c>
      <c r="Z23">
        <f>'Mall, Citadel, Rotana'!C24+'Mall, Citadel, Rotana'!E24+'Mall, Citadel, Rotana'!G24+'Mall, Citadel, Rotana'!I24</f>
        <v>1032</v>
      </c>
      <c r="AA23">
        <f>'Mall, Citadel, Rotana'!K24+'Mall, Citadel, Rotana'!M24</f>
        <v>320</v>
      </c>
      <c r="AB23">
        <f>'Mall, Citadel, Rotana'!O24</f>
        <v>93</v>
      </c>
      <c r="AC23">
        <f>'Mall, Citadel, Rotana'!Q24+'Mall, Citadel, Rotana'!S24</f>
        <v>0</v>
      </c>
      <c r="AD23" s="39">
        <f t="shared" si="1"/>
        <v>79.183990199999997</v>
      </c>
      <c r="AE23" s="39">
        <f t="shared" si="2"/>
        <v>521.60500979999995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790</v>
      </c>
      <c r="F24" s="41">
        <f>Water!E25</f>
        <v>420</v>
      </c>
      <c r="G24" s="41">
        <f>Water!G25</f>
        <v>243</v>
      </c>
      <c r="H24" s="41">
        <f>Water!I25</f>
        <v>5.3730000000000002</v>
      </c>
      <c r="I24" s="41">
        <f>ELECT.!F25</f>
        <v>11097</v>
      </c>
      <c r="J24" s="41">
        <f>ELECT.!H25</f>
        <v>44518</v>
      </c>
      <c r="K24" s="41">
        <f>ELECT.!K25</f>
        <v>10488</v>
      </c>
      <c r="L24" s="41">
        <f>ELECT.!M25</f>
        <v>5696</v>
      </c>
      <c r="M24" s="41">
        <f>ELECT.!O25</f>
        <v>5190</v>
      </c>
      <c r="N24" s="41">
        <f>ELECT.!Q25</f>
        <v>3396</v>
      </c>
      <c r="O24" s="41">
        <f>ELECT.!S25</f>
        <v>11312</v>
      </c>
      <c r="P24" s="41">
        <f>ELECT.!W25*2</f>
        <v>23284</v>
      </c>
      <c r="Q24" s="41">
        <f>ELECT.!D25</f>
        <v>0</v>
      </c>
      <c r="R24" s="42">
        <f>BTU!C25</f>
        <v>2.5659999999988941</v>
      </c>
      <c r="S24" s="42">
        <f>BTU!F25</f>
        <v>0.58399999999937791</v>
      </c>
      <c r="T24" s="42">
        <f>BTU!I25</f>
        <v>5</v>
      </c>
      <c r="U24" s="42">
        <f>BTU!O25</f>
        <v>1.2100000000000364</v>
      </c>
      <c r="V24" s="42">
        <f>BTU!L25</f>
        <v>0</v>
      </c>
      <c r="W24" s="42">
        <f>BTU!R25</f>
        <v>0</v>
      </c>
      <c r="X24" s="39">
        <f>ELECT.!B25</f>
        <v>193</v>
      </c>
      <c r="Y24" s="39">
        <f t="shared" si="0"/>
        <v>-3751</v>
      </c>
      <c r="Z24">
        <f>'Mall, Citadel, Rotana'!C25+'Mall, Citadel, Rotana'!E25+'Mall, Citadel, Rotana'!G25+'Mall, Citadel, Rotana'!I25</f>
        <v>1373</v>
      </c>
      <c r="AA24">
        <f>'Mall, Citadel, Rotana'!K25+'Mall, Citadel, Rotana'!M25</f>
        <v>480</v>
      </c>
      <c r="AB24">
        <f>'Mall, Citadel, Rotana'!O25</f>
        <v>113</v>
      </c>
      <c r="AC24">
        <f>'Mall, Citadel, Rotana'!Q25+'Mall, Citadel, Rotana'!S25</f>
        <v>0</v>
      </c>
      <c r="AD24" s="39">
        <f t="shared" si="1"/>
        <v>77.844638599999996</v>
      </c>
      <c r="AE24" s="39">
        <f t="shared" si="2"/>
        <v>512.7823613999999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720</v>
      </c>
      <c r="F25" s="41">
        <f>Water!E26</f>
        <v>410</v>
      </c>
      <c r="G25" s="41">
        <f>Water!G26</f>
        <v>224.1</v>
      </c>
      <c r="H25" s="41">
        <f>Water!I26</f>
        <v>5.3730000000000002</v>
      </c>
      <c r="I25" s="41">
        <f>ELECT.!F26</f>
        <v>9095</v>
      </c>
      <c r="J25" s="41">
        <f>ELECT.!H26</f>
        <v>32454</v>
      </c>
      <c r="K25" s="41">
        <f>ELECT.!K26</f>
        <v>7602</v>
      </c>
      <c r="L25" s="41">
        <f>ELECT.!M26</f>
        <v>4519</v>
      </c>
      <c r="M25" s="41">
        <f>ELECT.!O26</f>
        <v>4452</v>
      </c>
      <c r="N25" s="41">
        <f>ELECT.!Q26</f>
        <v>1971</v>
      </c>
      <c r="O25" s="41">
        <f>ELECT.!S26</f>
        <v>8771</v>
      </c>
      <c r="P25" s="41">
        <f>ELECT.!W26*2</f>
        <v>17008</v>
      </c>
      <c r="Q25" s="41">
        <f>ELECT.!D26</f>
        <v>160</v>
      </c>
      <c r="R25" s="42">
        <f>BTU!C26</f>
        <v>1.3809999999975844</v>
      </c>
      <c r="S25" s="42">
        <f>BTU!F26</f>
        <v>0.37800000000061118</v>
      </c>
      <c r="T25" s="42">
        <f>BTU!I26</f>
        <v>3</v>
      </c>
      <c r="U25" s="42">
        <f>BTU!O26</f>
        <v>0.62100000000009459</v>
      </c>
      <c r="V25" s="42">
        <f>BTU!L26</f>
        <v>0</v>
      </c>
      <c r="W25" s="42">
        <f>BTU!R26</f>
        <v>0</v>
      </c>
      <c r="X25" s="39">
        <f>ELECT.!B26</f>
        <v>164</v>
      </c>
      <c r="Y25" s="39">
        <f t="shared" si="0"/>
        <v>-2774</v>
      </c>
      <c r="Z25">
        <f>'Mall, Citadel, Rotana'!C26+'Mall, Citadel, Rotana'!E26+'Mall, Citadel, Rotana'!G26+'Mall, Citadel, Rotana'!I26</f>
        <v>1352</v>
      </c>
      <c r="AA25">
        <f>'Mall, Citadel, Rotana'!K26+'Mall, Citadel, Rotana'!M26</f>
        <v>320</v>
      </c>
      <c r="AB25">
        <f>'Mall, Citadel, Rotana'!O26</f>
        <v>113</v>
      </c>
      <c r="AC25">
        <f>'Mall, Citadel, Rotana'!Q26+'Mall, Citadel, Rotana'!S26</f>
        <v>1364</v>
      </c>
      <c r="AD25" s="39">
        <f t="shared" si="1"/>
        <v>68.618638599999997</v>
      </c>
      <c r="AE25" s="39">
        <f t="shared" si="2"/>
        <v>452.00836140000001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720</v>
      </c>
      <c r="F26" s="41">
        <f>Water!E27</f>
        <v>410</v>
      </c>
      <c r="G26" s="41">
        <f>Water!G27</f>
        <v>240.3</v>
      </c>
      <c r="H26" s="41">
        <f>Water!I27</f>
        <v>5.7240000000000002</v>
      </c>
      <c r="I26" s="41">
        <f>ELECT.!F27</f>
        <v>10770</v>
      </c>
      <c r="J26" s="41">
        <f>ELECT.!H27</f>
        <v>40317</v>
      </c>
      <c r="K26" s="41">
        <f>ELECT.!K27</f>
        <v>9548</v>
      </c>
      <c r="L26" s="41">
        <f>ELECT.!M27</f>
        <v>4586</v>
      </c>
      <c r="M26" s="41">
        <f>ELECT.!O27</f>
        <v>6044</v>
      </c>
      <c r="N26" s="41">
        <f>ELECT.!Q27</f>
        <v>2641</v>
      </c>
      <c r="O26" s="41">
        <f>ELECT.!S27</f>
        <v>10510</v>
      </c>
      <c r="P26" s="41">
        <f>ELECT.!W27*2</f>
        <v>21268</v>
      </c>
      <c r="Q26" s="41">
        <f>ELECT.!D27</f>
        <v>0</v>
      </c>
      <c r="R26" s="42">
        <f>BTU!C27</f>
        <v>2.7550000000010186</v>
      </c>
      <c r="S26" s="42">
        <f>BTU!F27</f>
        <v>0.59199999999964348</v>
      </c>
      <c r="T26" s="42">
        <f>BTU!I27</f>
        <v>5</v>
      </c>
      <c r="U26" s="42">
        <f>BTU!O27</f>
        <v>1.4740000000001601</v>
      </c>
      <c r="V26" s="42">
        <f>BTU!L27</f>
        <v>0</v>
      </c>
      <c r="W26" s="42">
        <f>BTU!R27</f>
        <v>0</v>
      </c>
      <c r="X26" s="39">
        <f>ELECT.!B27</f>
        <v>192</v>
      </c>
      <c r="Y26" s="39">
        <f t="shared" si="0"/>
        <v>-3510</v>
      </c>
      <c r="Z26">
        <f>'Mall, Citadel, Rotana'!C27+'Mall, Citadel, Rotana'!E27+'Mall, Citadel, Rotana'!G27+'Mall, Citadel, Rotana'!I27</f>
        <v>1196</v>
      </c>
      <c r="AA26">
        <f>'Mall, Citadel, Rotana'!K27+'Mall, Citadel, Rotana'!M27</f>
        <v>480</v>
      </c>
      <c r="AB26">
        <f>'Mall, Citadel, Rotana'!O27</f>
        <v>113</v>
      </c>
      <c r="AC26">
        <f>'Mall, Citadel, Rotana'!Q27+'Mall, Citadel, Rotana'!S27</f>
        <v>0</v>
      </c>
      <c r="AD26" s="39">
        <f t="shared" si="1"/>
        <v>68.572376800000001</v>
      </c>
      <c r="AE26" s="39">
        <f t="shared" si="2"/>
        <v>451.70362319999992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680</v>
      </c>
      <c r="F27" s="41">
        <f>Water!E28</f>
        <v>370</v>
      </c>
      <c r="G27" s="41">
        <f>Water!G28</f>
        <v>216</v>
      </c>
      <c r="H27" s="41">
        <f>Water!I28</f>
        <v>5.2649999999999997</v>
      </c>
      <c r="I27" s="41">
        <f>ELECT.!F28</f>
        <v>9834</v>
      </c>
      <c r="J27" s="41">
        <f>ELECT.!H28</f>
        <v>38600</v>
      </c>
      <c r="K27" s="41">
        <f>ELECT.!K28</f>
        <v>10072</v>
      </c>
      <c r="L27" s="41">
        <f>ELECT.!M28</f>
        <v>4318</v>
      </c>
      <c r="M27" s="41">
        <f>ELECT.!O28</f>
        <v>5348</v>
      </c>
      <c r="N27" s="41">
        <f>ELECT.!Q28</f>
        <v>2656</v>
      </c>
      <c r="O27" s="41">
        <f>ELECT.!S28</f>
        <v>9953</v>
      </c>
      <c r="P27" s="41">
        <f>ELECT.!W28*2</f>
        <v>19848</v>
      </c>
      <c r="Q27" s="41">
        <f>ELECT.!D28</f>
        <v>0</v>
      </c>
      <c r="R27" s="42">
        <f>BTU!C28</f>
        <v>1.0380000000004657</v>
      </c>
      <c r="S27" s="42">
        <f>BTU!F28</f>
        <v>0.33100000000013097</v>
      </c>
      <c r="T27" s="42">
        <f>BTU!I28</f>
        <v>3</v>
      </c>
      <c r="U27" s="42">
        <f>BTU!O28</f>
        <v>0.57099999999991269</v>
      </c>
      <c r="V27" s="42">
        <f>BTU!L28</f>
        <v>0</v>
      </c>
      <c r="W27" s="42">
        <f>BTU!R28</f>
        <v>0</v>
      </c>
      <c r="X27" s="39">
        <f>ELECT.!B28</f>
        <v>180</v>
      </c>
      <c r="Y27" s="39">
        <f t="shared" si="0"/>
        <v>-3761</v>
      </c>
      <c r="Z27">
        <f>'Mall, Citadel, Rotana'!C28+'Mall, Citadel, Rotana'!E28+'Mall, Citadel, Rotana'!G28+'Mall, Citadel, Rotana'!I28</f>
        <v>1374</v>
      </c>
      <c r="AA27">
        <f>'Mall, Citadel, Rotana'!K28+'Mall, Citadel, Rotana'!M28</f>
        <v>480</v>
      </c>
      <c r="AB27">
        <f>'Mall, Citadel, Rotana'!O28</f>
        <v>119</v>
      </c>
      <c r="AC27">
        <f>'Mall, Citadel, Rotana'!Q28+'Mall, Citadel, Rotana'!S28</f>
        <v>0</v>
      </c>
      <c r="AD27" s="39">
        <f t="shared" si="1"/>
        <v>63.360873000000005</v>
      </c>
      <c r="AE27" s="39">
        <f t="shared" si="2"/>
        <v>417.37412700000004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680</v>
      </c>
      <c r="F28" s="41">
        <f>Water!E29</f>
        <v>370</v>
      </c>
      <c r="G28" s="41">
        <f>Water!G29</f>
        <v>216</v>
      </c>
      <c r="H28" s="41">
        <f>Water!I29</f>
        <v>5.2649999999999997</v>
      </c>
      <c r="I28" s="41">
        <f>ELECT.!F29</f>
        <v>10134</v>
      </c>
      <c r="J28" s="41">
        <f>ELECT.!H29</f>
        <v>41204</v>
      </c>
      <c r="K28" s="41">
        <f>ELECT.!K29</f>
        <v>10050</v>
      </c>
      <c r="L28" s="41">
        <f>ELECT.!M29</f>
        <v>4104</v>
      </c>
      <c r="M28" s="41">
        <f>ELECT.!O29</f>
        <v>5928</v>
      </c>
      <c r="N28" s="41">
        <f>ELECT.!Q29</f>
        <v>2504</v>
      </c>
      <c r="O28" s="41">
        <f>ELECT.!S29</f>
        <v>10808</v>
      </c>
      <c r="P28" s="41">
        <f>ELECT.!W29*2</f>
        <v>21866</v>
      </c>
      <c r="Q28" s="41">
        <f>ELECT.!D29</f>
        <v>0</v>
      </c>
      <c r="R28" s="42">
        <f>BTU!C29</f>
        <v>1.4959999999991851</v>
      </c>
      <c r="S28" s="42">
        <f>BTU!F29</f>
        <v>0.32399999999961437</v>
      </c>
      <c r="T28" s="42">
        <f>BTU!I29</f>
        <v>4</v>
      </c>
      <c r="U28" s="42">
        <f>BTU!O29</f>
        <v>0.82799999999997453</v>
      </c>
      <c r="V28" s="42">
        <f>BTU!L29</f>
        <v>0</v>
      </c>
      <c r="W28" s="42">
        <f>BTU!R29</f>
        <v>0</v>
      </c>
      <c r="X28" s="39">
        <f>ELECT.!B29</f>
        <v>180</v>
      </c>
      <c r="Y28" s="39">
        <f t="shared" si="0"/>
        <v>-3922</v>
      </c>
      <c r="Z28">
        <f>'Mall, Citadel, Rotana'!C29+'Mall, Citadel, Rotana'!E29+'Mall, Citadel, Rotana'!G29+'Mall, Citadel, Rotana'!I29</f>
        <v>1514</v>
      </c>
      <c r="AA28">
        <f>'Mall, Citadel, Rotana'!K29+'Mall, Citadel, Rotana'!M29</f>
        <v>480</v>
      </c>
      <c r="AB28">
        <f>'Mall, Citadel, Rotana'!O29</f>
        <v>81</v>
      </c>
      <c r="AC28">
        <f>'Mall, Citadel, Rotana'!Q29+'Mall, Citadel, Rotana'!S29</f>
        <v>0</v>
      </c>
      <c r="AD28" s="39">
        <f t="shared" si="1"/>
        <v>63.360873000000005</v>
      </c>
      <c r="AE28" s="39">
        <f t="shared" si="2"/>
        <v>417.37412700000004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710</v>
      </c>
      <c r="F29" s="41">
        <f>Water!E30</f>
        <v>480</v>
      </c>
      <c r="G29" s="41">
        <f>Water!G30</f>
        <v>175.5</v>
      </c>
      <c r="H29" s="41">
        <f>Water!I30</f>
        <v>3.4830000000000001</v>
      </c>
      <c r="I29" s="41">
        <f>ELECT.!F30</f>
        <v>8881</v>
      </c>
      <c r="J29" s="41">
        <f>ELECT.!H30</f>
        <v>35874</v>
      </c>
      <c r="K29" s="41">
        <f>ELECT.!K30</f>
        <v>10188</v>
      </c>
      <c r="L29" s="41">
        <f>ELECT.!M30</f>
        <v>3590</v>
      </c>
      <c r="M29" s="41">
        <f>ELECT.!O30</f>
        <v>5156</v>
      </c>
      <c r="N29" s="41">
        <f>ELECT.!Q30</f>
        <v>2282</v>
      </c>
      <c r="O29" s="41">
        <f>ELECT.!S30</f>
        <v>9750</v>
      </c>
      <c r="P29" s="41">
        <f>ELECT.!W30*2</f>
        <v>17696</v>
      </c>
      <c r="Q29" s="41">
        <f>ELECT.!D30</f>
        <v>0</v>
      </c>
      <c r="R29" s="42">
        <f>BTU!C30</f>
        <v>2.0679999999993015</v>
      </c>
      <c r="S29" s="42">
        <f>BTU!F30</f>
        <v>0.31300000000010186</v>
      </c>
      <c r="T29" s="42">
        <f>BTU!I30</f>
        <v>7</v>
      </c>
      <c r="U29" s="42">
        <f>BTU!O30</f>
        <v>1.1030000000000655</v>
      </c>
      <c r="V29" s="42">
        <f>BTU!L30</f>
        <v>0</v>
      </c>
      <c r="W29" s="42">
        <f>BTU!R30</f>
        <v>0</v>
      </c>
      <c r="X29" s="39">
        <f>ELECT.!B30</f>
        <v>191</v>
      </c>
      <c r="Y29" s="39">
        <f t="shared" si="0"/>
        <v>-3907</v>
      </c>
      <c r="Z29">
        <f>'Mall, Citadel, Rotana'!C30+'Mall, Citadel, Rotana'!E30+'Mall, Citadel, Rotana'!G30+'Mall, Citadel, Rotana'!I30</f>
        <v>1216</v>
      </c>
      <c r="AA29">
        <f>'Mall, Citadel, Rotana'!K30+'Mall, Citadel, Rotana'!M30</f>
        <v>320</v>
      </c>
      <c r="AB29">
        <f>'Mall, Citadel, Rotana'!O30</f>
        <v>66</v>
      </c>
      <c r="AC29">
        <f>'Mall, Citadel, Rotana'!Q30+'Mall, Citadel, Rotana'!S30</f>
        <v>0</v>
      </c>
      <c r="AD29" s="39">
        <f t="shared" si="1"/>
        <v>67.549740600000007</v>
      </c>
      <c r="AE29" s="39">
        <f t="shared" si="2"/>
        <v>444.9672594000001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770</v>
      </c>
      <c r="F30" s="41">
        <f>Water!E31</f>
        <v>500</v>
      </c>
      <c r="G30" s="41">
        <f>Water!E31</f>
        <v>500</v>
      </c>
      <c r="H30" s="41">
        <f>Water!I31</f>
        <v>5.508</v>
      </c>
      <c r="I30" s="41">
        <f>Water!G31</f>
        <v>221.4</v>
      </c>
      <c r="J30" s="41">
        <f>ELECT.!H31</f>
        <v>34943</v>
      </c>
      <c r="K30" s="41">
        <f>Water!I31</f>
        <v>5.508</v>
      </c>
      <c r="L30" s="41">
        <f>Water!J31</f>
        <v>1496.9080000000001</v>
      </c>
      <c r="M30" s="41">
        <f>Water!K31</f>
        <v>8771.8808800000006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194</v>
      </c>
      <c r="Y30" s="39">
        <f t="shared" si="0"/>
        <v>24890.10312</v>
      </c>
      <c r="Z30">
        <f>'Mall, Citadel, Rotana'!C31+'Mall, Citadel, Rotana'!E31+'Mall, Citadel, Rotana'!G31+'Mall, Citadel, Rotana'!I31</f>
        <v>1533</v>
      </c>
      <c r="AA30">
        <f>'Mall, Citadel, Rotana'!K31+'Mall, Citadel, Rotana'!M31</f>
        <v>320</v>
      </c>
      <c r="AB30">
        <f>'Mall, Citadel, Rotana'!O31</f>
        <v>89</v>
      </c>
      <c r="AC30">
        <f>'Mall, Citadel, Rotana'!Q31+'Mall, Citadel, Rotana'!S31</f>
        <v>0</v>
      </c>
      <c r="AD30" s="39">
        <f t="shared" si="1"/>
        <v>75.190845599999989</v>
      </c>
      <c r="AE30" s="39">
        <f t="shared" si="2"/>
        <v>495.30115439999997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810</v>
      </c>
      <c r="F31" s="41">
        <f>Water!E32</f>
        <v>450</v>
      </c>
      <c r="G31" s="41">
        <f>Water!E32</f>
        <v>450</v>
      </c>
      <c r="H31" s="41">
        <f>Water!I32</f>
        <v>4.968</v>
      </c>
      <c r="I31" s="41">
        <f>Water!G32</f>
        <v>202.5</v>
      </c>
      <c r="J31" s="41">
        <f>ELECT.!H32</f>
        <v>32550</v>
      </c>
      <c r="K31" s="41">
        <f>Water!I32</f>
        <v>4.968</v>
      </c>
      <c r="L31" s="41">
        <f>Water!J32</f>
        <v>1467.4680000000001</v>
      </c>
      <c r="M31" s="41">
        <f>Water!K32</f>
        <v>8599.3624800000016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2.8100000000013097</v>
      </c>
      <c r="S31" s="42">
        <f>BTU!F32</f>
        <v>0.53400000000056025</v>
      </c>
      <c r="T31" s="42">
        <f>BTU!I32</f>
        <v>8</v>
      </c>
      <c r="U31" s="42">
        <f>BTU!O32</f>
        <v>1.5650000000000546</v>
      </c>
      <c r="V31" s="42">
        <f>BTU!L32</f>
        <v>0</v>
      </c>
      <c r="W31" s="42">
        <f>BTU!R32</f>
        <v>0</v>
      </c>
      <c r="X31" s="39">
        <f>ELECT.!B32</f>
        <v>217</v>
      </c>
      <c r="Y31" s="39">
        <f t="shared" si="0"/>
        <v>22680.701519999999</v>
      </c>
      <c r="Z31">
        <f>'Mall, Citadel, Rotana'!C32+'Mall, Citadel, Rotana'!E32+'Mall, Citadel, Rotana'!G32+'Mall, Citadel, Rotana'!I32</f>
        <v>1199</v>
      </c>
      <c r="AA31">
        <f>'Mall, Citadel, Rotana'!K32+'Mall, Citadel, Rotana'!M32</f>
        <v>480</v>
      </c>
      <c r="AB31">
        <f>'Mall, Citadel, Rotana'!O32</f>
        <v>117</v>
      </c>
      <c r="AC31">
        <f>'Mall, Citadel, Rotana'!Q32+'Mall, Citadel, Rotana'!S32</f>
        <v>568</v>
      </c>
      <c r="AD31" s="39">
        <f t="shared" si="1"/>
        <v>80.534017599999999</v>
      </c>
      <c r="AE31" s="39">
        <f t="shared" si="2"/>
        <v>530.49798240000007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750</v>
      </c>
      <c r="F32" s="41">
        <f>Water!E33</f>
        <v>460</v>
      </c>
      <c r="G32" s="41">
        <f>Water!E33</f>
        <v>460</v>
      </c>
      <c r="H32" s="41">
        <f>Water!I33</f>
        <v>5.0220000000000002</v>
      </c>
      <c r="I32" s="41">
        <f>Water!G33</f>
        <v>210.6</v>
      </c>
      <c r="J32" s="41">
        <f>ELECT.!H33</f>
        <v>47119</v>
      </c>
      <c r="K32" s="41">
        <f>Water!I33</f>
        <v>5.0220000000000002</v>
      </c>
      <c r="L32" s="41">
        <f>Water!J33</f>
        <v>1425.6219999999998</v>
      </c>
      <c r="M32" s="41">
        <f>Water!K33</f>
        <v>8354.1449199999988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1.7760000000016589</v>
      </c>
      <c r="S32" s="147">
        <f>BTU!F33</f>
        <v>0.35399999999935972</v>
      </c>
      <c r="T32" s="147">
        <f>BTU!I33</f>
        <v>4</v>
      </c>
      <c r="U32" s="147">
        <f>BTU!O33</f>
        <v>1.0109999999999673</v>
      </c>
      <c r="V32" s="147">
        <f>BTU!L33</f>
        <v>0</v>
      </c>
      <c r="W32" s="147">
        <f>BTU!R33</f>
        <v>0</v>
      </c>
      <c r="X32" s="39">
        <f>ELECT.!B33</f>
        <v>217</v>
      </c>
      <c r="Y32" s="39">
        <f t="shared" ref="Y32" si="4">I32+J32-(K32+L32+M32+N32+O32+P32)</f>
        <v>37544.811079999999</v>
      </c>
      <c r="Z32">
        <f>'Mall, Citadel, Rotana'!C33+'Mall, Citadel, Rotana'!E33+'Mall, Citadel, Rotana'!G33+'Mall, Citadel, Rotana'!I33</f>
        <v>1195</v>
      </c>
      <c r="AA32">
        <f>'Mall, Citadel, Rotana'!K33+'Mall, Citadel, Rotana'!M33</f>
        <v>480</v>
      </c>
      <c r="AB32">
        <f>'Mall, Citadel, Rotana'!O33</f>
        <v>124</v>
      </c>
      <c r="AC32">
        <f>'Mall, Citadel, Rotana'!Q33+'Mall, Citadel, Rotana'!S33</f>
        <v>110</v>
      </c>
      <c r="AD32" s="39">
        <f t="shared" ref="AD32" si="5">(E32-H32-194)*0.1318</f>
        <v>72.618900399999987</v>
      </c>
      <c r="AE32" s="39">
        <f t="shared" ref="AE32" si="6">E32-H32-AD32-194</f>
        <v>478.35909959999992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v>46514</v>
      </c>
      <c r="C22" s="16">
        <f t="shared" si="1"/>
        <v>800</v>
      </c>
      <c r="D22" s="36">
        <v>40222</v>
      </c>
      <c r="E22" s="16">
        <f t="shared" si="2"/>
        <v>480</v>
      </c>
      <c r="F22" s="36">
        <v>21235</v>
      </c>
      <c r="G22" s="16">
        <f t="shared" si="3"/>
        <v>80</v>
      </c>
      <c r="H22" s="36">
        <v>253409</v>
      </c>
      <c r="I22" s="16">
        <f t="shared" si="4"/>
        <v>15</v>
      </c>
      <c r="J22" s="36">
        <v>303517</v>
      </c>
      <c r="K22" s="16">
        <v>0</v>
      </c>
      <c r="L22" s="36">
        <v>25785</v>
      </c>
      <c r="M22" s="16">
        <f t="shared" si="5"/>
        <v>480</v>
      </c>
      <c r="N22" s="36">
        <v>221048</v>
      </c>
      <c r="O22" s="16">
        <f t="shared" si="6"/>
        <v>123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v>3909</v>
      </c>
      <c r="U22" s="16">
        <f t="shared" si="10"/>
        <v>160</v>
      </c>
    </row>
    <row r="23" spans="1:23" ht="13.5" thickBot="1" x14ac:dyDescent="0.25">
      <c r="A23" s="10">
        <v>44582</v>
      </c>
      <c r="B23" s="36">
        <v>46519</v>
      </c>
      <c r="C23" s="16">
        <f t="shared" si="1"/>
        <v>800</v>
      </c>
      <c r="D23" s="36">
        <v>40226</v>
      </c>
      <c r="E23" s="16">
        <f t="shared" si="2"/>
        <v>640</v>
      </c>
      <c r="F23" s="36">
        <v>21240</v>
      </c>
      <c r="G23" s="16">
        <f t="shared" si="3"/>
        <v>100</v>
      </c>
      <c r="H23" s="36">
        <v>253427</v>
      </c>
      <c r="I23" s="16">
        <f t="shared" si="4"/>
        <v>18</v>
      </c>
      <c r="J23" s="36">
        <v>303517</v>
      </c>
      <c r="K23" s="16">
        <v>0</v>
      </c>
      <c r="L23" s="36">
        <v>25787</v>
      </c>
      <c r="M23" s="16">
        <f t="shared" si="5"/>
        <v>320</v>
      </c>
      <c r="N23" s="36">
        <v>221120</v>
      </c>
      <c r="O23" s="16">
        <f t="shared" si="6"/>
        <v>72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v>3910</v>
      </c>
      <c r="U23" s="16">
        <f t="shared" si="10"/>
        <v>160</v>
      </c>
    </row>
    <row r="24" spans="1:23" s="136" customFormat="1" ht="13.5" thickBot="1" x14ac:dyDescent="0.25">
      <c r="A24" s="10">
        <v>44583</v>
      </c>
      <c r="B24" s="36">
        <v>46523</v>
      </c>
      <c r="C24" s="16">
        <f t="shared" si="1"/>
        <v>640</v>
      </c>
      <c r="D24" s="36">
        <v>40228</v>
      </c>
      <c r="E24" s="16">
        <f t="shared" si="2"/>
        <v>320</v>
      </c>
      <c r="F24" s="36">
        <v>21243</v>
      </c>
      <c r="G24" s="16">
        <f t="shared" si="3"/>
        <v>60</v>
      </c>
      <c r="H24" s="36">
        <v>253439</v>
      </c>
      <c r="I24" s="16">
        <f t="shared" si="4"/>
        <v>12</v>
      </c>
      <c r="J24" s="36">
        <f t="shared" si="12"/>
        <v>303517</v>
      </c>
      <c r="K24" s="16">
        <v>0</v>
      </c>
      <c r="L24" s="36">
        <v>25789</v>
      </c>
      <c r="M24" s="16">
        <f t="shared" si="5"/>
        <v>320</v>
      </c>
      <c r="N24" s="36">
        <v>221213</v>
      </c>
      <c r="O24" s="16">
        <f t="shared" si="6"/>
        <v>93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v>3911</v>
      </c>
      <c r="U24" s="16">
        <f t="shared" si="10"/>
        <v>160</v>
      </c>
    </row>
    <row r="25" spans="1:23" ht="13.5" thickBot="1" x14ac:dyDescent="0.25">
      <c r="A25" s="10">
        <v>44584</v>
      </c>
      <c r="B25" s="36">
        <v>46528</v>
      </c>
      <c r="C25" s="16">
        <f t="shared" si="1"/>
        <v>800</v>
      </c>
      <c r="D25" s="36">
        <v>40231</v>
      </c>
      <c r="E25" s="16">
        <f t="shared" si="2"/>
        <v>480</v>
      </c>
      <c r="F25" s="36">
        <v>21247</v>
      </c>
      <c r="G25" s="16">
        <f t="shared" si="3"/>
        <v>80</v>
      </c>
      <c r="H25" s="36">
        <v>253452</v>
      </c>
      <c r="I25" s="16">
        <f t="shared" si="4"/>
        <v>13</v>
      </c>
      <c r="J25" s="36">
        <v>303517</v>
      </c>
      <c r="K25" s="16">
        <v>0</v>
      </c>
      <c r="L25" s="36">
        <v>25792</v>
      </c>
      <c r="M25" s="16">
        <f t="shared" si="5"/>
        <v>480</v>
      </c>
      <c r="N25" s="36">
        <v>221326</v>
      </c>
      <c r="O25" s="16">
        <f t="shared" si="6"/>
        <v>113</v>
      </c>
      <c r="P25" s="36">
        <v>137479</v>
      </c>
      <c r="Q25" s="16">
        <f t="shared" si="7"/>
        <v>0</v>
      </c>
      <c r="R25" s="1">
        <v>55047</v>
      </c>
      <c r="S25" s="16">
        <f t="shared" si="9"/>
        <v>0</v>
      </c>
      <c r="T25" s="36">
        <v>3911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v>46533</v>
      </c>
      <c r="C26" s="16">
        <f t="shared" si="1"/>
        <v>800</v>
      </c>
      <c r="D26" s="36">
        <v>40234</v>
      </c>
      <c r="E26" s="16">
        <f t="shared" si="2"/>
        <v>480</v>
      </c>
      <c r="F26" s="36">
        <v>21250</v>
      </c>
      <c r="G26" s="16">
        <f t="shared" si="3"/>
        <v>60</v>
      </c>
      <c r="H26" s="36">
        <v>253464</v>
      </c>
      <c r="I26" s="16">
        <f t="shared" si="4"/>
        <v>12</v>
      </c>
      <c r="J26" s="36">
        <v>303517</v>
      </c>
      <c r="K26" s="16">
        <v>0</v>
      </c>
      <c r="L26" s="36">
        <v>25794</v>
      </c>
      <c r="M26" s="16">
        <f t="shared" si="5"/>
        <v>320</v>
      </c>
      <c r="N26" s="36">
        <v>221439</v>
      </c>
      <c r="O26" s="16">
        <f t="shared" si="6"/>
        <v>113</v>
      </c>
      <c r="P26" s="36">
        <v>138843</v>
      </c>
      <c r="Q26" s="16">
        <f t="shared" si="7"/>
        <v>1364</v>
      </c>
      <c r="R26" s="1">
        <f t="shared" si="8"/>
        <v>55047</v>
      </c>
      <c r="S26" s="16">
        <f t="shared" si="9"/>
        <v>0</v>
      </c>
      <c r="T26" s="36">
        <v>3912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44586</v>
      </c>
      <c r="B27" s="36">
        <v>46537</v>
      </c>
      <c r="C27" s="16">
        <f t="shared" si="1"/>
        <v>640</v>
      </c>
      <c r="D27" s="36">
        <v>40237</v>
      </c>
      <c r="E27" s="16">
        <f t="shared" si="2"/>
        <v>480</v>
      </c>
      <c r="F27" s="36">
        <v>21253</v>
      </c>
      <c r="G27" s="16">
        <f t="shared" si="3"/>
        <v>60</v>
      </c>
      <c r="H27" s="36">
        <v>253480</v>
      </c>
      <c r="I27" s="16">
        <f t="shared" si="4"/>
        <v>16</v>
      </c>
      <c r="J27" s="36">
        <v>303517</v>
      </c>
      <c r="K27" s="16">
        <v>0</v>
      </c>
      <c r="L27" s="36">
        <v>25797</v>
      </c>
      <c r="M27" s="16">
        <f t="shared" si="5"/>
        <v>480</v>
      </c>
      <c r="N27" s="36">
        <v>221552</v>
      </c>
      <c r="O27" s="16">
        <f t="shared" si="6"/>
        <v>113</v>
      </c>
      <c r="P27" s="36">
        <f t="shared" si="11"/>
        <v>138843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v>3913</v>
      </c>
      <c r="U27" s="16">
        <f t="shared" si="10"/>
        <v>160</v>
      </c>
    </row>
    <row r="28" spans="1:23" ht="13.5" thickBot="1" x14ac:dyDescent="0.25">
      <c r="A28" s="10">
        <v>44587</v>
      </c>
      <c r="B28" s="36">
        <v>46542</v>
      </c>
      <c r="C28" s="16">
        <f t="shared" si="1"/>
        <v>800</v>
      </c>
      <c r="D28" s="36">
        <v>40240</v>
      </c>
      <c r="E28" s="16">
        <f t="shared" si="2"/>
        <v>480</v>
      </c>
      <c r="F28" s="36">
        <v>21257</v>
      </c>
      <c r="G28" s="16">
        <f t="shared" si="3"/>
        <v>80</v>
      </c>
      <c r="H28" s="36">
        <v>253494</v>
      </c>
      <c r="I28" s="16">
        <f t="shared" si="4"/>
        <v>14</v>
      </c>
      <c r="J28" s="36">
        <v>303517</v>
      </c>
      <c r="K28" s="16">
        <v>0</v>
      </c>
      <c r="L28" s="36">
        <v>25800</v>
      </c>
      <c r="M28" s="16">
        <f t="shared" si="5"/>
        <v>480</v>
      </c>
      <c r="N28" s="36">
        <v>221671</v>
      </c>
      <c r="O28" s="16">
        <f t="shared" si="6"/>
        <v>119</v>
      </c>
      <c r="P28" s="36">
        <f t="shared" si="11"/>
        <v>138843</v>
      </c>
      <c r="Q28" s="17">
        <f t="shared" si="7"/>
        <v>0</v>
      </c>
      <c r="R28" s="1">
        <v>55047</v>
      </c>
      <c r="S28" s="17">
        <f t="shared" si="9"/>
        <v>0</v>
      </c>
      <c r="T28" s="36">
        <v>3914</v>
      </c>
      <c r="U28" s="16">
        <f t="shared" si="10"/>
        <v>160</v>
      </c>
    </row>
    <row r="29" spans="1:23" ht="13.5" thickBot="1" x14ac:dyDescent="0.25">
      <c r="A29" s="10">
        <v>44588</v>
      </c>
      <c r="B29" s="36">
        <v>46547</v>
      </c>
      <c r="C29" s="16">
        <f t="shared" si="1"/>
        <v>800</v>
      </c>
      <c r="D29" s="36">
        <v>40244</v>
      </c>
      <c r="E29" s="16">
        <f t="shared" si="2"/>
        <v>640</v>
      </c>
      <c r="F29" s="36">
        <v>21260</v>
      </c>
      <c r="G29" s="16">
        <f t="shared" si="3"/>
        <v>60</v>
      </c>
      <c r="H29" s="36">
        <v>253508</v>
      </c>
      <c r="I29" s="16">
        <f t="shared" si="4"/>
        <v>14</v>
      </c>
      <c r="J29" s="36">
        <v>303517</v>
      </c>
      <c r="K29" s="16">
        <v>0</v>
      </c>
      <c r="L29" s="36">
        <v>25803</v>
      </c>
      <c r="M29" s="16">
        <f t="shared" si="5"/>
        <v>480</v>
      </c>
      <c r="N29" s="36">
        <v>221752</v>
      </c>
      <c r="O29" s="16">
        <f t="shared" si="6"/>
        <v>81</v>
      </c>
      <c r="P29" s="36">
        <v>138843</v>
      </c>
      <c r="Q29" s="16">
        <f t="shared" si="7"/>
        <v>0</v>
      </c>
      <c r="R29" s="1">
        <v>55047</v>
      </c>
      <c r="S29" s="16">
        <f t="shared" si="9"/>
        <v>0</v>
      </c>
      <c r="T29" s="36">
        <v>3915</v>
      </c>
      <c r="U29" s="16">
        <f t="shared" si="10"/>
        <v>160</v>
      </c>
    </row>
    <row r="30" spans="1:23" ht="13.5" thickBot="1" x14ac:dyDescent="0.25">
      <c r="A30" s="10">
        <v>44589</v>
      </c>
      <c r="B30" s="36">
        <v>46551</v>
      </c>
      <c r="C30" s="16">
        <f t="shared" si="1"/>
        <v>640</v>
      </c>
      <c r="D30" s="36">
        <v>40247</v>
      </c>
      <c r="E30" s="16">
        <f t="shared" si="2"/>
        <v>480</v>
      </c>
      <c r="F30" s="36">
        <v>21264</v>
      </c>
      <c r="G30" s="16">
        <f t="shared" si="3"/>
        <v>80</v>
      </c>
      <c r="H30" s="36">
        <v>253524</v>
      </c>
      <c r="I30" s="16">
        <f t="shared" si="4"/>
        <v>16</v>
      </c>
      <c r="J30" s="36">
        <f t="shared" si="12"/>
        <v>303517</v>
      </c>
      <c r="K30" s="16">
        <v>0</v>
      </c>
      <c r="L30" s="36">
        <v>25805</v>
      </c>
      <c r="M30" s="16">
        <f t="shared" si="5"/>
        <v>320</v>
      </c>
      <c r="N30" s="36">
        <v>221818</v>
      </c>
      <c r="O30" s="16">
        <f t="shared" si="6"/>
        <v>66</v>
      </c>
      <c r="P30" s="36">
        <f t="shared" si="11"/>
        <v>138843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v>3916</v>
      </c>
      <c r="U30" s="16">
        <f t="shared" si="10"/>
        <v>160</v>
      </c>
    </row>
    <row r="31" spans="1:23" ht="13.5" thickBot="1" x14ac:dyDescent="0.25">
      <c r="A31" s="10">
        <v>44590</v>
      </c>
      <c r="B31" s="36">
        <v>46556</v>
      </c>
      <c r="C31" s="16">
        <f t="shared" si="1"/>
        <v>800</v>
      </c>
      <c r="D31" s="36">
        <v>40251</v>
      </c>
      <c r="E31" s="16">
        <f t="shared" si="2"/>
        <v>640</v>
      </c>
      <c r="F31" s="36">
        <v>21268</v>
      </c>
      <c r="G31" s="16">
        <f t="shared" si="3"/>
        <v>80</v>
      </c>
      <c r="H31" s="36">
        <v>253537</v>
      </c>
      <c r="I31" s="16">
        <f t="shared" si="4"/>
        <v>13</v>
      </c>
      <c r="J31" s="36">
        <v>303517</v>
      </c>
      <c r="K31" s="16">
        <v>0</v>
      </c>
      <c r="L31" s="36">
        <v>25807</v>
      </c>
      <c r="M31" s="16">
        <f t="shared" si="5"/>
        <v>320</v>
      </c>
      <c r="N31" s="36">
        <v>221907</v>
      </c>
      <c r="O31" s="16">
        <f t="shared" si="6"/>
        <v>89</v>
      </c>
      <c r="P31" s="36">
        <f t="shared" si="11"/>
        <v>138843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v>3917</v>
      </c>
      <c r="U31" s="16">
        <f t="shared" si="10"/>
        <v>160</v>
      </c>
    </row>
    <row r="32" spans="1:23" ht="15" customHeight="1" thickBot="1" x14ac:dyDescent="0.25">
      <c r="A32" s="10">
        <v>44591</v>
      </c>
      <c r="B32" s="36">
        <v>46561</v>
      </c>
      <c r="C32" s="16">
        <f t="shared" si="1"/>
        <v>800</v>
      </c>
      <c r="D32" s="36">
        <v>40253</v>
      </c>
      <c r="E32" s="16">
        <f t="shared" si="2"/>
        <v>320</v>
      </c>
      <c r="F32" s="36">
        <v>21271</v>
      </c>
      <c r="G32" s="16">
        <f t="shared" si="3"/>
        <v>60</v>
      </c>
      <c r="H32" s="36">
        <v>253556</v>
      </c>
      <c r="I32" s="16">
        <f t="shared" si="4"/>
        <v>19</v>
      </c>
      <c r="J32" s="36">
        <f t="shared" si="12"/>
        <v>303517</v>
      </c>
      <c r="K32" s="16">
        <v>0</v>
      </c>
      <c r="L32" s="36">
        <v>25810</v>
      </c>
      <c r="M32" s="16">
        <f t="shared" si="5"/>
        <v>480</v>
      </c>
      <c r="N32" s="36">
        <v>222024</v>
      </c>
      <c r="O32" s="16">
        <f t="shared" si="6"/>
        <v>117</v>
      </c>
      <c r="P32" s="36">
        <v>139411</v>
      </c>
      <c r="Q32" s="16">
        <f t="shared" si="7"/>
        <v>568</v>
      </c>
      <c r="R32" s="1">
        <f t="shared" si="8"/>
        <v>55047</v>
      </c>
      <c r="S32" s="16">
        <v>0</v>
      </c>
      <c r="T32" s="36">
        <v>3918</v>
      </c>
      <c r="U32" s="16">
        <f t="shared" si="10"/>
        <v>160</v>
      </c>
      <c r="V32" t="s">
        <v>12</v>
      </c>
    </row>
    <row r="33" spans="1:21" ht="13.5" thickBot="1" x14ac:dyDescent="0.25">
      <c r="A33" s="10">
        <v>44592</v>
      </c>
      <c r="B33" s="36">
        <v>46565</v>
      </c>
      <c r="C33" s="16">
        <f t="shared" si="1"/>
        <v>640</v>
      </c>
      <c r="D33" s="36">
        <v>40256</v>
      </c>
      <c r="E33" s="16">
        <f t="shared" si="2"/>
        <v>480</v>
      </c>
      <c r="F33" s="36">
        <v>21274</v>
      </c>
      <c r="G33" s="16">
        <f t="shared" si="3"/>
        <v>60</v>
      </c>
      <c r="H33" s="36">
        <v>253571</v>
      </c>
      <c r="I33" s="16">
        <f t="shared" si="4"/>
        <v>15</v>
      </c>
      <c r="J33" s="36">
        <v>303517</v>
      </c>
      <c r="K33" s="16">
        <v>0</v>
      </c>
      <c r="L33" s="36">
        <v>25813</v>
      </c>
      <c r="M33" s="16">
        <f t="shared" si="5"/>
        <v>480</v>
      </c>
      <c r="N33" s="36">
        <v>222148</v>
      </c>
      <c r="O33" s="16">
        <f t="shared" si="6"/>
        <v>124</v>
      </c>
      <c r="P33" s="36">
        <v>139521</v>
      </c>
      <c r="Q33" s="16">
        <f t="shared" si="7"/>
        <v>110</v>
      </c>
      <c r="R33" s="1">
        <f t="shared" si="8"/>
        <v>55047</v>
      </c>
      <c r="S33" s="16">
        <v>0</v>
      </c>
      <c r="T33" s="36">
        <v>3919</v>
      </c>
      <c r="U33" s="16">
        <f t="shared" si="10"/>
        <v>160</v>
      </c>
    </row>
    <row r="34" spans="1:21" ht="16.5" thickBot="1" x14ac:dyDescent="0.3">
      <c r="A34" s="10" t="s">
        <v>23</v>
      </c>
      <c r="B34" s="1"/>
      <c r="C34" s="11">
        <f>SUM(C4:C33)</f>
        <v>22560</v>
      </c>
      <c r="D34" s="13"/>
      <c r="E34" s="11">
        <f>SUM(E4:E33)</f>
        <v>13600</v>
      </c>
      <c r="F34" s="13"/>
      <c r="G34" s="11">
        <f>SUM(G4:G33)</f>
        <v>2120</v>
      </c>
      <c r="H34" s="13"/>
      <c r="I34" s="11">
        <f>SUM(I4:I33)</f>
        <v>455</v>
      </c>
      <c r="J34" s="13"/>
      <c r="K34" s="11">
        <f>SUM(K4:K33)</f>
        <v>0</v>
      </c>
      <c r="L34" s="13"/>
      <c r="M34" s="11">
        <f>SUM(M4:M33)</f>
        <v>13280</v>
      </c>
      <c r="N34" s="37"/>
      <c r="O34" s="11">
        <f>SUM(O4:O33)</f>
        <v>3258</v>
      </c>
      <c r="P34" s="13"/>
      <c r="Q34" s="11">
        <f>SUM(Q4:Q33)</f>
        <v>3139</v>
      </c>
      <c r="R34" s="1"/>
      <c r="S34" s="11">
        <f>SUM(S4:S33)</f>
        <v>0</v>
      </c>
      <c r="T34" s="1"/>
      <c r="U34" s="11">
        <f>SUM(U4:U33)</f>
        <v>4640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33" sqref="A33:XFD33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>
        <v>19310</v>
      </c>
      <c r="D22" s="43">
        <f t="shared" si="2"/>
        <v>480</v>
      </c>
      <c r="E22" s="151">
        <v>29569978</v>
      </c>
      <c r="F22" s="43">
        <f t="shared" si="3"/>
        <v>7308</v>
      </c>
      <c r="G22" s="152">
        <v>94175393</v>
      </c>
      <c r="H22" s="43">
        <f t="shared" si="4"/>
        <v>51351</v>
      </c>
      <c r="I22" s="153">
        <f t="shared" si="5"/>
        <v>58659</v>
      </c>
      <c r="J22" s="151">
        <v>9333554</v>
      </c>
      <c r="K22" s="43">
        <f t="shared" si="13"/>
        <v>10426</v>
      </c>
      <c r="L22" s="154">
        <v>9346790</v>
      </c>
      <c r="M22" s="43">
        <f t="shared" si="6"/>
        <v>5735</v>
      </c>
      <c r="N22" s="151">
        <v>6267128</v>
      </c>
      <c r="O22" s="43">
        <f t="shared" si="14"/>
        <v>1434</v>
      </c>
      <c r="P22" s="154">
        <v>5826118</v>
      </c>
      <c r="Q22" s="43">
        <f t="shared" si="7"/>
        <v>4230</v>
      </c>
      <c r="R22" s="151">
        <v>19941336</v>
      </c>
      <c r="S22" s="43">
        <f t="shared" si="8"/>
        <v>12052</v>
      </c>
      <c r="T22" s="151">
        <v>0</v>
      </c>
      <c r="U22" s="155"/>
      <c r="V22" s="151">
        <v>7833708</v>
      </c>
      <c r="W22" s="43">
        <f t="shared" si="9"/>
        <v>12820</v>
      </c>
      <c r="X22" s="21">
        <f t="shared" si="10"/>
        <v>46697</v>
      </c>
      <c r="Y22" s="156">
        <f t="shared" si="11"/>
        <v>11962</v>
      </c>
      <c r="Z22" s="3">
        <f t="shared" si="12"/>
        <v>6856.7784064000007</v>
      </c>
      <c r="AA22" s="3">
        <f t="shared" si="15"/>
        <v>25066.4619504</v>
      </c>
    </row>
    <row r="23" spans="1:27" ht="16.5" thickBot="1" x14ac:dyDescent="0.3">
      <c r="A23" s="10">
        <v>44582</v>
      </c>
      <c r="B23" s="43">
        <v>143</v>
      </c>
      <c r="C23" s="150">
        <v>19313</v>
      </c>
      <c r="D23" s="43">
        <f t="shared" si="2"/>
        <v>480</v>
      </c>
      <c r="E23" s="151">
        <v>29576175</v>
      </c>
      <c r="F23" s="43">
        <f t="shared" si="3"/>
        <v>6197</v>
      </c>
      <c r="G23" s="152">
        <v>94215391</v>
      </c>
      <c r="H23" s="43">
        <f t="shared" si="4"/>
        <v>39998</v>
      </c>
      <c r="I23" s="153">
        <f t="shared" si="5"/>
        <v>46195</v>
      </c>
      <c r="J23" s="151">
        <v>9337190</v>
      </c>
      <c r="K23" s="43">
        <f t="shared" si="13"/>
        <v>7272</v>
      </c>
      <c r="L23" s="154">
        <v>9351434</v>
      </c>
      <c r="M23" s="43">
        <f t="shared" si="6"/>
        <v>4644</v>
      </c>
      <c r="N23" s="151">
        <v>6267836</v>
      </c>
      <c r="O23" s="43">
        <f t="shared" si="14"/>
        <v>1416</v>
      </c>
      <c r="P23" s="154">
        <v>5832046</v>
      </c>
      <c r="Q23" s="43">
        <f t="shared" si="7"/>
        <v>5928</v>
      </c>
      <c r="R23" s="151">
        <v>19950772</v>
      </c>
      <c r="S23" s="43">
        <f t="shared" si="8"/>
        <v>9436</v>
      </c>
      <c r="T23" s="151">
        <v>0</v>
      </c>
      <c r="U23" s="155"/>
      <c r="V23" s="151">
        <v>7843535</v>
      </c>
      <c r="W23" s="43">
        <f t="shared" si="9"/>
        <v>9827</v>
      </c>
      <c r="X23" s="21">
        <f t="shared" si="10"/>
        <v>38523</v>
      </c>
      <c r="Y23" s="156">
        <f t="shared" si="11"/>
        <v>7672</v>
      </c>
      <c r="Z23" s="3">
        <f t="shared" si="12"/>
        <v>5738.5990895999994</v>
      </c>
      <c r="AA23" s="3">
        <f t="shared" si="15"/>
        <v>25834.672177600001</v>
      </c>
    </row>
    <row r="24" spans="1:27" ht="16.5" thickBot="1" x14ac:dyDescent="0.3">
      <c r="A24" s="10">
        <v>44583</v>
      </c>
      <c r="B24" s="43">
        <v>209</v>
      </c>
      <c r="C24" s="150">
        <v>19315</v>
      </c>
      <c r="D24" s="43">
        <f t="shared" si="2"/>
        <v>320</v>
      </c>
      <c r="E24" s="151">
        <v>29581718</v>
      </c>
      <c r="F24" s="43">
        <f t="shared" si="3"/>
        <v>5543</v>
      </c>
      <c r="G24" s="152">
        <v>94252053</v>
      </c>
      <c r="H24" s="43">
        <f t="shared" si="4"/>
        <v>36662</v>
      </c>
      <c r="I24" s="153">
        <f t="shared" si="5"/>
        <v>42205</v>
      </c>
      <c r="J24" s="151">
        <v>9340897</v>
      </c>
      <c r="K24" s="43">
        <f t="shared" si="13"/>
        <v>7414</v>
      </c>
      <c r="L24" s="154">
        <v>9355675</v>
      </c>
      <c r="M24" s="43">
        <f t="shared" si="6"/>
        <v>4241</v>
      </c>
      <c r="N24" s="151">
        <v>6268469</v>
      </c>
      <c r="O24" s="43">
        <f t="shared" si="14"/>
        <v>1266</v>
      </c>
      <c r="P24" s="154">
        <v>5837908</v>
      </c>
      <c r="Q24" s="43">
        <f t="shared" si="7"/>
        <v>5862</v>
      </c>
      <c r="R24" s="151">
        <v>19959334</v>
      </c>
      <c r="S24" s="43">
        <f t="shared" si="8"/>
        <v>8562</v>
      </c>
      <c r="T24" s="151">
        <v>0</v>
      </c>
      <c r="U24" s="155"/>
      <c r="V24" s="151">
        <v>7852380</v>
      </c>
      <c r="W24" s="43">
        <f t="shared" si="9"/>
        <v>8845</v>
      </c>
      <c r="X24" s="21">
        <f t="shared" si="10"/>
        <v>36190</v>
      </c>
      <c r="Y24" s="156">
        <f t="shared" si="11"/>
        <v>6015</v>
      </c>
      <c r="Z24" s="3">
        <f t="shared" si="12"/>
        <v>5256.8497903999996</v>
      </c>
      <c r="AA24" s="3">
        <f t="shared" si="15"/>
        <v>23612.9375664</v>
      </c>
    </row>
    <row r="25" spans="1:27" ht="16.5" thickBot="1" x14ac:dyDescent="0.3">
      <c r="A25" s="10">
        <v>44584</v>
      </c>
      <c r="B25" s="43">
        <v>193</v>
      </c>
      <c r="C25" s="150">
        <v>19315</v>
      </c>
      <c r="D25" s="43">
        <f t="shared" si="2"/>
        <v>0</v>
      </c>
      <c r="E25" s="151">
        <v>29592815</v>
      </c>
      <c r="F25" s="43">
        <f t="shared" si="3"/>
        <v>11097</v>
      </c>
      <c r="G25" s="152">
        <v>94296571</v>
      </c>
      <c r="H25" s="43">
        <f t="shared" si="4"/>
        <v>44518</v>
      </c>
      <c r="I25" s="153">
        <f t="shared" si="5"/>
        <v>55615</v>
      </c>
      <c r="J25" s="151">
        <v>9346141</v>
      </c>
      <c r="K25" s="43">
        <f t="shared" si="13"/>
        <v>10488</v>
      </c>
      <c r="L25" s="154">
        <v>9361371</v>
      </c>
      <c r="M25" s="43">
        <f t="shared" si="6"/>
        <v>5696</v>
      </c>
      <c r="N25" s="151">
        <v>6271064</v>
      </c>
      <c r="O25" s="43">
        <f t="shared" si="14"/>
        <v>5190</v>
      </c>
      <c r="P25" s="154">
        <v>5841304</v>
      </c>
      <c r="Q25" s="43">
        <f t="shared" si="7"/>
        <v>3396</v>
      </c>
      <c r="R25" s="151">
        <v>19970646</v>
      </c>
      <c r="S25" s="43">
        <f t="shared" si="8"/>
        <v>11312</v>
      </c>
      <c r="T25" s="151">
        <v>0</v>
      </c>
      <c r="U25" s="155"/>
      <c r="V25" s="151">
        <v>7864022</v>
      </c>
      <c r="W25" s="43">
        <f t="shared" si="9"/>
        <v>11642</v>
      </c>
      <c r="X25" s="21">
        <f t="shared" si="10"/>
        <v>47724</v>
      </c>
      <c r="Y25" s="156">
        <f t="shared" si="11"/>
        <v>7891</v>
      </c>
      <c r="Z25" s="3">
        <f t="shared" si="12"/>
        <v>6814.2627488000007</v>
      </c>
      <c r="AA25" s="3">
        <f t="shared" si="15"/>
        <v>24666.4900352</v>
      </c>
    </row>
    <row r="26" spans="1:27" ht="16.5" thickBot="1" x14ac:dyDescent="0.3">
      <c r="A26" s="10">
        <v>44585</v>
      </c>
      <c r="B26" s="43">
        <v>164</v>
      </c>
      <c r="C26" s="150">
        <v>19316</v>
      </c>
      <c r="D26" s="43">
        <f t="shared" si="2"/>
        <v>160</v>
      </c>
      <c r="E26" s="151">
        <v>29601910</v>
      </c>
      <c r="F26" s="43">
        <f t="shared" si="3"/>
        <v>9095</v>
      </c>
      <c r="G26" s="152">
        <v>94329025</v>
      </c>
      <c r="H26" s="43">
        <f t="shared" si="4"/>
        <v>32454</v>
      </c>
      <c r="I26" s="153">
        <f t="shared" si="5"/>
        <v>41549</v>
      </c>
      <c r="J26" s="151">
        <v>9349942</v>
      </c>
      <c r="K26" s="43">
        <f t="shared" si="13"/>
        <v>7602</v>
      </c>
      <c r="L26" s="154">
        <v>9365890</v>
      </c>
      <c r="M26" s="43">
        <f t="shared" si="6"/>
        <v>4519</v>
      </c>
      <c r="N26" s="151">
        <v>6273290</v>
      </c>
      <c r="O26" s="43">
        <f t="shared" si="14"/>
        <v>4452</v>
      </c>
      <c r="P26" s="154">
        <v>5843275</v>
      </c>
      <c r="Q26" s="43">
        <f t="shared" si="7"/>
        <v>1971</v>
      </c>
      <c r="R26" s="151">
        <v>19979417</v>
      </c>
      <c r="S26" s="43">
        <f t="shared" si="8"/>
        <v>8771</v>
      </c>
      <c r="T26" s="151">
        <v>0</v>
      </c>
      <c r="U26" s="155"/>
      <c r="V26" s="151">
        <v>7872526</v>
      </c>
      <c r="W26" s="43">
        <f t="shared" si="9"/>
        <v>8504</v>
      </c>
      <c r="X26" s="21">
        <f t="shared" si="10"/>
        <v>35819</v>
      </c>
      <c r="Y26" s="156">
        <f t="shared" si="11"/>
        <v>5730</v>
      </c>
      <c r="Z26" s="3">
        <f t="shared" si="12"/>
        <v>5122.7499440000011</v>
      </c>
      <c r="AA26" s="3">
        <f t="shared" si="15"/>
        <v>22932.461572799999</v>
      </c>
    </row>
    <row r="27" spans="1:27" ht="16.5" thickBot="1" x14ac:dyDescent="0.3">
      <c r="A27" s="10">
        <v>44586</v>
      </c>
      <c r="B27" s="43">
        <v>192</v>
      </c>
      <c r="C27" s="150">
        <v>19316</v>
      </c>
      <c r="D27" s="43">
        <f t="shared" si="2"/>
        <v>0</v>
      </c>
      <c r="E27" s="151">
        <v>29612680</v>
      </c>
      <c r="F27" s="43">
        <f t="shared" si="3"/>
        <v>10770</v>
      </c>
      <c r="G27" s="152">
        <v>94369342</v>
      </c>
      <c r="H27" s="43">
        <f t="shared" si="4"/>
        <v>40317</v>
      </c>
      <c r="I27" s="153">
        <f t="shared" si="5"/>
        <v>51087</v>
      </c>
      <c r="J27" s="151">
        <v>9354716</v>
      </c>
      <c r="K27" s="43">
        <f t="shared" si="13"/>
        <v>9548</v>
      </c>
      <c r="L27" s="154">
        <v>9370476</v>
      </c>
      <c r="M27" s="43">
        <f t="shared" si="6"/>
        <v>4586</v>
      </c>
      <c r="N27" s="151">
        <v>6276312</v>
      </c>
      <c r="O27" s="43">
        <f t="shared" si="14"/>
        <v>6044</v>
      </c>
      <c r="P27" s="154">
        <v>5845916</v>
      </c>
      <c r="Q27" s="43">
        <f t="shared" si="7"/>
        <v>2641</v>
      </c>
      <c r="R27" s="151">
        <v>19989927</v>
      </c>
      <c r="S27" s="43">
        <f t="shared" si="8"/>
        <v>10510</v>
      </c>
      <c r="T27" s="151">
        <v>0</v>
      </c>
      <c r="U27" s="155"/>
      <c r="V27" s="151">
        <v>7883160</v>
      </c>
      <c r="W27" s="43">
        <f t="shared" si="9"/>
        <v>10634</v>
      </c>
      <c r="X27" s="21">
        <f t="shared" si="10"/>
        <v>43963</v>
      </c>
      <c r="Y27" s="156">
        <f t="shared" si="11"/>
        <v>7124</v>
      </c>
      <c r="Z27" s="3">
        <f t="shared" si="12"/>
        <v>6389.2802688000011</v>
      </c>
      <c r="AA27" s="3">
        <f t="shared" si="15"/>
        <v>23583.142752</v>
      </c>
    </row>
    <row r="28" spans="1:27" ht="16.5" thickBot="1" x14ac:dyDescent="0.3">
      <c r="A28" s="10">
        <v>44587</v>
      </c>
      <c r="B28" s="43">
        <v>180</v>
      </c>
      <c r="C28" s="150">
        <v>19316</v>
      </c>
      <c r="D28" s="43">
        <f t="shared" si="2"/>
        <v>0</v>
      </c>
      <c r="E28" s="151">
        <v>29622514</v>
      </c>
      <c r="F28" s="43">
        <f t="shared" si="3"/>
        <v>9834</v>
      </c>
      <c r="G28" s="152">
        <v>94407942</v>
      </c>
      <c r="H28" s="43">
        <f t="shared" si="4"/>
        <v>38600</v>
      </c>
      <c r="I28" s="153">
        <f t="shared" si="5"/>
        <v>48434</v>
      </c>
      <c r="J28" s="151">
        <v>9359752</v>
      </c>
      <c r="K28" s="43">
        <f t="shared" si="13"/>
        <v>10072</v>
      </c>
      <c r="L28" s="154">
        <v>9374794</v>
      </c>
      <c r="M28" s="43">
        <f t="shared" si="6"/>
        <v>4318</v>
      </c>
      <c r="N28" s="151">
        <v>6278986</v>
      </c>
      <c r="O28" s="43">
        <f t="shared" si="14"/>
        <v>5348</v>
      </c>
      <c r="P28" s="154">
        <v>5848572</v>
      </c>
      <c r="Q28" s="43">
        <f t="shared" si="7"/>
        <v>2656</v>
      </c>
      <c r="R28" s="151">
        <v>19999880</v>
      </c>
      <c r="S28" s="43">
        <f t="shared" si="8"/>
        <v>9953</v>
      </c>
      <c r="T28" s="151">
        <v>0</v>
      </c>
      <c r="U28" s="155"/>
      <c r="V28" s="151">
        <v>7893084</v>
      </c>
      <c r="W28" s="43">
        <f t="shared" si="9"/>
        <v>9924</v>
      </c>
      <c r="X28" s="21">
        <f t="shared" si="10"/>
        <v>42271</v>
      </c>
      <c r="Y28" s="156">
        <f t="shared" si="11"/>
        <v>6163</v>
      </c>
      <c r="Z28" s="3">
        <f t="shared" si="12"/>
        <v>5983.1731024000001</v>
      </c>
      <c r="AA28" s="3">
        <f t="shared" si="15"/>
        <v>24309.466064000004</v>
      </c>
    </row>
    <row r="29" spans="1:27" ht="16.5" thickBot="1" x14ac:dyDescent="0.3">
      <c r="A29" s="10">
        <v>44588</v>
      </c>
      <c r="B29" s="43">
        <f t="shared" si="16"/>
        <v>180</v>
      </c>
      <c r="C29" s="150">
        <v>19316</v>
      </c>
      <c r="D29" s="43">
        <f t="shared" si="2"/>
        <v>0</v>
      </c>
      <c r="E29" s="151">
        <v>29632648</v>
      </c>
      <c r="F29" s="43">
        <f t="shared" si="3"/>
        <v>10134</v>
      </c>
      <c r="G29" s="152">
        <v>94449146</v>
      </c>
      <c r="H29" s="43">
        <f t="shared" si="4"/>
        <v>41204</v>
      </c>
      <c r="I29" s="153">
        <f t="shared" si="5"/>
        <v>51338</v>
      </c>
      <c r="J29" s="151">
        <v>9364777</v>
      </c>
      <c r="K29" s="43">
        <f t="shared" si="13"/>
        <v>10050</v>
      </c>
      <c r="L29" s="154">
        <v>9378898</v>
      </c>
      <c r="M29" s="43">
        <f t="shared" si="6"/>
        <v>4104</v>
      </c>
      <c r="N29" s="151">
        <v>6281950</v>
      </c>
      <c r="O29" s="43">
        <f t="shared" si="14"/>
        <v>5928</v>
      </c>
      <c r="P29" s="154">
        <v>5851076</v>
      </c>
      <c r="Q29" s="43">
        <f t="shared" si="7"/>
        <v>2504</v>
      </c>
      <c r="R29" s="151">
        <v>20010688</v>
      </c>
      <c r="S29" s="43">
        <f t="shared" si="8"/>
        <v>10808</v>
      </c>
      <c r="T29" s="151">
        <v>0</v>
      </c>
      <c r="U29" s="155"/>
      <c r="V29" s="151">
        <v>7904017</v>
      </c>
      <c r="W29" s="43">
        <f t="shared" si="9"/>
        <v>10933</v>
      </c>
      <c r="X29" s="21">
        <f t="shared" si="10"/>
        <v>44327</v>
      </c>
      <c r="Y29" s="156">
        <f t="shared" si="11"/>
        <v>7011</v>
      </c>
      <c r="Z29" s="3">
        <f t="shared" si="12"/>
        <v>6497.5549392000003</v>
      </c>
      <c r="AA29" s="3">
        <f t="shared" si="15"/>
        <v>23992.7582544</v>
      </c>
    </row>
    <row r="30" spans="1:27" ht="16.5" thickBot="1" x14ac:dyDescent="0.3">
      <c r="A30" s="10">
        <v>44589</v>
      </c>
      <c r="B30" s="43">
        <v>191</v>
      </c>
      <c r="C30" s="150">
        <v>19316</v>
      </c>
      <c r="D30" s="43">
        <f t="shared" si="2"/>
        <v>0</v>
      </c>
      <c r="E30" s="151">
        <v>29641529</v>
      </c>
      <c r="F30" s="43">
        <f t="shared" si="3"/>
        <v>8881</v>
      </c>
      <c r="G30" s="152">
        <v>94485020</v>
      </c>
      <c r="H30" s="43">
        <f t="shared" si="4"/>
        <v>35874</v>
      </c>
      <c r="I30" s="153">
        <f t="shared" si="5"/>
        <v>44755</v>
      </c>
      <c r="J30" s="151">
        <v>9369871</v>
      </c>
      <c r="K30" s="43">
        <f t="shared" si="13"/>
        <v>10188</v>
      </c>
      <c r="L30" s="154">
        <v>9382488</v>
      </c>
      <c r="M30" s="43">
        <f t="shared" si="6"/>
        <v>3590</v>
      </c>
      <c r="N30" s="151">
        <v>6284528</v>
      </c>
      <c r="O30" s="43">
        <f t="shared" si="14"/>
        <v>5156</v>
      </c>
      <c r="P30" s="154">
        <v>5853358</v>
      </c>
      <c r="Q30" s="43">
        <f t="shared" si="7"/>
        <v>2282</v>
      </c>
      <c r="R30" s="151">
        <v>20020438</v>
      </c>
      <c r="S30" s="43">
        <f t="shared" si="8"/>
        <v>9750</v>
      </c>
      <c r="T30" s="151">
        <v>0</v>
      </c>
      <c r="U30" s="155"/>
      <c r="V30" s="151">
        <v>7912865</v>
      </c>
      <c r="W30" s="43">
        <f t="shared" si="9"/>
        <v>8848</v>
      </c>
      <c r="X30" s="21">
        <f t="shared" si="10"/>
        <v>39814</v>
      </c>
      <c r="Y30" s="156">
        <f t="shared" si="11"/>
        <v>4941</v>
      </c>
      <c r="Z30" s="3">
        <f t="shared" si="12"/>
        <v>5590.8016736</v>
      </c>
      <c r="AA30" s="3">
        <f t="shared" si="15"/>
        <v>24460.809984</v>
      </c>
    </row>
    <row r="31" spans="1:27" ht="16.5" thickBot="1" x14ac:dyDescent="0.3">
      <c r="A31" s="10">
        <v>44590</v>
      </c>
      <c r="B31" s="43">
        <v>194</v>
      </c>
      <c r="C31" s="150">
        <v>19316</v>
      </c>
      <c r="D31" s="43">
        <f t="shared" si="2"/>
        <v>0</v>
      </c>
      <c r="E31" s="151">
        <v>29649961</v>
      </c>
      <c r="F31" s="43">
        <f t="shared" si="3"/>
        <v>8432</v>
      </c>
      <c r="G31" s="152">
        <v>94519963</v>
      </c>
      <c r="H31" s="43">
        <f t="shared" si="4"/>
        <v>34943</v>
      </c>
      <c r="I31" s="153">
        <f t="shared" si="5"/>
        <v>43375</v>
      </c>
      <c r="J31" s="151">
        <v>9374872</v>
      </c>
      <c r="K31" s="43">
        <f t="shared" si="13"/>
        <v>10002</v>
      </c>
      <c r="L31" s="154">
        <v>9385936</v>
      </c>
      <c r="M31" s="43">
        <f t="shared" si="6"/>
        <v>3448</v>
      </c>
      <c r="N31" s="151">
        <v>6286960</v>
      </c>
      <c r="O31" s="43">
        <f t="shared" si="14"/>
        <v>4864</v>
      </c>
      <c r="P31" s="154">
        <v>5855523</v>
      </c>
      <c r="Q31" s="43">
        <f t="shared" si="7"/>
        <v>2165</v>
      </c>
      <c r="R31" s="151">
        <v>20029711</v>
      </c>
      <c r="S31" s="43">
        <f t="shared" si="8"/>
        <v>9273</v>
      </c>
      <c r="T31" s="151">
        <v>0</v>
      </c>
      <c r="U31" s="11"/>
      <c r="V31" s="151">
        <v>7921698</v>
      </c>
      <c r="W31" s="43">
        <f t="shared" si="9"/>
        <v>8833</v>
      </c>
      <c r="X31" s="21">
        <f t="shared" si="10"/>
        <v>38585</v>
      </c>
      <c r="Y31" s="156">
        <f t="shared" si="11"/>
        <v>4790</v>
      </c>
      <c r="Z31" s="3">
        <f t="shared" si="12"/>
        <v>5412.1756831999992</v>
      </c>
      <c r="AA31" s="3">
        <f t="shared" si="15"/>
        <v>23483.705398399998</v>
      </c>
    </row>
    <row r="32" spans="1:27" ht="16.5" thickBot="1" x14ac:dyDescent="0.3">
      <c r="A32" s="10">
        <v>44591</v>
      </c>
      <c r="B32" s="43">
        <v>217</v>
      </c>
      <c r="C32" s="150">
        <v>19316</v>
      </c>
      <c r="D32" s="43">
        <f t="shared" si="2"/>
        <v>0</v>
      </c>
      <c r="E32" s="151">
        <v>29657981</v>
      </c>
      <c r="F32" s="43">
        <f t="shared" si="3"/>
        <v>8020</v>
      </c>
      <c r="G32" s="152">
        <v>94552513</v>
      </c>
      <c r="H32" s="43">
        <f t="shared" si="4"/>
        <v>32550</v>
      </c>
      <c r="I32" s="21">
        <f>F32+H32</f>
        <v>40570</v>
      </c>
      <c r="J32" s="151">
        <v>9379820</v>
      </c>
      <c r="K32" s="43">
        <f t="shared" si="13"/>
        <v>9896</v>
      </c>
      <c r="L32" s="154">
        <v>9389347</v>
      </c>
      <c r="M32" s="43">
        <f t="shared" si="6"/>
        <v>3411</v>
      </c>
      <c r="N32" s="151">
        <v>6289206</v>
      </c>
      <c r="O32" s="43">
        <f t="shared" si="14"/>
        <v>4492</v>
      </c>
      <c r="P32" s="154">
        <v>5857584</v>
      </c>
      <c r="Q32" s="43">
        <f t="shared" si="7"/>
        <v>2061</v>
      </c>
      <c r="R32" s="151">
        <v>20037727</v>
      </c>
      <c r="S32" s="43">
        <f t="shared" si="8"/>
        <v>8016</v>
      </c>
      <c r="T32" s="151">
        <v>0</v>
      </c>
      <c r="U32" s="11"/>
      <c r="V32" s="151">
        <v>7930020</v>
      </c>
      <c r="W32" s="43">
        <f t="shared" si="9"/>
        <v>8322</v>
      </c>
      <c r="X32" s="21">
        <f t="shared" si="10"/>
        <v>36198</v>
      </c>
      <c r="Y32" s="156">
        <f t="shared" si="11"/>
        <v>4372</v>
      </c>
      <c r="Z32" s="3">
        <f t="shared" si="12"/>
        <v>4914.1456416000001</v>
      </c>
      <c r="AA32" s="3">
        <f t="shared" si="15"/>
        <v>22414.677937599998</v>
      </c>
    </row>
    <row r="33" spans="1:27" ht="16.5" thickBot="1" x14ac:dyDescent="0.3">
      <c r="A33" s="10">
        <v>44592</v>
      </c>
      <c r="B33" s="43">
        <f t="shared" si="16"/>
        <v>217</v>
      </c>
      <c r="C33" s="150">
        <v>19316</v>
      </c>
      <c r="D33" s="43">
        <f t="shared" si="2"/>
        <v>0</v>
      </c>
      <c r="E33" s="151">
        <v>29669331</v>
      </c>
      <c r="F33" s="43">
        <f t="shared" si="3"/>
        <v>11350</v>
      </c>
      <c r="G33" s="152">
        <v>94599632</v>
      </c>
      <c r="H33" s="43">
        <f t="shared" si="4"/>
        <v>47119</v>
      </c>
      <c r="I33" s="21">
        <f>F33+H33</f>
        <v>58469</v>
      </c>
      <c r="J33" s="151">
        <v>9386002</v>
      </c>
      <c r="K33" s="43">
        <f t="shared" si="13"/>
        <v>12364</v>
      </c>
      <c r="L33" s="154">
        <v>9394543</v>
      </c>
      <c r="M33" s="43">
        <f t="shared" si="6"/>
        <v>5196</v>
      </c>
      <c r="N33" s="151">
        <v>6292205</v>
      </c>
      <c r="O33" s="43">
        <f t="shared" si="14"/>
        <v>5998</v>
      </c>
      <c r="P33" s="154">
        <v>5860545</v>
      </c>
      <c r="Q33" s="43">
        <f t="shared" si="7"/>
        <v>2961</v>
      </c>
      <c r="R33" s="151">
        <v>20049932</v>
      </c>
      <c r="S33" s="43">
        <f t="shared" si="8"/>
        <v>12205</v>
      </c>
      <c r="T33" s="151">
        <v>0</v>
      </c>
      <c r="U33" s="11"/>
      <c r="V33" s="151">
        <v>7942252</v>
      </c>
      <c r="W33" s="43">
        <f t="shared" si="9"/>
        <v>12232</v>
      </c>
      <c r="X33" s="21">
        <f t="shared" si="10"/>
        <v>50956</v>
      </c>
      <c r="Y33" s="156">
        <f t="shared" si="11"/>
        <v>7513</v>
      </c>
      <c r="Z33" s="3">
        <f t="shared" si="12"/>
        <v>7228.2078544000005</v>
      </c>
      <c r="AA33" s="3">
        <f t="shared" si="15"/>
        <v>23145.330852799998</v>
      </c>
    </row>
    <row r="34" spans="1:27" ht="16.5" thickBot="1" x14ac:dyDescent="0.3">
      <c r="A34" s="6" t="s">
        <v>23</v>
      </c>
      <c r="B34" s="142">
        <f>SUM(B3:B33)</f>
        <v>6058</v>
      </c>
      <c r="C34" s="142"/>
      <c r="D34" s="142">
        <f>SUM(D3:D33)</f>
        <v>8480</v>
      </c>
      <c r="E34" s="60">
        <v>0</v>
      </c>
      <c r="F34" s="60">
        <f>SUM(F3:F33)</f>
        <v>275005</v>
      </c>
      <c r="G34" s="60">
        <v>0</v>
      </c>
      <c r="H34" s="60">
        <f>SUM(H3:H33)</f>
        <v>1223110</v>
      </c>
      <c r="I34" s="60">
        <f>SUM(I6:I33)</f>
        <v>1348011</v>
      </c>
      <c r="J34" s="60">
        <v>0</v>
      </c>
      <c r="K34" s="60">
        <f>SUM(K3:K33)</f>
        <v>283784</v>
      </c>
      <c r="L34" s="60">
        <v>0</v>
      </c>
      <c r="M34" s="60">
        <f>SUM(M3:M33)</f>
        <v>152614</v>
      </c>
      <c r="N34" s="60">
        <v>0</v>
      </c>
      <c r="O34" s="60">
        <f>SUM(O3:O33)</f>
        <v>118262</v>
      </c>
      <c r="P34" s="60">
        <v>0</v>
      </c>
      <c r="Q34" s="60">
        <f>SUM(Q3:Q33)</f>
        <v>127394</v>
      </c>
      <c r="R34" s="60">
        <v>0</v>
      </c>
      <c r="S34" s="60">
        <f>SUM(S3:S33)</f>
        <v>303540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308175</v>
      </c>
      <c r="X34" s="60">
        <f>SUM(X6:X33)</f>
        <v>1164712</v>
      </c>
      <c r="Y34" s="60">
        <f>SUM(Y3:Y33)</f>
        <v>204346</v>
      </c>
      <c r="Z34" s="60">
        <f>SUM(Z3:Z33)</f>
        <v>184035.65637600006</v>
      </c>
      <c r="AA34" s="60">
        <f>SUM(AA3:AA33)</f>
        <v>693286.53759040008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v>437564</v>
      </c>
      <c r="C22" s="43">
        <f t="shared" si="8"/>
        <v>810</v>
      </c>
      <c r="D22" s="3">
        <v>2370</v>
      </c>
      <c r="E22" s="43">
        <f t="shared" si="3"/>
        <v>430</v>
      </c>
      <c r="F22" s="3">
        <v>7583100</v>
      </c>
      <c r="G22" s="43">
        <f t="shared" si="6"/>
        <v>283.5</v>
      </c>
      <c r="H22" s="3">
        <v>769790</v>
      </c>
      <c r="I22" s="48">
        <f t="shared" si="7"/>
        <v>5.0759999999999996</v>
      </c>
      <c r="J22" s="21">
        <f t="shared" si="4"/>
        <v>1528.576</v>
      </c>
      <c r="K22" s="22">
        <f t="shared" si="5"/>
        <v>8957.4553599999999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v>437643</v>
      </c>
      <c r="C23" s="43">
        <f t="shared" si="8"/>
        <v>790</v>
      </c>
      <c r="D23" s="3">
        <v>2419</v>
      </c>
      <c r="E23" s="43">
        <f t="shared" si="3"/>
        <v>490</v>
      </c>
      <c r="F23" s="3">
        <v>7593100</v>
      </c>
      <c r="G23" s="43">
        <f t="shared" si="6"/>
        <v>270</v>
      </c>
      <c r="H23" s="3">
        <v>769940</v>
      </c>
      <c r="I23" s="48">
        <f t="shared" si="7"/>
        <v>4.05</v>
      </c>
      <c r="J23" s="21">
        <f t="shared" si="4"/>
        <v>1554.05</v>
      </c>
      <c r="K23" s="22">
        <f t="shared" si="5"/>
        <v>9106.7330000000002</v>
      </c>
      <c r="Q23" t="s">
        <v>12</v>
      </c>
    </row>
    <row r="24" spans="1:25" ht="16.5" thickBot="1" x14ac:dyDescent="0.3">
      <c r="A24" s="10">
        <v>44583</v>
      </c>
      <c r="B24" s="3">
        <v>437723</v>
      </c>
      <c r="C24" s="43">
        <f t="shared" si="8"/>
        <v>800</v>
      </c>
      <c r="D24" s="3">
        <v>2465</v>
      </c>
      <c r="E24" s="43">
        <f t="shared" si="3"/>
        <v>460</v>
      </c>
      <c r="F24" s="3">
        <v>7602400</v>
      </c>
      <c r="G24" s="43">
        <f t="shared" si="6"/>
        <v>251.1</v>
      </c>
      <c r="H24" s="3">
        <v>770133</v>
      </c>
      <c r="I24" s="48">
        <f t="shared" si="7"/>
        <v>5.2110000000000003</v>
      </c>
      <c r="J24" s="21">
        <f t="shared" si="4"/>
        <v>1516.3109999999999</v>
      </c>
      <c r="K24" s="22">
        <f t="shared" si="5"/>
        <v>8885.5824599999996</v>
      </c>
    </row>
    <row r="25" spans="1:25" ht="17.25" customHeight="1" thickBot="1" x14ac:dyDescent="0.4">
      <c r="A25" s="10">
        <v>44584</v>
      </c>
      <c r="B25" s="3">
        <v>437802</v>
      </c>
      <c r="C25" s="43">
        <f t="shared" si="8"/>
        <v>790</v>
      </c>
      <c r="D25" s="3">
        <v>2507</v>
      </c>
      <c r="E25" s="43">
        <f t="shared" si="3"/>
        <v>420</v>
      </c>
      <c r="F25" s="3">
        <v>7611400</v>
      </c>
      <c r="G25" s="43">
        <f t="shared" si="6"/>
        <v>243</v>
      </c>
      <c r="H25" s="3">
        <v>770332</v>
      </c>
      <c r="I25" s="48">
        <f t="shared" si="7"/>
        <v>5.3730000000000002</v>
      </c>
      <c r="J25" s="21">
        <f t="shared" si="4"/>
        <v>1458.373</v>
      </c>
      <c r="K25" s="22">
        <f t="shared" si="5"/>
        <v>8546.0657800000008</v>
      </c>
      <c r="Y25" s="59"/>
    </row>
    <row r="26" spans="1:25" ht="16.5" thickBot="1" x14ac:dyDescent="0.3">
      <c r="A26" s="10">
        <v>44585</v>
      </c>
      <c r="B26" s="3">
        <v>437874</v>
      </c>
      <c r="C26" s="43">
        <f t="shared" si="8"/>
        <v>720</v>
      </c>
      <c r="D26" s="3">
        <v>2548</v>
      </c>
      <c r="E26" s="43">
        <f t="shared" si="3"/>
        <v>410</v>
      </c>
      <c r="F26" s="3">
        <v>7619700</v>
      </c>
      <c r="G26" s="43">
        <f t="shared" si="6"/>
        <v>224.1</v>
      </c>
      <c r="H26" s="3">
        <v>770531</v>
      </c>
      <c r="I26" s="48">
        <f t="shared" si="7"/>
        <v>5.3730000000000002</v>
      </c>
      <c r="J26" s="21">
        <f t="shared" si="4"/>
        <v>1359.473</v>
      </c>
      <c r="K26" s="22">
        <f t="shared" si="5"/>
        <v>7966.5117799999998</v>
      </c>
      <c r="L26" t="s">
        <v>12</v>
      </c>
    </row>
    <row r="27" spans="1:25" ht="16.5" thickBot="1" x14ac:dyDescent="0.3">
      <c r="A27" s="10">
        <v>44586</v>
      </c>
      <c r="B27" s="3">
        <v>437946</v>
      </c>
      <c r="C27" s="43">
        <f t="shared" si="8"/>
        <v>720</v>
      </c>
      <c r="D27" s="3">
        <v>2589</v>
      </c>
      <c r="E27" s="43">
        <f t="shared" si="3"/>
        <v>410</v>
      </c>
      <c r="F27" s="3">
        <v>7628600</v>
      </c>
      <c r="G27" s="43">
        <f t="shared" si="6"/>
        <v>240.3</v>
      </c>
      <c r="H27" s="3">
        <v>770743</v>
      </c>
      <c r="I27" s="48">
        <f t="shared" si="7"/>
        <v>5.7240000000000002</v>
      </c>
      <c r="J27" s="21">
        <f t="shared" si="4"/>
        <v>1376.0239999999999</v>
      </c>
      <c r="K27" s="22">
        <f t="shared" si="5"/>
        <v>8063.5006400000002</v>
      </c>
      <c r="O27" t="s">
        <v>12</v>
      </c>
    </row>
    <row r="28" spans="1:25" ht="16.5" thickBot="1" x14ac:dyDescent="0.3">
      <c r="A28" s="10">
        <v>44587</v>
      </c>
      <c r="B28" s="3">
        <v>438014</v>
      </c>
      <c r="C28" s="43">
        <f t="shared" si="8"/>
        <v>680</v>
      </c>
      <c r="D28" s="3">
        <v>2626</v>
      </c>
      <c r="E28" s="43">
        <f t="shared" si="3"/>
        <v>370</v>
      </c>
      <c r="F28" s="3">
        <v>7636600</v>
      </c>
      <c r="G28" s="43">
        <f t="shared" si="6"/>
        <v>216</v>
      </c>
      <c r="H28" s="3">
        <v>770938</v>
      </c>
      <c r="I28" s="48">
        <f t="shared" si="7"/>
        <v>5.2649999999999997</v>
      </c>
      <c r="J28" s="21">
        <f t="shared" si="4"/>
        <v>1271.2650000000001</v>
      </c>
      <c r="K28" s="22">
        <f t="shared" si="5"/>
        <v>7449.612900000001</v>
      </c>
    </row>
    <row r="29" spans="1:25" ht="16.5" thickBot="1" x14ac:dyDescent="0.3">
      <c r="A29" s="10">
        <v>44588</v>
      </c>
      <c r="B29" s="3">
        <v>438082</v>
      </c>
      <c r="C29" s="43">
        <f t="shared" si="8"/>
        <v>680</v>
      </c>
      <c r="D29" s="3">
        <v>2663</v>
      </c>
      <c r="E29" s="43">
        <f t="shared" si="3"/>
        <v>370</v>
      </c>
      <c r="F29" s="3">
        <v>7644600</v>
      </c>
      <c r="G29" s="43">
        <f t="shared" si="6"/>
        <v>216</v>
      </c>
      <c r="H29" s="3">
        <v>771133</v>
      </c>
      <c r="I29" s="48">
        <f t="shared" si="7"/>
        <v>5.2649999999999997</v>
      </c>
      <c r="J29" s="21">
        <f t="shared" si="4"/>
        <v>1271.2650000000001</v>
      </c>
      <c r="K29" s="22">
        <f t="shared" si="5"/>
        <v>7449.612900000001</v>
      </c>
    </row>
    <row r="30" spans="1:25" ht="16.5" thickBot="1" x14ac:dyDescent="0.3">
      <c r="A30" s="10">
        <v>44589</v>
      </c>
      <c r="B30" s="3">
        <v>438153</v>
      </c>
      <c r="C30" s="43">
        <f t="shared" si="8"/>
        <v>710</v>
      </c>
      <c r="D30" s="3">
        <v>2711</v>
      </c>
      <c r="E30" s="43">
        <f t="shared" si="3"/>
        <v>480</v>
      </c>
      <c r="F30" s="3">
        <v>7651100</v>
      </c>
      <c r="G30" s="43">
        <f t="shared" si="6"/>
        <v>175.5</v>
      </c>
      <c r="H30" s="3">
        <v>771262</v>
      </c>
      <c r="I30" s="48">
        <f t="shared" si="7"/>
        <v>3.4830000000000001</v>
      </c>
      <c r="J30" s="21">
        <f t="shared" si="4"/>
        <v>1368.9829999999999</v>
      </c>
      <c r="K30" s="22">
        <f t="shared" si="5"/>
        <v>8022.2403800000002</v>
      </c>
    </row>
    <row r="31" spans="1:25" ht="16.5" thickBot="1" x14ac:dyDescent="0.3">
      <c r="A31" s="10">
        <v>44590</v>
      </c>
      <c r="B31" s="3">
        <v>438230</v>
      </c>
      <c r="C31" s="43">
        <f t="shared" si="8"/>
        <v>770</v>
      </c>
      <c r="D31" s="3">
        <v>2761</v>
      </c>
      <c r="E31" s="43">
        <f t="shared" si="3"/>
        <v>500</v>
      </c>
      <c r="F31" s="3">
        <v>7659300</v>
      </c>
      <c r="G31" s="43">
        <f t="shared" si="6"/>
        <v>221.4</v>
      </c>
      <c r="H31" s="3">
        <v>771466</v>
      </c>
      <c r="I31" s="48">
        <f t="shared" si="7"/>
        <v>5.508</v>
      </c>
      <c r="J31" s="21">
        <f t="shared" si="4"/>
        <v>1496.9080000000001</v>
      </c>
      <c r="K31" s="22">
        <f t="shared" si="5"/>
        <v>8771.8808800000006</v>
      </c>
    </row>
    <row r="32" spans="1:25" ht="16.5" thickBot="1" x14ac:dyDescent="0.3">
      <c r="A32" s="10">
        <v>44591</v>
      </c>
      <c r="B32" s="3">
        <v>438311</v>
      </c>
      <c r="C32" s="43">
        <f t="shared" si="8"/>
        <v>810</v>
      </c>
      <c r="D32" s="3">
        <v>2806</v>
      </c>
      <c r="E32" s="43">
        <f t="shared" si="3"/>
        <v>450</v>
      </c>
      <c r="F32" s="3">
        <v>7666800</v>
      </c>
      <c r="G32" s="43">
        <f t="shared" si="6"/>
        <v>202.5</v>
      </c>
      <c r="H32" s="3">
        <v>771650</v>
      </c>
      <c r="I32" s="48">
        <f t="shared" si="7"/>
        <v>4.968</v>
      </c>
      <c r="J32" s="21">
        <f t="shared" si="4"/>
        <v>1467.4680000000001</v>
      </c>
      <c r="K32" s="22">
        <f t="shared" si="5"/>
        <v>8599.3624800000016</v>
      </c>
    </row>
    <row r="33" spans="1:11" ht="16.5" thickBot="1" x14ac:dyDescent="0.3">
      <c r="A33" s="10">
        <v>44592</v>
      </c>
      <c r="B33" s="3">
        <v>438386</v>
      </c>
      <c r="C33" s="43">
        <f t="shared" si="8"/>
        <v>750</v>
      </c>
      <c r="D33" s="3">
        <v>2852</v>
      </c>
      <c r="E33" s="43">
        <f t="shared" si="3"/>
        <v>460</v>
      </c>
      <c r="F33" s="3">
        <v>7674600</v>
      </c>
      <c r="G33" s="43">
        <f t="shared" si="6"/>
        <v>210.6</v>
      </c>
      <c r="H33" s="3">
        <v>771836</v>
      </c>
      <c r="I33" s="48">
        <f t="shared" si="7"/>
        <v>5.0220000000000002</v>
      </c>
      <c r="J33" s="21">
        <f t="shared" si="4"/>
        <v>1425.6219999999998</v>
      </c>
      <c r="K33" s="22">
        <f t="shared" si="5"/>
        <v>8354.1449199999988</v>
      </c>
    </row>
    <row r="34" spans="1:11" ht="21" thickBot="1" x14ac:dyDescent="0.3">
      <c r="A34" s="9" t="s">
        <v>23</v>
      </c>
      <c r="B34" s="3"/>
      <c r="C34" s="60">
        <f>SUM(C4:C33)</f>
        <v>25140</v>
      </c>
      <c r="D34" s="3"/>
      <c r="E34" s="60">
        <f>SUM(E4:E33)</f>
        <v>15080</v>
      </c>
      <c r="F34" s="3"/>
      <c r="G34" s="60">
        <f>SUM(G4:G33)</f>
        <v>7614.0000000000009</v>
      </c>
      <c r="H34" s="3"/>
      <c r="I34" s="60">
        <f>SUM(I4:I33)</f>
        <v>148.851</v>
      </c>
      <c r="J34" s="60">
        <f>SUM(J4:J33)</f>
        <v>47982.85100000001</v>
      </c>
      <c r="K34" s="60">
        <f>SUM(K4:K33)</f>
        <v>281179.50686000002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pane xSplit="1" topLeftCell="B1" activePane="topRight" state="frozen"/>
      <selection pane="topRight" activeCell="A33" sqref="A33:XFD3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  <c r="F16" s="161"/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v>17934779</v>
      </c>
      <c r="C22" s="49">
        <f t="shared" si="0"/>
        <v>3723</v>
      </c>
    </row>
    <row r="23" spans="1:9" ht="24" thickBot="1" x14ac:dyDescent="0.4">
      <c r="A23" s="10">
        <v>44582</v>
      </c>
      <c r="B23" s="137">
        <v>17937599</v>
      </c>
      <c r="C23" s="49">
        <f t="shared" si="0"/>
        <v>2820</v>
      </c>
      <c r="F23" t="s">
        <v>12</v>
      </c>
    </row>
    <row r="24" spans="1:9" ht="24" thickBot="1" x14ac:dyDescent="0.4">
      <c r="A24" s="10">
        <v>44583</v>
      </c>
      <c r="B24" s="137">
        <v>17941905</v>
      </c>
      <c r="C24" s="49">
        <f t="shared" si="0"/>
        <v>4306</v>
      </c>
      <c r="E24" t="s">
        <v>12</v>
      </c>
    </row>
    <row r="25" spans="1:9" ht="24" thickBot="1" x14ac:dyDescent="0.4">
      <c r="A25" s="10">
        <v>44584</v>
      </c>
      <c r="B25" s="137">
        <v>17945715</v>
      </c>
      <c r="C25" s="49">
        <f t="shared" si="0"/>
        <v>3810</v>
      </c>
    </row>
    <row r="26" spans="1:9" ht="24" thickBot="1" x14ac:dyDescent="0.4">
      <c r="A26" s="10">
        <v>44585</v>
      </c>
      <c r="B26" s="137">
        <v>17949127</v>
      </c>
      <c r="C26" s="49">
        <f t="shared" si="0"/>
        <v>3412</v>
      </c>
    </row>
    <row r="27" spans="1:9" ht="24" thickBot="1" x14ac:dyDescent="0.4">
      <c r="A27" s="10">
        <v>44586</v>
      </c>
      <c r="B27" s="137">
        <v>17952941</v>
      </c>
      <c r="C27" s="49">
        <f t="shared" si="0"/>
        <v>3814</v>
      </c>
    </row>
    <row r="28" spans="1:9" ht="24" thickBot="1" x14ac:dyDescent="0.4">
      <c r="A28" s="10">
        <v>44587</v>
      </c>
      <c r="B28" s="137">
        <v>17956705</v>
      </c>
      <c r="C28" s="49">
        <f t="shared" si="0"/>
        <v>3764</v>
      </c>
      <c r="I28" t="s">
        <v>12</v>
      </c>
    </row>
    <row r="29" spans="1:9" ht="24" thickBot="1" x14ac:dyDescent="0.4">
      <c r="A29" s="10">
        <v>44588</v>
      </c>
      <c r="B29" s="137">
        <v>17959454</v>
      </c>
      <c r="C29" s="49">
        <f t="shared" si="0"/>
        <v>2749</v>
      </c>
    </row>
    <row r="30" spans="1:9" ht="24" thickBot="1" x14ac:dyDescent="0.4">
      <c r="A30" s="10">
        <v>44589</v>
      </c>
      <c r="B30" s="137">
        <v>17962559</v>
      </c>
      <c r="C30" s="49">
        <f t="shared" si="0"/>
        <v>3105</v>
      </c>
    </row>
    <row r="31" spans="1:9" ht="24" thickBot="1" x14ac:dyDescent="0.4">
      <c r="A31" s="10">
        <v>44590</v>
      </c>
      <c r="B31" s="137">
        <v>17965846</v>
      </c>
      <c r="C31" s="49">
        <f t="shared" si="0"/>
        <v>3287</v>
      </c>
    </row>
    <row r="32" spans="1:9" ht="24" thickBot="1" x14ac:dyDescent="0.4">
      <c r="A32" s="10">
        <v>44591</v>
      </c>
      <c r="B32" s="137">
        <v>17968901</v>
      </c>
      <c r="C32" s="49">
        <f t="shared" si="0"/>
        <v>3055</v>
      </c>
    </row>
    <row r="33" spans="1:3" ht="24" thickBot="1" x14ac:dyDescent="0.4">
      <c r="A33" s="10">
        <v>44592</v>
      </c>
      <c r="B33" s="137">
        <v>17972095</v>
      </c>
      <c r="C33" s="49">
        <f t="shared" si="0"/>
        <v>3194</v>
      </c>
    </row>
    <row r="34" spans="1:3" ht="24" thickBot="1" x14ac:dyDescent="0.4">
      <c r="A34" s="172" t="s">
        <v>138</v>
      </c>
      <c r="B34" s="173"/>
      <c r="C34" s="140">
        <f>SUM(C4:C33)</f>
        <v>98573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Normal="10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4" t="s">
        <v>142</v>
      </c>
      <c r="X1" s="175"/>
      <c r="Y1" s="175"/>
      <c r="Z1" s="175"/>
      <c r="AA1" s="176"/>
      <c r="AB1" s="177" t="s">
        <v>144</v>
      </c>
      <c r="AC1" s="175"/>
      <c r="AD1" s="177" t="s">
        <v>146</v>
      </c>
      <c r="AE1" s="175"/>
      <c r="AF1" s="174" t="s">
        <v>147</v>
      </c>
      <c r="AG1" s="175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163899</v>
      </c>
      <c r="Y21" s="169">
        <f t="shared" si="39"/>
        <v>1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v>22827.526999999998</v>
      </c>
      <c r="C22" s="48">
        <f t="shared" si="23"/>
        <v>1.521999999997206</v>
      </c>
      <c r="D22" s="32">
        <f t="shared" si="24"/>
        <v>2891.7999999946915</v>
      </c>
      <c r="E22" s="1">
        <v>4094.9870000000001</v>
      </c>
      <c r="F22" s="48">
        <f t="shared" si="25"/>
        <v>0.36799999999993815</v>
      </c>
      <c r="G22" s="32">
        <f t="shared" si="26"/>
        <v>699.19999999988249</v>
      </c>
      <c r="H22" s="1">
        <v>4640</v>
      </c>
      <c r="I22" s="48">
        <f t="shared" si="27"/>
        <v>4</v>
      </c>
      <c r="J22" s="32">
        <f t="shared" si="28"/>
        <v>7600</v>
      </c>
      <c r="K22" s="7">
        <v>13889.7</v>
      </c>
      <c r="L22" s="48">
        <f t="shared" si="29"/>
        <v>0</v>
      </c>
      <c r="M22" s="32">
        <f t="shared" si="30"/>
        <v>0</v>
      </c>
      <c r="N22" s="7">
        <v>3391.4549999999999</v>
      </c>
      <c r="O22" s="48">
        <f t="shared" si="31"/>
        <v>0.93600000000014916</v>
      </c>
      <c r="P22" s="32">
        <f t="shared" si="32"/>
        <v>1778.4000000002834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6.8259999999972933</v>
      </c>
      <c r="U22" s="34">
        <f t="shared" si="35"/>
        <v>12969.399999994856</v>
      </c>
      <c r="W22" s="162">
        <v>44581</v>
      </c>
      <c r="X22" s="163">
        <v>163906</v>
      </c>
      <c r="Y22" s="169">
        <f t="shared" si="39"/>
        <v>7</v>
      </c>
      <c r="Z22" s="163">
        <v>8333</v>
      </c>
      <c r="AA22" s="169">
        <f t="shared" si="44"/>
        <v>1</v>
      </c>
      <c r="AB22" s="163">
        <v>19.54</v>
      </c>
      <c r="AC22" s="169">
        <f t="shared" si="46"/>
        <v>0.11999999999999744</v>
      </c>
      <c r="AD22" s="163">
        <v>143</v>
      </c>
      <c r="AE22" s="169">
        <f t="shared" si="37"/>
        <v>3</v>
      </c>
      <c r="AF22" s="163">
        <v>5481</v>
      </c>
      <c r="AG22" s="169">
        <f t="shared" si="38"/>
        <v>12</v>
      </c>
    </row>
    <row r="23" spans="1:33" ht="16.5" thickBot="1" x14ac:dyDescent="0.25">
      <c r="A23" s="10">
        <v>44582</v>
      </c>
      <c r="B23" s="165">
        <v>22829.080999999998</v>
      </c>
      <c r="C23" s="48">
        <f t="shared" si="23"/>
        <v>1.5540000000000873</v>
      </c>
      <c r="D23" s="32">
        <f t="shared" si="24"/>
        <v>2952.6000000001654</v>
      </c>
      <c r="E23" s="1">
        <v>4095.2689999999998</v>
      </c>
      <c r="F23" s="48">
        <f t="shared" si="25"/>
        <v>0.28199999999969805</v>
      </c>
      <c r="G23" s="32">
        <f t="shared" si="26"/>
        <v>535.79999999942629</v>
      </c>
      <c r="H23" s="1">
        <v>4644</v>
      </c>
      <c r="I23" s="48">
        <f t="shared" si="27"/>
        <v>4</v>
      </c>
      <c r="J23" s="32">
        <f t="shared" si="28"/>
        <v>7600</v>
      </c>
      <c r="K23" s="7">
        <v>13889.7</v>
      </c>
      <c r="L23" s="48">
        <f t="shared" si="29"/>
        <v>0</v>
      </c>
      <c r="M23" s="32">
        <f t="shared" si="30"/>
        <v>0</v>
      </c>
      <c r="N23" s="7">
        <v>3392.3969999999999</v>
      </c>
      <c r="O23" s="48">
        <f t="shared" si="31"/>
        <v>0.94200000000000728</v>
      </c>
      <c r="P23" s="32">
        <f t="shared" si="32"/>
        <v>1789.8000000000138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6.7779999999997926</v>
      </c>
      <c r="U23" s="34">
        <f t="shared" si="35"/>
        <v>12878.199999999606</v>
      </c>
      <c r="W23" s="162">
        <v>44582</v>
      </c>
      <c r="X23" s="163">
        <v>163920</v>
      </c>
      <c r="Y23" s="169">
        <f t="shared" si="39"/>
        <v>14</v>
      </c>
      <c r="Z23" s="163">
        <v>8336</v>
      </c>
      <c r="AA23" s="169">
        <f t="shared" si="44"/>
        <v>3</v>
      </c>
      <c r="AB23" s="163">
        <f t="shared" si="43"/>
        <v>19.54</v>
      </c>
      <c r="AC23" s="169">
        <f t="shared" si="46"/>
        <v>0</v>
      </c>
      <c r="AD23" s="163">
        <v>147</v>
      </c>
      <c r="AE23" s="169">
        <f t="shared" si="37"/>
        <v>4</v>
      </c>
      <c r="AF23" s="163">
        <f t="shared" si="64"/>
        <v>5481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v>22831.205000000002</v>
      </c>
      <c r="C24" s="48">
        <f t="shared" si="23"/>
        <v>2.1240000000034343</v>
      </c>
      <c r="D24" s="32">
        <f t="shared" si="24"/>
        <v>4035.6000000065251</v>
      </c>
      <c r="E24" s="1">
        <v>4095.5880000000002</v>
      </c>
      <c r="F24" s="48">
        <f t="shared" si="25"/>
        <v>0.31900000000041473</v>
      </c>
      <c r="G24" s="32">
        <f t="shared" si="26"/>
        <v>606.10000000078799</v>
      </c>
      <c r="H24" s="1">
        <v>4649</v>
      </c>
      <c r="I24" s="48">
        <f t="shared" si="27"/>
        <v>5</v>
      </c>
      <c r="J24" s="32">
        <f t="shared" si="28"/>
        <v>9500</v>
      </c>
      <c r="K24" s="7">
        <v>13889.7</v>
      </c>
      <c r="L24" s="48">
        <f t="shared" si="29"/>
        <v>0</v>
      </c>
      <c r="M24" s="32">
        <f t="shared" si="30"/>
        <v>0</v>
      </c>
      <c r="N24" s="7">
        <v>3393.4459999999999</v>
      </c>
      <c r="O24" s="48">
        <f t="shared" si="31"/>
        <v>1.0489999999999782</v>
      </c>
      <c r="P24" s="32">
        <f t="shared" si="32"/>
        <v>1993.0999999999583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8.4920000000038272</v>
      </c>
      <c r="U24" s="34">
        <f t="shared" si="35"/>
        <v>16134.800000007272</v>
      </c>
      <c r="W24" s="162">
        <v>44583</v>
      </c>
      <c r="X24" s="163">
        <v>163942</v>
      </c>
      <c r="Y24" s="169">
        <f t="shared" si="39"/>
        <v>22</v>
      </c>
      <c r="Z24" s="163">
        <v>8339</v>
      </c>
      <c r="AA24" s="169">
        <f t="shared" si="44"/>
        <v>3</v>
      </c>
      <c r="AB24" s="163">
        <f t="shared" si="43"/>
        <v>19.54</v>
      </c>
      <c r="AC24" s="169">
        <f t="shared" si="46"/>
        <v>0</v>
      </c>
      <c r="AD24" s="163">
        <v>149</v>
      </c>
      <c r="AE24" s="169">
        <f t="shared" si="37"/>
        <v>2</v>
      </c>
      <c r="AF24" s="163">
        <v>5519</v>
      </c>
      <c r="AG24" s="169">
        <f t="shared" si="38"/>
        <v>38</v>
      </c>
    </row>
    <row r="25" spans="1:33" ht="16.5" thickBot="1" x14ac:dyDescent="0.25">
      <c r="A25" s="10">
        <v>44584</v>
      </c>
      <c r="B25" s="165">
        <v>22833.771000000001</v>
      </c>
      <c r="C25" s="48">
        <f t="shared" si="23"/>
        <v>2.5659999999988941</v>
      </c>
      <c r="D25" s="32">
        <f t="shared" si="24"/>
        <v>4875.3999999978987</v>
      </c>
      <c r="E25" s="1">
        <v>4096.1719999999996</v>
      </c>
      <c r="F25" s="48">
        <f t="shared" si="25"/>
        <v>0.58399999999937791</v>
      </c>
      <c r="G25" s="32">
        <f t="shared" si="26"/>
        <v>1109.599999998818</v>
      </c>
      <c r="H25" s="1">
        <v>4654</v>
      </c>
      <c r="I25" s="48">
        <f t="shared" si="27"/>
        <v>5</v>
      </c>
      <c r="J25" s="32">
        <f t="shared" si="28"/>
        <v>9500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v>3394.6559999999999</v>
      </c>
      <c r="O25" s="48">
        <f t="shared" si="31"/>
        <v>1.2100000000000364</v>
      </c>
      <c r="P25" s="32">
        <f t="shared" si="32"/>
        <v>2299.0000000000691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9.3599999999983083</v>
      </c>
      <c r="U25" s="34">
        <f t="shared" si="35"/>
        <v>17783.999999996784</v>
      </c>
      <c r="W25" s="162">
        <v>44584</v>
      </c>
      <c r="X25" s="163">
        <v>163974</v>
      </c>
      <c r="Y25" s="169">
        <f t="shared" si="39"/>
        <v>32</v>
      </c>
      <c r="Z25" s="163">
        <v>8345</v>
      </c>
      <c r="AA25" s="169">
        <f t="shared" si="44"/>
        <v>6</v>
      </c>
      <c r="AB25" s="163">
        <v>19.54</v>
      </c>
      <c r="AC25" s="169">
        <f t="shared" si="46"/>
        <v>0</v>
      </c>
      <c r="AD25" s="163">
        <v>151</v>
      </c>
      <c r="AE25" s="169">
        <f t="shared" si="37"/>
        <v>2</v>
      </c>
      <c r="AF25" s="163">
        <f t="shared" si="64"/>
        <v>5519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v>22835.151999999998</v>
      </c>
      <c r="C26" s="48">
        <f t="shared" si="23"/>
        <v>1.3809999999975844</v>
      </c>
      <c r="D26" s="32">
        <f t="shared" si="24"/>
        <v>2623.8999999954103</v>
      </c>
      <c r="E26" s="1">
        <v>4096.55</v>
      </c>
      <c r="F26" s="48">
        <f t="shared" si="25"/>
        <v>0.37800000000061118</v>
      </c>
      <c r="G26" s="32">
        <f t="shared" si="26"/>
        <v>718.20000000116124</v>
      </c>
      <c r="H26" s="1">
        <v>4657</v>
      </c>
      <c r="I26" s="48">
        <f t="shared" si="27"/>
        <v>3</v>
      </c>
      <c r="J26" s="32">
        <f t="shared" si="28"/>
        <v>5699.9999999999991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v>3395.277</v>
      </c>
      <c r="O26" s="48">
        <f t="shared" si="31"/>
        <v>0.62100000000009459</v>
      </c>
      <c r="P26" s="32">
        <f t="shared" si="32"/>
        <v>1179.9000000001795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5.3799999999982901</v>
      </c>
      <c r="U26" s="34">
        <f t="shared" si="35"/>
        <v>10221.999999996751</v>
      </c>
      <c r="V26" t="s">
        <v>12</v>
      </c>
      <c r="W26" s="162">
        <v>44585</v>
      </c>
      <c r="X26" s="163">
        <v>164010</v>
      </c>
      <c r="Y26" s="169">
        <f t="shared" si="39"/>
        <v>36</v>
      </c>
      <c r="Z26" s="163">
        <v>8347</v>
      </c>
      <c r="AA26" s="169">
        <f t="shared" si="44"/>
        <v>2</v>
      </c>
      <c r="AB26" s="163">
        <v>19.54</v>
      </c>
      <c r="AC26" s="169">
        <f t="shared" si="46"/>
        <v>0</v>
      </c>
      <c r="AD26" s="163">
        <v>154</v>
      </c>
      <c r="AE26" s="169">
        <f t="shared" si="37"/>
        <v>3</v>
      </c>
      <c r="AF26" s="163">
        <v>5531</v>
      </c>
      <c r="AG26" s="169">
        <f t="shared" si="38"/>
        <v>12</v>
      </c>
    </row>
    <row r="27" spans="1:33" ht="16.5" thickBot="1" x14ac:dyDescent="0.25">
      <c r="A27" s="10">
        <v>44586</v>
      </c>
      <c r="B27" s="165">
        <v>22837.906999999999</v>
      </c>
      <c r="C27" s="48">
        <f t="shared" si="23"/>
        <v>2.7550000000010186</v>
      </c>
      <c r="D27" s="32">
        <f t="shared" si="24"/>
        <v>5234.5000000019354</v>
      </c>
      <c r="E27" s="1">
        <v>4097.1419999999998</v>
      </c>
      <c r="F27" s="48">
        <f t="shared" si="25"/>
        <v>0.59199999999964348</v>
      </c>
      <c r="G27" s="32">
        <f t="shared" si="26"/>
        <v>1124.7999999993226</v>
      </c>
      <c r="H27" s="1">
        <v>4662</v>
      </c>
      <c r="I27" s="48">
        <f t="shared" si="27"/>
        <v>5</v>
      </c>
      <c r="J27" s="32">
        <f t="shared" si="28"/>
        <v>9500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v>3396.7510000000002</v>
      </c>
      <c r="O27" s="48">
        <f t="shared" si="31"/>
        <v>1.4740000000001601</v>
      </c>
      <c r="P27" s="32">
        <f t="shared" si="32"/>
        <v>2800.6000000003041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9.8210000000008222</v>
      </c>
      <c r="U27" s="34">
        <f t="shared" si="35"/>
        <v>18659.900000001559</v>
      </c>
      <c r="V27" t="s">
        <v>12</v>
      </c>
      <c r="W27" s="162">
        <v>44586</v>
      </c>
      <c r="X27" s="163">
        <v>164038</v>
      </c>
      <c r="Y27" s="169">
        <f t="shared" si="39"/>
        <v>28</v>
      </c>
      <c r="Z27" s="163">
        <v>8352</v>
      </c>
      <c r="AA27" s="169">
        <f t="shared" si="44"/>
        <v>5</v>
      </c>
      <c r="AB27" s="163">
        <f t="shared" si="43"/>
        <v>19.54</v>
      </c>
      <c r="AC27" s="169">
        <f t="shared" si="46"/>
        <v>0</v>
      </c>
      <c r="AD27" s="163">
        <v>155</v>
      </c>
      <c r="AE27" s="169">
        <f t="shared" si="37"/>
        <v>1</v>
      </c>
      <c r="AF27" s="163">
        <f t="shared" si="64"/>
        <v>5531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v>22838.945</v>
      </c>
      <c r="C28" s="48">
        <f t="shared" si="23"/>
        <v>1.0380000000004657</v>
      </c>
      <c r="D28" s="32">
        <f t="shared" si="24"/>
        <v>1972.2000000008845</v>
      </c>
      <c r="E28" s="1">
        <v>4097.473</v>
      </c>
      <c r="F28" s="48">
        <f t="shared" si="25"/>
        <v>0.33100000000013097</v>
      </c>
      <c r="G28" s="32">
        <f t="shared" si="26"/>
        <v>628.90000000024884</v>
      </c>
      <c r="H28" s="1">
        <v>4665</v>
      </c>
      <c r="I28" s="48">
        <f t="shared" si="27"/>
        <v>3</v>
      </c>
      <c r="J28" s="32">
        <f t="shared" si="28"/>
        <v>5699.9999999999991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v>3397.3220000000001</v>
      </c>
      <c r="O28" s="48">
        <f t="shared" si="31"/>
        <v>0.57099999999991269</v>
      </c>
      <c r="P28" s="32">
        <f t="shared" si="32"/>
        <v>1084.8999999998341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4.9400000000005093</v>
      </c>
      <c r="U28" s="34">
        <f t="shared" si="35"/>
        <v>9386.0000000009677</v>
      </c>
      <c r="W28" s="162">
        <v>44587</v>
      </c>
      <c r="X28" s="163">
        <v>164061</v>
      </c>
      <c r="Y28" s="169">
        <f t="shared" si="39"/>
        <v>23</v>
      </c>
      <c r="Z28" s="163">
        <v>8353</v>
      </c>
      <c r="AA28" s="169">
        <f t="shared" si="44"/>
        <v>1</v>
      </c>
      <c r="AB28" s="163">
        <f t="shared" si="43"/>
        <v>19.54</v>
      </c>
      <c r="AC28" s="169">
        <f t="shared" si="46"/>
        <v>0</v>
      </c>
      <c r="AD28" s="163">
        <v>157</v>
      </c>
      <c r="AE28" s="169">
        <f t="shared" si="37"/>
        <v>2</v>
      </c>
      <c r="AF28" s="163">
        <f t="shared" si="64"/>
        <v>5531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v>22840.440999999999</v>
      </c>
      <c r="C29" s="48">
        <f t="shared" si="23"/>
        <v>1.4959999999991851</v>
      </c>
      <c r="D29" s="32">
        <f t="shared" si="24"/>
        <v>2842.3999999984517</v>
      </c>
      <c r="E29" s="1">
        <v>4097.7969999999996</v>
      </c>
      <c r="F29" s="48">
        <f t="shared" si="25"/>
        <v>0.32399999999961437</v>
      </c>
      <c r="G29" s="32">
        <f t="shared" si="26"/>
        <v>615.59999999926731</v>
      </c>
      <c r="H29" s="1">
        <v>4669</v>
      </c>
      <c r="I29" s="48">
        <f t="shared" si="27"/>
        <v>4</v>
      </c>
      <c r="J29" s="32">
        <f t="shared" si="28"/>
        <v>7600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v>3398.15</v>
      </c>
      <c r="O29" s="48">
        <f t="shared" si="31"/>
        <v>0.82799999999997453</v>
      </c>
      <c r="P29" s="32">
        <f t="shared" si="32"/>
        <v>1573.1999999999516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6.647999999998774</v>
      </c>
      <c r="U29" s="34">
        <f t="shared" si="35"/>
        <v>12631.199999997669</v>
      </c>
      <c r="W29" s="162">
        <v>44588</v>
      </c>
      <c r="X29" s="163">
        <v>164064</v>
      </c>
      <c r="Y29" s="169">
        <f t="shared" si="39"/>
        <v>3</v>
      </c>
      <c r="Z29" s="163">
        <v>8356</v>
      </c>
      <c r="AA29" s="169">
        <f t="shared" si="44"/>
        <v>3</v>
      </c>
      <c r="AB29" s="163">
        <f t="shared" si="43"/>
        <v>19.54</v>
      </c>
      <c r="AC29" s="169">
        <f t="shared" si="46"/>
        <v>0</v>
      </c>
      <c r="AD29" s="163">
        <v>160</v>
      </c>
      <c r="AE29" s="169">
        <f t="shared" si="37"/>
        <v>3</v>
      </c>
      <c r="AF29" s="163">
        <f t="shared" si="64"/>
        <v>5531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v>22842.508999999998</v>
      </c>
      <c r="C30" s="48">
        <f t="shared" si="23"/>
        <v>2.0679999999993015</v>
      </c>
      <c r="D30" s="32">
        <f t="shared" si="24"/>
        <v>3929.1999999986729</v>
      </c>
      <c r="E30" s="1">
        <v>4098.1099999999997</v>
      </c>
      <c r="F30" s="48">
        <f t="shared" si="25"/>
        <v>0.31300000000010186</v>
      </c>
      <c r="G30" s="32">
        <f t="shared" si="26"/>
        <v>594.70000000019354</v>
      </c>
      <c r="H30" s="1">
        <v>4676</v>
      </c>
      <c r="I30" s="48">
        <f t="shared" si="27"/>
        <v>7</v>
      </c>
      <c r="J30" s="32">
        <f t="shared" si="28"/>
        <v>13299.999999999998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v>3399.2530000000002</v>
      </c>
      <c r="O30" s="48">
        <f t="shared" si="31"/>
        <v>1.1030000000000655</v>
      </c>
      <c r="P30" s="32">
        <f t="shared" si="32"/>
        <v>2095.7000000001244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10.483999999999469</v>
      </c>
      <c r="U30" s="34">
        <f t="shared" si="35"/>
        <v>19919.599999998991</v>
      </c>
      <c r="W30" s="162">
        <v>44589</v>
      </c>
      <c r="X30" s="163">
        <v>164085</v>
      </c>
      <c r="Y30" s="169">
        <f t="shared" si="39"/>
        <v>21</v>
      </c>
      <c r="Z30" s="163">
        <v>8360</v>
      </c>
      <c r="AA30" s="169">
        <f>Z30-Z29</f>
        <v>4</v>
      </c>
      <c r="AB30" s="163">
        <v>19.559999999999999</v>
      </c>
      <c r="AC30" s="169">
        <f t="shared" si="46"/>
        <v>1.9999999999999574E-2</v>
      </c>
      <c r="AD30" s="163">
        <v>163</v>
      </c>
      <c r="AE30" s="169">
        <f t="shared" si="37"/>
        <v>3</v>
      </c>
      <c r="AF30" s="163">
        <f t="shared" si="64"/>
        <v>5531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ref="B31:B33" si="65">B30</f>
        <v>22842.508999999998</v>
      </c>
      <c r="C31" s="48">
        <f t="shared" si="23"/>
        <v>0</v>
      </c>
      <c r="D31" s="32">
        <f t="shared" si="24"/>
        <v>0</v>
      </c>
      <c r="E31" s="1">
        <f t="shared" ref="E31:E33" si="66">E30</f>
        <v>4098.1099999999997</v>
      </c>
      <c r="F31" s="48">
        <f t="shared" si="25"/>
        <v>0</v>
      </c>
      <c r="G31" s="32">
        <f t="shared" si="26"/>
        <v>0</v>
      </c>
      <c r="H31" s="1">
        <f t="shared" ref="H31:H33" si="67">H30</f>
        <v>4676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ref="N31:N33" si="68">N30</f>
        <v>3399.2530000000002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ref="X31:X33" si="69">X30</f>
        <v>164085</v>
      </c>
      <c r="Y31" s="169">
        <f t="shared" si="39"/>
        <v>0</v>
      </c>
      <c r="Z31" s="163">
        <f t="shared" ref="Z31:Z33" si="70">Z30</f>
        <v>8360</v>
      </c>
      <c r="AA31" s="169">
        <f t="shared" si="44"/>
        <v>0</v>
      </c>
      <c r="AB31" s="163">
        <f t="shared" si="43"/>
        <v>19.559999999999999</v>
      </c>
      <c r="AC31" s="169">
        <f t="shared" si="46"/>
        <v>0</v>
      </c>
      <c r="AD31" s="163">
        <v>166</v>
      </c>
      <c r="AE31" s="169">
        <f t="shared" si="37"/>
        <v>3</v>
      </c>
      <c r="AF31" s="163">
        <f t="shared" si="64"/>
        <v>5531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v>22845.319</v>
      </c>
      <c r="C32" s="48">
        <f t="shared" si="23"/>
        <v>2.8100000000013097</v>
      </c>
      <c r="D32" s="32">
        <f t="shared" si="24"/>
        <v>5339.0000000024884</v>
      </c>
      <c r="E32" s="1">
        <v>4098.6440000000002</v>
      </c>
      <c r="F32" s="48">
        <f t="shared" si="25"/>
        <v>0.53400000000056025</v>
      </c>
      <c r="G32" s="32">
        <f t="shared" si="26"/>
        <v>1014.6000000010645</v>
      </c>
      <c r="H32" s="1">
        <v>4684</v>
      </c>
      <c r="I32" s="48">
        <f t="shared" si="27"/>
        <v>8</v>
      </c>
      <c r="J32" s="32">
        <f t="shared" si="28"/>
        <v>15200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v>3400.8180000000002</v>
      </c>
      <c r="O32" s="48">
        <f t="shared" si="31"/>
        <v>1.5650000000000546</v>
      </c>
      <c r="P32" s="32">
        <f t="shared" si="32"/>
        <v>2973.5000000001037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12.909000000001924</v>
      </c>
      <c r="U32" s="34">
        <f t="shared" si="35"/>
        <v>24527.100000003658</v>
      </c>
      <c r="W32" s="162">
        <v>44591</v>
      </c>
      <c r="X32" s="163">
        <v>164116</v>
      </c>
      <c r="Y32" s="169">
        <f t="shared" si="39"/>
        <v>31</v>
      </c>
      <c r="Z32" s="163">
        <v>8367</v>
      </c>
      <c r="AA32" s="169">
        <f t="shared" si="44"/>
        <v>7</v>
      </c>
      <c r="AB32" s="163">
        <v>19.57</v>
      </c>
      <c r="AC32" s="169">
        <v>0</v>
      </c>
      <c r="AD32" s="163">
        <v>170</v>
      </c>
      <c r="AE32" s="169">
        <f t="shared" si="37"/>
        <v>4</v>
      </c>
      <c r="AF32" s="163">
        <f t="shared" si="64"/>
        <v>5531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v>22847.095000000001</v>
      </c>
      <c r="C33" s="48">
        <f t="shared" si="23"/>
        <v>1.7760000000016589</v>
      </c>
      <c r="D33" s="32">
        <f t="shared" si="24"/>
        <v>3374.4000000031519</v>
      </c>
      <c r="E33" s="1">
        <v>4098.9979999999996</v>
      </c>
      <c r="F33" s="48">
        <f t="shared" si="25"/>
        <v>0.35399999999935972</v>
      </c>
      <c r="G33" s="32">
        <f t="shared" si="26"/>
        <v>672.59999999878335</v>
      </c>
      <c r="H33" s="1">
        <v>4688</v>
      </c>
      <c r="I33" s="48">
        <f t="shared" si="27"/>
        <v>4</v>
      </c>
      <c r="J33" s="32">
        <f t="shared" si="28"/>
        <v>7600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v>3401.8290000000002</v>
      </c>
      <c r="O33" s="48">
        <f t="shared" si="31"/>
        <v>1.0109999999999673</v>
      </c>
      <c r="P33" s="32">
        <f t="shared" si="32"/>
        <v>1920.8999999999376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7.1410000000009859</v>
      </c>
      <c r="U33" s="34">
        <f t="shared" si="35"/>
        <v>13567.900000001871</v>
      </c>
      <c r="V33"/>
      <c r="W33" s="162">
        <v>44592</v>
      </c>
      <c r="X33" s="163">
        <v>164139</v>
      </c>
      <c r="Y33" s="169">
        <f t="shared" si="39"/>
        <v>23</v>
      </c>
      <c r="Z33" s="163">
        <v>8371</v>
      </c>
      <c r="AA33" s="169">
        <f t="shared" si="44"/>
        <v>4</v>
      </c>
      <c r="AB33" s="163">
        <f t="shared" si="43"/>
        <v>19.57</v>
      </c>
      <c r="AC33" s="169">
        <v>0</v>
      </c>
      <c r="AD33" s="163">
        <v>173</v>
      </c>
      <c r="AE33" s="169">
        <f t="shared" si="37"/>
        <v>3</v>
      </c>
      <c r="AF33" s="163">
        <f t="shared" si="64"/>
        <v>5531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59.005000000001019</v>
      </c>
      <c r="D34" s="142">
        <f>SUM(D3:D33)</f>
        <v>116219.20000000282</v>
      </c>
      <c r="E34" s="142">
        <v>0</v>
      </c>
      <c r="F34" s="142">
        <f>SUM(F3:F33)</f>
        <v>15.097999999999502</v>
      </c>
      <c r="G34" s="142">
        <f>SUM(G3:G33)</f>
        <v>28686.199999999048</v>
      </c>
      <c r="H34" s="142"/>
      <c r="I34" s="142">
        <f>SUM(I3:I33)</f>
        <v>135</v>
      </c>
      <c r="J34" s="142">
        <f>SUM(J3:J33)</f>
        <v>256500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62375.100000000341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252.26500000000215</v>
      </c>
      <c r="U34" s="142">
        <f>SUM(U3:U33)</f>
        <v>479303.50000000402</v>
      </c>
      <c r="V34"/>
      <c r="W34" s="142" t="s">
        <v>143</v>
      </c>
      <c r="X34" s="142"/>
      <c r="Y34" s="142">
        <f>SUM(Y5:Y33)</f>
        <v>718</v>
      </c>
      <c r="Z34" s="142"/>
      <c r="AA34" s="142">
        <f>SUM(AA5:AA33)</f>
        <v>120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8" t="s">
        <v>148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9" t="s">
        <v>116</v>
      </c>
      <c r="F19" s="180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opLeftCell="A19"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1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1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2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2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1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1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2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2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1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1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2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2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1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1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2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2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1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1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2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2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1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1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2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2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1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1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2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2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1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1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2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2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1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1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2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2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1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1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2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2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1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1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6" ht="15" x14ac:dyDescent="0.2">
      <c r="B33" s="61"/>
      <c r="C33" s="18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6" ht="15" x14ac:dyDescent="0.2">
      <c r="B34" s="61"/>
      <c r="C34" s="182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2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6" ht="15" x14ac:dyDescent="0.2">
      <c r="B35" s="61"/>
      <c r="C35" s="181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1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  <c r="P35" s="161"/>
    </row>
    <row r="36" spans="2:16" ht="15" x14ac:dyDescent="0.2">
      <c r="B36" s="61"/>
      <c r="C36" s="18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  <c r="P36" s="171"/>
    </row>
    <row r="37" spans="2:16" ht="15" x14ac:dyDescent="0.2">
      <c r="B37" s="61"/>
      <c r="C37" s="182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2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6" ht="15" x14ac:dyDescent="0.2">
      <c r="B38" s="61"/>
      <c r="C38" s="181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1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6" ht="15" x14ac:dyDescent="0.2">
      <c r="B39" s="61"/>
      <c r="C39" s="18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6" ht="15" x14ac:dyDescent="0.2">
      <c r="B40" s="61"/>
      <c r="C40" s="182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2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6" ht="15" x14ac:dyDescent="0.2">
      <c r="B41" s="61"/>
      <c r="C41" s="181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1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6" ht="15" x14ac:dyDescent="0.2">
      <c r="B42" s="61"/>
      <c r="C42" s="18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6" ht="15" x14ac:dyDescent="0.2">
      <c r="B43" s="61"/>
      <c r="C43" s="182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2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6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6" ht="15" x14ac:dyDescent="0.2">
      <c r="B45" s="61"/>
      <c r="C45" s="181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1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6" ht="15" x14ac:dyDescent="0.2">
      <c r="B46" s="61"/>
      <c r="C46" s="18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6" ht="15" x14ac:dyDescent="0.2">
      <c r="B47" s="61"/>
      <c r="C47" s="181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1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6" ht="15" x14ac:dyDescent="0.2">
      <c r="B48" s="61"/>
      <c r="C48" s="18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1">
        <v>23</v>
      </c>
      <c r="D49" s="65" t="s">
        <v>83</v>
      </c>
      <c r="E49" s="80"/>
      <c r="F49" s="80"/>
      <c r="G49" s="67">
        <f t="shared" si="2"/>
        <v>0</v>
      </c>
      <c r="H49" s="68"/>
      <c r="J49" s="181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3"/>
      <c r="D50" s="65" t="s">
        <v>82</v>
      </c>
      <c r="E50" s="80"/>
      <c r="F50" s="80"/>
      <c r="G50" s="67">
        <f t="shared" si="2"/>
        <v>0</v>
      </c>
      <c r="H50" s="68"/>
      <c r="J50" s="18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1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1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2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2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1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1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2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2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1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1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2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2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1">
        <v>28</v>
      </c>
      <c r="D62" s="190" t="s">
        <v>86</v>
      </c>
      <c r="E62" s="66"/>
      <c r="F62" s="66"/>
      <c r="G62" s="67"/>
      <c r="H62" s="192" t="s">
        <v>87</v>
      </c>
      <c r="I62" s="71"/>
      <c r="J62" s="181">
        <v>28</v>
      </c>
      <c r="K62" s="190" t="s">
        <v>86</v>
      </c>
      <c r="L62" s="66"/>
      <c r="M62" s="66"/>
      <c r="N62" s="67"/>
      <c r="O62" s="192" t="s">
        <v>87</v>
      </c>
    </row>
    <row r="63" spans="1:15" ht="15" x14ac:dyDescent="0.2">
      <c r="A63" s="71"/>
      <c r="B63" s="61"/>
      <c r="C63" s="182"/>
      <c r="D63" s="191"/>
      <c r="E63" s="66"/>
      <c r="F63" s="66"/>
      <c r="G63" s="67"/>
      <c r="H63" s="193"/>
      <c r="I63" s="71"/>
      <c r="J63" s="182"/>
      <c r="K63" s="191"/>
      <c r="L63" s="66"/>
      <c r="M63" s="66"/>
      <c r="N63" s="67"/>
      <c r="O63" s="193"/>
    </row>
    <row r="64" spans="1:15" x14ac:dyDescent="0.2">
      <c r="A64" s="71"/>
      <c r="B64" s="61"/>
      <c r="C64" s="194" t="s">
        <v>88</v>
      </c>
      <c r="D64" s="194"/>
      <c r="E64" s="194"/>
      <c r="F64" s="194"/>
      <c r="G64" s="85">
        <f>SUM(G2:G63)</f>
        <v>28925</v>
      </c>
      <c r="H64" s="86"/>
      <c r="I64" s="71"/>
      <c r="J64" s="194" t="s">
        <v>88</v>
      </c>
      <c r="K64" s="194"/>
      <c r="L64" s="194"/>
      <c r="M64" s="194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5">
        <v>44409</v>
      </c>
      <c r="C69" s="196"/>
      <c r="D69" s="196"/>
      <c r="E69" s="197"/>
      <c r="F69" s="89"/>
      <c r="G69" s="195">
        <v>44470</v>
      </c>
      <c r="H69" s="196"/>
      <c r="I69" s="196"/>
      <c r="J69" s="197"/>
      <c r="K69" s="89"/>
      <c r="L69" s="187" t="s">
        <v>25</v>
      </c>
      <c r="M69" s="188"/>
      <c r="N69" s="188"/>
      <c r="O69" s="189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2022-02-01T00:23:48Z</dcterms:modified>
</cp:coreProperties>
</file>