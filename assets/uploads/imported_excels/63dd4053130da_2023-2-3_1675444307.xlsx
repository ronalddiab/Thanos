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Q:\Engineering\Daily Meter Readings\Hotel\2022\"/>
    </mc:Choice>
  </mc:AlternateContent>
  <xr:revisionPtr revIDLastSave="303" documentId="11_781F231910AD41B297E3AC47D447152B60B3CA7F" xr6:coauthVersionLast="47" xr6:coauthVersionMax="47" xr10:uidLastSave="{EE3B8C57-D01E-4C3C-9898-F72022EFB181}"/>
  <bookViews>
    <workbookView xWindow="0" yWindow="0" windowWidth="20400" windowHeight="7755" firstSheet="1" activeTab="1" xr2:uid="{00000000-000D-0000-FFFF-FFFF00000000}"/>
  </bookViews>
  <sheets>
    <sheet name="TOTAL" sheetId="2" r:id="rId1"/>
    <sheet name="FSRW Meter Reading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4" l="1"/>
  <c r="S36" i="4"/>
  <c r="Q36" i="4"/>
  <c r="N36" i="4"/>
  <c r="K36" i="4"/>
  <c r="I36" i="4"/>
  <c r="F36" i="4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2" i="2"/>
  <c r="S35" i="4"/>
  <c r="P35" i="4"/>
  <c r="Q35" i="4" s="1"/>
  <c r="M35" i="4"/>
  <c r="N35" i="4" s="1"/>
  <c r="K35" i="4"/>
  <c r="I32" i="2" s="1"/>
  <c r="H35" i="4"/>
  <c r="I35" i="4" s="1"/>
  <c r="E32" i="2" s="1"/>
  <c r="E35" i="4"/>
  <c r="F35" i="4" s="1"/>
  <c r="G32" i="2" s="1"/>
  <c r="S34" i="4"/>
  <c r="P34" i="4"/>
  <c r="Q34" i="4" s="1"/>
  <c r="M34" i="4"/>
  <c r="N34" i="4" s="1"/>
  <c r="K34" i="4"/>
  <c r="I31" i="2" s="1"/>
  <c r="H34" i="4"/>
  <c r="I34" i="4" s="1"/>
  <c r="E31" i="2" s="1"/>
  <c r="E34" i="4"/>
  <c r="F34" i="4" s="1"/>
  <c r="G31" i="2" s="1"/>
  <c r="S33" i="4"/>
  <c r="P33" i="4"/>
  <c r="Q33" i="4" s="1"/>
  <c r="M33" i="4"/>
  <c r="N33" i="4" s="1"/>
  <c r="K33" i="4"/>
  <c r="I30" i="2" s="1"/>
  <c r="H33" i="4"/>
  <c r="I33" i="4" s="1"/>
  <c r="E30" i="2" s="1"/>
  <c r="E33" i="4"/>
  <c r="F33" i="4" s="1"/>
  <c r="G30" i="2" s="1"/>
  <c r="S32" i="4"/>
  <c r="P32" i="4"/>
  <c r="Q32" i="4" s="1"/>
  <c r="M32" i="4"/>
  <c r="N32" i="4" s="1"/>
  <c r="K32" i="4"/>
  <c r="I29" i="2" s="1"/>
  <c r="H32" i="4"/>
  <c r="I32" i="4" s="1"/>
  <c r="E29" i="2" s="1"/>
  <c r="E32" i="4"/>
  <c r="F32" i="4" s="1"/>
  <c r="G29" i="2" s="1"/>
  <c r="S31" i="4"/>
  <c r="P31" i="4"/>
  <c r="Q31" i="4" s="1"/>
  <c r="M31" i="4"/>
  <c r="N31" i="4" s="1"/>
  <c r="K31" i="4"/>
  <c r="I28" i="2" s="1"/>
  <c r="H31" i="4"/>
  <c r="I31" i="4" s="1"/>
  <c r="E28" i="2" s="1"/>
  <c r="E31" i="4"/>
  <c r="F31" i="4" s="1"/>
  <c r="G28" i="2" s="1"/>
  <c r="S30" i="4"/>
  <c r="P30" i="4"/>
  <c r="Q30" i="4" s="1"/>
  <c r="M30" i="4"/>
  <c r="N30" i="4" s="1"/>
  <c r="K30" i="4"/>
  <c r="I27" i="2" s="1"/>
  <c r="H30" i="4"/>
  <c r="I30" i="4" s="1"/>
  <c r="E27" i="2" s="1"/>
  <c r="E30" i="4"/>
  <c r="F30" i="4" s="1"/>
  <c r="G27" i="2" s="1"/>
  <c r="S29" i="4"/>
  <c r="P29" i="4"/>
  <c r="Q29" i="4" s="1"/>
  <c r="M29" i="4"/>
  <c r="N29" i="4" s="1"/>
  <c r="K29" i="4"/>
  <c r="I26" i="2" s="1"/>
  <c r="H29" i="4"/>
  <c r="I29" i="4" s="1"/>
  <c r="E26" i="2" s="1"/>
  <c r="E29" i="4"/>
  <c r="F29" i="4" s="1"/>
  <c r="G26" i="2" s="1"/>
  <c r="S28" i="4"/>
  <c r="P28" i="4"/>
  <c r="Q28" i="4" s="1"/>
  <c r="M28" i="4"/>
  <c r="N28" i="4" s="1"/>
  <c r="K28" i="4"/>
  <c r="I25" i="2" s="1"/>
  <c r="H28" i="4"/>
  <c r="I28" i="4" s="1"/>
  <c r="E25" i="2" s="1"/>
  <c r="E28" i="4"/>
  <c r="F28" i="4" s="1"/>
  <c r="G25" i="2" s="1"/>
  <c r="S27" i="4"/>
  <c r="P27" i="4"/>
  <c r="Q27" i="4" s="1"/>
  <c r="M27" i="4"/>
  <c r="N27" i="4" s="1"/>
  <c r="K27" i="4"/>
  <c r="I24" i="2" s="1"/>
  <c r="H27" i="4"/>
  <c r="I27" i="4" s="1"/>
  <c r="E24" i="2" s="1"/>
  <c r="E27" i="4"/>
  <c r="F27" i="4" s="1"/>
  <c r="G24" i="2" s="1"/>
  <c r="S26" i="4"/>
  <c r="P26" i="4"/>
  <c r="Q26" i="4" s="1"/>
  <c r="M26" i="4"/>
  <c r="N26" i="4" s="1"/>
  <c r="K26" i="4"/>
  <c r="I23" i="2" s="1"/>
  <c r="H26" i="4"/>
  <c r="I26" i="4" s="1"/>
  <c r="E23" i="2" s="1"/>
  <c r="E26" i="4"/>
  <c r="F26" i="4" s="1"/>
  <c r="G23" i="2" s="1"/>
  <c r="S25" i="4"/>
  <c r="P25" i="4"/>
  <c r="Q25" i="4" s="1"/>
  <c r="M25" i="4"/>
  <c r="N25" i="4" s="1"/>
  <c r="K25" i="4"/>
  <c r="I22" i="2" s="1"/>
  <c r="H25" i="4"/>
  <c r="I25" i="4" s="1"/>
  <c r="E22" i="2" s="1"/>
  <c r="E25" i="4"/>
  <c r="F25" i="4" s="1"/>
  <c r="G22" i="2" s="1"/>
  <c r="S24" i="4"/>
  <c r="P24" i="4"/>
  <c r="Q24" i="4" s="1"/>
  <c r="M24" i="4"/>
  <c r="N24" i="4" s="1"/>
  <c r="K24" i="4"/>
  <c r="I21" i="2" s="1"/>
  <c r="H24" i="4"/>
  <c r="I24" i="4" s="1"/>
  <c r="E21" i="2" s="1"/>
  <c r="E24" i="4"/>
  <c r="F24" i="4" s="1"/>
  <c r="G21" i="2" s="1"/>
  <c r="S23" i="4"/>
  <c r="P23" i="4"/>
  <c r="Q23" i="4" s="1"/>
  <c r="M23" i="4"/>
  <c r="N23" i="4" s="1"/>
  <c r="K23" i="4"/>
  <c r="I20" i="2" s="1"/>
  <c r="H23" i="4"/>
  <c r="I23" i="4" s="1"/>
  <c r="E20" i="2" s="1"/>
  <c r="E23" i="4"/>
  <c r="F23" i="4" s="1"/>
  <c r="G20" i="2" s="1"/>
  <c r="S22" i="4"/>
  <c r="P22" i="4"/>
  <c r="Q22" i="4" s="1"/>
  <c r="M22" i="4"/>
  <c r="N22" i="4" s="1"/>
  <c r="K22" i="4"/>
  <c r="I19" i="2" s="1"/>
  <c r="H22" i="4"/>
  <c r="I22" i="4" s="1"/>
  <c r="E19" i="2" s="1"/>
  <c r="E22" i="4"/>
  <c r="F22" i="4" s="1"/>
  <c r="G19" i="2" s="1"/>
  <c r="S21" i="4"/>
  <c r="P21" i="4"/>
  <c r="Q21" i="4" s="1"/>
  <c r="M21" i="4"/>
  <c r="N21" i="4" s="1"/>
  <c r="K21" i="4"/>
  <c r="I18" i="2" s="1"/>
  <c r="H21" i="4"/>
  <c r="I21" i="4" s="1"/>
  <c r="E18" i="2" s="1"/>
  <c r="E21" i="4"/>
  <c r="F21" i="4" s="1"/>
  <c r="G18" i="2" s="1"/>
  <c r="S20" i="4"/>
  <c r="P20" i="4"/>
  <c r="Q20" i="4" s="1"/>
  <c r="M20" i="4"/>
  <c r="N20" i="4" s="1"/>
  <c r="K20" i="4"/>
  <c r="I17" i="2" s="1"/>
  <c r="H20" i="4"/>
  <c r="I20" i="4" s="1"/>
  <c r="E17" i="2" s="1"/>
  <c r="E20" i="4"/>
  <c r="F20" i="4" s="1"/>
  <c r="G17" i="2" s="1"/>
  <c r="S19" i="4"/>
  <c r="P19" i="4"/>
  <c r="Q19" i="4" s="1"/>
  <c r="M19" i="4"/>
  <c r="N19" i="4" s="1"/>
  <c r="K19" i="4"/>
  <c r="I16" i="2" s="1"/>
  <c r="H19" i="4"/>
  <c r="I19" i="4" s="1"/>
  <c r="E16" i="2" s="1"/>
  <c r="E19" i="4"/>
  <c r="F19" i="4" s="1"/>
  <c r="G16" i="2" s="1"/>
  <c r="S18" i="4"/>
  <c r="P18" i="4"/>
  <c r="Q18" i="4" s="1"/>
  <c r="M18" i="4"/>
  <c r="N18" i="4" s="1"/>
  <c r="K18" i="4"/>
  <c r="I15" i="2" s="1"/>
  <c r="H18" i="4"/>
  <c r="I18" i="4" s="1"/>
  <c r="E15" i="2" s="1"/>
  <c r="E18" i="4"/>
  <c r="F18" i="4" s="1"/>
  <c r="G15" i="2" s="1"/>
  <c r="S17" i="4"/>
  <c r="P17" i="4"/>
  <c r="Q17" i="4" s="1"/>
  <c r="M17" i="4"/>
  <c r="N17" i="4" s="1"/>
  <c r="K17" i="4"/>
  <c r="I14" i="2" s="1"/>
  <c r="H17" i="4"/>
  <c r="I17" i="4" s="1"/>
  <c r="E14" i="2" s="1"/>
  <c r="E17" i="4"/>
  <c r="F17" i="4" s="1"/>
  <c r="G14" i="2" s="1"/>
  <c r="S16" i="4"/>
  <c r="P16" i="4"/>
  <c r="Q16" i="4" s="1"/>
  <c r="M16" i="4"/>
  <c r="N16" i="4" s="1"/>
  <c r="K16" i="4"/>
  <c r="I13" i="2" s="1"/>
  <c r="H16" i="4"/>
  <c r="I16" i="4" s="1"/>
  <c r="E13" i="2" s="1"/>
  <c r="E16" i="4"/>
  <c r="F16" i="4" s="1"/>
  <c r="G13" i="2" s="1"/>
  <c r="S15" i="4"/>
  <c r="P15" i="4"/>
  <c r="Q15" i="4" s="1"/>
  <c r="M15" i="4"/>
  <c r="N15" i="4" s="1"/>
  <c r="K15" i="4"/>
  <c r="I12" i="2" s="1"/>
  <c r="H15" i="4"/>
  <c r="I15" i="4" s="1"/>
  <c r="E12" i="2" s="1"/>
  <c r="E15" i="4"/>
  <c r="F15" i="4" s="1"/>
  <c r="G12" i="2" s="1"/>
  <c r="S14" i="4"/>
  <c r="P14" i="4"/>
  <c r="Q14" i="4" s="1"/>
  <c r="M14" i="4"/>
  <c r="N14" i="4" s="1"/>
  <c r="K14" i="4"/>
  <c r="I11" i="2" s="1"/>
  <c r="H14" i="4"/>
  <c r="I14" i="4" s="1"/>
  <c r="E11" i="2" s="1"/>
  <c r="E14" i="4"/>
  <c r="F14" i="4" s="1"/>
  <c r="G11" i="2" s="1"/>
  <c r="S13" i="4"/>
  <c r="P13" i="4"/>
  <c r="Q13" i="4" s="1"/>
  <c r="M13" i="4"/>
  <c r="N13" i="4" s="1"/>
  <c r="K13" i="4"/>
  <c r="I10" i="2" s="1"/>
  <c r="H13" i="4"/>
  <c r="I13" i="4" s="1"/>
  <c r="E10" i="2" s="1"/>
  <c r="E13" i="4"/>
  <c r="F13" i="4" s="1"/>
  <c r="G10" i="2" s="1"/>
  <c r="S12" i="4"/>
  <c r="P12" i="4"/>
  <c r="Q12" i="4" s="1"/>
  <c r="M12" i="4"/>
  <c r="N12" i="4" s="1"/>
  <c r="K12" i="4"/>
  <c r="I9" i="2" s="1"/>
  <c r="H12" i="4"/>
  <c r="I12" i="4" s="1"/>
  <c r="E9" i="2" s="1"/>
  <c r="E12" i="4"/>
  <c r="F12" i="4" s="1"/>
  <c r="G9" i="2" s="1"/>
  <c r="S11" i="4"/>
  <c r="P11" i="4"/>
  <c r="Q11" i="4" s="1"/>
  <c r="M11" i="4"/>
  <c r="N11" i="4" s="1"/>
  <c r="K11" i="4"/>
  <c r="I8" i="2" s="1"/>
  <c r="H11" i="4"/>
  <c r="I11" i="4" s="1"/>
  <c r="E8" i="2" s="1"/>
  <c r="E11" i="4"/>
  <c r="F11" i="4" s="1"/>
  <c r="G8" i="2" s="1"/>
  <c r="S10" i="4"/>
  <c r="P10" i="4"/>
  <c r="Q10" i="4" s="1"/>
  <c r="M10" i="4"/>
  <c r="N10" i="4" s="1"/>
  <c r="K10" i="4"/>
  <c r="I7" i="2" s="1"/>
  <c r="H10" i="4"/>
  <c r="I10" i="4" s="1"/>
  <c r="E7" i="2" s="1"/>
  <c r="E10" i="4"/>
  <c r="F10" i="4" s="1"/>
  <c r="G7" i="2" s="1"/>
  <c r="S9" i="4"/>
  <c r="P9" i="4"/>
  <c r="Q9" i="4" s="1"/>
  <c r="M9" i="4"/>
  <c r="N9" i="4" s="1"/>
  <c r="K9" i="4"/>
  <c r="I6" i="2" s="1"/>
  <c r="H9" i="4"/>
  <c r="I9" i="4" s="1"/>
  <c r="E6" i="2" s="1"/>
  <c r="E9" i="4"/>
  <c r="F9" i="4" s="1"/>
  <c r="G6" i="2" s="1"/>
  <c r="S8" i="4"/>
  <c r="P8" i="4"/>
  <c r="Q8" i="4" s="1"/>
  <c r="M8" i="4"/>
  <c r="N8" i="4" s="1"/>
  <c r="K8" i="4"/>
  <c r="I5" i="2" s="1"/>
  <c r="H8" i="4"/>
  <c r="I8" i="4" s="1"/>
  <c r="E5" i="2" s="1"/>
  <c r="E8" i="4"/>
  <c r="F8" i="4" s="1"/>
  <c r="G5" i="2" s="1"/>
  <c r="S7" i="4"/>
  <c r="P7" i="4"/>
  <c r="Q7" i="4" s="1"/>
  <c r="M7" i="4"/>
  <c r="N7" i="4" s="1"/>
  <c r="K7" i="4"/>
  <c r="I4" i="2" s="1"/>
  <c r="H7" i="4"/>
  <c r="I7" i="4" s="1"/>
  <c r="E4" i="2" s="1"/>
  <c r="E7" i="4"/>
  <c r="F7" i="4" s="1"/>
  <c r="G4" i="2" s="1"/>
  <c r="S6" i="4"/>
  <c r="P6" i="4"/>
  <c r="Q6" i="4" s="1"/>
  <c r="M6" i="4"/>
  <c r="N6" i="4" s="1"/>
  <c r="K6" i="4"/>
  <c r="I3" i="2" s="1"/>
  <c r="H6" i="4"/>
  <c r="I6" i="4" s="1"/>
  <c r="E3" i="2" s="1"/>
  <c r="E6" i="4"/>
  <c r="F6" i="4" s="1"/>
  <c r="G3" i="2" s="1"/>
  <c r="S5" i="4"/>
  <c r="P5" i="4"/>
  <c r="Q5" i="4" s="1"/>
  <c r="M5" i="4"/>
  <c r="N5" i="4" s="1"/>
  <c r="K5" i="4"/>
  <c r="I2" i="2" s="1"/>
  <c r="H5" i="4"/>
  <c r="I5" i="4" s="1"/>
  <c r="E2" i="2" s="1"/>
  <c r="E5" i="4"/>
  <c r="F5" i="4" s="1"/>
  <c r="G2" i="2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</calcChain>
</file>

<file path=xl/sharedStrings.xml><?xml version="1.0" encoding="utf-8"?>
<sst xmlns="http://schemas.openxmlformats.org/spreadsheetml/2006/main" count="78" uniqueCount="28">
  <si>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</si>
  <si>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</si>
  <si>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</si>
  <si>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</si>
  <si>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</si>
  <si>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</si>
  <si>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</si>
  <si>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</si>
  <si>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</si>
  <si>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</si>
  <si>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</si>
  <si>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</si>
  <si>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Whistler</t>
  </si>
  <si>
    <t xml:space="preserve">Date </t>
  </si>
  <si>
    <t xml:space="preserve">Room Night </t>
  </si>
  <si>
    <t>Hotel</t>
  </si>
  <si>
    <t>Residence</t>
  </si>
  <si>
    <t>Natural Gas</t>
  </si>
  <si>
    <t>Electricity (Hydro)</t>
  </si>
  <si>
    <t xml:space="preserve">Water </t>
  </si>
  <si>
    <t>Reading</t>
  </si>
  <si>
    <t>Daily Usage (GJ)</t>
  </si>
  <si>
    <t>Daily Usage (M³)</t>
  </si>
  <si>
    <t xml:space="preserve"> Reading</t>
  </si>
  <si>
    <t>Usage</t>
  </si>
  <si>
    <t>Kw/h with multiplier (1200)</t>
  </si>
  <si>
    <t>Kw/h with multiplier (900)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</si>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</sst>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_ ;[Red]\-0\ "/>
    <numFmt numFmtId="166" formatCode="0;[Red]0"/>
    <numFmt numFmtId="167" formatCode="[$-1009]mmm\ d\,\ yyyy;@"/>
  </numFmts>
  <fonts count="10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444444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auto="1"/>
      </patternFill>
    </fill>
    <fill>
      <patternFill patternType="solid">
        <fgColor theme="4" tint="0.79998168889431442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55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0" xfId="1"/>
    <xf numFmtId="0" fontId="5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" fontId="3" fillId="0" borderId="1" xfId="1" applyNumberFormat="1" applyBorder="1" applyAlignment="1">
      <alignment horizontal="center"/>
    </xf>
    <xf numFmtId="2" fontId="1" fillId="0" borderId="1" xfId="1" applyNumberFormat="1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2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2" fillId="0" borderId="0" xfId="0" applyFont="1"/>
    <xf numFmtId="0" fontId="2" fillId="3" borderId="6" xfId="0" applyFont="1" applyFill="1" applyBorder="1" applyAlignment="1">
      <alignment horizontal="center" vertical="center" wrapText="1"/>
    </xf>
    <xf numFmtId="165" fontId="2" fillId="3" borderId="8" xfId="0" applyNumberFormat="1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165" fontId="2" fillId="6" borderId="8" xfId="0" applyNumberFormat="1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167" fontId="6" fillId="2" borderId="15" xfId="0" applyNumberFormat="1" applyFont="1" applyFill="1" applyBorder="1" applyAlignment="1">
      <alignment horizontal="left" vertical="center"/>
    </xf>
    <xf numFmtId="1" fontId="6" fillId="7" borderId="13" xfId="0" applyNumberFormat="1" applyFont="1" applyFill="1" applyBorder="1" applyAlignment="1">
      <alignment horizontal="center" vertical="center" wrapText="1"/>
    </xf>
    <xf numFmtId="164" fontId="7" fillId="0" borderId="17" xfId="0" applyNumberFormat="1" applyFont="1" applyBorder="1" applyAlignment="1">
      <alignment horizontal="center"/>
    </xf>
    <xf numFmtId="165" fontId="8" fillId="7" borderId="12" xfId="0" applyNumberFormat="1" applyFont="1" applyFill="1" applyBorder="1" applyAlignment="1">
      <alignment horizontal="center" vertical="center"/>
    </xf>
    <xf numFmtId="164" fontId="7" fillId="7" borderId="11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64" fontId="7" fillId="0" borderId="16" xfId="0" applyNumberFormat="1" applyFont="1" applyBorder="1" applyAlignment="1">
      <alignment horizontal="center"/>
    </xf>
    <xf numFmtId="166" fontId="8" fillId="7" borderId="12" xfId="0" applyNumberFormat="1" applyFont="1" applyFill="1" applyBorder="1" applyAlignment="1">
      <alignment horizontal="center" vertical="center"/>
    </xf>
    <xf numFmtId="0" fontId="7" fillId="0" borderId="0" xfId="0" applyFont="1"/>
    <xf numFmtId="1" fontId="7" fillId="0" borderId="13" xfId="0" applyNumberFormat="1" applyFont="1" applyBorder="1" applyAlignment="1">
      <alignment horizontal="center" vertical="center" wrapText="1"/>
    </xf>
    <xf numFmtId="1" fontId="7" fillId="0" borderId="17" xfId="0" applyNumberFormat="1" applyFont="1" applyBorder="1" applyAlignment="1">
      <alignment horizontal="center"/>
    </xf>
    <xf numFmtId="165" fontId="8" fillId="5" borderId="1" xfId="0" applyNumberFormat="1" applyFont="1" applyFill="1" applyBorder="1" applyAlignment="1">
      <alignment horizontal="center" vertical="center"/>
    </xf>
    <xf numFmtId="164" fontId="6" fillId="5" borderId="18" xfId="0" applyNumberFormat="1" applyFont="1" applyFill="1" applyBorder="1" applyAlignment="1">
      <alignment horizontal="center" vertical="center"/>
    </xf>
    <xf numFmtId="165" fontId="8" fillId="5" borderId="18" xfId="0" applyNumberFormat="1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4" borderId="18" xfId="0" applyNumberFormat="1" applyFont="1" applyFill="1" applyBorder="1" applyAlignment="1">
      <alignment horizontal="center" vertical="center"/>
    </xf>
    <xf numFmtId="165" fontId="8" fillId="0" borderId="18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6" borderId="3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1" fontId="2" fillId="3" borderId="9" xfId="0" applyNumberFormat="1" applyFont="1" applyFill="1" applyBorder="1" applyAlignment="1">
      <alignment horizontal="center" vertical="center" wrapText="1"/>
    </xf>
    <xf numFmtId="1" fontId="2" fillId="3" borderId="19" xfId="0" applyNumberFormat="1" applyFont="1" applyFill="1" applyBorder="1" applyAlignment="1">
      <alignment horizontal="center" vertical="center" wrapText="1"/>
    </xf>
    <xf numFmtId="1" fontId="2" fillId="3" borderId="14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5050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workbookViewId="0">
      <selection activeCell="E2" sqref="E2"/>
    </sheetView>
  </sheetViews>
  <sheetFormatPr defaultColWidth="9.140625" defaultRowHeight="12.75"/>
  <cols>
    <col min="1" max="1" width="12.7109375" style="4" bestFit="1" customWidth="1"/>
    <col min="2" max="4" width="9.140625" style="4"/>
    <col min="5" max="5" width="10.7109375" style="4" customWidth="1"/>
    <col min="6" max="6" width="12.140625" style="4" customWidth="1"/>
    <col min="7" max="8" width="9.140625" style="4"/>
    <col min="9" max="9" width="10.85546875" style="4" customWidth="1"/>
    <col min="10" max="10" width="11.28515625" style="4" customWidth="1"/>
    <col min="11" max="16384" width="9.140625" style="4"/>
  </cols>
  <sheetData>
    <row r="1" spans="1:12" ht="60">
      <c r="A1" s="1" t="s">
        <v>0</v>
      </c>
      <c r="B1" s="1" t="s">
        <v>1</v>
      </c>
      <c r="C1" s="2" t="s">
        <v>2</v>
      </c>
      <c r="D1" s="1" t="s">
        <v>3</v>
      </c>
      <c r="E1" s="10" t="s">
        <v>4</v>
      </c>
      <c r="F1" s="11" t="s">
        <v>5</v>
      </c>
      <c r="G1" s="10" t="s">
        <v>6</v>
      </c>
      <c r="H1" s="11" t="s">
        <v>7</v>
      </c>
      <c r="I1" s="10" t="s">
        <v>8</v>
      </c>
      <c r="J1" s="12" t="s">
        <v>9</v>
      </c>
      <c r="K1" s="3" t="s">
        <v>10</v>
      </c>
      <c r="L1" s="3" t="s">
        <v>11</v>
      </c>
    </row>
    <row r="2" spans="1:12" ht="15">
      <c r="A2" s="5" t="s">
        <v>12</v>
      </c>
      <c r="B2" s="6">
        <v>1</v>
      </c>
      <c r="C2" s="7">
        <v>1</v>
      </c>
      <c r="D2" s="6">
        <v>2023</v>
      </c>
      <c r="E2" s="8">
        <f>'FSRW Meter Readings'!I5</f>
        <v>21600</v>
      </c>
      <c r="F2" s="9">
        <v>0.06</v>
      </c>
      <c r="G2" s="8">
        <f>'FSRW Meter Readings'!F5</f>
        <v>1502.48</v>
      </c>
      <c r="H2" s="9">
        <v>0.4</v>
      </c>
      <c r="I2" s="8">
        <f>'FSRW Meter Readings'!K5</f>
        <v>204</v>
      </c>
      <c r="J2" s="9"/>
      <c r="K2" s="8">
        <f>'FSRW Meter Readings'!B5</f>
        <v>235</v>
      </c>
      <c r="L2" s="8">
        <f>'FSRW Meter Readings'!C5</f>
        <v>0</v>
      </c>
    </row>
    <row r="3" spans="1:12" ht="15">
      <c r="A3" s="5" t="s">
        <v>12</v>
      </c>
      <c r="B3" s="6">
        <f>B2+1</f>
        <v>2</v>
      </c>
      <c r="C3" s="7">
        <v>1</v>
      </c>
      <c r="D3" s="6">
        <v>2023</v>
      </c>
      <c r="E3" s="8">
        <f>'FSRW Meter Readings'!I6</f>
        <v>27600</v>
      </c>
      <c r="F3" s="9">
        <v>0.06</v>
      </c>
      <c r="G3" s="8">
        <f>'FSRW Meter Readings'!F6</f>
        <v>4078.16</v>
      </c>
      <c r="H3" s="9">
        <v>0.4</v>
      </c>
      <c r="I3" s="8">
        <f>'FSRW Meter Readings'!K6</f>
        <v>237.10000000000036</v>
      </c>
      <c r="J3" s="9"/>
      <c r="K3" s="8">
        <f>'FSRW Meter Readings'!B6</f>
        <v>222</v>
      </c>
      <c r="L3" s="8">
        <f>'FSRW Meter Readings'!C6</f>
        <v>0</v>
      </c>
    </row>
    <row r="4" spans="1:12" ht="15">
      <c r="A4" s="5" t="s">
        <v>12</v>
      </c>
      <c r="B4" s="6">
        <f t="shared" ref="B4:B32" si="0">B3+1</f>
        <v>3</v>
      </c>
      <c r="C4" s="7">
        <v>1</v>
      </c>
      <c r="D4" s="6">
        <v>2023</v>
      </c>
      <c r="E4" s="8">
        <f>'FSRW Meter Readings'!I7</f>
        <v>15600</v>
      </c>
      <c r="F4" s="9">
        <v>0.06</v>
      </c>
      <c r="G4" s="8">
        <f>'FSRW Meter Readings'!F7</f>
        <v>2790.3199999999997</v>
      </c>
      <c r="H4" s="9">
        <v>0.4</v>
      </c>
      <c r="I4" s="8">
        <f>'FSRW Meter Readings'!K7</f>
        <v>135</v>
      </c>
      <c r="J4" s="9"/>
      <c r="K4" s="8">
        <f>'FSRW Meter Readings'!B7</f>
        <v>227</v>
      </c>
      <c r="L4" s="8">
        <f>'FSRW Meter Readings'!C7</f>
        <v>0</v>
      </c>
    </row>
    <row r="5" spans="1:12" ht="15">
      <c r="A5" s="5" t="s">
        <v>12</v>
      </c>
      <c r="B5" s="6">
        <f t="shared" si="0"/>
        <v>4</v>
      </c>
      <c r="C5" s="7">
        <v>1</v>
      </c>
      <c r="D5" s="6">
        <v>2023</v>
      </c>
      <c r="E5" s="8">
        <f>'FSRW Meter Readings'!I8</f>
        <v>19200</v>
      </c>
      <c r="F5" s="9">
        <v>0.06</v>
      </c>
      <c r="G5" s="8">
        <f>'FSRW Meter Readings'!F8</f>
        <v>2924.47</v>
      </c>
      <c r="H5" s="9">
        <v>0.4</v>
      </c>
      <c r="I5" s="8">
        <f>'FSRW Meter Readings'!K8</f>
        <v>177.89999999999964</v>
      </c>
      <c r="J5" s="9"/>
      <c r="K5" s="8">
        <f>'FSRW Meter Readings'!B8</f>
        <v>227</v>
      </c>
      <c r="L5" s="8">
        <f>'FSRW Meter Readings'!C8</f>
        <v>0</v>
      </c>
    </row>
    <row r="6" spans="1:12" ht="15">
      <c r="A6" s="5" t="s">
        <v>12</v>
      </c>
      <c r="B6" s="6">
        <f t="shared" si="0"/>
        <v>5</v>
      </c>
      <c r="C6" s="7">
        <v>1</v>
      </c>
      <c r="D6" s="6">
        <v>2023</v>
      </c>
      <c r="E6" s="8">
        <f>'FSRW Meter Readings'!I9</f>
        <v>19200</v>
      </c>
      <c r="F6" s="9">
        <v>0.06</v>
      </c>
      <c r="G6" s="8">
        <f>'FSRW Meter Readings'!F9</f>
        <v>3300.0899999999997</v>
      </c>
      <c r="H6" s="9">
        <v>0.4</v>
      </c>
      <c r="I6" s="8">
        <f>'FSRW Meter Readings'!K9</f>
        <v>190.79999999999927</v>
      </c>
      <c r="J6" s="9"/>
      <c r="K6" s="8">
        <f>'FSRW Meter Readings'!B9</f>
        <v>220</v>
      </c>
      <c r="L6" s="8">
        <f>'FSRW Meter Readings'!C9</f>
        <v>0</v>
      </c>
    </row>
    <row r="7" spans="1:12" ht="15">
      <c r="A7" s="5" t="s">
        <v>12</v>
      </c>
      <c r="B7" s="6">
        <f t="shared" si="0"/>
        <v>6</v>
      </c>
      <c r="C7" s="7">
        <v>1</v>
      </c>
      <c r="D7" s="6">
        <v>2023</v>
      </c>
      <c r="E7" s="8">
        <f>'FSRW Meter Readings'!I10</f>
        <v>21600</v>
      </c>
      <c r="F7" s="9">
        <v>0.06</v>
      </c>
      <c r="G7" s="8">
        <f>'FSRW Meter Readings'!F10</f>
        <v>2897.64</v>
      </c>
      <c r="H7" s="9">
        <v>0.4</v>
      </c>
      <c r="I7" s="8">
        <f>'FSRW Meter Readings'!K10</f>
        <v>188.30000000000109</v>
      </c>
      <c r="J7" s="9"/>
      <c r="K7" s="8">
        <f>'FSRW Meter Readings'!B10</f>
        <v>220</v>
      </c>
      <c r="L7" s="8">
        <f>'FSRW Meter Readings'!C10</f>
        <v>0</v>
      </c>
    </row>
    <row r="8" spans="1:12" ht="15">
      <c r="A8" s="5" t="s">
        <v>12</v>
      </c>
      <c r="B8" s="6">
        <f t="shared" si="0"/>
        <v>7</v>
      </c>
      <c r="C8" s="7">
        <v>1</v>
      </c>
      <c r="D8" s="6">
        <v>2023</v>
      </c>
      <c r="E8" s="8">
        <f>'FSRW Meter Readings'!I11</f>
        <v>21600</v>
      </c>
      <c r="F8" s="9">
        <v>0.06</v>
      </c>
      <c r="G8" s="8">
        <f>'FSRW Meter Readings'!F11</f>
        <v>2978.1299999999997</v>
      </c>
      <c r="H8" s="9">
        <v>0.4</v>
      </c>
      <c r="I8" s="8">
        <f>'FSRW Meter Readings'!K11</f>
        <v>164.29999999999927</v>
      </c>
      <c r="J8" s="9"/>
      <c r="K8" s="8">
        <f>'FSRW Meter Readings'!B11</f>
        <v>214</v>
      </c>
      <c r="L8" s="8">
        <f>'FSRW Meter Readings'!C11</f>
        <v>0</v>
      </c>
    </row>
    <row r="9" spans="1:12" ht="15">
      <c r="A9" s="5" t="s">
        <v>12</v>
      </c>
      <c r="B9" s="6">
        <f t="shared" si="0"/>
        <v>8</v>
      </c>
      <c r="C9" s="7">
        <v>1</v>
      </c>
      <c r="D9" s="6">
        <v>2023</v>
      </c>
      <c r="E9" s="8">
        <f>'FSRW Meter Readings'!I12</f>
        <v>19200</v>
      </c>
      <c r="F9" s="9">
        <v>0.06</v>
      </c>
      <c r="G9" s="8">
        <f>'FSRW Meter Readings'!F12</f>
        <v>2656.1699999999996</v>
      </c>
      <c r="H9" s="9">
        <v>0.4</v>
      </c>
      <c r="I9" s="8">
        <f>'FSRW Meter Readings'!K12</f>
        <v>152.30000000000109</v>
      </c>
      <c r="J9" s="9"/>
      <c r="K9" s="8">
        <f>'FSRW Meter Readings'!B12</f>
        <v>238</v>
      </c>
      <c r="L9" s="8">
        <f>'FSRW Meter Readings'!C12</f>
        <v>0</v>
      </c>
    </row>
    <row r="10" spans="1:12" ht="15">
      <c r="A10" s="5" t="s">
        <v>12</v>
      </c>
      <c r="B10" s="6">
        <f t="shared" si="0"/>
        <v>9</v>
      </c>
      <c r="C10" s="7">
        <v>1</v>
      </c>
      <c r="D10" s="6">
        <v>2023</v>
      </c>
      <c r="E10" s="8">
        <f>'FSRW Meter Readings'!I13</f>
        <v>21600</v>
      </c>
      <c r="F10" s="9">
        <v>0.06</v>
      </c>
      <c r="G10" s="8">
        <f>'FSRW Meter Readings'!F13</f>
        <v>2656.1699999999996</v>
      </c>
      <c r="H10" s="9">
        <v>0.4</v>
      </c>
      <c r="I10" s="8">
        <f>'FSRW Meter Readings'!K13</f>
        <v>186</v>
      </c>
      <c r="J10" s="9"/>
      <c r="K10" s="8">
        <f>'FSRW Meter Readings'!B13</f>
        <v>255</v>
      </c>
      <c r="L10" s="8">
        <f>'FSRW Meter Readings'!C13</f>
        <v>0</v>
      </c>
    </row>
    <row r="11" spans="1:12" ht="15">
      <c r="A11" s="5" t="s">
        <v>12</v>
      </c>
      <c r="B11" s="6">
        <f t="shared" si="0"/>
        <v>10</v>
      </c>
      <c r="C11" s="7">
        <v>1</v>
      </c>
      <c r="D11" s="6">
        <v>2023</v>
      </c>
      <c r="E11" s="8">
        <f>'FSRW Meter Readings'!I14</f>
        <v>21600</v>
      </c>
      <c r="F11" s="9">
        <v>0.06</v>
      </c>
      <c r="G11" s="8">
        <f>'FSRW Meter Readings'!F14</f>
        <v>2978.1299999999997</v>
      </c>
      <c r="H11" s="9">
        <v>0.4</v>
      </c>
      <c r="I11" s="8">
        <f>'FSRW Meter Readings'!K14</f>
        <v>186.19999999999891</v>
      </c>
      <c r="J11" s="9"/>
      <c r="K11" s="8">
        <f>'FSRW Meter Readings'!B14</f>
        <v>261</v>
      </c>
      <c r="L11" s="8">
        <f>'FSRW Meter Readings'!C14</f>
        <v>0</v>
      </c>
    </row>
    <row r="12" spans="1:12" ht="15">
      <c r="A12" s="5" t="s">
        <v>12</v>
      </c>
      <c r="B12" s="6">
        <f t="shared" si="0"/>
        <v>11</v>
      </c>
      <c r="C12" s="7">
        <v>1</v>
      </c>
      <c r="D12" s="6">
        <v>2023</v>
      </c>
      <c r="E12" s="8">
        <f>'FSRW Meter Readings'!I15</f>
        <v>19200</v>
      </c>
      <c r="F12" s="9">
        <v>0.06</v>
      </c>
      <c r="G12" s="8">
        <f>'FSRW Meter Readings'!F15</f>
        <v>2843.98</v>
      </c>
      <c r="H12" s="9">
        <v>0.4</v>
      </c>
      <c r="I12" s="8">
        <f>'FSRW Meter Readings'!K15</f>
        <v>166.10000000000036</v>
      </c>
      <c r="J12" s="9"/>
      <c r="K12" s="8">
        <f>'FSRW Meter Readings'!B15</f>
        <v>240</v>
      </c>
      <c r="L12" s="8">
        <f>'FSRW Meter Readings'!C15</f>
        <v>0</v>
      </c>
    </row>
    <row r="13" spans="1:12" ht="15">
      <c r="A13" s="5" t="s">
        <v>12</v>
      </c>
      <c r="B13" s="6">
        <f t="shared" si="0"/>
        <v>12</v>
      </c>
      <c r="C13" s="7">
        <v>1</v>
      </c>
      <c r="D13" s="6">
        <v>2023</v>
      </c>
      <c r="E13" s="8">
        <f>'FSRW Meter Readings'!I16</f>
        <v>19200</v>
      </c>
      <c r="F13" s="9">
        <v>0.06</v>
      </c>
      <c r="G13" s="8">
        <f>'FSRW Meter Readings'!F16</f>
        <v>2709.83</v>
      </c>
      <c r="H13" s="9">
        <v>0.4</v>
      </c>
      <c r="I13" s="8">
        <f>'FSRW Meter Readings'!K16</f>
        <v>164.89999999999964</v>
      </c>
      <c r="J13" s="9"/>
      <c r="K13" s="8">
        <f>'FSRW Meter Readings'!B16</f>
        <v>252</v>
      </c>
      <c r="L13" s="8">
        <f>'FSRW Meter Readings'!C16</f>
        <v>0</v>
      </c>
    </row>
    <row r="14" spans="1:12" ht="15">
      <c r="A14" s="5" t="s">
        <v>12</v>
      </c>
      <c r="B14" s="6">
        <f t="shared" si="0"/>
        <v>13</v>
      </c>
      <c r="C14" s="7">
        <v>1</v>
      </c>
      <c r="D14" s="6">
        <v>2023</v>
      </c>
      <c r="E14" s="8">
        <f>'FSRW Meter Readings'!I17</f>
        <v>20400</v>
      </c>
      <c r="F14" s="9">
        <v>0.06</v>
      </c>
      <c r="G14" s="8">
        <f>'FSRW Meter Readings'!F17</f>
        <v>3192.77</v>
      </c>
      <c r="H14" s="9">
        <v>0.4</v>
      </c>
      <c r="I14" s="8">
        <f>'FSRW Meter Readings'!K17</f>
        <v>211.30000000000109</v>
      </c>
      <c r="J14" s="9"/>
      <c r="K14" s="8">
        <f>'FSRW Meter Readings'!B17</f>
        <v>269</v>
      </c>
      <c r="L14" s="8">
        <f>'FSRW Meter Readings'!C17</f>
        <v>0</v>
      </c>
    </row>
    <row r="15" spans="1:12" ht="15">
      <c r="A15" s="5" t="s">
        <v>12</v>
      </c>
      <c r="B15" s="6">
        <f t="shared" si="0"/>
        <v>14</v>
      </c>
      <c r="C15" s="7">
        <v>1</v>
      </c>
      <c r="D15" s="6">
        <v>2023</v>
      </c>
      <c r="E15" s="8">
        <f>'FSRW Meter Readings'!I18</f>
        <v>22800</v>
      </c>
      <c r="F15" s="9">
        <v>0.06</v>
      </c>
      <c r="G15" s="8">
        <f>'FSRW Meter Readings'!F18</f>
        <v>3139.1099999999997</v>
      </c>
      <c r="H15" s="9">
        <v>0.4</v>
      </c>
      <c r="I15" s="8">
        <f>'FSRW Meter Readings'!K18</f>
        <v>211.19999999999891</v>
      </c>
      <c r="J15" s="9"/>
      <c r="K15" s="8">
        <f>'FSRW Meter Readings'!B18</f>
        <v>249</v>
      </c>
      <c r="L15" s="8">
        <f>'FSRW Meter Readings'!C18</f>
        <v>0</v>
      </c>
    </row>
    <row r="16" spans="1:12" ht="15">
      <c r="A16" s="5" t="s">
        <v>12</v>
      </c>
      <c r="B16" s="6">
        <f t="shared" si="0"/>
        <v>15</v>
      </c>
      <c r="C16" s="7">
        <v>1</v>
      </c>
      <c r="D16" s="6">
        <v>2023</v>
      </c>
      <c r="E16" s="8">
        <f>'FSRW Meter Readings'!I19</f>
        <v>20400</v>
      </c>
      <c r="F16" s="9">
        <v>0.06</v>
      </c>
      <c r="G16" s="8">
        <f>'FSRW Meter Readings'!F19</f>
        <v>2790.3199999999997</v>
      </c>
      <c r="H16" s="9">
        <v>0.4</v>
      </c>
      <c r="I16" s="8">
        <f>'FSRW Meter Readings'!K19</f>
        <v>219.60000000000036</v>
      </c>
      <c r="J16" s="9"/>
      <c r="K16" s="8">
        <f>'FSRW Meter Readings'!B19</f>
        <v>235</v>
      </c>
      <c r="L16" s="8">
        <f>'FSRW Meter Readings'!C19</f>
        <v>0</v>
      </c>
    </row>
    <row r="17" spans="1:12" ht="15">
      <c r="A17" s="5" t="s">
        <v>12</v>
      </c>
      <c r="B17" s="6">
        <f t="shared" si="0"/>
        <v>16</v>
      </c>
      <c r="C17" s="7">
        <v>1</v>
      </c>
      <c r="D17" s="6">
        <v>2023</v>
      </c>
      <c r="E17" s="8">
        <f>'FSRW Meter Readings'!I20</f>
        <v>20400</v>
      </c>
      <c r="F17" s="9">
        <v>0.06</v>
      </c>
      <c r="G17" s="8">
        <f>'FSRW Meter Readings'!F20</f>
        <v>2763.49</v>
      </c>
      <c r="H17" s="9">
        <v>0.4</v>
      </c>
      <c r="I17" s="8">
        <f>'FSRW Meter Readings'!K20</f>
        <v>216</v>
      </c>
      <c r="J17" s="9"/>
      <c r="K17" s="8">
        <f>'FSRW Meter Readings'!B20</f>
        <v>194</v>
      </c>
      <c r="L17" s="8">
        <f>'FSRW Meter Readings'!C20</f>
        <v>0</v>
      </c>
    </row>
    <row r="18" spans="1:12" ht="15">
      <c r="A18" s="5" t="s">
        <v>12</v>
      </c>
      <c r="B18" s="6">
        <f t="shared" si="0"/>
        <v>17</v>
      </c>
      <c r="C18" s="7">
        <v>1</v>
      </c>
      <c r="D18" s="6">
        <v>2023</v>
      </c>
      <c r="E18" s="8">
        <f>'FSRW Meter Readings'!I21</f>
        <v>20400</v>
      </c>
      <c r="F18" s="9">
        <v>0.06</v>
      </c>
      <c r="G18" s="8">
        <f>'FSRW Meter Readings'!F21</f>
        <v>2709.83</v>
      </c>
      <c r="H18" s="9">
        <v>0.4</v>
      </c>
      <c r="I18" s="8">
        <f>'FSRW Meter Readings'!K21</f>
        <v>203.20000000000073</v>
      </c>
      <c r="J18" s="9"/>
      <c r="K18" s="8">
        <f>'FSRW Meter Readings'!B21</f>
        <v>207</v>
      </c>
      <c r="L18" s="8">
        <f>'FSRW Meter Readings'!C21</f>
        <v>0</v>
      </c>
    </row>
    <row r="19" spans="1:12" ht="15">
      <c r="A19" s="5" t="s">
        <v>12</v>
      </c>
      <c r="B19" s="6">
        <f t="shared" si="0"/>
        <v>18</v>
      </c>
      <c r="C19" s="7">
        <v>1</v>
      </c>
      <c r="D19" s="6">
        <v>2023</v>
      </c>
      <c r="E19" s="8">
        <f>'FSRW Meter Readings'!I22</f>
        <v>20400</v>
      </c>
      <c r="F19" s="9">
        <v>0.06</v>
      </c>
      <c r="G19" s="8">
        <f>'FSRW Meter Readings'!F22</f>
        <v>2709.83</v>
      </c>
      <c r="H19" s="9">
        <v>0.4</v>
      </c>
      <c r="I19" s="8">
        <f>'FSRW Meter Readings'!K22</f>
        <v>159.39999999999964</v>
      </c>
      <c r="J19" s="9"/>
      <c r="K19" s="8">
        <f>'FSRW Meter Readings'!B22</f>
        <v>217</v>
      </c>
      <c r="L19" s="8">
        <f>'FSRW Meter Readings'!C22</f>
        <v>0</v>
      </c>
    </row>
    <row r="20" spans="1:12" ht="15">
      <c r="A20" s="5" t="s">
        <v>12</v>
      </c>
      <c r="B20" s="6">
        <f t="shared" si="0"/>
        <v>19</v>
      </c>
      <c r="C20" s="7">
        <v>1</v>
      </c>
      <c r="D20" s="6">
        <v>2023</v>
      </c>
      <c r="E20" s="8">
        <f>'FSRW Meter Readings'!I23</f>
        <v>20400</v>
      </c>
      <c r="F20" s="9">
        <v>0.06</v>
      </c>
      <c r="G20" s="8">
        <f>'FSRW Meter Readings'!F23</f>
        <v>2763.49</v>
      </c>
      <c r="H20" s="9">
        <v>0.4</v>
      </c>
      <c r="I20" s="8">
        <f>'FSRW Meter Readings'!K23</f>
        <v>198.39999999999964</v>
      </c>
      <c r="J20" s="9"/>
      <c r="K20" s="8">
        <f>'FSRW Meter Readings'!B23</f>
        <v>224</v>
      </c>
      <c r="L20" s="8">
        <f>'FSRW Meter Readings'!C23</f>
        <v>0</v>
      </c>
    </row>
    <row r="21" spans="1:12" ht="15">
      <c r="A21" s="5" t="s">
        <v>12</v>
      </c>
      <c r="B21" s="6">
        <f t="shared" si="0"/>
        <v>20</v>
      </c>
      <c r="C21" s="7">
        <v>1</v>
      </c>
      <c r="D21" s="6">
        <v>2023</v>
      </c>
      <c r="E21" s="8">
        <f>'FSRW Meter Readings'!I24</f>
        <v>20400</v>
      </c>
      <c r="F21" s="9">
        <v>0.06</v>
      </c>
      <c r="G21" s="8">
        <f>'FSRW Meter Readings'!F24</f>
        <v>2763.49</v>
      </c>
      <c r="H21" s="9">
        <v>0.4</v>
      </c>
      <c r="I21" s="8">
        <f>'FSRW Meter Readings'!K24</f>
        <v>184.10000000000036</v>
      </c>
      <c r="J21" s="9"/>
      <c r="K21" s="8">
        <f>'FSRW Meter Readings'!B24</f>
        <v>239</v>
      </c>
      <c r="L21" s="8">
        <f>'FSRW Meter Readings'!C24</f>
        <v>0</v>
      </c>
    </row>
    <row r="22" spans="1:12" ht="15">
      <c r="A22" s="5" t="s">
        <v>12</v>
      </c>
      <c r="B22" s="6">
        <f t="shared" si="0"/>
        <v>21</v>
      </c>
      <c r="C22" s="7">
        <v>1</v>
      </c>
      <c r="D22" s="6">
        <v>2023</v>
      </c>
      <c r="E22" s="8">
        <f>'FSRW Meter Readings'!I25</f>
        <v>21600</v>
      </c>
      <c r="F22" s="9">
        <v>0.06</v>
      </c>
      <c r="G22" s="8">
        <f>'FSRW Meter Readings'!F25</f>
        <v>3273.2599999999998</v>
      </c>
      <c r="H22" s="9">
        <v>0.4</v>
      </c>
      <c r="I22" s="8">
        <f>'FSRW Meter Readings'!K25</f>
        <v>168.79999999999927</v>
      </c>
      <c r="J22" s="9"/>
      <c r="K22" s="8">
        <f>'FSRW Meter Readings'!B25</f>
        <v>244</v>
      </c>
      <c r="L22" s="8">
        <f>'FSRW Meter Readings'!C25</f>
        <v>0</v>
      </c>
    </row>
    <row r="23" spans="1:12" ht="15">
      <c r="A23" s="5" t="s">
        <v>12</v>
      </c>
      <c r="B23" s="6">
        <f t="shared" si="0"/>
        <v>22</v>
      </c>
      <c r="C23" s="7">
        <v>1</v>
      </c>
      <c r="D23" s="6">
        <v>2023</v>
      </c>
      <c r="E23" s="8">
        <f>'FSRW Meter Readings'!I26</f>
        <v>21600</v>
      </c>
      <c r="F23" s="9">
        <v>0.06</v>
      </c>
      <c r="G23" s="8">
        <f>'FSRW Meter Readings'!F26</f>
        <v>3031.79</v>
      </c>
      <c r="H23" s="9">
        <v>0.4</v>
      </c>
      <c r="I23" s="8">
        <f>'FSRW Meter Readings'!K26</f>
        <v>165.30000000000109</v>
      </c>
      <c r="J23" s="9"/>
      <c r="K23" s="8">
        <f>'FSRW Meter Readings'!B26</f>
        <v>260</v>
      </c>
      <c r="L23" s="8">
        <f>'FSRW Meter Readings'!C26</f>
        <v>0</v>
      </c>
    </row>
    <row r="24" spans="1:12" ht="15">
      <c r="A24" s="5" t="s">
        <v>12</v>
      </c>
      <c r="B24" s="6">
        <f t="shared" si="0"/>
        <v>23</v>
      </c>
      <c r="C24" s="7">
        <v>1</v>
      </c>
      <c r="D24" s="6">
        <v>2023</v>
      </c>
      <c r="E24" s="8">
        <f>'FSRW Meter Readings'!I27</f>
        <v>19200</v>
      </c>
      <c r="F24" s="9">
        <v>0.06</v>
      </c>
      <c r="G24" s="8">
        <f>'FSRW Meter Readings'!F27</f>
        <v>2736.66</v>
      </c>
      <c r="H24" s="9">
        <v>0.4</v>
      </c>
      <c r="I24" s="8">
        <f>'FSRW Meter Readings'!K27</f>
        <v>156.19999999999891</v>
      </c>
      <c r="J24" s="9"/>
      <c r="K24" s="8">
        <f>'FSRW Meter Readings'!B27</f>
        <v>248</v>
      </c>
      <c r="L24" s="8">
        <f>'FSRW Meter Readings'!C27</f>
        <v>0</v>
      </c>
    </row>
    <row r="25" spans="1:12" ht="15">
      <c r="A25" s="5" t="s">
        <v>12</v>
      </c>
      <c r="B25" s="6">
        <f t="shared" si="0"/>
        <v>24</v>
      </c>
      <c r="C25" s="7">
        <v>1</v>
      </c>
      <c r="D25" s="6">
        <v>2023</v>
      </c>
      <c r="E25" s="8">
        <f>'FSRW Meter Readings'!I28</f>
        <v>20400</v>
      </c>
      <c r="F25" s="9">
        <v>0.06</v>
      </c>
      <c r="G25" s="8">
        <f>'FSRW Meter Readings'!F28</f>
        <v>2924.47</v>
      </c>
      <c r="H25" s="9">
        <v>0.4</v>
      </c>
      <c r="I25" s="8">
        <f>'FSRW Meter Readings'!K28</f>
        <v>152.60000000000036</v>
      </c>
      <c r="J25" s="9"/>
      <c r="K25" s="8">
        <f>'FSRW Meter Readings'!B28</f>
        <v>184</v>
      </c>
      <c r="L25" s="8">
        <f>'FSRW Meter Readings'!C28</f>
        <v>0</v>
      </c>
    </row>
    <row r="26" spans="1:12" ht="15">
      <c r="A26" s="5" t="s">
        <v>12</v>
      </c>
      <c r="B26" s="6">
        <f>B25+1</f>
        <v>25</v>
      </c>
      <c r="C26" s="7">
        <v>1</v>
      </c>
      <c r="D26" s="6">
        <v>2023</v>
      </c>
      <c r="E26" s="8">
        <f>'FSRW Meter Readings'!I29</f>
        <v>21600</v>
      </c>
      <c r="F26" s="9">
        <v>0.06</v>
      </c>
      <c r="G26" s="8">
        <f>'FSRW Meter Readings'!F29</f>
        <v>2763.49</v>
      </c>
      <c r="H26" s="9">
        <v>0.4</v>
      </c>
      <c r="I26" s="8">
        <f>'FSRW Meter Readings'!K29</f>
        <v>160</v>
      </c>
      <c r="J26" s="9"/>
      <c r="K26" s="8">
        <f>'FSRW Meter Readings'!B29</f>
        <v>213</v>
      </c>
      <c r="L26" s="8">
        <f>'FSRW Meter Readings'!C29</f>
        <v>0</v>
      </c>
    </row>
    <row r="27" spans="1:12" ht="15">
      <c r="A27" s="5" t="s">
        <v>12</v>
      </c>
      <c r="B27" s="6">
        <f t="shared" si="0"/>
        <v>26</v>
      </c>
      <c r="C27" s="7">
        <v>1</v>
      </c>
      <c r="D27" s="6">
        <v>2023</v>
      </c>
      <c r="E27" s="8">
        <f>'FSRW Meter Readings'!I30</f>
        <v>19200</v>
      </c>
      <c r="F27" s="9">
        <v>0.06</v>
      </c>
      <c r="G27" s="8">
        <f>'FSRW Meter Readings'!F30</f>
        <v>2441.5299999999997</v>
      </c>
      <c r="H27" s="9">
        <v>0.4</v>
      </c>
      <c r="I27" s="8">
        <f>'FSRW Meter Readings'!K30</f>
        <v>160.20000000000073</v>
      </c>
      <c r="J27" s="9"/>
      <c r="K27" s="8">
        <f>'FSRW Meter Readings'!B30</f>
        <v>245</v>
      </c>
      <c r="L27" s="8">
        <f>'FSRW Meter Readings'!C30</f>
        <v>0</v>
      </c>
    </row>
    <row r="28" spans="1:12" ht="15">
      <c r="A28" s="5" t="s">
        <v>12</v>
      </c>
      <c r="B28" s="6">
        <f t="shared" si="0"/>
        <v>27</v>
      </c>
      <c r="C28" s="7">
        <v>1</v>
      </c>
      <c r="D28" s="6">
        <v>2023</v>
      </c>
      <c r="E28" s="8">
        <f>'FSRW Meter Readings'!I31</f>
        <v>20400</v>
      </c>
      <c r="F28" s="9">
        <v>0.06</v>
      </c>
      <c r="G28" s="8">
        <f>'FSRW Meter Readings'!F31</f>
        <v>2709.83</v>
      </c>
      <c r="H28" s="9">
        <v>0.4</v>
      </c>
      <c r="I28" s="8">
        <f>'FSRW Meter Readings'!K31</f>
        <v>177</v>
      </c>
      <c r="J28" s="9"/>
      <c r="K28" s="8">
        <f>'FSRW Meter Readings'!B31</f>
        <v>249</v>
      </c>
      <c r="L28" s="8">
        <f>'FSRW Meter Readings'!C31</f>
        <v>0</v>
      </c>
    </row>
    <row r="29" spans="1:12" ht="15">
      <c r="A29" s="5" t="s">
        <v>12</v>
      </c>
      <c r="B29" s="6">
        <f t="shared" si="0"/>
        <v>28</v>
      </c>
      <c r="C29" s="7">
        <v>1</v>
      </c>
      <c r="D29" s="6">
        <v>2023</v>
      </c>
      <c r="E29" s="8">
        <f>'FSRW Meter Readings'!I32</f>
        <v>20400</v>
      </c>
      <c r="F29" s="9">
        <v>0.06</v>
      </c>
      <c r="G29" s="8">
        <f>'FSRW Meter Readings'!F32</f>
        <v>2817.1499999999996</v>
      </c>
      <c r="H29" s="9">
        <v>0.4</v>
      </c>
      <c r="I29" s="8">
        <f>'FSRW Meter Readings'!K32</f>
        <v>185.79999999999927</v>
      </c>
      <c r="J29" s="9"/>
      <c r="K29" s="8">
        <f>'FSRW Meter Readings'!B32</f>
        <v>247</v>
      </c>
      <c r="L29" s="8">
        <f>'FSRW Meter Readings'!C32</f>
        <v>0</v>
      </c>
    </row>
    <row r="30" spans="1:12" ht="15">
      <c r="A30" s="5" t="s">
        <v>12</v>
      </c>
      <c r="B30" s="6">
        <f t="shared" si="0"/>
        <v>29</v>
      </c>
      <c r="C30" s="7">
        <v>1</v>
      </c>
      <c r="D30" s="6">
        <v>2023</v>
      </c>
      <c r="E30" s="8">
        <f>'FSRW Meter Readings'!I33</f>
        <v>21600</v>
      </c>
      <c r="F30" s="9">
        <v>0.06</v>
      </c>
      <c r="G30" s="8">
        <f>'FSRW Meter Readings'!F33</f>
        <v>3836.6899999999996</v>
      </c>
      <c r="H30" s="9">
        <v>0.4</v>
      </c>
      <c r="I30" s="8">
        <f>'FSRW Meter Readings'!K33</f>
        <v>192</v>
      </c>
      <c r="J30" s="9"/>
      <c r="K30" s="8">
        <f>'FSRW Meter Readings'!B33</f>
        <v>242</v>
      </c>
      <c r="L30" s="8">
        <f>'FSRW Meter Readings'!C33</f>
        <v>0</v>
      </c>
    </row>
    <row r="31" spans="1:12" ht="15">
      <c r="A31" s="5" t="s">
        <v>12</v>
      </c>
      <c r="B31" s="6">
        <f t="shared" si="0"/>
        <v>30</v>
      </c>
      <c r="C31" s="7">
        <v>1</v>
      </c>
      <c r="D31" s="6">
        <v>2023</v>
      </c>
      <c r="E31" s="8">
        <f>'FSRW Meter Readings'!I34</f>
        <v>21600</v>
      </c>
      <c r="F31" s="9">
        <v>0.06</v>
      </c>
      <c r="G31" s="8">
        <f>'FSRW Meter Readings'!F34</f>
        <v>4051.33</v>
      </c>
      <c r="H31" s="9">
        <v>0.4</v>
      </c>
      <c r="I31" s="8">
        <f>'FSRW Meter Readings'!K34</f>
        <v>198</v>
      </c>
      <c r="J31" s="9"/>
      <c r="K31" s="8">
        <f>'FSRW Meter Readings'!B34</f>
        <v>211</v>
      </c>
      <c r="L31" s="8">
        <f>'FSRW Meter Readings'!C34</f>
        <v>0</v>
      </c>
    </row>
    <row r="32" spans="1:12" ht="15">
      <c r="A32" s="5" t="s">
        <v>12</v>
      </c>
      <c r="B32" s="6">
        <f t="shared" si="0"/>
        <v>31</v>
      </c>
      <c r="C32" s="7">
        <v>1</v>
      </c>
      <c r="D32" s="6">
        <v>2023</v>
      </c>
      <c r="E32" s="8">
        <f>'FSRW Meter Readings'!I35</f>
        <v>22800</v>
      </c>
      <c r="F32" s="9">
        <v>0.06</v>
      </c>
      <c r="G32" s="8">
        <f>'FSRW Meter Readings'!F35</f>
        <v>3970.8399999999997</v>
      </c>
      <c r="H32" s="9">
        <v>0.4</v>
      </c>
      <c r="I32" s="8">
        <f>'FSRW Meter Readings'!K35</f>
        <v>161.79999999999927</v>
      </c>
      <c r="J32" s="9"/>
      <c r="K32" s="8">
        <f>'FSRW Meter Readings'!B35</f>
        <v>220</v>
      </c>
      <c r="L32" s="8">
        <f>'FSRW Meter Readings'!C35</f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CAD80-EEB1-4756-AA60-9AC11CB215C2}">
  <dimension ref="A1:S36"/>
  <sheetViews>
    <sheetView tabSelected="1" topLeftCell="A22" workbookViewId="0">
      <selection activeCell="B37" sqref="B37"/>
    </sheetView>
  </sheetViews>
  <sheetFormatPr defaultRowHeight="15"/>
  <cols>
    <col min="1" max="1" width="11.140625" bestFit="1" customWidth="1"/>
  </cols>
  <sheetData>
    <row r="1" spans="1:19">
      <c r="A1" s="42" t="s">
        <v>13</v>
      </c>
      <c r="B1" s="45" t="s">
        <v>14</v>
      </c>
      <c r="C1" s="45" t="s">
        <v>11</v>
      </c>
      <c r="D1" s="48" t="s">
        <v>15</v>
      </c>
      <c r="E1" s="49"/>
      <c r="F1" s="49"/>
      <c r="G1" s="49"/>
      <c r="H1" s="49"/>
      <c r="I1" s="49"/>
      <c r="J1" s="49"/>
      <c r="K1" s="49"/>
      <c r="L1" s="40" t="s">
        <v>16</v>
      </c>
      <c r="M1" s="50"/>
      <c r="N1" s="50"/>
      <c r="O1" s="50"/>
      <c r="P1" s="50"/>
      <c r="Q1" s="50"/>
      <c r="R1" s="50"/>
      <c r="S1" s="41"/>
    </row>
    <row r="2" spans="1:19" ht="15.75" customHeight="1">
      <c r="A2" s="43"/>
      <c r="B2" s="46"/>
      <c r="C2" s="46"/>
      <c r="D2" s="48" t="s">
        <v>17</v>
      </c>
      <c r="E2" s="49"/>
      <c r="F2" s="51"/>
      <c r="G2" s="48" t="s">
        <v>18</v>
      </c>
      <c r="H2" s="49"/>
      <c r="I2" s="49"/>
      <c r="J2" s="48" t="s">
        <v>19</v>
      </c>
      <c r="K2" s="49"/>
      <c r="L2" s="40" t="s">
        <v>17</v>
      </c>
      <c r="M2" s="50"/>
      <c r="N2" s="41"/>
      <c r="O2" s="40" t="s">
        <v>18</v>
      </c>
      <c r="P2" s="50"/>
      <c r="Q2" s="50"/>
      <c r="R2" s="40" t="s">
        <v>19</v>
      </c>
      <c r="S2" s="41"/>
    </row>
    <row r="3" spans="1:19" s="13" customFormat="1" ht="45.75">
      <c r="A3" s="44"/>
      <c r="B3" s="47"/>
      <c r="C3" s="47"/>
      <c r="D3" s="14" t="s">
        <v>20</v>
      </c>
      <c r="E3" s="15" t="s">
        <v>21</v>
      </c>
      <c r="F3" s="15" t="s">
        <v>22</v>
      </c>
      <c r="G3" s="14" t="s">
        <v>23</v>
      </c>
      <c r="H3" s="16" t="s">
        <v>24</v>
      </c>
      <c r="I3" s="17" t="s">
        <v>25</v>
      </c>
      <c r="J3" s="14" t="s">
        <v>23</v>
      </c>
      <c r="K3" s="16" t="s">
        <v>22</v>
      </c>
      <c r="L3" s="18" t="s">
        <v>20</v>
      </c>
      <c r="M3" s="19" t="s">
        <v>21</v>
      </c>
      <c r="N3" s="19" t="s">
        <v>22</v>
      </c>
      <c r="O3" s="18" t="s">
        <v>20</v>
      </c>
      <c r="P3" s="20" t="s">
        <v>24</v>
      </c>
      <c r="Q3" s="21" t="s">
        <v>26</v>
      </c>
      <c r="R3" s="18" t="s">
        <v>20</v>
      </c>
      <c r="S3" s="20" t="s">
        <v>22</v>
      </c>
    </row>
    <row r="4" spans="1:19" s="30" customFormat="1" ht="12" customHeight="1">
      <c r="A4" s="22">
        <v>44926</v>
      </c>
      <c r="B4" s="23" t="s">
        <v>27</v>
      </c>
      <c r="C4" s="23" t="s">
        <v>27</v>
      </c>
      <c r="D4" s="24">
        <v>202170</v>
      </c>
      <c r="E4" s="25"/>
      <c r="F4" s="26" t="s">
        <v>27</v>
      </c>
      <c r="G4" s="24">
        <v>55235</v>
      </c>
      <c r="H4" s="25"/>
      <c r="I4" s="27" t="s">
        <v>27</v>
      </c>
      <c r="J4" s="28">
        <v>11816</v>
      </c>
      <c r="K4" s="29" t="s">
        <v>27</v>
      </c>
      <c r="L4" s="24">
        <v>60972</v>
      </c>
      <c r="M4" s="25"/>
      <c r="N4" s="26" t="s">
        <v>27</v>
      </c>
      <c r="O4" s="24">
        <v>24572</v>
      </c>
      <c r="P4" s="25"/>
      <c r="Q4" s="27" t="s">
        <v>27</v>
      </c>
      <c r="R4" s="39">
        <v>2783.4</v>
      </c>
      <c r="S4" s="29" t="s">
        <v>27</v>
      </c>
    </row>
    <row r="5" spans="1:19" s="30" customFormat="1" ht="12" customHeight="1">
      <c r="A5" s="22">
        <f>A4+1</f>
        <v>44927</v>
      </c>
      <c r="B5" s="31">
        <v>235</v>
      </c>
      <c r="C5" s="31">
        <v>0</v>
      </c>
      <c r="D5" s="32">
        <v>202226</v>
      </c>
      <c r="E5" s="33">
        <f>IF(D5-D4&lt;0,"0",D5-D4)</f>
        <v>56</v>
      </c>
      <c r="F5" s="34">
        <f>E5*26.83</f>
        <v>1502.48</v>
      </c>
      <c r="G5" s="32">
        <v>55253</v>
      </c>
      <c r="H5" s="33">
        <f>IF(G5-G4&lt;0,"0",G5-G4)</f>
        <v>18</v>
      </c>
      <c r="I5" s="35">
        <f>H5*1200</f>
        <v>21600</v>
      </c>
      <c r="J5" s="24">
        <v>12020</v>
      </c>
      <c r="K5" s="33">
        <f>IF(J5-J4&lt;0,"0",J5-J4)</f>
        <v>204</v>
      </c>
      <c r="L5" s="32">
        <v>61008</v>
      </c>
      <c r="M5" s="36">
        <f>IF(L5-L4&lt;0,"0",L5-L4)</f>
        <v>36</v>
      </c>
      <c r="N5" s="37">
        <f>M5*26.83</f>
        <v>965.87999999999988</v>
      </c>
      <c r="O5" s="32">
        <v>24580</v>
      </c>
      <c r="P5" s="36">
        <f>IF(O5-O4&lt;0,"0",O5-O4)</f>
        <v>8</v>
      </c>
      <c r="Q5" s="38">
        <f>P5*900</f>
        <v>7200</v>
      </c>
      <c r="R5" s="24">
        <v>2819.4</v>
      </c>
      <c r="S5" s="36">
        <f>IF(R5-R4&lt;0,"0",R5-R4)</f>
        <v>36</v>
      </c>
    </row>
    <row r="6" spans="1:19" s="30" customFormat="1" ht="12" customHeight="1">
      <c r="A6" s="22">
        <f t="shared" ref="A6:A35" si="0">A5+1</f>
        <v>44928</v>
      </c>
      <c r="B6" s="31">
        <v>222</v>
      </c>
      <c r="C6" s="31">
        <v>0</v>
      </c>
      <c r="D6" s="32">
        <v>202378</v>
      </c>
      <c r="E6" s="33">
        <f t="shared" ref="E6:E33" si="1">IF(D6-D5&lt;0,"0",D6-D5)</f>
        <v>152</v>
      </c>
      <c r="F6" s="34">
        <f t="shared" ref="F6:F35" si="2">E6*26.83</f>
        <v>4078.16</v>
      </c>
      <c r="G6" s="32">
        <v>55276</v>
      </c>
      <c r="H6" s="33">
        <f t="shared" ref="H6:H33" si="3">IF(G6-G5&lt;0,"0",G6-G5)</f>
        <v>23</v>
      </c>
      <c r="I6" s="35">
        <f t="shared" ref="I6:I35" si="4">H6*1200</f>
        <v>27600</v>
      </c>
      <c r="J6" s="24">
        <v>12257.1</v>
      </c>
      <c r="K6" s="33">
        <f t="shared" ref="K6:K33" si="5">IF(J6-J5&lt;0,"0",J6-J5)</f>
        <v>237.10000000000036</v>
      </c>
      <c r="L6" s="32">
        <v>61058</v>
      </c>
      <c r="M6" s="36">
        <f t="shared" ref="M6:M33" si="6">IF(L6-L5&lt;0,"0",L6-L5)</f>
        <v>50</v>
      </c>
      <c r="N6" s="37">
        <f t="shared" ref="N6:N35" si="7">M6*26.83</f>
        <v>1341.5</v>
      </c>
      <c r="O6" s="32">
        <v>24590</v>
      </c>
      <c r="P6" s="36">
        <f t="shared" ref="P6:P12" si="8">IF(O6-O5&lt;0,"0",O6-O5)</f>
        <v>10</v>
      </c>
      <c r="Q6" s="38">
        <f t="shared" ref="Q6:Q35" si="9">P6*900</f>
        <v>9000</v>
      </c>
      <c r="R6" s="24">
        <v>2855.8</v>
      </c>
      <c r="S6" s="36">
        <f t="shared" ref="S6:S33" si="10">IF(R6-R5&lt;0,"0",R6-R5)</f>
        <v>36.400000000000091</v>
      </c>
    </row>
    <row r="7" spans="1:19" s="30" customFormat="1" ht="12" customHeight="1">
      <c r="A7" s="22">
        <f t="shared" si="0"/>
        <v>44929</v>
      </c>
      <c r="B7" s="31">
        <v>227</v>
      </c>
      <c r="C7" s="31">
        <v>0</v>
      </c>
      <c r="D7" s="32">
        <v>202482</v>
      </c>
      <c r="E7" s="33">
        <f t="shared" si="1"/>
        <v>104</v>
      </c>
      <c r="F7" s="34">
        <f t="shared" si="2"/>
        <v>2790.3199999999997</v>
      </c>
      <c r="G7" s="32">
        <v>55289</v>
      </c>
      <c r="H7" s="33">
        <f t="shared" si="3"/>
        <v>13</v>
      </c>
      <c r="I7" s="35">
        <f t="shared" si="4"/>
        <v>15600</v>
      </c>
      <c r="J7" s="24">
        <v>12392.1</v>
      </c>
      <c r="K7" s="33">
        <f t="shared" si="5"/>
        <v>135</v>
      </c>
      <c r="L7" s="32">
        <v>61092</v>
      </c>
      <c r="M7" s="36">
        <f t="shared" si="6"/>
        <v>34</v>
      </c>
      <c r="N7" s="37">
        <f t="shared" si="7"/>
        <v>912.21999999999991</v>
      </c>
      <c r="O7" s="32">
        <v>24598</v>
      </c>
      <c r="P7" s="36">
        <f t="shared" si="8"/>
        <v>8</v>
      </c>
      <c r="Q7" s="38">
        <f t="shared" si="9"/>
        <v>7200</v>
      </c>
      <c r="R7" s="24">
        <v>2877.6</v>
      </c>
      <c r="S7" s="36">
        <f t="shared" si="10"/>
        <v>21.799999999999727</v>
      </c>
    </row>
    <row r="8" spans="1:19" s="30" customFormat="1" ht="12" customHeight="1">
      <c r="A8" s="22">
        <f t="shared" si="0"/>
        <v>44930</v>
      </c>
      <c r="B8" s="31">
        <v>227</v>
      </c>
      <c r="C8" s="31">
        <v>0</v>
      </c>
      <c r="D8" s="32">
        <v>202591</v>
      </c>
      <c r="E8" s="33">
        <f t="shared" si="1"/>
        <v>109</v>
      </c>
      <c r="F8" s="34">
        <f t="shared" si="2"/>
        <v>2924.47</v>
      </c>
      <c r="G8" s="32">
        <v>55305</v>
      </c>
      <c r="H8" s="33">
        <f t="shared" si="3"/>
        <v>16</v>
      </c>
      <c r="I8" s="35">
        <f t="shared" si="4"/>
        <v>19200</v>
      </c>
      <c r="J8" s="24">
        <v>12570</v>
      </c>
      <c r="K8" s="33">
        <f t="shared" si="5"/>
        <v>177.89999999999964</v>
      </c>
      <c r="L8" s="32">
        <v>61127</v>
      </c>
      <c r="M8" s="36">
        <f t="shared" si="6"/>
        <v>35</v>
      </c>
      <c r="N8" s="37">
        <f t="shared" si="7"/>
        <v>939.05</v>
      </c>
      <c r="O8" s="32">
        <v>24605</v>
      </c>
      <c r="P8" s="36">
        <f t="shared" si="8"/>
        <v>7</v>
      </c>
      <c r="Q8" s="38">
        <f t="shared" si="9"/>
        <v>6300</v>
      </c>
      <c r="R8" s="24">
        <v>2895.6</v>
      </c>
      <c r="S8" s="36">
        <f t="shared" si="10"/>
        <v>18</v>
      </c>
    </row>
    <row r="9" spans="1:19" s="30" customFormat="1" ht="12" customHeight="1">
      <c r="A9" s="22">
        <f t="shared" si="0"/>
        <v>44931</v>
      </c>
      <c r="B9" s="31">
        <v>220</v>
      </c>
      <c r="C9" s="31">
        <v>0</v>
      </c>
      <c r="D9" s="32">
        <v>202714</v>
      </c>
      <c r="E9" s="33">
        <f t="shared" si="1"/>
        <v>123</v>
      </c>
      <c r="F9" s="34">
        <f t="shared" si="2"/>
        <v>3300.0899999999997</v>
      </c>
      <c r="G9" s="32">
        <v>55321</v>
      </c>
      <c r="H9" s="33">
        <f t="shared" si="3"/>
        <v>16</v>
      </c>
      <c r="I9" s="35">
        <f t="shared" si="4"/>
        <v>19200</v>
      </c>
      <c r="J9" s="24">
        <v>12760.8</v>
      </c>
      <c r="K9" s="33">
        <f t="shared" si="5"/>
        <v>190.79999999999927</v>
      </c>
      <c r="L9" s="32">
        <v>61168</v>
      </c>
      <c r="M9" s="36">
        <f t="shared" si="6"/>
        <v>41</v>
      </c>
      <c r="N9" s="37">
        <f t="shared" si="7"/>
        <v>1100.03</v>
      </c>
      <c r="O9" s="32">
        <v>24613</v>
      </c>
      <c r="P9" s="36">
        <f t="shared" si="8"/>
        <v>8</v>
      </c>
      <c r="Q9" s="38">
        <f t="shared" si="9"/>
        <v>7200</v>
      </c>
      <c r="R9" s="24">
        <v>2919</v>
      </c>
      <c r="S9" s="36">
        <f t="shared" si="10"/>
        <v>23.400000000000091</v>
      </c>
    </row>
    <row r="10" spans="1:19" s="30" customFormat="1" ht="12" customHeight="1">
      <c r="A10" s="22">
        <f t="shared" si="0"/>
        <v>44932</v>
      </c>
      <c r="B10" s="31">
        <v>220</v>
      </c>
      <c r="C10" s="31">
        <v>0</v>
      </c>
      <c r="D10" s="32">
        <v>202822</v>
      </c>
      <c r="E10" s="33">
        <f t="shared" si="1"/>
        <v>108</v>
      </c>
      <c r="F10" s="34">
        <f t="shared" si="2"/>
        <v>2897.64</v>
      </c>
      <c r="G10" s="32">
        <v>55339</v>
      </c>
      <c r="H10" s="33">
        <f t="shared" si="3"/>
        <v>18</v>
      </c>
      <c r="I10" s="35">
        <f t="shared" si="4"/>
        <v>21600</v>
      </c>
      <c r="J10" s="24">
        <v>12949.1</v>
      </c>
      <c r="K10" s="33">
        <f t="shared" si="5"/>
        <v>188.30000000000109</v>
      </c>
      <c r="L10" s="32">
        <v>61202</v>
      </c>
      <c r="M10" s="36">
        <f t="shared" si="6"/>
        <v>34</v>
      </c>
      <c r="N10" s="37">
        <f t="shared" si="7"/>
        <v>912.21999999999991</v>
      </c>
      <c r="O10" s="32">
        <v>24621</v>
      </c>
      <c r="P10" s="36">
        <f t="shared" si="8"/>
        <v>8</v>
      </c>
      <c r="Q10" s="38">
        <f t="shared" si="9"/>
        <v>7200</v>
      </c>
      <c r="R10" s="24">
        <v>2940.2</v>
      </c>
      <c r="S10" s="36">
        <f t="shared" si="10"/>
        <v>21.199999999999818</v>
      </c>
    </row>
    <row r="11" spans="1:19" s="30" customFormat="1" ht="12" customHeight="1">
      <c r="A11" s="22">
        <f t="shared" si="0"/>
        <v>44933</v>
      </c>
      <c r="B11" s="31">
        <v>214</v>
      </c>
      <c r="C11" s="31">
        <v>0</v>
      </c>
      <c r="D11" s="32">
        <v>202933</v>
      </c>
      <c r="E11" s="33">
        <f t="shared" si="1"/>
        <v>111</v>
      </c>
      <c r="F11" s="34">
        <f t="shared" si="2"/>
        <v>2978.1299999999997</v>
      </c>
      <c r="G11" s="32">
        <v>55357</v>
      </c>
      <c r="H11" s="33">
        <f t="shared" si="3"/>
        <v>18</v>
      </c>
      <c r="I11" s="35">
        <f t="shared" si="4"/>
        <v>21600</v>
      </c>
      <c r="J11" s="24">
        <v>13113.4</v>
      </c>
      <c r="K11" s="33">
        <f t="shared" si="5"/>
        <v>164.29999999999927</v>
      </c>
      <c r="L11" s="32">
        <v>61236</v>
      </c>
      <c r="M11" s="36">
        <f t="shared" si="6"/>
        <v>34</v>
      </c>
      <c r="N11" s="37">
        <f t="shared" si="7"/>
        <v>912.21999999999991</v>
      </c>
      <c r="O11" s="32">
        <v>24630</v>
      </c>
      <c r="P11" s="36">
        <f t="shared" si="8"/>
        <v>9</v>
      </c>
      <c r="Q11" s="38">
        <f t="shared" si="9"/>
        <v>8100</v>
      </c>
      <c r="R11" s="24">
        <v>2955.8</v>
      </c>
      <c r="S11" s="36">
        <f t="shared" si="10"/>
        <v>15.600000000000364</v>
      </c>
    </row>
    <row r="12" spans="1:19" s="30" customFormat="1" ht="12" customHeight="1">
      <c r="A12" s="22">
        <f t="shared" si="0"/>
        <v>44934</v>
      </c>
      <c r="B12" s="31">
        <v>238</v>
      </c>
      <c r="C12" s="31">
        <v>0</v>
      </c>
      <c r="D12" s="32">
        <v>203032</v>
      </c>
      <c r="E12" s="33">
        <f t="shared" si="1"/>
        <v>99</v>
      </c>
      <c r="F12" s="34">
        <f t="shared" si="2"/>
        <v>2656.1699999999996</v>
      </c>
      <c r="G12" s="32">
        <v>55373</v>
      </c>
      <c r="H12" s="33">
        <f t="shared" si="3"/>
        <v>16</v>
      </c>
      <c r="I12" s="35">
        <f t="shared" si="4"/>
        <v>19200</v>
      </c>
      <c r="J12" s="24">
        <v>13265.7</v>
      </c>
      <c r="K12" s="33">
        <f t="shared" si="5"/>
        <v>152.30000000000109</v>
      </c>
      <c r="L12" s="32">
        <v>61267</v>
      </c>
      <c r="M12" s="36">
        <f t="shared" si="6"/>
        <v>31</v>
      </c>
      <c r="N12" s="37">
        <f t="shared" si="7"/>
        <v>831.7299999999999</v>
      </c>
      <c r="O12" s="32">
        <v>24638</v>
      </c>
      <c r="P12" s="36">
        <f t="shared" si="8"/>
        <v>8</v>
      </c>
      <c r="Q12" s="38">
        <f t="shared" si="9"/>
        <v>7200</v>
      </c>
      <c r="R12" s="24">
        <v>2967.8</v>
      </c>
      <c r="S12" s="36">
        <f t="shared" si="10"/>
        <v>12</v>
      </c>
    </row>
    <row r="13" spans="1:19" s="30" customFormat="1" ht="12" customHeight="1">
      <c r="A13" s="22">
        <f t="shared" si="0"/>
        <v>44935</v>
      </c>
      <c r="B13" s="31">
        <v>255</v>
      </c>
      <c r="C13" s="31">
        <v>0</v>
      </c>
      <c r="D13" s="32">
        <v>203131</v>
      </c>
      <c r="E13" s="33">
        <f t="shared" si="1"/>
        <v>99</v>
      </c>
      <c r="F13" s="34">
        <f t="shared" si="2"/>
        <v>2656.1699999999996</v>
      </c>
      <c r="G13" s="32">
        <v>55391</v>
      </c>
      <c r="H13" s="33">
        <f>IF(G13-G12&lt;0,"0",G13-G12)</f>
        <v>18</v>
      </c>
      <c r="I13" s="35">
        <f t="shared" si="4"/>
        <v>21600</v>
      </c>
      <c r="J13" s="24">
        <v>13451.7</v>
      </c>
      <c r="K13" s="33">
        <f t="shared" si="5"/>
        <v>186</v>
      </c>
      <c r="L13" s="32">
        <v>61310</v>
      </c>
      <c r="M13" s="36">
        <f t="shared" si="6"/>
        <v>43</v>
      </c>
      <c r="N13" s="37">
        <f t="shared" si="7"/>
        <v>1153.6899999999998</v>
      </c>
      <c r="O13" s="32">
        <v>24646</v>
      </c>
      <c r="P13" s="36">
        <f>IF(O13-O12&lt;0,"0",O13-O12)</f>
        <v>8</v>
      </c>
      <c r="Q13" s="38">
        <f t="shared" si="9"/>
        <v>7200</v>
      </c>
      <c r="R13" s="24">
        <v>2986.7</v>
      </c>
      <c r="S13" s="36">
        <f t="shared" si="10"/>
        <v>18.899999999999636</v>
      </c>
    </row>
    <row r="14" spans="1:19" s="30" customFormat="1" ht="12" customHeight="1">
      <c r="A14" s="22">
        <f t="shared" si="0"/>
        <v>44936</v>
      </c>
      <c r="B14" s="31">
        <v>261</v>
      </c>
      <c r="C14" s="31">
        <v>0</v>
      </c>
      <c r="D14" s="32">
        <v>203242</v>
      </c>
      <c r="E14" s="33">
        <f t="shared" si="1"/>
        <v>111</v>
      </c>
      <c r="F14" s="34">
        <f t="shared" si="2"/>
        <v>2978.1299999999997</v>
      </c>
      <c r="G14" s="32">
        <v>55409</v>
      </c>
      <c r="H14" s="33">
        <f>IF(G14-G13&lt;0,"0",G14-G13)</f>
        <v>18</v>
      </c>
      <c r="I14" s="35">
        <f t="shared" si="4"/>
        <v>21600</v>
      </c>
      <c r="J14" s="24">
        <v>13637.9</v>
      </c>
      <c r="K14" s="33">
        <f t="shared" si="5"/>
        <v>186.19999999999891</v>
      </c>
      <c r="L14" s="32">
        <v>61333</v>
      </c>
      <c r="M14" s="36">
        <f t="shared" si="6"/>
        <v>23</v>
      </c>
      <c r="N14" s="37">
        <f t="shared" si="7"/>
        <v>617.08999999999992</v>
      </c>
      <c r="O14" s="32">
        <v>24654</v>
      </c>
      <c r="P14" s="36">
        <f>IF(O14-O13&lt;0,"0",O14-O13)</f>
        <v>8</v>
      </c>
      <c r="Q14" s="38">
        <f t="shared" si="9"/>
        <v>7200</v>
      </c>
      <c r="R14" s="24">
        <v>3006.7</v>
      </c>
      <c r="S14" s="36">
        <f t="shared" si="10"/>
        <v>20</v>
      </c>
    </row>
    <row r="15" spans="1:19" s="30" customFormat="1" ht="12" customHeight="1">
      <c r="A15" s="22">
        <f t="shared" si="0"/>
        <v>44937</v>
      </c>
      <c r="B15" s="31">
        <v>240</v>
      </c>
      <c r="C15" s="31">
        <v>0</v>
      </c>
      <c r="D15" s="32">
        <v>203348</v>
      </c>
      <c r="E15" s="33">
        <f t="shared" si="1"/>
        <v>106</v>
      </c>
      <c r="F15" s="34">
        <f t="shared" si="2"/>
        <v>2843.98</v>
      </c>
      <c r="G15" s="32">
        <v>55425</v>
      </c>
      <c r="H15" s="33">
        <f>IF(G15-G14&lt;0,"0",G15-G14)</f>
        <v>16</v>
      </c>
      <c r="I15" s="35">
        <f t="shared" si="4"/>
        <v>19200</v>
      </c>
      <c r="J15" s="24">
        <v>13804</v>
      </c>
      <c r="K15" s="33">
        <f t="shared" si="5"/>
        <v>166.10000000000036</v>
      </c>
      <c r="L15" s="32">
        <v>61361</v>
      </c>
      <c r="M15" s="36">
        <f t="shared" si="6"/>
        <v>28</v>
      </c>
      <c r="N15" s="37">
        <f t="shared" si="7"/>
        <v>751.24</v>
      </c>
      <c r="O15" s="32">
        <v>24661</v>
      </c>
      <c r="P15" s="36">
        <f>IF(O15-O14&lt;0,"0",O15-O14)</f>
        <v>7</v>
      </c>
      <c r="Q15" s="38">
        <f t="shared" si="9"/>
        <v>6300</v>
      </c>
      <c r="R15" s="24">
        <v>3046</v>
      </c>
      <c r="S15" s="36">
        <f t="shared" si="10"/>
        <v>39.300000000000182</v>
      </c>
    </row>
    <row r="16" spans="1:19" s="30" customFormat="1" ht="12" customHeight="1">
      <c r="A16" s="22">
        <f t="shared" si="0"/>
        <v>44938</v>
      </c>
      <c r="B16" s="31">
        <v>252</v>
      </c>
      <c r="C16" s="31">
        <v>0</v>
      </c>
      <c r="D16" s="32">
        <v>203449</v>
      </c>
      <c r="E16" s="33">
        <f t="shared" si="1"/>
        <v>101</v>
      </c>
      <c r="F16" s="34">
        <f t="shared" si="2"/>
        <v>2709.83</v>
      </c>
      <c r="G16" s="32">
        <v>55441</v>
      </c>
      <c r="H16" s="33">
        <f>IF(G16-G15&lt;0,"0",G16-G15)</f>
        <v>16</v>
      </c>
      <c r="I16" s="35">
        <f t="shared" si="4"/>
        <v>19200</v>
      </c>
      <c r="J16" s="24">
        <v>13968.9</v>
      </c>
      <c r="K16" s="33">
        <f t="shared" si="5"/>
        <v>164.89999999999964</v>
      </c>
      <c r="L16" s="32">
        <v>61395</v>
      </c>
      <c r="M16" s="36">
        <f t="shared" si="6"/>
        <v>34</v>
      </c>
      <c r="N16" s="37">
        <f t="shared" si="7"/>
        <v>912.21999999999991</v>
      </c>
      <c r="O16" s="32">
        <v>24669</v>
      </c>
      <c r="P16" s="36">
        <f>IF(O16-O15&lt;0,"0",O16-O15)</f>
        <v>8</v>
      </c>
      <c r="Q16" s="38">
        <f t="shared" si="9"/>
        <v>7200</v>
      </c>
      <c r="R16" s="24">
        <v>3085.2</v>
      </c>
      <c r="S16" s="36">
        <f t="shared" si="10"/>
        <v>39.199999999999818</v>
      </c>
    </row>
    <row r="17" spans="1:19" s="30" customFormat="1" ht="12" customHeight="1">
      <c r="A17" s="22">
        <f t="shared" si="0"/>
        <v>44939</v>
      </c>
      <c r="B17" s="31">
        <v>269</v>
      </c>
      <c r="C17" s="31">
        <v>0</v>
      </c>
      <c r="D17" s="32">
        <v>203568</v>
      </c>
      <c r="E17" s="33">
        <f t="shared" si="1"/>
        <v>119</v>
      </c>
      <c r="F17" s="34">
        <f t="shared" si="2"/>
        <v>3192.77</v>
      </c>
      <c r="G17" s="32">
        <v>55458</v>
      </c>
      <c r="H17" s="33">
        <f>IF(G17-G16&lt;0,"0",G17-G16)</f>
        <v>17</v>
      </c>
      <c r="I17" s="35">
        <f t="shared" si="4"/>
        <v>20400</v>
      </c>
      <c r="J17" s="24">
        <v>14180.2</v>
      </c>
      <c r="K17" s="33">
        <f t="shared" si="5"/>
        <v>211.30000000000109</v>
      </c>
      <c r="L17" s="32">
        <v>61432</v>
      </c>
      <c r="M17" s="36">
        <f t="shared" si="6"/>
        <v>37</v>
      </c>
      <c r="N17" s="37">
        <f t="shared" si="7"/>
        <v>992.70999999999992</v>
      </c>
      <c r="O17" s="32">
        <v>24677</v>
      </c>
      <c r="P17" s="36">
        <f>IF(O17-O16&lt;0,"0",O17-O16)</f>
        <v>8</v>
      </c>
      <c r="Q17" s="38">
        <f t="shared" si="9"/>
        <v>7200</v>
      </c>
      <c r="R17" s="24">
        <v>3119.5</v>
      </c>
      <c r="S17" s="36">
        <f t="shared" si="10"/>
        <v>34.300000000000182</v>
      </c>
    </row>
    <row r="18" spans="1:19" s="30" customFormat="1" ht="12" customHeight="1">
      <c r="A18" s="22">
        <f t="shared" si="0"/>
        <v>44940</v>
      </c>
      <c r="B18" s="31">
        <v>249</v>
      </c>
      <c r="C18" s="31">
        <v>0</v>
      </c>
      <c r="D18" s="32">
        <v>203685</v>
      </c>
      <c r="E18" s="33">
        <f t="shared" si="1"/>
        <v>117</v>
      </c>
      <c r="F18" s="34">
        <f t="shared" si="2"/>
        <v>3139.1099999999997</v>
      </c>
      <c r="G18" s="32">
        <v>55477</v>
      </c>
      <c r="H18" s="33">
        <f t="shared" si="3"/>
        <v>19</v>
      </c>
      <c r="I18" s="35">
        <f t="shared" si="4"/>
        <v>22800</v>
      </c>
      <c r="J18" s="24">
        <v>14391.4</v>
      </c>
      <c r="K18" s="33">
        <f t="shared" si="5"/>
        <v>211.19999999999891</v>
      </c>
      <c r="L18" s="32">
        <v>61466</v>
      </c>
      <c r="M18" s="36">
        <f t="shared" si="6"/>
        <v>34</v>
      </c>
      <c r="N18" s="37">
        <f t="shared" si="7"/>
        <v>912.21999999999991</v>
      </c>
      <c r="O18" s="32">
        <v>24686</v>
      </c>
      <c r="P18" s="36">
        <f t="shared" ref="P18:P33" si="11">IF(O18-O17&lt;0,"0",O18-O17)</f>
        <v>9</v>
      </c>
      <c r="Q18" s="38">
        <f t="shared" si="9"/>
        <v>8100</v>
      </c>
      <c r="R18" s="24">
        <v>3149.8</v>
      </c>
      <c r="S18" s="36">
        <f t="shared" si="10"/>
        <v>30.300000000000182</v>
      </c>
    </row>
    <row r="19" spans="1:19" s="30" customFormat="1" ht="12" customHeight="1">
      <c r="A19" s="22">
        <f t="shared" si="0"/>
        <v>44941</v>
      </c>
      <c r="B19" s="31">
        <v>235</v>
      </c>
      <c r="C19" s="31">
        <v>0</v>
      </c>
      <c r="D19" s="32">
        <v>203789</v>
      </c>
      <c r="E19" s="33">
        <f t="shared" si="1"/>
        <v>104</v>
      </c>
      <c r="F19" s="34">
        <f t="shared" si="2"/>
        <v>2790.3199999999997</v>
      </c>
      <c r="G19" s="32">
        <v>55494</v>
      </c>
      <c r="H19" s="33">
        <f t="shared" si="3"/>
        <v>17</v>
      </c>
      <c r="I19" s="35">
        <f t="shared" si="4"/>
        <v>20400</v>
      </c>
      <c r="J19" s="24">
        <v>14611</v>
      </c>
      <c r="K19" s="33">
        <f t="shared" si="5"/>
        <v>219.60000000000036</v>
      </c>
      <c r="L19" s="32">
        <v>61497</v>
      </c>
      <c r="M19" s="36">
        <f t="shared" si="6"/>
        <v>31</v>
      </c>
      <c r="N19" s="37">
        <f t="shared" si="7"/>
        <v>831.7299999999999</v>
      </c>
      <c r="O19" s="32">
        <v>24694</v>
      </c>
      <c r="P19" s="36">
        <f t="shared" si="11"/>
        <v>8</v>
      </c>
      <c r="Q19" s="38">
        <f t="shared" si="9"/>
        <v>7200</v>
      </c>
      <c r="R19" s="24">
        <v>3172.9</v>
      </c>
      <c r="S19" s="36">
        <f t="shared" si="10"/>
        <v>23.099999999999909</v>
      </c>
    </row>
    <row r="20" spans="1:19" s="30" customFormat="1" ht="12" customHeight="1">
      <c r="A20" s="22">
        <f t="shared" si="0"/>
        <v>44942</v>
      </c>
      <c r="B20" s="31">
        <v>194</v>
      </c>
      <c r="C20" s="31">
        <v>0</v>
      </c>
      <c r="D20" s="32">
        <v>203892</v>
      </c>
      <c r="E20" s="33">
        <f t="shared" si="1"/>
        <v>103</v>
      </c>
      <c r="F20" s="34">
        <f t="shared" si="2"/>
        <v>2763.49</v>
      </c>
      <c r="G20" s="32">
        <v>55511</v>
      </c>
      <c r="H20" s="33">
        <f t="shared" si="3"/>
        <v>17</v>
      </c>
      <c r="I20" s="35">
        <f t="shared" si="4"/>
        <v>20400</v>
      </c>
      <c r="J20" s="24">
        <v>14827</v>
      </c>
      <c r="K20" s="33">
        <f t="shared" si="5"/>
        <v>216</v>
      </c>
      <c r="L20" s="32">
        <v>61531</v>
      </c>
      <c r="M20" s="36">
        <f t="shared" si="6"/>
        <v>34</v>
      </c>
      <c r="N20" s="37">
        <f t="shared" si="7"/>
        <v>912.21999999999991</v>
      </c>
      <c r="O20" s="32">
        <v>24702</v>
      </c>
      <c r="P20" s="36">
        <f t="shared" si="11"/>
        <v>8</v>
      </c>
      <c r="Q20" s="38">
        <f t="shared" si="9"/>
        <v>7200</v>
      </c>
      <c r="R20" s="24">
        <v>3198.9</v>
      </c>
      <c r="S20" s="36">
        <f t="shared" si="10"/>
        <v>26</v>
      </c>
    </row>
    <row r="21" spans="1:19" s="30" customFormat="1" ht="12" customHeight="1">
      <c r="A21" s="22">
        <f t="shared" si="0"/>
        <v>44943</v>
      </c>
      <c r="B21" s="31">
        <v>207</v>
      </c>
      <c r="C21" s="31">
        <v>0</v>
      </c>
      <c r="D21" s="32">
        <v>203993</v>
      </c>
      <c r="E21" s="33">
        <f t="shared" si="1"/>
        <v>101</v>
      </c>
      <c r="F21" s="34">
        <f t="shared" si="2"/>
        <v>2709.83</v>
      </c>
      <c r="G21" s="32">
        <v>55528</v>
      </c>
      <c r="H21" s="33">
        <f t="shared" si="3"/>
        <v>17</v>
      </c>
      <c r="I21" s="35">
        <f t="shared" si="4"/>
        <v>20400</v>
      </c>
      <c r="J21" s="24">
        <v>15030.2</v>
      </c>
      <c r="K21" s="33">
        <f t="shared" si="5"/>
        <v>203.20000000000073</v>
      </c>
      <c r="L21" s="32">
        <v>61565</v>
      </c>
      <c r="M21" s="36">
        <f t="shared" si="6"/>
        <v>34</v>
      </c>
      <c r="N21" s="37">
        <f t="shared" si="7"/>
        <v>912.21999999999991</v>
      </c>
      <c r="O21" s="32">
        <v>24710</v>
      </c>
      <c r="P21" s="36">
        <f t="shared" si="11"/>
        <v>8</v>
      </c>
      <c r="Q21" s="38">
        <f t="shared" si="9"/>
        <v>7200</v>
      </c>
      <c r="R21" s="24">
        <v>3224.9</v>
      </c>
      <c r="S21" s="36">
        <f t="shared" si="10"/>
        <v>26</v>
      </c>
    </row>
    <row r="22" spans="1:19" s="30" customFormat="1" ht="12" customHeight="1">
      <c r="A22" s="22">
        <f t="shared" si="0"/>
        <v>44944</v>
      </c>
      <c r="B22" s="31">
        <v>217</v>
      </c>
      <c r="C22" s="31">
        <v>0</v>
      </c>
      <c r="D22" s="32">
        <v>204094</v>
      </c>
      <c r="E22" s="33">
        <f t="shared" si="1"/>
        <v>101</v>
      </c>
      <c r="F22" s="34">
        <f t="shared" si="2"/>
        <v>2709.83</v>
      </c>
      <c r="G22" s="32">
        <v>55545</v>
      </c>
      <c r="H22" s="33">
        <f t="shared" si="3"/>
        <v>17</v>
      </c>
      <c r="I22" s="35">
        <f t="shared" si="4"/>
        <v>20400</v>
      </c>
      <c r="J22" s="24">
        <v>15189.6</v>
      </c>
      <c r="K22" s="33">
        <f t="shared" si="5"/>
        <v>159.39999999999964</v>
      </c>
      <c r="L22" s="32">
        <v>61599</v>
      </c>
      <c r="M22" s="36">
        <f t="shared" si="6"/>
        <v>34</v>
      </c>
      <c r="N22" s="37">
        <f t="shared" si="7"/>
        <v>912.21999999999991</v>
      </c>
      <c r="O22" s="32">
        <v>24719</v>
      </c>
      <c r="P22" s="36">
        <f t="shared" si="11"/>
        <v>9</v>
      </c>
      <c r="Q22" s="38">
        <f t="shared" si="9"/>
        <v>8100</v>
      </c>
      <c r="R22" s="24">
        <v>3253.6</v>
      </c>
      <c r="S22" s="36">
        <f t="shared" si="10"/>
        <v>28.699999999999818</v>
      </c>
    </row>
    <row r="23" spans="1:19" s="30" customFormat="1" ht="12" customHeight="1">
      <c r="A23" s="22">
        <f t="shared" si="0"/>
        <v>44945</v>
      </c>
      <c r="B23" s="31">
        <v>224</v>
      </c>
      <c r="C23" s="31">
        <v>0</v>
      </c>
      <c r="D23" s="32">
        <v>204197</v>
      </c>
      <c r="E23" s="33">
        <f t="shared" si="1"/>
        <v>103</v>
      </c>
      <c r="F23" s="34">
        <f t="shared" si="2"/>
        <v>2763.49</v>
      </c>
      <c r="G23" s="32">
        <v>55562</v>
      </c>
      <c r="H23" s="33">
        <f t="shared" si="3"/>
        <v>17</v>
      </c>
      <c r="I23" s="35">
        <f t="shared" si="4"/>
        <v>20400</v>
      </c>
      <c r="J23" s="24">
        <v>15388</v>
      </c>
      <c r="K23" s="33">
        <f t="shared" si="5"/>
        <v>198.39999999999964</v>
      </c>
      <c r="L23" s="32">
        <v>61634</v>
      </c>
      <c r="M23" s="36">
        <f t="shared" si="6"/>
        <v>35</v>
      </c>
      <c r="N23" s="37">
        <f t="shared" si="7"/>
        <v>939.05</v>
      </c>
      <c r="O23" s="32">
        <v>24725</v>
      </c>
      <c r="P23" s="36">
        <f t="shared" si="11"/>
        <v>6</v>
      </c>
      <c r="Q23" s="38">
        <f t="shared" si="9"/>
        <v>5400</v>
      </c>
      <c r="R23" s="24">
        <v>3279.3</v>
      </c>
      <c r="S23" s="36">
        <f t="shared" si="10"/>
        <v>25.700000000000273</v>
      </c>
    </row>
    <row r="24" spans="1:19" s="30" customFormat="1" ht="12" customHeight="1">
      <c r="A24" s="22">
        <f t="shared" si="0"/>
        <v>44946</v>
      </c>
      <c r="B24" s="31">
        <v>239</v>
      </c>
      <c r="C24" s="31">
        <v>0</v>
      </c>
      <c r="D24" s="32">
        <v>204300</v>
      </c>
      <c r="E24" s="33">
        <f t="shared" si="1"/>
        <v>103</v>
      </c>
      <c r="F24" s="34">
        <f t="shared" si="2"/>
        <v>2763.49</v>
      </c>
      <c r="G24" s="32">
        <v>55579</v>
      </c>
      <c r="H24" s="33">
        <f t="shared" si="3"/>
        <v>17</v>
      </c>
      <c r="I24" s="35">
        <f t="shared" si="4"/>
        <v>20400</v>
      </c>
      <c r="J24" s="24">
        <v>15572.1</v>
      </c>
      <c r="K24" s="33">
        <f t="shared" si="5"/>
        <v>184.10000000000036</v>
      </c>
      <c r="L24" s="32">
        <v>61673</v>
      </c>
      <c r="M24" s="36">
        <f t="shared" si="6"/>
        <v>39</v>
      </c>
      <c r="N24" s="37">
        <f t="shared" si="7"/>
        <v>1046.3699999999999</v>
      </c>
      <c r="O24" s="32">
        <v>24733</v>
      </c>
      <c r="P24" s="36">
        <f t="shared" si="11"/>
        <v>8</v>
      </c>
      <c r="Q24" s="38">
        <f t="shared" si="9"/>
        <v>7200</v>
      </c>
      <c r="R24" s="24">
        <v>3321.7</v>
      </c>
      <c r="S24" s="36">
        <f t="shared" si="10"/>
        <v>42.399999999999636</v>
      </c>
    </row>
    <row r="25" spans="1:19" s="30" customFormat="1" ht="12" customHeight="1">
      <c r="A25" s="22">
        <f t="shared" si="0"/>
        <v>44947</v>
      </c>
      <c r="B25" s="31">
        <v>244</v>
      </c>
      <c r="C25" s="31">
        <v>0</v>
      </c>
      <c r="D25" s="32">
        <v>204422</v>
      </c>
      <c r="E25" s="33">
        <f t="shared" si="1"/>
        <v>122</v>
      </c>
      <c r="F25" s="34">
        <f t="shared" si="2"/>
        <v>3273.2599999999998</v>
      </c>
      <c r="G25" s="32">
        <v>55597</v>
      </c>
      <c r="H25" s="33">
        <f t="shared" si="3"/>
        <v>18</v>
      </c>
      <c r="I25" s="35">
        <f t="shared" si="4"/>
        <v>21600</v>
      </c>
      <c r="J25" s="24">
        <v>15740.9</v>
      </c>
      <c r="K25" s="33">
        <f t="shared" si="5"/>
        <v>168.79999999999927</v>
      </c>
      <c r="L25" s="32">
        <v>61717</v>
      </c>
      <c r="M25" s="36">
        <f t="shared" si="6"/>
        <v>44</v>
      </c>
      <c r="N25" s="37">
        <f t="shared" si="7"/>
        <v>1180.52</v>
      </c>
      <c r="O25" s="32">
        <v>24742</v>
      </c>
      <c r="P25" s="36">
        <f t="shared" si="11"/>
        <v>9</v>
      </c>
      <c r="Q25" s="38">
        <f t="shared" si="9"/>
        <v>8100</v>
      </c>
      <c r="R25" s="24">
        <v>3360.2</v>
      </c>
      <c r="S25" s="36">
        <f t="shared" si="10"/>
        <v>38.5</v>
      </c>
    </row>
    <row r="26" spans="1:19" s="30" customFormat="1" ht="12" customHeight="1">
      <c r="A26" s="22">
        <f t="shared" si="0"/>
        <v>44948</v>
      </c>
      <c r="B26" s="31">
        <v>260</v>
      </c>
      <c r="C26" s="31">
        <v>0</v>
      </c>
      <c r="D26" s="32">
        <v>204535</v>
      </c>
      <c r="E26" s="33">
        <f t="shared" si="1"/>
        <v>113</v>
      </c>
      <c r="F26" s="34">
        <f t="shared" si="2"/>
        <v>3031.79</v>
      </c>
      <c r="G26" s="32">
        <v>55615</v>
      </c>
      <c r="H26" s="33">
        <f t="shared" si="3"/>
        <v>18</v>
      </c>
      <c r="I26" s="35">
        <f t="shared" si="4"/>
        <v>21600</v>
      </c>
      <c r="J26" s="24">
        <v>15906.2</v>
      </c>
      <c r="K26" s="33">
        <f t="shared" si="5"/>
        <v>165.30000000000109</v>
      </c>
      <c r="L26" s="32">
        <v>61756</v>
      </c>
      <c r="M26" s="36">
        <f t="shared" si="6"/>
        <v>39</v>
      </c>
      <c r="N26" s="37">
        <f t="shared" si="7"/>
        <v>1046.3699999999999</v>
      </c>
      <c r="O26" s="32">
        <v>24750</v>
      </c>
      <c r="P26" s="36">
        <f t="shared" si="11"/>
        <v>8</v>
      </c>
      <c r="Q26" s="38">
        <f t="shared" si="9"/>
        <v>7200</v>
      </c>
      <c r="R26" s="24">
        <v>3395.9</v>
      </c>
      <c r="S26" s="36">
        <f t="shared" si="10"/>
        <v>35.700000000000273</v>
      </c>
    </row>
    <row r="27" spans="1:19" s="30" customFormat="1" ht="12" customHeight="1">
      <c r="A27" s="22">
        <f t="shared" si="0"/>
        <v>44949</v>
      </c>
      <c r="B27" s="31">
        <v>248</v>
      </c>
      <c r="C27" s="31">
        <v>0</v>
      </c>
      <c r="D27" s="24">
        <v>204637</v>
      </c>
      <c r="E27" s="33">
        <f t="shared" si="1"/>
        <v>102</v>
      </c>
      <c r="F27" s="34">
        <f t="shared" si="2"/>
        <v>2736.66</v>
      </c>
      <c r="G27" s="24">
        <v>55631</v>
      </c>
      <c r="H27" s="33">
        <f t="shared" si="3"/>
        <v>16</v>
      </c>
      <c r="I27" s="35">
        <f t="shared" si="4"/>
        <v>19200</v>
      </c>
      <c r="J27" s="24">
        <v>16062.4</v>
      </c>
      <c r="K27" s="33">
        <f t="shared" si="5"/>
        <v>156.19999999999891</v>
      </c>
      <c r="L27" s="24">
        <v>61797</v>
      </c>
      <c r="M27" s="36">
        <f t="shared" si="6"/>
        <v>41</v>
      </c>
      <c r="N27" s="37">
        <f t="shared" si="7"/>
        <v>1100.03</v>
      </c>
      <c r="O27" s="24">
        <v>24762</v>
      </c>
      <c r="P27" s="36">
        <f t="shared" si="11"/>
        <v>12</v>
      </c>
      <c r="Q27" s="38">
        <f t="shared" si="9"/>
        <v>10800</v>
      </c>
      <c r="R27" s="24">
        <v>3437.4</v>
      </c>
      <c r="S27" s="36">
        <f t="shared" si="10"/>
        <v>41.5</v>
      </c>
    </row>
    <row r="28" spans="1:19" s="30" customFormat="1" ht="12" customHeight="1">
      <c r="A28" s="22">
        <f t="shared" si="0"/>
        <v>44950</v>
      </c>
      <c r="B28" s="31">
        <v>184</v>
      </c>
      <c r="C28" s="31">
        <v>0</v>
      </c>
      <c r="D28" s="24">
        <v>204746</v>
      </c>
      <c r="E28" s="33">
        <f t="shared" si="1"/>
        <v>109</v>
      </c>
      <c r="F28" s="34">
        <f t="shared" si="2"/>
        <v>2924.47</v>
      </c>
      <c r="G28" s="24">
        <v>55648</v>
      </c>
      <c r="H28" s="33">
        <f t="shared" si="3"/>
        <v>17</v>
      </c>
      <c r="I28" s="35">
        <f t="shared" si="4"/>
        <v>20400</v>
      </c>
      <c r="J28" s="24">
        <v>16215</v>
      </c>
      <c r="K28" s="33">
        <f t="shared" si="5"/>
        <v>152.60000000000036</v>
      </c>
      <c r="L28" s="24">
        <v>61833</v>
      </c>
      <c r="M28" s="36">
        <f t="shared" si="6"/>
        <v>36</v>
      </c>
      <c r="N28" s="37">
        <f t="shared" si="7"/>
        <v>965.87999999999988</v>
      </c>
      <c r="O28" s="24">
        <v>24768</v>
      </c>
      <c r="P28" s="36">
        <f t="shared" si="11"/>
        <v>6</v>
      </c>
      <c r="Q28" s="38">
        <f t="shared" si="9"/>
        <v>5400</v>
      </c>
      <c r="R28" s="24">
        <v>3501.7</v>
      </c>
      <c r="S28" s="36">
        <f t="shared" si="10"/>
        <v>64.299999999999727</v>
      </c>
    </row>
    <row r="29" spans="1:19" s="30" customFormat="1" ht="12" customHeight="1">
      <c r="A29" s="22">
        <f t="shared" si="0"/>
        <v>44951</v>
      </c>
      <c r="B29" s="31">
        <v>213</v>
      </c>
      <c r="C29" s="31">
        <v>0</v>
      </c>
      <c r="D29" s="24">
        <v>204849</v>
      </c>
      <c r="E29" s="33">
        <f t="shared" si="1"/>
        <v>103</v>
      </c>
      <c r="F29" s="34">
        <f t="shared" si="2"/>
        <v>2763.49</v>
      </c>
      <c r="G29" s="24">
        <v>55666</v>
      </c>
      <c r="H29" s="33">
        <f t="shared" si="3"/>
        <v>18</v>
      </c>
      <c r="I29" s="35">
        <f t="shared" si="4"/>
        <v>21600</v>
      </c>
      <c r="J29" s="24">
        <v>16375</v>
      </c>
      <c r="K29" s="33">
        <f t="shared" si="5"/>
        <v>160</v>
      </c>
      <c r="L29" s="24">
        <v>61871</v>
      </c>
      <c r="M29" s="36">
        <f t="shared" si="6"/>
        <v>38</v>
      </c>
      <c r="N29" s="37">
        <f t="shared" si="7"/>
        <v>1019.54</v>
      </c>
      <c r="O29" s="24">
        <v>24774</v>
      </c>
      <c r="P29" s="36">
        <f t="shared" si="11"/>
        <v>6</v>
      </c>
      <c r="Q29" s="38">
        <f t="shared" si="9"/>
        <v>5400</v>
      </c>
      <c r="R29" s="24">
        <v>3574.8</v>
      </c>
      <c r="S29" s="36">
        <f t="shared" si="10"/>
        <v>73.100000000000364</v>
      </c>
    </row>
    <row r="30" spans="1:19" s="30" customFormat="1" ht="12" customHeight="1">
      <c r="A30" s="22">
        <f t="shared" si="0"/>
        <v>44952</v>
      </c>
      <c r="B30" s="31">
        <v>245</v>
      </c>
      <c r="C30" s="31">
        <v>0</v>
      </c>
      <c r="D30" s="24">
        <v>204940</v>
      </c>
      <c r="E30" s="33">
        <f t="shared" si="1"/>
        <v>91</v>
      </c>
      <c r="F30" s="34">
        <f t="shared" si="2"/>
        <v>2441.5299999999997</v>
      </c>
      <c r="G30" s="24">
        <v>55682</v>
      </c>
      <c r="H30" s="33">
        <f t="shared" si="3"/>
        <v>16</v>
      </c>
      <c r="I30" s="35">
        <f t="shared" si="4"/>
        <v>19200</v>
      </c>
      <c r="J30" s="24">
        <v>16535.2</v>
      </c>
      <c r="K30" s="33">
        <f t="shared" si="5"/>
        <v>160.20000000000073</v>
      </c>
      <c r="L30" s="24">
        <v>61905</v>
      </c>
      <c r="M30" s="36">
        <f t="shared" si="6"/>
        <v>34</v>
      </c>
      <c r="N30" s="37">
        <f t="shared" si="7"/>
        <v>912.21999999999991</v>
      </c>
      <c r="O30" s="24">
        <v>24782</v>
      </c>
      <c r="P30" s="36">
        <f t="shared" si="11"/>
        <v>8</v>
      </c>
      <c r="Q30" s="38">
        <f t="shared" si="9"/>
        <v>7200</v>
      </c>
      <c r="R30" s="24">
        <v>3618.1</v>
      </c>
      <c r="S30" s="36">
        <f t="shared" si="10"/>
        <v>43.299999999999727</v>
      </c>
    </row>
    <row r="31" spans="1:19" s="30" customFormat="1" ht="12" customHeight="1">
      <c r="A31" s="22">
        <f t="shared" si="0"/>
        <v>44953</v>
      </c>
      <c r="B31" s="31">
        <v>249</v>
      </c>
      <c r="C31" s="31">
        <v>0</v>
      </c>
      <c r="D31" s="24">
        <v>205041</v>
      </c>
      <c r="E31" s="33">
        <f t="shared" si="1"/>
        <v>101</v>
      </c>
      <c r="F31" s="34">
        <f t="shared" si="2"/>
        <v>2709.83</v>
      </c>
      <c r="G31" s="24">
        <v>55699</v>
      </c>
      <c r="H31" s="33">
        <f t="shared" si="3"/>
        <v>17</v>
      </c>
      <c r="I31" s="35">
        <f t="shared" si="4"/>
        <v>20400</v>
      </c>
      <c r="J31" s="24">
        <v>16712.2</v>
      </c>
      <c r="K31" s="33">
        <f t="shared" si="5"/>
        <v>177</v>
      </c>
      <c r="L31" s="24">
        <v>61942</v>
      </c>
      <c r="M31" s="36">
        <f t="shared" si="6"/>
        <v>37</v>
      </c>
      <c r="N31" s="37">
        <f t="shared" si="7"/>
        <v>992.70999999999992</v>
      </c>
      <c r="O31" s="24">
        <v>24789</v>
      </c>
      <c r="P31" s="36">
        <f t="shared" si="11"/>
        <v>7</v>
      </c>
      <c r="Q31" s="38">
        <f t="shared" si="9"/>
        <v>6300</v>
      </c>
      <c r="R31" s="24">
        <v>3676.6</v>
      </c>
      <c r="S31" s="36">
        <f t="shared" si="10"/>
        <v>58.5</v>
      </c>
    </row>
    <row r="32" spans="1:19" s="30" customFormat="1" ht="12" customHeight="1">
      <c r="A32" s="22">
        <f t="shared" si="0"/>
        <v>44954</v>
      </c>
      <c r="B32" s="31">
        <v>247</v>
      </c>
      <c r="C32" s="31">
        <v>0</v>
      </c>
      <c r="D32" s="24">
        <v>205146</v>
      </c>
      <c r="E32" s="33">
        <f t="shared" si="1"/>
        <v>105</v>
      </c>
      <c r="F32" s="34">
        <f t="shared" si="2"/>
        <v>2817.1499999999996</v>
      </c>
      <c r="G32" s="24">
        <v>55716</v>
      </c>
      <c r="H32" s="33">
        <f t="shared" si="3"/>
        <v>17</v>
      </c>
      <c r="I32" s="35">
        <f t="shared" si="4"/>
        <v>20400</v>
      </c>
      <c r="J32" s="24">
        <v>16898</v>
      </c>
      <c r="K32" s="33">
        <f t="shared" si="5"/>
        <v>185.79999999999927</v>
      </c>
      <c r="L32" s="24">
        <v>61979</v>
      </c>
      <c r="M32" s="36">
        <f t="shared" si="6"/>
        <v>37</v>
      </c>
      <c r="N32" s="37">
        <f t="shared" si="7"/>
        <v>992.70999999999992</v>
      </c>
      <c r="O32" s="24">
        <v>24797</v>
      </c>
      <c r="P32" s="36">
        <f t="shared" si="11"/>
        <v>8</v>
      </c>
      <c r="Q32" s="38">
        <f t="shared" si="9"/>
        <v>7200</v>
      </c>
      <c r="R32" s="24">
        <v>3719</v>
      </c>
      <c r="S32" s="36">
        <f t="shared" si="10"/>
        <v>42.400000000000091</v>
      </c>
    </row>
    <row r="33" spans="1:19" s="30" customFormat="1" ht="12" customHeight="1">
      <c r="A33" s="22">
        <f t="shared" si="0"/>
        <v>44955</v>
      </c>
      <c r="B33" s="31">
        <v>242</v>
      </c>
      <c r="C33" s="31">
        <v>0</v>
      </c>
      <c r="D33" s="24">
        <v>205289</v>
      </c>
      <c r="E33" s="33">
        <f t="shared" si="1"/>
        <v>143</v>
      </c>
      <c r="F33" s="34">
        <f t="shared" si="2"/>
        <v>3836.6899999999996</v>
      </c>
      <c r="G33" s="24">
        <v>55734</v>
      </c>
      <c r="H33" s="33">
        <f t="shared" si="3"/>
        <v>18</v>
      </c>
      <c r="I33" s="35">
        <f t="shared" si="4"/>
        <v>21600</v>
      </c>
      <c r="J33" s="24">
        <v>17090</v>
      </c>
      <c r="K33" s="33">
        <f t="shared" si="5"/>
        <v>192</v>
      </c>
      <c r="L33" s="24">
        <v>62030</v>
      </c>
      <c r="M33" s="36">
        <f t="shared" si="6"/>
        <v>51</v>
      </c>
      <c r="N33" s="37">
        <f t="shared" si="7"/>
        <v>1368.33</v>
      </c>
      <c r="O33" s="24">
        <v>24806</v>
      </c>
      <c r="P33" s="36">
        <f t="shared" si="11"/>
        <v>9</v>
      </c>
      <c r="Q33" s="38">
        <f t="shared" si="9"/>
        <v>8100</v>
      </c>
      <c r="R33" s="24">
        <v>3748</v>
      </c>
      <c r="S33" s="36">
        <f t="shared" si="10"/>
        <v>29</v>
      </c>
    </row>
    <row r="34" spans="1:19" s="30" customFormat="1" ht="12" customHeight="1">
      <c r="A34" s="22">
        <f t="shared" si="0"/>
        <v>44956</v>
      </c>
      <c r="B34" s="31">
        <v>211</v>
      </c>
      <c r="C34" s="31">
        <v>0</v>
      </c>
      <c r="D34" s="24">
        <v>205440</v>
      </c>
      <c r="E34" s="33">
        <f>IF(D34-D33&lt;0,"0",D34-D33)</f>
        <v>151</v>
      </c>
      <c r="F34" s="34">
        <f t="shared" si="2"/>
        <v>4051.33</v>
      </c>
      <c r="G34" s="24">
        <v>55752</v>
      </c>
      <c r="H34" s="33">
        <f>IF(G34-G33&lt;0,"0",G34-G33)</f>
        <v>18</v>
      </c>
      <c r="I34" s="35">
        <f t="shared" si="4"/>
        <v>21600</v>
      </c>
      <c r="J34" s="24">
        <v>17288</v>
      </c>
      <c r="K34" s="33">
        <f>IF(J34-J33&lt;0,"0",J34-J33)</f>
        <v>198</v>
      </c>
      <c r="L34" s="24">
        <v>62082</v>
      </c>
      <c r="M34" s="36">
        <f>IF(L34-L33&lt;0,"0",L34-L33)</f>
        <v>52</v>
      </c>
      <c r="N34" s="37">
        <f t="shared" si="7"/>
        <v>1395.1599999999999</v>
      </c>
      <c r="O34" s="24">
        <v>24815</v>
      </c>
      <c r="P34" s="36">
        <f>IF(O34-O33&lt;0,"0",O34-O33)</f>
        <v>9</v>
      </c>
      <c r="Q34" s="38">
        <f t="shared" si="9"/>
        <v>8100</v>
      </c>
      <c r="R34" s="24">
        <v>3779</v>
      </c>
      <c r="S34" s="36">
        <f>IF(R34-R33&lt;0,"0",R34-R33)</f>
        <v>31</v>
      </c>
    </row>
    <row r="35" spans="1:19" s="30" customFormat="1" ht="12" customHeight="1">
      <c r="A35" s="22">
        <f t="shared" si="0"/>
        <v>44957</v>
      </c>
      <c r="B35" s="31">
        <v>220</v>
      </c>
      <c r="C35" s="31">
        <v>0</v>
      </c>
      <c r="D35" s="24">
        <v>205588</v>
      </c>
      <c r="E35" s="33">
        <f>IF(D35-D34&lt;0,"0",D35-D34)</f>
        <v>148</v>
      </c>
      <c r="F35" s="34">
        <f t="shared" si="2"/>
        <v>3970.8399999999997</v>
      </c>
      <c r="G35" s="24">
        <v>55771</v>
      </c>
      <c r="H35" s="33">
        <f>IF(G35-G34&lt;0,"0",G35-G34)</f>
        <v>19</v>
      </c>
      <c r="I35" s="35">
        <f t="shared" si="4"/>
        <v>22800</v>
      </c>
      <c r="J35" s="24">
        <v>17449.8</v>
      </c>
      <c r="K35" s="33">
        <f>IF(J35-J34&lt;0,"0",J35-J34)</f>
        <v>161.79999999999927</v>
      </c>
      <c r="L35" s="24">
        <v>62135</v>
      </c>
      <c r="M35" s="36">
        <f>IF(L35-L34&lt;0,"0",L35-L34)</f>
        <v>53</v>
      </c>
      <c r="N35" s="37">
        <f t="shared" si="7"/>
        <v>1421.99</v>
      </c>
      <c r="O35" s="24">
        <v>24824</v>
      </c>
      <c r="P35" s="36">
        <f>IF(O35-O34&lt;0,"0",O35-O34)</f>
        <v>9</v>
      </c>
      <c r="Q35" s="38">
        <f t="shared" si="9"/>
        <v>8100</v>
      </c>
      <c r="R35" s="24">
        <v>3822</v>
      </c>
      <c r="S35" s="36">
        <f>IF(R35-R34&lt;0,"0",R35-R34)</f>
        <v>43</v>
      </c>
    </row>
    <row r="36" spans="1:19">
      <c r="B36" s="54">
        <f>SUM(B5:B35)</f>
        <v>7208</v>
      </c>
      <c r="F36" s="52">
        <f>SUM(F5:F35)</f>
        <v>91704.94</v>
      </c>
      <c r="I36" s="53">
        <f>SUM(I5:I35)</f>
        <v>643200</v>
      </c>
      <c r="K36" s="53">
        <f>SUM(K5:K35)</f>
        <v>5633.7999999999993</v>
      </c>
      <c r="N36" s="52">
        <f>SUM(N5:N35)</f>
        <v>31203.289999999994</v>
      </c>
      <c r="Q36" s="53">
        <f>SUM(Q5:Q35)</f>
        <v>226800</v>
      </c>
      <c r="S36" s="53">
        <f>SUM(S5:S35)</f>
        <v>1038.5999999999999</v>
      </c>
    </row>
  </sheetData>
  <mergeCells count="11">
    <mergeCell ref="R2:S2"/>
    <mergeCell ref="A1:A3"/>
    <mergeCell ref="B1:B3"/>
    <mergeCell ref="C1:C3"/>
    <mergeCell ref="D1:K1"/>
    <mergeCell ref="L1:S1"/>
    <mergeCell ref="D2:F2"/>
    <mergeCell ref="G2:I2"/>
    <mergeCell ref="J2:K2"/>
    <mergeCell ref="L2:N2"/>
    <mergeCell ref="O2:Q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30af49-037b-4282-8442-0dba319ac195" xsi:nil="true"/>
    <lcf76f155ced4ddcb4097134ff3c332f xmlns="c91f5219-5b59-4d26-8caf-148d50c1e924">
      <Terms xmlns="http://schemas.microsoft.com/office/infopath/2007/PartnerControls"/>
    </lcf76f155ced4ddcb4097134ff3c332f>
    <Date_x0020_and_x0020_Time xmlns="c91f5219-5b59-4d26-8caf-148d50c1e92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5F5C29850504469D2A007A5F1588E4" ma:contentTypeVersion="14" ma:contentTypeDescription="Create a new document." ma:contentTypeScope="" ma:versionID="ecb9a015fa8e06c3430c985200bc425f">
  <xsd:schema xmlns:xsd="http://www.w3.org/2001/XMLSchema" xmlns:xs="http://www.w3.org/2001/XMLSchema" xmlns:p="http://schemas.microsoft.com/office/2006/metadata/properties" xmlns:ns2="c91f5219-5b59-4d26-8caf-148d50c1e924" xmlns:ns3="9830af49-037b-4282-8442-0dba319ac195" targetNamespace="http://schemas.microsoft.com/office/2006/metadata/properties" ma:root="true" ma:fieldsID="75224325db6c30690849d6606b0e2366" ns2:_="" ns3:_="">
    <xsd:import namespace="c91f5219-5b59-4d26-8caf-148d50c1e924"/>
    <xsd:import namespace="9830af49-037b-4282-8442-0dba319ac1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Date_x0020_and_x0020_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1f5219-5b59-4d26-8caf-148d50c1e9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Date_x0020_and_x0020_Time" ma:index="21" nillable="true" ma:displayName="Date and Time" ma:format="DateOnly" ma:internalName="Date_x0020_and_x0020_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0af49-037b-4282-8442-0dba319ac19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0acdef5-69c4-4a90-af67-614bb350e529}" ma:internalName="TaxCatchAll" ma:showField="CatchAllData" ma:web="9830af49-037b-4282-8442-0dba319ac1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46E689-D080-40A4-9FCA-5DB3305F6571}"/>
</file>

<file path=customXml/itemProps2.xml><?xml version="1.0" encoding="utf-8"?>
<ds:datastoreItem xmlns:ds="http://schemas.openxmlformats.org/officeDocument/2006/customXml" ds:itemID="{FDFF5DAF-03C0-4AC3-8418-E9012D3468EA}"/>
</file>

<file path=customXml/itemProps3.xml><?xml version="1.0" encoding="utf-8"?>
<ds:datastoreItem xmlns:ds="http://schemas.openxmlformats.org/officeDocument/2006/customXml" ds:itemID="{010CEAB2-F98F-4D0C-B274-96633C2F40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Hartwell</dc:creator>
  <cp:keywords/>
  <dc:description/>
  <cp:lastModifiedBy>Ben Hartwell</cp:lastModifiedBy>
  <cp:revision/>
  <dcterms:created xsi:type="dcterms:W3CDTF">2021-03-09T05:20:06Z</dcterms:created>
  <dcterms:modified xsi:type="dcterms:W3CDTF">2023-02-03T17:05:28Z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0x010100625F5C29850504469D2A007A5F1588E4</vt:lpwstr>
  </property>
  <property fmtid="{D5CDD505-2E9C-101B-9397-08002B2CF9AE}" pid="3" name="MediaServiceImageTags">
    <vt:lpwstr/>
  </property>
</Properties>
</file>