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6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<sst xmlns="http://schemas.openxmlformats.org/spreadsheetml/2006/main" count="128" uniqueCount="49">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</sst>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23340</v>
      </c>
      <c r="F2" s="11">
        <v>5.0000000000000001E-3</v>
      </c>
      <c r="G2" s="12">
        <f>Submetering!R2</f>
        <v>811.591904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6</v>
      </c>
      <c r="D2" s="2">
        <v>2020</v>
      </c>
      <c r="E2" s="4">
        <f>Hotel!Q7</f>
        <v>510</v>
      </c>
      <c r="F2" s="4">
        <f>Hotel!R7</f>
        <v>1680</v>
      </c>
      <c r="G2" s="4">
        <f>Hotel!S7</f>
        <v>2950</v>
      </c>
      <c r="H2" s="4">
        <f>Hotel!T7</f>
        <v>1250</v>
      </c>
      <c r="I2" s="4">
        <f>Hotel!U7</f>
        <v>1930</v>
      </c>
      <c r="J2" s="4">
        <f>Hotel!V7</f>
        <v>1510</v>
      </c>
      <c r="K2" s="4">
        <f>Hotel!W7</f>
        <v>1790</v>
      </c>
      <c r="L2" s="4">
        <f>Hotel!X7</f>
        <v>1070</v>
      </c>
      <c r="M2" s="4">
        <f>Hotel!Y7</f>
        <v>1210</v>
      </c>
      <c r="N2" s="4">
        <f>Hotel!Z7</f>
        <v>2080</v>
      </c>
      <c r="O2" s="4">
        <f>Hotel!AA7</f>
        <v>1000</v>
      </c>
      <c r="P2" s="4">
        <f>Hotel!AB7</f>
        <v>3120</v>
      </c>
      <c r="Q2" s="4">
        <f>Hotel!AC7</f>
        <v>3240</v>
      </c>
      <c r="R2" s="4">
        <f>Hotel!AV7*0.00378541*100</f>
        <v>811.591904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6</v>
      </c>
      <c r="D3" s="2">
        <v>2020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10">
        <v>6</v>
      </c>
      <c r="D4" s="2">
        <v>2020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10">
        <v>6</v>
      </c>
      <c r="D5" s="2">
        <v>2020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6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6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6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6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6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6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6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6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6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6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6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6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6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6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6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6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6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6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6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6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6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6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6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6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6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6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6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N9" sqref="N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43982</v>
      </c>
      <c r="B2" s="40">
        <v>12</v>
      </c>
      <c r="C2" s="24">
        <v>6022430</v>
      </c>
      <c r="D2" s="24">
        <v>13072330</v>
      </c>
      <c r="E2" s="24">
        <v>1763550</v>
      </c>
      <c r="F2" s="24">
        <v>2860970</v>
      </c>
      <c r="G2" s="24">
        <v>8796590</v>
      </c>
      <c r="H2" s="24">
        <v>4397160</v>
      </c>
      <c r="I2" s="24">
        <v>4224340</v>
      </c>
      <c r="J2" s="24">
        <v>4776540</v>
      </c>
      <c r="K2" s="24">
        <v>7522320</v>
      </c>
      <c r="L2" s="24">
        <v>2894190</v>
      </c>
      <c r="M2" s="24">
        <v>6789070</v>
      </c>
      <c r="N2" s="24">
        <v>9651940</v>
      </c>
      <c r="O2" s="24">
        <v>13111940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952372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952372</v>
      </c>
    </row>
    <row r="7" spans="1:49" x14ac:dyDescent="0.25">
      <c r="A7" s="23">
        <v>43983</v>
      </c>
      <c r="B7" s="40">
        <v>15</v>
      </c>
      <c r="C7" s="24">
        <v>6022940</v>
      </c>
      <c r="D7" s="24">
        <v>13074010</v>
      </c>
      <c r="E7" s="24">
        <v>1766500</v>
      </c>
      <c r="F7" s="24">
        <v>2862220</v>
      </c>
      <c r="G7" s="24">
        <v>8798520</v>
      </c>
      <c r="H7" s="24">
        <v>4398670</v>
      </c>
      <c r="I7" s="24">
        <v>4226130</v>
      </c>
      <c r="J7" s="24">
        <v>4777610</v>
      </c>
      <c r="K7" s="24">
        <v>7523530</v>
      </c>
      <c r="L7" s="24">
        <v>2896270</v>
      </c>
      <c r="M7" s="24">
        <v>6790070</v>
      </c>
      <c r="N7" s="24">
        <v>9655060</v>
      </c>
      <c r="O7" s="24">
        <v>13115180</v>
      </c>
      <c r="Q7" s="37">
        <f>IF((C7-C2&lt;0), "0",C7-C2)</f>
        <v>510</v>
      </c>
      <c r="R7" s="37">
        <f t="shared" ref="R7:AC7" si="0">IF((D7-D2&lt;0), "0",D7-D2)</f>
        <v>1680</v>
      </c>
      <c r="S7" s="37">
        <f>IF((E7-E2&lt;0), "0",E7-E2)</f>
        <v>2950</v>
      </c>
      <c r="T7" s="37">
        <f t="shared" si="0"/>
        <v>1250</v>
      </c>
      <c r="U7" s="37">
        <f t="shared" si="0"/>
        <v>1930</v>
      </c>
      <c r="V7" s="37">
        <f t="shared" si="0"/>
        <v>1510</v>
      </c>
      <c r="W7" s="37">
        <f t="shared" si="0"/>
        <v>1790</v>
      </c>
      <c r="X7" s="37">
        <f t="shared" si="0"/>
        <v>1070</v>
      </c>
      <c r="Y7" s="37">
        <f t="shared" si="0"/>
        <v>1210</v>
      </c>
      <c r="Z7" s="37">
        <f t="shared" si="0"/>
        <v>2080</v>
      </c>
      <c r="AA7" s="37">
        <f t="shared" si="0"/>
        <v>1000</v>
      </c>
      <c r="AB7" s="37">
        <f t="shared" si="0"/>
        <v>3120</v>
      </c>
      <c r="AC7" s="37">
        <f t="shared" si="0"/>
        <v>3240</v>
      </c>
      <c r="AD7" s="34">
        <f>SUM(Q7:AC7)</f>
        <v>23340</v>
      </c>
      <c r="AF7" s="20">
        <f t="shared" ref="AF7:AF36" si="1">Q7*$D$39</f>
        <v>2.5500000000000003</v>
      </c>
      <c r="AG7" s="20">
        <f t="shared" ref="AG7:AG36" si="2">R7*$D$39</f>
        <v>8.4</v>
      </c>
      <c r="AH7" s="20">
        <f t="shared" ref="AH7:AH36" si="3">S7*$D$39</f>
        <v>14.75</v>
      </c>
      <c r="AI7" s="20">
        <f t="shared" ref="AI7:AI36" si="4">T7*$D$39</f>
        <v>6.25</v>
      </c>
      <c r="AJ7" s="20">
        <f t="shared" ref="AJ7:AJ36" si="5">U7*$D$39</f>
        <v>9.65</v>
      </c>
      <c r="AK7" s="20">
        <f t="shared" ref="AK7:AK36" si="6">V7*$D$39</f>
        <v>7.55</v>
      </c>
      <c r="AL7" s="20">
        <f t="shared" ref="AL7:AL36" si="7">W7*$D$39</f>
        <v>8.9500000000000011</v>
      </c>
      <c r="AM7" s="20">
        <f t="shared" ref="AM7:AM36" si="8">X7*$D$39</f>
        <v>5.3500000000000005</v>
      </c>
      <c r="AN7" s="20">
        <f t="shared" ref="AN7:AN36" si="9">Y7*$D$39</f>
        <v>6.05</v>
      </c>
      <c r="AO7" s="20">
        <f t="shared" ref="AO7:AO36" si="10">Z7*$D$39</f>
        <v>10.4</v>
      </c>
      <c r="AP7" s="20">
        <f t="shared" ref="AP7:AP36" si="11">AA7*$D$39</f>
        <v>5</v>
      </c>
      <c r="AQ7" s="20">
        <f t="shared" ref="AQ7:AQ36" si="12">AB7*$D$39</f>
        <v>15.6</v>
      </c>
      <c r="AR7" s="20">
        <f t="shared" ref="AR7:AR36" si="13">AC7*$D$39</f>
        <v>16.2</v>
      </c>
      <c r="AS7" s="35">
        <f>SUM(AF7:AR7)</f>
        <v>116.7</v>
      </c>
      <c r="AU7" s="47">
        <v>954516</v>
      </c>
      <c r="AV7" s="37">
        <f>IF((AU7-AU6&lt;0),"0",AU7-AU6)</f>
        <v>2144</v>
      </c>
      <c r="AW7" s="50">
        <v>0</v>
      </c>
    </row>
    <row r="8" spans="1:49" x14ac:dyDescent="0.25">
      <c r="A8" s="23">
        <v>43984</v>
      </c>
      <c r="B8" s="40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Q8" s="37" t="str">
        <f>IF((C8-C7&lt;0), "0",C8-C7)</f>
        <v>0</v>
      </c>
      <c r="R8" s="37" t="str">
        <f t="shared" ref="R8:AC8" si="14">IF((D8-D7&lt;0), "0",D8-D7)</f>
        <v>0</v>
      </c>
      <c r="S8" s="37" t="str">
        <f t="shared" ref="S8:S35" si="15">IF((E8-E7&lt;0), "0",E8-E7)</f>
        <v>0</v>
      </c>
      <c r="T8" s="37" t="str">
        <f t="shared" si="14"/>
        <v>0</v>
      </c>
      <c r="U8" s="37" t="str">
        <f t="shared" si="14"/>
        <v>0</v>
      </c>
      <c r="V8" s="37" t="str">
        <f t="shared" si="14"/>
        <v>0</v>
      </c>
      <c r="W8" s="37" t="str">
        <f t="shared" si="14"/>
        <v>0</v>
      </c>
      <c r="X8" s="37" t="str">
        <f t="shared" si="14"/>
        <v>0</v>
      </c>
      <c r="Y8" s="37" t="str">
        <f t="shared" si="14"/>
        <v>0</v>
      </c>
      <c r="Z8" s="37" t="str">
        <f t="shared" si="14"/>
        <v>0</v>
      </c>
      <c r="AA8" s="37" t="str">
        <f t="shared" si="14"/>
        <v>0</v>
      </c>
      <c r="AB8" s="37" t="str">
        <f t="shared" si="14"/>
        <v>0</v>
      </c>
      <c r="AC8" s="37" t="str">
        <f t="shared" si="14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47"/>
      <c r="AV8" s="37" t="str">
        <f>IF((AU8-AU7&lt;0),"0",AU8-AU7)</f>
        <v>0</v>
      </c>
      <c r="AW8" s="35">
        <v>0</v>
      </c>
    </row>
    <row r="9" spans="1:49" x14ac:dyDescent="0.25">
      <c r="A9" s="23">
        <v>43985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>
        <f t="shared" ref="Q9:Q30" si="16">IF((C9-C8&lt;0), "0",C9-C8)</f>
        <v>0</v>
      </c>
      <c r="R9" s="37">
        <f t="shared" ref="R9:R35" si="17">IF((D9-D8&lt;0), "0",D9-D8)</f>
        <v>0</v>
      </c>
      <c r="S9" s="37">
        <f t="shared" si="15"/>
        <v>0</v>
      </c>
      <c r="T9" s="37">
        <f t="shared" ref="T9:T35" si="18">IF((F9-F8&lt;0), "0",F9-F8)</f>
        <v>0</v>
      </c>
      <c r="U9" s="37">
        <f t="shared" ref="U9:U35" si="19">IF((G9-G8&lt;0), "0",G9-G8)</f>
        <v>0</v>
      </c>
      <c r="V9" s="37">
        <f t="shared" ref="V9:V35" si="20">IF((H9-H8&lt;0), "0",H9-H8)</f>
        <v>0</v>
      </c>
      <c r="W9" s="37">
        <f t="shared" ref="W9:W35" si="21">IF((I9-I8&lt;0), "0",I9-I8)</f>
        <v>0</v>
      </c>
      <c r="X9" s="37">
        <f t="shared" ref="X9:X35" si="22">IF((J9-J8&lt;0), "0",J9-J8)</f>
        <v>0</v>
      </c>
      <c r="Y9" s="37">
        <f t="shared" ref="Y9:Y35" si="23">IF((K9-K8&lt;0), "0",K9-K8)</f>
        <v>0</v>
      </c>
      <c r="Z9" s="37">
        <f t="shared" ref="Z9:Z35" si="24">IF((L9-L8&lt;0), "0",L9-L8)</f>
        <v>0</v>
      </c>
      <c r="AA9" s="37">
        <f t="shared" ref="AA9:AA35" si="25">IF((M9-M8&lt;0), "0",M9-M8)</f>
        <v>0</v>
      </c>
      <c r="AB9" s="37">
        <f t="shared" ref="AB9:AB37" si="26">IF((N9-N8&lt;0), "0",N9-N8)</f>
        <v>0</v>
      </c>
      <c r="AC9" s="37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43986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43987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43988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43989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43990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43991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43992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43993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43994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43995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43996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43997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43998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43999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44000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44001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44002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44003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44004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44005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44006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44007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44008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44009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44010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44011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44012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510</v>
      </c>
      <c r="R38" s="30">
        <f t="shared" si="62"/>
        <v>1680</v>
      </c>
      <c r="S38" s="30">
        <f t="shared" si="62"/>
        <v>2950</v>
      </c>
      <c r="T38" s="30">
        <f t="shared" si="62"/>
        <v>1250</v>
      </c>
      <c r="U38" s="30">
        <f t="shared" si="62"/>
        <v>1930</v>
      </c>
      <c r="V38" s="30">
        <f t="shared" si="62"/>
        <v>1510</v>
      </c>
      <c r="W38" s="30">
        <f t="shared" si="62"/>
        <v>1790</v>
      </c>
      <c r="X38" s="30">
        <f t="shared" si="62"/>
        <v>1070</v>
      </c>
      <c r="Y38" s="30">
        <f t="shared" si="62"/>
        <v>1210</v>
      </c>
      <c r="Z38" s="30">
        <f t="shared" si="62"/>
        <v>2080</v>
      </c>
      <c r="AA38" s="30">
        <f t="shared" si="62"/>
        <v>1000</v>
      </c>
      <c r="AB38" s="30">
        <f t="shared" si="62"/>
        <v>3120</v>
      </c>
      <c r="AC38" s="30">
        <f t="shared" si="62"/>
        <v>3240</v>
      </c>
      <c r="AD38" s="35">
        <f t="shared" si="62"/>
        <v>23340</v>
      </c>
      <c r="AF38" s="35">
        <f t="shared" ref="AF38:AS38" si="63">SUM(AF7:AF34)</f>
        <v>2.5500000000000003</v>
      </c>
      <c r="AG38" s="35">
        <f t="shared" si="63"/>
        <v>8.4</v>
      </c>
      <c r="AH38" s="35">
        <f t="shared" si="63"/>
        <v>14.75</v>
      </c>
      <c r="AI38" s="35">
        <f t="shared" si="63"/>
        <v>6.25</v>
      </c>
      <c r="AJ38" s="35">
        <f t="shared" si="63"/>
        <v>9.65</v>
      </c>
      <c r="AK38" s="35">
        <f t="shared" si="63"/>
        <v>7.55</v>
      </c>
      <c r="AL38" s="35">
        <f t="shared" si="63"/>
        <v>8.9500000000000011</v>
      </c>
      <c r="AM38" s="35">
        <f t="shared" si="63"/>
        <v>5.3500000000000005</v>
      </c>
      <c r="AN38" s="35">
        <f t="shared" si="63"/>
        <v>6.05</v>
      </c>
      <c r="AO38" s="35">
        <f t="shared" si="63"/>
        <v>10.4</v>
      </c>
      <c r="AP38" s="35">
        <f t="shared" si="63"/>
        <v>5</v>
      </c>
      <c r="AQ38" s="35">
        <f t="shared" si="63"/>
        <v>15.6</v>
      </c>
      <c r="AR38" s="35">
        <f t="shared" si="63"/>
        <v>16.2</v>
      </c>
      <c r="AS38" s="35">
        <f t="shared" si="63"/>
        <v>116.7</v>
      </c>
      <c r="AU38" s="48"/>
      <c r="AV38" s="35">
        <f>SUM(AV7:AV34)</f>
        <v>2144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8115.9190399999998</v>
      </c>
    </row>
    <row r="40" spans="1:49" x14ac:dyDescent="0.25">
      <c r="D40">
        <v>2E-3</v>
      </c>
      <c r="AV40">
        <f>AV39/31</f>
        <v>261.80383999999998</v>
      </c>
    </row>
    <row r="41" spans="1:49" x14ac:dyDescent="0.25">
      <c r="AV41">
        <f>AV38*0.00378541</f>
        <v>8.1159190399999996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2020-06-02T05:32:10Z</dcterms:modified>
</cp:coreProperties>
</file>