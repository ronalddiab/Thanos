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2 au 31.1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4" i="6" l="1"/>
  <c r="E34" i="6"/>
  <c r="C34" i="6"/>
  <c r="G29" i="4"/>
  <c r="E29" i="4"/>
  <c r="C29" i="4"/>
  <c r="G33" i="6" l="1"/>
  <c r="E33" i="6"/>
  <c r="C33" i="6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5" i="4"/>
  <c r="E25" i="4"/>
  <c r="C25" i="4"/>
  <c r="G29" i="6" l="1"/>
  <c r="E29" i="6"/>
  <c r="C29" i="6"/>
  <c r="G24" i="4"/>
  <c r="E24" i="4"/>
  <c r="C24" i="4"/>
  <c r="U11" i="1" l="1"/>
  <c r="U12" i="1"/>
  <c r="U13" i="1"/>
  <c r="U14" i="1"/>
  <c r="U15" i="1"/>
  <c r="U16" i="1"/>
  <c r="U17" i="1"/>
  <c r="U18" i="1"/>
  <c r="U19" i="1"/>
  <c r="U20" i="1"/>
  <c r="U21" i="1"/>
  <c r="U22" i="1"/>
  <c r="U30" i="1"/>
  <c r="U31" i="1"/>
  <c r="U32" i="1"/>
  <c r="U33" i="1"/>
  <c r="U34" i="1"/>
  <c r="U35" i="1"/>
  <c r="U36" i="1"/>
  <c r="U37" i="1"/>
  <c r="U38" i="1"/>
  <c r="U39" i="1"/>
  <c r="U40" i="1"/>
  <c r="U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L10" i="1"/>
  <c r="K10" i="1"/>
  <c r="J10" i="1"/>
  <c r="D10" i="1"/>
  <c r="G28" i="6"/>
  <c r="E28" i="6"/>
  <c r="J23" i="1" s="1"/>
  <c r="C28" i="6"/>
  <c r="D23" i="1" s="1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M23" i="4"/>
  <c r="K23" i="4"/>
  <c r="J23" i="4"/>
  <c r="M22" i="4"/>
  <c r="J22" i="4"/>
  <c r="K22" i="4" s="1"/>
  <c r="M21" i="4"/>
  <c r="K21" i="4"/>
  <c r="J21" i="4"/>
  <c r="M20" i="4"/>
  <c r="J20" i="4"/>
  <c r="K20" i="4" s="1"/>
  <c r="M19" i="4"/>
  <c r="K19" i="4"/>
  <c r="J19" i="4"/>
  <c r="M18" i="4"/>
  <c r="J18" i="4"/>
  <c r="K18" i="4" s="1"/>
  <c r="M17" i="4"/>
  <c r="K17" i="4"/>
  <c r="J17" i="4"/>
  <c r="M16" i="4"/>
  <c r="J16" i="4"/>
  <c r="K16" i="4" s="1"/>
  <c r="M15" i="4"/>
  <c r="K15" i="4"/>
  <c r="J15" i="4"/>
  <c r="M14" i="4"/>
  <c r="J14" i="4"/>
  <c r="K14" i="4" s="1"/>
  <c r="M13" i="4"/>
  <c r="K13" i="4"/>
  <c r="J13" i="4"/>
  <c r="M12" i="4"/>
  <c r="J12" i="4"/>
  <c r="K12" i="4" s="1"/>
  <c r="M11" i="4"/>
  <c r="K11" i="4"/>
  <c r="J11" i="4"/>
  <c r="Z30" i="1" l="1"/>
  <c r="Z31" i="1"/>
  <c r="Z32" i="1"/>
  <c r="Z33" i="1"/>
  <c r="Z34" i="1"/>
  <c r="Z35" i="1"/>
  <c r="Z36" i="1"/>
  <c r="Z37" i="1"/>
  <c r="Z38" i="1"/>
  <c r="Z39" i="1"/>
  <c r="Z40" i="1"/>
  <c r="G14" i="6" l="1"/>
  <c r="E14" i="6"/>
  <c r="C14" i="6"/>
  <c r="G13" i="6"/>
  <c r="E13" i="6"/>
  <c r="C13" i="6"/>
  <c r="G12" i="6"/>
  <c r="E12" i="6"/>
  <c r="C12" i="6"/>
  <c r="C35" i="6" l="1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1" i="6"/>
  <c r="E11" i="6"/>
  <c r="C11" i="6"/>
  <c r="G10" i="6"/>
  <c r="E10" i="6"/>
  <c r="C10" i="6"/>
  <c r="G9" i="6"/>
  <c r="E9" i="6"/>
  <c r="C9" i="6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M32" i="10"/>
  <c r="M36" i="4" l="1"/>
  <c r="J36" i="4"/>
  <c r="K36" i="4" s="1"/>
  <c r="M35" i="4"/>
  <c r="J35" i="4"/>
  <c r="K35" i="4" s="1"/>
  <c r="M34" i="4"/>
  <c r="K34" i="4"/>
  <c r="J34" i="4"/>
  <c r="M33" i="4"/>
  <c r="J33" i="4"/>
  <c r="K33" i="4" s="1"/>
  <c r="M32" i="4"/>
  <c r="J32" i="4"/>
  <c r="K32" i="4" s="1"/>
  <c r="M30" i="4" l="1"/>
  <c r="J30" i="4"/>
  <c r="K30" i="4" s="1"/>
  <c r="M29" i="4"/>
  <c r="J29" i="4"/>
  <c r="K29" i="4" s="1"/>
  <c r="M26" i="4"/>
  <c r="J26" i="4"/>
  <c r="K26" i="4" s="1"/>
  <c r="M25" i="4"/>
  <c r="J25" i="4"/>
  <c r="K25" i="4"/>
  <c r="L24" i="4" s="1"/>
  <c r="N24" i="4" s="1"/>
  <c r="O24" i="4" s="1"/>
  <c r="U24" i="1" s="1"/>
  <c r="M24" i="4"/>
  <c r="J24" i="4"/>
  <c r="K24" i="4" s="1"/>
  <c r="M21" i="1"/>
  <c r="I37" i="6"/>
  <c r="M31" i="1" s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C48" i="6"/>
  <c r="G48" i="6"/>
  <c r="J41" i="1"/>
  <c r="M41" i="4"/>
  <c r="J41" i="4"/>
  <c r="K41" i="4" s="1"/>
  <c r="L40" i="4" s="1"/>
  <c r="M40" i="4"/>
  <c r="J40" i="4"/>
  <c r="K40" i="4"/>
  <c r="K21" i="10"/>
  <c r="F27" i="1"/>
  <c r="K6" i="10"/>
  <c r="M10" i="4"/>
  <c r="J10" i="4"/>
  <c r="K10" i="4" s="1"/>
  <c r="M39" i="4"/>
  <c r="J39" i="4"/>
  <c r="K39" i="4" s="1"/>
  <c r="L38" i="4" s="1"/>
  <c r="N38" i="4" s="1"/>
  <c r="O38" i="4" s="1"/>
  <c r="P38" i="4" s="1"/>
  <c r="M38" i="4"/>
  <c r="J38" i="4"/>
  <c r="K38" i="4" s="1"/>
  <c r="L37" i="4" s="1"/>
  <c r="Y35" i="1"/>
  <c r="Y36" i="1"/>
  <c r="I28" i="10" s="1"/>
  <c r="K22" i="10"/>
  <c r="M31" i="4"/>
  <c r="J31" i="4"/>
  <c r="K31" i="4" s="1"/>
  <c r="F18" i="1"/>
  <c r="K10" i="10"/>
  <c r="F13" i="1"/>
  <c r="K17" i="10"/>
  <c r="M37" i="4"/>
  <c r="J37" i="4"/>
  <c r="K37" i="4" s="1"/>
  <c r="J27" i="4"/>
  <c r="K27" i="4"/>
  <c r="L26" i="4" s="1"/>
  <c r="N26" i="4" s="1"/>
  <c r="O26" i="4" s="1"/>
  <c r="J28" i="4"/>
  <c r="K28" i="4" s="1"/>
  <c r="J42" i="4"/>
  <c r="K42" i="4" s="1"/>
  <c r="L41" i="4" s="1"/>
  <c r="N41" i="4" s="1"/>
  <c r="O41" i="4" s="1"/>
  <c r="P41" i="4" s="1"/>
  <c r="I19" i="6"/>
  <c r="M13" i="1"/>
  <c r="E5" i="10" s="1"/>
  <c r="I20" i="6"/>
  <c r="I21" i="6"/>
  <c r="I22" i="6"/>
  <c r="M16" i="1" s="1"/>
  <c r="I23" i="6"/>
  <c r="I24" i="6"/>
  <c r="M18" i="1" s="1"/>
  <c r="I25" i="6"/>
  <c r="M19" i="1" s="1"/>
  <c r="E11" i="10" s="1"/>
  <c r="I26" i="6"/>
  <c r="M20" i="1" s="1"/>
  <c r="I27" i="6"/>
  <c r="I28" i="6"/>
  <c r="I29" i="6"/>
  <c r="L24" i="1" s="1"/>
  <c r="M24" i="1" s="1"/>
  <c r="I30" i="6"/>
  <c r="L25" i="1" s="1"/>
  <c r="M25" i="1" s="1"/>
  <c r="E17" i="10" s="1"/>
  <c r="I31" i="6"/>
  <c r="L26" i="1" s="1"/>
  <c r="I32" i="6"/>
  <c r="L27" i="1" s="1"/>
  <c r="I33" i="6"/>
  <c r="L28" i="1" s="1"/>
  <c r="I34" i="6"/>
  <c r="L29" i="1" s="1"/>
  <c r="M28" i="1"/>
  <c r="E20" i="10" s="1"/>
  <c r="I35" i="6"/>
  <c r="I36" i="6"/>
  <c r="I38" i="6"/>
  <c r="I39" i="6"/>
  <c r="I40" i="6"/>
  <c r="M34" i="1" s="1"/>
  <c r="I41" i="6"/>
  <c r="I42" i="6"/>
  <c r="I43" i="6"/>
  <c r="M37" i="1" s="1"/>
  <c r="I44" i="6"/>
  <c r="M38" i="1" s="1"/>
  <c r="I45" i="6"/>
  <c r="M39" i="1" s="1"/>
  <c r="E31" i="10" s="1"/>
  <c r="I46" i="6"/>
  <c r="I47" i="6"/>
  <c r="M30" i="10"/>
  <c r="M31" i="10"/>
  <c r="Y28" i="1"/>
  <c r="Z28" i="1" s="1"/>
  <c r="M5" i="10"/>
  <c r="M42" i="4"/>
  <c r="M28" i="4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I25" i="4" s="1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I30" i="10"/>
  <c r="Y37" i="1"/>
  <c r="I29" i="10" s="1"/>
  <c r="Y34" i="1"/>
  <c r="Y33" i="1"/>
  <c r="I25" i="10" s="1"/>
  <c r="Y32" i="1"/>
  <c r="Y31" i="1"/>
  <c r="Y30" i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I18" i="6"/>
  <c r="M12" i="1" s="1"/>
  <c r="I17" i="6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I30" i="4"/>
  <c r="I29" i="4"/>
  <c r="I41" i="4"/>
  <c r="K2" i="10"/>
  <c r="I31" i="4"/>
  <c r="I27" i="4"/>
  <c r="Q44" i="4"/>
  <c r="I20" i="10"/>
  <c r="K27" i="10"/>
  <c r="I27" i="10"/>
  <c r="F17" i="1"/>
  <c r="K9" i="10"/>
  <c r="I22" i="10"/>
  <c r="I23" i="10"/>
  <c r="AC44" i="4"/>
  <c r="F26" i="1"/>
  <c r="K18" i="10"/>
  <c r="I26" i="10"/>
  <c r="K30" i="10"/>
  <c r="F38" i="1"/>
  <c r="I38" i="4"/>
  <c r="I21" i="10" l="1"/>
  <c r="I19" i="10"/>
  <c r="M27" i="1"/>
  <c r="P26" i="4"/>
  <c r="U26" i="1"/>
  <c r="I18" i="10"/>
  <c r="I17" i="10"/>
  <c r="Z25" i="1"/>
  <c r="M22" i="1"/>
  <c r="E14" i="10" s="1"/>
  <c r="L23" i="1"/>
  <c r="M17" i="1"/>
  <c r="E9" i="10" s="1"/>
  <c r="M15" i="1"/>
  <c r="C13" i="4"/>
  <c r="I13" i="4"/>
  <c r="L13" i="4"/>
  <c r="N13" i="4" s="1"/>
  <c r="O13" i="4" s="1"/>
  <c r="P13" i="4" s="1"/>
  <c r="G13" i="4"/>
  <c r="E13" i="4"/>
  <c r="E22" i="4"/>
  <c r="C22" i="4"/>
  <c r="I22" i="4"/>
  <c r="L22" i="4"/>
  <c r="N22" i="4" s="1"/>
  <c r="O22" i="4" s="1"/>
  <c r="P22" i="4" s="1"/>
  <c r="G22" i="4"/>
  <c r="E18" i="4"/>
  <c r="C18" i="4"/>
  <c r="I18" i="4"/>
  <c r="L18" i="4"/>
  <c r="N18" i="4" s="1"/>
  <c r="O18" i="4" s="1"/>
  <c r="P18" i="4" s="1"/>
  <c r="G18" i="4"/>
  <c r="E14" i="4"/>
  <c r="C14" i="4"/>
  <c r="I14" i="4"/>
  <c r="L14" i="4"/>
  <c r="N14" i="4" s="1"/>
  <c r="O14" i="4" s="1"/>
  <c r="P14" i="4" s="1"/>
  <c r="G14" i="4"/>
  <c r="L23" i="4"/>
  <c r="N23" i="4" s="1"/>
  <c r="O23" i="4" s="1"/>
  <c r="G23" i="4"/>
  <c r="E23" i="4"/>
  <c r="C23" i="4"/>
  <c r="I23" i="4"/>
  <c r="L19" i="4"/>
  <c r="N19" i="4" s="1"/>
  <c r="O19" i="4" s="1"/>
  <c r="P19" i="4" s="1"/>
  <c r="G19" i="4"/>
  <c r="E19" i="4"/>
  <c r="C19" i="4"/>
  <c r="I19" i="4"/>
  <c r="L15" i="4"/>
  <c r="N15" i="4" s="1"/>
  <c r="O15" i="4" s="1"/>
  <c r="P15" i="4" s="1"/>
  <c r="G15" i="4"/>
  <c r="E15" i="4"/>
  <c r="C15" i="4"/>
  <c r="I15" i="4"/>
  <c r="L11" i="4"/>
  <c r="N11" i="4" s="1"/>
  <c r="O11" i="4" s="1"/>
  <c r="P11" i="4" s="1"/>
  <c r="G11" i="4"/>
  <c r="E11" i="4"/>
  <c r="C11" i="4"/>
  <c r="I11" i="4"/>
  <c r="C21" i="4"/>
  <c r="I21" i="4"/>
  <c r="L21" i="4"/>
  <c r="N21" i="4" s="1"/>
  <c r="O21" i="4" s="1"/>
  <c r="P21" i="4" s="1"/>
  <c r="G21" i="4"/>
  <c r="E21" i="4"/>
  <c r="C17" i="4"/>
  <c r="I17" i="4"/>
  <c r="L17" i="4"/>
  <c r="N17" i="4" s="1"/>
  <c r="O17" i="4" s="1"/>
  <c r="P17" i="4" s="1"/>
  <c r="G17" i="4"/>
  <c r="E17" i="4"/>
  <c r="I20" i="4"/>
  <c r="L20" i="4"/>
  <c r="N20" i="4" s="1"/>
  <c r="O20" i="4" s="1"/>
  <c r="P20" i="4" s="1"/>
  <c r="G20" i="4"/>
  <c r="E20" i="4"/>
  <c r="C20" i="4"/>
  <c r="I16" i="4"/>
  <c r="L16" i="4"/>
  <c r="N16" i="4" s="1"/>
  <c r="O16" i="4" s="1"/>
  <c r="G16" i="4"/>
  <c r="E16" i="4"/>
  <c r="C16" i="4"/>
  <c r="I12" i="4"/>
  <c r="L12" i="4"/>
  <c r="N12" i="4" s="1"/>
  <c r="O12" i="4" s="1"/>
  <c r="P12" i="4" s="1"/>
  <c r="G12" i="4"/>
  <c r="E12" i="4"/>
  <c r="C12" i="4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W19" i="1"/>
  <c r="O15" i="1"/>
  <c r="E7" i="10"/>
  <c r="O17" i="1"/>
  <c r="M10" i="1"/>
  <c r="E2" i="10" s="1"/>
  <c r="L41" i="1"/>
  <c r="G45" i="1" s="1"/>
  <c r="J45" i="1" s="1"/>
  <c r="G42" i="4"/>
  <c r="E42" i="4"/>
  <c r="C42" i="4"/>
  <c r="G38" i="4"/>
  <c r="C38" i="4"/>
  <c r="E38" i="4"/>
  <c r="C34" i="4"/>
  <c r="E34" i="4"/>
  <c r="G34" i="4"/>
  <c r="C30" i="4"/>
  <c r="G30" i="4"/>
  <c r="E30" i="4"/>
  <c r="I10" i="4"/>
  <c r="G10" i="4"/>
  <c r="E10" i="4"/>
  <c r="C10" i="4"/>
  <c r="L30" i="4"/>
  <c r="N30" i="4" s="1"/>
  <c r="O30" i="4" s="1"/>
  <c r="P30" i="4" s="1"/>
  <c r="P24" i="4"/>
  <c r="O13" i="1"/>
  <c r="I26" i="4"/>
  <c r="F12" i="1"/>
  <c r="M11" i="1"/>
  <c r="C39" i="4"/>
  <c r="G39" i="4"/>
  <c r="E39" i="4"/>
  <c r="C31" i="4"/>
  <c r="E31" i="4"/>
  <c r="G31" i="4"/>
  <c r="M29" i="1"/>
  <c r="E21" i="10" s="1"/>
  <c r="L27" i="4"/>
  <c r="N27" i="4" s="1"/>
  <c r="O27" i="4" s="1"/>
  <c r="N37" i="4"/>
  <c r="O37" i="4" s="1"/>
  <c r="P37" i="4" s="1"/>
  <c r="N40" i="4"/>
  <c r="O40" i="4" s="1"/>
  <c r="F16" i="1"/>
  <c r="L31" i="4"/>
  <c r="N31" i="4" s="1"/>
  <c r="O31" i="4" s="1"/>
  <c r="P31" i="4" s="1"/>
  <c r="F23" i="1"/>
  <c r="I5" i="10"/>
  <c r="C40" i="4"/>
  <c r="E40" i="4"/>
  <c r="G40" i="4"/>
  <c r="C36" i="4"/>
  <c r="E36" i="4"/>
  <c r="G36" i="4"/>
  <c r="E32" i="4"/>
  <c r="G32" i="4"/>
  <c r="C32" i="4"/>
  <c r="C8" i="4"/>
  <c r="G8" i="4"/>
  <c r="E8" i="4"/>
  <c r="M33" i="1"/>
  <c r="M23" i="1"/>
  <c r="E15" i="10" s="1"/>
  <c r="L42" i="4"/>
  <c r="N42" i="4" s="1"/>
  <c r="O42" i="4" s="1"/>
  <c r="P42" i="4" s="1"/>
  <c r="F39" i="1"/>
  <c r="L39" i="4"/>
  <c r="N39" i="4" s="1"/>
  <c r="O39" i="4" s="1"/>
  <c r="P39" i="4" s="1"/>
  <c r="I42" i="4"/>
  <c r="I28" i="4"/>
  <c r="I39" i="4"/>
  <c r="I40" i="4"/>
  <c r="I24" i="4"/>
  <c r="G7" i="4"/>
  <c r="E7" i="4"/>
  <c r="C7" i="4"/>
  <c r="E41" i="4"/>
  <c r="G41" i="4"/>
  <c r="C41" i="4"/>
  <c r="E37" i="4"/>
  <c r="G37" i="4"/>
  <c r="C37" i="4"/>
  <c r="G33" i="4"/>
  <c r="E33" i="4"/>
  <c r="C33" i="4"/>
  <c r="E9" i="4"/>
  <c r="C9" i="4"/>
  <c r="G9" i="4"/>
  <c r="M40" i="1"/>
  <c r="E32" i="10" s="1"/>
  <c r="M32" i="1"/>
  <c r="E24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40" i="1"/>
  <c r="E6" i="10"/>
  <c r="O38" i="1"/>
  <c r="E30" i="10"/>
  <c r="E19" i="10"/>
  <c r="O27" i="1"/>
  <c r="O24" i="1"/>
  <c r="E16" i="10"/>
  <c r="O16" i="1"/>
  <c r="E8" i="10"/>
  <c r="O21" i="1"/>
  <c r="E13" i="10"/>
  <c r="E3" i="10"/>
  <c r="O11" i="1"/>
  <c r="O18" i="1"/>
  <c r="E10" i="10"/>
  <c r="F20" i="1"/>
  <c r="O25" i="1"/>
  <c r="O28" i="1"/>
  <c r="O19" i="1"/>
  <c r="F32" i="1"/>
  <c r="O39" i="1"/>
  <c r="K20" i="10"/>
  <c r="F15" i="1"/>
  <c r="O22" i="1"/>
  <c r="F40" i="1"/>
  <c r="L25" i="4"/>
  <c r="N25" i="4" s="1"/>
  <c r="O25" i="4" s="1"/>
  <c r="C35" i="4"/>
  <c r="E35" i="4"/>
  <c r="G35" i="4"/>
  <c r="AC43" i="4"/>
  <c r="K48" i="4" s="1"/>
  <c r="L48" i="4" s="1"/>
  <c r="M48" i="4" s="1"/>
  <c r="W21" i="1"/>
  <c r="L10" i="4"/>
  <c r="N10" i="4" s="1"/>
  <c r="O10" i="4" s="1"/>
  <c r="P10" i="4" s="1"/>
  <c r="L29" i="4"/>
  <c r="N29" i="4" s="1"/>
  <c r="O29" i="4" s="1"/>
  <c r="W22" i="1"/>
  <c r="W38" i="1"/>
  <c r="W40" i="1"/>
  <c r="W13" i="1"/>
  <c r="L28" i="4"/>
  <c r="N28" i="4" s="1"/>
  <c r="O28" i="4" s="1"/>
  <c r="E6" i="4"/>
  <c r="C6" i="4"/>
  <c r="I6" i="4"/>
  <c r="L6" i="4"/>
  <c r="N6" i="4" s="1"/>
  <c r="O6" i="4" s="1"/>
  <c r="P6" i="4" s="1"/>
  <c r="G6" i="4"/>
  <c r="C5" i="4"/>
  <c r="I5" i="4"/>
  <c r="L5" i="4"/>
  <c r="N5" i="4" s="1"/>
  <c r="O5" i="4" s="1"/>
  <c r="P5" i="4" s="1"/>
  <c r="G5" i="4"/>
  <c r="E5" i="4"/>
  <c r="I4" i="4"/>
  <c r="L4" i="4"/>
  <c r="N4" i="4" s="1"/>
  <c r="O4" i="4" s="1"/>
  <c r="P4" i="4" s="1"/>
  <c r="G4" i="4"/>
  <c r="E4" i="4"/>
  <c r="C4" i="4"/>
  <c r="I8" i="4"/>
  <c r="L8" i="4"/>
  <c r="N8" i="4" s="1"/>
  <c r="O8" i="4" s="1"/>
  <c r="P8" i="4" s="1"/>
  <c r="L7" i="4"/>
  <c r="N7" i="4" s="1"/>
  <c r="O7" i="4" s="1"/>
  <c r="P7" i="4" s="1"/>
  <c r="I7" i="4"/>
  <c r="I9" i="4"/>
  <c r="L9" i="4"/>
  <c r="N9" i="4" s="1"/>
  <c r="O9" i="4" s="1"/>
  <c r="P9" i="4" s="1"/>
  <c r="I16" i="10"/>
  <c r="I14" i="10"/>
  <c r="E29" i="10"/>
  <c r="O37" i="1"/>
  <c r="M36" i="1"/>
  <c r="E28" i="10" s="1"/>
  <c r="D41" i="1"/>
  <c r="G46" i="1" s="1"/>
  <c r="J46" i="1" s="1"/>
  <c r="L46" i="1" s="1"/>
  <c r="W37" i="1"/>
  <c r="M35" i="1"/>
  <c r="O35" i="1" s="1"/>
  <c r="G43" i="1"/>
  <c r="J43" i="1" s="1"/>
  <c r="W36" i="1"/>
  <c r="M30" i="1"/>
  <c r="E26" i="10"/>
  <c r="O34" i="1"/>
  <c r="E25" i="10"/>
  <c r="O33" i="1"/>
  <c r="E23" i="10"/>
  <c r="O31" i="1"/>
  <c r="I48" i="6"/>
  <c r="F31" i="1"/>
  <c r="F33" i="1"/>
  <c r="E48" i="6"/>
  <c r="W30" i="1"/>
  <c r="I34" i="4"/>
  <c r="L34" i="4"/>
  <c r="N34" i="4" s="1"/>
  <c r="O34" i="4" s="1"/>
  <c r="P34" i="4" s="1"/>
  <c r="I35" i="4"/>
  <c r="L35" i="4"/>
  <c r="N35" i="4" s="1"/>
  <c r="O35" i="4" s="1"/>
  <c r="P35" i="4" s="1"/>
  <c r="L36" i="4"/>
  <c r="N36" i="4" s="1"/>
  <c r="O36" i="4" s="1"/>
  <c r="P36" i="4" s="1"/>
  <c r="I36" i="4"/>
  <c r="L32" i="4"/>
  <c r="N32" i="4" s="1"/>
  <c r="O32" i="4" s="1"/>
  <c r="P32" i="4" s="1"/>
  <c r="I32" i="4"/>
  <c r="I33" i="4"/>
  <c r="L33" i="4"/>
  <c r="N33" i="4" s="1"/>
  <c r="O33" i="4" s="1"/>
  <c r="P33" i="4" s="1"/>
  <c r="I24" i="10"/>
  <c r="P29" i="4" l="1"/>
  <c r="U29" i="1"/>
  <c r="W29" i="1" s="1"/>
  <c r="P28" i="4"/>
  <c r="U28" i="1"/>
  <c r="W28" i="1" s="1"/>
  <c r="P27" i="4"/>
  <c r="U27" i="1"/>
  <c r="W27" i="1" s="1"/>
  <c r="P25" i="4"/>
  <c r="U25" i="1"/>
  <c r="W25" i="1" s="1"/>
  <c r="P23" i="4"/>
  <c r="U23" i="1"/>
  <c r="E18" i="10"/>
  <c r="O32" i="1"/>
  <c r="O29" i="1"/>
  <c r="O23" i="1"/>
  <c r="O10" i="1"/>
  <c r="F41" i="1"/>
  <c r="W20" i="1"/>
  <c r="W14" i="1"/>
  <c r="W12" i="1"/>
  <c r="P16" i="4"/>
  <c r="O36" i="1"/>
  <c r="E27" i="10"/>
  <c r="G43" i="4"/>
  <c r="Z41" i="1"/>
  <c r="W26" i="1"/>
  <c r="G11" i="10"/>
  <c r="O11" i="10" s="1"/>
  <c r="P40" i="4"/>
  <c r="M41" i="1"/>
  <c r="W18" i="1"/>
  <c r="G10" i="10"/>
  <c r="O10" i="10" s="1"/>
  <c r="W24" i="1"/>
  <c r="W17" i="1"/>
  <c r="G30" i="10"/>
  <c r="G32" i="10"/>
  <c r="G17" i="10"/>
  <c r="O17" i="10" s="1"/>
  <c r="G13" i="10"/>
  <c r="O13" i="10" s="1"/>
  <c r="G14" i="10"/>
  <c r="O14" i="10" s="1"/>
  <c r="G5" i="10"/>
  <c r="O5" i="10" s="1"/>
  <c r="G18" i="10"/>
  <c r="G21" i="10"/>
  <c r="O21" i="10" s="1"/>
  <c r="G4" i="10"/>
  <c r="O4" i="10" s="1"/>
  <c r="W16" i="1"/>
  <c r="L43" i="1"/>
  <c r="G29" i="10"/>
  <c r="O29" i="10" s="1"/>
  <c r="I43" i="4"/>
  <c r="G28" i="10"/>
  <c r="O28" i="10" s="1"/>
  <c r="O30" i="1"/>
  <c r="E22" i="10"/>
  <c r="W32" i="1"/>
  <c r="E43" i="4"/>
  <c r="W35" i="1"/>
  <c r="W33" i="1"/>
  <c r="C43" i="4"/>
  <c r="W34" i="1"/>
  <c r="W31" i="1"/>
  <c r="N43" i="4"/>
  <c r="G22" i="10"/>
  <c r="W23" i="1" l="1"/>
  <c r="G15" i="10"/>
  <c r="O15" i="10" s="1"/>
  <c r="O18" i="10"/>
  <c r="O41" i="1"/>
  <c r="G6" i="10"/>
  <c r="O6" i="10" s="1"/>
  <c r="W15" i="1"/>
  <c r="G7" i="10"/>
  <c r="O7" i="10" s="1"/>
  <c r="G12" i="10"/>
  <c r="O12" i="10" s="1"/>
  <c r="W11" i="1"/>
  <c r="G3" i="10"/>
  <c r="O3" i="10" s="1"/>
  <c r="W39" i="1"/>
  <c r="G31" i="10"/>
  <c r="U41" i="1"/>
  <c r="G47" i="1" s="1"/>
  <c r="J47" i="1" s="1"/>
  <c r="L47" i="1" s="1"/>
  <c r="W10" i="1"/>
  <c r="G2" i="10"/>
  <c r="O2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W41" i="1" l="1"/>
  <c r="L47" i="4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<sst xmlns="http://schemas.openxmlformats.org/spreadsheetml/2006/main" count="125" uniqueCount="82">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</sst>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5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47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5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380</c:v>
                </c:pt>
                <c:pt idx="1">
                  <c:v>380</c:v>
                </c:pt>
                <c:pt idx="2">
                  <c:v>440</c:v>
                </c:pt>
                <c:pt idx="3">
                  <c:v>450</c:v>
                </c:pt>
                <c:pt idx="4">
                  <c:v>370</c:v>
                </c:pt>
                <c:pt idx="5">
                  <c:v>380</c:v>
                </c:pt>
                <c:pt idx="6">
                  <c:v>380</c:v>
                </c:pt>
                <c:pt idx="7">
                  <c:v>450</c:v>
                </c:pt>
                <c:pt idx="8">
                  <c:v>400</c:v>
                </c:pt>
                <c:pt idx="9">
                  <c:v>440</c:v>
                </c:pt>
                <c:pt idx="10">
                  <c:v>470</c:v>
                </c:pt>
                <c:pt idx="11">
                  <c:v>410</c:v>
                </c:pt>
                <c:pt idx="12">
                  <c:v>490</c:v>
                </c:pt>
                <c:pt idx="13">
                  <c:v>500</c:v>
                </c:pt>
                <c:pt idx="14">
                  <c:v>400</c:v>
                </c:pt>
                <c:pt idx="15">
                  <c:v>420</c:v>
                </c:pt>
                <c:pt idx="16">
                  <c:v>540</c:v>
                </c:pt>
                <c:pt idx="17">
                  <c:v>400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62784"/>
        <c:axId val="98967936"/>
      </c:lineChart>
      <c:dateAx>
        <c:axId val="8866278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67936"/>
        <c:crosses val="autoZero"/>
        <c:auto val="1"/>
        <c:lblOffset val="100"/>
        <c:baseTimeUnit val="days"/>
      </c:dateAx>
      <c:valAx>
        <c:axId val="9896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627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4297</c:v>
                </c:pt>
                <c:pt idx="1">
                  <c:v>4166</c:v>
                </c:pt>
                <c:pt idx="2">
                  <c:v>4200</c:v>
                </c:pt>
                <c:pt idx="3">
                  <c:v>3869</c:v>
                </c:pt>
                <c:pt idx="4">
                  <c:v>3891</c:v>
                </c:pt>
                <c:pt idx="5">
                  <c:v>3996</c:v>
                </c:pt>
                <c:pt idx="6">
                  <c:v>4022</c:v>
                </c:pt>
                <c:pt idx="7">
                  <c:v>4155</c:v>
                </c:pt>
                <c:pt idx="8">
                  <c:v>4166</c:v>
                </c:pt>
                <c:pt idx="9">
                  <c:v>4717</c:v>
                </c:pt>
                <c:pt idx="10">
                  <c:v>4350</c:v>
                </c:pt>
                <c:pt idx="11">
                  <c:v>4884</c:v>
                </c:pt>
                <c:pt idx="12">
                  <c:v>4095</c:v>
                </c:pt>
                <c:pt idx="13">
                  <c:v>3903</c:v>
                </c:pt>
                <c:pt idx="14">
                  <c:v>4579</c:v>
                </c:pt>
                <c:pt idx="15">
                  <c:v>3071</c:v>
                </c:pt>
                <c:pt idx="16">
                  <c:v>4123</c:v>
                </c:pt>
                <c:pt idx="17">
                  <c:v>4185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6427</c:v>
                </c:pt>
                <c:pt idx="1">
                  <c:v>6581</c:v>
                </c:pt>
                <c:pt idx="2">
                  <c:v>6277</c:v>
                </c:pt>
                <c:pt idx="3">
                  <c:v>6022</c:v>
                </c:pt>
                <c:pt idx="4">
                  <c:v>6732</c:v>
                </c:pt>
                <c:pt idx="5">
                  <c:v>6185</c:v>
                </c:pt>
                <c:pt idx="6">
                  <c:v>6025</c:v>
                </c:pt>
                <c:pt idx="7">
                  <c:v>6276</c:v>
                </c:pt>
                <c:pt idx="8">
                  <c:v>6425</c:v>
                </c:pt>
                <c:pt idx="9">
                  <c:v>6392</c:v>
                </c:pt>
                <c:pt idx="10">
                  <c:v>6907</c:v>
                </c:pt>
                <c:pt idx="11">
                  <c:v>6348</c:v>
                </c:pt>
                <c:pt idx="12">
                  <c:v>5927</c:v>
                </c:pt>
                <c:pt idx="13">
                  <c:v>6043</c:v>
                </c:pt>
                <c:pt idx="14">
                  <c:v>6190</c:v>
                </c:pt>
                <c:pt idx="15">
                  <c:v>6411</c:v>
                </c:pt>
                <c:pt idx="16">
                  <c:v>6230</c:v>
                </c:pt>
                <c:pt idx="17">
                  <c:v>6102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3072</c:v>
                </c:pt>
                <c:pt idx="1">
                  <c:v>2944</c:v>
                </c:pt>
                <c:pt idx="2">
                  <c:v>2819</c:v>
                </c:pt>
                <c:pt idx="3">
                  <c:v>2813</c:v>
                </c:pt>
                <c:pt idx="4">
                  <c:v>2829</c:v>
                </c:pt>
                <c:pt idx="5">
                  <c:v>2927</c:v>
                </c:pt>
                <c:pt idx="6">
                  <c:v>2838</c:v>
                </c:pt>
                <c:pt idx="7">
                  <c:v>3010</c:v>
                </c:pt>
                <c:pt idx="8">
                  <c:v>2953</c:v>
                </c:pt>
                <c:pt idx="9">
                  <c:v>3221</c:v>
                </c:pt>
                <c:pt idx="10">
                  <c:v>3242</c:v>
                </c:pt>
                <c:pt idx="11">
                  <c:v>3486</c:v>
                </c:pt>
                <c:pt idx="12">
                  <c:v>2954</c:v>
                </c:pt>
                <c:pt idx="13">
                  <c:v>2713</c:v>
                </c:pt>
                <c:pt idx="14">
                  <c:v>3137</c:v>
                </c:pt>
                <c:pt idx="15">
                  <c:v>3087</c:v>
                </c:pt>
                <c:pt idx="16">
                  <c:v>2788</c:v>
                </c:pt>
                <c:pt idx="17">
                  <c:v>2900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03008"/>
        <c:axId val="99004800"/>
      </c:lineChart>
      <c:dateAx>
        <c:axId val="990030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04800"/>
        <c:crosses val="autoZero"/>
        <c:auto val="1"/>
        <c:lblOffset val="100"/>
        <c:baseTimeUnit val="days"/>
      </c:dateAx>
      <c:valAx>
        <c:axId val="990048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0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43800</c:v>
                </c:pt>
                <c:pt idx="1">
                  <c:v>43801</c:v>
                </c:pt>
                <c:pt idx="2">
                  <c:v>43802</c:v>
                </c:pt>
                <c:pt idx="3">
                  <c:v>43803</c:v>
                </c:pt>
                <c:pt idx="4">
                  <c:v>43804</c:v>
                </c:pt>
                <c:pt idx="5">
                  <c:v>43805</c:v>
                </c:pt>
                <c:pt idx="6">
                  <c:v>43806</c:v>
                </c:pt>
                <c:pt idx="7">
                  <c:v>43807</c:v>
                </c:pt>
                <c:pt idx="8">
                  <c:v>43808</c:v>
                </c:pt>
                <c:pt idx="9">
                  <c:v>43809</c:v>
                </c:pt>
                <c:pt idx="10">
                  <c:v>43810</c:v>
                </c:pt>
                <c:pt idx="11">
                  <c:v>43811</c:v>
                </c:pt>
                <c:pt idx="12">
                  <c:v>43812</c:v>
                </c:pt>
                <c:pt idx="13">
                  <c:v>43813</c:v>
                </c:pt>
                <c:pt idx="14">
                  <c:v>43814</c:v>
                </c:pt>
                <c:pt idx="15">
                  <c:v>43815</c:v>
                </c:pt>
                <c:pt idx="16">
                  <c:v>43816</c:v>
                </c:pt>
                <c:pt idx="17">
                  <c:v>43817</c:v>
                </c:pt>
                <c:pt idx="18">
                  <c:v>43818</c:v>
                </c:pt>
                <c:pt idx="19">
                  <c:v>43819</c:v>
                </c:pt>
                <c:pt idx="20">
                  <c:v>43820</c:v>
                </c:pt>
                <c:pt idx="21">
                  <c:v>43821</c:v>
                </c:pt>
                <c:pt idx="22">
                  <c:v>43822</c:v>
                </c:pt>
                <c:pt idx="23">
                  <c:v>43823</c:v>
                </c:pt>
                <c:pt idx="24">
                  <c:v>43824</c:v>
                </c:pt>
                <c:pt idx="25">
                  <c:v>43825</c:v>
                </c:pt>
                <c:pt idx="26">
                  <c:v>43826</c:v>
                </c:pt>
                <c:pt idx="27">
                  <c:v>43827</c:v>
                </c:pt>
                <c:pt idx="28">
                  <c:v>43828</c:v>
                </c:pt>
                <c:pt idx="29">
                  <c:v>43829</c:v>
                </c:pt>
                <c:pt idx="30">
                  <c:v>43830</c:v>
                </c:pt>
                <c:pt idx="31">
                  <c:v>43831</c:v>
                </c:pt>
                <c:pt idx="32">
                  <c:v>43832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816.2</c:v>
                </c:pt>
                <c:pt idx="2">
                  <c:v>927.5</c:v>
                </c:pt>
                <c:pt idx="3">
                  <c:v>445.20000000000005</c:v>
                </c:pt>
                <c:pt idx="4">
                  <c:v>1298.5</c:v>
                </c:pt>
                <c:pt idx="5">
                  <c:v>1335.6000000000001</c:v>
                </c:pt>
                <c:pt idx="6">
                  <c:v>556.5</c:v>
                </c:pt>
                <c:pt idx="7">
                  <c:v>742</c:v>
                </c:pt>
                <c:pt idx="8">
                  <c:v>593.6</c:v>
                </c:pt>
                <c:pt idx="9">
                  <c:v>1261.4000000000001</c:v>
                </c:pt>
                <c:pt idx="10">
                  <c:v>1113</c:v>
                </c:pt>
                <c:pt idx="11">
                  <c:v>853.30000000000007</c:v>
                </c:pt>
                <c:pt idx="12">
                  <c:v>148.4</c:v>
                </c:pt>
                <c:pt idx="13">
                  <c:v>1001.7</c:v>
                </c:pt>
                <c:pt idx="14">
                  <c:v>964.6</c:v>
                </c:pt>
                <c:pt idx="15">
                  <c:v>779.1</c:v>
                </c:pt>
                <c:pt idx="16">
                  <c:v>1150.1000000000001</c:v>
                </c:pt>
                <c:pt idx="17">
                  <c:v>1595.3000000000002</c:v>
                </c:pt>
                <c:pt idx="18">
                  <c:v>1075.9000000000001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92064"/>
        <c:axId val="97593600"/>
      </c:lineChart>
      <c:dateAx>
        <c:axId val="9759206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93600"/>
        <c:crosses val="autoZero"/>
        <c:auto val="1"/>
        <c:lblOffset val="100"/>
        <c:baseTimeUnit val="days"/>
      </c:dateAx>
      <c:valAx>
        <c:axId val="975936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9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20" sqref="A20:XFD2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6" customFormat="1" ht="60.75" thickBot="1" x14ac:dyDescent="0.3">
      <c r="A1" s="107" t="s">
        <v>63</v>
      </c>
      <c r="B1" s="107" t="s">
        <v>64</v>
      </c>
      <c r="C1" s="107" t="s">
        <v>65</v>
      </c>
      <c r="D1" s="107" t="s">
        <v>66</v>
      </c>
      <c r="E1" s="108" t="s">
        <v>67</v>
      </c>
      <c r="F1" s="108" t="s">
        <v>77</v>
      </c>
      <c r="G1" s="108" t="s">
        <v>68</v>
      </c>
      <c r="H1" s="108" t="s">
        <v>69</v>
      </c>
      <c r="I1" s="109" t="s">
        <v>73</v>
      </c>
      <c r="J1" s="109" t="s">
        <v>78</v>
      </c>
      <c r="K1" s="108" t="s">
        <v>70</v>
      </c>
      <c r="L1" s="108" t="s">
        <v>79</v>
      </c>
      <c r="M1" s="108" t="s">
        <v>71</v>
      </c>
      <c r="N1" s="108" t="s">
        <v>72</v>
      </c>
      <c r="O1" s="123" t="s">
        <v>76</v>
      </c>
    </row>
    <row r="2" spans="1:15" x14ac:dyDescent="0.2">
      <c r="A2" s="111" t="s">
        <v>74</v>
      </c>
      <c r="B2">
        <v>1</v>
      </c>
      <c r="C2">
        <v>12</v>
      </c>
      <c r="D2" s="124">
        <v>2019</v>
      </c>
      <c r="E2" s="110">
        <f>'Consommation du 01.12 au 31.12'!M10</f>
        <v>14042</v>
      </c>
      <c r="F2" s="110">
        <v>1.002</v>
      </c>
      <c r="G2" s="110">
        <f>'Consommation du 01.12 au 31.12'!U10</f>
        <v>333.90000000000003</v>
      </c>
      <c r="H2" s="110">
        <v>8.3673000000000002</v>
      </c>
      <c r="I2" s="110">
        <f>'Consommation du 01.12 au 31.12'!Y10*1000</f>
        <v>17829.999999999927</v>
      </c>
      <c r="J2" s="110">
        <v>0.53</v>
      </c>
      <c r="K2" s="110">
        <f>'Consommation du 01.12 au 31.12'!D10</f>
        <v>500</v>
      </c>
      <c r="L2" s="110">
        <v>12.67</v>
      </c>
      <c r="M2" s="124">
        <f>'Consommation du 01.12 au 31.12'!AC10</f>
        <v>130</v>
      </c>
      <c r="N2" s="124">
        <v>249</v>
      </c>
      <c r="O2" s="110">
        <f>E2*F2+G2*H2+I2*J2+K2*L2</f>
        <v>32648.825469999963</v>
      </c>
    </row>
    <row r="3" spans="1:15" x14ac:dyDescent="0.2">
      <c r="A3" s="111" t="s">
        <v>74</v>
      </c>
      <c r="B3">
        <f>B2+1</f>
        <v>2</v>
      </c>
      <c r="C3">
        <v>12</v>
      </c>
      <c r="D3" s="124">
        <v>2019</v>
      </c>
      <c r="E3" s="110">
        <f>'Consommation du 01.12 au 31.12'!M11</f>
        <v>13796</v>
      </c>
      <c r="F3" s="110">
        <v>1.002</v>
      </c>
      <c r="G3" s="110">
        <f>'Consommation du 01.12 au 31.12'!U11</f>
        <v>816.2</v>
      </c>
      <c r="H3" s="110">
        <v>8.3673000000000002</v>
      </c>
      <c r="I3" s="110">
        <f>'Consommation du 01.12 au 31.12'!Y11*1000</f>
        <v>16859.999999998763</v>
      </c>
      <c r="J3" s="110">
        <v>0.53</v>
      </c>
      <c r="K3" s="110">
        <f>'Consommation du 01.12 au 31.12'!D11</f>
        <v>380</v>
      </c>
      <c r="L3" s="110">
        <v>12.67</v>
      </c>
      <c r="M3" s="124">
        <f>'Consommation du 01.12 au 31.12'!AC11</f>
        <v>106</v>
      </c>
      <c r="N3" s="124">
        <v>201</v>
      </c>
      <c r="O3" s="110">
        <f t="shared" ref="O3:O29" si="0">E3*F3+G3*H3+I3*J3+K3*L3</f>
        <v>34403.382259999344</v>
      </c>
    </row>
    <row r="4" spans="1:15" x14ac:dyDescent="0.2">
      <c r="A4" s="111" t="s">
        <v>74</v>
      </c>
      <c r="B4">
        <f t="shared" ref="B4:B32" si="1">B3+1</f>
        <v>3</v>
      </c>
      <c r="C4">
        <v>12</v>
      </c>
      <c r="D4" s="124">
        <v>2019</v>
      </c>
      <c r="E4" s="110">
        <f>'Consommation du 01.12 au 31.12'!M12</f>
        <v>13691</v>
      </c>
      <c r="F4" s="110">
        <v>1.002</v>
      </c>
      <c r="G4" s="110">
        <f>'Consommation du 01.12 au 31.12'!U12</f>
        <v>927.5</v>
      </c>
      <c r="H4" s="110">
        <v>8.3673000000000002</v>
      </c>
      <c r="I4" s="110">
        <f>'Consommation du 01.12 au 31.12'!Y12*1000</f>
        <v>15520.000000000437</v>
      </c>
      <c r="J4" s="110">
        <v>0.53</v>
      </c>
      <c r="K4" s="110">
        <f>'Consommation du 01.12 au 31.12'!D12</f>
        <v>380</v>
      </c>
      <c r="L4" s="110">
        <v>12.67</v>
      </c>
      <c r="M4" s="124">
        <f>'Consommation du 01.12 au 31.12'!AC12</f>
        <v>83</v>
      </c>
      <c r="N4" s="124">
        <v>161</v>
      </c>
      <c r="O4" s="110">
        <f t="shared" si="0"/>
        <v>34519.252750000232</v>
      </c>
    </row>
    <row r="5" spans="1:15" x14ac:dyDescent="0.2">
      <c r="A5" s="111" t="s">
        <v>74</v>
      </c>
      <c r="B5">
        <f t="shared" si="1"/>
        <v>4</v>
      </c>
      <c r="C5">
        <v>12</v>
      </c>
      <c r="D5" s="124">
        <v>2019</v>
      </c>
      <c r="E5" s="110">
        <f>'Consommation du 01.12 au 31.12'!M13</f>
        <v>13296</v>
      </c>
      <c r="F5" s="110">
        <v>1.002</v>
      </c>
      <c r="G5" s="110">
        <f>'Consommation du 01.12 au 31.12'!U13</f>
        <v>445.20000000000005</v>
      </c>
      <c r="H5" s="110">
        <v>8.3673000000000002</v>
      </c>
      <c r="I5" s="110">
        <f>'Consommation du 01.12 au 31.12'!Y13*1000</f>
        <v>16579.999999999927</v>
      </c>
      <c r="J5" s="110">
        <v>0.53</v>
      </c>
      <c r="K5" s="110">
        <f>'Consommation du 01.12 au 31.12'!D13</f>
        <v>440</v>
      </c>
      <c r="L5" s="110">
        <v>12.67</v>
      </c>
      <c r="M5" s="124">
        <f>'Consommation du 01.12 au 31.12'!AC13</f>
        <v>37</v>
      </c>
      <c r="N5" s="124">
        <v>69</v>
      </c>
      <c r="O5" s="110">
        <f t="shared" si="0"/>
        <v>31409.913959999962</v>
      </c>
    </row>
    <row r="6" spans="1:15" x14ac:dyDescent="0.2">
      <c r="A6" s="111" t="s">
        <v>74</v>
      </c>
      <c r="B6">
        <f t="shared" si="1"/>
        <v>5</v>
      </c>
      <c r="C6">
        <v>12</v>
      </c>
      <c r="D6" s="124">
        <v>2019</v>
      </c>
      <c r="E6" s="110">
        <f>'Consommation du 01.12 au 31.12'!M14</f>
        <v>12704</v>
      </c>
      <c r="F6" s="110">
        <v>1.002</v>
      </c>
      <c r="G6" s="110">
        <f>'Consommation du 01.12 au 31.12'!U14</f>
        <v>1298.5</v>
      </c>
      <c r="H6" s="110">
        <v>8.3673000000000002</v>
      </c>
      <c r="I6" s="110">
        <f>'Consommation du 01.12 au 31.12'!Y14*1000</f>
        <v>11329.999999999927</v>
      </c>
      <c r="J6" s="110">
        <v>0.53</v>
      </c>
      <c r="K6" s="110">
        <f>'Consommation du 01.12 au 31.12'!D14</f>
        <v>450</v>
      </c>
      <c r="L6" s="110">
        <v>12.67</v>
      </c>
      <c r="M6" s="124">
        <f>'Consommation du 01.12 au 31.12'!AC14</f>
        <v>55</v>
      </c>
      <c r="N6" s="124">
        <v>104</v>
      </c>
      <c r="O6" s="110">
        <f t="shared" si="0"/>
        <v>35300.747049999962</v>
      </c>
    </row>
    <row r="7" spans="1:15" x14ac:dyDescent="0.2">
      <c r="A7" s="111" t="s">
        <v>74</v>
      </c>
      <c r="B7">
        <f t="shared" si="1"/>
        <v>6</v>
      </c>
      <c r="C7">
        <v>12</v>
      </c>
      <c r="D7" s="124">
        <v>2019</v>
      </c>
      <c r="E7" s="110">
        <f>'Consommation du 01.12 au 31.12'!M15</f>
        <v>13452</v>
      </c>
      <c r="F7" s="110">
        <v>1.002</v>
      </c>
      <c r="G7" s="110">
        <f>'Consommation du 01.12 au 31.12'!U15</f>
        <v>1335.6000000000001</v>
      </c>
      <c r="H7" s="110">
        <v>8.3673000000000002</v>
      </c>
      <c r="I7" s="110">
        <f>'Consommation du 01.12 au 31.12'!Y15*1000</f>
        <v>7229.9999999995634</v>
      </c>
      <c r="J7" s="110">
        <v>0.53</v>
      </c>
      <c r="K7" s="110">
        <f>'Consommation du 01.12 au 31.12'!D15</f>
        <v>370</v>
      </c>
      <c r="L7" s="110">
        <v>12.67</v>
      </c>
      <c r="M7" s="124">
        <f>'Consommation du 01.12 au 31.12'!AC15</f>
        <v>67</v>
      </c>
      <c r="N7" s="124">
        <v>129</v>
      </c>
      <c r="O7" s="110">
        <f t="shared" si="0"/>
        <v>33174.06987999977</v>
      </c>
    </row>
    <row r="8" spans="1:15" x14ac:dyDescent="0.2">
      <c r="A8" s="111" t="s">
        <v>74</v>
      </c>
      <c r="B8">
        <f t="shared" si="1"/>
        <v>7</v>
      </c>
      <c r="C8">
        <v>12</v>
      </c>
      <c r="D8" s="124">
        <v>2019</v>
      </c>
      <c r="E8" s="110">
        <f>'Consommation du 01.12 au 31.12'!M16</f>
        <v>13108</v>
      </c>
      <c r="F8" s="110">
        <v>1.002</v>
      </c>
      <c r="G8" s="110">
        <f>'Consommation du 01.12 au 31.12'!U16</f>
        <v>556.5</v>
      </c>
      <c r="H8" s="110">
        <v>8.3673000000000002</v>
      </c>
      <c r="I8" s="110">
        <f>'Consommation du 01.12 au 31.12'!Y16*1000</f>
        <v>17710.000000000946</v>
      </c>
      <c r="J8" s="110">
        <v>0.53</v>
      </c>
      <c r="K8" s="110">
        <f>'Consommation du 01.12 au 31.12'!D16</f>
        <v>380</v>
      </c>
      <c r="L8" s="110">
        <v>12.67</v>
      </c>
      <c r="M8" s="124">
        <f>'Consommation du 01.12 au 31.12'!AC16</f>
        <v>65</v>
      </c>
      <c r="N8" s="124">
        <v>128</v>
      </c>
      <c r="O8" s="110">
        <f t="shared" si="0"/>
        <v>31991.518450000505</v>
      </c>
    </row>
    <row r="9" spans="1:15" x14ac:dyDescent="0.2">
      <c r="A9" s="111" t="s">
        <v>74</v>
      </c>
      <c r="B9">
        <f t="shared" si="1"/>
        <v>8</v>
      </c>
      <c r="C9">
        <v>12</v>
      </c>
      <c r="D9" s="124">
        <v>2019</v>
      </c>
      <c r="E9" s="110">
        <f>'Consommation du 01.12 au 31.12'!M17</f>
        <v>12885</v>
      </c>
      <c r="F9" s="110">
        <v>1.002</v>
      </c>
      <c r="G9" s="110">
        <f>'Consommation du 01.12 au 31.12'!U17</f>
        <v>742</v>
      </c>
      <c r="H9" s="110">
        <v>8.3673000000000002</v>
      </c>
      <c r="I9" s="110">
        <f>'Consommation du 01.12 au 31.12'!Y17*1000</f>
        <v>18850.000000000364</v>
      </c>
      <c r="J9" s="110">
        <v>0.53</v>
      </c>
      <c r="K9" s="110">
        <f>'Consommation du 01.12 au 31.12'!D17</f>
        <v>380</v>
      </c>
      <c r="L9" s="110">
        <v>12.67</v>
      </c>
      <c r="M9" s="124">
        <f>'Consommation du 01.12 au 31.12'!AC17</f>
        <v>57</v>
      </c>
      <c r="N9" s="124">
        <v>106</v>
      </c>
      <c r="O9" s="110">
        <f t="shared" si="0"/>
        <v>33924.406600000191</v>
      </c>
    </row>
    <row r="10" spans="1:15" x14ac:dyDescent="0.2">
      <c r="A10" s="111" t="s">
        <v>74</v>
      </c>
      <c r="B10">
        <f t="shared" si="1"/>
        <v>9</v>
      </c>
      <c r="C10">
        <v>12</v>
      </c>
      <c r="D10" s="124">
        <v>2019</v>
      </c>
      <c r="E10" s="110">
        <f>'Consommation du 01.12 au 31.12'!M18</f>
        <v>13441</v>
      </c>
      <c r="F10" s="110">
        <v>1.002</v>
      </c>
      <c r="G10" s="110">
        <f>'Consommation du 01.12 au 31.12'!U18</f>
        <v>593.6</v>
      </c>
      <c r="H10" s="110">
        <v>8.3673000000000002</v>
      </c>
      <c r="I10" s="110">
        <f>'Consommation du 01.12 au 31.12'!Y18*1000</f>
        <v>15920.000000000073</v>
      </c>
      <c r="J10" s="110">
        <v>0.53</v>
      </c>
      <c r="K10" s="110">
        <f>'Consommation du 01.12 au 31.12'!D18</f>
        <v>450</v>
      </c>
      <c r="L10" s="110">
        <v>12.67</v>
      </c>
      <c r="M10" s="124">
        <f>'Consommation du 01.12 au 31.12'!AC18</f>
        <v>70</v>
      </c>
      <c r="N10" s="124">
        <v>114</v>
      </c>
      <c r="O10" s="110">
        <f t="shared" si="0"/>
        <v>32573.811280000038</v>
      </c>
    </row>
    <row r="11" spans="1:15" x14ac:dyDescent="0.2">
      <c r="A11" s="111" t="s">
        <v>74</v>
      </c>
      <c r="B11">
        <f t="shared" si="1"/>
        <v>10</v>
      </c>
      <c r="C11">
        <v>12</v>
      </c>
      <c r="D11" s="124">
        <v>2019</v>
      </c>
      <c r="E11" s="110">
        <f>'Consommation du 01.12 au 31.12'!M19</f>
        <v>13544</v>
      </c>
      <c r="F11" s="110">
        <v>1.002</v>
      </c>
      <c r="G11" s="110">
        <f>'Consommation du 01.12 au 31.12'!U19</f>
        <v>1261.4000000000001</v>
      </c>
      <c r="H11" s="110">
        <v>8.3673000000000002</v>
      </c>
      <c r="I11" s="110">
        <f>'Consommation du 01.12 au 31.12'!Y19*1000</f>
        <v>12459.999999999127</v>
      </c>
      <c r="J11" s="110">
        <v>0.53</v>
      </c>
      <c r="K11" s="110">
        <f>'Consommation du 01.12 au 31.12'!D19</f>
        <v>400</v>
      </c>
      <c r="L11" s="110">
        <v>12.67</v>
      </c>
      <c r="M11" s="124">
        <f>'Consommation du 01.12 au 31.12'!AC19</f>
        <v>90</v>
      </c>
      <c r="N11" s="124">
        <v>130</v>
      </c>
      <c r="O11" s="110">
        <f t="shared" si="0"/>
        <v>35797.400219999538</v>
      </c>
    </row>
    <row r="12" spans="1:15" x14ac:dyDescent="0.2">
      <c r="A12" s="111" t="s">
        <v>74</v>
      </c>
      <c r="B12">
        <f t="shared" si="1"/>
        <v>11</v>
      </c>
      <c r="C12">
        <v>12</v>
      </c>
      <c r="D12" s="124">
        <v>2019</v>
      </c>
      <c r="E12" s="110">
        <f>'Consommation du 01.12 au 31.12'!M20</f>
        <v>14330</v>
      </c>
      <c r="F12" s="110">
        <v>1.002</v>
      </c>
      <c r="G12" s="110">
        <f>'Consommation du 01.12 au 31.12'!U20</f>
        <v>1113</v>
      </c>
      <c r="H12" s="110">
        <v>8.3673000000000002</v>
      </c>
      <c r="I12" s="110">
        <f>'Consommation du 01.12 au 31.12'!Y20*1000</f>
        <v>11460.000000000946</v>
      </c>
      <c r="J12" s="110">
        <v>0.53</v>
      </c>
      <c r="K12" s="110">
        <f>'Consommation du 01.12 au 31.12'!D20</f>
        <v>440</v>
      </c>
      <c r="L12" s="110">
        <v>12.67</v>
      </c>
      <c r="M12" s="124">
        <f>'Consommation du 01.12 au 31.12'!AC20</f>
        <v>106</v>
      </c>
      <c r="N12" s="124">
        <v>152</v>
      </c>
      <c r="O12" s="110">
        <f t="shared" si="0"/>
        <v>35320.0649000005</v>
      </c>
    </row>
    <row r="13" spans="1:15" x14ac:dyDescent="0.2">
      <c r="A13" s="111" t="s">
        <v>74</v>
      </c>
      <c r="B13">
        <f t="shared" si="1"/>
        <v>12</v>
      </c>
      <c r="C13">
        <v>12</v>
      </c>
      <c r="D13" s="124">
        <v>2019</v>
      </c>
      <c r="E13" s="110">
        <f>'Consommation du 01.12 au 31.12'!M21</f>
        <v>14499</v>
      </c>
      <c r="F13" s="110">
        <v>1.002</v>
      </c>
      <c r="G13" s="110">
        <f>'Consommation du 01.12 au 31.12'!U21</f>
        <v>853.30000000000007</v>
      </c>
      <c r="H13" s="110">
        <v>8.3673000000000002</v>
      </c>
      <c r="I13" s="110">
        <f>'Consommation du 01.12 au 31.12'!Y21*1000</f>
        <v>15979.999999999563</v>
      </c>
      <c r="J13" s="110">
        <v>0.53</v>
      </c>
      <c r="K13" s="110">
        <f>'Consommation du 01.12 au 31.12'!D21</f>
        <v>470</v>
      </c>
      <c r="L13" s="110">
        <v>12.67</v>
      </c>
      <c r="M13" s="124">
        <f>'Consommation du 01.12 au 31.12'!AC21</f>
        <v>79</v>
      </c>
      <c r="N13" s="124">
        <v>122</v>
      </c>
      <c r="O13" s="110">
        <f t="shared" si="0"/>
        <v>36092.115089999766</v>
      </c>
    </row>
    <row r="14" spans="1:15" x14ac:dyDescent="0.2">
      <c r="A14" s="111" t="s">
        <v>74</v>
      </c>
      <c r="B14">
        <f t="shared" si="1"/>
        <v>13</v>
      </c>
      <c r="C14">
        <v>12</v>
      </c>
      <c r="D14" s="124">
        <v>2019</v>
      </c>
      <c r="E14" s="110">
        <f>'Consommation du 01.12 au 31.12'!M22</f>
        <v>14718</v>
      </c>
      <c r="F14" s="110">
        <v>1.002</v>
      </c>
      <c r="G14" s="110">
        <f>'Consommation du 01.12 au 31.12'!U22</f>
        <v>148.4</v>
      </c>
      <c r="H14" s="110">
        <v>8.3673000000000002</v>
      </c>
      <c r="I14" s="110">
        <f>'Consommation du 01.12 au 31.12'!Y22*1000</f>
        <v>16850.000000000364</v>
      </c>
      <c r="J14" s="110">
        <v>0.53</v>
      </c>
      <c r="K14" s="110">
        <f>'Consommation du 01.12 au 31.12'!D22</f>
        <v>410</v>
      </c>
      <c r="L14" s="110">
        <v>12.67</v>
      </c>
      <c r="M14" s="124">
        <f>'Consommation du 01.12 au 31.12'!AC22</f>
        <v>78</v>
      </c>
      <c r="N14" s="124">
        <v>136</v>
      </c>
      <c r="O14" s="110">
        <f t="shared" si="0"/>
        <v>30114.343320000193</v>
      </c>
    </row>
    <row r="15" spans="1:15" x14ac:dyDescent="0.2">
      <c r="A15" s="111" t="s">
        <v>74</v>
      </c>
      <c r="B15">
        <f t="shared" si="1"/>
        <v>14</v>
      </c>
      <c r="C15">
        <v>12</v>
      </c>
      <c r="D15" s="124">
        <v>2019</v>
      </c>
      <c r="E15" s="110">
        <f>'Consommation du 01.12 au 31.12'!M23</f>
        <v>12976</v>
      </c>
      <c r="F15" s="110">
        <v>1.002</v>
      </c>
      <c r="G15" s="110">
        <f>'Consommation du 01.12 au 31.12'!U23</f>
        <v>1001.7</v>
      </c>
      <c r="H15" s="110">
        <v>8.3673000000000002</v>
      </c>
      <c r="I15" s="110">
        <f>'Consommation du 01.12 au 31.12'!Y23*1000</f>
        <v>14619.999999998981</v>
      </c>
      <c r="J15" s="110">
        <v>0.53</v>
      </c>
      <c r="K15" s="110">
        <f>'Consommation du 01.12 au 31.12'!D23</f>
        <v>490</v>
      </c>
      <c r="L15" s="110">
        <v>12.67</v>
      </c>
      <c r="M15" s="124">
        <f>'Consommation du 01.12 au 31.12'!AC23</f>
        <v>75</v>
      </c>
      <c r="N15" s="124">
        <v>132</v>
      </c>
      <c r="O15" s="110">
        <f t="shared" si="0"/>
        <v>35340.376409999459</v>
      </c>
    </row>
    <row r="16" spans="1:15" ht="13.5" customHeight="1" x14ac:dyDescent="0.2">
      <c r="A16" s="111" t="s">
        <v>74</v>
      </c>
      <c r="B16">
        <f t="shared" si="1"/>
        <v>15</v>
      </c>
      <c r="C16">
        <v>12</v>
      </c>
      <c r="D16" s="124">
        <v>2019</v>
      </c>
      <c r="E16" s="110">
        <f>'Consommation du 01.12 au 31.12'!M24</f>
        <v>12659</v>
      </c>
      <c r="F16" s="110">
        <v>1.002</v>
      </c>
      <c r="G16" s="110">
        <f>'Consommation du 01.12 au 31.12'!U24</f>
        <v>964.6</v>
      </c>
      <c r="H16" s="110">
        <v>8.3673000000000002</v>
      </c>
      <c r="I16" s="110">
        <f>'Consommation du 01.12 au 31.12'!Y24*1000</f>
        <v>16659.999999999854</v>
      </c>
      <c r="J16" s="110">
        <v>0.53</v>
      </c>
      <c r="K16" s="110">
        <f>'Consommation du 01.12 au 31.12'!D24</f>
        <v>500</v>
      </c>
      <c r="L16" s="110">
        <v>12.67</v>
      </c>
      <c r="M16" s="124">
        <f>'Consommation du 01.12 au 31.12'!AC24</f>
        <v>79</v>
      </c>
      <c r="N16" s="124">
        <v>134</v>
      </c>
      <c r="O16" s="110">
        <f t="shared" si="0"/>
        <v>35920.215579999924</v>
      </c>
    </row>
    <row r="17" spans="1:15" x14ac:dyDescent="0.2">
      <c r="A17" s="111" t="s">
        <v>74</v>
      </c>
      <c r="B17">
        <f t="shared" si="1"/>
        <v>16</v>
      </c>
      <c r="C17">
        <v>12</v>
      </c>
      <c r="D17" s="124">
        <v>2019</v>
      </c>
      <c r="E17" s="110">
        <f>'Consommation du 01.12 au 31.12'!M25</f>
        <v>13906</v>
      </c>
      <c r="F17" s="110">
        <v>1.002</v>
      </c>
      <c r="G17" s="110">
        <f>'Consommation du 01.12 au 31.12'!U25</f>
        <v>779.1</v>
      </c>
      <c r="H17" s="110">
        <v>8.3673000000000002</v>
      </c>
      <c r="I17" s="110">
        <f>'Consommation du 01.12 au 31.12'!Y25*1000</f>
        <v>14860.000000000582</v>
      </c>
      <c r="J17" s="110">
        <v>0.53</v>
      </c>
      <c r="K17" s="110">
        <f>'Consommation du 01.12 au 31.12'!D25</f>
        <v>400</v>
      </c>
      <c r="L17" s="110">
        <v>12.67</v>
      </c>
      <c r="M17" s="124">
        <f>'Consommation du 01.12 au 31.12'!AC25</f>
        <v>63</v>
      </c>
      <c r="N17" s="124">
        <v>118</v>
      </c>
      <c r="O17" s="110">
        <f t="shared" si="0"/>
        <v>33396.57543000031</v>
      </c>
    </row>
    <row r="18" spans="1:15" x14ac:dyDescent="0.2">
      <c r="A18" s="111" t="s">
        <v>74</v>
      </c>
      <c r="B18">
        <f t="shared" si="1"/>
        <v>17</v>
      </c>
      <c r="C18">
        <v>12</v>
      </c>
      <c r="D18" s="124">
        <v>2019</v>
      </c>
      <c r="E18" s="110">
        <f>'Consommation du 01.12 au 31.12'!M26</f>
        <v>12569</v>
      </c>
      <c r="F18" s="110">
        <v>1.002</v>
      </c>
      <c r="G18" s="110">
        <f>'Consommation du 01.12 au 31.12'!U26</f>
        <v>1150.1000000000001</v>
      </c>
      <c r="H18" s="110">
        <v>8.3673000000000002</v>
      </c>
      <c r="I18" s="110">
        <f>'Consommation du 01.12 au 31.12'!Y26*1000</f>
        <v>8829.9999999999272</v>
      </c>
      <c r="J18" s="110">
        <v>0.53</v>
      </c>
      <c r="K18" s="110">
        <f>'Consommation du 01.12 au 31.12'!D26</f>
        <v>420</v>
      </c>
      <c r="L18" s="110">
        <v>12.67</v>
      </c>
      <c r="M18" s="124">
        <f>'Consommation du 01.12 au 31.12'!AC26</f>
        <v>47</v>
      </c>
      <c r="N18" s="124">
        <v>96</v>
      </c>
      <c r="O18" s="110">
        <f t="shared" si="0"/>
        <v>32218.669729999965</v>
      </c>
    </row>
    <row r="19" spans="1:15" x14ac:dyDescent="0.2">
      <c r="A19" s="111" t="s">
        <v>74</v>
      </c>
      <c r="B19">
        <f t="shared" si="1"/>
        <v>18</v>
      </c>
      <c r="C19">
        <v>12</v>
      </c>
      <c r="D19" s="124">
        <v>2019</v>
      </c>
      <c r="E19" s="110">
        <f>'Consommation du 01.12 au 31.12'!M27</f>
        <v>13141</v>
      </c>
      <c r="F19" s="110">
        <v>1.002</v>
      </c>
      <c r="G19" s="110">
        <f>'Consommation du 01.12 au 31.12'!U27</f>
        <v>1595.3000000000002</v>
      </c>
      <c r="H19" s="110">
        <v>8.3673000000000002</v>
      </c>
      <c r="I19" s="110">
        <f>'Consommation du 01.12 au 31.12'!Y27*1000</f>
        <v>11170.000000000073</v>
      </c>
      <c r="J19" s="110">
        <v>0.53</v>
      </c>
      <c r="K19" s="110">
        <f>'Consommation du 01.12 au 31.12'!D27</f>
        <v>540</v>
      </c>
      <c r="L19" s="110">
        <v>12.67</v>
      </c>
      <c r="M19" s="124">
        <f>'Consommation du 01.12 au 31.12'!AC27</f>
        <v>57</v>
      </c>
      <c r="N19" s="124">
        <v>121</v>
      </c>
      <c r="O19" s="110">
        <f t="shared" si="0"/>
        <v>39277.535690000041</v>
      </c>
    </row>
    <row r="20" spans="1:15" x14ac:dyDescent="0.2">
      <c r="A20" s="111" t="s">
        <v>74</v>
      </c>
      <c r="B20">
        <f t="shared" si="1"/>
        <v>19</v>
      </c>
      <c r="C20">
        <v>12</v>
      </c>
      <c r="D20" s="124">
        <v>2019</v>
      </c>
      <c r="E20" s="110">
        <f>'Consommation du 01.12 au 31.12'!M28</f>
        <v>13187</v>
      </c>
      <c r="F20" s="110">
        <v>1.002</v>
      </c>
      <c r="G20" s="110">
        <f>'Consommation du 01.12 au 31.12'!U28</f>
        <v>1075.9000000000001</v>
      </c>
      <c r="H20" s="110">
        <v>8.3673000000000002</v>
      </c>
      <c r="I20" s="110">
        <f>'Consommation du 01.12 au 31.12'!Y28*1000</f>
        <v>15340.000000000146</v>
      </c>
      <c r="J20" s="110">
        <v>0.53</v>
      </c>
      <c r="K20" s="110">
        <f>'Consommation du 01.12 au 31.12'!D28</f>
        <v>400</v>
      </c>
      <c r="L20" s="110">
        <v>12.67</v>
      </c>
      <c r="M20" s="124">
        <f>'Consommation du 01.12 au 31.12'!AC28</f>
        <v>62</v>
      </c>
      <c r="N20" s="124">
        <v>132</v>
      </c>
      <c r="O20" s="110">
        <f t="shared" si="0"/>
        <v>35413.952070000079</v>
      </c>
    </row>
    <row r="21" spans="1:15" x14ac:dyDescent="0.2">
      <c r="A21" s="111" t="s">
        <v>74</v>
      </c>
      <c r="B21">
        <f t="shared" si="1"/>
        <v>20</v>
      </c>
      <c r="C21">
        <v>12</v>
      </c>
      <c r="D21" s="124">
        <v>2019</v>
      </c>
      <c r="E21" s="110">
        <f>'Consommation du 01.12 au 31.12'!M29</f>
        <v>0</v>
      </c>
      <c r="F21" s="110">
        <v>1.002</v>
      </c>
      <c r="G21" s="110">
        <f>'Consommation du 01.12 au 31.12'!U29</f>
        <v>0</v>
      </c>
      <c r="H21" s="110">
        <v>8.3673000000000002</v>
      </c>
      <c r="I21" s="110">
        <f>'Consommation du 01.12 au 31.12'!Y29*1000</f>
        <v>0</v>
      </c>
      <c r="J21" s="110">
        <v>0.53</v>
      </c>
      <c r="K21" s="110">
        <f>'Consommation du 01.12 au 31.12'!D29</f>
        <v>0</v>
      </c>
      <c r="L21" s="110">
        <v>12.67</v>
      </c>
      <c r="M21" s="124">
        <f>'Consommation du 01.12 au 31.12'!AC29</f>
        <v>0</v>
      </c>
      <c r="N21" s="124"/>
      <c r="O21" s="110">
        <f t="shared" si="0"/>
        <v>0</v>
      </c>
    </row>
    <row r="22" spans="1:15" x14ac:dyDescent="0.2">
      <c r="A22" s="111" t="s">
        <v>74</v>
      </c>
      <c r="B22">
        <f t="shared" si="1"/>
        <v>21</v>
      </c>
      <c r="C22">
        <v>12</v>
      </c>
      <c r="D22" s="124">
        <v>2019</v>
      </c>
      <c r="E22" s="110">
        <f>'Consommation du 01.12 au 31.12'!M30</f>
        <v>0</v>
      </c>
      <c r="F22" s="110">
        <v>1.002</v>
      </c>
      <c r="G22" s="110">
        <f>'Consommation du 01.12 au 31.12'!U30</f>
        <v>0</v>
      </c>
      <c r="H22" s="110">
        <v>8.3673000000000002</v>
      </c>
      <c r="I22" s="110">
        <f>'Consommation du 01.12 au 31.12'!Y30*1000</f>
        <v>0</v>
      </c>
      <c r="J22" s="110">
        <v>0.53</v>
      </c>
      <c r="K22" s="110">
        <f>'Consommation du 01.12 au 31.12'!D30</f>
        <v>0</v>
      </c>
      <c r="L22" s="110">
        <v>12.67</v>
      </c>
      <c r="M22" s="124">
        <f>'Consommation du 01.12 au 31.12'!AC30</f>
        <v>0</v>
      </c>
      <c r="N22" s="124"/>
      <c r="O22" s="110">
        <f t="shared" si="0"/>
        <v>0</v>
      </c>
    </row>
    <row r="23" spans="1:15" x14ac:dyDescent="0.2">
      <c r="A23" s="111" t="s">
        <v>74</v>
      </c>
      <c r="B23">
        <f t="shared" si="1"/>
        <v>22</v>
      </c>
      <c r="C23">
        <v>12</v>
      </c>
      <c r="D23" s="124">
        <v>2019</v>
      </c>
      <c r="E23" s="110">
        <f>'Consommation du 01.12 au 31.12'!M31</f>
        <v>0</v>
      </c>
      <c r="F23" s="110">
        <v>1.002</v>
      </c>
      <c r="G23" s="110">
        <f>'Consommation du 01.12 au 31.12'!U31</f>
        <v>0</v>
      </c>
      <c r="H23" s="110">
        <v>8.3673000000000002</v>
      </c>
      <c r="I23" s="110">
        <f>'Consommation du 01.12 au 31.12'!Y31*1000</f>
        <v>0</v>
      </c>
      <c r="J23" s="110">
        <v>0.53</v>
      </c>
      <c r="K23" s="110">
        <f>'Consommation du 01.12 au 31.12'!D31</f>
        <v>0</v>
      </c>
      <c r="L23" s="110">
        <v>12.67</v>
      </c>
      <c r="M23" s="124">
        <f>'Consommation du 01.12 au 31.12'!AC31</f>
        <v>0</v>
      </c>
      <c r="N23" s="124"/>
      <c r="O23" s="110">
        <f t="shared" si="0"/>
        <v>0</v>
      </c>
    </row>
    <row r="24" spans="1:15" x14ac:dyDescent="0.2">
      <c r="A24" s="111" t="s">
        <v>74</v>
      </c>
      <c r="B24">
        <f t="shared" si="1"/>
        <v>23</v>
      </c>
      <c r="C24">
        <v>12</v>
      </c>
      <c r="D24" s="124">
        <v>2019</v>
      </c>
      <c r="E24" s="110">
        <f>'Consommation du 01.12 au 31.12'!M32</f>
        <v>0</v>
      </c>
      <c r="F24" s="110">
        <v>1.002</v>
      </c>
      <c r="G24" s="110">
        <f>'Consommation du 01.12 au 31.12'!U32</f>
        <v>0</v>
      </c>
      <c r="H24" s="110">
        <v>8.3673000000000002</v>
      </c>
      <c r="I24" s="110">
        <f>'Consommation du 01.12 au 31.12'!Y32*1000</f>
        <v>0</v>
      </c>
      <c r="J24" s="110">
        <v>0.53</v>
      </c>
      <c r="K24" s="110">
        <f>'Consommation du 01.12 au 31.12'!D32</f>
        <v>0</v>
      </c>
      <c r="L24" s="110">
        <v>12.67</v>
      </c>
      <c r="M24" s="124">
        <f>'Consommation du 01.12 au 31.12'!AC32</f>
        <v>0</v>
      </c>
      <c r="O24" s="110">
        <f t="shared" si="0"/>
        <v>0</v>
      </c>
    </row>
    <row r="25" spans="1:15" x14ac:dyDescent="0.2">
      <c r="A25" s="111" t="s">
        <v>74</v>
      </c>
      <c r="B25">
        <f t="shared" si="1"/>
        <v>24</v>
      </c>
      <c r="C25">
        <v>12</v>
      </c>
      <c r="D25" s="124">
        <v>2019</v>
      </c>
      <c r="E25" s="110">
        <f>'Consommation du 01.12 au 31.12'!M33</f>
        <v>0</v>
      </c>
      <c r="F25" s="110">
        <v>1.002</v>
      </c>
      <c r="G25" s="110">
        <f>'Consommation du 01.12 au 31.12'!U33</f>
        <v>0</v>
      </c>
      <c r="H25" s="110">
        <v>8.3673000000000002</v>
      </c>
      <c r="I25" s="110">
        <f>'Consommation du 01.12 au 31.12'!Y33*1000</f>
        <v>0</v>
      </c>
      <c r="J25" s="110">
        <v>0.53</v>
      </c>
      <c r="K25" s="110">
        <f>'Consommation du 01.12 au 31.12'!D33</f>
        <v>0</v>
      </c>
      <c r="L25" s="110">
        <v>12.67</v>
      </c>
      <c r="M25" s="124">
        <f>'Consommation du 01.12 au 31.12'!AC33</f>
        <v>0</v>
      </c>
      <c r="N25" s="124"/>
      <c r="O25" s="110">
        <f t="shared" si="0"/>
        <v>0</v>
      </c>
    </row>
    <row r="26" spans="1:15" x14ac:dyDescent="0.2">
      <c r="A26" s="111" t="s">
        <v>74</v>
      </c>
      <c r="B26">
        <f>B25+1</f>
        <v>25</v>
      </c>
      <c r="C26">
        <v>12</v>
      </c>
      <c r="D26" s="124">
        <v>2019</v>
      </c>
      <c r="E26" s="110">
        <f>'Consommation du 01.12 au 31.12'!M34</f>
        <v>0</v>
      </c>
      <c r="F26" s="110">
        <v>1.002</v>
      </c>
      <c r="G26" s="110">
        <f>'Consommation du 01.12 au 31.12'!U34</f>
        <v>0</v>
      </c>
      <c r="H26" s="110">
        <v>8.3673000000000002</v>
      </c>
      <c r="I26" s="110">
        <f>'Consommation du 01.12 au 31.12'!Y34*1000</f>
        <v>0</v>
      </c>
      <c r="J26" s="110">
        <v>0.53</v>
      </c>
      <c r="K26" s="110">
        <f>'Consommation du 01.12 au 31.12'!D34</f>
        <v>0</v>
      </c>
      <c r="L26" s="110">
        <v>12.67</v>
      </c>
      <c r="M26" s="124">
        <f>'Consommation du 01.12 au 31.12'!AC34</f>
        <v>0</v>
      </c>
      <c r="N26" s="124"/>
      <c r="O26" s="110">
        <f t="shared" si="0"/>
        <v>0</v>
      </c>
    </row>
    <row r="27" spans="1:15" x14ac:dyDescent="0.2">
      <c r="A27" s="111" t="s">
        <v>74</v>
      </c>
      <c r="B27">
        <f t="shared" si="1"/>
        <v>26</v>
      </c>
      <c r="C27">
        <v>12</v>
      </c>
      <c r="D27" s="124">
        <v>2019</v>
      </c>
      <c r="E27" s="110">
        <f>'Consommation du 01.12 au 31.12'!M35</f>
        <v>0</v>
      </c>
      <c r="F27" s="110">
        <v>1.002</v>
      </c>
      <c r="G27" s="110">
        <f>'Consommation du 01.12 au 31.12'!U35</f>
        <v>0</v>
      </c>
      <c r="H27" s="110">
        <v>8.3673000000000002</v>
      </c>
      <c r="I27" s="110">
        <f>'Consommation du 01.12 au 31.12'!Y35*1000</f>
        <v>0</v>
      </c>
      <c r="J27" s="110">
        <v>0.53</v>
      </c>
      <c r="K27" s="110">
        <f>'Consommation du 01.12 au 31.12'!D35</f>
        <v>0</v>
      </c>
      <c r="L27" s="110">
        <v>12.67</v>
      </c>
      <c r="M27" s="124">
        <f>'Consommation du 01.12 au 31.12'!AC35</f>
        <v>0</v>
      </c>
      <c r="N27" s="124"/>
      <c r="O27" s="110">
        <f t="shared" si="0"/>
        <v>0</v>
      </c>
    </row>
    <row r="28" spans="1:15" x14ac:dyDescent="0.2">
      <c r="A28" s="111" t="s">
        <v>74</v>
      </c>
      <c r="B28">
        <f t="shared" si="1"/>
        <v>27</v>
      </c>
      <c r="C28">
        <v>12</v>
      </c>
      <c r="D28" s="124">
        <v>2019</v>
      </c>
      <c r="E28" s="110">
        <f>'Consommation du 01.12 au 31.12'!M36</f>
        <v>0</v>
      </c>
      <c r="F28" s="110">
        <v>1.002</v>
      </c>
      <c r="G28" s="110">
        <f>'Consommation du 01.12 au 31.12'!U36</f>
        <v>0</v>
      </c>
      <c r="H28" s="110">
        <v>8.3673000000000002</v>
      </c>
      <c r="I28" s="110">
        <f>'Consommation du 01.12 au 31.12'!Y36*1000</f>
        <v>0</v>
      </c>
      <c r="J28" s="110">
        <v>0.53</v>
      </c>
      <c r="K28" s="110">
        <f>'Consommation du 01.12 au 31.12'!D36</f>
        <v>0</v>
      </c>
      <c r="L28" s="110">
        <v>12.67</v>
      </c>
      <c r="M28" s="124">
        <f>'Consommation du 01.12 au 31.12'!AC36</f>
        <v>0</v>
      </c>
      <c r="N28" s="124"/>
      <c r="O28" s="110">
        <f t="shared" si="0"/>
        <v>0</v>
      </c>
    </row>
    <row r="29" spans="1:15" x14ac:dyDescent="0.2">
      <c r="A29" s="111" t="s">
        <v>74</v>
      </c>
      <c r="B29">
        <f t="shared" si="1"/>
        <v>28</v>
      </c>
      <c r="C29">
        <v>12</v>
      </c>
      <c r="D29" s="124">
        <v>2019</v>
      </c>
      <c r="E29" s="110">
        <f>'Consommation du 01.12 au 31.12'!M37</f>
        <v>0</v>
      </c>
      <c r="F29" s="110">
        <v>1.002</v>
      </c>
      <c r="G29" s="110">
        <f>'Consommation du 01.12 au 31.12'!U37</f>
        <v>0</v>
      </c>
      <c r="H29" s="110">
        <v>8.3673000000000002</v>
      </c>
      <c r="I29" s="110">
        <f>'Consommation du 01.12 au 31.12'!Y37*1000</f>
        <v>0</v>
      </c>
      <c r="J29" s="110">
        <v>0.53</v>
      </c>
      <c r="K29" s="110">
        <f>'Consommation du 01.12 au 31.12'!D37</f>
        <v>0</v>
      </c>
      <c r="L29" s="110">
        <v>12.67</v>
      </c>
      <c r="M29" s="124">
        <f>'Consommation du 01.12 au 31.12'!AC37</f>
        <v>0</v>
      </c>
      <c r="N29" s="124"/>
      <c r="O29" s="110">
        <f t="shared" si="0"/>
        <v>0</v>
      </c>
    </row>
    <row r="30" spans="1:15" x14ac:dyDescent="0.2">
      <c r="A30" s="111" t="s">
        <v>74</v>
      </c>
      <c r="B30">
        <f t="shared" si="1"/>
        <v>29</v>
      </c>
      <c r="C30">
        <v>12</v>
      </c>
      <c r="D30" s="124">
        <v>2019</v>
      </c>
      <c r="E30" s="110">
        <f>'Consommation du 01.12 au 31.12'!M38</f>
        <v>0</v>
      </c>
      <c r="F30" s="110">
        <v>1.002</v>
      </c>
      <c r="G30" s="110">
        <f>'Consommation du 01.12 au 31.12'!U38</f>
        <v>0</v>
      </c>
      <c r="H30" s="110">
        <v>8.3673000000000002</v>
      </c>
      <c r="I30" s="110">
        <f>'Consommation du 01.12 au 31.12'!Y38*1000</f>
        <v>0</v>
      </c>
      <c r="J30" s="110">
        <v>0.53</v>
      </c>
      <c r="K30" s="110">
        <f>'Consommation du 01.12 au 31.12'!D38</f>
        <v>0</v>
      </c>
      <c r="L30" s="110">
        <v>12.67</v>
      </c>
      <c r="M30" s="124">
        <f>'Consommation du 01.12 au 31.12'!AC38</f>
        <v>0</v>
      </c>
      <c r="N30" s="124"/>
      <c r="O30" s="110"/>
    </row>
    <row r="31" spans="1:15" x14ac:dyDescent="0.2">
      <c r="A31" s="111" t="s">
        <v>74</v>
      </c>
      <c r="B31">
        <f t="shared" si="1"/>
        <v>30</v>
      </c>
      <c r="C31">
        <v>12</v>
      </c>
      <c r="D31" s="124">
        <v>2019</v>
      </c>
      <c r="E31" s="110">
        <f>'Consommation du 01.12 au 31.12'!M39</f>
        <v>0</v>
      </c>
      <c r="F31" s="110">
        <v>1.002</v>
      </c>
      <c r="G31" s="110">
        <f>'Consommation du 01.12 au 31.12'!U39</f>
        <v>0</v>
      </c>
      <c r="H31" s="110">
        <v>8.3673000000000002</v>
      </c>
      <c r="I31" s="110">
        <f>'Consommation du 01.12 au 31.12'!Y39*1000</f>
        <v>0</v>
      </c>
      <c r="J31" s="110">
        <v>0.53</v>
      </c>
      <c r="K31" s="110">
        <f>'Consommation du 01.12 au 31.12'!D39</f>
        <v>0</v>
      </c>
      <c r="L31" s="110">
        <v>12.67</v>
      </c>
      <c r="M31" s="124">
        <f>'Consommation du 01.12 au 31.12'!AC39</f>
        <v>0</v>
      </c>
      <c r="O31" s="110"/>
    </row>
    <row r="32" spans="1:15" x14ac:dyDescent="0.2">
      <c r="A32" s="111" t="s">
        <v>74</v>
      </c>
      <c r="B32">
        <f t="shared" si="1"/>
        <v>31</v>
      </c>
      <c r="C32">
        <v>12</v>
      </c>
      <c r="D32" s="124">
        <v>2019</v>
      </c>
      <c r="E32" s="110">
        <f>'Consommation du 01.12 au 31.12'!M40</f>
        <v>0</v>
      </c>
      <c r="F32" s="110">
        <v>1</v>
      </c>
      <c r="G32" s="110">
        <f>'Consommation du 01.12 au 31.12'!U40</f>
        <v>0</v>
      </c>
      <c r="H32" s="110">
        <v>8.3673000000000002</v>
      </c>
      <c r="I32" s="110">
        <f>'Consommation du 01.12 au 31.12'!Y40*1000</f>
        <v>0</v>
      </c>
      <c r="J32" s="110">
        <v>0.53</v>
      </c>
      <c r="K32" s="110">
        <f>'Consommation du 01.12 au 31.12'!D40</f>
        <v>0</v>
      </c>
      <c r="L32" s="110">
        <v>12.67</v>
      </c>
      <c r="M32" s="124">
        <f>'Consommation du 01.12 au 31.12'!AC40</f>
        <v>0</v>
      </c>
      <c r="O32" s="110"/>
    </row>
    <row r="33" spans="4:14" x14ac:dyDescent="0.2"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4:14" x14ac:dyDescent="0.2"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4:14" x14ac:dyDescent="0.2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4:14" x14ac:dyDescent="0.2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4:14" x14ac:dyDescent="0.2"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4:14" x14ac:dyDescent="0.2"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4:14" x14ac:dyDescent="0.2"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4:14" x14ac:dyDescent="0.2"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2" zoomScale="55" zoomScaleNormal="55" zoomScaleSheetLayoutView="50" workbookViewId="0">
      <selection activeCell="X30" sqref="X30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2"/>
      <c r="B2" s="183"/>
      <c r="C2" s="183"/>
      <c r="D2" s="183"/>
      <c r="E2" s="183"/>
      <c r="F2" s="184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3"/>
      <c r="AD2" s="170"/>
      <c r="AE2" s="170"/>
      <c r="AF2" s="170"/>
      <c r="AJ2" s="64"/>
    </row>
    <row r="3" spans="1:37" ht="1.5" customHeight="1" x14ac:dyDescent="0.2"/>
    <row r="4" spans="1:37" ht="39" hidden="1" customHeight="1" x14ac:dyDescent="0.2">
      <c r="A4" s="185"/>
      <c r="B4" s="185"/>
      <c r="C4" s="185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5"/>
      <c r="B5" s="185"/>
      <c r="C5" s="185"/>
      <c r="D5" s="6"/>
      <c r="E5" s="6"/>
      <c r="F5" s="6"/>
      <c r="G5" s="6"/>
      <c r="H5" s="6"/>
      <c r="I5" s="6"/>
      <c r="J5" s="6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7"/>
      <c r="E7" s="187"/>
      <c r="F7" s="187"/>
      <c r="G7" s="187"/>
      <c r="H7" s="187"/>
      <c r="I7" s="187"/>
      <c r="J7" s="187"/>
      <c r="K7" s="187"/>
      <c r="L7" s="239"/>
      <c r="M7" s="239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4"/>
      <c r="AC7" s="14"/>
      <c r="AI7" s="6"/>
      <c r="AJ7" s="6"/>
      <c r="AK7" s="6"/>
    </row>
    <row r="8" spans="1:37" ht="2.25" customHeight="1" thickBot="1" x14ac:dyDescent="0.25">
      <c r="A8" s="187"/>
      <c r="B8" s="188" t="s">
        <v>1</v>
      </c>
      <c r="C8" s="4"/>
      <c r="D8" s="189" t="s">
        <v>4</v>
      </c>
      <c r="E8" s="5"/>
      <c r="F8" s="174" t="s">
        <v>12</v>
      </c>
      <c r="G8" s="175"/>
      <c r="H8" s="176"/>
      <c r="I8" s="5"/>
      <c r="J8" s="194" t="s">
        <v>3</v>
      </c>
      <c r="K8" s="194"/>
      <c r="L8" s="194"/>
      <c r="M8" s="194" t="s">
        <v>2</v>
      </c>
      <c r="N8" s="5"/>
      <c r="O8" s="180" t="s">
        <v>12</v>
      </c>
      <c r="P8" s="5"/>
      <c r="Q8" s="180" t="s">
        <v>5</v>
      </c>
      <c r="R8" s="5"/>
      <c r="S8" s="180" t="s">
        <v>6</v>
      </c>
      <c r="T8" s="5"/>
      <c r="U8" s="240" t="s">
        <v>39</v>
      </c>
      <c r="V8" s="5"/>
      <c r="W8" s="180" t="s">
        <v>12</v>
      </c>
      <c r="X8" s="72"/>
      <c r="Y8" s="72"/>
      <c r="Z8" s="72"/>
      <c r="AA8" s="193"/>
      <c r="AB8" s="191" t="s">
        <v>80</v>
      </c>
      <c r="AC8" s="180" t="s">
        <v>75</v>
      </c>
      <c r="AD8" s="168" t="s">
        <v>54</v>
      </c>
      <c r="AE8" s="166" t="s">
        <v>59</v>
      </c>
      <c r="AF8" s="166" t="s">
        <v>60</v>
      </c>
      <c r="AG8" s="164" t="s">
        <v>61</v>
      </c>
      <c r="AH8" s="164" t="s">
        <v>62</v>
      </c>
      <c r="AI8" s="76"/>
      <c r="AJ8" s="76"/>
      <c r="AK8" s="76"/>
    </row>
    <row r="9" spans="1:37" ht="116.25" customHeight="1" thickBot="1" x14ac:dyDescent="0.25">
      <c r="A9" s="187"/>
      <c r="B9" s="188"/>
      <c r="C9" s="4"/>
      <c r="D9" s="190"/>
      <c r="E9" s="5"/>
      <c r="F9" s="177"/>
      <c r="G9" s="178"/>
      <c r="H9" s="179"/>
      <c r="I9" s="5"/>
      <c r="J9" s="88" t="s">
        <v>7</v>
      </c>
      <c r="K9" s="88" t="s">
        <v>8</v>
      </c>
      <c r="L9" s="88" t="s">
        <v>9</v>
      </c>
      <c r="M9" s="194"/>
      <c r="N9" s="5"/>
      <c r="O9" s="181"/>
      <c r="P9" s="5"/>
      <c r="Q9" s="181"/>
      <c r="R9" s="5"/>
      <c r="S9" s="181"/>
      <c r="T9" s="5"/>
      <c r="U9" s="241"/>
      <c r="V9" s="5"/>
      <c r="W9" s="181"/>
      <c r="X9" s="138" t="s">
        <v>81</v>
      </c>
      <c r="Y9" s="103" t="s">
        <v>55</v>
      </c>
      <c r="Z9" s="104" t="s">
        <v>56</v>
      </c>
      <c r="AA9" s="193"/>
      <c r="AB9" s="192"/>
      <c r="AC9" s="186"/>
      <c r="AD9" s="169"/>
      <c r="AE9" s="167"/>
      <c r="AF9" s="167"/>
      <c r="AG9" s="165"/>
      <c r="AH9" s="165"/>
      <c r="AI9" s="105"/>
      <c r="AJ9" s="77"/>
      <c r="AK9" s="77"/>
    </row>
    <row r="10" spans="1:37" ht="32.25" customHeight="1" thickBot="1" x14ac:dyDescent="0.25">
      <c r="A10" s="14"/>
      <c r="B10" s="7">
        <v>43800</v>
      </c>
      <c r="C10" s="8"/>
      <c r="D10" s="112">
        <f>'Suivi EAU-ELEC'!C15</f>
        <v>500</v>
      </c>
      <c r="E10" s="113"/>
      <c r="F10" s="235">
        <f>D10*12.67</f>
        <v>6335</v>
      </c>
      <c r="G10" s="235"/>
      <c r="H10" s="236"/>
      <c r="I10" s="94"/>
      <c r="J10" s="119">
        <f>'Suivi EAU-ELEC'!E15</f>
        <v>4473</v>
      </c>
      <c r="K10" s="120">
        <f>'Suivi EAU-ELEC'!G15</f>
        <v>6523</v>
      </c>
      <c r="L10" s="120">
        <f>'Suivi EAU-ELEC'!I15</f>
        <v>3046</v>
      </c>
      <c r="M10" s="121">
        <f>L10+K10+J10</f>
        <v>14042</v>
      </c>
      <c r="N10" s="94"/>
      <c r="O10" s="97">
        <f>M10*1.002</f>
        <v>14070.084000000001</v>
      </c>
      <c r="P10" s="93"/>
      <c r="Q10" s="92"/>
      <c r="R10" s="91"/>
      <c r="S10" s="92"/>
      <c r="T10" s="99"/>
      <c r="U10" s="98">
        <f>'Suvi Gaz'!O10</f>
        <v>333.90000000000003</v>
      </c>
      <c r="V10" s="94"/>
      <c r="W10" s="97">
        <f>U10*8.3673</f>
        <v>2793.8414700000003</v>
      </c>
      <c r="X10" s="150">
        <v>15540.78</v>
      </c>
      <c r="Y10" s="101">
        <f>IF(X11&lt;X10,0,X11-X10)</f>
        <v>17.829999999999927</v>
      </c>
      <c r="Z10" s="102">
        <f>Y10*0.53*1000</f>
        <v>9449.8999999999614</v>
      </c>
      <c r="AA10" s="94"/>
      <c r="AB10" s="125">
        <v>22</v>
      </c>
      <c r="AC10" s="126">
        <v>130</v>
      </c>
      <c r="AD10" s="137">
        <v>0.98480000000000001</v>
      </c>
      <c r="AE10" s="149">
        <v>28</v>
      </c>
      <c r="AF10" s="161">
        <v>29</v>
      </c>
      <c r="AG10" s="128">
        <v>28.6</v>
      </c>
      <c r="AH10" s="162">
        <v>29</v>
      </c>
      <c r="AI10" s="73"/>
      <c r="AJ10" s="80"/>
      <c r="AK10" s="73"/>
    </row>
    <row r="11" spans="1:37" ht="32.25" customHeight="1" thickBot="1" x14ac:dyDescent="0.25">
      <c r="A11" s="14"/>
      <c r="B11" s="7">
        <f>B10+1</f>
        <v>43801</v>
      </c>
      <c r="C11" s="8"/>
      <c r="D11" s="112">
        <f>'Suivi EAU-ELEC'!C16</f>
        <v>380</v>
      </c>
      <c r="E11" s="91"/>
      <c r="F11" s="235">
        <f t="shared" ref="F11:F40" si="0">D11*12.67</f>
        <v>4814.6000000000004</v>
      </c>
      <c r="G11" s="235"/>
      <c r="H11" s="236"/>
      <c r="I11" s="94"/>
      <c r="J11" s="119">
        <f>'Suivi EAU-ELEC'!E16</f>
        <v>4297</v>
      </c>
      <c r="K11" s="120">
        <f>'Suivi EAU-ELEC'!G16</f>
        <v>6427</v>
      </c>
      <c r="L11" s="120">
        <f>'Suivi EAU-ELEC'!I16</f>
        <v>3072</v>
      </c>
      <c r="M11" s="121">
        <f t="shared" ref="M11:M40" si="1">L11+K11+J11</f>
        <v>13796</v>
      </c>
      <c r="N11" s="94"/>
      <c r="O11" s="97">
        <f t="shared" ref="O11:O40" si="2">M11*1.002</f>
        <v>13823.592000000001</v>
      </c>
      <c r="P11" s="93"/>
      <c r="Q11" s="92"/>
      <c r="R11" s="91"/>
      <c r="S11" s="92"/>
      <c r="T11" s="99"/>
      <c r="U11" s="98">
        <f>'Suvi Gaz'!O11</f>
        <v>816.2</v>
      </c>
      <c r="V11" s="94"/>
      <c r="W11" s="97">
        <f t="shared" ref="W11:W40" si="3">U11*8.3673</f>
        <v>6829.3902600000001</v>
      </c>
      <c r="X11" s="150">
        <v>15558.61</v>
      </c>
      <c r="Y11" s="101">
        <f t="shared" ref="Y11:Y40" si="4">IF(X12&lt;X11,0,X12-X11)</f>
        <v>16.859999999998763</v>
      </c>
      <c r="Z11" s="102">
        <f t="shared" ref="Z11:Z40" si="5">Y11*0.53*1000</f>
        <v>8935.7999999993444</v>
      </c>
      <c r="AA11" s="94"/>
      <c r="AB11" s="125">
        <v>22</v>
      </c>
      <c r="AC11" s="126">
        <v>106</v>
      </c>
      <c r="AD11" s="127">
        <v>0.83460000000000001</v>
      </c>
      <c r="AE11" s="157">
        <v>27.5</v>
      </c>
      <c r="AF11" s="149">
        <v>28</v>
      </c>
      <c r="AG11" s="147">
        <v>27.6</v>
      </c>
      <c r="AH11" s="163">
        <v>28</v>
      </c>
      <c r="AI11" s="158"/>
      <c r="AJ11" s="80"/>
      <c r="AK11" s="73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2">
        <f>'Suivi EAU-ELEC'!C17</f>
        <v>380</v>
      </c>
      <c r="E12" s="91"/>
      <c r="F12" s="235">
        <f t="shared" si="0"/>
        <v>4814.6000000000004</v>
      </c>
      <c r="G12" s="235"/>
      <c r="H12" s="236"/>
      <c r="I12" s="94"/>
      <c r="J12" s="119">
        <f>'Suivi EAU-ELEC'!E17</f>
        <v>4166</v>
      </c>
      <c r="K12" s="120">
        <f>'Suivi EAU-ELEC'!G17</f>
        <v>6581</v>
      </c>
      <c r="L12" s="120">
        <f>'Suivi EAU-ELEC'!I17</f>
        <v>2944</v>
      </c>
      <c r="M12" s="121">
        <f t="shared" si="1"/>
        <v>13691</v>
      </c>
      <c r="N12" s="94"/>
      <c r="O12" s="97">
        <f t="shared" si="2"/>
        <v>13718.382</v>
      </c>
      <c r="P12" s="93"/>
      <c r="Q12" s="92"/>
      <c r="R12" s="91"/>
      <c r="S12" s="92"/>
      <c r="T12" s="99"/>
      <c r="U12" s="98">
        <f>'Suvi Gaz'!O12</f>
        <v>927.5</v>
      </c>
      <c r="V12" s="95"/>
      <c r="W12" s="97">
        <f t="shared" si="3"/>
        <v>7760.6707500000002</v>
      </c>
      <c r="X12" s="150">
        <v>15575.47</v>
      </c>
      <c r="Y12" s="101">
        <f t="shared" si="4"/>
        <v>15.520000000000437</v>
      </c>
      <c r="Z12" s="102">
        <f t="shared" si="5"/>
        <v>8225.6000000002314</v>
      </c>
      <c r="AA12" s="94"/>
      <c r="AB12" s="117">
        <v>22</v>
      </c>
      <c r="AC12" s="131">
        <v>83</v>
      </c>
      <c r="AD12" s="146">
        <v>0.62880000000000003</v>
      </c>
      <c r="AE12" s="149">
        <v>27</v>
      </c>
      <c r="AF12" s="149">
        <v>28</v>
      </c>
      <c r="AG12" s="147">
        <v>27</v>
      </c>
      <c r="AH12" s="148">
        <v>28</v>
      </c>
      <c r="AI12" s="73"/>
      <c r="AJ12" s="80"/>
      <c r="AK12" s="73"/>
    </row>
    <row r="13" spans="1:37" ht="32.25" customHeight="1" thickBot="1" x14ac:dyDescent="0.25">
      <c r="A13" s="5"/>
      <c r="B13" s="7">
        <f t="shared" si="6"/>
        <v>43803</v>
      </c>
      <c r="C13" s="8"/>
      <c r="D13" s="112">
        <f>'Suivi EAU-ELEC'!C18</f>
        <v>440</v>
      </c>
      <c r="E13" s="91"/>
      <c r="F13" s="235">
        <f t="shared" si="0"/>
        <v>5574.8</v>
      </c>
      <c r="G13" s="235"/>
      <c r="H13" s="236"/>
      <c r="I13" s="94"/>
      <c r="J13" s="119">
        <f>'Suivi EAU-ELEC'!E18</f>
        <v>4200</v>
      </c>
      <c r="K13" s="120">
        <f>'Suivi EAU-ELEC'!G18</f>
        <v>6277</v>
      </c>
      <c r="L13" s="120">
        <f>'Suivi EAU-ELEC'!I18</f>
        <v>2819</v>
      </c>
      <c r="M13" s="121">
        <f t="shared" si="1"/>
        <v>13296</v>
      </c>
      <c r="N13" s="94"/>
      <c r="O13" s="97">
        <f t="shared" si="2"/>
        <v>13322.592000000001</v>
      </c>
      <c r="P13" s="93"/>
      <c r="Q13" s="92"/>
      <c r="R13" s="91"/>
      <c r="S13" s="92"/>
      <c r="T13" s="99"/>
      <c r="U13" s="98">
        <f>'Suvi Gaz'!O13</f>
        <v>445.20000000000005</v>
      </c>
      <c r="V13" s="95"/>
      <c r="W13" s="97">
        <f t="shared" si="3"/>
        <v>3725.1219600000004</v>
      </c>
      <c r="X13" s="150">
        <v>15590.99</v>
      </c>
      <c r="Y13" s="101">
        <f>IF(X14&lt;X13,0,X14-X13)</f>
        <v>16.579999999999927</v>
      </c>
      <c r="Z13" s="102">
        <f t="shared" si="5"/>
        <v>8787.3999999999633</v>
      </c>
      <c r="AA13" s="94"/>
      <c r="AB13" s="117">
        <v>15</v>
      </c>
      <c r="AC13" s="131">
        <v>37</v>
      </c>
      <c r="AD13" s="127">
        <v>0.31090000000000001</v>
      </c>
      <c r="AE13" s="149">
        <v>26.7</v>
      </c>
      <c r="AF13" s="149">
        <v>28</v>
      </c>
      <c r="AG13" s="147">
        <v>26.8</v>
      </c>
      <c r="AH13" s="148">
        <v>28</v>
      </c>
      <c r="AI13" s="73"/>
      <c r="AJ13" s="80"/>
      <c r="AK13" s="73"/>
    </row>
    <row r="14" spans="1:37" ht="32.25" customHeight="1" thickBot="1" x14ac:dyDescent="0.25">
      <c r="A14" s="5"/>
      <c r="B14" s="7">
        <f t="shared" si="6"/>
        <v>43804</v>
      </c>
      <c r="C14" s="8"/>
      <c r="D14" s="112">
        <f>'Suivi EAU-ELEC'!C19</f>
        <v>450</v>
      </c>
      <c r="E14" s="114"/>
      <c r="F14" s="235">
        <f t="shared" si="0"/>
        <v>5701.5</v>
      </c>
      <c r="G14" s="235"/>
      <c r="H14" s="236"/>
      <c r="I14" s="95"/>
      <c r="J14" s="119">
        <f>'Suivi EAU-ELEC'!E19</f>
        <v>3869</v>
      </c>
      <c r="K14" s="120">
        <f>'Suivi EAU-ELEC'!G19</f>
        <v>6022</v>
      </c>
      <c r="L14" s="120">
        <f>'Suivi EAU-ELEC'!I19</f>
        <v>2813</v>
      </c>
      <c r="M14" s="121">
        <f t="shared" si="1"/>
        <v>12704</v>
      </c>
      <c r="N14" s="94"/>
      <c r="O14" s="97">
        <f t="shared" si="2"/>
        <v>12729.407999999999</v>
      </c>
      <c r="P14" s="93"/>
      <c r="Q14" s="92"/>
      <c r="R14" s="91"/>
      <c r="S14" s="92"/>
      <c r="T14" s="99"/>
      <c r="U14" s="98">
        <f>'Suvi Gaz'!O14</f>
        <v>1298.5</v>
      </c>
      <c r="V14" s="95"/>
      <c r="W14" s="97">
        <f t="shared" si="3"/>
        <v>10864.939050000001</v>
      </c>
      <c r="X14" s="150">
        <v>15607.57</v>
      </c>
      <c r="Y14" s="101">
        <f>IF(X15&lt;X14,0,X15-X14)</f>
        <v>11.329999999999927</v>
      </c>
      <c r="Z14" s="102">
        <f t="shared" si="5"/>
        <v>6004.8999999999623</v>
      </c>
      <c r="AA14" s="94"/>
      <c r="AB14" s="117">
        <v>16</v>
      </c>
      <c r="AC14" s="131">
        <v>55</v>
      </c>
      <c r="AD14" s="127">
        <v>0.42970000000000003</v>
      </c>
      <c r="AE14" s="149">
        <v>26.2</v>
      </c>
      <c r="AF14" s="149">
        <v>27</v>
      </c>
      <c r="AG14" s="147">
        <v>26.2</v>
      </c>
      <c r="AH14" s="148">
        <v>27</v>
      </c>
      <c r="AI14" s="73"/>
      <c r="AJ14" s="80"/>
      <c r="AK14" s="73"/>
    </row>
    <row r="15" spans="1:37" ht="32.25" customHeight="1" thickBot="1" x14ac:dyDescent="0.25">
      <c r="A15" s="5"/>
      <c r="B15" s="7">
        <f t="shared" si="6"/>
        <v>43805</v>
      </c>
      <c r="C15" s="8"/>
      <c r="D15" s="112">
        <f>'Suivi EAU-ELEC'!C20</f>
        <v>370</v>
      </c>
      <c r="E15" s="91"/>
      <c r="F15" s="235">
        <f t="shared" si="0"/>
        <v>4687.8999999999996</v>
      </c>
      <c r="G15" s="235"/>
      <c r="H15" s="236"/>
      <c r="I15" s="94"/>
      <c r="J15" s="119">
        <f>'Suivi EAU-ELEC'!E20</f>
        <v>3891</v>
      </c>
      <c r="K15" s="120">
        <f>'Suivi EAU-ELEC'!G20</f>
        <v>6732</v>
      </c>
      <c r="L15" s="120">
        <f>'Suivi EAU-ELEC'!I20</f>
        <v>2829</v>
      </c>
      <c r="M15" s="121">
        <f t="shared" si="1"/>
        <v>13452</v>
      </c>
      <c r="N15" s="94"/>
      <c r="O15" s="97">
        <f t="shared" si="2"/>
        <v>13478.904</v>
      </c>
      <c r="P15" s="93"/>
      <c r="Q15" s="92"/>
      <c r="R15" s="91"/>
      <c r="S15" s="92"/>
      <c r="T15" s="99"/>
      <c r="U15" s="98">
        <f>'Suvi Gaz'!O15</f>
        <v>1335.6000000000001</v>
      </c>
      <c r="V15" s="95"/>
      <c r="W15" s="97">
        <f t="shared" si="3"/>
        <v>11175.365880000001</v>
      </c>
      <c r="X15" s="150">
        <v>15618.9</v>
      </c>
      <c r="Y15" s="101">
        <f t="shared" si="4"/>
        <v>7.2299999999995634</v>
      </c>
      <c r="Z15" s="102">
        <f t="shared" si="5"/>
        <v>3831.8999999997686</v>
      </c>
      <c r="AA15" s="94"/>
      <c r="AB15" s="117">
        <v>15</v>
      </c>
      <c r="AC15" s="131">
        <v>67</v>
      </c>
      <c r="AD15" s="127">
        <v>0.50380000000000003</v>
      </c>
      <c r="AE15" s="149">
        <v>27</v>
      </c>
      <c r="AF15" s="149">
        <v>28</v>
      </c>
      <c r="AG15" s="147">
        <v>28</v>
      </c>
      <c r="AH15" s="148">
        <v>28.5</v>
      </c>
      <c r="AI15" s="73"/>
      <c r="AJ15" s="80"/>
      <c r="AK15" s="73"/>
    </row>
    <row r="16" spans="1:37" ht="32.25" customHeight="1" thickBot="1" x14ac:dyDescent="0.25">
      <c r="A16" s="5"/>
      <c r="B16" s="7">
        <f t="shared" si="6"/>
        <v>43806</v>
      </c>
      <c r="C16" s="8"/>
      <c r="D16" s="112">
        <f>'Suivi EAU-ELEC'!C21</f>
        <v>380</v>
      </c>
      <c r="E16" s="114"/>
      <c r="F16" s="235">
        <f t="shared" si="0"/>
        <v>4814.6000000000004</v>
      </c>
      <c r="G16" s="235"/>
      <c r="H16" s="236"/>
      <c r="I16" s="95"/>
      <c r="J16" s="119">
        <f>'Suivi EAU-ELEC'!E21</f>
        <v>3996</v>
      </c>
      <c r="K16" s="120">
        <f>'Suivi EAU-ELEC'!G21</f>
        <v>6185</v>
      </c>
      <c r="L16" s="120">
        <f>'Suivi EAU-ELEC'!I21</f>
        <v>2927</v>
      </c>
      <c r="M16" s="121">
        <f t="shared" si="1"/>
        <v>13108</v>
      </c>
      <c r="N16" s="94"/>
      <c r="O16" s="97">
        <f t="shared" si="2"/>
        <v>13134.216</v>
      </c>
      <c r="P16" s="93"/>
      <c r="Q16" s="92"/>
      <c r="R16" s="91"/>
      <c r="S16" s="92"/>
      <c r="T16" s="99"/>
      <c r="U16" s="98">
        <f>'Suvi Gaz'!O16</f>
        <v>556.5</v>
      </c>
      <c r="V16" s="95"/>
      <c r="W16" s="97">
        <f t="shared" si="3"/>
        <v>4656.4024500000005</v>
      </c>
      <c r="X16" s="150">
        <v>15626.13</v>
      </c>
      <c r="Y16" s="101">
        <f t="shared" si="4"/>
        <v>17.710000000000946</v>
      </c>
      <c r="Z16" s="102">
        <f t="shared" si="5"/>
        <v>9386.3000000005013</v>
      </c>
      <c r="AA16" s="94"/>
      <c r="AB16" s="117">
        <v>16</v>
      </c>
      <c r="AC16" s="131">
        <v>65</v>
      </c>
      <c r="AD16" s="127">
        <v>0.51180000000000003</v>
      </c>
      <c r="AE16" s="149">
        <v>28</v>
      </c>
      <c r="AF16" s="149">
        <v>28</v>
      </c>
      <c r="AG16" s="147">
        <v>28.8</v>
      </c>
      <c r="AH16" s="148">
        <v>29</v>
      </c>
      <c r="AI16" s="73"/>
      <c r="AJ16" s="80"/>
      <c r="AK16" s="73"/>
    </row>
    <row r="17" spans="1:37" ht="32.25" customHeight="1" thickBot="1" x14ac:dyDescent="0.25">
      <c r="A17" s="5"/>
      <c r="B17" s="7">
        <f t="shared" si="6"/>
        <v>43807</v>
      </c>
      <c r="C17" s="8"/>
      <c r="D17" s="112">
        <f>'Suivi EAU-ELEC'!C22</f>
        <v>380</v>
      </c>
      <c r="E17" s="114"/>
      <c r="F17" s="235">
        <f t="shared" si="0"/>
        <v>4814.6000000000004</v>
      </c>
      <c r="G17" s="235"/>
      <c r="H17" s="236"/>
      <c r="I17" s="95"/>
      <c r="J17" s="119">
        <f>'Suivi EAU-ELEC'!E22</f>
        <v>4022</v>
      </c>
      <c r="K17" s="120">
        <f>'Suivi EAU-ELEC'!G22</f>
        <v>6025</v>
      </c>
      <c r="L17" s="120">
        <f>'Suivi EAU-ELEC'!I22</f>
        <v>2838</v>
      </c>
      <c r="M17" s="121">
        <f t="shared" si="1"/>
        <v>12885</v>
      </c>
      <c r="N17" s="94"/>
      <c r="O17" s="97">
        <f t="shared" si="2"/>
        <v>12910.77</v>
      </c>
      <c r="P17" s="93"/>
      <c r="Q17" s="92"/>
      <c r="R17" s="91"/>
      <c r="S17" s="92"/>
      <c r="T17" s="99"/>
      <c r="U17" s="98">
        <f>'Suvi Gaz'!O17</f>
        <v>742</v>
      </c>
      <c r="V17" s="95"/>
      <c r="W17" s="97">
        <f t="shared" si="3"/>
        <v>6208.5366000000004</v>
      </c>
      <c r="X17" s="150">
        <v>15643.84</v>
      </c>
      <c r="Y17" s="101">
        <f t="shared" si="4"/>
        <v>18.850000000000364</v>
      </c>
      <c r="Z17" s="102">
        <f t="shared" si="5"/>
        <v>9990.5000000001928</v>
      </c>
      <c r="AA17" s="100"/>
      <c r="AB17" s="117">
        <v>16</v>
      </c>
      <c r="AC17" s="131">
        <v>57</v>
      </c>
      <c r="AD17" s="127">
        <v>0.43509999999999999</v>
      </c>
      <c r="AE17" s="149">
        <v>28</v>
      </c>
      <c r="AF17" s="149">
        <v>29</v>
      </c>
      <c r="AG17" s="147">
        <v>28.6</v>
      </c>
      <c r="AH17" s="148">
        <v>29</v>
      </c>
      <c r="AI17" s="73"/>
      <c r="AJ17" s="80"/>
      <c r="AK17" s="73"/>
    </row>
    <row r="18" spans="1:37" ht="32.25" customHeight="1" thickBot="1" x14ac:dyDescent="0.25">
      <c r="A18" s="5"/>
      <c r="B18" s="7">
        <f t="shared" si="6"/>
        <v>43808</v>
      </c>
      <c r="C18" s="8"/>
      <c r="D18" s="112">
        <f>'Suivi EAU-ELEC'!C23</f>
        <v>450</v>
      </c>
      <c r="E18" s="114"/>
      <c r="F18" s="235">
        <f t="shared" si="0"/>
        <v>5701.5</v>
      </c>
      <c r="G18" s="235"/>
      <c r="H18" s="236"/>
      <c r="I18" s="95"/>
      <c r="J18" s="119">
        <f>'Suivi EAU-ELEC'!E23</f>
        <v>4155</v>
      </c>
      <c r="K18" s="120">
        <f>'Suivi EAU-ELEC'!G23</f>
        <v>6276</v>
      </c>
      <c r="L18" s="120">
        <f>'Suivi EAU-ELEC'!I23</f>
        <v>3010</v>
      </c>
      <c r="M18" s="121">
        <f t="shared" si="1"/>
        <v>13441</v>
      </c>
      <c r="N18" s="94"/>
      <c r="O18" s="97">
        <f t="shared" si="2"/>
        <v>13467.882</v>
      </c>
      <c r="P18" s="93"/>
      <c r="Q18" s="92"/>
      <c r="R18" s="91"/>
      <c r="S18" s="92"/>
      <c r="T18" s="99"/>
      <c r="U18" s="98">
        <f>'Suvi Gaz'!O18</f>
        <v>593.6</v>
      </c>
      <c r="V18" s="95"/>
      <c r="W18" s="97">
        <f t="shared" si="3"/>
        <v>4966.8292799999999</v>
      </c>
      <c r="X18" s="150">
        <v>15662.69</v>
      </c>
      <c r="Y18" s="101">
        <f t="shared" si="4"/>
        <v>15.920000000000073</v>
      </c>
      <c r="Z18" s="102">
        <f t="shared" si="5"/>
        <v>8437.6000000000386</v>
      </c>
      <c r="AA18" s="100"/>
      <c r="AB18" s="117">
        <v>17</v>
      </c>
      <c r="AC18" s="131">
        <v>70</v>
      </c>
      <c r="AD18" s="127">
        <v>0.54690000000000005</v>
      </c>
      <c r="AE18" s="149">
        <v>27.8</v>
      </c>
      <c r="AF18" s="149">
        <v>29</v>
      </c>
      <c r="AG18" s="147">
        <v>27.8</v>
      </c>
      <c r="AH18" s="148">
        <v>29</v>
      </c>
      <c r="AI18" s="73"/>
      <c r="AJ18" s="80"/>
      <c r="AK18" s="73"/>
    </row>
    <row r="19" spans="1:37" ht="32.25" customHeight="1" thickBot="1" x14ac:dyDescent="0.25">
      <c r="A19" s="5"/>
      <c r="B19" s="7">
        <f t="shared" si="6"/>
        <v>43809</v>
      </c>
      <c r="C19" s="8"/>
      <c r="D19" s="112">
        <f>'Suivi EAU-ELEC'!C24</f>
        <v>400</v>
      </c>
      <c r="E19" s="114"/>
      <c r="F19" s="235">
        <f t="shared" si="0"/>
        <v>5068</v>
      </c>
      <c r="G19" s="235"/>
      <c r="H19" s="236"/>
      <c r="I19" s="95"/>
      <c r="J19" s="119">
        <f>'Suivi EAU-ELEC'!E24</f>
        <v>4166</v>
      </c>
      <c r="K19" s="120">
        <f>'Suivi EAU-ELEC'!G24</f>
        <v>6425</v>
      </c>
      <c r="L19" s="120">
        <f>'Suivi EAU-ELEC'!I24</f>
        <v>2953</v>
      </c>
      <c r="M19" s="121">
        <f t="shared" si="1"/>
        <v>13544</v>
      </c>
      <c r="N19" s="94"/>
      <c r="O19" s="97">
        <f t="shared" si="2"/>
        <v>13571.088</v>
      </c>
      <c r="P19" s="93"/>
      <c r="Q19" s="92"/>
      <c r="R19" s="91"/>
      <c r="S19" s="92"/>
      <c r="T19" s="99"/>
      <c r="U19" s="98">
        <f>'Suvi Gaz'!O19</f>
        <v>1261.4000000000001</v>
      </c>
      <c r="V19" s="95"/>
      <c r="W19" s="97">
        <f t="shared" si="3"/>
        <v>10554.512220000001</v>
      </c>
      <c r="X19" s="150">
        <v>15678.61</v>
      </c>
      <c r="Y19" s="101">
        <f t="shared" si="4"/>
        <v>12.459999999999127</v>
      </c>
      <c r="Z19" s="102">
        <f t="shared" si="5"/>
        <v>6603.7999999995382</v>
      </c>
      <c r="AA19" s="100"/>
      <c r="AB19" s="117">
        <v>18</v>
      </c>
      <c r="AC19" s="131">
        <v>90</v>
      </c>
      <c r="AD19" s="127">
        <v>0.70309999999999995</v>
      </c>
      <c r="AE19" s="149">
        <v>27.5</v>
      </c>
      <c r="AF19" s="135">
        <v>28</v>
      </c>
      <c r="AG19" s="147">
        <v>27.5</v>
      </c>
      <c r="AH19" s="148">
        <v>28</v>
      </c>
      <c r="AI19" s="73"/>
      <c r="AJ19" s="80"/>
      <c r="AK19" s="73"/>
    </row>
    <row r="20" spans="1:37" ht="32.25" customHeight="1" thickBot="1" x14ac:dyDescent="0.25">
      <c r="A20" s="5"/>
      <c r="B20" s="7">
        <f>B19+1</f>
        <v>43810</v>
      </c>
      <c r="C20" s="8"/>
      <c r="D20" s="112">
        <f>'Suivi EAU-ELEC'!C25</f>
        <v>440</v>
      </c>
      <c r="E20" s="114"/>
      <c r="F20" s="235">
        <f t="shared" si="0"/>
        <v>5574.8</v>
      </c>
      <c r="G20" s="235"/>
      <c r="H20" s="236"/>
      <c r="I20" s="95"/>
      <c r="J20" s="119">
        <f>'Suivi EAU-ELEC'!E25</f>
        <v>4717</v>
      </c>
      <c r="K20" s="120">
        <f>'Suivi EAU-ELEC'!G25</f>
        <v>6392</v>
      </c>
      <c r="L20" s="120">
        <f>'Suivi EAU-ELEC'!I25</f>
        <v>3221</v>
      </c>
      <c r="M20" s="121">
        <f t="shared" si="1"/>
        <v>14330</v>
      </c>
      <c r="N20" s="94"/>
      <c r="O20" s="97">
        <f t="shared" si="2"/>
        <v>14358.66</v>
      </c>
      <c r="P20" s="93"/>
      <c r="Q20" s="92"/>
      <c r="R20" s="91"/>
      <c r="S20" s="92"/>
      <c r="T20" s="99"/>
      <c r="U20" s="98">
        <f>'Suvi Gaz'!O20</f>
        <v>1113</v>
      </c>
      <c r="V20" s="95"/>
      <c r="W20" s="97">
        <f t="shared" si="3"/>
        <v>9312.804900000001</v>
      </c>
      <c r="X20" s="150">
        <v>15691.07</v>
      </c>
      <c r="Y20" s="101">
        <f t="shared" si="4"/>
        <v>11.460000000000946</v>
      </c>
      <c r="Z20" s="102">
        <f t="shared" si="5"/>
        <v>6073.8000000005013</v>
      </c>
      <c r="AA20" s="100">
        <v>14</v>
      </c>
      <c r="AB20" s="117">
        <v>18</v>
      </c>
      <c r="AC20" s="131">
        <v>106</v>
      </c>
      <c r="AD20" s="127">
        <v>0.82809999999999995</v>
      </c>
      <c r="AE20" s="149">
        <v>27.6</v>
      </c>
      <c r="AF20" s="135">
        <v>28</v>
      </c>
      <c r="AG20" s="147">
        <v>27.5</v>
      </c>
      <c r="AH20" s="148">
        <v>28</v>
      </c>
      <c r="AI20" s="73"/>
      <c r="AJ20" s="80"/>
      <c r="AK20" s="73"/>
    </row>
    <row r="21" spans="1:37" ht="32.25" customHeight="1" thickBot="1" x14ac:dyDescent="0.25">
      <c r="A21" s="5"/>
      <c r="B21" s="7">
        <f t="shared" si="6"/>
        <v>43811</v>
      </c>
      <c r="C21" s="8"/>
      <c r="D21" s="112">
        <f>'Suivi EAU-ELEC'!C26</f>
        <v>470</v>
      </c>
      <c r="E21" s="114"/>
      <c r="F21" s="235">
        <f t="shared" si="0"/>
        <v>5954.9</v>
      </c>
      <c r="G21" s="235"/>
      <c r="H21" s="236"/>
      <c r="I21" s="95"/>
      <c r="J21" s="119">
        <f>'Suivi EAU-ELEC'!E26</f>
        <v>4350</v>
      </c>
      <c r="K21" s="120">
        <f>'Suivi EAU-ELEC'!G26</f>
        <v>6907</v>
      </c>
      <c r="L21" s="120">
        <f>'Suivi EAU-ELEC'!I26</f>
        <v>3242</v>
      </c>
      <c r="M21" s="121">
        <f t="shared" si="1"/>
        <v>14499</v>
      </c>
      <c r="N21" s="94"/>
      <c r="O21" s="97">
        <f t="shared" si="2"/>
        <v>14527.998</v>
      </c>
      <c r="P21" s="93"/>
      <c r="Q21" s="92"/>
      <c r="R21" s="91"/>
      <c r="S21" s="92"/>
      <c r="T21" s="99"/>
      <c r="U21" s="98">
        <f>'Suvi Gaz'!O21</f>
        <v>853.30000000000007</v>
      </c>
      <c r="V21" s="95"/>
      <c r="W21" s="97">
        <f t="shared" si="3"/>
        <v>7139.8170900000005</v>
      </c>
      <c r="X21" s="150">
        <v>15702.53</v>
      </c>
      <c r="Y21" s="101">
        <f t="shared" si="4"/>
        <v>15.979999999999563</v>
      </c>
      <c r="Z21" s="102">
        <f t="shared" si="5"/>
        <v>8469.3999999997686</v>
      </c>
      <c r="AA21" s="100">
        <v>14</v>
      </c>
      <c r="AB21" s="117">
        <v>16</v>
      </c>
      <c r="AC21" s="131">
        <v>79</v>
      </c>
      <c r="AD21" s="127">
        <v>0.64229999999999998</v>
      </c>
      <c r="AE21" s="149">
        <v>27.8</v>
      </c>
      <c r="AF21" s="135">
        <v>28</v>
      </c>
      <c r="AG21" s="147">
        <v>27.8</v>
      </c>
      <c r="AH21" s="148">
        <v>28</v>
      </c>
      <c r="AI21" s="73"/>
      <c r="AJ21" s="80"/>
      <c r="AK21" s="73"/>
    </row>
    <row r="22" spans="1:37" ht="32.25" customHeight="1" thickBot="1" x14ac:dyDescent="0.25">
      <c r="A22" s="5"/>
      <c r="B22" s="7">
        <f t="shared" si="6"/>
        <v>43812</v>
      </c>
      <c r="C22" s="8"/>
      <c r="D22" s="112">
        <f>'Suivi EAU-ELEC'!C27</f>
        <v>410</v>
      </c>
      <c r="E22" s="114"/>
      <c r="F22" s="235">
        <f t="shared" si="0"/>
        <v>5194.7</v>
      </c>
      <c r="G22" s="235"/>
      <c r="H22" s="236"/>
      <c r="I22" s="95"/>
      <c r="J22" s="119">
        <f>'Suivi EAU-ELEC'!E27</f>
        <v>4884</v>
      </c>
      <c r="K22" s="120">
        <f>'Suivi EAU-ELEC'!G27</f>
        <v>6348</v>
      </c>
      <c r="L22" s="120">
        <f>'Suivi EAU-ELEC'!I27</f>
        <v>3486</v>
      </c>
      <c r="M22" s="121">
        <f t="shared" si="1"/>
        <v>14718</v>
      </c>
      <c r="N22" s="94"/>
      <c r="O22" s="97">
        <f t="shared" si="2"/>
        <v>14747.436</v>
      </c>
      <c r="P22" s="93"/>
      <c r="Q22" s="92"/>
      <c r="R22" s="91"/>
      <c r="S22" s="92"/>
      <c r="T22" s="99"/>
      <c r="U22" s="98">
        <f>'Suvi Gaz'!O22</f>
        <v>148.4</v>
      </c>
      <c r="V22" s="95"/>
      <c r="W22" s="97">
        <f t="shared" si="3"/>
        <v>1241.70732</v>
      </c>
      <c r="X22" s="150">
        <v>15718.51</v>
      </c>
      <c r="Y22" s="101">
        <f t="shared" si="4"/>
        <v>16.850000000000364</v>
      </c>
      <c r="Z22" s="102">
        <f t="shared" si="5"/>
        <v>8930.5000000001946</v>
      </c>
      <c r="AA22" s="95"/>
      <c r="AB22" s="117">
        <v>21</v>
      </c>
      <c r="AC22" s="131">
        <v>78</v>
      </c>
      <c r="AD22" s="127">
        <v>0.58650000000000002</v>
      </c>
      <c r="AE22" s="149">
        <v>27.6</v>
      </c>
      <c r="AF22" s="135">
        <v>28</v>
      </c>
      <c r="AG22" s="147">
        <v>27.2</v>
      </c>
      <c r="AH22" s="148">
        <v>28</v>
      </c>
      <c r="AI22" s="73"/>
      <c r="AJ22" s="80"/>
      <c r="AK22" s="73"/>
    </row>
    <row r="23" spans="1:37" ht="32.25" customHeight="1" thickBot="1" x14ac:dyDescent="0.25">
      <c r="A23" s="5"/>
      <c r="B23" s="7">
        <f>B22+1</f>
        <v>43813</v>
      </c>
      <c r="C23" s="8"/>
      <c r="D23" s="112">
        <f>'Suivi EAU-ELEC'!C28</f>
        <v>490</v>
      </c>
      <c r="E23" s="114"/>
      <c r="F23" s="235">
        <f t="shared" si="0"/>
        <v>6208.3</v>
      </c>
      <c r="G23" s="235"/>
      <c r="H23" s="236"/>
      <c r="I23" s="95"/>
      <c r="J23" s="119">
        <f>'Suivi EAU-ELEC'!E28</f>
        <v>4095</v>
      </c>
      <c r="K23" s="120">
        <f>'Suivi EAU-ELEC'!G28</f>
        <v>5927</v>
      </c>
      <c r="L23" s="120">
        <f>'Suivi EAU-ELEC'!I28</f>
        <v>2954</v>
      </c>
      <c r="M23" s="121">
        <f t="shared" si="1"/>
        <v>12976</v>
      </c>
      <c r="N23" s="94"/>
      <c r="O23" s="97">
        <f t="shared" si="2"/>
        <v>13001.951999999999</v>
      </c>
      <c r="P23" s="93"/>
      <c r="Q23" s="92"/>
      <c r="R23" s="91"/>
      <c r="S23" s="92"/>
      <c r="T23" s="99"/>
      <c r="U23" s="98">
        <f>'Suvi Gaz'!O23</f>
        <v>1001.7</v>
      </c>
      <c r="V23" s="95"/>
      <c r="W23" s="97">
        <f t="shared" si="3"/>
        <v>8381.52441</v>
      </c>
      <c r="X23" s="150">
        <v>15735.36</v>
      </c>
      <c r="Y23" s="101">
        <f t="shared" si="4"/>
        <v>14.619999999998981</v>
      </c>
      <c r="Z23" s="102">
        <f t="shared" si="5"/>
        <v>7748.599999999461</v>
      </c>
      <c r="AA23" s="95"/>
      <c r="AB23" s="117">
        <v>19</v>
      </c>
      <c r="AC23" s="131">
        <v>75</v>
      </c>
      <c r="AD23" s="127">
        <v>0.5474</v>
      </c>
      <c r="AE23" s="149">
        <v>27.3</v>
      </c>
      <c r="AF23" s="135">
        <v>28</v>
      </c>
      <c r="AG23" s="147">
        <v>27.6</v>
      </c>
      <c r="AH23" s="148">
        <v>28</v>
      </c>
      <c r="AI23" s="73"/>
      <c r="AJ23" s="80"/>
      <c r="AK23" s="73"/>
    </row>
    <row r="24" spans="1:37" ht="32.25" customHeight="1" thickBot="1" x14ac:dyDescent="0.25">
      <c r="A24" s="5"/>
      <c r="B24" s="7">
        <f t="shared" si="6"/>
        <v>43814</v>
      </c>
      <c r="C24" s="8"/>
      <c r="D24" s="112">
        <f>'Suivi EAU-ELEC'!C29</f>
        <v>500</v>
      </c>
      <c r="E24" s="114"/>
      <c r="F24" s="235">
        <f t="shared" si="0"/>
        <v>6335</v>
      </c>
      <c r="G24" s="235"/>
      <c r="H24" s="236"/>
      <c r="I24" s="95"/>
      <c r="J24" s="119">
        <f>'Suivi EAU-ELEC'!E29</f>
        <v>3903</v>
      </c>
      <c r="K24" s="120">
        <f>'Suivi EAU-ELEC'!G29</f>
        <v>6043</v>
      </c>
      <c r="L24" s="120">
        <f>'Suivi EAU-ELEC'!I29</f>
        <v>2713</v>
      </c>
      <c r="M24" s="121">
        <f t="shared" si="1"/>
        <v>12659</v>
      </c>
      <c r="N24" s="94"/>
      <c r="O24" s="97">
        <f t="shared" si="2"/>
        <v>12684.317999999999</v>
      </c>
      <c r="P24" s="93"/>
      <c r="Q24" s="92"/>
      <c r="R24" s="91"/>
      <c r="S24" s="92"/>
      <c r="T24" s="99"/>
      <c r="U24" s="98">
        <f>'Suvi Gaz'!O24</f>
        <v>964.6</v>
      </c>
      <c r="V24" s="95"/>
      <c r="W24" s="97">
        <f t="shared" si="3"/>
        <v>8071.0975800000006</v>
      </c>
      <c r="X24" s="150">
        <v>15749.98</v>
      </c>
      <c r="Y24" s="101">
        <f t="shared" si="4"/>
        <v>16.659999999999854</v>
      </c>
      <c r="Z24" s="102">
        <f t="shared" si="5"/>
        <v>8829.7999999999247</v>
      </c>
      <c r="AA24" s="95"/>
      <c r="AB24" s="117">
        <v>19</v>
      </c>
      <c r="AC24" s="131">
        <v>79</v>
      </c>
      <c r="AD24" s="127">
        <v>0.58520000000000005</v>
      </c>
      <c r="AE24" s="149">
        <v>27.5</v>
      </c>
      <c r="AF24" s="135">
        <v>28</v>
      </c>
      <c r="AG24" s="147">
        <v>27.5</v>
      </c>
      <c r="AH24" s="148">
        <v>28</v>
      </c>
      <c r="AI24" s="73"/>
      <c r="AJ24" s="80"/>
      <c r="AK24" s="73"/>
    </row>
    <row r="25" spans="1:37" ht="32.25" customHeight="1" thickBot="1" x14ac:dyDescent="0.25">
      <c r="A25" s="5"/>
      <c r="B25" s="7">
        <f t="shared" si="6"/>
        <v>43815</v>
      </c>
      <c r="C25" s="8"/>
      <c r="D25" s="112">
        <f>'Suivi EAU-ELEC'!C30</f>
        <v>400</v>
      </c>
      <c r="E25" s="114"/>
      <c r="F25" s="235">
        <f t="shared" si="0"/>
        <v>5068</v>
      </c>
      <c r="G25" s="235"/>
      <c r="H25" s="236"/>
      <c r="I25" s="95"/>
      <c r="J25" s="119">
        <f>'Suivi EAU-ELEC'!E30</f>
        <v>4579</v>
      </c>
      <c r="K25" s="120">
        <f>'Suivi EAU-ELEC'!G30</f>
        <v>6190</v>
      </c>
      <c r="L25" s="120">
        <f>'Suivi EAU-ELEC'!I30</f>
        <v>3137</v>
      </c>
      <c r="M25" s="121">
        <f t="shared" si="1"/>
        <v>13906</v>
      </c>
      <c r="N25" s="94"/>
      <c r="O25" s="97">
        <f t="shared" si="2"/>
        <v>13933.812</v>
      </c>
      <c r="P25" s="93"/>
      <c r="Q25" s="92"/>
      <c r="R25" s="91"/>
      <c r="S25" s="92"/>
      <c r="T25" s="99"/>
      <c r="U25" s="98">
        <f>'Suvi Gaz'!O25</f>
        <v>779.1</v>
      </c>
      <c r="V25" s="95"/>
      <c r="W25" s="97">
        <f t="shared" si="3"/>
        <v>6518.9634300000007</v>
      </c>
      <c r="X25" s="150">
        <v>15766.64</v>
      </c>
      <c r="Y25" s="101">
        <f t="shared" si="4"/>
        <v>14.860000000000582</v>
      </c>
      <c r="Z25" s="102">
        <f t="shared" si="5"/>
        <v>7875.8000000003094</v>
      </c>
      <c r="AA25" s="95"/>
      <c r="AB25" s="117">
        <v>21</v>
      </c>
      <c r="AC25" s="131">
        <v>63</v>
      </c>
      <c r="AD25" s="127">
        <v>0.48459999999999998</v>
      </c>
      <c r="AE25" s="149">
        <v>27</v>
      </c>
      <c r="AF25" s="135">
        <v>28</v>
      </c>
      <c r="AG25" s="147">
        <v>28</v>
      </c>
      <c r="AH25" s="148">
        <v>29</v>
      </c>
      <c r="AI25" s="73"/>
      <c r="AJ25" s="80"/>
      <c r="AK25" s="73"/>
    </row>
    <row r="26" spans="1:37" ht="32.25" customHeight="1" thickBot="1" x14ac:dyDescent="0.25">
      <c r="A26" s="5"/>
      <c r="B26" s="7">
        <f t="shared" si="6"/>
        <v>43816</v>
      </c>
      <c r="C26" s="8"/>
      <c r="D26" s="112">
        <f>'Suivi EAU-ELEC'!C31</f>
        <v>420</v>
      </c>
      <c r="E26" s="115"/>
      <c r="F26" s="235">
        <f t="shared" si="0"/>
        <v>5321.4</v>
      </c>
      <c r="G26" s="235"/>
      <c r="H26" s="236"/>
      <c r="I26" s="95"/>
      <c r="J26" s="119">
        <f>'Suivi EAU-ELEC'!E31</f>
        <v>3071</v>
      </c>
      <c r="K26" s="120">
        <f>'Suivi EAU-ELEC'!G31</f>
        <v>6411</v>
      </c>
      <c r="L26" s="120">
        <f>'Suivi EAU-ELEC'!I31</f>
        <v>3087</v>
      </c>
      <c r="M26" s="121">
        <f t="shared" si="1"/>
        <v>12569</v>
      </c>
      <c r="N26" s="94"/>
      <c r="O26" s="97">
        <f t="shared" si="2"/>
        <v>12594.138000000001</v>
      </c>
      <c r="P26" s="93"/>
      <c r="Q26" s="92"/>
      <c r="R26" s="91"/>
      <c r="S26" s="92"/>
      <c r="T26" s="99"/>
      <c r="U26" s="98">
        <f>'Suvi Gaz'!O26</f>
        <v>1150.1000000000001</v>
      </c>
      <c r="V26" s="96"/>
      <c r="W26" s="97">
        <f t="shared" si="3"/>
        <v>9623.2317300000013</v>
      </c>
      <c r="X26" s="150">
        <v>15781.5</v>
      </c>
      <c r="Y26" s="101">
        <f t="shared" si="4"/>
        <v>8.8299999999999272</v>
      </c>
      <c r="Z26" s="102">
        <f t="shared" si="5"/>
        <v>4679.8999999999614</v>
      </c>
      <c r="AA26" s="96"/>
      <c r="AB26" s="117">
        <v>11</v>
      </c>
      <c r="AC26" s="131">
        <v>47</v>
      </c>
      <c r="AD26" s="127">
        <v>0.35339999999999999</v>
      </c>
      <c r="AE26" s="149">
        <v>25.8</v>
      </c>
      <c r="AF26" s="135">
        <v>26</v>
      </c>
      <c r="AG26" s="147">
        <v>25.8</v>
      </c>
      <c r="AH26" s="148">
        <v>29</v>
      </c>
      <c r="AI26" s="73"/>
      <c r="AJ26" s="80"/>
      <c r="AK26" s="73"/>
    </row>
    <row r="27" spans="1:37" ht="32.25" customHeight="1" thickBot="1" x14ac:dyDescent="0.25">
      <c r="A27" s="5"/>
      <c r="B27" s="7">
        <f>B26+1</f>
        <v>43817</v>
      </c>
      <c r="C27" s="8"/>
      <c r="D27" s="112">
        <f>'Suivi EAU-ELEC'!C32</f>
        <v>540</v>
      </c>
      <c r="E27" s="115"/>
      <c r="F27" s="235">
        <f t="shared" si="0"/>
        <v>6841.8</v>
      </c>
      <c r="G27" s="235"/>
      <c r="H27" s="236"/>
      <c r="I27" s="95"/>
      <c r="J27" s="119">
        <f>'Suivi EAU-ELEC'!E32</f>
        <v>4123</v>
      </c>
      <c r="K27" s="120">
        <f>'Suivi EAU-ELEC'!G32</f>
        <v>6230</v>
      </c>
      <c r="L27" s="120">
        <f>'Suivi EAU-ELEC'!I32</f>
        <v>2788</v>
      </c>
      <c r="M27" s="121">
        <f t="shared" si="1"/>
        <v>13141</v>
      </c>
      <c r="N27" s="94"/>
      <c r="O27" s="97">
        <f>M27*1.002</f>
        <v>13167.281999999999</v>
      </c>
      <c r="P27" s="93"/>
      <c r="Q27" s="92"/>
      <c r="R27" s="91"/>
      <c r="S27" s="92"/>
      <c r="T27" s="99"/>
      <c r="U27" s="98">
        <f>'Suvi Gaz'!O27</f>
        <v>1595.3000000000002</v>
      </c>
      <c r="V27" s="96"/>
      <c r="W27" s="97">
        <f t="shared" si="3"/>
        <v>13348.353690000002</v>
      </c>
      <c r="X27" s="150">
        <v>15790.33</v>
      </c>
      <c r="Y27" s="101">
        <f t="shared" si="4"/>
        <v>11.170000000000073</v>
      </c>
      <c r="Z27" s="102">
        <f t="shared" si="5"/>
        <v>5920.1000000000386</v>
      </c>
      <c r="AA27" s="96"/>
      <c r="AB27" s="117">
        <v>15</v>
      </c>
      <c r="AC27" s="131">
        <v>57</v>
      </c>
      <c r="AD27" s="127">
        <v>0.41610000000000003</v>
      </c>
      <c r="AE27" s="149">
        <v>25.8</v>
      </c>
      <c r="AF27" s="135">
        <v>26</v>
      </c>
      <c r="AG27" s="147">
        <v>26</v>
      </c>
      <c r="AH27" s="148">
        <v>26</v>
      </c>
      <c r="AI27" s="73"/>
      <c r="AJ27" s="80"/>
      <c r="AK27" s="73"/>
    </row>
    <row r="28" spans="1:37" ht="32.25" customHeight="1" thickBot="1" x14ac:dyDescent="0.25">
      <c r="A28" s="5"/>
      <c r="B28" s="7">
        <f t="shared" si="6"/>
        <v>43818</v>
      </c>
      <c r="C28" s="8"/>
      <c r="D28" s="112">
        <f>'Suivi EAU-ELEC'!C33</f>
        <v>400</v>
      </c>
      <c r="E28" s="115"/>
      <c r="F28" s="235">
        <f t="shared" si="0"/>
        <v>5068</v>
      </c>
      <c r="G28" s="235"/>
      <c r="H28" s="236"/>
      <c r="I28" s="96"/>
      <c r="J28" s="119">
        <f>'Suivi EAU-ELEC'!E33</f>
        <v>4185</v>
      </c>
      <c r="K28" s="120">
        <f>'Suivi EAU-ELEC'!G33</f>
        <v>6102</v>
      </c>
      <c r="L28" s="120">
        <f>'Suivi EAU-ELEC'!I33</f>
        <v>2900</v>
      </c>
      <c r="M28" s="121">
        <f t="shared" si="1"/>
        <v>13187</v>
      </c>
      <c r="N28" s="94"/>
      <c r="O28" s="97">
        <f t="shared" si="2"/>
        <v>13213.374</v>
      </c>
      <c r="P28" s="93"/>
      <c r="Q28" s="92"/>
      <c r="R28" s="91"/>
      <c r="S28" s="92"/>
      <c r="T28" s="99"/>
      <c r="U28" s="98">
        <f>'Suvi Gaz'!O28</f>
        <v>1075.9000000000001</v>
      </c>
      <c r="V28" s="96"/>
      <c r="W28" s="97">
        <f t="shared" si="3"/>
        <v>9002.3780700000007</v>
      </c>
      <c r="X28" s="150">
        <v>15801.5</v>
      </c>
      <c r="Y28" s="101">
        <f t="shared" si="4"/>
        <v>15.340000000000146</v>
      </c>
      <c r="Z28" s="102">
        <f t="shared" si="5"/>
        <v>8130.2000000000771</v>
      </c>
      <c r="AA28" s="96"/>
      <c r="AB28" s="117">
        <v>18</v>
      </c>
      <c r="AC28" s="131">
        <v>62</v>
      </c>
      <c r="AD28" s="127">
        <v>0.45929999999999999</v>
      </c>
      <c r="AE28" s="149">
        <v>26.4</v>
      </c>
      <c r="AF28" s="135">
        <v>27</v>
      </c>
      <c r="AG28" s="147">
        <v>26.5</v>
      </c>
      <c r="AH28" s="148">
        <v>27</v>
      </c>
      <c r="AI28" s="73"/>
      <c r="AJ28" s="80"/>
      <c r="AK28" s="73"/>
    </row>
    <row r="29" spans="1:37" ht="32.25" customHeight="1" thickBot="1" x14ac:dyDescent="0.25">
      <c r="A29" s="5"/>
      <c r="B29" s="7">
        <f t="shared" si="6"/>
        <v>43819</v>
      </c>
      <c r="C29" s="8"/>
      <c r="D29" s="112">
        <f>'Suivi EAU-ELEC'!C34</f>
        <v>0</v>
      </c>
      <c r="E29" s="115"/>
      <c r="F29" s="235">
        <f t="shared" si="0"/>
        <v>0</v>
      </c>
      <c r="G29" s="235"/>
      <c r="H29" s="236"/>
      <c r="I29" s="96"/>
      <c r="J29" s="119">
        <f>'Suivi EAU-ELEC'!E34</f>
        <v>0</v>
      </c>
      <c r="K29" s="120">
        <f>'Suivi EAU-ELEC'!G34</f>
        <v>0</v>
      </c>
      <c r="L29" s="120">
        <f>'Suivi EAU-ELEC'!I34</f>
        <v>0</v>
      </c>
      <c r="M29" s="121">
        <f t="shared" si="1"/>
        <v>0</v>
      </c>
      <c r="N29" s="94"/>
      <c r="O29" s="97">
        <f t="shared" si="2"/>
        <v>0</v>
      </c>
      <c r="P29" s="93"/>
      <c r="Q29" s="92"/>
      <c r="R29" s="91"/>
      <c r="S29" s="92"/>
      <c r="T29" s="99"/>
      <c r="U29" s="98">
        <f>'Suvi Gaz'!O29</f>
        <v>0</v>
      </c>
      <c r="V29" s="96"/>
      <c r="W29" s="97">
        <f t="shared" si="3"/>
        <v>0</v>
      </c>
      <c r="X29" s="150">
        <v>15816.84</v>
      </c>
      <c r="Y29" s="101">
        <f t="shared" si="4"/>
        <v>0</v>
      </c>
      <c r="Z29" s="102">
        <f t="shared" si="5"/>
        <v>0</v>
      </c>
      <c r="AA29" s="96"/>
      <c r="AB29" s="117"/>
      <c r="AC29" s="131"/>
      <c r="AD29" s="127"/>
      <c r="AE29" s="149"/>
      <c r="AF29" s="135"/>
      <c r="AG29" s="147"/>
      <c r="AH29" s="148"/>
      <c r="AI29" s="73"/>
      <c r="AJ29" s="80"/>
      <c r="AK29" s="73"/>
    </row>
    <row r="30" spans="1:37" s="69" customFormat="1" ht="32.25" customHeight="1" thickBot="1" x14ac:dyDescent="0.25">
      <c r="A30" s="66"/>
      <c r="B30" s="67">
        <f t="shared" si="6"/>
        <v>43820</v>
      </c>
      <c r="C30" s="68"/>
      <c r="D30" s="112">
        <f>'Suivi EAU-ELEC'!C35</f>
        <v>0</v>
      </c>
      <c r="E30" s="115"/>
      <c r="F30" s="235">
        <f t="shared" si="0"/>
        <v>0</v>
      </c>
      <c r="G30" s="235"/>
      <c r="H30" s="236"/>
      <c r="I30" s="96"/>
      <c r="J30" s="119">
        <f>'Suivi EAU-ELEC'!E35</f>
        <v>0</v>
      </c>
      <c r="K30" s="120">
        <f>'Suivi EAU-ELEC'!G35</f>
        <v>0</v>
      </c>
      <c r="L30" s="120">
        <f>'Suivi EAU-ELEC'!I35</f>
        <v>0</v>
      </c>
      <c r="M30" s="121">
        <f t="shared" si="1"/>
        <v>0</v>
      </c>
      <c r="N30" s="94"/>
      <c r="O30" s="97">
        <f t="shared" si="2"/>
        <v>0</v>
      </c>
      <c r="P30" s="93"/>
      <c r="Q30" s="92"/>
      <c r="R30" s="91"/>
      <c r="S30" s="92"/>
      <c r="T30" s="99"/>
      <c r="U30" s="98">
        <f>'Suvi Gaz'!O30</f>
        <v>0</v>
      </c>
      <c r="V30" s="96"/>
      <c r="W30" s="97">
        <f t="shared" si="3"/>
        <v>0</v>
      </c>
      <c r="X30" s="150"/>
      <c r="Y30" s="101">
        <f t="shared" si="4"/>
        <v>0</v>
      </c>
      <c r="Z30" s="102">
        <f t="shared" si="5"/>
        <v>0</v>
      </c>
      <c r="AA30" s="96"/>
      <c r="AB30" s="117"/>
      <c r="AC30" s="131"/>
      <c r="AD30" s="127"/>
      <c r="AE30" s="149"/>
      <c r="AF30" s="135"/>
      <c r="AG30" s="147"/>
      <c r="AH30" s="148"/>
      <c r="AI30" s="73"/>
      <c r="AJ30" s="80"/>
      <c r="AK30" s="73"/>
    </row>
    <row r="31" spans="1:37" ht="32.25" customHeight="1" thickBot="1" x14ac:dyDescent="0.25">
      <c r="A31" s="5"/>
      <c r="B31" s="65">
        <f t="shared" si="6"/>
        <v>43821</v>
      </c>
      <c r="C31" s="8"/>
      <c r="D31" s="112">
        <f>'Suivi EAU-ELEC'!C36</f>
        <v>0</v>
      </c>
      <c r="E31" s="91"/>
      <c r="F31" s="235">
        <f t="shared" si="0"/>
        <v>0</v>
      </c>
      <c r="G31" s="235"/>
      <c r="H31" s="236"/>
      <c r="I31" s="94"/>
      <c r="J31" s="119">
        <f>'Suivi EAU-ELEC'!E36</f>
        <v>0</v>
      </c>
      <c r="K31" s="120">
        <f>'Suivi EAU-ELEC'!G36</f>
        <v>0</v>
      </c>
      <c r="L31" s="120">
        <f>'Suivi EAU-ELEC'!I36</f>
        <v>0</v>
      </c>
      <c r="M31" s="121">
        <f t="shared" si="1"/>
        <v>0</v>
      </c>
      <c r="N31" s="94"/>
      <c r="O31" s="97">
        <f t="shared" si="2"/>
        <v>0</v>
      </c>
      <c r="P31" s="93"/>
      <c r="Q31" s="92"/>
      <c r="R31" s="91"/>
      <c r="S31" s="92"/>
      <c r="T31" s="99"/>
      <c r="U31" s="98">
        <f>'Suvi Gaz'!O31</f>
        <v>0</v>
      </c>
      <c r="V31" s="94"/>
      <c r="W31" s="97">
        <f t="shared" si="3"/>
        <v>0</v>
      </c>
      <c r="X31" s="150"/>
      <c r="Y31" s="101">
        <f t="shared" si="4"/>
        <v>0</v>
      </c>
      <c r="Z31" s="102">
        <f t="shared" si="5"/>
        <v>0</v>
      </c>
      <c r="AA31" s="94"/>
      <c r="AB31" s="117"/>
      <c r="AC31" s="131"/>
      <c r="AD31" s="127"/>
      <c r="AE31" s="149"/>
      <c r="AF31" s="135"/>
      <c r="AG31" s="147"/>
      <c r="AH31" s="148"/>
      <c r="AI31" s="73"/>
      <c r="AJ31" s="80"/>
      <c r="AK31" s="73"/>
    </row>
    <row r="32" spans="1:37" ht="32.25" customHeight="1" thickBot="1" x14ac:dyDescent="0.25">
      <c r="A32" s="5"/>
      <c r="B32" s="7">
        <f t="shared" si="6"/>
        <v>43822</v>
      </c>
      <c r="C32" s="8"/>
      <c r="D32" s="112">
        <f>'Suivi EAU-ELEC'!C37</f>
        <v>0</v>
      </c>
      <c r="E32" s="91"/>
      <c r="F32" s="235">
        <f t="shared" si="0"/>
        <v>0</v>
      </c>
      <c r="G32" s="235"/>
      <c r="H32" s="236"/>
      <c r="I32" s="94"/>
      <c r="J32" s="119">
        <f>'Suivi EAU-ELEC'!E37</f>
        <v>0</v>
      </c>
      <c r="K32" s="120">
        <f>'Suivi EAU-ELEC'!G37</f>
        <v>0</v>
      </c>
      <c r="L32" s="120">
        <f>'Suivi EAU-ELEC'!I37</f>
        <v>0</v>
      </c>
      <c r="M32" s="121">
        <f t="shared" si="1"/>
        <v>0</v>
      </c>
      <c r="N32" s="94"/>
      <c r="O32" s="97">
        <f t="shared" si="2"/>
        <v>0</v>
      </c>
      <c r="P32" s="93"/>
      <c r="Q32" s="92"/>
      <c r="R32" s="91"/>
      <c r="S32" s="92"/>
      <c r="T32" s="99"/>
      <c r="U32" s="98">
        <f>'Suvi Gaz'!O32</f>
        <v>0</v>
      </c>
      <c r="V32" s="94"/>
      <c r="W32" s="97">
        <f t="shared" si="3"/>
        <v>0</v>
      </c>
      <c r="X32" s="150"/>
      <c r="Y32" s="101">
        <f t="shared" si="4"/>
        <v>0</v>
      </c>
      <c r="Z32" s="102">
        <f t="shared" si="5"/>
        <v>0</v>
      </c>
      <c r="AA32" s="94"/>
      <c r="AB32" s="117"/>
      <c r="AC32" s="131"/>
      <c r="AD32" s="127"/>
      <c r="AE32" s="149"/>
      <c r="AF32" s="135"/>
      <c r="AG32" s="147"/>
      <c r="AH32" s="148"/>
      <c r="AI32" s="73"/>
      <c r="AJ32" s="80"/>
      <c r="AK32" s="73"/>
    </row>
    <row r="33" spans="1:37" ht="32.25" customHeight="1" thickBot="1" x14ac:dyDescent="0.25">
      <c r="A33" s="5"/>
      <c r="B33" s="7">
        <f t="shared" si="6"/>
        <v>43823</v>
      </c>
      <c r="C33" s="8"/>
      <c r="D33" s="112">
        <f>'Suivi EAU-ELEC'!C38</f>
        <v>0</v>
      </c>
      <c r="E33" s="91"/>
      <c r="F33" s="235">
        <f t="shared" si="0"/>
        <v>0</v>
      </c>
      <c r="G33" s="235"/>
      <c r="H33" s="236"/>
      <c r="I33" s="94"/>
      <c r="J33" s="119">
        <f>'Suivi EAU-ELEC'!E38</f>
        <v>0</v>
      </c>
      <c r="K33" s="120">
        <f>'Suivi EAU-ELEC'!G38</f>
        <v>0</v>
      </c>
      <c r="L33" s="120">
        <f>'Suivi EAU-ELEC'!I38</f>
        <v>0</v>
      </c>
      <c r="M33" s="121">
        <f t="shared" si="1"/>
        <v>0</v>
      </c>
      <c r="N33" s="94"/>
      <c r="O33" s="97">
        <f t="shared" si="2"/>
        <v>0</v>
      </c>
      <c r="P33" s="93"/>
      <c r="Q33" s="92"/>
      <c r="R33" s="91"/>
      <c r="S33" s="92"/>
      <c r="T33" s="99"/>
      <c r="U33" s="98">
        <f>'Suvi Gaz'!O33</f>
        <v>0</v>
      </c>
      <c r="V33" s="94"/>
      <c r="W33" s="97">
        <f t="shared" si="3"/>
        <v>0</v>
      </c>
      <c r="X33" s="150"/>
      <c r="Y33" s="101">
        <f t="shared" si="4"/>
        <v>0</v>
      </c>
      <c r="Z33" s="102">
        <f t="shared" si="5"/>
        <v>0</v>
      </c>
      <c r="AA33" s="94"/>
      <c r="AB33" s="117"/>
      <c r="AC33" s="131"/>
      <c r="AD33" s="127"/>
      <c r="AE33" s="149"/>
      <c r="AF33" s="135"/>
      <c r="AG33" s="147"/>
      <c r="AH33" s="148"/>
      <c r="AI33" s="73"/>
      <c r="AJ33" s="80"/>
      <c r="AK33" s="73"/>
    </row>
    <row r="34" spans="1:37" ht="32.25" customHeight="1" thickBot="1" x14ac:dyDescent="0.25">
      <c r="A34" s="71"/>
      <c r="B34" s="7">
        <f t="shared" si="6"/>
        <v>43824</v>
      </c>
      <c r="C34" s="8"/>
      <c r="D34" s="112">
        <f>'Suivi EAU-ELEC'!C39</f>
        <v>0</v>
      </c>
      <c r="E34" s="91"/>
      <c r="F34" s="235">
        <f t="shared" si="0"/>
        <v>0</v>
      </c>
      <c r="G34" s="235"/>
      <c r="H34" s="236"/>
      <c r="I34" s="94"/>
      <c r="J34" s="119">
        <f>'Suivi EAU-ELEC'!E39</f>
        <v>0</v>
      </c>
      <c r="K34" s="120">
        <f>'Suivi EAU-ELEC'!G39</f>
        <v>0</v>
      </c>
      <c r="L34" s="120">
        <f>'Suivi EAU-ELEC'!I39</f>
        <v>0</v>
      </c>
      <c r="M34" s="121">
        <f t="shared" si="1"/>
        <v>0</v>
      </c>
      <c r="N34" s="94"/>
      <c r="O34" s="97">
        <f t="shared" si="2"/>
        <v>0</v>
      </c>
      <c r="P34" s="93"/>
      <c r="Q34" s="92"/>
      <c r="R34" s="91"/>
      <c r="S34" s="92"/>
      <c r="T34" s="99"/>
      <c r="U34" s="98">
        <f>'Suvi Gaz'!O34</f>
        <v>0</v>
      </c>
      <c r="V34" s="94"/>
      <c r="W34" s="97">
        <f t="shared" si="3"/>
        <v>0</v>
      </c>
      <c r="X34" s="150"/>
      <c r="Y34" s="101">
        <f t="shared" si="4"/>
        <v>0</v>
      </c>
      <c r="Z34" s="102">
        <f t="shared" si="5"/>
        <v>0</v>
      </c>
      <c r="AA34" s="94"/>
      <c r="AB34" s="117"/>
      <c r="AC34" s="131"/>
      <c r="AD34" s="127"/>
      <c r="AE34" s="149"/>
      <c r="AF34" s="135"/>
      <c r="AG34" s="147"/>
      <c r="AH34" s="148"/>
      <c r="AI34" s="73"/>
      <c r="AJ34" s="80"/>
      <c r="AK34" s="73"/>
    </row>
    <row r="35" spans="1:37" ht="32.25" customHeight="1" thickBot="1" x14ac:dyDescent="0.25">
      <c r="A35" s="5"/>
      <c r="B35" s="7">
        <f t="shared" si="6"/>
        <v>43825</v>
      </c>
      <c r="C35" s="8"/>
      <c r="D35" s="112">
        <f>'Suivi EAU-ELEC'!C40</f>
        <v>0</v>
      </c>
      <c r="E35" s="91"/>
      <c r="F35" s="235">
        <f t="shared" si="0"/>
        <v>0</v>
      </c>
      <c r="G35" s="235"/>
      <c r="H35" s="236"/>
      <c r="I35" s="94"/>
      <c r="J35" s="119">
        <f>'Suivi EAU-ELEC'!E40</f>
        <v>0</v>
      </c>
      <c r="K35" s="120">
        <f>'Suivi EAU-ELEC'!G40</f>
        <v>0</v>
      </c>
      <c r="L35" s="120">
        <f>'Suivi EAU-ELEC'!I40</f>
        <v>0</v>
      </c>
      <c r="M35" s="121">
        <f t="shared" si="1"/>
        <v>0</v>
      </c>
      <c r="N35" s="94"/>
      <c r="O35" s="97">
        <f t="shared" si="2"/>
        <v>0</v>
      </c>
      <c r="P35" s="93"/>
      <c r="Q35" s="92"/>
      <c r="R35" s="91"/>
      <c r="S35" s="92"/>
      <c r="T35" s="99"/>
      <c r="U35" s="98">
        <f>'Suvi Gaz'!O35</f>
        <v>0</v>
      </c>
      <c r="V35" s="94"/>
      <c r="W35" s="97">
        <f t="shared" si="3"/>
        <v>0</v>
      </c>
      <c r="X35" s="150"/>
      <c r="Y35" s="101">
        <f t="shared" si="4"/>
        <v>0</v>
      </c>
      <c r="Z35" s="102">
        <f t="shared" si="5"/>
        <v>0</v>
      </c>
      <c r="AA35" s="94"/>
      <c r="AB35" s="117"/>
      <c r="AC35" s="131"/>
      <c r="AD35" s="127"/>
      <c r="AE35" s="149"/>
      <c r="AF35" s="135"/>
      <c r="AG35" s="147"/>
      <c r="AH35" s="148"/>
      <c r="AI35" s="73"/>
      <c r="AJ35" s="80"/>
      <c r="AK35" s="73"/>
    </row>
    <row r="36" spans="1:37" ht="32.25" customHeight="1" thickBot="1" x14ac:dyDescent="0.25">
      <c r="A36" s="5"/>
      <c r="B36" s="7">
        <f t="shared" si="6"/>
        <v>43826</v>
      </c>
      <c r="C36" s="8"/>
      <c r="D36" s="112">
        <f>'Suivi EAU-ELEC'!C41</f>
        <v>0</v>
      </c>
      <c r="E36" s="91"/>
      <c r="F36" s="235">
        <f t="shared" si="0"/>
        <v>0</v>
      </c>
      <c r="G36" s="235"/>
      <c r="H36" s="236"/>
      <c r="I36" s="94"/>
      <c r="J36" s="119">
        <f>'Suivi EAU-ELEC'!E41</f>
        <v>0</v>
      </c>
      <c r="K36" s="120">
        <f>'Suivi EAU-ELEC'!G41</f>
        <v>0</v>
      </c>
      <c r="L36" s="120">
        <f>'Suivi EAU-ELEC'!I41</f>
        <v>0</v>
      </c>
      <c r="M36" s="121">
        <f t="shared" si="1"/>
        <v>0</v>
      </c>
      <c r="N36" s="94"/>
      <c r="O36" s="97">
        <f t="shared" si="2"/>
        <v>0</v>
      </c>
      <c r="P36" s="93"/>
      <c r="Q36" s="92"/>
      <c r="R36" s="91"/>
      <c r="S36" s="92"/>
      <c r="T36" s="99"/>
      <c r="U36" s="98">
        <f>'Suvi Gaz'!O36</f>
        <v>0</v>
      </c>
      <c r="V36" s="94"/>
      <c r="W36" s="97">
        <f t="shared" si="3"/>
        <v>0</v>
      </c>
      <c r="X36" s="150"/>
      <c r="Y36" s="101">
        <f t="shared" si="4"/>
        <v>0</v>
      </c>
      <c r="Z36" s="102">
        <f t="shared" si="5"/>
        <v>0</v>
      </c>
      <c r="AA36" s="94"/>
      <c r="AB36" s="117"/>
      <c r="AC36" s="131"/>
      <c r="AD36" s="127"/>
      <c r="AE36" s="149"/>
      <c r="AF36" s="135"/>
      <c r="AG36" s="147"/>
      <c r="AH36" s="148"/>
      <c r="AI36" s="73"/>
      <c r="AJ36" s="80"/>
      <c r="AK36" s="73"/>
    </row>
    <row r="37" spans="1:37" ht="32.25" customHeight="1" thickBot="1" x14ac:dyDescent="0.25">
      <c r="A37" s="5"/>
      <c r="B37" s="7">
        <f t="shared" si="6"/>
        <v>43827</v>
      </c>
      <c r="C37" s="8"/>
      <c r="D37" s="112">
        <f>'Suivi EAU-ELEC'!C42</f>
        <v>0</v>
      </c>
      <c r="E37" s="91"/>
      <c r="F37" s="235">
        <f t="shared" si="0"/>
        <v>0</v>
      </c>
      <c r="G37" s="235"/>
      <c r="H37" s="236"/>
      <c r="I37" s="94"/>
      <c r="J37" s="119">
        <f>'Suivi EAU-ELEC'!E42</f>
        <v>0</v>
      </c>
      <c r="K37" s="120">
        <f>'Suivi EAU-ELEC'!G42</f>
        <v>0</v>
      </c>
      <c r="L37" s="120">
        <f>'Suivi EAU-ELEC'!I42</f>
        <v>0</v>
      </c>
      <c r="M37" s="121">
        <f t="shared" si="1"/>
        <v>0</v>
      </c>
      <c r="N37" s="94"/>
      <c r="O37" s="97">
        <f t="shared" si="2"/>
        <v>0</v>
      </c>
      <c r="P37" s="93"/>
      <c r="Q37" s="92"/>
      <c r="R37" s="91"/>
      <c r="S37" s="92"/>
      <c r="T37" s="99"/>
      <c r="U37" s="98">
        <f>'Suvi Gaz'!O37</f>
        <v>0</v>
      </c>
      <c r="V37" s="94"/>
      <c r="W37" s="97">
        <f t="shared" si="3"/>
        <v>0</v>
      </c>
      <c r="X37" s="150"/>
      <c r="Y37" s="101">
        <f t="shared" si="4"/>
        <v>0</v>
      </c>
      <c r="Z37" s="102">
        <f t="shared" si="5"/>
        <v>0</v>
      </c>
      <c r="AA37" s="94"/>
      <c r="AB37" s="117"/>
      <c r="AC37" s="131"/>
      <c r="AD37" s="127"/>
      <c r="AE37" s="134"/>
      <c r="AF37" s="135"/>
      <c r="AG37" s="132"/>
      <c r="AH37" s="133"/>
      <c r="AI37" s="73"/>
      <c r="AJ37" s="80"/>
      <c r="AK37" s="73"/>
    </row>
    <row r="38" spans="1:37" ht="32.25" customHeight="1" thickBot="1" x14ac:dyDescent="0.25">
      <c r="A38" s="5"/>
      <c r="B38" s="7">
        <f t="shared" si="6"/>
        <v>43828</v>
      </c>
      <c r="C38" s="8"/>
      <c r="D38" s="112">
        <f>'Suivi EAU-ELEC'!C43</f>
        <v>0</v>
      </c>
      <c r="E38" s="91"/>
      <c r="F38" s="235">
        <f t="shared" si="0"/>
        <v>0</v>
      </c>
      <c r="G38" s="235"/>
      <c r="H38" s="236"/>
      <c r="I38" s="94"/>
      <c r="J38" s="119">
        <f>'Suivi EAU-ELEC'!E43</f>
        <v>0</v>
      </c>
      <c r="K38" s="120">
        <f>'Suivi EAU-ELEC'!G43</f>
        <v>0</v>
      </c>
      <c r="L38" s="120">
        <f>'Suivi EAU-ELEC'!I43</f>
        <v>0</v>
      </c>
      <c r="M38" s="121">
        <f t="shared" si="1"/>
        <v>0</v>
      </c>
      <c r="N38" s="94"/>
      <c r="O38" s="97">
        <f t="shared" si="2"/>
        <v>0</v>
      </c>
      <c r="P38" s="93"/>
      <c r="Q38" s="92"/>
      <c r="R38" s="91"/>
      <c r="S38" s="92"/>
      <c r="T38" s="99"/>
      <c r="U38" s="98">
        <f>'Suvi Gaz'!O38</f>
        <v>0</v>
      </c>
      <c r="V38" s="94"/>
      <c r="W38" s="97">
        <f t="shared" si="3"/>
        <v>0</v>
      </c>
      <c r="X38" s="136"/>
      <c r="Y38" s="101">
        <f t="shared" si="4"/>
        <v>0</v>
      </c>
      <c r="Z38" s="102">
        <f t="shared" si="5"/>
        <v>0</v>
      </c>
      <c r="AA38" s="94"/>
      <c r="AB38" s="117"/>
      <c r="AC38" s="131"/>
      <c r="AD38" s="127"/>
      <c r="AE38" s="134"/>
      <c r="AF38" s="129"/>
      <c r="AG38" s="132"/>
      <c r="AH38" s="133"/>
      <c r="AI38" s="73"/>
      <c r="AJ38" s="80"/>
      <c r="AK38" s="73"/>
    </row>
    <row r="39" spans="1:37" ht="32.25" customHeight="1" thickBot="1" x14ac:dyDescent="0.25">
      <c r="A39" s="5"/>
      <c r="B39" s="7">
        <f t="shared" si="6"/>
        <v>43829</v>
      </c>
      <c r="C39" s="8"/>
      <c r="D39" s="112">
        <f>'Suivi EAU-ELEC'!C44</f>
        <v>0</v>
      </c>
      <c r="E39" s="91"/>
      <c r="F39" s="235">
        <f t="shared" si="0"/>
        <v>0</v>
      </c>
      <c r="G39" s="235"/>
      <c r="H39" s="236"/>
      <c r="I39" s="94"/>
      <c r="J39" s="119">
        <f>'Suivi EAU-ELEC'!E44</f>
        <v>0</v>
      </c>
      <c r="K39" s="120">
        <f>'Suivi EAU-ELEC'!G44</f>
        <v>0</v>
      </c>
      <c r="L39" s="120">
        <f>'Suivi EAU-ELEC'!I44</f>
        <v>0</v>
      </c>
      <c r="M39" s="121">
        <f t="shared" si="1"/>
        <v>0</v>
      </c>
      <c r="N39" s="94"/>
      <c r="O39" s="97">
        <f t="shared" si="2"/>
        <v>0</v>
      </c>
      <c r="P39" s="93"/>
      <c r="Q39" s="92"/>
      <c r="R39" s="91"/>
      <c r="S39" s="92"/>
      <c r="T39" s="99"/>
      <c r="U39" s="98">
        <f>'Suvi Gaz'!O39</f>
        <v>0</v>
      </c>
      <c r="V39" s="94"/>
      <c r="W39" s="97">
        <f t="shared" si="3"/>
        <v>0</v>
      </c>
      <c r="X39" s="136"/>
      <c r="Y39" s="101">
        <f t="shared" si="4"/>
        <v>0</v>
      </c>
      <c r="Z39" s="102">
        <f t="shared" si="5"/>
        <v>0</v>
      </c>
      <c r="AA39" s="94"/>
      <c r="AB39" s="117"/>
      <c r="AC39" s="131"/>
      <c r="AD39" s="127"/>
      <c r="AE39" s="134"/>
      <c r="AF39" s="135"/>
      <c r="AG39" s="132"/>
      <c r="AH39" s="133"/>
      <c r="AI39" s="73"/>
      <c r="AJ39" s="80"/>
      <c r="AK39" s="73"/>
    </row>
    <row r="40" spans="1:37" ht="32.25" customHeight="1" thickBot="1" x14ac:dyDescent="0.25">
      <c r="A40" s="5"/>
      <c r="B40" s="7">
        <f t="shared" si="6"/>
        <v>43830</v>
      </c>
      <c r="C40" s="8"/>
      <c r="D40" s="112">
        <f>'Suivi EAU-ELEC'!C45</f>
        <v>0</v>
      </c>
      <c r="E40" s="116"/>
      <c r="F40" s="235">
        <f t="shared" si="0"/>
        <v>0</v>
      </c>
      <c r="G40" s="235"/>
      <c r="H40" s="236"/>
      <c r="I40" s="94"/>
      <c r="J40" s="119">
        <f>'Suivi EAU-ELEC'!E45</f>
        <v>0</v>
      </c>
      <c r="K40" s="120">
        <f>'Suivi EAU-ELEC'!G45</f>
        <v>0</v>
      </c>
      <c r="L40" s="120">
        <f>'Suivi EAU-ELEC'!I45</f>
        <v>0</v>
      </c>
      <c r="M40" s="121">
        <f t="shared" si="1"/>
        <v>0</v>
      </c>
      <c r="N40" s="94"/>
      <c r="O40" s="97">
        <f t="shared" si="2"/>
        <v>0</v>
      </c>
      <c r="P40" s="93"/>
      <c r="Q40" s="92"/>
      <c r="R40" s="91"/>
      <c r="S40" s="92"/>
      <c r="T40" s="99"/>
      <c r="U40" s="98">
        <f>'Suvi Gaz'!O40</f>
        <v>0</v>
      </c>
      <c r="V40" s="94"/>
      <c r="W40" s="97">
        <f t="shared" si="3"/>
        <v>0</v>
      </c>
      <c r="X40" s="139"/>
      <c r="Y40" s="122">
        <f t="shared" si="4"/>
        <v>0</v>
      </c>
      <c r="Z40" s="102">
        <f t="shared" si="5"/>
        <v>0</v>
      </c>
      <c r="AA40" s="94"/>
      <c r="AB40" s="125"/>
      <c r="AC40" s="126"/>
      <c r="AD40" s="137"/>
      <c r="AE40" s="143"/>
      <c r="AF40" s="156"/>
      <c r="AG40" s="128"/>
      <c r="AH40" s="144"/>
      <c r="AI40" s="73"/>
      <c r="AJ40" s="80"/>
      <c r="AK40" s="73"/>
    </row>
    <row r="41" spans="1:37" ht="44.25" customHeight="1" thickBot="1" x14ac:dyDescent="0.25">
      <c r="A41" s="5"/>
      <c r="B41" s="61"/>
      <c r="C41" s="15"/>
      <c r="D41" s="89">
        <f>SUM(D10:D39)</f>
        <v>8200</v>
      </c>
      <c r="E41" s="1"/>
      <c r="F41" s="198">
        <f>SUM(F10:H40)</f>
        <v>103894</v>
      </c>
      <c r="G41" s="199"/>
      <c r="H41" s="200"/>
      <c r="I41" s="1"/>
      <c r="J41" s="89">
        <f>SUM(J10:J40)</f>
        <v>79142</v>
      </c>
      <c r="K41" s="89">
        <f t="shared" ref="K41:M41" si="7">SUM(K10:K40)</f>
        <v>120023</v>
      </c>
      <c r="L41" s="89">
        <f t="shared" si="7"/>
        <v>56779</v>
      </c>
      <c r="M41" s="89">
        <f t="shared" si="7"/>
        <v>255944</v>
      </c>
      <c r="N41" s="28"/>
      <c r="O41" s="198">
        <f>SUM(O10:Q40)</f>
        <v>256455.88799999998</v>
      </c>
      <c r="P41" s="199"/>
      <c r="Q41" s="200"/>
      <c r="R41" s="28"/>
      <c r="S41" s="90">
        <f>SUM(S10:S40)</f>
        <v>0</v>
      </c>
      <c r="T41" s="28"/>
      <c r="U41" s="89">
        <f>SUM(U10:U40)</f>
        <v>16991.800000000003</v>
      </c>
      <c r="V41" s="28"/>
      <c r="W41" s="89">
        <f>SUM(W10:W40)</f>
        <v>142175.48814</v>
      </c>
      <c r="X41" s="130"/>
      <c r="Y41" s="89">
        <f>SUM(Y10:Y40)</f>
        <v>276.05999999999949</v>
      </c>
      <c r="Z41" s="89">
        <f>SUM(Z10:Z40)</f>
        <v>146311.79999999973</v>
      </c>
      <c r="AA41" s="1"/>
      <c r="AB41" s="140"/>
      <c r="AC41" s="141"/>
      <c r="AD41" s="142"/>
      <c r="AE41" s="134"/>
      <c r="AF41" s="157"/>
      <c r="AG41" s="145"/>
      <c r="AH41" s="159"/>
      <c r="AI41" s="160"/>
      <c r="AJ41" s="74"/>
      <c r="AK41" s="74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7"/>
      <c r="G42" s="237"/>
      <c r="H42" s="23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8"/>
      <c r="AI42" s="75"/>
      <c r="AJ42" s="75"/>
      <c r="AK42" s="75"/>
    </row>
    <row r="43" spans="1:37" s="22" customFormat="1" ht="36.75" customHeight="1" thickBot="1" x14ac:dyDescent="0.25">
      <c r="A43" s="201" t="s">
        <v>10</v>
      </c>
      <c r="B43" s="202"/>
      <c r="C43" s="203"/>
      <c r="D43" s="19" t="s">
        <v>7</v>
      </c>
      <c r="E43" s="53"/>
      <c r="F43" s="20">
        <v>1.002</v>
      </c>
      <c r="G43" s="207">
        <f>J41</f>
        <v>79142</v>
      </c>
      <c r="H43" s="208"/>
      <c r="I43" s="209"/>
      <c r="J43" s="224">
        <f>G43*F43</f>
        <v>79300.284</v>
      </c>
      <c r="K43" s="225"/>
      <c r="L43" s="226">
        <f>J43+J44+J45</f>
        <v>256455.88800000001</v>
      </c>
      <c r="M43" s="227"/>
      <c r="N43" s="227"/>
      <c r="O43" s="227"/>
      <c r="P43" s="227"/>
      <c r="Q43" s="227"/>
      <c r="R43" s="227"/>
      <c r="S43" s="227"/>
      <c r="T43" s="227"/>
      <c r="U43" s="228"/>
      <c r="V43" s="9"/>
      <c r="W43" s="9"/>
      <c r="X43" s="2"/>
      <c r="Y43" s="9"/>
      <c r="Z43" s="9"/>
      <c r="AA43" s="21"/>
      <c r="AB43" s="9"/>
      <c r="AC43" s="63"/>
      <c r="AD43" s="9"/>
      <c r="AG43" s="13"/>
      <c r="AH43" s="118"/>
      <c r="AJ43" s="78"/>
      <c r="AK43" s="78"/>
    </row>
    <row r="44" spans="1:37" s="22" customFormat="1" ht="36.75" customHeight="1" thickBot="1" x14ac:dyDescent="0.25">
      <c r="A44" s="204"/>
      <c r="B44" s="205"/>
      <c r="C44" s="206"/>
      <c r="D44" s="17" t="s">
        <v>8</v>
      </c>
      <c r="E44" s="53"/>
      <c r="F44" s="20">
        <v>1.002</v>
      </c>
      <c r="G44" s="207">
        <f>K41</f>
        <v>120023</v>
      </c>
      <c r="H44" s="208"/>
      <c r="I44" s="209"/>
      <c r="J44" s="224">
        <f>G44*F44</f>
        <v>120263.046</v>
      </c>
      <c r="K44" s="225"/>
      <c r="L44" s="229"/>
      <c r="M44" s="230"/>
      <c r="N44" s="230"/>
      <c r="O44" s="230"/>
      <c r="P44" s="230"/>
      <c r="Q44" s="230"/>
      <c r="R44" s="230"/>
      <c r="S44" s="230"/>
      <c r="T44" s="230"/>
      <c r="U44" s="23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8"/>
    </row>
    <row r="45" spans="1:37" s="22" customFormat="1" ht="36.75" customHeight="1" thickBot="1" x14ac:dyDescent="0.25">
      <c r="A45" s="204"/>
      <c r="B45" s="205"/>
      <c r="C45" s="206"/>
      <c r="D45" s="23" t="s">
        <v>9</v>
      </c>
      <c r="E45" s="54"/>
      <c r="F45" s="20">
        <v>1.002</v>
      </c>
      <c r="G45" s="207">
        <f>L41</f>
        <v>56779</v>
      </c>
      <c r="H45" s="208"/>
      <c r="I45" s="209"/>
      <c r="J45" s="224">
        <f>G45*F45</f>
        <v>56892.557999999997</v>
      </c>
      <c r="K45" s="225"/>
      <c r="L45" s="232"/>
      <c r="M45" s="233"/>
      <c r="N45" s="233"/>
      <c r="O45" s="233"/>
      <c r="P45" s="233"/>
      <c r="Q45" s="233"/>
      <c r="R45" s="233"/>
      <c r="S45" s="233"/>
      <c r="T45" s="233"/>
      <c r="U45" s="23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8"/>
    </row>
    <row r="46" spans="1:37" s="25" customFormat="1" ht="59.25" customHeight="1" thickBot="1" x14ac:dyDescent="0.25">
      <c r="A46" s="195" t="s">
        <v>11</v>
      </c>
      <c r="B46" s="196"/>
      <c r="C46" s="196"/>
      <c r="D46" s="197"/>
      <c r="E46" s="53"/>
      <c r="F46" s="24">
        <v>12.67</v>
      </c>
      <c r="G46" s="195">
        <f>D41</f>
        <v>8200</v>
      </c>
      <c r="H46" s="196"/>
      <c r="I46" s="197"/>
      <c r="J46" s="210">
        <f>G46*F46</f>
        <v>103894</v>
      </c>
      <c r="K46" s="211"/>
      <c r="L46" s="218">
        <f>J46</f>
        <v>103894</v>
      </c>
      <c r="M46" s="219"/>
      <c r="N46" s="219"/>
      <c r="O46" s="219"/>
      <c r="P46" s="219"/>
      <c r="Q46" s="219"/>
      <c r="R46" s="219"/>
      <c r="S46" s="219"/>
      <c r="T46" s="219"/>
      <c r="U46" s="22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9"/>
    </row>
    <row r="47" spans="1:37" s="25" customFormat="1" ht="69.75" customHeight="1" thickBot="1" x14ac:dyDescent="0.25">
      <c r="A47" s="215" t="s">
        <v>13</v>
      </c>
      <c r="B47" s="216"/>
      <c r="C47" s="216"/>
      <c r="D47" s="217"/>
      <c r="E47" s="53"/>
      <c r="F47" s="26">
        <v>8.3673000000000002</v>
      </c>
      <c r="G47" s="212">
        <f>U41</f>
        <v>16991.800000000003</v>
      </c>
      <c r="H47" s="213"/>
      <c r="I47" s="214"/>
      <c r="J47" s="212">
        <f>G47*F47</f>
        <v>142175.48814000003</v>
      </c>
      <c r="K47" s="214"/>
      <c r="L47" s="221">
        <f>J47</f>
        <v>142175.48814000003</v>
      </c>
      <c r="M47" s="222"/>
      <c r="N47" s="222"/>
      <c r="O47" s="222"/>
      <c r="P47" s="222"/>
      <c r="Q47" s="222"/>
      <c r="R47" s="222"/>
      <c r="S47" s="222"/>
      <c r="T47" s="222"/>
      <c r="U47" s="22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9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5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6"/>
    </row>
    <row r="52" spans="2:37" x14ac:dyDescent="0.2">
      <c r="AH52" s="13"/>
      <c r="AK52" s="76"/>
    </row>
    <row r="53" spans="2:37" x14ac:dyDescent="0.2">
      <c r="AK53" s="76"/>
    </row>
    <row r="54" spans="2:37" x14ac:dyDescent="0.2">
      <c r="AK54" s="76"/>
    </row>
    <row r="55" spans="2:37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K55" s="76"/>
    </row>
    <row r="56" spans="2:37" x14ac:dyDescent="0.2">
      <c r="AK56" s="76"/>
    </row>
    <row r="57" spans="2:37" x14ac:dyDescent="0.2">
      <c r="AK57" s="76"/>
    </row>
    <row r="58" spans="2:37" x14ac:dyDescent="0.2">
      <c r="AK58" s="76"/>
    </row>
    <row r="59" spans="2:37" x14ac:dyDescent="0.2">
      <c r="AK59" s="76"/>
    </row>
    <row r="60" spans="2:37" x14ac:dyDescent="0.2">
      <c r="AK60" s="76"/>
    </row>
    <row r="61" spans="2:37" x14ac:dyDescent="0.2">
      <c r="AK61" s="76"/>
    </row>
    <row r="62" spans="2:37" x14ac:dyDescent="0.2">
      <c r="AK62" s="76"/>
    </row>
    <row r="63" spans="2:37" x14ac:dyDescent="0.2">
      <c r="AK63" s="76"/>
    </row>
    <row r="64" spans="2:37" x14ac:dyDescent="0.2">
      <c r="AK64" s="76"/>
    </row>
    <row r="65" spans="37:37" x14ac:dyDescent="0.2">
      <c r="AK65" s="76"/>
    </row>
    <row r="66" spans="37:37" x14ac:dyDescent="0.2">
      <c r="AK66" s="76"/>
    </row>
    <row r="67" spans="37:37" x14ac:dyDescent="0.2">
      <c r="AK67" s="76"/>
    </row>
    <row r="68" spans="37:37" x14ac:dyDescent="0.2">
      <c r="AK68" s="76"/>
    </row>
    <row r="69" spans="37:37" x14ac:dyDescent="0.2">
      <c r="AK69" s="76"/>
    </row>
    <row r="70" spans="37:37" x14ac:dyDescent="0.2">
      <c r="AK70" s="76"/>
    </row>
    <row r="71" spans="37:37" x14ac:dyDescent="0.2">
      <c r="AK71" s="76"/>
    </row>
    <row r="72" spans="37:37" x14ac:dyDescent="0.2">
      <c r="AK72" s="76"/>
    </row>
    <row r="73" spans="37:37" x14ac:dyDescent="0.2">
      <c r="AK73" s="76"/>
    </row>
    <row r="74" spans="37:37" x14ac:dyDescent="0.2">
      <c r="AK74" s="76"/>
    </row>
    <row r="75" spans="37:37" x14ac:dyDescent="0.2">
      <c r="AK75" s="76"/>
    </row>
    <row r="76" spans="37:37" x14ac:dyDescent="0.2">
      <c r="AK76" s="76"/>
    </row>
    <row r="77" spans="37:37" x14ac:dyDescent="0.2">
      <c r="AK77" s="76"/>
    </row>
    <row r="78" spans="37:37" x14ac:dyDescent="0.2">
      <c r="AK78" s="76"/>
    </row>
    <row r="79" spans="37:37" x14ac:dyDescent="0.2">
      <c r="AK79" s="76"/>
    </row>
    <row r="80" spans="37:37" x14ac:dyDescent="0.2">
      <c r="AK80" s="76"/>
    </row>
    <row r="81" spans="37:37" x14ac:dyDescent="0.2">
      <c r="AK81" s="76"/>
    </row>
    <row r="82" spans="37:37" x14ac:dyDescent="0.2">
      <c r="AK82" s="76"/>
    </row>
    <row r="83" spans="37:37" x14ac:dyDescent="0.2">
      <c r="AK83" s="76"/>
    </row>
    <row r="84" spans="37:37" x14ac:dyDescent="0.2">
      <c r="AK84" s="76"/>
    </row>
    <row r="85" spans="37:37" x14ac:dyDescent="0.2">
      <c r="AK85" s="76"/>
    </row>
    <row r="86" spans="37:37" x14ac:dyDescent="0.2">
      <c r="AK86" s="76"/>
    </row>
    <row r="87" spans="37:37" x14ac:dyDescent="0.2">
      <c r="AK87" s="76"/>
    </row>
    <row r="88" spans="37:37" x14ac:dyDescent="0.2">
      <c r="AK88" s="76"/>
    </row>
    <row r="89" spans="37:37" x14ac:dyDescent="0.2">
      <c r="AK89" s="76"/>
    </row>
    <row r="90" spans="37:37" x14ac:dyDescent="0.2">
      <c r="AK90" s="76"/>
    </row>
    <row r="91" spans="37:37" x14ac:dyDescent="0.2">
      <c r="AK91" s="76"/>
    </row>
    <row r="92" spans="37:37" x14ac:dyDescent="0.2">
      <c r="AK92" s="76"/>
    </row>
    <row r="93" spans="37:37" x14ac:dyDescent="0.2">
      <c r="AK93" s="76"/>
    </row>
    <row r="94" spans="37:37" x14ac:dyDescent="0.2">
      <c r="AK94" s="76"/>
    </row>
    <row r="95" spans="37:37" x14ac:dyDescent="0.2">
      <c r="AK95" s="76"/>
    </row>
    <row r="96" spans="37:37" x14ac:dyDescent="0.2">
      <c r="AK96" s="76"/>
    </row>
    <row r="97" spans="37:37" x14ac:dyDescent="0.2">
      <c r="AK97" s="76"/>
    </row>
    <row r="98" spans="37:37" x14ac:dyDescent="0.2">
      <c r="AK98" s="76"/>
    </row>
    <row r="99" spans="37:37" x14ac:dyDescent="0.2">
      <c r="AK99" s="76"/>
    </row>
    <row r="100" spans="37:37" x14ac:dyDescent="0.2">
      <c r="AK100" s="76"/>
    </row>
    <row r="101" spans="37:37" x14ac:dyDescent="0.2">
      <c r="AK101" s="76"/>
    </row>
    <row r="102" spans="37:37" x14ac:dyDescent="0.2">
      <c r="AK102" s="76"/>
    </row>
    <row r="103" spans="37:37" x14ac:dyDescent="0.2">
      <c r="AK103" s="76"/>
    </row>
    <row r="104" spans="37:37" x14ac:dyDescent="0.2">
      <c r="AK104" s="76"/>
    </row>
    <row r="105" spans="37:37" x14ac:dyDescent="0.2">
      <c r="AK105" s="76"/>
    </row>
    <row r="106" spans="37:37" x14ac:dyDescent="0.2">
      <c r="AK106" s="76"/>
    </row>
    <row r="107" spans="37:37" x14ac:dyDescent="0.2">
      <c r="AK107" s="76"/>
    </row>
    <row r="108" spans="37:37" x14ac:dyDescent="0.2">
      <c r="AK108" s="76"/>
    </row>
    <row r="109" spans="37:37" x14ac:dyDescent="0.2">
      <c r="AK109" s="76"/>
    </row>
    <row r="110" spans="37:37" x14ac:dyDescent="0.2">
      <c r="AK110" s="76"/>
    </row>
    <row r="111" spans="37:37" x14ac:dyDescent="0.2">
      <c r="AK111" s="76"/>
    </row>
    <row r="112" spans="37:37" x14ac:dyDescent="0.2">
      <c r="AK112" s="76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0" sqref="B30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6" t="s">
        <v>0</v>
      </c>
      <c r="B1" s="256"/>
      <c r="C1" s="257"/>
      <c r="D1" s="258" t="s">
        <v>57</v>
      </c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60"/>
      <c r="AA1" s="261"/>
      <c r="AB1" s="262"/>
      <c r="AC1" s="262"/>
    </row>
    <row r="2" spans="1:31" ht="41.25" customHeight="1" thickBot="1" x14ac:dyDescent="0.4">
      <c r="A2" s="81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6"/>
      <c r="Q2" s="263">
        <v>803</v>
      </c>
      <c r="R2" s="264"/>
      <c r="S2" s="264"/>
      <c r="T2" s="264">
        <v>519</v>
      </c>
      <c r="U2" s="264"/>
      <c r="V2" s="264"/>
      <c r="W2" s="264">
        <v>800</v>
      </c>
      <c r="X2" s="264"/>
      <c r="Y2" s="264"/>
      <c r="Z2" s="264">
        <v>802</v>
      </c>
      <c r="AA2" s="264"/>
      <c r="AB2" s="267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5" t="s">
        <v>31</v>
      </c>
      <c r="AD3" s="84" t="s">
        <v>32</v>
      </c>
      <c r="AE3" s="83" t="s">
        <v>33</v>
      </c>
    </row>
    <row r="4" spans="1:31" ht="32.25" customHeight="1" x14ac:dyDescent="0.3">
      <c r="A4" s="36">
        <v>43794</v>
      </c>
      <c r="B4" s="151">
        <v>60</v>
      </c>
      <c r="C4" s="152">
        <f t="shared" ref="C4:C29" si="0">IF(AC4&gt;0,((B4-R4)+(S4-B5)),IF(B5=0, ,(B4-B5)))</f>
        <v>3</v>
      </c>
      <c r="D4" s="151">
        <v>62</v>
      </c>
      <c r="E4" s="152">
        <f t="shared" ref="E4:E29" si="1">IF(AC4&gt;0,((D4-U4)+(V4-D5)),IF(D5=0, ,(D4-D5)))</f>
        <v>0</v>
      </c>
      <c r="F4" s="151">
        <v>59</v>
      </c>
      <c r="G4" s="152">
        <f t="shared" ref="G4:G29" si="2">IF(AC4&gt;0,((F4-X4)+(Y4-F5)),IF(F5=0, ,(F4-F5)))</f>
        <v>1</v>
      </c>
      <c r="H4" s="151">
        <v>58</v>
      </c>
      <c r="I4" s="152">
        <f t="shared" ref="I4:I9" si="3">IF(AC4&gt;0,((H4-AA4)+(AB4-H5)),IF(H5=0, ,(H4-H5)))</f>
        <v>3</v>
      </c>
      <c r="J4" s="152">
        <f t="shared" ref="J4:J9" si="4">B4+D4+F4+H4</f>
        <v>239</v>
      </c>
      <c r="K4" s="152">
        <f t="shared" ref="K4:K9" si="5">J4/4</f>
        <v>59.75</v>
      </c>
      <c r="L4" s="152">
        <f t="shared" ref="L4:L9" si="6">IF(AC4&gt;0,((K4-AD4)+(AE4-K5)),IF(K5=0, ,(K4-K5)))</f>
        <v>1.75</v>
      </c>
      <c r="M4" s="152">
        <f t="shared" ref="M4:M9" si="7">7000*4</f>
        <v>28000</v>
      </c>
      <c r="N4" s="152">
        <f t="shared" ref="N4:N9" si="8">L4*M4/100</f>
        <v>490</v>
      </c>
      <c r="O4" s="152">
        <f t="shared" ref="O4:O9" si="9">N4*0.53</f>
        <v>259.7</v>
      </c>
      <c r="P4" s="38">
        <f>O4*8.3673</f>
        <v>2172.9878100000001</v>
      </c>
      <c r="Q4" s="152">
        <v>2531</v>
      </c>
      <c r="R4" s="152">
        <v>57</v>
      </c>
      <c r="S4" s="152">
        <v>85</v>
      </c>
      <c r="T4" s="152">
        <v>2180</v>
      </c>
      <c r="U4" s="152">
        <v>62</v>
      </c>
      <c r="V4" s="152">
        <v>85</v>
      </c>
      <c r="W4" s="152">
        <v>2356</v>
      </c>
      <c r="X4" s="152">
        <v>58</v>
      </c>
      <c r="Y4" s="152">
        <v>85</v>
      </c>
      <c r="Z4" s="152">
        <v>2505</v>
      </c>
      <c r="AA4" s="152">
        <v>55</v>
      </c>
      <c r="AB4" s="152">
        <v>85</v>
      </c>
      <c r="AC4" s="35">
        <f>Q4+T4+W4+Z4</f>
        <v>9572</v>
      </c>
      <c r="AD4" s="82">
        <f t="shared" ref="AD4:AE7" si="10">(R4+U4+X4+AA4)/4</f>
        <v>58</v>
      </c>
      <c r="AE4" s="82">
        <f t="shared" si="10"/>
        <v>85</v>
      </c>
    </row>
    <row r="5" spans="1:31" ht="32.25" customHeight="1" x14ac:dyDescent="0.3">
      <c r="A5" s="36">
        <v>43795</v>
      </c>
      <c r="B5" s="151">
        <v>85</v>
      </c>
      <c r="C5" s="152">
        <f t="shared" si="0"/>
        <v>0</v>
      </c>
      <c r="D5" s="151">
        <v>85</v>
      </c>
      <c r="E5" s="152">
        <f t="shared" si="1"/>
        <v>0</v>
      </c>
      <c r="F5" s="151">
        <v>85</v>
      </c>
      <c r="G5" s="152">
        <f t="shared" si="2"/>
        <v>4</v>
      </c>
      <c r="H5" s="151">
        <v>85</v>
      </c>
      <c r="I5" s="152">
        <f t="shared" si="3"/>
        <v>2</v>
      </c>
      <c r="J5" s="152">
        <f t="shared" si="4"/>
        <v>340</v>
      </c>
      <c r="K5" s="152">
        <f t="shared" si="5"/>
        <v>85</v>
      </c>
      <c r="L5" s="152">
        <f t="shared" si="6"/>
        <v>1.5</v>
      </c>
      <c r="M5" s="152">
        <f t="shared" si="7"/>
        <v>28000</v>
      </c>
      <c r="N5" s="152">
        <f t="shared" si="8"/>
        <v>420</v>
      </c>
      <c r="O5" s="152">
        <f t="shared" si="9"/>
        <v>222.60000000000002</v>
      </c>
      <c r="P5" s="38">
        <f t="shared" ref="P5:P42" si="11">O5*8.3673</f>
        <v>1862.5609800000002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35">
        <f>Q5+T5+W5+Z5</f>
        <v>0</v>
      </c>
      <c r="AD5" s="82">
        <f t="shared" si="10"/>
        <v>0</v>
      </c>
      <c r="AE5" s="82">
        <f t="shared" si="10"/>
        <v>0</v>
      </c>
    </row>
    <row r="6" spans="1:31" ht="32.25" customHeight="1" x14ac:dyDescent="0.3">
      <c r="A6" s="36">
        <v>43796</v>
      </c>
      <c r="B6" s="151">
        <v>85</v>
      </c>
      <c r="C6" s="152">
        <f t="shared" si="0"/>
        <v>5</v>
      </c>
      <c r="D6" s="151">
        <v>85</v>
      </c>
      <c r="E6" s="152">
        <f t="shared" si="1"/>
        <v>5</v>
      </c>
      <c r="F6" s="151">
        <v>81</v>
      </c>
      <c r="G6" s="152">
        <f t="shared" si="2"/>
        <v>6</v>
      </c>
      <c r="H6" s="151">
        <v>83</v>
      </c>
      <c r="I6" s="152">
        <f t="shared" si="3"/>
        <v>7</v>
      </c>
      <c r="J6" s="152">
        <f t="shared" si="4"/>
        <v>334</v>
      </c>
      <c r="K6" s="152">
        <f t="shared" si="5"/>
        <v>83.5</v>
      </c>
      <c r="L6" s="152">
        <f t="shared" si="6"/>
        <v>5.75</v>
      </c>
      <c r="M6" s="152">
        <f t="shared" si="7"/>
        <v>28000</v>
      </c>
      <c r="N6" s="152">
        <f t="shared" si="8"/>
        <v>1610</v>
      </c>
      <c r="O6" s="152">
        <f t="shared" si="9"/>
        <v>853.30000000000007</v>
      </c>
      <c r="P6" s="38">
        <f t="shared" si="11"/>
        <v>7139.8170900000005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35">
        <f>Q6+T6+W6+Z6</f>
        <v>0</v>
      </c>
      <c r="AD6" s="82">
        <f t="shared" si="10"/>
        <v>0</v>
      </c>
      <c r="AE6" s="82">
        <f t="shared" si="10"/>
        <v>0</v>
      </c>
    </row>
    <row r="7" spans="1:31" ht="32.25" customHeight="1" x14ac:dyDescent="0.3">
      <c r="A7" s="36">
        <v>43797</v>
      </c>
      <c r="B7" s="151">
        <v>80</v>
      </c>
      <c r="C7" s="152">
        <f t="shared" si="0"/>
        <v>8</v>
      </c>
      <c r="D7" s="151">
        <v>80</v>
      </c>
      <c r="E7" s="152">
        <f t="shared" si="1"/>
        <v>5</v>
      </c>
      <c r="F7" s="151">
        <v>75</v>
      </c>
      <c r="G7" s="152">
        <f t="shared" si="2"/>
        <v>5</v>
      </c>
      <c r="H7" s="151">
        <v>76</v>
      </c>
      <c r="I7" s="152">
        <f t="shared" si="3"/>
        <v>5</v>
      </c>
      <c r="J7" s="152">
        <f t="shared" si="4"/>
        <v>311</v>
      </c>
      <c r="K7" s="152">
        <f t="shared" si="5"/>
        <v>77.75</v>
      </c>
      <c r="L7" s="152">
        <f t="shared" si="6"/>
        <v>5.75</v>
      </c>
      <c r="M7" s="152">
        <f t="shared" si="7"/>
        <v>28000</v>
      </c>
      <c r="N7" s="152">
        <f t="shared" si="8"/>
        <v>1610</v>
      </c>
      <c r="O7" s="152">
        <f t="shared" si="9"/>
        <v>853.30000000000007</v>
      </c>
      <c r="P7" s="38">
        <f t="shared" si="11"/>
        <v>7139.8170900000005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35">
        <f>Q7+T7+W7+Z7</f>
        <v>0</v>
      </c>
      <c r="AD7" s="82">
        <f t="shared" si="10"/>
        <v>0</v>
      </c>
      <c r="AE7" s="82">
        <f t="shared" si="10"/>
        <v>0</v>
      </c>
    </row>
    <row r="8" spans="1:31" ht="32.25" customHeight="1" x14ac:dyDescent="0.3">
      <c r="A8" s="36">
        <v>43798</v>
      </c>
      <c r="B8" s="151">
        <v>72</v>
      </c>
      <c r="C8" s="152">
        <f t="shared" si="0"/>
        <v>3</v>
      </c>
      <c r="D8" s="151">
        <v>75</v>
      </c>
      <c r="E8" s="152">
        <f t="shared" si="1"/>
        <v>5</v>
      </c>
      <c r="F8" s="151">
        <v>70</v>
      </c>
      <c r="G8" s="152">
        <f t="shared" si="2"/>
        <v>5</v>
      </c>
      <c r="H8" s="151">
        <v>71</v>
      </c>
      <c r="I8" s="152">
        <f t="shared" si="3"/>
        <v>4</v>
      </c>
      <c r="J8" s="152">
        <f t="shared" si="4"/>
        <v>288</v>
      </c>
      <c r="K8" s="152">
        <f t="shared" si="5"/>
        <v>72</v>
      </c>
      <c r="L8" s="152">
        <f t="shared" si="6"/>
        <v>4.25</v>
      </c>
      <c r="M8" s="152">
        <f t="shared" si="7"/>
        <v>28000</v>
      </c>
      <c r="N8" s="152">
        <f t="shared" si="8"/>
        <v>1190</v>
      </c>
      <c r="O8" s="152">
        <f t="shared" si="9"/>
        <v>630.70000000000005</v>
      </c>
      <c r="P8" s="38">
        <f t="shared" si="11"/>
        <v>5277.2561100000003</v>
      </c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35">
        <f t="shared" ref="AC8:AC42" si="12">Q8+T8+W8+Z8</f>
        <v>0</v>
      </c>
      <c r="AD8" s="82">
        <f t="shared" ref="AD8:AD42" si="13">(R8+U8+X8+AA8)/4</f>
        <v>0</v>
      </c>
      <c r="AE8" s="82">
        <f t="shared" ref="AE8:AE42" si="14">(S8+V8+Y8+AB8)/4</f>
        <v>0</v>
      </c>
    </row>
    <row r="9" spans="1:31" ht="32.25" customHeight="1" x14ac:dyDescent="0.3">
      <c r="A9" s="36">
        <v>43799</v>
      </c>
      <c r="B9" s="151">
        <v>69</v>
      </c>
      <c r="C9" s="152">
        <f t="shared" si="0"/>
        <v>8</v>
      </c>
      <c r="D9" s="151">
        <v>70</v>
      </c>
      <c r="E9" s="152">
        <f t="shared" si="1"/>
        <v>6</v>
      </c>
      <c r="F9" s="151">
        <v>65</v>
      </c>
      <c r="G9" s="152">
        <f t="shared" si="2"/>
        <v>6</v>
      </c>
      <c r="H9" s="151">
        <v>67</v>
      </c>
      <c r="I9" s="152">
        <f t="shared" si="3"/>
        <v>6</v>
      </c>
      <c r="J9" s="152">
        <f t="shared" si="4"/>
        <v>271</v>
      </c>
      <c r="K9" s="152">
        <f t="shared" si="5"/>
        <v>67.75</v>
      </c>
      <c r="L9" s="152">
        <f t="shared" si="6"/>
        <v>6.5</v>
      </c>
      <c r="M9" s="152">
        <f t="shared" si="7"/>
        <v>28000</v>
      </c>
      <c r="N9" s="152">
        <f t="shared" si="8"/>
        <v>1820</v>
      </c>
      <c r="O9" s="152">
        <f t="shared" si="9"/>
        <v>964.6</v>
      </c>
      <c r="P9" s="38">
        <f t="shared" si="11"/>
        <v>8071.0975800000006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35">
        <f t="shared" si="12"/>
        <v>0</v>
      </c>
      <c r="AD9" s="82">
        <f t="shared" si="13"/>
        <v>0</v>
      </c>
      <c r="AE9" s="82">
        <f t="shared" si="14"/>
        <v>0</v>
      </c>
    </row>
    <row r="10" spans="1:31" ht="32.25" customHeight="1" x14ac:dyDescent="0.3">
      <c r="A10" s="36">
        <v>43800</v>
      </c>
      <c r="B10" s="151">
        <v>61</v>
      </c>
      <c r="C10" s="152">
        <f t="shared" si="0"/>
        <v>1</v>
      </c>
      <c r="D10" s="151">
        <v>64</v>
      </c>
      <c r="E10" s="152">
        <f t="shared" si="1"/>
        <v>3</v>
      </c>
      <c r="F10" s="151">
        <v>59</v>
      </c>
      <c r="G10" s="152">
        <f t="shared" si="2"/>
        <v>4</v>
      </c>
      <c r="H10" s="151">
        <v>61</v>
      </c>
      <c r="I10" s="35">
        <f t="shared" ref="I10:I23" si="15">IF(AC10&gt;0,((H10-AA10)+(AB10-H11)),IF(H11=0, ,(H10-H11)))</f>
        <v>1</v>
      </c>
      <c r="J10" s="35">
        <f t="shared" ref="J10:J23" si="16">B10+D10+F10+H10</f>
        <v>245</v>
      </c>
      <c r="K10" s="35">
        <f t="shared" ref="K10:K23" si="17">J10/4</f>
        <v>61.25</v>
      </c>
      <c r="L10" s="35">
        <f t="shared" ref="L10:L23" si="18">IF(AC10&gt;0,((K10-AD10)+(AE10-K11)),IF(K11=0, ,(K10-K11)))</f>
        <v>2.25</v>
      </c>
      <c r="M10" s="35">
        <f t="shared" ref="M10:M23" si="19">7000*4</f>
        <v>28000</v>
      </c>
      <c r="N10" s="35">
        <f t="shared" ref="N10:N23" si="20">L10*M10/100</f>
        <v>630</v>
      </c>
      <c r="O10" s="35">
        <f t="shared" ref="O10:O23" si="21">N10*0.53</f>
        <v>333.90000000000003</v>
      </c>
      <c r="P10" s="38">
        <f t="shared" si="11"/>
        <v>2793.8414700000003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2"/>
        <v>0</v>
      </c>
      <c r="AD10" s="82">
        <f t="shared" si="13"/>
        <v>0</v>
      </c>
      <c r="AE10" s="82">
        <f t="shared" si="14"/>
        <v>0</v>
      </c>
    </row>
    <row r="11" spans="1:31" ht="32.25" customHeight="1" x14ac:dyDescent="0.3">
      <c r="A11" s="36">
        <v>43801</v>
      </c>
      <c r="B11" s="151">
        <v>60</v>
      </c>
      <c r="C11" s="152">
        <f t="shared" si="0"/>
        <v>2</v>
      </c>
      <c r="D11" s="151">
        <v>61</v>
      </c>
      <c r="E11" s="152">
        <f t="shared" si="1"/>
        <v>7</v>
      </c>
      <c r="F11" s="151">
        <v>55</v>
      </c>
      <c r="G11" s="152">
        <f t="shared" si="2"/>
        <v>7</v>
      </c>
      <c r="H11" s="151">
        <v>60</v>
      </c>
      <c r="I11" s="152">
        <f t="shared" si="15"/>
        <v>6</v>
      </c>
      <c r="J11" s="152">
        <f t="shared" si="16"/>
        <v>236</v>
      </c>
      <c r="K11" s="152">
        <f t="shared" si="17"/>
        <v>59</v>
      </c>
      <c r="L11" s="152">
        <f t="shared" si="18"/>
        <v>5.5</v>
      </c>
      <c r="M11" s="152">
        <f t="shared" si="19"/>
        <v>28000</v>
      </c>
      <c r="N11" s="152">
        <f t="shared" si="20"/>
        <v>1540</v>
      </c>
      <c r="O11" s="152">
        <f t="shared" si="21"/>
        <v>816.2</v>
      </c>
      <c r="P11" s="38">
        <f t="shared" si="11"/>
        <v>6829.3902600000001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35">
        <f t="shared" si="12"/>
        <v>0</v>
      </c>
      <c r="AD11" s="82">
        <f t="shared" si="13"/>
        <v>0</v>
      </c>
      <c r="AE11" s="82">
        <f t="shared" si="14"/>
        <v>0</v>
      </c>
    </row>
    <row r="12" spans="1:31" ht="32.25" customHeight="1" x14ac:dyDescent="0.3">
      <c r="A12" s="36">
        <v>43802</v>
      </c>
      <c r="B12" s="151">
        <v>58</v>
      </c>
      <c r="C12" s="152">
        <f t="shared" si="0"/>
        <v>8</v>
      </c>
      <c r="D12" s="151">
        <v>54</v>
      </c>
      <c r="E12" s="152">
        <f t="shared" si="1"/>
        <v>5</v>
      </c>
      <c r="F12" s="151">
        <v>48</v>
      </c>
      <c r="G12" s="152">
        <f t="shared" si="2"/>
        <v>7</v>
      </c>
      <c r="H12" s="151">
        <v>54</v>
      </c>
      <c r="I12" s="152">
        <f t="shared" si="15"/>
        <v>5</v>
      </c>
      <c r="J12" s="152">
        <f t="shared" si="16"/>
        <v>214</v>
      </c>
      <c r="K12" s="152">
        <f t="shared" si="17"/>
        <v>53.5</v>
      </c>
      <c r="L12" s="152">
        <f t="shared" si="18"/>
        <v>6.25</v>
      </c>
      <c r="M12" s="152">
        <f t="shared" si="19"/>
        <v>28000</v>
      </c>
      <c r="N12" s="152">
        <f t="shared" si="20"/>
        <v>1750</v>
      </c>
      <c r="O12" s="152">
        <f t="shared" si="21"/>
        <v>927.5</v>
      </c>
      <c r="P12" s="38">
        <f t="shared" si="11"/>
        <v>7760.6707500000002</v>
      </c>
      <c r="Q12" s="152">
        <v>2060</v>
      </c>
      <c r="R12" s="152">
        <v>50</v>
      </c>
      <c r="S12" s="152">
        <v>85</v>
      </c>
      <c r="T12" s="152">
        <v>3162</v>
      </c>
      <c r="U12" s="152">
        <v>50</v>
      </c>
      <c r="V12" s="152">
        <v>85</v>
      </c>
      <c r="W12" s="152">
        <v>3002</v>
      </c>
      <c r="X12" s="152">
        <v>45</v>
      </c>
      <c r="Y12" s="152">
        <v>85</v>
      </c>
      <c r="Z12" s="152">
        <v>3000</v>
      </c>
      <c r="AA12" s="152">
        <v>50</v>
      </c>
      <c r="AB12" s="152">
        <v>85</v>
      </c>
      <c r="AC12" s="35">
        <f t="shared" si="12"/>
        <v>11224</v>
      </c>
      <c r="AD12" s="82">
        <f t="shared" si="13"/>
        <v>48.75</v>
      </c>
      <c r="AE12" s="82">
        <f t="shared" si="14"/>
        <v>85</v>
      </c>
    </row>
    <row r="13" spans="1:31" ht="32.25" customHeight="1" x14ac:dyDescent="0.3">
      <c r="A13" s="36">
        <v>43803</v>
      </c>
      <c r="B13" s="151">
        <v>85</v>
      </c>
      <c r="C13" s="152">
        <f t="shared" si="0"/>
        <v>3</v>
      </c>
      <c r="D13" s="151">
        <v>84</v>
      </c>
      <c r="E13" s="152">
        <f t="shared" si="1"/>
        <v>2</v>
      </c>
      <c r="F13" s="151">
        <v>81</v>
      </c>
      <c r="G13" s="152">
        <f t="shared" si="2"/>
        <v>2</v>
      </c>
      <c r="H13" s="151">
        <v>84</v>
      </c>
      <c r="I13" s="152">
        <f t="shared" si="15"/>
        <v>5</v>
      </c>
      <c r="J13" s="152">
        <f t="shared" si="16"/>
        <v>334</v>
      </c>
      <c r="K13" s="152">
        <f t="shared" si="17"/>
        <v>83.5</v>
      </c>
      <c r="L13" s="152">
        <f t="shared" si="18"/>
        <v>3</v>
      </c>
      <c r="M13" s="152">
        <f t="shared" si="19"/>
        <v>28000</v>
      </c>
      <c r="N13" s="152">
        <f t="shared" si="20"/>
        <v>840</v>
      </c>
      <c r="O13" s="152">
        <f t="shared" si="21"/>
        <v>445.20000000000005</v>
      </c>
      <c r="P13" s="38">
        <f t="shared" si="11"/>
        <v>3725.1219600000004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35">
        <f t="shared" si="12"/>
        <v>0</v>
      </c>
      <c r="AD13" s="82">
        <f t="shared" si="13"/>
        <v>0</v>
      </c>
      <c r="AE13" s="82">
        <f t="shared" si="14"/>
        <v>0</v>
      </c>
    </row>
    <row r="14" spans="1:31" ht="32.25" customHeight="1" x14ac:dyDescent="0.3">
      <c r="A14" s="36">
        <v>43804</v>
      </c>
      <c r="B14" s="151">
        <v>82</v>
      </c>
      <c r="C14" s="152">
        <f t="shared" si="0"/>
        <v>7</v>
      </c>
      <c r="D14" s="151">
        <v>82</v>
      </c>
      <c r="E14" s="152">
        <f t="shared" si="1"/>
        <v>10</v>
      </c>
      <c r="F14" s="151">
        <v>79</v>
      </c>
      <c r="G14" s="152">
        <f t="shared" si="2"/>
        <v>11</v>
      </c>
      <c r="H14" s="151">
        <v>79</v>
      </c>
      <c r="I14" s="152">
        <f t="shared" si="15"/>
        <v>7</v>
      </c>
      <c r="J14" s="152">
        <f t="shared" si="16"/>
        <v>322</v>
      </c>
      <c r="K14" s="152">
        <f t="shared" si="17"/>
        <v>80.5</v>
      </c>
      <c r="L14" s="152">
        <f t="shared" si="18"/>
        <v>8.75</v>
      </c>
      <c r="M14" s="152">
        <f t="shared" si="19"/>
        <v>28000</v>
      </c>
      <c r="N14" s="152">
        <f t="shared" si="20"/>
        <v>2450</v>
      </c>
      <c r="O14" s="152">
        <f t="shared" si="21"/>
        <v>1298.5</v>
      </c>
      <c r="P14" s="38">
        <f t="shared" si="11"/>
        <v>10864.939050000001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35">
        <f t="shared" si="12"/>
        <v>0</v>
      </c>
      <c r="AD14" s="82">
        <f t="shared" si="13"/>
        <v>0</v>
      </c>
      <c r="AE14" s="82">
        <f t="shared" si="14"/>
        <v>0</v>
      </c>
    </row>
    <row r="15" spans="1:31" ht="32.25" customHeight="1" x14ac:dyDescent="0.3">
      <c r="A15" s="36">
        <v>43805</v>
      </c>
      <c r="B15" s="151">
        <v>75</v>
      </c>
      <c r="C15" s="152">
        <f t="shared" si="0"/>
        <v>11</v>
      </c>
      <c r="D15" s="151">
        <v>72</v>
      </c>
      <c r="E15" s="152">
        <f t="shared" si="1"/>
        <v>6</v>
      </c>
      <c r="F15" s="151">
        <v>68</v>
      </c>
      <c r="G15" s="152">
        <f t="shared" si="2"/>
        <v>8</v>
      </c>
      <c r="H15" s="151">
        <v>72</v>
      </c>
      <c r="I15" s="152">
        <f t="shared" si="15"/>
        <v>11</v>
      </c>
      <c r="J15" s="152">
        <f t="shared" si="16"/>
        <v>287</v>
      </c>
      <c r="K15" s="152">
        <f t="shared" si="17"/>
        <v>71.75</v>
      </c>
      <c r="L15" s="152">
        <f t="shared" si="18"/>
        <v>9</v>
      </c>
      <c r="M15" s="152">
        <f t="shared" si="19"/>
        <v>28000</v>
      </c>
      <c r="N15" s="152">
        <f t="shared" si="20"/>
        <v>2520</v>
      </c>
      <c r="O15" s="152">
        <f t="shared" si="21"/>
        <v>1335.6000000000001</v>
      </c>
      <c r="P15" s="38">
        <f t="shared" si="11"/>
        <v>11175.365880000001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35">
        <f t="shared" si="12"/>
        <v>0</v>
      </c>
      <c r="AD15" s="82">
        <f t="shared" si="13"/>
        <v>0</v>
      </c>
      <c r="AE15" s="82">
        <f t="shared" si="14"/>
        <v>0</v>
      </c>
    </row>
    <row r="16" spans="1:31" ht="32.25" customHeight="1" x14ac:dyDescent="0.3">
      <c r="A16" s="36">
        <v>43806</v>
      </c>
      <c r="B16" s="151">
        <v>64</v>
      </c>
      <c r="C16" s="152">
        <f t="shared" si="0"/>
        <v>4</v>
      </c>
      <c r="D16" s="151">
        <v>66</v>
      </c>
      <c r="E16" s="152">
        <f t="shared" si="1"/>
        <v>5</v>
      </c>
      <c r="F16" s="151">
        <v>60</v>
      </c>
      <c r="G16" s="152">
        <f t="shared" si="2"/>
        <v>3</v>
      </c>
      <c r="H16" s="151">
        <v>61</v>
      </c>
      <c r="I16" s="152">
        <f t="shared" si="15"/>
        <v>3</v>
      </c>
      <c r="J16" s="152">
        <f t="shared" si="16"/>
        <v>251</v>
      </c>
      <c r="K16" s="152">
        <f t="shared" si="17"/>
        <v>62.75</v>
      </c>
      <c r="L16" s="152">
        <f t="shared" si="18"/>
        <v>3.75</v>
      </c>
      <c r="M16" s="152">
        <f t="shared" si="19"/>
        <v>28000</v>
      </c>
      <c r="N16" s="152">
        <f t="shared" si="20"/>
        <v>1050</v>
      </c>
      <c r="O16" s="152">
        <f t="shared" si="21"/>
        <v>556.5</v>
      </c>
      <c r="P16" s="38">
        <f t="shared" si="11"/>
        <v>4656.4024500000005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35">
        <f t="shared" si="12"/>
        <v>0</v>
      </c>
      <c r="AD16" s="82">
        <f t="shared" si="13"/>
        <v>0</v>
      </c>
      <c r="AE16" s="82">
        <f t="shared" si="14"/>
        <v>0</v>
      </c>
    </row>
    <row r="17" spans="1:31" ht="32.25" customHeight="1" x14ac:dyDescent="0.3">
      <c r="A17" s="36">
        <v>43807</v>
      </c>
      <c r="B17" s="151">
        <v>60</v>
      </c>
      <c r="C17" s="152">
        <f t="shared" si="0"/>
        <v>3</v>
      </c>
      <c r="D17" s="151">
        <v>61</v>
      </c>
      <c r="E17" s="152">
        <f t="shared" si="1"/>
        <v>3</v>
      </c>
      <c r="F17" s="151">
        <v>57</v>
      </c>
      <c r="G17" s="152">
        <f t="shared" si="2"/>
        <v>7</v>
      </c>
      <c r="H17" s="151">
        <v>58</v>
      </c>
      <c r="I17" s="152">
        <f t="shared" si="15"/>
        <v>7</v>
      </c>
      <c r="J17" s="152">
        <f t="shared" si="16"/>
        <v>236</v>
      </c>
      <c r="K17" s="152">
        <f t="shared" si="17"/>
        <v>59</v>
      </c>
      <c r="L17" s="152">
        <f t="shared" si="18"/>
        <v>5</v>
      </c>
      <c r="M17" s="152">
        <f t="shared" si="19"/>
        <v>28000</v>
      </c>
      <c r="N17" s="152">
        <f t="shared" si="20"/>
        <v>1400</v>
      </c>
      <c r="O17" s="152">
        <f t="shared" si="21"/>
        <v>742</v>
      </c>
      <c r="P17" s="38">
        <f t="shared" si="11"/>
        <v>6208.5366000000004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35">
        <f t="shared" si="12"/>
        <v>0</v>
      </c>
      <c r="AD17" s="82">
        <f t="shared" si="13"/>
        <v>0</v>
      </c>
      <c r="AE17" s="82">
        <f t="shared" si="14"/>
        <v>0</v>
      </c>
    </row>
    <row r="18" spans="1:31" ht="32.25" customHeight="1" x14ac:dyDescent="0.3">
      <c r="A18" s="36">
        <v>43808</v>
      </c>
      <c r="B18" s="151">
        <v>57</v>
      </c>
      <c r="C18" s="152">
        <f t="shared" si="0"/>
        <v>2</v>
      </c>
      <c r="D18" s="151">
        <v>58</v>
      </c>
      <c r="E18" s="152">
        <f t="shared" si="1"/>
        <v>3</v>
      </c>
      <c r="F18" s="151">
        <v>50</v>
      </c>
      <c r="G18" s="152">
        <f t="shared" si="2"/>
        <v>6</v>
      </c>
      <c r="H18" s="151">
        <v>51</v>
      </c>
      <c r="I18" s="152">
        <f t="shared" si="15"/>
        <v>5</v>
      </c>
      <c r="J18" s="152">
        <f t="shared" si="16"/>
        <v>216</v>
      </c>
      <c r="K18" s="152">
        <f t="shared" si="17"/>
        <v>54</v>
      </c>
      <c r="L18" s="152">
        <f t="shared" si="18"/>
        <v>4</v>
      </c>
      <c r="M18" s="152">
        <f t="shared" si="19"/>
        <v>28000</v>
      </c>
      <c r="N18" s="152">
        <f t="shared" si="20"/>
        <v>1120</v>
      </c>
      <c r="O18" s="152">
        <f t="shared" si="21"/>
        <v>593.6</v>
      </c>
      <c r="P18" s="38">
        <f t="shared" si="11"/>
        <v>4966.8292799999999</v>
      </c>
      <c r="Q18" s="152">
        <v>3002</v>
      </c>
      <c r="R18" s="152">
        <v>55</v>
      </c>
      <c r="S18" s="152">
        <v>85</v>
      </c>
      <c r="T18" s="152">
        <v>2500</v>
      </c>
      <c r="U18" s="152">
        <v>55</v>
      </c>
      <c r="V18" s="152">
        <v>85</v>
      </c>
      <c r="W18" s="152">
        <v>2501</v>
      </c>
      <c r="X18" s="152">
        <v>48</v>
      </c>
      <c r="Y18" s="152">
        <v>85</v>
      </c>
      <c r="Z18" s="152">
        <v>2303</v>
      </c>
      <c r="AA18" s="152">
        <v>50</v>
      </c>
      <c r="AB18" s="152">
        <v>85</v>
      </c>
      <c r="AC18" s="35">
        <f t="shared" si="12"/>
        <v>10306</v>
      </c>
      <c r="AD18" s="82">
        <f t="shared" si="13"/>
        <v>52</v>
      </c>
      <c r="AE18" s="82">
        <f t="shared" si="14"/>
        <v>85</v>
      </c>
    </row>
    <row r="19" spans="1:31" ht="32.25" customHeight="1" x14ac:dyDescent="0.3">
      <c r="A19" s="36">
        <v>43809</v>
      </c>
      <c r="B19" s="151">
        <v>85</v>
      </c>
      <c r="C19" s="152">
        <f t="shared" si="0"/>
        <v>10</v>
      </c>
      <c r="D19" s="151">
        <v>85</v>
      </c>
      <c r="E19" s="152">
        <f t="shared" si="1"/>
        <v>6</v>
      </c>
      <c r="F19" s="151">
        <v>81</v>
      </c>
      <c r="G19" s="152">
        <f t="shared" si="2"/>
        <v>10</v>
      </c>
      <c r="H19" s="151">
        <v>81</v>
      </c>
      <c r="I19" s="152">
        <f t="shared" si="15"/>
        <v>8</v>
      </c>
      <c r="J19" s="152">
        <f t="shared" si="16"/>
        <v>332</v>
      </c>
      <c r="K19" s="152">
        <f t="shared" si="17"/>
        <v>83</v>
      </c>
      <c r="L19" s="152">
        <f t="shared" si="18"/>
        <v>8.5</v>
      </c>
      <c r="M19" s="152">
        <f t="shared" si="19"/>
        <v>28000</v>
      </c>
      <c r="N19" s="152">
        <f t="shared" si="20"/>
        <v>2380</v>
      </c>
      <c r="O19" s="152">
        <f t="shared" si="21"/>
        <v>1261.4000000000001</v>
      </c>
      <c r="P19" s="38">
        <f t="shared" si="11"/>
        <v>10554.512220000001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35">
        <f t="shared" si="12"/>
        <v>0</v>
      </c>
      <c r="AD19" s="82">
        <f t="shared" si="13"/>
        <v>0</v>
      </c>
      <c r="AE19" s="82">
        <f t="shared" si="14"/>
        <v>0</v>
      </c>
    </row>
    <row r="20" spans="1:31" ht="32.25" customHeight="1" x14ac:dyDescent="0.3">
      <c r="A20" s="36">
        <v>43810</v>
      </c>
      <c r="B20" s="151">
        <v>75</v>
      </c>
      <c r="C20" s="152">
        <f t="shared" si="0"/>
        <v>7</v>
      </c>
      <c r="D20" s="151">
        <v>79</v>
      </c>
      <c r="E20" s="152">
        <f t="shared" si="1"/>
        <v>9</v>
      </c>
      <c r="F20" s="151">
        <v>71</v>
      </c>
      <c r="G20" s="152">
        <f t="shared" si="2"/>
        <v>7</v>
      </c>
      <c r="H20" s="151">
        <v>73</v>
      </c>
      <c r="I20" s="152">
        <f t="shared" si="15"/>
        <v>7</v>
      </c>
      <c r="J20" s="152">
        <f t="shared" si="16"/>
        <v>298</v>
      </c>
      <c r="K20" s="152">
        <f t="shared" si="17"/>
        <v>74.5</v>
      </c>
      <c r="L20" s="152">
        <f t="shared" si="18"/>
        <v>7.5</v>
      </c>
      <c r="M20" s="152">
        <f t="shared" si="19"/>
        <v>28000</v>
      </c>
      <c r="N20" s="152">
        <f t="shared" si="20"/>
        <v>2100</v>
      </c>
      <c r="O20" s="152">
        <f t="shared" si="21"/>
        <v>1113</v>
      </c>
      <c r="P20" s="38">
        <f t="shared" si="11"/>
        <v>9312.804900000001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35">
        <f t="shared" si="12"/>
        <v>0</v>
      </c>
      <c r="AD20" s="82">
        <f t="shared" si="13"/>
        <v>0</v>
      </c>
      <c r="AE20" s="82">
        <f t="shared" si="14"/>
        <v>0</v>
      </c>
    </row>
    <row r="21" spans="1:31" ht="32.25" customHeight="1" x14ac:dyDescent="0.3">
      <c r="A21" s="36">
        <v>43811</v>
      </c>
      <c r="B21" s="151">
        <v>68</v>
      </c>
      <c r="C21" s="152">
        <f t="shared" si="0"/>
        <v>7</v>
      </c>
      <c r="D21" s="151">
        <v>70</v>
      </c>
      <c r="E21" s="152">
        <f t="shared" si="1"/>
        <v>6</v>
      </c>
      <c r="F21" s="151">
        <v>64</v>
      </c>
      <c r="G21" s="152">
        <f t="shared" si="2"/>
        <v>4</v>
      </c>
      <c r="H21" s="151">
        <v>66</v>
      </c>
      <c r="I21" s="152">
        <f t="shared" si="15"/>
        <v>6</v>
      </c>
      <c r="J21" s="152">
        <f t="shared" si="16"/>
        <v>268</v>
      </c>
      <c r="K21" s="152">
        <f t="shared" si="17"/>
        <v>67</v>
      </c>
      <c r="L21" s="152">
        <f t="shared" si="18"/>
        <v>5.75</v>
      </c>
      <c r="M21" s="152">
        <f t="shared" si="19"/>
        <v>28000</v>
      </c>
      <c r="N21" s="152">
        <f t="shared" si="20"/>
        <v>1610</v>
      </c>
      <c r="O21" s="152">
        <f t="shared" si="21"/>
        <v>853.30000000000007</v>
      </c>
      <c r="P21" s="38">
        <f t="shared" si="11"/>
        <v>7139.8170900000005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35">
        <f t="shared" si="12"/>
        <v>0</v>
      </c>
      <c r="AD21" s="82">
        <f t="shared" si="13"/>
        <v>0</v>
      </c>
      <c r="AE21" s="82">
        <f t="shared" si="14"/>
        <v>0</v>
      </c>
    </row>
    <row r="22" spans="1:31" ht="32.25" customHeight="1" x14ac:dyDescent="0.3">
      <c r="A22" s="36">
        <v>43812</v>
      </c>
      <c r="B22" s="151">
        <v>61</v>
      </c>
      <c r="C22" s="152">
        <f t="shared" si="0"/>
        <v>2</v>
      </c>
      <c r="D22" s="151">
        <v>64</v>
      </c>
      <c r="E22" s="152">
        <f t="shared" si="1"/>
        <v>2</v>
      </c>
      <c r="F22" s="151">
        <v>60</v>
      </c>
      <c r="G22" s="152">
        <f t="shared" si="2"/>
        <v>0</v>
      </c>
      <c r="H22" s="151">
        <v>60</v>
      </c>
      <c r="I22" s="152">
        <f t="shared" si="15"/>
        <v>0</v>
      </c>
      <c r="J22" s="152">
        <f t="shared" si="16"/>
        <v>245</v>
      </c>
      <c r="K22" s="152">
        <f t="shared" si="17"/>
        <v>61.25</v>
      </c>
      <c r="L22" s="152">
        <f t="shared" si="18"/>
        <v>1</v>
      </c>
      <c r="M22" s="152">
        <f t="shared" si="19"/>
        <v>28000</v>
      </c>
      <c r="N22" s="152">
        <f t="shared" si="20"/>
        <v>280</v>
      </c>
      <c r="O22" s="152">
        <f t="shared" si="21"/>
        <v>148.4</v>
      </c>
      <c r="P22" s="38">
        <f t="shared" si="11"/>
        <v>1241.70732</v>
      </c>
      <c r="Q22" s="152">
        <v>2497</v>
      </c>
      <c r="R22" s="152">
        <v>59</v>
      </c>
      <c r="S22" s="152">
        <v>85</v>
      </c>
      <c r="T22" s="152">
        <v>2234</v>
      </c>
      <c r="U22" s="152">
        <v>62</v>
      </c>
      <c r="V22" s="152">
        <v>85</v>
      </c>
      <c r="W22" s="152">
        <v>2248</v>
      </c>
      <c r="X22" s="152">
        <v>60</v>
      </c>
      <c r="Y22" s="152">
        <v>85</v>
      </c>
      <c r="Z22" s="152">
        <v>2418</v>
      </c>
      <c r="AA22" s="152">
        <v>60</v>
      </c>
      <c r="AB22" s="152">
        <v>85</v>
      </c>
      <c r="AC22" s="35">
        <f t="shared" si="12"/>
        <v>9397</v>
      </c>
      <c r="AD22" s="82">
        <f t="shared" si="13"/>
        <v>60.25</v>
      </c>
      <c r="AE22" s="82">
        <f t="shared" si="14"/>
        <v>85</v>
      </c>
    </row>
    <row r="23" spans="1:31" ht="32.25" customHeight="1" x14ac:dyDescent="0.3">
      <c r="A23" s="36">
        <v>43813</v>
      </c>
      <c r="B23" s="151">
        <v>85</v>
      </c>
      <c r="C23" s="152">
        <f t="shared" si="0"/>
        <v>5</v>
      </c>
      <c r="D23" s="151">
        <v>85</v>
      </c>
      <c r="E23" s="152">
        <f t="shared" si="1"/>
        <v>5</v>
      </c>
      <c r="F23" s="151">
        <v>85</v>
      </c>
      <c r="G23" s="152">
        <f t="shared" si="2"/>
        <v>9</v>
      </c>
      <c r="H23" s="151">
        <v>85</v>
      </c>
      <c r="I23" s="152">
        <f t="shared" si="15"/>
        <v>8</v>
      </c>
      <c r="J23" s="152">
        <f t="shared" si="16"/>
        <v>340</v>
      </c>
      <c r="K23" s="152">
        <f t="shared" si="17"/>
        <v>85</v>
      </c>
      <c r="L23" s="152">
        <f t="shared" si="18"/>
        <v>6.75</v>
      </c>
      <c r="M23" s="152">
        <f t="shared" si="19"/>
        <v>28000</v>
      </c>
      <c r="N23" s="152">
        <f t="shared" si="20"/>
        <v>1890</v>
      </c>
      <c r="O23" s="152">
        <f t="shared" si="21"/>
        <v>1001.7</v>
      </c>
      <c r="P23" s="38">
        <f t="shared" si="11"/>
        <v>8381.52441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35">
        <f t="shared" si="12"/>
        <v>0</v>
      </c>
      <c r="AD23" s="82">
        <f t="shared" si="13"/>
        <v>0</v>
      </c>
      <c r="AE23" s="82">
        <f t="shared" si="14"/>
        <v>0</v>
      </c>
    </row>
    <row r="24" spans="1:31" ht="32.25" customHeight="1" x14ac:dyDescent="0.3">
      <c r="A24" s="36">
        <v>43814</v>
      </c>
      <c r="B24" s="151">
        <v>80</v>
      </c>
      <c r="C24" s="152">
        <f t="shared" si="0"/>
        <v>8</v>
      </c>
      <c r="D24" s="151">
        <v>80</v>
      </c>
      <c r="E24" s="152">
        <f t="shared" si="1"/>
        <v>6</v>
      </c>
      <c r="F24" s="151">
        <v>76</v>
      </c>
      <c r="G24" s="152">
        <f t="shared" si="2"/>
        <v>6</v>
      </c>
      <c r="H24" s="151">
        <v>77</v>
      </c>
      <c r="I24" s="152">
        <f t="shared" ref="I24:I42" si="22">IF(AC24&gt;0,((H24-AA24)+(AB24-H25)),IF(H25=0, ,(H24-H25)))</f>
        <v>6</v>
      </c>
      <c r="J24" s="152">
        <f t="shared" ref="J24:J42" si="23">B24+D24+F24+H24</f>
        <v>313</v>
      </c>
      <c r="K24" s="152">
        <f t="shared" ref="K24:K42" si="24">J24/4</f>
        <v>78.25</v>
      </c>
      <c r="L24" s="152">
        <f t="shared" ref="L24:L42" si="25">IF(AC24&gt;0,((K24-AD24)+(AE24-K25)),IF(K25=0, ,(K24-K25)))</f>
        <v>6.5</v>
      </c>
      <c r="M24" s="152">
        <f t="shared" ref="M24:M42" si="26">7000*4</f>
        <v>28000</v>
      </c>
      <c r="N24" s="152">
        <f>L24*M24/100</f>
        <v>1820</v>
      </c>
      <c r="O24" s="152">
        <f>N24*0.53</f>
        <v>964.6</v>
      </c>
      <c r="P24" s="38">
        <f t="shared" si="11"/>
        <v>8071.0975800000006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35">
        <f t="shared" si="12"/>
        <v>0</v>
      </c>
      <c r="AD24" s="82">
        <f t="shared" si="13"/>
        <v>0</v>
      </c>
      <c r="AE24" s="82">
        <f t="shared" si="14"/>
        <v>0</v>
      </c>
    </row>
    <row r="25" spans="1:31" ht="32.25" customHeight="1" x14ac:dyDescent="0.3">
      <c r="A25" s="36">
        <v>43815</v>
      </c>
      <c r="B25" s="151">
        <v>72</v>
      </c>
      <c r="C25" s="152">
        <f t="shared" si="0"/>
        <v>4</v>
      </c>
      <c r="D25" s="151">
        <v>74</v>
      </c>
      <c r="E25" s="152">
        <f t="shared" si="1"/>
        <v>6</v>
      </c>
      <c r="F25" s="151">
        <v>70</v>
      </c>
      <c r="G25" s="152">
        <f t="shared" si="2"/>
        <v>5</v>
      </c>
      <c r="H25" s="151">
        <v>71</v>
      </c>
      <c r="I25" s="152">
        <f t="shared" si="22"/>
        <v>6</v>
      </c>
      <c r="J25" s="152">
        <f t="shared" si="23"/>
        <v>287</v>
      </c>
      <c r="K25" s="152">
        <f t="shared" si="24"/>
        <v>71.75</v>
      </c>
      <c r="L25" s="152">
        <f t="shared" si="25"/>
        <v>5.25</v>
      </c>
      <c r="M25" s="152">
        <f t="shared" si="26"/>
        <v>28000</v>
      </c>
      <c r="N25" s="152">
        <f>L25*M25/100</f>
        <v>1470</v>
      </c>
      <c r="O25" s="152">
        <f>N25*0.53</f>
        <v>779.1</v>
      </c>
      <c r="P25" s="38">
        <f t="shared" si="11"/>
        <v>6518.9634300000007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35">
        <f t="shared" si="12"/>
        <v>0</v>
      </c>
      <c r="AD25" s="82">
        <f t="shared" si="13"/>
        <v>0</v>
      </c>
      <c r="AE25" s="82">
        <f t="shared" si="14"/>
        <v>0</v>
      </c>
    </row>
    <row r="26" spans="1:31" ht="32.25" customHeight="1" x14ac:dyDescent="0.3">
      <c r="A26" s="36">
        <v>43816</v>
      </c>
      <c r="B26" s="151">
        <v>68</v>
      </c>
      <c r="C26" s="152">
        <f t="shared" si="0"/>
        <v>8</v>
      </c>
      <c r="D26" s="151">
        <v>68</v>
      </c>
      <c r="E26" s="152">
        <f t="shared" si="1"/>
        <v>8</v>
      </c>
      <c r="F26" s="151">
        <v>65</v>
      </c>
      <c r="G26" s="152">
        <f t="shared" si="2"/>
        <v>10</v>
      </c>
      <c r="H26" s="151">
        <v>65</v>
      </c>
      <c r="I26" s="152">
        <f t="shared" si="22"/>
        <v>5</v>
      </c>
      <c r="J26" s="152">
        <f t="shared" si="23"/>
        <v>266</v>
      </c>
      <c r="K26" s="152">
        <f t="shared" si="24"/>
        <v>66.5</v>
      </c>
      <c r="L26" s="152">
        <f t="shared" si="25"/>
        <v>7.75</v>
      </c>
      <c r="M26" s="152">
        <f t="shared" si="26"/>
        <v>28000</v>
      </c>
      <c r="N26" s="152">
        <f>L26*M26/100</f>
        <v>2170</v>
      </c>
      <c r="O26" s="152">
        <f>N26*0.53</f>
        <v>1150.1000000000001</v>
      </c>
      <c r="P26" s="38">
        <f t="shared" si="11"/>
        <v>9623.2317300000013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35">
        <f t="shared" si="12"/>
        <v>0</v>
      </c>
      <c r="AD26" s="82">
        <f t="shared" si="13"/>
        <v>0</v>
      </c>
      <c r="AE26" s="82">
        <f t="shared" si="14"/>
        <v>0</v>
      </c>
    </row>
    <row r="27" spans="1:31" ht="32.25" customHeight="1" x14ac:dyDescent="0.3">
      <c r="A27" s="36">
        <v>43817</v>
      </c>
      <c r="B27" s="151">
        <v>60</v>
      </c>
      <c r="C27" s="152">
        <f t="shared" si="0"/>
        <v>11</v>
      </c>
      <c r="D27" s="151">
        <v>60</v>
      </c>
      <c r="E27" s="152">
        <f t="shared" si="1"/>
        <v>10</v>
      </c>
      <c r="F27" s="151">
        <v>55</v>
      </c>
      <c r="G27" s="152">
        <f t="shared" si="2"/>
        <v>10</v>
      </c>
      <c r="H27" s="151">
        <v>60</v>
      </c>
      <c r="I27" s="35">
        <f t="shared" si="22"/>
        <v>12</v>
      </c>
      <c r="J27" s="35">
        <f t="shared" si="23"/>
        <v>235</v>
      </c>
      <c r="K27" s="35">
        <f t="shared" si="24"/>
        <v>58.75</v>
      </c>
      <c r="L27" s="35">
        <f t="shared" si="25"/>
        <v>10.75</v>
      </c>
      <c r="M27" s="35">
        <v>28000</v>
      </c>
      <c r="N27" s="35">
        <f t="shared" ref="N27:N42" si="27">L27*M27/100</f>
        <v>3010</v>
      </c>
      <c r="O27" s="35">
        <f t="shared" ref="O27:O42" si="28">N27*0.53</f>
        <v>1595.3000000000002</v>
      </c>
      <c r="P27" s="38">
        <f t="shared" si="11"/>
        <v>13348.353690000002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2">
        <f t="shared" si="13"/>
        <v>0</v>
      </c>
      <c r="AE27" s="82">
        <f t="shared" si="14"/>
        <v>0</v>
      </c>
    </row>
    <row r="28" spans="1:31" ht="32.25" customHeight="1" x14ac:dyDescent="0.3">
      <c r="A28" s="36">
        <v>43818</v>
      </c>
      <c r="B28" s="151">
        <v>49</v>
      </c>
      <c r="C28" s="152">
        <f t="shared" si="0"/>
        <v>9</v>
      </c>
      <c r="D28" s="151">
        <v>50</v>
      </c>
      <c r="E28" s="152">
        <f t="shared" si="1"/>
        <v>5</v>
      </c>
      <c r="F28" s="151">
        <v>45</v>
      </c>
      <c r="G28" s="152">
        <f t="shared" si="2"/>
        <v>7</v>
      </c>
      <c r="H28" s="151">
        <v>48</v>
      </c>
      <c r="I28" s="35">
        <f t="shared" si="22"/>
        <v>8</v>
      </c>
      <c r="J28" s="35">
        <f t="shared" si="23"/>
        <v>192</v>
      </c>
      <c r="K28" s="35">
        <f t="shared" si="24"/>
        <v>48</v>
      </c>
      <c r="L28" s="35">
        <f t="shared" si="25"/>
        <v>7.25</v>
      </c>
      <c r="M28" s="35">
        <f t="shared" si="26"/>
        <v>28000</v>
      </c>
      <c r="N28" s="35">
        <f t="shared" si="27"/>
        <v>2030</v>
      </c>
      <c r="O28" s="35">
        <f t="shared" si="28"/>
        <v>1075.9000000000001</v>
      </c>
      <c r="P28" s="38">
        <f t="shared" si="11"/>
        <v>9002.3780700000007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2">
        <f t="shared" si="13"/>
        <v>0</v>
      </c>
      <c r="AE28" s="82">
        <f t="shared" si="14"/>
        <v>0</v>
      </c>
    </row>
    <row r="29" spans="1:31" ht="32.25" customHeight="1" x14ac:dyDescent="0.3">
      <c r="A29" s="36">
        <v>43819</v>
      </c>
      <c r="B29" s="151">
        <v>40</v>
      </c>
      <c r="C29" s="152">
        <f t="shared" si="0"/>
        <v>0</v>
      </c>
      <c r="D29" s="151">
        <v>45</v>
      </c>
      <c r="E29" s="152">
        <f t="shared" si="1"/>
        <v>0</v>
      </c>
      <c r="F29" s="151">
        <v>38</v>
      </c>
      <c r="G29" s="152">
        <f t="shared" si="2"/>
        <v>0</v>
      </c>
      <c r="H29" s="151">
        <v>40</v>
      </c>
      <c r="I29" s="152">
        <f t="shared" si="22"/>
        <v>0</v>
      </c>
      <c r="J29" s="152">
        <f t="shared" si="23"/>
        <v>163</v>
      </c>
      <c r="K29" s="152">
        <f t="shared" si="24"/>
        <v>40.75</v>
      </c>
      <c r="L29" s="152">
        <f t="shared" si="25"/>
        <v>0</v>
      </c>
      <c r="M29" s="152">
        <f t="shared" si="26"/>
        <v>28000</v>
      </c>
      <c r="N29" s="152">
        <f t="shared" si="27"/>
        <v>0</v>
      </c>
      <c r="O29" s="152">
        <f t="shared" si="28"/>
        <v>0</v>
      </c>
      <c r="P29" s="38">
        <f t="shared" si="11"/>
        <v>0</v>
      </c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35">
        <f t="shared" si="12"/>
        <v>0</v>
      </c>
      <c r="AD29" s="82">
        <f t="shared" si="13"/>
        <v>0</v>
      </c>
      <c r="AE29" s="82">
        <f t="shared" si="14"/>
        <v>0</v>
      </c>
    </row>
    <row r="30" spans="1:31" ht="32.25" customHeight="1" x14ac:dyDescent="0.3">
      <c r="A30" s="36">
        <v>43820</v>
      </c>
      <c r="B30" s="151"/>
      <c r="C30" s="152">
        <f t="shared" ref="C29:C42" si="29">IF(AC30&gt;0,((B30-R30)+(S30-B31)),IF(B31=0, ,(B30-B31)))</f>
        <v>0</v>
      </c>
      <c r="D30" s="151"/>
      <c r="E30" s="152">
        <f t="shared" ref="E29:E42" si="30">IF(AC30&gt;0,((D30-U30)+(V30-D31)),IF(D31=0, ,(D30-D31)))</f>
        <v>0</v>
      </c>
      <c r="F30" s="151"/>
      <c r="G30" s="152">
        <f t="shared" ref="G29:G42" si="31">IF(AC30&gt;0,((F30-X30)+(Y30-F31)),IF(F31=0, ,(F30-F31)))</f>
        <v>0</v>
      </c>
      <c r="H30" s="151"/>
      <c r="I30" s="152">
        <f t="shared" si="22"/>
        <v>0</v>
      </c>
      <c r="J30" s="152">
        <f t="shared" si="23"/>
        <v>0</v>
      </c>
      <c r="K30" s="152">
        <f t="shared" si="24"/>
        <v>0</v>
      </c>
      <c r="L30" s="152">
        <f t="shared" si="25"/>
        <v>0</v>
      </c>
      <c r="M30" s="152">
        <f t="shared" si="26"/>
        <v>28000</v>
      </c>
      <c r="N30" s="152">
        <f t="shared" si="27"/>
        <v>0</v>
      </c>
      <c r="O30" s="152">
        <f t="shared" si="28"/>
        <v>0</v>
      </c>
      <c r="P30" s="38">
        <f t="shared" si="11"/>
        <v>0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35">
        <f t="shared" si="12"/>
        <v>0</v>
      </c>
      <c r="AD30" s="82">
        <f t="shared" si="13"/>
        <v>0</v>
      </c>
      <c r="AE30" s="82">
        <f t="shared" si="14"/>
        <v>0</v>
      </c>
    </row>
    <row r="31" spans="1:31" ht="32.25" customHeight="1" x14ac:dyDescent="0.3">
      <c r="A31" s="36">
        <v>43821</v>
      </c>
      <c r="B31" s="151"/>
      <c r="C31" s="152">
        <f t="shared" si="29"/>
        <v>0</v>
      </c>
      <c r="D31" s="151"/>
      <c r="E31" s="152">
        <f t="shared" si="30"/>
        <v>0</v>
      </c>
      <c r="F31" s="151"/>
      <c r="G31" s="152">
        <f t="shared" si="31"/>
        <v>0</v>
      </c>
      <c r="H31" s="151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1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2">
        <f t="shared" si="13"/>
        <v>0</v>
      </c>
      <c r="AE31" s="82">
        <f t="shared" si="14"/>
        <v>0</v>
      </c>
    </row>
    <row r="32" spans="1:31" ht="32.25" customHeight="1" x14ac:dyDescent="0.3">
      <c r="A32" s="36">
        <v>43822</v>
      </c>
      <c r="B32" s="151"/>
      <c r="C32" s="152">
        <f t="shared" si="29"/>
        <v>0</v>
      </c>
      <c r="D32" s="151"/>
      <c r="E32" s="152">
        <f t="shared" si="30"/>
        <v>0</v>
      </c>
      <c r="F32" s="151"/>
      <c r="G32" s="152">
        <f t="shared" si="31"/>
        <v>0</v>
      </c>
      <c r="H32" s="151"/>
      <c r="I32" s="152">
        <f t="shared" si="22"/>
        <v>0</v>
      </c>
      <c r="J32" s="152">
        <f t="shared" si="23"/>
        <v>0</v>
      </c>
      <c r="K32" s="152">
        <f t="shared" si="24"/>
        <v>0</v>
      </c>
      <c r="L32" s="152">
        <f t="shared" si="25"/>
        <v>0</v>
      </c>
      <c r="M32" s="152">
        <f t="shared" si="26"/>
        <v>28000</v>
      </c>
      <c r="N32" s="152">
        <f t="shared" si="27"/>
        <v>0</v>
      </c>
      <c r="O32" s="152">
        <f t="shared" si="28"/>
        <v>0</v>
      </c>
      <c r="P32" s="38">
        <f t="shared" si="11"/>
        <v>0</v>
      </c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35">
        <f t="shared" si="12"/>
        <v>0</v>
      </c>
      <c r="AD32" s="82">
        <f t="shared" si="13"/>
        <v>0</v>
      </c>
      <c r="AE32" s="82">
        <f t="shared" si="14"/>
        <v>0</v>
      </c>
    </row>
    <row r="33" spans="1:31" ht="32.25" customHeight="1" x14ac:dyDescent="0.3">
      <c r="A33" s="36">
        <v>43823</v>
      </c>
      <c r="B33" s="151"/>
      <c r="C33" s="152">
        <f t="shared" si="29"/>
        <v>0</v>
      </c>
      <c r="D33" s="151"/>
      <c r="E33" s="152">
        <f t="shared" si="30"/>
        <v>0</v>
      </c>
      <c r="F33" s="151"/>
      <c r="G33" s="152">
        <f t="shared" si="31"/>
        <v>0</v>
      </c>
      <c r="H33" s="151"/>
      <c r="I33" s="152">
        <f t="shared" si="22"/>
        <v>0</v>
      </c>
      <c r="J33" s="152">
        <f t="shared" si="23"/>
        <v>0</v>
      </c>
      <c r="K33" s="152">
        <f t="shared" si="24"/>
        <v>0</v>
      </c>
      <c r="L33" s="152">
        <f t="shared" si="25"/>
        <v>0</v>
      </c>
      <c r="M33" s="152">
        <f t="shared" si="26"/>
        <v>28000</v>
      </c>
      <c r="N33" s="152">
        <f t="shared" si="27"/>
        <v>0</v>
      </c>
      <c r="O33" s="152">
        <f t="shared" si="28"/>
        <v>0</v>
      </c>
      <c r="P33" s="38">
        <f t="shared" si="11"/>
        <v>0</v>
      </c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35">
        <f t="shared" si="12"/>
        <v>0</v>
      </c>
      <c r="AD33" s="82">
        <f t="shared" si="13"/>
        <v>0</v>
      </c>
      <c r="AE33" s="82">
        <f t="shared" si="14"/>
        <v>0</v>
      </c>
    </row>
    <row r="34" spans="1:31" ht="32.25" customHeight="1" x14ac:dyDescent="0.3">
      <c r="A34" s="36">
        <v>43824</v>
      </c>
      <c r="B34" s="151"/>
      <c r="C34" s="152">
        <f t="shared" si="29"/>
        <v>0</v>
      </c>
      <c r="D34" s="151"/>
      <c r="E34" s="152">
        <f t="shared" si="30"/>
        <v>0</v>
      </c>
      <c r="F34" s="151"/>
      <c r="G34" s="152">
        <f t="shared" si="31"/>
        <v>0</v>
      </c>
      <c r="H34" s="151"/>
      <c r="I34" s="152">
        <f t="shared" si="22"/>
        <v>0</v>
      </c>
      <c r="J34" s="152">
        <f t="shared" si="23"/>
        <v>0</v>
      </c>
      <c r="K34" s="152">
        <f t="shared" si="24"/>
        <v>0</v>
      </c>
      <c r="L34" s="152">
        <f t="shared" si="25"/>
        <v>0</v>
      </c>
      <c r="M34" s="152">
        <f t="shared" si="26"/>
        <v>28000</v>
      </c>
      <c r="N34" s="152">
        <f t="shared" si="27"/>
        <v>0</v>
      </c>
      <c r="O34" s="152">
        <f t="shared" si="28"/>
        <v>0</v>
      </c>
      <c r="P34" s="38">
        <f t="shared" si="11"/>
        <v>0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35">
        <f t="shared" si="12"/>
        <v>0</v>
      </c>
      <c r="AD34" s="82">
        <f t="shared" si="13"/>
        <v>0</v>
      </c>
      <c r="AE34" s="82">
        <f t="shared" si="14"/>
        <v>0</v>
      </c>
    </row>
    <row r="35" spans="1:31" ht="32.25" customHeight="1" x14ac:dyDescent="0.3">
      <c r="A35" s="36">
        <v>43825</v>
      </c>
      <c r="B35" s="151"/>
      <c r="C35" s="152">
        <f t="shared" si="29"/>
        <v>0</v>
      </c>
      <c r="D35" s="151"/>
      <c r="E35" s="152">
        <f t="shared" si="30"/>
        <v>0</v>
      </c>
      <c r="F35" s="151"/>
      <c r="G35" s="152">
        <f t="shared" si="31"/>
        <v>0</v>
      </c>
      <c r="H35" s="151"/>
      <c r="I35" s="152">
        <f t="shared" si="22"/>
        <v>0</v>
      </c>
      <c r="J35" s="152">
        <f t="shared" si="23"/>
        <v>0</v>
      </c>
      <c r="K35" s="152">
        <f t="shared" si="24"/>
        <v>0</v>
      </c>
      <c r="L35" s="152">
        <f t="shared" si="25"/>
        <v>0</v>
      </c>
      <c r="M35" s="152">
        <f t="shared" si="26"/>
        <v>28000</v>
      </c>
      <c r="N35" s="152">
        <f t="shared" si="27"/>
        <v>0</v>
      </c>
      <c r="O35" s="152">
        <f t="shared" si="28"/>
        <v>0</v>
      </c>
      <c r="P35" s="38">
        <f t="shared" si="11"/>
        <v>0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35">
        <f t="shared" si="12"/>
        <v>0</v>
      </c>
      <c r="AD35" s="82">
        <f t="shared" si="13"/>
        <v>0</v>
      </c>
      <c r="AE35" s="82">
        <f t="shared" si="14"/>
        <v>0</v>
      </c>
    </row>
    <row r="36" spans="1:31" ht="32.25" customHeight="1" x14ac:dyDescent="0.3">
      <c r="A36" s="36">
        <v>43826</v>
      </c>
      <c r="B36" s="151"/>
      <c r="C36" s="152">
        <f t="shared" si="29"/>
        <v>0</v>
      </c>
      <c r="D36" s="151"/>
      <c r="E36" s="152">
        <f t="shared" si="30"/>
        <v>0</v>
      </c>
      <c r="F36" s="151"/>
      <c r="G36" s="152">
        <f t="shared" si="31"/>
        <v>0</v>
      </c>
      <c r="H36" s="151"/>
      <c r="I36" s="152">
        <f t="shared" si="22"/>
        <v>0</v>
      </c>
      <c r="J36" s="152">
        <f t="shared" si="23"/>
        <v>0</v>
      </c>
      <c r="K36" s="152">
        <f t="shared" si="24"/>
        <v>0</v>
      </c>
      <c r="L36" s="152">
        <f t="shared" si="25"/>
        <v>0</v>
      </c>
      <c r="M36" s="152">
        <f t="shared" si="26"/>
        <v>28000</v>
      </c>
      <c r="N36" s="152">
        <f t="shared" si="27"/>
        <v>0</v>
      </c>
      <c r="O36" s="152">
        <f t="shared" si="28"/>
        <v>0</v>
      </c>
      <c r="P36" s="38">
        <f t="shared" si="11"/>
        <v>0</v>
      </c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35">
        <f t="shared" si="12"/>
        <v>0</v>
      </c>
      <c r="AD36" s="82">
        <f t="shared" si="13"/>
        <v>0</v>
      </c>
      <c r="AE36" s="82">
        <f t="shared" si="14"/>
        <v>0</v>
      </c>
    </row>
    <row r="37" spans="1:31" ht="32.25" customHeight="1" x14ac:dyDescent="0.3">
      <c r="A37" s="36">
        <v>43827</v>
      </c>
      <c r="B37" s="151"/>
      <c r="C37" s="152">
        <f t="shared" si="29"/>
        <v>0</v>
      </c>
      <c r="D37" s="151"/>
      <c r="E37" s="152">
        <f t="shared" si="30"/>
        <v>0</v>
      </c>
      <c r="F37" s="151"/>
      <c r="G37" s="152">
        <f t="shared" si="31"/>
        <v>0</v>
      </c>
      <c r="H37" s="151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1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2">
        <f t="shared" si="13"/>
        <v>0</v>
      </c>
      <c r="AE37" s="82">
        <f t="shared" si="14"/>
        <v>0</v>
      </c>
    </row>
    <row r="38" spans="1:31" ht="32.25" customHeight="1" x14ac:dyDescent="0.3">
      <c r="A38" s="36">
        <v>43828</v>
      </c>
      <c r="B38" s="151"/>
      <c r="C38" s="152">
        <f t="shared" si="29"/>
        <v>0</v>
      </c>
      <c r="D38" s="151"/>
      <c r="E38" s="152">
        <f t="shared" si="30"/>
        <v>0</v>
      </c>
      <c r="F38" s="151"/>
      <c r="G38" s="152">
        <f t="shared" si="31"/>
        <v>0</v>
      </c>
      <c r="H38" s="151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1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2">
        <f t="shared" si="13"/>
        <v>0</v>
      </c>
      <c r="AE38" s="82">
        <f t="shared" si="14"/>
        <v>0</v>
      </c>
    </row>
    <row r="39" spans="1:31" ht="32.25" customHeight="1" x14ac:dyDescent="0.3">
      <c r="A39" s="36">
        <v>43829</v>
      </c>
      <c r="B39" s="151"/>
      <c r="C39" s="152">
        <f t="shared" si="29"/>
        <v>0</v>
      </c>
      <c r="D39" s="151"/>
      <c r="E39" s="152">
        <f t="shared" si="30"/>
        <v>0</v>
      </c>
      <c r="F39" s="151"/>
      <c r="G39" s="152">
        <f t="shared" si="31"/>
        <v>0</v>
      </c>
      <c r="H39" s="151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1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2">
        <f t="shared" si="13"/>
        <v>0</v>
      </c>
      <c r="AE39" s="82">
        <f t="shared" si="14"/>
        <v>0</v>
      </c>
    </row>
    <row r="40" spans="1:31" ht="32.25" customHeight="1" x14ac:dyDescent="0.3">
      <c r="A40" s="36">
        <v>43830</v>
      </c>
      <c r="B40" s="151"/>
      <c r="C40" s="152">
        <f t="shared" si="29"/>
        <v>0</v>
      </c>
      <c r="D40" s="151"/>
      <c r="E40" s="152">
        <f t="shared" si="30"/>
        <v>0</v>
      </c>
      <c r="F40" s="151"/>
      <c r="G40" s="152">
        <f t="shared" si="31"/>
        <v>0</v>
      </c>
      <c r="H40" s="151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1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2">
        <f t="shared" si="13"/>
        <v>0</v>
      </c>
      <c r="AE40" s="82">
        <f t="shared" si="14"/>
        <v>0</v>
      </c>
    </row>
    <row r="41" spans="1:31" ht="32.25" customHeight="1" x14ac:dyDescent="0.3">
      <c r="A41" s="36">
        <v>43831</v>
      </c>
      <c r="B41" s="151"/>
      <c r="C41" s="152">
        <f t="shared" si="29"/>
        <v>0</v>
      </c>
      <c r="D41" s="151"/>
      <c r="E41" s="152">
        <f t="shared" si="30"/>
        <v>0</v>
      </c>
      <c r="F41" s="151"/>
      <c r="G41" s="152">
        <f t="shared" si="31"/>
        <v>0</v>
      </c>
      <c r="H41" s="151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1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2">
        <f t="shared" si="13"/>
        <v>0</v>
      </c>
      <c r="AE41" s="82">
        <f t="shared" si="14"/>
        <v>0</v>
      </c>
    </row>
    <row r="42" spans="1:31" ht="32.25" customHeight="1" x14ac:dyDescent="0.3">
      <c r="A42" s="36">
        <v>43832</v>
      </c>
      <c r="B42" s="151"/>
      <c r="C42" s="152">
        <f t="shared" si="29"/>
        <v>0</v>
      </c>
      <c r="D42" s="151"/>
      <c r="E42" s="152">
        <f t="shared" si="30"/>
        <v>0</v>
      </c>
      <c r="F42" s="151"/>
      <c r="G42" s="152">
        <f t="shared" si="31"/>
        <v>0</v>
      </c>
      <c r="H42" s="151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1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2">
        <f t="shared" si="13"/>
        <v>0</v>
      </c>
      <c r="AE42" s="82">
        <f t="shared" si="14"/>
        <v>0</v>
      </c>
    </row>
    <row r="43" spans="1:31" ht="32.25" customHeight="1" thickBot="1" x14ac:dyDescent="0.35">
      <c r="B43" s="37"/>
      <c r="C43" s="35">
        <f>SUM(C11:C40)</f>
        <v>111</v>
      </c>
      <c r="D43" s="37"/>
      <c r="E43" s="35">
        <f>SUM(E11:E40)</f>
        <v>104</v>
      </c>
      <c r="F43" s="37"/>
      <c r="G43" s="35">
        <f>SUM(G11:G40)</f>
        <v>119</v>
      </c>
      <c r="H43" s="37"/>
      <c r="I43" s="35">
        <f>SUM(I11:I40)</f>
        <v>115</v>
      </c>
      <c r="J43" s="33"/>
      <c r="K43" s="33"/>
      <c r="L43" s="33"/>
      <c r="M43" s="33"/>
      <c r="N43" s="35">
        <f>SUM(N11:N40)</f>
        <v>31430</v>
      </c>
      <c r="O43" s="35">
        <f>N43*0.53</f>
        <v>16657.900000000001</v>
      </c>
      <c r="P43" s="38">
        <f>O43*8.3673</f>
        <v>139381.64667000002</v>
      </c>
      <c r="Q43" s="245">
        <v>0</v>
      </c>
      <c r="R43" s="245"/>
      <c r="S43" s="246"/>
      <c r="T43" s="245">
        <v>0</v>
      </c>
      <c r="U43" s="245"/>
      <c r="V43" s="246"/>
      <c r="W43" s="245">
        <v>0</v>
      </c>
      <c r="X43" s="245"/>
      <c r="Y43" s="246"/>
      <c r="Z43" s="245">
        <v>0</v>
      </c>
      <c r="AA43" s="245"/>
      <c r="AB43" s="246"/>
      <c r="AC43" s="35">
        <f>SUM(AC11:AC40)</f>
        <v>30927</v>
      </c>
      <c r="AD43" s="33"/>
      <c r="AE43" s="33"/>
    </row>
    <row r="44" spans="1:31" ht="35.25" customHeight="1" thickBot="1" x14ac:dyDescent="0.35">
      <c r="B44" s="247"/>
      <c r="C44" s="248"/>
      <c r="D44" s="248"/>
      <c r="E44" s="248"/>
      <c r="F44" s="248"/>
      <c r="G44" s="248"/>
      <c r="H44" s="248"/>
      <c r="I44" s="249"/>
      <c r="J44" s="33"/>
      <c r="K44" s="33"/>
      <c r="L44" s="33"/>
      <c r="M44" s="33"/>
      <c r="N44" s="33"/>
      <c r="O44" s="33"/>
      <c r="P44" s="33"/>
      <c r="Q44" s="250">
        <f>Q43+T43+W43+Z43</f>
        <v>0</v>
      </c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2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3" t="s">
        <v>37</v>
      </c>
      <c r="I47" s="254"/>
      <c r="J47" s="255"/>
      <c r="K47" s="45">
        <f>N43</f>
        <v>31430</v>
      </c>
      <c r="L47" s="46">
        <f>O43</f>
        <v>16657.900000000001</v>
      </c>
      <c r="M47" s="46">
        <f>P43</f>
        <v>139381.64667000002</v>
      </c>
    </row>
    <row r="48" spans="1:31" ht="54.75" customHeight="1" thickBot="1" x14ac:dyDescent="0.35">
      <c r="H48" s="242" t="s">
        <v>38</v>
      </c>
      <c r="I48" s="243"/>
      <c r="J48" s="244"/>
      <c r="K48" s="43">
        <f>AC43</f>
        <v>30927</v>
      </c>
      <c r="L48" s="44">
        <f>K48*0.53</f>
        <v>16391.310000000001</v>
      </c>
      <c r="M48" s="44">
        <f>L48*8.3673</f>
        <v>137151.00816300002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5" sqref="B35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43794</v>
      </c>
      <c r="B9" s="153">
        <v>116491</v>
      </c>
      <c r="C9" s="154">
        <f t="shared" ref="C9:C34" si="0">IF(B10&lt;B9,0,B10-B9)*10</f>
        <v>380</v>
      </c>
      <c r="D9" s="155">
        <v>17840226</v>
      </c>
      <c r="E9" s="154">
        <f t="shared" ref="E9:E14" si="1">IF(D10&lt;D9,0,D10-D9)</f>
        <v>4088</v>
      </c>
      <c r="F9" s="155">
        <v>32245707</v>
      </c>
      <c r="G9" s="154">
        <f t="shared" ref="G9:G34" si="2">IF(F10&lt;F9,0,F10-F9)</f>
        <v>6732</v>
      </c>
      <c r="H9" s="155">
        <v>14247619</v>
      </c>
      <c r="I9" s="60">
        <f t="shared" ref="I9:I47" si="3">IF(H10&lt;H9,0,H10-H9)</f>
        <v>2861</v>
      </c>
    </row>
    <row r="10" spans="1:20" ht="21" thickTop="1" thickBot="1" x14ac:dyDescent="0.35">
      <c r="A10" s="59">
        <f>A9+1</f>
        <v>43795</v>
      </c>
      <c r="B10" s="153">
        <v>116529</v>
      </c>
      <c r="C10" s="154">
        <f t="shared" si="0"/>
        <v>410</v>
      </c>
      <c r="D10" s="155">
        <v>17844314</v>
      </c>
      <c r="E10" s="154">
        <f t="shared" si="1"/>
        <v>5043</v>
      </c>
      <c r="F10" s="155">
        <v>32252439</v>
      </c>
      <c r="G10" s="154">
        <f t="shared" si="2"/>
        <v>6965</v>
      </c>
      <c r="H10" s="155">
        <v>14250480</v>
      </c>
      <c r="I10" s="60">
        <f t="shared" si="3"/>
        <v>3782</v>
      </c>
    </row>
    <row r="11" spans="1:20" ht="21" thickTop="1" thickBot="1" x14ac:dyDescent="0.35">
      <c r="A11" s="59">
        <f t="shared" ref="A11:A47" si="4">A10+1</f>
        <v>43796</v>
      </c>
      <c r="B11" s="153">
        <v>116570</v>
      </c>
      <c r="C11" s="154">
        <f t="shared" si="0"/>
        <v>410</v>
      </c>
      <c r="D11" s="155">
        <v>17849357</v>
      </c>
      <c r="E11" s="154">
        <f t="shared" si="1"/>
        <v>4706</v>
      </c>
      <c r="F11" s="155">
        <v>32259404</v>
      </c>
      <c r="G11" s="154">
        <f t="shared" si="2"/>
        <v>7225</v>
      </c>
      <c r="H11" s="155">
        <v>14254262</v>
      </c>
      <c r="I11" s="60">
        <f t="shared" si="3"/>
        <v>3106</v>
      </c>
    </row>
    <row r="12" spans="1:20" ht="21" thickTop="1" thickBot="1" x14ac:dyDescent="0.35">
      <c r="A12" s="59">
        <f t="shared" si="4"/>
        <v>43797</v>
      </c>
      <c r="B12" s="153">
        <v>116611</v>
      </c>
      <c r="C12" s="154">
        <f t="shared" si="0"/>
        <v>450</v>
      </c>
      <c r="D12" s="155">
        <v>17854063</v>
      </c>
      <c r="E12" s="154">
        <f t="shared" si="1"/>
        <v>4630</v>
      </c>
      <c r="F12" s="155">
        <v>32266629</v>
      </c>
      <c r="G12" s="154">
        <f t="shared" si="2"/>
        <v>6780</v>
      </c>
      <c r="H12" s="155">
        <v>14257368</v>
      </c>
      <c r="I12" s="60">
        <f t="shared" si="3"/>
        <v>4013</v>
      </c>
    </row>
    <row r="13" spans="1:20" ht="21" thickTop="1" thickBot="1" x14ac:dyDescent="0.35">
      <c r="A13" s="59">
        <f t="shared" si="4"/>
        <v>43798</v>
      </c>
      <c r="B13" s="153">
        <v>116656</v>
      </c>
      <c r="C13" s="154">
        <f t="shared" si="0"/>
        <v>410</v>
      </c>
      <c r="D13" s="155">
        <v>17858693</v>
      </c>
      <c r="E13" s="154">
        <f t="shared" si="1"/>
        <v>5693</v>
      </c>
      <c r="F13" s="155">
        <v>32273409</v>
      </c>
      <c r="G13" s="154">
        <f t="shared" si="2"/>
        <v>7168</v>
      </c>
      <c r="H13" s="155">
        <v>14261381</v>
      </c>
      <c r="I13" s="60">
        <f t="shared" si="3"/>
        <v>4327</v>
      </c>
    </row>
    <row r="14" spans="1:20" ht="21" thickTop="1" thickBot="1" x14ac:dyDescent="0.35">
      <c r="A14" s="59">
        <f t="shared" si="4"/>
        <v>43799</v>
      </c>
      <c r="B14" s="153">
        <v>116697</v>
      </c>
      <c r="C14" s="154">
        <f t="shared" si="0"/>
        <v>480</v>
      </c>
      <c r="D14" s="155">
        <v>17864386</v>
      </c>
      <c r="E14" s="154">
        <f t="shared" si="1"/>
        <v>5120</v>
      </c>
      <c r="F14" s="155">
        <v>32280577</v>
      </c>
      <c r="G14" s="154">
        <f t="shared" si="2"/>
        <v>7294</v>
      </c>
      <c r="H14" s="155">
        <v>14265708</v>
      </c>
      <c r="I14" s="60">
        <f t="shared" si="3"/>
        <v>4256</v>
      </c>
    </row>
    <row r="15" spans="1:20" ht="21" thickTop="1" thickBot="1" x14ac:dyDescent="0.35">
      <c r="A15" s="59">
        <f t="shared" si="4"/>
        <v>43800</v>
      </c>
      <c r="B15" s="153">
        <v>116745</v>
      </c>
      <c r="C15" s="154">
        <f t="shared" si="0"/>
        <v>500</v>
      </c>
      <c r="D15" s="155">
        <v>17869506</v>
      </c>
      <c r="E15" s="154">
        <f>IF(D16&lt;D15,0,D16-D15)</f>
        <v>4473</v>
      </c>
      <c r="F15" s="155">
        <v>32287871</v>
      </c>
      <c r="G15" s="154">
        <f t="shared" si="2"/>
        <v>6523</v>
      </c>
      <c r="H15" s="155">
        <v>14269964</v>
      </c>
      <c r="I15" s="60">
        <f t="shared" si="3"/>
        <v>3046</v>
      </c>
    </row>
    <row r="16" spans="1:20" ht="21" thickTop="1" thickBot="1" x14ac:dyDescent="0.35">
      <c r="A16" s="59">
        <f t="shared" si="4"/>
        <v>43801</v>
      </c>
      <c r="B16" s="153">
        <v>116795</v>
      </c>
      <c r="C16" s="154">
        <f t="shared" si="0"/>
        <v>380</v>
      </c>
      <c r="D16" s="155">
        <v>17873979</v>
      </c>
      <c r="E16" s="154">
        <f>IF(D17&lt;D16,0,D17-D16)</f>
        <v>4297</v>
      </c>
      <c r="F16" s="155">
        <v>32294394</v>
      </c>
      <c r="G16" s="154">
        <f t="shared" si="2"/>
        <v>6427</v>
      </c>
      <c r="H16" s="155">
        <v>14273010</v>
      </c>
      <c r="I16" s="60">
        <f t="shared" si="3"/>
        <v>3072</v>
      </c>
    </row>
    <row r="17" spans="1:9" ht="21" thickTop="1" thickBot="1" x14ac:dyDescent="0.35">
      <c r="A17" s="59">
        <f t="shared" si="4"/>
        <v>43802</v>
      </c>
      <c r="B17" s="153">
        <v>116833</v>
      </c>
      <c r="C17" s="154">
        <f t="shared" si="0"/>
        <v>380</v>
      </c>
      <c r="D17" s="155">
        <v>17878276</v>
      </c>
      <c r="E17" s="154">
        <f t="shared" ref="E17:E34" si="5">IF(D18&lt;D17,0,D18-D17)</f>
        <v>4166</v>
      </c>
      <c r="F17" s="155">
        <v>32300821</v>
      </c>
      <c r="G17" s="154">
        <f t="shared" si="2"/>
        <v>6581</v>
      </c>
      <c r="H17" s="155">
        <v>14276082</v>
      </c>
      <c r="I17" s="60">
        <f t="shared" si="3"/>
        <v>2944</v>
      </c>
    </row>
    <row r="18" spans="1:9" ht="21" thickTop="1" thickBot="1" x14ac:dyDescent="0.35">
      <c r="A18" s="59">
        <f t="shared" si="4"/>
        <v>43803</v>
      </c>
      <c r="B18" s="153">
        <v>116871</v>
      </c>
      <c r="C18" s="154">
        <f t="shared" si="0"/>
        <v>440</v>
      </c>
      <c r="D18" s="155">
        <v>17882442</v>
      </c>
      <c r="E18" s="154">
        <f t="shared" si="5"/>
        <v>4200</v>
      </c>
      <c r="F18" s="155">
        <v>32307402</v>
      </c>
      <c r="G18" s="154">
        <f t="shared" si="2"/>
        <v>6277</v>
      </c>
      <c r="H18" s="155">
        <v>14279026</v>
      </c>
      <c r="I18" s="60">
        <f t="shared" si="3"/>
        <v>2819</v>
      </c>
    </row>
    <row r="19" spans="1:9" ht="21" thickTop="1" thickBot="1" x14ac:dyDescent="0.35">
      <c r="A19" s="59">
        <f t="shared" si="4"/>
        <v>43804</v>
      </c>
      <c r="B19" s="153">
        <v>116915</v>
      </c>
      <c r="C19" s="154">
        <f t="shared" si="0"/>
        <v>450</v>
      </c>
      <c r="D19" s="155">
        <v>17886642</v>
      </c>
      <c r="E19" s="154">
        <f t="shared" si="5"/>
        <v>3869</v>
      </c>
      <c r="F19" s="155">
        <v>32313679</v>
      </c>
      <c r="G19" s="154">
        <f t="shared" si="2"/>
        <v>6022</v>
      </c>
      <c r="H19" s="155">
        <v>14281845</v>
      </c>
      <c r="I19" s="60">
        <f t="shared" si="3"/>
        <v>2813</v>
      </c>
    </row>
    <row r="20" spans="1:9" ht="21" thickTop="1" thickBot="1" x14ac:dyDescent="0.35">
      <c r="A20" s="59">
        <f t="shared" si="4"/>
        <v>43805</v>
      </c>
      <c r="B20" s="153">
        <v>116960</v>
      </c>
      <c r="C20" s="154">
        <f t="shared" si="0"/>
        <v>370</v>
      </c>
      <c r="D20" s="155">
        <v>17890511</v>
      </c>
      <c r="E20" s="154">
        <f t="shared" si="5"/>
        <v>3891</v>
      </c>
      <c r="F20" s="155">
        <v>32319701</v>
      </c>
      <c r="G20" s="154">
        <f t="shared" si="2"/>
        <v>6732</v>
      </c>
      <c r="H20" s="155">
        <v>14284658</v>
      </c>
      <c r="I20" s="60">
        <f t="shared" si="3"/>
        <v>2829</v>
      </c>
    </row>
    <row r="21" spans="1:9" ht="21" thickTop="1" thickBot="1" x14ac:dyDescent="0.35">
      <c r="A21" s="59">
        <f t="shared" si="4"/>
        <v>43806</v>
      </c>
      <c r="B21" s="153">
        <v>116997</v>
      </c>
      <c r="C21" s="154">
        <f t="shared" si="0"/>
        <v>380</v>
      </c>
      <c r="D21" s="155">
        <v>17894402</v>
      </c>
      <c r="E21" s="154">
        <f t="shared" si="5"/>
        <v>3996</v>
      </c>
      <c r="F21" s="155">
        <v>32326433</v>
      </c>
      <c r="G21" s="154">
        <f t="shared" si="2"/>
        <v>6185</v>
      </c>
      <c r="H21" s="155">
        <v>14287487</v>
      </c>
      <c r="I21" s="60">
        <f t="shared" si="3"/>
        <v>2927</v>
      </c>
    </row>
    <row r="22" spans="1:9" ht="21" thickTop="1" thickBot="1" x14ac:dyDescent="0.35">
      <c r="A22" s="59">
        <f t="shared" si="4"/>
        <v>43807</v>
      </c>
      <c r="B22" s="153">
        <v>117035</v>
      </c>
      <c r="C22" s="154">
        <f t="shared" si="0"/>
        <v>380</v>
      </c>
      <c r="D22" s="155">
        <v>17898398</v>
      </c>
      <c r="E22" s="154">
        <f t="shared" si="5"/>
        <v>4022</v>
      </c>
      <c r="F22" s="155">
        <v>32332618</v>
      </c>
      <c r="G22" s="154">
        <f t="shared" si="2"/>
        <v>6025</v>
      </c>
      <c r="H22" s="155">
        <v>14290414</v>
      </c>
      <c r="I22" s="60">
        <f t="shared" si="3"/>
        <v>2838</v>
      </c>
    </row>
    <row r="23" spans="1:9" ht="21" thickTop="1" thickBot="1" x14ac:dyDescent="0.35">
      <c r="A23" s="59">
        <f t="shared" si="4"/>
        <v>43808</v>
      </c>
      <c r="B23" s="153">
        <v>117073</v>
      </c>
      <c r="C23" s="154">
        <f t="shared" si="0"/>
        <v>450</v>
      </c>
      <c r="D23" s="155">
        <v>17902420</v>
      </c>
      <c r="E23" s="154">
        <f t="shared" si="5"/>
        <v>4155</v>
      </c>
      <c r="F23" s="155">
        <v>32338643</v>
      </c>
      <c r="G23" s="154">
        <f t="shared" si="2"/>
        <v>6276</v>
      </c>
      <c r="H23" s="155">
        <v>14293252</v>
      </c>
      <c r="I23" s="60">
        <f t="shared" si="3"/>
        <v>3010</v>
      </c>
    </row>
    <row r="24" spans="1:9" ht="21" thickTop="1" thickBot="1" x14ac:dyDescent="0.35">
      <c r="A24" s="59">
        <f t="shared" si="4"/>
        <v>43809</v>
      </c>
      <c r="B24" s="153">
        <v>117118</v>
      </c>
      <c r="C24" s="154">
        <f t="shared" si="0"/>
        <v>400</v>
      </c>
      <c r="D24" s="155">
        <v>17906575</v>
      </c>
      <c r="E24" s="154">
        <f t="shared" si="5"/>
        <v>4166</v>
      </c>
      <c r="F24" s="155">
        <v>32344919</v>
      </c>
      <c r="G24" s="154">
        <f t="shared" si="2"/>
        <v>6425</v>
      </c>
      <c r="H24" s="155">
        <v>14296262</v>
      </c>
      <c r="I24" s="60">
        <f t="shared" si="3"/>
        <v>2953</v>
      </c>
    </row>
    <row r="25" spans="1:9" ht="21" thickTop="1" thickBot="1" x14ac:dyDescent="0.35">
      <c r="A25" s="59">
        <f t="shared" si="4"/>
        <v>43810</v>
      </c>
      <c r="B25" s="153">
        <v>117158</v>
      </c>
      <c r="C25" s="154">
        <f t="shared" si="0"/>
        <v>440</v>
      </c>
      <c r="D25" s="155">
        <v>17910741</v>
      </c>
      <c r="E25" s="154">
        <f t="shared" si="5"/>
        <v>4717</v>
      </c>
      <c r="F25" s="155">
        <v>32351344</v>
      </c>
      <c r="G25" s="154">
        <f t="shared" si="2"/>
        <v>6392</v>
      </c>
      <c r="H25" s="155">
        <v>14299215</v>
      </c>
      <c r="I25" s="60">
        <f t="shared" si="3"/>
        <v>3221</v>
      </c>
    </row>
    <row r="26" spans="1:9" ht="21" thickTop="1" thickBot="1" x14ac:dyDescent="0.35">
      <c r="A26" s="59">
        <f t="shared" si="4"/>
        <v>43811</v>
      </c>
      <c r="B26" s="153">
        <v>117202</v>
      </c>
      <c r="C26" s="154">
        <f t="shared" si="0"/>
        <v>470</v>
      </c>
      <c r="D26" s="155">
        <v>17915458</v>
      </c>
      <c r="E26" s="154">
        <f t="shared" si="5"/>
        <v>4350</v>
      </c>
      <c r="F26" s="155">
        <v>32357736</v>
      </c>
      <c r="G26" s="154">
        <f t="shared" si="2"/>
        <v>6907</v>
      </c>
      <c r="H26" s="155">
        <v>14302436</v>
      </c>
      <c r="I26" s="60">
        <f t="shared" si="3"/>
        <v>3242</v>
      </c>
    </row>
    <row r="27" spans="1:9" ht="21" thickTop="1" thickBot="1" x14ac:dyDescent="0.35">
      <c r="A27" s="59">
        <f t="shared" si="4"/>
        <v>43812</v>
      </c>
      <c r="B27" s="153">
        <v>117249</v>
      </c>
      <c r="C27" s="154">
        <f t="shared" si="0"/>
        <v>410</v>
      </c>
      <c r="D27" s="155">
        <v>17919808</v>
      </c>
      <c r="E27" s="154">
        <f t="shared" si="5"/>
        <v>4884</v>
      </c>
      <c r="F27" s="155">
        <v>32364643</v>
      </c>
      <c r="G27" s="154">
        <f t="shared" si="2"/>
        <v>6348</v>
      </c>
      <c r="H27" s="155">
        <v>14305678</v>
      </c>
      <c r="I27" s="60">
        <f t="shared" si="3"/>
        <v>3486</v>
      </c>
    </row>
    <row r="28" spans="1:9" ht="21" thickTop="1" thickBot="1" x14ac:dyDescent="0.35">
      <c r="A28" s="59">
        <f t="shared" si="4"/>
        <v>43813</v>
      </c>
      <c r="B28" s="153">
        <v>117290</v>
      </c>
      <c r="C28" s="154">
        <f t="shared" si="0"/>
        <v>490</v>
      </c>
      <c r="D28" s="155">
        <v>17924692</v>
      </c>
      <c r="E28" s="154">
        <f t="shared" si="5"/>
        <v>4095</v>
      </c>
      <c r="F28" s="155">
        <v>32370991</v>
      </c>
      <c r="G28" s="154">
        <f t="shared" si="2"/>
        <v>5927</v>
      </c>
      <c r="H28" s="155">
        <v>14309164</v>
      </c>
      <c r="I28" s="60">
        <f t="shared" si="3"/>
        <v>2954</v>
      </c>
    </row>
    <row r="29" spans="1:9" ht="21" thickTop="1" thickBot="1" x14ac:dyDescent="0.35">
      <c r="A29" s="59">
        <f t="shared" si="4"/>
        <v>43814</v>
      </c>
      <c r="B29" s="153">
        <v>117339</v>
      </c>
      <c r="C29" s="154">
        <f t="shared" si="0"/>
        <v>500</v>
      </c>
      <c r="D29" s="155">
        <v>17928787</v>
      </c>
      <c r="E29" s="154">
        <f t="shared" si="5"/>
        <v>3903</v>
      </c>
      <c r="F29" s="155">
        <v>32376918</v>
      </c>
      <c r="G29" s="154">
        <f t="shared" si="2"/>
        <v>6043</v>
      </c>
      <c r="H29" s="155">
        <v>14312118</v>
      </c>
      <c r="I29" s="60">
        <f t="shared" si="3"/>
        <v>2713</v>
      </c>
    </row>
    <row r="30" spans="1:9" ht="21" thickTop="1" thickBot="1" x14ac:dyDescent="0.35">
      <c r="A30" s="59">
        <f t="shared" si="4"/>
        <v>43815</v>
      </c>
      <c r="B30" s="153">
        <v>117389</v>
      </c>
      <c r="C30" s="154">
        <f t="shared" si="0"/>
        <v>400</v>
      </c>
      <c r="D30" s="155">
        <v>17932690</v>
      </c>
      <c r="E30" s="154">
        <f t="shared" si="5"/>
        <v>4579</v>
      </c>
      <c r="F30" s="155">
        <v>32382961</v>
      </c>
      <c r="G30" s="154">
        <f t="shared" si="2"/>
        <v>6190</v>
      </c>
      <c r="H30" s="155">
        <v>14314831</v>
      </c>
      <c r="I30" s="60">
        <f t="shared" si="3"/>
        <v>3137</v>
      </c>
    </row>
    <row r="31" spans="1:9" ht="21" thickTop="1" thickBot="1" x14ac:dyDescent="0.35">
      <c r="A31" s="59">
        <f>A30+1</f>
        <v>43816</v>
      </c>
      <c r="B31" s="153">
        <v>117429</v>
      </c>
      <c r="C31" s="154">
        <f t="shared" si="0"/>
        <v>420</v>
      </c>
      <c r="D31" s="155">
        <v>17937269</v>
      </c>
      <c r="E31" s="154">
        <f t="shared" si="5"/>
        <v>3071</v>
      </c>
      <c r="F31" s="155">
        <v>32389151</v>
      </c>
      <c r="G31" s="154">
        <f t="shared" si="2"/>
        <v>6411</v>
      </c>
      <c r="H31" s="155">
        <v>14317968</v>
      </c>
      <c r="I31" s="60">
        <f t="shared" si="3"/>
        <v>3087</v>
      </c>
    </row>
    <row r="32" spans="1:9" ht="21" thickTop="1" thickBot="1" x14ac:dyDescent="0.35">
      <c r="A32" s="59">
        <f t="shared" si="4"/>
        <v>43817</v>
      </c>
      <c r="B32" s="153">
        <v>117471</v>
      </c>
      <c r="C32" s="154">
        <f t="shared" si="0"/>
        <v>540</v>
      </c>
      <c r="D32" s="155">
        <v>17940340</v>
      </c>
      <c r="E32" s="154">
        <f t="shared" si="5"/>
        <v>4123</v>
      </c>
      <c r="F32" s="155">
        <v>32395562</v>
      </c>
      <c r="G32" s="154">
        <f t="shared" si="2"/>
        <v>6230</v>
      </c>
      <c r="H32" s="155">
        <v>14321055</v>
      </c>
      <c r="I32" s="60">
        <f t="shared" si="3"/>
        <v>2788</v>
      </c>
    </row>
    <row r="33" spans="1:9" ht="21" thickTop="1" thickBot="1" x14ac:dyDescent="0.35">
      <c r="A33" s="59">
        <f t="shared" si="4"/>
        <v>43818</v>
      </c>
      <c r="B33" s="153">
        <v>117525</v>
      </c>
      <c r="C33" s="154">
        <f t="shared" si="0"/>
        <v>400</v>
      </c>
      <c r="D33" s="155">
        <v>17944463</v>
      </c>
      <c r="E33" s="154">
        <f t="shared" si="5"/>
        <v>4185</v>
      </c>
      <c r="F33" s="155">
        <v>32401792</v>
      </c>
      <c r="G33" s="154">
        <f t="shared" si="2"/>
        <v>6102</v>
      </c>
      <c r="H33" s="155">
        <v>14323843</v>
      </c>
      <c r="I33" s="60">
        <f t="shared" si="3"/>
        <v>2900</v>
      </c>
    </row>
    <row r="34" spans="1:9" ht="21" thickTop="1" thickBot="1" x14ac:dyDescent="0.35">
      <c r="A34" s="59">
        <f t="shared" si="4"/>
        <v>43819</v>
      </c>
      <c r="B34" s="153">
        <v>117565</v>
      </c>
      <c r="C34" s="154">
        <f t="shared" si="0"/>
        <v>0</v>
      </c>
      <c r="D34" s="155">
        <v>17948648</v>
      </c>
      <c r="E34" s="154">
        <f t="shared" si="5"/>
        <v>0</v>
      </c>
      <c r="F34" s="155">
        <v>32407894</v>
      </c>
      <c r="G34" s="154">
        <f t="shared" si="2"/>
        <v>0</v>
      </c>
      <c r="H34" s="155">
        <v>14326743</v>
      </c>
      <c r="I34" s="60">
        <f t="shared" si="3"/>
        <v>0</v>
      </c>
    </row>
    <row r="35" spans="1:9" ht="21" thickTop="1" thickBot="1" x14ac:dyDescent="0.35">
      <c r="A35" s="59">
        <f t="shared" si="4"/>
        <v>43820</v>
      </c>
      <c r="B35" s="153"/>
      <c r="C35" s="154">
        <f t="shared" ref="C34:C47" si="6">IF(B36&lt;B35,0,B36-B35)*10</f>
        <v>0</v>
      </c>
      <c r="D35" s="155"/>
      <c r="E35" s="154">
        <f t="shared" ref="E34:E47" si="7">IF(D36&lt;D35,0,D36-D35)</f>
        <v>0</v>
      </c>
      <c r="F35" s="155"/>
      <c r="G35" s="154">
        <f t="shared" ref="G34:G47" si="8">IF(F36&lt;F35,0,F36-F35)</f>
        <v>0</v>
      </c>
      <c r="H35" s="155"/>
      <c r="I35" s="60">
        <f t="shared" si="3"/>
        <v>0</v>
      </c>
    </row>
    <row r="36" spans="1:9" ht="21" thickTop="1" thickBot="1" x14ac:dyDescent="0.35">
      <c r="A36" s="59">
        <f t="shared" si="4"/>
        <v>43821</v>
      </c>
      <c r="B36" s="153"/>
      <c r="C36" s="154">
        <f t="shared" si="6"/>
        <v>0</v>
      </c>
      <c r="D36" s="155"/>
      <c r="E36" s="154">
        <f t="shared" si="7"/>
        <v>0</v>
      </c>
      <c r="F36" s="155"/>
      <c r="G36" s="154">
        <f t="shared" si="8"/>
        <v>0</v>
      </c>
      <c r="H36" s="155"/>
      <c r="I36" s="60">
        <f t="shared" si="3"/>
        <v>0</v>
      </c>
    </row>
    <row r="37" spans="1:9" ht="21" thickTop="1" thickBot="1" x14ac:dyDescent="0.35">
      <c r="A37" s="59">
        <f t="shared" si="4"/>
        <v>43822</v>
      </c>
      <c r="B37" s="153"/>
      <c r="C37" s="154">
        <f t="shared" si="6"/>
        <v>0</v>
      </c>
      <c r="D37" s="155"/>
      <c r="E37" s="154">
        <f t="shared" si="7"/>
        <v>0</v>
      </c>
      <c r="F37" s="155"/>
      <c r="G37" s="154">
        <f t="shared" si="8"/>
        <v>0</v>
      </c>
      <c r="H37" s="155"/>
      <c r="I37" s="60">
        <f t="shared" si="3"/>
        <v>0</v>
      </c>
    </row>
    <row r="38" spans="1:9" ht="21" thickTop="1" thickBot="1" x14ac:dyDescent="0.35">
      <c r="A38" s="59">
        <f t="shared" si="4"/>
        <v>43823</v>
      </c>
      <c r="B38" s="153"/>
      <c r="C38" s="154">
        <f t="shared" si="6"/>
        <v>0</v>
      </c>
      <c r="D38" s="155"/>
      <c r="E38" s="154">
        <f t="shared" si="7"/>
        <v>0</v>
      </c>
      <c r="F38" s="155"/>
      <c r="G38" s="154">
        <f t="shared" si="8"/>
        <v>0</v>
      </c>
      <c r="H38" s="155"/>
      <c r="I38" s="60">
        <f t="shared" si="3"/>
        <v>0</v>
      </c>
    </row>
    <row r="39" spans="1:9" ht="21" thickTop="1" thickBot="1" x14ac:dyDescent="0.35">
      <c r="A39" s="59">
        <f t="shared" si="4"/>
        <v>43824</v>
      </c>
      <c r="B39" s="153"/>
      <c r="C39" s="154">
        <f t="shared" si="6"/>
        <v>0</v>
      </c>
      <c r="D39" s="155"/>
      <c r="E39" s="154">
        <f t="shared" si="7"/>
        <v>0</v>
      </c>
      <c r="F39" s="155"/>
      <c r="G39" s="154">
        <f t="shared" si="8"/>
        <v>0</v>
      </c>
      <c r="H39" s="155"/>
      <c r="I39" s="60">
        <f t="shared" si="3"/>
        <v>0</v>
      </c>
    </row>
    <row r="40" spans="1:9" ht="21" thickTop="1" thickBot="1" x14ac:dyDescent="0.35">
      <c r="A40" s="59">
        <f t="shared" si="4"/>
        <v>43825</v>
      </c>
      <c r="B40" s="153"/>
      <c r="C40" s="154">
        <f t="shared" si="6"/>
        <v>0</v>
      </c>
      <c r="D40" s="155"/>
      <c r="E40" s="154">
        <f t="shared" si="7"/>
        <v>0</v>
      </c>
      <c r="F40" s="155"/>
      <c r="G40" s="154">
        <f t="shared" si="8"/>
        <v>0</v>
      </c>
      <c r="H40" s="155"/>
      <c r="I40" s="60">
        <f t="shared" si="3"/>
        <v>0</v>
      </c>
    </row>
    <row r="41" spans="1:9" ht="21" thickTop="1" thickBot="1" x14ac:dyDescent="0.35">
      <c r="A41" s="59">
        <f t="shared" si="4"/>
        <v>43826</v>
      </c>
      <c r="B41" s="153"/>
      <c r="C41" s="154">
        <f t="shared" si="6"/>
        <v>0</v>
      </c>
      <c r="D41" s="155"/>
      <c r="E41" s="154">
        <f t="shared" si="7"/>
        <v>0</v>
      </c>
      <c r="F41" s="155"/>
      <c r="G41" s="154">
        <f t="shared" si="8"/>
        <v>0</v>
      </c>
      <c r="H41" s="155"/>
      <c r="I41" s="60">
        <f t="shared" si="3"/>
        <v>0</v>
      </c>
    </row>
    <row r="42" spans="1:9" ht="21" thickTop="1" thickBot="1" x14ac:dyDescent="0.35">
      <c r="A42" s="59">
        <f t="shared" si="4"/>
        <v>43827</v>
      </c>
      <c r="B42" s="153"/>
      <c r="C42" s="154">
        <f t="shared" si="6"/>
        <v>0</v>
      </c>
      <c r="D42" s="155"/>
      <c r="E42" s="154">
        <f t="shared" si="7"/>
        <v>0</v>
      </c>
      <c r="F42" s="155"/>
      <c r="G42" s="154">
        <f t="shared" si="8"/>
        <v>0</v>
      </c>
      <c r="H42" s="155"/>
      <c r="I42" s="60">
        <f t="shared" si="3"/>
        <v>0</v>
      </c>
    </row>
    <row r="43" spans="1:9" ht="21" thickTop="1" thickBot="1" x14ac:dyDescent="0.35">
      <c r="A43" s="59">
        <f t="shared" si="4"/>
        <v>43828</v>
      </c>
      <c r="B43" s="153"/>
      <c r="C43" s="154">
        <f t="shared" si="6"/>
        <v>0</v>
      </c>
      <c r="D43" s="155"/>
      <c r="E43" s="154">
        <f t="shared" si="7"/>
        <v>0</v>
      </c>
      <c r="F43" s="155"/>
      <c r="G43" s="154">
        <f t="shared" si="8"/>
        <v>0</v>
      </c>
      <c r="H43" s="155"/>
      <c r="I43" s="60">
        <f t="shared" si="3"/>
        <v>0</v>
      </c>
    </row>
    <row r="44" spans="1:9" ht="21" thickTop="1" thickBot="1" x14ac:dyDescent="0.35">
      <c r="A44" s="59">
        <f t="shared" si="4"/>
        <v>43829</v>
      </c>
      <c r="B44" s="153"/>
      <c r="C44" s="154">
        <f t="shared" si="6"/>
        <v>0</v>
      </c>
      <c r="D44" s="155"/>
      <c r="E44" s="154">
        <f t="shared" si="7"/>
        <v>0</v>
      </c>
      <c r="F44" s="155"/>
      <c r="G44" s="154">
        <f t="shared" si="8"/>
        <v>0</v>
      </c>
      <c r="H44" s="155"/>
      <c r="I44" s="60">
        <f t="shared" si="3"/>
        <v>0</v>
      </c>
    </row>
    <row r="45" spans="1:9" ht="21" thickTop="1" thickBot="1" x14ac:dyDescent="0.35">
      <c r="A45" s="59">
        <f t="shared" si="4"/>
        <v>43830</v>
      </c>
      <c r="B45" s="153"/>
      <c r="C45" s="154">
        <f t="shared" si="6"/>
        <v>0</v>
      </c>
      <c r="D45" s="155"/>
      <c r="E45" s="154">
        <f t="shared" si="7"/>
        <v>0</v>
      </c>
      <c r="F45" s="155"/>
      <c r="G45" s="154">
        <f t="shared" si="8"/>
        <v>0</v>
      </c>
      <c r="H45" s="155"/>
      <c r="I45" s="60">
        <f t="shared" si="3"/>
        <v>0</v>
      </c>
    </row>
    <row r="46" spans="1:9" ht="21" thickTop="1" thickBot="1" x14ac:dyDescent="0.35">
      <c r="A46" s="59">
        <f t="shared" si="4"/>
        <v>43831</v>
      </c>
      <c r="B46" s="153"/>
      <c r="C46" s="154">
        <f t="shared" si="6"/>
        <v>0</v>
      </c>
      <c r="D46" s="155"/>
      <c r="E46" s="154">
        <f t="shared" si="7"/>
        <v>0</v>
      </c>
      <c r="F46" s="155"/>
      <c r="G46" s="154">
        <f t="shared" si="8"/>
        <v>0</v>
      </c>
      <c r="H46" s="155"/>
      <c r="I46" s="60">
        <f t="shared" si="3"/>
        <v>0</v>
      </c>
    </row>
    <row r="47" spans="1:9" ht="21" thickTop="1" thickBot="1" x14ac:dyDescent="0.35">
      <c r="A47" s="59">
        <f t="shared" si="4"/>
        <v>43832</v>
      </c>
      <c r="B47" s="153"/>
      <c r="C47" s="154">
        <f t="shared" si="6"/>
        <v>0</v>
      </c>
      <c r="D47" s="155"/>
      <c r="E47" s="154">
        <f t="shared" si="7"/>
        <v>0</v>
      </c>
      <c r="F47" s="155"/>
      <c r="G47" s="154">
        <f t="shared" si="8"/>
        <v>0</v>
      </c>
      <c r="H47" s="155"/>
      <c r="I47" s="60">
        <f t="shared" si="3"/>
        <v>0</v>
      </c>
    </row>
    <row r="48" spans="1:9" ht="21.75" customHeight="1" thickTop="1" thickBot="1" x14ac:dyDescent="0.35">
      <c r="A48" s="62"/>
      <c r="C48" s="70">
        <f>SUM(C16:C45)</f>
        <v>7700</v>
      </c>
      <c r="E48" s="70">
        <f>SUM(E16:E45)</f>
        <v>74669</v>
      </c>
      <c r="F48" s="86"/>
      <c r="G48" s="70">
        <f>SUM(G16:G45)</f>
        <v>113500</v>
      </c>
      <c r="H48" s="86"/>
      <c r="I48" s="70">
        <f>SUM(I16:I45)</f>
        <v>53733</v>
      </c>
    </row>
    <row r="49" spans="1:8" ht="24" customHeight="1" thickTop="1" x14ac:dyDescent="0.3">
      <c r="A49" s="62"/>
      <c r="F49" s="86"/>
      <c r="G49" s="87"/>
      <c r="H49" s="86"/>
    </row>
    <row r="50" spans="1:8" ht="19.5" x14ac:dyDescent="0.2">
      <c r="A50" s="49"/>
      <c r="F50" s="86"/>
      <c r="G50" s="87"/>
      <c r="H50" s="86"/>
    </row>
    <row r="51" spans="1:8" ht="19.5" x14ac:dyDescent="0.2">
      <c r="A51" s="49"/>
      <c r="F51" s="86"/>
      <c r="G51" s="87"/>
      <c r="H51" s="86"/>
    </row>
    <row r="52" spans="1:8" ht="19.5" x14ac:dyDescent="0.2">
      <c r="F52" s="86"/>
      <c r="G52" s="87"/>
      <c r="H52" s="86"/>
    </row>
    <row r="53" spans="1:8" ht="19.5" x14ac:dyDescent="0.2">
      <c r="F53" s="86"/>
      <c r="G53" s="87"/>
      <c r="H53" s="86"/>
    </row>
    <row r="54" spans="1:8" ht="19.5" x14ac:dyDescent="0.2">
      <c r="F54" s="86"/>
      <c r="G54" s="87"/>
      <c r="H54" s="86"/>
    </row>
    <row r="55" spans="1:8" ht="19.5" x14ac:dyDescent="0.2">
      <c r="F55" s="86"/>
      <c r="G55" s="87"/>
      <c r="H55" s="86"/>
    </row>
    <row r="56" spans="1:8" ht="19.5" x14ac:dyDescent="0.2">
      <c r="F56" s="86"/>
      <c r="G56" s="87"/>
      <c r="H56" s="86"/>
    </row>
    <row r="57" spans="1:8" ht="19.5" x14ac:dyDescent="0.2">
      <c r="F57" s="86"/>
      <c r="G57" s="87"/>
      <c r="H57" s="86"/>
    </row>
    <row r="58" spans="1:8" ht="19.5" x14ac:dyDescent="0.2">
      <c r="F58" s="86"/>
      <c r="G58" s="87">
        <f>IF(F59&lt;F58,0,F59-F58)</f>
        <v>0</v>
      </c>
      <c r="H58" s="86"/>
    </row>
    <row r="59" spans="1:8" x14ac:dyDescent="0.2">
      <c r="F59" s="86"/>
      <c r="G59" s="86"/>
      <c r="H59" s="86"/>
    </row>
    <row r="60" spans="1:8" x14ac:dyDescent="0.2">
      <c r="F60" s="86"/>
      <c r="G60" s="86"/>
      <c r="H60" s="86"/>
    </row>
    <row r="61" spans="1:8" x14ac:dyDescent="0.2">
      <c r="F61" s="86"/>
      <c r="G61" s="86"/>
      <c r="H61" s="86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55" priority="2826" stopIfTrue="1" operator="lessThanOrEqual">
      <formula>0</formula>
    </cfRule>
  </conditionalFormatting>
  <conditionalFormatting sqref="C48 E48 G48 I48">
    <cfRule type="cellIs" dxfId="54" priority="2821" stopIfTrue="1" operator="lessThanOrEqual">
      <formula>0</formula>
    </cfRule>
  </conditionalFormatting>
  <conditionalFormatting sqref="C48 E48 G48 I48">
    <cfRule type="cellIs" dxfId="53" priority="2816" stopIfTrue="1" operator="lessThanOrEqual">
      <formula>0</formula>
    </cfRule>
  </conditionalFormatting>
  <conditionalFormatting sqref="C48 E48 G48 I48">
    <cfRule type="cellIs" dxfId="52" priority="2813" stopIfTrue="1" operator="lessThanOrEqual">
      <formula>0</formula>
    </cfRule>
  </conditionalFormatting>
  <conditionalFormatting sqref="C35:C47">
    <cfRule type="cellIs" dxfId="51" priority="56" stopIfTrue="1" operator="lessThanOrEqual">
      <formula>0</formula>
    </cfRule>
  </conditionalFormatting>
  <conditionalFormatting sqref="C35:C47">
    <cfRule type="cellIs" dxfId="50" priority="55" stopIfTrue="1" operator="lessThanOrEqual">
      <formula>0</formula>
    </cfRule>
  </conditionalFormatting>
  <conditionalFormatting sqref="C35:C47">
    <cfRule type="cellIs" dxfId="49" priority="54" stopIfTrue="1" operator="lessThanOrEqual">
      <formula>0</formula>
    </cfRule>
  </conditionalFormatting>
  <conditionalFormatting sqref="C35:C47">
    <cfRule type="cellIs" dxfId="48" priority="53" stopIfTrue="1" operator="lessThanOrEqual">
      <formula>0</formula>
    </cfRule>
  </conditionalFormatting>
  <conditionalFormatting sqref="C9:C10">
    <cfRule type="cellIs" dxfId="47" priority="52" stopIfTrue="1" operator="lessThanOrEqual">
      <formula>0</formula>
    </cfRule>
  </conditionalFormatting>
  <conditionalFormatting sqref="C9:C10">
    <cfRule type="cellIs" dxfId="46" priority="51" stopIfTrue="1" operator="lessThanOrEqual">
      <formula>0</formula>
    </cfRule>
  </conditionalFormatting>
  <conditionalFormatting sqref="C9:C10">
    <cfRule type="cellIs" dxfId="45" priority="50" stopIfTrue="1" operator="lessThanOrEqual">
      <formula>0</formula>
    </cfRule>
  </conditionalFormatting>
  <conditionalFormatting sqref="C9:C10">
    <cfRule type="cellIs" dxfId="44" priority="49" stopIfTrue="1" operator="lessThanOrEqual">
      <formula>0</formula>
    </cfRule>
  </conditionalFormatting>
  <conditionalFormatting sqref="C11">
    <cfRule type="cellIs" dxfId="43" priority="48" stopIfTrue="1" operator="lessThanOrEqual">
      <formula>0</formula>
    </cfRule>
  </conditionalFormatting>
  <conditionalFormatting sqref="C11">
    <cfRule type="cellIs" dxfId="42" priority="47" stopIfTrue="1" operator="lessThanOrEqual">
      <formula>0</formula>
    </cfRule>
  </conditionalFormatting>
  <conditionalFormatting sqref="C11">
    <cfRule type="cellIs" dxfId="41" priority="46" stopIfTrue="1" operator="lessThanOrEqual">
      <formula>0</formula>
    </cfRule>
  </conditionalFormatting>
  <conditionalFormatting sqref="C11">
    <cfRule type="cellIs" dxfId="40" priority="45" stopIfTrue="1" operator="lessThanOrEqual">
      <formula>0</formula>
    </cfRule>
  </conditionalFormatting>
  <conditionalFormatting sqref="C12">
    <cfRule type="cellIs" dxfId="39" priority="40" stopIfTrue="1" operator="lessThanOrEqual">
      <formula>0</formula>
    </cfRule>
  </conditionalFormatting>
  <conditionalFormatting sqref="C12">
    <cfRule type="cellIs" dxfId="38" priority="39" stopIfTrue="1" operator="lessThanOrEqual">
      <formula>0</formula>
    </cfRule>
  </conditionalFormatting>
  <conditionalFormatting sqref="C12">
    <cfRule type="cellIs" dxfId="37" priority="38" stopIfTrue="1" operator="lessThanOrEqual">
      <formula>0</formula>
    </cfRule>
  </conditionalFormatting>
  <conditionalFormatting sqref="C12">
    <cfRule type="cellIs" dxfId="36" priority="37" stopIfTrue="1" operator="lessThanOrEqual">
      <formula>0</formula>
    </cfRule>
  </conditionalFormatting>
  <conditionalFormatting sqref="C13:C14">
    <cfRule type="cellIs" dxfId="35" priority="36" stopIfTrue="1" operator="lessThanOrEqual">
      <formula>0</formula>
    </cfRule>
  </conditionalFormatting>
  <conditionalFormatting sqref="C13:C14">
    <cfRule type="cellIs" dxfId="34" priority="35" stopIfTrue="1" operator="lessThanOrEqual">
      <formula>0</formula>
    </cfRule>
  </conditionalFormatting>
  <conditionalFormatting sqref="C13:C14">
    <cfRule type="cellIs" dxfId="33" priority="34" stopIfTrue="1" operator="lessThanOrEqual">
      <formula>0</formula>
    </cfRule>
  </conditionalFormatting>
  <conditionalFormatting sqref="C13:C14">
    <cfRule type="cellIs" dxfId="32" priority="33" stopIfTrue="1" operator="lessThanOrEqual">
      <formula>0</formula>
    </cfRule>
  </conditionalFormatting>
  <conditionalFormatting sqref="C15:C28">
    <cfRule type="cellIs" dxfId="31" priority="28" stopIfTrue="1" operator="lessThanOrEqual">
      <formula>0</formula>
    </cfRule>
  </conditionalFormatting>
  <conditionalFormatting sqref="C15:C28">
    <cfRule type="cellIs" dxfId="30" priority="27" stopIfTrue="1" operator="lessThanOrEqual">
      <formula>0</formula>
    </cfRule>
  </conditionalFormatting>
  <conditionalFormatting sqref="C15:C28">
    <cfRule type="cellIs" dxfId="29" priority="26" stopIfTrue="1" operator="lessThanOrEqual">
      <formula>0</formula>
    </cfRule>
  </conditionalFormatting>
  <conditionalFormatting sqref="C15:C28">
    <cfRule type="cellIs" dxfId="28" priority="25" stopIfTrue="1" operator="lessThanOrEqual">
      <formula>0</formula>
    </cfRule>
  </conditionalFormatting>
  <conditionalFormatting sqref="C29">
    <cfRule type="cellIs" dxfId="27" priority="24" stopIfTrue="1" operator="lessThanOrEqual">
      <formula>0</formula>
    </cfRule>
  </conditionalFormatting>
  <conditionalFormatting sqref="C29">
    <cfRule type="cellIs" dxfId="26" priority="23" stopIfTrue="1" operator="lessThanOrEqual">
      <formula>0</formula>
    </cfRule>
  </conditionalFormatting>
  <conditionalFormatting sqref="C29">
    <cfRule type="cellIs" dxfId="25" priority="22" stopIfTrue="1" operator="lessThanOrEqual">
      <formula>0</formula>
    </cfRule>
  </conditionalFormatting>
  <conditionalFormatting sqref="C29">
    <cfRule type="cellIs" dxfId="24" priority="21" stopIfTrue="1" operator="lessThanOrEqual">
      <formula>0</formula>
    </cfRule>
  </conditionalFormatting>
  <conditionalFormatting sqref="C30">
    <cfRule type="cellIs" dxfId="23" priority="20" stopIfTrue="1" operator="lessThanOrEqual">
      <formula>0</formula>
    </cfRule>
  </conditionalFormatting>
  <conditionalFormatting sqref="C30">
    <cfRule type="cellIs" dxfId="22" priority="19" stopIfTrue="1" operator="lessThanOrEqual">
      <formula>0</formula>
    </cfRule>
  </conditionalFormatting>
  <conditionalFormatting sqref="C30">
    <cfRule type="cellIs" dxfId="21" priority="18" stopIfTrue="1" operator="lessThanOrEqual">
      <formula>0</formula>
    </cfRule>
  </conditionalFormatting>
  <conditionalFormatting sqref="C30">
    <cfRule type="cellIs" dxfId="20" priority="17" stopIfTrue="1" operator="lessThanOrEqual">
      <formula>0</formula>
    </cfRule>
  </conditionalFormatting>
  <conditionalFormatting sqref="C31">
    <cfRule type="cellIs" dxfId="19" priority="16" stopIfTrue="1" operator="lessThanOrEqual">
      <formula>0</formula>
    </cfRule>
  </conditionalFormatting>
  <conditionalFormatting sqref="C31">
    <cfRule type="cellIs" dxfId="18" priority="15" stopIfTrue="1" operator="lessThanOrEqual">
      <formula>0</formula>
    </cfRule>
  </conditionalFormatting>
  <conditionalFormatting sqref="C31">
    <cfRule type="cellIs" dxfId="17" priority="14" stopIfTrue="1" operator="lessThanOrEqual">
      <formula>0</formula>
    </cfRule>
  </conditionalFormatting>
  <conditionalFormatting sqref="C31">
    <cfRule type="cellIs" dxfId="16" priority="13" stopIfTrue="1" operator="lessThanOrEqual">
      <formula>0</formula>
    </cfRule>
  </conditionalFormatting>
  <conditionalFormatting sqref="C32">
    <cfRule type="cellIs" dxfId="15" priority="12" stopIfTrue="1" operator="lessThanOrEqual">
      <formula>0</formula>
    </cfRule>
  </conditionalFormatting>
  <conditionalFormatting sqref="C32">
    <cfRule type="cellIs" dxfId="14" priority="11" stopIfTrue="1" operator="lessThanOrEqual">
      <formula>0</formula>
    </cfRule>
  </conditionalFormatting>
  <conditionalFormatting sqref="C32">
    <cfRule type="cellIs" dxfId="13" priority="10" stopIfTrue="1" operator="lessThanOrEqual">
      <formula>0</formula>
    </cfRule>
  </conditionalFormatting>
  <conditionalFormatting sqref="C32">
    <cfRule type="cellIs" dxfId="12" priority="9" stopIfTrue="1" operator="lessThanOrEqual">
      <formula>0</formula>
    </cfRule>
  </conditionalFormatting>
  <conditionalFormatting sqref="C33">
    <cfRule type="cellIs" dxfId="11" priority="8" stopIfTrue="1" operator="lessThanOrEqual">
      <formula>0</formula>
    </cfRule>
  </conditionalFormatting>
  <conditionalFormatting sqref="C33">
    <cfRule type="cellIs" dxfId="10" priority="7" stopIfTrue="1" operator="lessThanOrEqual">
      <formula>0</formula>
    </cfRule>
  </conditionalFormatting>
  <conditionalFormatting sqref="C33">
    <cfRule type="cellIs" dxfId="9" priority="6" stopIfTrue="1" operator="lessThanOrEqual">
      <formula>0</formula>
    </cfRule>
  </conditionalFormatting>
  <conditionalFormatting sqref="C33">
    <cfRule type="cellIs" dxfId="8" priority="5" stopIfTrue="1" operator="lessThanOrEqual">
      <formula>0</formula>
    </cfRule>
  </conditionalFormatting>
  <conditionalFormatting sqref="C34">
    <cfRule type="cellIs" dxfId="7" priority="4" stopIfTrue="1" operator="lessThanOrEqual">
      <formula>0</formula>
    </cfRule>
  </conditionalFormatting>
  <conditionalFormatting sqref="C34">
    <cfRule type="cellIs" dxfId="5" priority="3" stopIfTrue="1" operator="lessThanOrEqual">
      <formula>0</formula>
    </cfRule>
  </conditionalFormatting>
  <conditionalFormatting sqref="C34">
    <cfRule type="cellIs" dxfId="3" priority="2" stopIfTrue="1" operator="lessThanOrEqual">
      <formula>0</formula>
    </cfRule>
  </conditionalFormatting>
  <conditionalFormatting sqref="C34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2019-12-20T07:41:35Z</dcterms:modified>
</cp:coreProperties>
</file>