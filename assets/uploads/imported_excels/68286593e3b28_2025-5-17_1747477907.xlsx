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5\"/>
    </mc:Choice>
  </mc:AlternateContent>
  <xr:revisionPtr revIDLastSave="0" documentId="13_ncr:1_{0A95319C-92C0-4C62-AFA2-A254604B04D8}" xr6:coauthVersionLast="47" xr6:coauthVersionMax="47" xr10:uidLastSave="{00000000-0000-0000-0000-000000000000}"/>
  <bookViews>
    <workbookView xWindow="28680" yWindow="-120" windowWidth="29040" windowHeight="15720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5" i="1" l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8" i="1"/>
  <c r="AC9" i="1"/>
  <c r="AC10" i="1"/>
  <c r="AC11" i="1"/>
  <c r="AC12" i="1"/>
  <c r="AC13" i="1"/>
  <c r="AC14" i="1"/>
  <c r="AC7" i="1"/>
  <c r="U3" i="1" l="1"/>
  <c r="U4" i="1"/>
  <c r="U5" i="1"/>
  <c r="U6" i="1"/>
  <c r="U14" i="1"/>
  <c r="U15" i="1"/>
  <c r="U16" i="1"/>
  <c r="U17" i="1"/>
  <c r="U18" i="1"/>
  <c r="U19" i="1"/>
  <c r="U20" i="1"/>
  <c r="U21" i="1"/>
  <c r="U22" i="1"/>
  <c r="U23" i="1"/>
  <c r="U24" i="1"/>
  <c r="U25" i="1"/>
  <c r="U29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3" i="1"/>
  <c r="N2" i="1"/>
  <c r="C32" i="1" l="1"/>
  <c r="C31" i="1" l="1"/>
  <c r="C25" i="1"/>
  <c r="C26" i="1"/>
  <c r="C27" i="1"/>
  <c r="C28" i="1"/>
  <c r="C29" i="1"/>
  <c r="C30" i="1"/>
  <c r="C24" i="1" l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D28" i="1" l="1"/>
  <c r="D29" i="1"/>
  <c r="E28" i="1"/>
  <c r="E29" i="1"/>
  <c r="Y3" i="1"/>
  <c r="Y4" i="1"/>
  <c r="Y5" i="1"/>
  <c r="Y6" i="1"/>
  <c r="Y7" i="1"/>
  <c r="Y8" i="1"/>
  <c r="Y9" i="1"/>
  <c r="Y10" i="1"/>
  <c r="Z9" i="1" l="1"/>
  <c r="Z8" i="1"/>
  <c r="Z7" i="1"/>
  <c r="Z6" i="1"/>
  <c r="Z5" i="1"/>
  <c r="Z4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0" i="1"/>
  <c r="D31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AC2" i="1"/>
  <c r="L13" i="1" l="1"/>
  <c r="Y33" i="1" l="1"/>
  <c r="D33" i="1"/>
  <c r="E5" i="1" l="1"/>
  <c r="E6" i="1"/>
  <c r="E7" i="1"/>
  <c r="E8" i="1"/>
  <c r="E9" i="1"/>
  <c r="Y32" i="1" l="1"/>
  <c r="E30" i="1"/>
  <c r="E31" i="1"/>
  <c r="D32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AC3" i="1"/>
  <c r="I3" i="2" s="1"/>
  <c r="AC4" i="1"/>
  <c r="I4" i="2" s="1"/>
  <c r="AC5" i="1"/>
  <c r="I5" i="2" s="1"/>
  <c r="I6" i="2"/>
  <c r="I7" i="2"/>
  <c r="I8" i="2"/>
  <c r="I9" i="2"/>
  <c r="I10" i="2"/>
  <c r="I11" i="2"/>
  <c r="I12" i="2"/>
  <c r="R33" i="1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L26" i="1"/>
  <c r="L22" i="1"/>
  <c r="T14" i="1" l="1"/>
  <c r="T5" i="1"/>
  <c r="T31" i="1"/>
  <c r="U31" i="1" s="1"/>
  <c r="T8" i="1"/>
  <c r="U8" i="1" s="1"/>
  <c r="T7" i="1"/>
  <c r="U7" i="1" s="1"/>
  <c r="T4" i="1"/>
  <c r="T15" i="1"/>
  <c r="T13" i="1"/>
  <c r="U13" i="1" s="1"/>
  <c r="T12" i="1"/>
  <c r="U12" i="1" s="1"/>
  <c r="T11" i="1"/>
  <c r="U11" i="1" s="1"/>
  <c r="T10" i="1"/>
  <c r="U10" i="1" s="1"/>
  <c r="T9" i="1"/>
  <c r="U9" i="1" s="1"/>
  <c r="T6" i="1"/>
  <c r="T23" i="1"/>
  <c r="T16" i="1"/>
  <c r="T17" i="1"/>
  <c r="T22" i="1"/>
  <c r="T30" i="1"/>
  <c r="U30" i="1" s="1"/>
  <c r="T29" i="1"/>
  <c r="T28" i="1"/>
  <c r="U28" i="1" s="1"/>
  <c r="T21" i="1"/>
  <c r="T27" i="1"/>
  <c r="U27" i="1" s="1"/>
  <c r="T20" i="1"/>
  <c r="T26" i="1"/>
  <c r="U26" i="1" s="1"/>
  <c r="T19" i="1"/>
  <c r="T25" i="1"/>
  <c r="T18" i="1"/>
  <c r="T24" i="1"/>
  <c r="T3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Z26" i="1" s="1"/>
  <c r="Y28" i="1"/>
  <c r="Y29" i="1"/>
  <c r="Y30" i="1"/>
  <c r="Y31" i="1"/>
  <c r="K32" i="2"/>
  <c r="Y11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4" i="1"/>
  <c r="L5" i="1"/>
  <c r="L6" i="1"/>
  <c r="L7" i="1"/>
  <c r="L8" i="1"/>
  <c r="L9" i="1"/>
  <c r="L10" i="1"/>
  <c r="L11" i="1"/>
  <c r="L12" i="1"/>
  <c r="N12" i="1" s="1"/>
  <c r="L14" i="1"/>
  <c r="L15" i="1"/>
  <c r="L16" i="1"/>
  <c r="L17" i="1"/>
  <c r="L18" i="1"/>
  <c r="L19" i="1"/>
  <c r="L20" i="1"/>
  <c r="L21" i="1"/>
  <c r="L23" i="1"/>
  <c r="L24" i="1"/>
  <c r="L25" i="1"/>
  <c r="L27" i="1"/>
  <c r="L28" i="1"/>
  <c r="L29" i="1"/>
  <c r="L30" i="1"/>
  <c r="L31" i="1"/>
  <c r="N31" i="1" s="1"/>
  <c r="L32" i="1"/>
  <c r="L33" i="1"/>
  <c r="L3" i="1"/>
  <c r="L2" i="1"/>
  <c r="S34" i="1"/>
  <c r="N28" i="1" l="1"/>
  <c r="N29" i="1"/>
  <c r="N30" i="1"/>
  <c r="N27" i="1"/>
  <c r="N26" i="1"/>
  <c r="N9" i="1"/>
  <c r="G9" i="2" s="1"/>
  <c r="N6" i="1"/>
  <c r="N10" i="1"/>
  <c r="N11" i="1"/>
  <c r="N7" i="1"/>
  <c r="N8" i="1"/>
  <c r="N4" i="1"/>
  <c r="N5" i="1"/>
  <c r="Z16" i="1"/>
  <c r="K16" i="2" s="1"/>
  <c r="Z25" i="1"/>
  <c r="K25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Z10" i="1"/>
  <c r="K10" i="2" s="1"/>
  <c r="Z11" i="1"/>
  <c r="K11" i="2" s="1"/>
  <c r="Z19" i="1"/>
  <c r="K19" i="2" s="1"/>
  <c r="Z27" i="1"/>
  <c r="K27" i="2" s="1"/>
  <c r="Z2" i="1"/>
  <c r="K2" i="2" s="1"/>
  <c r="G13" i="2"/>
  <c r="G18" i="2"/>
  <c r="G17" i="2"/>
  <c r="G26" i="2"/>
  <c r="G25" i="2"/>
  <c r="G12" i="2"/>
  <c r="K9" i="2"/>
  <c r="G2" i="2"/>
  <c r="K14" i="2"/>
  <c r="K5" i="2"/>
  <c r="K6" i="2"/>
  <c r="G3" i="2"/>
  <c r="K4" i="2"/>
  <c r="K3" i="2"/>
  <c r="Z31" i="1"/>
  <c r="K31" i="2" s="1"/>
  <c r="K26" i="2"/>
  <c r="K24" i="2"/>
  <c r="K20" i="2"/>
  <c r="K13" i="2"/>
  <c r="K12" i="2"/>
  <c r="K8" i="2"/>
  <c r="K7" i="2"/>
  <c r="T34" i="1"/>
  <c r="G21" i="2" l="1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M32" i="2"/>
  <c r="H3" i="1"/>
  <c r="M3" i="2" s="1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<sst xmlns="http://schemas.openxmlformats.org/spreadsheetml/2006/main" count="79" uniqueCount="39">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</sst>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3" borderId="5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3" fontId="2" fillId="0" borderId="12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 wrapText="1"/>
    </xf>
    <xf numFmtId="1" fontId="7" fillId="0" borderId="14" xfId="0" applyNumberFormat="1" applyFont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3" fontId="2" fillId="2" borderId="20" xfId="0" applyNumberFormat="1" applyFont="1" applyFill="1" applyBorder="1" applyAlignment="1">
      <alignment horizontal="center"/>
    </xf>
    <xf numFmtId="1" fontId="5" fillId="0" borderId="21" xfId="0" applyNumberFormat="1" applyFont="1" applyBorder="1" applyAlignment="1">
      <alignment horizontal="center"/>
    </xf>
    <xf numFmtId="3" fontId="2" fillId="2" borderId="20" xfId="0" applyNumberFormat="1" applyFont="1" applyFill="1" applyBorder="1" applyAlignment="1">
      <alignment horizontal="center" vertical="center" wrapText="1"/>
    </xf>
    <xf numFmtId="3" fontId="2" fillId="2" borderId="22" xfId="0" applyNumberFormat="1" applyFont="1" applyFill="1" applyBorder="1" applyAlignment="1">
      <alignment horizontal="center" vertical="center" wrapText="1"/>
    </xf>
    <xf numFmtId="1" fontId="3" fillId="0" borderId="21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1" fontId="21" fillId="4" borderId="23" xfId="0" applyNumberFormat="1" applyFont="1" applyFill="1" applyBorder="1" applyAlignment="1">
      <alignment horizontal="center" vertical="center" wrapText="1"/>
    </xf>
    <xf numFmtId="0" fontId="21" fillId="4" borderId="23" xfId="0" applyFont="1" applyFill="1" applyBorder="1" applyAlignment="1">
      <alignment horizontal="center" vertical="center" wrapText="1"/>
    </xf>
    <xf numFmtId="1" fontId="21" fillId="5" borderId="23" xfId="0" applyNumberFormat="1" applyFont="1" applyFill="1" applyBorder="1" applyAlignment="1">
      <alignment horizontal="center" vertical="center" wrapText="1"/>
    </xf>
    <xf numFmtId="165" fontId="21" fillId="5" borderId="23" xfId="0" applyNumberFormat="1" applyFont="1" applyFill="1" applyBorder="1" applyAlignment="1">
      <alignment horizontal="center" vertical="center" wrapText="1"/>
    </xf>
    <xf numFmtId="0" fontId="21" fillId="6" borderId="23" xfId="0" applyFont="1" applyFill="1" applyBorder="1" applyAlignment="1">
      <alignment horizontal="center" vertical="center" wrapText="1"/>
    </xf>
    <xf numFmtId="0" fontId="22" fillId="7" borderId="23" xfId="0" applyFont="1" applyFill="1" applyBorder="1" applyAlignment="1">
      <alignment horizontal="center" vertical="center" wrapText="1"/>
    </xf>
    <xf numFmtId="0" fontId="21" fillId="8" borderId="23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23" xfId="0" applyNumberFormat="1" applyFont="1" applyFill="1" applyBorder="1" applyAlignment="1">
      <alignment horizontal="center" vertical="center" wrapText="1"/>
    </xf>
    <xf numFmtId="166" fontId="24" fillId="9" borderId="23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4" xfId="0" applyNumberFormat="1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3" fontId="2" fillId="2" borderId="25" xfId="0" applyNumberFormat="1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2" fillId="2" borderId="25" xfId="0" applyNumberFormat="1" applyFont="1" applyFill="1" applyBorder="1" applyAlignment="1">
      <alignment horizontal="center" vertical="center" wrapText="1"/>
    </xf>
    <xf numFmtId="3" fontId="2" fillId="2" borderId="26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" fontId="7" fillId="0" borderId="27" xfId="0" applyNumberFormat="1" applyFont="1" applyBorder="1" applyAlignment="1">
      <alignment horizontal="center" vertical="center"/>
    </xf>
    <xf numFmtId="1" fontId="7" fillId="0" borderId="28" xfId="0" applyNumberFormat="1" applyFont="1" applyBorder="1" applyAlignment="1">
      <alignment horizontal="center" vertical="center"/>
    </xf>
    <xf numFmtId="1" fontId="5" fillId="0" borderId="29" xfId="0" applyNumberFormat="1" applyFont="1" applyBorder="1" applyAlignment="1">
      <alignment horizontal="center"/>
    </xf>
    <xf numFmtId="9" fontId="4" fillId="0" borderId="29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1" fontId="3" fillId="0" borderId="29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" fontId="7" fillId="0" borderId="31" xfId="0" applyNumberFormat="1" applyFont="1" applyBorder="1" applyAlignment="1">
      <alignment horizontal="center" vertical="center"/>
    </xf>
    <xf numFmtId="1" fontId="7" fillId="0" borderId="32" xfId="0" applyNumberFormat="1" applyFont="1" applyBorder="1" applyAlignment="1">
      <alignment horizontal="center" vertical="center"/>
    </xf>
    <xf numFmtId="1" fontId="7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/>
    </xf>
    <xf numFmtId="9" fontId="4" fillId="0" borderId="34" xfId="0" applyNumberFormat="1" applyFont="1" applyBorder="1" applyAlignment="1">
      <alignment horizontal="center" vertical="center"/>
    </xf>
    <xf numFmtId="9" fontId="4" fillId="0" borderId="21" xfId="0" applyNumberFormat="1" applyFont="1" applyBorder="1" applyAlignment="1">
      <alignment horizontal="center" vertical="center"/>
    </xf>
    <xf numFmtId="1" fontId="4" fillId="3" borderId="21" xfId="0" applyNumberFormat="1" applyFont="1" applyFill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/>
    </xf>
    <xf numFmtId="1" fontId="3" fillId="0" borderId="34" xfId="0" applyNumberFormat="1" applyFont="1" applyBorder="1" applyAlignment="1">
      <alignment horizontal="center" vertical="center"/>
    </xf>
    <xf numFmtId="1" fontId="3" fillId="0" borderId="32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9" fontId="4" fillId="0" borderId="36" xfId="0" applyNumberFormat="1" applyFont="1" applyBorder="1" applyAlignment="1">
      <alignment horizontal="center" vertical="center"/>
    </xf>
    <xf numFmtId="9" fontId="4" fillId="0" borderId="37" xfId="0" applyNumberFormat="1" applyFont="1" applyBorder="1" applyAlignment="1">
      <alignment horizontal="center" vertical="center"/>
    </xf>
    <xf numFmtId="1" fontId="4" fillId="3" borderId="37" xfId="0" applyNumberFormat="1" applyFont="1" applyFill="1" applyBorder="1" applyAlignment="1">
      <alignment horizontal="center" vertical="center"/>
    </xf>
    <xf numFmtId="1" fontId="4" fillId="0" borderId="37" xfId="0" applyNumberFormat="1" applyFont="1" applyBorder="1" applyAlignment="1">
      <alignment horizontal="center"/>
    </xf>
    <xf numFmtId="3" fontId="2" fillId="2" borderId="19" xfId="0" applyNumberFormat="1" applyFont="1" applyFill="1" applyBorder="1" applyAlignment="1">
      <alignment horizontal="center" vertical="center" wrapText="1"/>
    </xf>
    <xf numFmtId="3" fontId="2" fillId="2" borderId="38" xfId="0" applyNumberFormat="1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3" fontId="10" fillId="2" borderId="41" xfId="0" applyNumberFormat="1" applyFont="1" applyFill="1" applyBorder="1" applyAlignment="1">
      <alignment horizontal="center" vertical="center" textRotation="90" wrapText="1"/>
    </xf>
    <xf numFmtId="1" fontId="12" fillId="0" borderId="42" xfId="0" applyNumberFormat="1" applyFont="1" applyBorder="1" applyAlignment="1">
      <alignment horizontal="center" vertical="center" wrapText="1"/>
    </xf>
    <xf numFmtId="1" fontId="12" fillId="0" borderId="43" xfId="0" applyNumberFormat="1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8" fillId="3" borderId="43" xfId="0" applyFont="1" applyFill="1" applyBorder="1" applyAlignment="1">
      <alignment horizontal="center" vertical="center" wrapText="1"/>
    </xf>
    <xf numFmtId="1" fontId="13" fillId="0" borderId="43" xfId="0" applyNumberFormat="1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workbookViewId="0">
      <selection activeCell="A12" sqref="A12:XFD12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59" customWidth="1"/>
    <col min="6" max="6" width="12.5703125" style="71" customWidth="1"/>
    <col min="7" max="7" width="8.85546875" style="61"/>
    <col min="8" max="8" width="8.85546875" style="67"/>
    <col min="9" max="9" width="8.85546875" style="63" customWidth="1"/>
    <col min="10" max="10" width="8.85546875" style="76"/>
    <col min="11" max="12" width="8.85546875" style="69"/>
    <col min="13" max="14" width="12.28515625" style="79" bestFit="1" customWidth="1"/>
    <col min="15" max="15" width="8.85546875" style="70"/>
    <col min="16" max="16" width="11.5703125" style="70" customWidth="1"/>
    <col min="17" max="16384" width="8.85546875" style="4"/>
  </cols>
  <sheetData>
    <row r="1" spans="1:16" ht="75.75" thickBot="1" x14ac:dyDescent="0.25">
      <c r="A1" s="50" t="s">
        <v>22</v>
      </c>
      <c r="B1" s="50" t="s">
        <v>23</v>
      </c>
      <c r="C1" s="50" t="s">
        <v>24</v>
      </c>
      <c r="D1" s="50" t="s">
        <v>25</v>
      </c>
      <c r="E1" s="51" t="s">
        <v>26</v>
      </c>
      <c r="F1" s="52" t="s">
        <v>27</v>
      </c>
      <c r="G1" s="53" t="s">
        <v>28</v>
      </c>
      <c r="H1" s="54" t="s">
        <v>38</v>
      </c>
      <c r="I1" s="72" t="s">
        <v>36</v>
      </c>
      <c r="J1" s="73" t="s">
        <v>37</v>
      </c>
      <c r="K1" s="55" t="s">
        <v>29</v>
      </c>
      <c r="L1" s="55" t="s">
        <v>30</v>
      </c>
      <c r="M1" s="56" t="s">
        <v>31</v>
      </c>
      <c r="N1" s="56" t="s">
        <v>32</v>
      </c>
      <c r="O1" s="57" t="s">
        <v>0</v>
      </c>
      <c r="P1" s="57" t="s">
        <v>33</v>
      </c>
    </row>
    <row r="2" spans="1:16" ht="15.75" thickTop="1" x14ac:dyDescent="0.25">
      <c r="A2" s="58" t="s">
        <v>34</v>
      </c>
      <c r="B2" s="4">
        <v>1</v>
      </c>
      <c r="C2" s="4">
        <v>9</v>
      </c>
      <c r="D2" s="3">
        <v>2024</v>
      </c>
      <c r="E2" s="59">
        <f>Anassa!D3-Anassa!D2</f>
        <v>5118.2999999988824</v>
      </c>
      <c r="F2" s="60">
        <f>0.2563</f>
        <v>0.25629999999999997</v>
      </c>
      <c r="G2" s="61">
        <f>Anassa!N2</f>
        <v>175</v>
      </c>
      <c r="H2" s="62">
        <v>0.626</v>
      </c>
      <c r="I2" s="74">
        <f>Anassa!AC2*5.04</f>
        <v>0</v>
      </c>
      <c r="J2" s="75">
        <v>8.2900000000000001E-2</v>
      </c>
      <c r="K2" s="63">
        <f>Anassa!Z2</f>
        <v>8</v>
      </c>
      <c r="L2" s="64">
        <v>1.25</v>
      </c>
      <c r="M2" s="77">
        <f>Anassa!H2</f>
        <v>976</v>
      </c>
      <c r="N2" s="78">
        <v>0.88</v>
      </c>
      <c r="O2" s="65">
        <f>Anassa!AD2</f>
        <v>0</v>
      </c>
      <c r="P2" s="65">
        <f>Anassa!AE2</f>
        <v>0</v>
      </c>
    </row>
    <row r="3" spans="1:16" ht="15" x14ac:dyDescent="0.25">
      <c r="A3" s="58" t="s">
        <v>34</v>
      </c>
      <c r="B3" s="4">
        <f>B2+1</f>
        <v>2</v>
      </c>
      <c r="C3" s="4">
        <v>9</v>
      </c>
      <c r="D3" s="3">
        <v>2024</v>
      </c>
      <c r="E3" s="59">
        <f>Anassa!D4-Anassa!D3</f>
        <v>7762.0999999996275</v>
      </c>
      <c r="F3" s="60">
        <f t="shared" ref="F3:F32" si="0">0.2563</f>
        <v>0.25629999999999997</v>
      </c>
      <c r="G3" s="61">
        <f>Anassa!N3</f>
        <v>75.000000000000909</v>
      </c>
      <c r="H3" s="62">
        <v>0.626</v>
      </c>
      <c r="I3" s="74">
        <f>Anassa!AC3*5.04</f>
        <v>0</v>
      </c>
      <c r="J3" s="75">
        <v>8.2900000000000001E-2</v>
      </c>
      <c r="K3" s="63">
        <f>Anassa!Z3</f>
        <v>23</v>
      </c>
      <c r="L3" s="64">
        <v>1.25</v>
      </c>
      <c r="M3" s="77">
        <f>Anassa!H3</f>
        <v>826</v>
      </c>
      <c r="N3" s="78">
        <v>0.88</v>
      </c>
      <c r="O3" s="65">
        <f>Anassa!AD3</f>
        <v>0</v>
      </c>
      <c r="P3" s="65">
        <f>Anassa!AE3</f>
        <v>0</v>
      </c>
    </row>
    <row r="4" spans="1:16" ht="15" x14ac:dyDescent="0.25">
      <c r="A4" s="58" t="s">
        <v>34</v>
      </c>
      <c r="B4" s="4">
        <f t="shared" ref="B4:B32" si="1">B3+1</f>
        <v>3</v>
      </c>
      <c r="C4" s="4">
        <v>9</v>
      </c>
      <c r="D4" s="3">
        <v>2024</v>
      </c>
      <c r="E4" s="59">
        <f>Anassa!D5-Anassa!D4</f>
        <v>8858.8000000007451</v>
      </c>
      <c r="F4" s="60">
        <f t="shared" si="0"/>
        <v>0.25629999999999997</v>
      </c>
      <c r="G4" s="61">
        <f>Anassa!N4</f>
        <v>235.33999999999833</v>
      </c>
      <c r="H4" s="62">
        <v>0.626</v>
      </c>
      <c r="I4" s="74">
        <f>Anassa!AC4*5.04</f>
        <v>0</v>
      </c>
      <c r="J4" s="75">
        <v>8.2900000000000001E-2</v>
      </c>
      <c r="K4" s="63">
        <f>Anassa!Z4</f>
        <v>52</v>
      </c>
      <c r="L4" s="64">
        <v>1.25</v>
      </c>
      <c r="M4" s="77">
        <f>Anassa!H4</f>
        <v>339</v>
      </c>
      <c r="N4" s="78">
        <v>0.88</v>
      </c>
      <c r="O4" s="65">
        <f>Anassa!AD4</f>
        <v>24</v>
      </c>
      <c r="P4" s="65">
        <f>Anassa!AE4</f>
        <v>35</v>
      </c>
    </row>
    <row r="5" spans="1:16" ht="15" x14ac:dyDescent="0.25">
      <c r="A5" s="58" t="s">
        <v>34</v>
      </c>
      <c r="B5" s="4">
        <f t="shared" si="1"/>
        <v>4</v>
      </c>
      <c r="C5" s="4">
        <v>9</v>
      </c>
      <c r="D5" s="3">
        <v>2024</v>
      </c>
      <c r="E5" s="59">
        <f>Anassa!D6-Anassa!D5</f>
        <v>8628.0999999996275</v>
      </c>
      <c r="F5" s="60">
        <f t="shared" si="0"/>
        <v>0.25629999999999997</v>
      </c>
      <c r="G5" s="61">
        <f>Anassa!N5</f>
        <v>200</v>
      </c>
      <c r="H5" s="62">
        <v>0.626</v>
      </c>
      <c r="I5" s="74">
        <f>Anassa!AC5*5.04</f>
        <v>0</v>
      </c>
      <c r="J5" s="75">
        <v>8.2900000000000001E-2</v>
      </c>
      <c r="K5" s="63">
        <f>Anassa!Z5</f>
        <v>115</v>
      </c>
      <c r="L5" s="64">
        <v>1.25</v>
      </c>
      <c r="M5" s="77">
        <f>Anassa!H5</f>
        <v>651</v>
      </c>
      <c r="N5" s="78">
        <v>0.88</v>
      </c>
      <c r="O5" s="65">
        <f>Anassa!AD5</f>
        <v>32</v>
      </c>
      <c r="P5" s="65">
        <f>Anassa!AE5</f>
        <v>58</v>
      </c>
    </row>
    <row r="6" spans="1:16" ht="15" x14ac:dyDescent="0.25">
      <c r="A6" s="58" t="s">
        <v>34</v>
      </c>
      <c r="B6" s="4">
        <f t="shared" si="1"/>
        <v>5</v>
      </c>
      <c r="C6" s="4">
        <v>9</v>
      </c>
      <c r="D6" s="3">
        <v>2024</v>
      </c>
      <c r="E6" s="59">
        <f>Anassa!D7-Anassa!D6</f>
        <v>9453.0999999996275</v>
      </c>
      <c r="F6" s="60">
        <f t="shared" si="0"/>
        <v>0.25629999999999997</v>
      </c>
      <c r="G6" s="61">
        <f>Anassa!N6</f>
        <v>175.00000000000091</v>
      </c>
      <c r="H6" s="62">
        <v>0.626</v>
      </c>
      <c r="I6" s="74">
        <f>Anassa!AC6*5.04</f>
        <v>0</v>
      </c>
      <c r="J6" s="75">
        <v>8.2900000000000001E-2</v>
      </c>
      <c r="K6" s="63">
        <f>Anassa!Z6</f>
        <v>81</v>
      </c>
      <c r="L6" s="64">
        <v>1.25</v>
      </c>
      <c r="M6" s="77">
        <f>Anassa!H6</f>
        <v>397</v>
      </c>
      <c r="N6" s="78">
        <v>0.88</v>
      </c>
      <c r="O6" s="65">
        <f>Anassa!AD6</f>
        <v>52</v>
      </c>
      <c r="P6" s="65">
        <f>Anassa!AE6</f>
        <v>94</v>
      </c>
    </row>
    <row r="7" spans="1:16" ht="15" x14ac:dyDescent="0.25">
      <c r="A7" s="58" t="s">
        <v>34</v>
      </c>
      <c r="B7" s="4">
        <f t="shared" si="1"/>
        <v>6</v>
      </c>
      <c r="C7" s="4">
        <v>9</v>
      </c>
      <c r="D7" s="3">
        <v>2024</v>
      </c>
      <c r="E7" s="59">
        <f>Anassa!D8-Anassa!D7</f>
        <v>9093.9000000003725</v>
      </c>
      <c r="F7" s="60">
        <f t="shared" si="0"/>
        <v>0.25629999999999997</v>
      </c>
      <c r="G7" s="61">
        <f>Anassa!N7</f>
        <v>250</v>
      </c>
      <c r="H7" s="62">
        <v>0.626</v>
      </c>
      <c r="I7" s="74">
        <f>Anassa!AC7*5.04</f>
        <v>5178.6000000000004</v>
      </c>
      <c r="J7" s="75">
        <v>8.2900000000000001E-2</v>
      </c>
      <c r="K7" s="63">
        <f>Anassa!Z7</f>
        <v>97</v>
      </c>
      <c r="L7" s="64">
        <v>1.25</v>
      </c>
      <c r="M7" s="77">
        <f>Anassa!H7</f>
        <v>267</v>
      </c>
      <c r="N7" s="78">
        <v>0.88</v>
      </c>
      <c r="O7" s="65">
        <f>Anassa!AD7</f>
        <v>67</v>
      </c>
      <c r="P7" s="65">
        <f>Anassa!AE7</f>
        <v>102</v>
      </c>
    </row>
    <row r="8" spans="1:16" ht="15" x14ac:dyDescent="0.25">
      <c r="A8" s="58" t="s">
        <v>34</v>
      </c>
      <c r="B8" s="4">
        <f t="shared" si="1"/>
        <v>7</v>
      </c>
      <c r="C8" s="4">
        <v>9</v>
      </c>
      <c r="D8" s="3">
        <v>2024</v>
      </c>
      <c r="E8" s="59">
        <f>Anassa!D9-Anassa!D8</f>
        <v>9861.0999999996275</v>
      </c>
      <c r="F8" s="60">
        <f t="shared" si="0"/>
        <v>0.25629999999999997</v>
      </c>
      <c r="G8" s="61">
        <f>Anassa!N8</f>
        <v>125.00000000000091</v>
      </c>
      <c r="H8" s="62">
        <v>0.626</v>
      </c>
      <c r="I8" s="74">
        <f>Anassa!AC8*5.04</f>
        <v>5178.6000000000004</v>
      </c>
      <c r="J8" s="75">
        <v>8.2900000000000001E-2</v>
      </c>
      <c r="K8" s="63">
        <f>Anassa!Z8</f>
        <v>116</v>
      </c>
      <c r="L8" s="64">
        <v>1.25</v>
      </c>
      <c r="M8" s="77">
        <f>Anassa!H8</f>
        <v>268</v>
      </c>
      <c r="N8" s="78">
        <v>0.88</v>
      </c>
      <c r="O8" s="65">
        <f>Anassa!AD8</f>
        <v>119</v>
      </c>
      <c r="P8" s="65">
        <f>Anassa!AE8</f>
        <v>159</v>
      </c>
    </row>
    <row r="9" spans="1:16" ht="15" x14ac:dyDescent="0.25">
      <c r="A9" s="58" t="s">
        <v>34</v>
      </c>
      <c r="B9" s="4">
        <f t="shared" si="1"/>
        <v>8</v>
      </c>
      <c r="C9" s="4">
        <v>9</v>
      </c>
      <c r="D9" s="3">
        <v>2024</v>
      </c>
      <c r="E9" s="59">
        <f>Anassa!D10-Anassa!D9</f>
        <v>10113.10000000149</v>
      </c>
      <c r="F9" s="60">
        <f t="shared" si="0"/>
        <v>0.25629999999999997</v>
      </c>
      <c r="G9" s="61">
        <f>Anassa!N9</f>
        <v>174.99999999999909</v>
      </c>
      <c r="H9" s="62">
        <v>0.626</v>
      </c>
      <c r="I9" s="74">
        <f>Anassa!AC9*5.04</f>
        <v>5178.6000000000004</v>
      </c>
      <c r="J9" s="75">
        <v>8.2900000000000001E-2</v>
      </c>
      <c r="K9" s="63">
        <f>Anassa!Z9</f>
        <v>151</v>
      </c>
      <c r="L9" s="64">
        <v>1.25</v>
      </c>
      <c r="M9" s="77">
        <f>Anassa!H9</f>
        <v>406</v>
      </c>
      <c r="N9" s="78">
        <v>0.88</v>
      </c>
      <c r="O9" s="65">
        <f>Anassa!AD9</f>
        <v>152</v>
      </c>
      <c r="P9" s="65">
        <f>Anassa!AE9</f>
        <v>198</v>
      </c>
    </row>
    <row r="10" spans="1:16" ht="15" x14ac:dyDescent="0.25">
      <c r="A10" s="58" t="s">
        <v>34</v>
      </c>
      <c r="B10" s="4">
        <f t="shared" si="1"/>
        <v>9</v>
      </c>
      <c r="C10" s="4">
        <v>9</v>
      </c>
      <c r="D10" s="3">
        <v>2024</v>
      </c>
      <c r="E10" s="59">
        <f>Anassa!D11-Anassa!D10</f>
        <v>9013.6999999992549</v>
      </c>
      <c r="F10" s="60">
        <f t="shared" si="0"/>
        <v>0.25629999999999997</v>
      </c>
      <c r="G10" s="61">
        <f>Anassa!N10</f>
        <v>249.99999999999909</v>
      </c>
      <c r="H10" s="62">
        <v>0.626</v>
      </c>
      <c r="I10" s="74">
        <f>Anassa!AC10*5.04</f>
        <v>9846.1440000000021</v>
      </c>
      <c r="J10" s="75">
        <v>8.2900000000000001E-2</v>
      </c>
      <c r="K10" s="63">
        <f>Anassa!Z10</f>
        <v>164</v>
      </c>
      <c r="L10" s="64">
        <v>1.25</v>
      </c>
      <c r="M10" s="77">
        <f>Anassa!H10</f>
        <v>136</v>
      </c>
      <c r="N10" s="78">
        <v>0.88</v>
      </c>
      <c r="O10" s="65">
        <f>Anassa!AD10</f>
        <v>153</v>
      </c>
      <c r="P10" s="65">
        <f>Anassa!AE10</f>
        <v>207</v>
      </c>
    </row>
    <row r="11" spans="1:16" ht="15" x14ac:dyDescent="0.25">
      <c r="A11" s="58" t="s">
        <v>34</v>
      </c>
      <c r="B11" s="4">
        <f t="shared" si="1"/>
        <v>10</v>
      </c>
      <c r="C11" s="4">
        <v>9</v>
      </c>
      <c r="D11" s="3">
        <v>2024</v>
      </c>
      <c r="E11" s="59">
        <f>Anassa!D12-Anassa!D11</f>
        <v>8572</v>
      </c>
      <c r="F11" s="60">
        <f t="shared" si="0"/>
        <v>0.25629999999999997</v>
      </c>
      <c r="G11" s="61">
        <f>Anassa!N11</f>
        <v>156.70000000000073</v>
      </c>
      <c r="H11" s="62">
        <v>0.626</v>
      </c>
      <c r="I11" s="74">
        <f>Anassa!AC11*5.04</f>
        <v>9846.1439999999966</v>
      </c>
      <c r="J11" s="75">
        <v>8.2900000000000001E-2</v>
      </c>
      <c r="K11" s="63">
        <f>Anassa!Z11</f>
        <v>111</v>
      </c>
      <c r="L11" s="64">
        <v>1.25</v>
      </c>
      <c r="M11" s="77">
        <f>Anassa!H11</f>
        <v>685</v>
      </c>
      <c r="N11" s="78">
        <v>0.88</v>
      </c>
      <c r="O11" s="65">
        <f>Anassa!AD11</f>
        <v>64</v>
      </c>
      <c r="P11" s="65">
        <f>Anassa!AE11</f>
        <v>120</v>
      </c>
    </row>
    <row r="12" spans="1:16" ht="15" x14ac:dyDescent="0.25">
      <c r="A12" s="58" t="s">
        <v>34</v>
      </c>
      <c r="B12" s="4">
        <f t="shared" si="1"/>
        <v>11</v>
      </c>
      <c r="C12" s="4">
        <v>9</v>
      </c>
      <c r="D12" s="3">
        <v>2024</v>
      </c>
      <c r="E12" s="59">
        <f>Anassa!D13-Anassa!D12</f>
        <v>8426.3000000007451</v>
      </c>
      <c r="F12" s="60">
        <f t="shared" si="0"/>
        <v>0.25629999999999997</v>
      </c>
      <c r="G12" s="61">
        <f>Anassa!N12</f>
        <v>324.99999999999909</v>
      </c>
      <c r="H12" s="62">
        <v>0.626</v>
      </c>
      <c r="I12" s="74">
        <f>Anassa!AC12*5.04</f>
        <v>9846.1440000000021</v>
      </c>
      <c r="J12" s="75">
        <v>8.2900000000000001E-2</v>
      </c>
      <c r="K12" s="63">
        <f>Anassa!Z12</f>
        <v>111</v>
      </c>
      <c r="L12" s="64">
        <v>1.25</v>
      </c>
      <c r="M12" s="77">
        <f>Anassa!H12</f>
        <v>554</v>
      </c>
      <c r="N12" s="78">
        <v>0.88</v>
      </c>
      <c r="O12" s="65">
        <f>Anassa!AD12</f>
        <v>83</v>
      </c>
      <c r="P12" s="65">
        <f>Anassa!AE12</f>
        <v>159</v>
      </c>
    </row>
    <row r="13" spans="1:16" ht="15" x14ac:dyDescent="0.25">
      <c r="A13" s="58" t="s">
        <v>34</v>
      </c>
      <c r="B13" s="4">
        <f t="shared" si="1"/>
        <v>12</v>
      </c>
      <c r="C13" s="4">
        <v>9</v>
      </c>
      <c r="D13" s="3">
        <v>2024</v>
      </c>
      <c r="E13" s="59">
        <f>Anassa!D14-Anassa!D13</f>
        <v>8186.8999999985099</v>
      </c>
      <c r="F13" s="60">
        <f t="shared" si="0"/>
        <v>0.25629999999999997</v>
      </c>
      <c r="G13" s="61">
        <f>Anassa!N13</f>
        <v>375.00000000000091</v>
      </c>
      <c r="H13" s="62">
        <v>0.626</v>
      </c>
      <c r="I13" s="74">
        <f>Anassa!AC13*5.04</f>
        <v>9846.1439999999966</v>
      </c>
      <c r="J13" s="75">
        <v>8.2900000000000001E-2</v>
      </c>
      <c r="K13" s="63">
        <f>Anassa!Z13</f>
        <v>22</v>
      </c>
      <c r="L13" s="64">
        <v>1.25</v>
      </c>
      <c r="M13" s="77">
        <f>Anassa!H13</f>
        <v>278</v>
      </c>
      <c r="N13" s="78">
        <v>0.88</v>
      </c>
      <c r="O13" s="65">
        <f>Anassa!AD13</f>
        <v>99</v>
      </c>
      <c r="P13" s="65">
        <f>Anassa!AE13</f>
        <v>198</v>
      </c>
    </row>
    <row r="14" spans="1:16" ht="15" x14ac:dyDescent="0.25">
      <c r="A14" s="58" t="s">
        <v>34</v>
      </c>
      <c r="B14" s="4">
        <f t="shared" si="1"/>
        <v>13</v>
      </c>
      <c r="C14" s="4">
        <v>9</v>
      </c>
      <c r="D14" s="3">
        <v>2024</v>
      </c>
      <c r="E14" s="59">
        <f>Anassa!D15-Anassa!D14</f>
        <v>8617.6000000014901</v>
      </c>
      <c r="F14" s="60">
        <f t="shared" si="0"/>
        <v>0.25629999999999997</v>
      </c>
      <c r="G14" s="61">
        <f>Anassa!N14</f>
        <v>125</v>
      </c>
      <c r="H14" s="62">
        <v>0.626</v>
      </c>
      <c r="I14" s="74">
        <f>Anassa!AC14*5.04</f>
        <v>9846.1440000000021</v>
      </c>
      <c r="J14" s="75">
        <v>8.2900000000000001E-2</v>
      </c>
      <c r="K14" s="63">
        <f>Anassa!Z14</f>
        <v>102</v>
      </c>
      <c r="L14" s="64">
        <v>1.25</v>
      </c>
      <c r="M14" s="77">
        <f>Anassa!H14</f>
        <v>1401</v>
      </c>
      <c r="N14" s="78">
        <v>0.88</v>
      </c>
      <c r="O14" s="65">
        <f>Anassa!AD14</f>
        <v>100</v>
      </c>
      <c r="P14" s="65">
        <f>Anassa!AE14</f>
        <v>203</v>
      </c>
    </row>
    <row r="15" spans="1:16" ht="15" x14ac:dyDescent="0.25">
      <c r="A15" s="58" t="s">
        <v>34</v>
      </c>
      <c r="B15" s="4">
        <f t="shared" si="1"/>
        <v>14</v>
      </c>
      <c r="C15" s="4">
        <v>9</v>
      </c>
      <c r="D15" s="3">
        <v>2024</v>
      </c>
      <c r="E15" s="59">
        <f>Anassa!D16-Anassa!D15</f>
        <v>8519.1999999992549</v>
      </c>
      <c r="F15" s="60">
        <f t="shared" si="0"/>
        <v>0.25629999999999997</v>
      </c>
      <c r="G15" s="61">
        <f>Anassa!N15</f>
        <v>250.00000000000091</v>
      </c>
      <c r="H15" s="62">
        <v>0.626</v>
      </c>
      <c r="I15" s="74">
        <f>Anassa!AC15*5.04</f>
        <v>4106.0880000000034</v>
      </c>
      <c r="J15" s="75">
        <v>8.2900000000000001E-2</v>
      </c>
      <c r="K15" s="63">
        <f>Anassa!Z15</f>
        <v>120</v>
      </c>
      <c r="L15" s="64">
        <v>1.25</v>
      </c>
      <c r="M15" s="77">
        <f>Anassa!H15</f>
        <v>987</v>
      </c>
      <c r="N15" s="78">
        <v>0.88</v>
      </c>
      <c r="O15" s="65">
        <f>Anassa!AD15</f>
        <v>98</v>
      </c>
      <c r="P15" s="65">
        <f>Anassa!AE15</f>
        <v>214</v>
      </c>
    </row>
    <row r="16" spans="1:16" ht="15" x14ac:dyDescent="0.25">
      <c r="A16" s="58" t="s">
        <v>34</v>
      </c>
      <c r="B16" s="4">
        <f t="shared" si="1"/>
        <v>15</v>
      </c>
      <c r="C16" s="4">
        <v>9</v>
      </c>
      <c r="D16" s="3">
        <v>2024</v>
      </c>
      <c r="E16" s="59">
        <f>Anassa!D17-Anassa!D16</f>
        <v>9181.4000000003725</v>
      </c>
      <c r="F16" s="60">
        <f t="shared" si="0"/>
        <v>0.25629999999999997</v>
      </c>
      <c r="G16" s="61">
        <f>Anassa!N16</f>
        <v>49.999999999999091</v>
      </c>
      <c r="H16" s="62">
        <v>0.626</v>
      </c>
      <c r="I16" s="74">
        <f>Anassa!AC16*5.04</f>
        <v>4106.0879999999943</v>
      </c>
      <c r="J16" s="75">
        <v>8.2900000000000001E-2</v>
      </c>
      <c r="K16" s="63">
        <f>Anassa!Z16</f>
        <v>148</v>
      </c>
      <c r="L16" s="64">
        <v>1.25</v>
      </c>
      <c r="M16" s="77">
        <f>Anassa!H16</f>
        <v>423</v>
      </c>
      <c r="N16" s="78">
        <v>1.25</v>
      </c>
      <c r="O16" s="65">
        <f>Anassa!AD16</f>
        <v>107</v>
      </c>
      <c r="P16" s="65">
        <f>Anassa!AE16</f>
        <v>238</v>
      </c>
    </row>
    <row r="17" spans="1:16" ht="15" x14ac:dyDescent="0.25">
      <c r="A17" s="58" t="s">
        <v>34</v>
      </c>
      <c r="B17" s="4">
        <f t="shared" si="1"/>
        <v>16</v>
      </c>
      <c r="C17" s="4">
        <v>9</v>
      </c>
      <c r="D17" s="3">
        <v>2024</v>
      </c>
      <c r="E17" s="59">
        <f>Anassa!D18-Anassa!D17</f>
        <v>9251.0999999996275</v>
      </c>
      <c r="F17" s="60">
        <f t="shared" si="0"/>
        <v>0.25629999999999997</v>
      </c>
      <c r="G17" s="61">
        <f>Anassa!N17</f>
        <v>75.000000000000909</v>
      </c>
      <c r="H17" s="62">
        <v>0.626</v>
      </c>
      <c r="I17" s="74">
        <f>Anassa!AC17*5.04</f>
        <v>4106.0880000000034</v>
      </c>
      <c r="J17" s="75">
        <v>8.2900000000000001E-2</v>
      </c>
      <c r="K17" s="63">
        <f>Anassa!Z17</f>
        <v>133</v>
      </c>
      <c r="L17" s="64">
        <v>1.25</v>
      </c>
      <c r="M17" s="77">
        <f>Anassa!H17</f>
        <v>704</v>
      </c>
      <c r="N17" s="78">
        <v>0.88</v>
      </c>
      <c r="O17" s="65">
        <f>Anassa!AD17</f>
        <v>130</v>
      </c>
      <c r="P17" s="65">
        <f>Anassa!AE17</f>
        <v>291</v>
      </c>
    </row>
    <row r="18" spans="1:16" ht="15" x14ac:dyDescent="0.25">
      <c r="A18" s="58" t="s">
        <v>34</v>
      </c>
      <c r="B18" s="4">
        <f t="shared" si="1"/>
        <v>17</v>
      </c>
      <c r="C18" s="4">
        <v>9</v>
      </c>
      <c r="D18" s="3">
        <v>2024</v>
      </c>
      <c r="E18" s="59">
        <f>Anassa!D19-Anassa!D18</f>
        <v>9402.8000000007451</v>
      </c>
      <c r="F18" s="60">
        <f t="shared" si="0"/>
        <v>0.25629999999999997</v>
      </c>
      <c r="G18" s="61">
        <f>Anassa!N18</f>
        <v>574.31999999999789</v>
      </c>
      <c r="H18" s="62">
        <v>0.626</v>
      </c>
      <c r="I18" s="74">
        <f>Anassa!AC18*5.04</f>
        <v>4106.0879999999988</v>
      </c>
      <c r="J18" s="75">
        <v>8.2900000000000001E-2</v>
      </c>
      <c r="K18" s="63">
        <f>Anassa!Z18</f>
        <v>168</v>
      </c>
      <c r="L18" s="64">
        <v>1.25</v>
      </c>
      <c r="M18" s="77">
        <f>Anassa!H18</f>
        <v>1121</v>
      </c>
      <c r="N18" s="78">
        <v>0.88</v>
      </c>
      <c r="O18" s="65">
        <f>Anassa!AD18</f>
        <v>147</v>
      </c>
      <c r="P18" s="65">
        <f>Anassa!AE18</f>
        <v>318</v>
      </c>
    </row>
    <row r="19" spans="1:16" ht="15" x14ac:dyDescent="0.25">
      <c r="A19" s="58" t="s">
        <v>34</v>
      </c>
      <c r="B19" s="4">
        <f t="shared" si="1"/>
        <v>18</v>
      </c>
      <c r="C19" s="4">
        <v>9</v>
      </c>
      <c r="D19" s="3">
        <v>2024</v>
      </c>
      <c r="E19" s="59">
        <f>Anassa!D20-Anassa!D19</f>
        <v>10314.299999998882</v>
      </c>
      <c r="F19" s="60">
        <f t="shared" si="0"/>
        <v>0.25629999999999997</v>
      </c>
      <c r="G19" s="61">
        <f>Anassa!N19</f>
        <v>400.00000000000091</v>
      </c>
      <c r="H19" s="62">
        <v>0.626</v>
      </c>
      <c r="I19" s="74">
        <f>Anassa!AC19*5.04</f>
        <v>4106.0879999999988</v>
      </c>
      <c r="J19" s="75">
        <v>8.2900000000000001E-2</v>
      </c>
      <c r="K19" s="63">
        <f>Anassa!Z19</f>
        <v>148</v>
      </c>
      <c r="L19" s="64">
        <v>1.25</v>
      </c>
      <c r="M19" s="77">
        <f>Anassa!H19</f>
        <v>984</v>
      </c>
      <c r="N19" s="78">
        <v>0.88</v>
      </c>
      <c r="O19" s="65">
        <f>Anassa!AD19</f>
        <v>164</v>
      </c>
      <c r="P19" s="65">
        <f>Anassa!AE19</f>
        <v>366</v>
      </c>
    </row>
    <row r="20" spans="1:16" ht="15" x14ac:dyDescent="0.25">
      <c r="A20" s="58" t="s">
        <v>34</v>
      </c>
      <c r="B20" s="4">
        <f t="shared" si="1"/>
        <v>19</v>
      </c>
      <c r="C20" s="4">
        <v>9</v>
      </c>
      <c r="D20" s="3">
        <v>2024</v>
      </c>
      <c r="E20" s="59">
        <f>Anassa!D21-Anassa!D20</f>
        <v>9176</v>
      </c>
      <c r="F20" s="60">
        <f t="shared" si="0"/>
        <v>0.25629999999999997</v>
      </c>
      <c r="G20" s="61">
        <f>Anassa!N20</f>
        <v>225</v>
      </c>
      <c r="H20" s="62">
        <v>0.626</v>
      </c>
      <c r="I20" s="74">
        <f>Anassa!AC20*5.04</f>
        <v>4106.0879999999988</v>
      </c>
      <c r="J20" s="75">
        <v>8.2900000000000001E-2</v>
      </c>
      <c r="K20" s="63">
        <f>Anassa!Z20</f>
        <v>94</v>
      </c>
      <c r="L20" s="64">
        <v>1.25</v>
      </c>
      <c r="M20" s="77">
        <f>Anassa!H20</f>
        <v>1437</v>
      </c>
      <c r="N20" s="78">
        <v>0.88</v>
      </c>
      <c r="O20" s="65">
        <f>Anassa!AD20</f>
        <v>152</v>
      </c>
      <c r="P20" s="65">
        <f>Anassa!AE20</f>
        <v>336</v>
      </c>
    </row>
    <row r="21" spans="1:16" ht="15" x14ac:dyDescent="0.25">
      <c r="A21" s="58" t="s">
        <v>34</v>
      </c>
      <c r="B21" s="4">
        <f t="shared" si="1"/>
        <v>20</v>
      </c>
      <c r="C21" s="4">
        <v>9</v>
      </c>
      <c r="D21" s="3">
        <v>2024</v>
      </c>
      <c r="E21" s="59">
        <f>Anassa!D22-Anassa!D21</f>
        <v>9128.5</v>
      </c>
      <c r="F21" s="60">
        <f t="shared" si="0"/>
        <v>0.25629999999999997</v>
      </c>
      <c r="G21" s="61">
        <f>Anassa!N21</f>
        <v>0</v>
      </c>
      <c r="H21" s="62">
        <v>0.626</v>
      </c>
      <c r="I21" s="74">
        <f>Anassa!AC21*5.04</f>
        <v>4106.0879999999988</v>
      </c>
      <c r="J21" s="75">
        <v>8.2900000000000001E-2</v>
      </c>
      <c r="K21" s="63">
        <f>Anassa!Z21</f>
        <v>144</v>
      </c>
      <c r="L21" s="64">
        <v>1.25</v>
      </c>
      <c r="M21" s="77">
        <f>Anassa!H21</f>
        <v>1767</v>
      </c>
      <c r="N21" s="78">
        <v>0.88</v>
      </c>
      <c r="O21" s="65">
        <f>Anassa!AD21</f>
        <v>133</v>
      </c>
      <c r="P21" s="65">
        <f>Anassa!AE21</f>
        <v>300</v>
      </c>
    </row>
    <row r="22" spans="1:16" ht="15" x14ac:dyDescent="0.25">
      <c r="A22" s="58" t="s">
        <v>34</v>
      </c>
      <c r="B22" s="4">
        <f t="shared" si="1"/>
        <v>21</v>
      </c>
      <c r="C22" s="4">
        <v>9</v>
      </c>
      <c r="D22" s="3">
        <v>2024</v>
      </c>
      <c r="E22" s="59">
        <f>Anassa!D23-Anassa!D22</f>
        <v>9221.8000000007451</v>
      </c>
      <c r="F22" s="60">
        <f t="shared" si="0"/>
        <v>0.25629999999999997</v>
      </c>
      <c r="G22" s="61">
        <f>Anassa!N22</f>
        <v>125</v>
      </c>
      <c r="H22" s="62">
        <v>0.626</v>
      </c>
      <c r="I22" s="74">
        <f>Anassa!AC22*5.04</f>
        <v>4106.0880000000034</v>
      </c>
      <c r="J22" s="75">
        <v>8.2900000000000001E-2</v>
      </c>
      <c r="K22" s="63">
        <f>Anassa!Z22</f>
        <v>132</v>
      </c>
      <c r="L22" s="64">
        <v>1.25</v>
      </c>
      <c r="M22" s="77">
        <f>Anassa!H22</f>
        <v>1113</v>
      </c>
      <c r="N22" s="78">
        <v>0.88</v>
      </c>
      <c r="O22" s="65">
        <f>Anassa!AD22</f>
        <v>77</v>
      </c>
      <c r="P22" s="65">
        <f>Anassa!AE22</f>
        <v>174</v>
      </c>
    </row>
    <row r="23" spans="1:16" ht="15" x14ac:dyDescent="0.25">
      <c r="A23" s="58" t="s">
        <v>34</v>
      </c>
      <c r="B23" s="4">
        <f t="shared" si="1"/>
        <v>22</v>
      </c>
      <c r="C23" s="4">
        <v>9</v>
      </c>
      <c r="D23" s="3">
        <v>2024</v>
      </c>
      <c r="E23" s="59">
        <f>Anassa!D24-Anassa!D23</f>
        <v>13146</v>
      </c>
      <c r="F23" s="60">
        <f t="shared" si="0"/>
        <v>0.25629999999999997</v>
      </c>
      <c r="G23" s="61">
        <f>Anassa!N23</f>
        <v>375</v>
      </c>
      <c r="H23" s="62">
        <v>0.626</v>
      </c>
      <c r="I23" s="74">
        <f>Anassa!AC23*5.04</f>
        <v>4106.0879999999988</v>
      </c>
      <c r="J23" s="75">
        <v>8.2900000000000001E-2</v>
      </c>
      <c r="K23" s="63">
        <f>Anassa!Z23</f>
        <v>109</v>
      </c>
      <c r="L23" s="64">
        <v>1.25</v>
      </c>
      <c r="M23" s="77">
        <f>Anassa!H23</f>
        <v>979</v>
      </c>
      <c r="N23" s="78">
        <v>0.88</v>
      </c>
      <c r="O23" s="65">
        <f>Anassa!AD23</f>
        <v>66</v>
      </c>
      <c r="P23" s="65">
        <f>Anassa!AE23</f>
        <v>142</v>
      </c>
    </row>
    <row r="24" spans="1:16" ht="15" x14ac:dyDescent="0.25">
      <c r="A24" s="58" t="s">
        <v>34</v>
      </c>
      <c r="B24" s="4">
        <f t="shared" si="1"/>
        <v>23</v>
      </c>
      <c r="C24" s="4">
        <v>9</v>
      </c>
      <c r="D24" s="3">
        <v>2024</v>
      </c>
      <c r="E24" s="59">
        <f>Anassa!D25-Anassa!D24</f>
        <v>3754.4000000003725</v>
      </c>
      <c r="F24" s="60">
        <f t="shared" si="0"/>
        <v>0.25629999999999997</v>
      </c>
      <c r="G24" s="61">
        <f>Anassa!N24</f>
        <v>250</v>
      </c>
      <c r="H24" s="62">
        <v>0.626</v>
      </c>
      <c r="I24" s="74">
        <f>Anassa!AC24*5.04</f>
        <v>4106.0879999999988</v>
      </c>
      <c r="J24" s="75">
        <v>8.2900000000000001E-2</v>
      </c>
      <c r="K24" s="63">
        <f>Anassa!Z24</f>
        <v>32</v>
      </c>
      <c r="L24" s="64">
        <v>1.25</v>
      </c>
      <c r="M24" s="77">
        <f>Anassa!H24</f>
        <v>708</v>
      </c>
      <c r="N24" s="78">
        <v>0.88</v>
      </c>
      <c r="O24" s="65">
        <f>Anassa!AD24</f>
        <v>69</v>
      </c>
      <c r="P24" s="65">
        <f>Anassa!AE24</f>
        <v>137</v>
      </c>
    </row>
    <row r="25" spans="1:16" ht="15" x14ac:dyDescent="0.25">
      <c r="A25" s="58" t="s">
        <v>34</v>
      </c>
      <c r="B25" s="4">
        <f t="shared" si="1"/>
        <v>24</v>
      </c>
      <c r="C25" s="4">
        <v>9</v>
      </c>
      <c r="D25" s="3">
        <v>2024</v>
      </c>
      <c r="E25" s="59">
        <f>Anassa!D26-Anassa!D25</f>
        <v>9017.3999999985099</v>
      </c>
      <c r="F25" s="60">
        <f t="shared" si="0"/>
        <v>0.25629999999999997</v>
      </c>
      <c r="G25" s="61">
        <f>Anassa!N25</f>
        <v>212.88000000000011</v>
      </c>
      <c r="H25" s="62">
        <v>0.626</v>
      </c>
      <c r="I25" s="74">
        <f>Anassa!AC25*5.04</f>
        <v>3297.5963999999994</v>
      </c>
      <c r="J25" s="75">
        <v>8.2900000000000001E-2</v>
      </c>
      <c r="K25" s="63">
        <f>Anassa!Z25</f>
        <v>89</v>
      </c>
      <c r="L25" s="64">
        <v>1.25</v>
      </c>
      <c r="M25" s="77">
        <f>Anassa!H25</f>
        <v>423</v>
      </c>
      <c r="N25" s="78">
        <v>0.88</v>
      </c>
      <c r="O25" s="65">
        <f>Anassa!AD25</f>
        <v>71</v>
      </c>
      <c r="P25" s="65">
        <f>Anassa!AE25</f>
        <v>142</v>
      </c>
    </row>
    <row r="26" spans="1:16" ht="15" x14ac:dyDescent="0.25">
      <c r="A26" s="58" t="s">
        <v>34</v>
      </c>
      <c r="B26" s="4">
        <f>B25+1</f>
        <v>25</v>
      </c>
      <c r="C26" s="4">
        <v>9</v>
      </c>
      <c r="D26" s="3">
        <v>2024</v>
      </c>
      <c r="E26" s="59">
        <f>Anassa!D27-Anassa!D26</f>
        <v>8591.3000000007451</v>
      </c>
      <c r="F26" s="60">
        <f t="shared" si="0"/>
        <v>0.25629999999999997</v>
      </c>
      <c r="G26" s="61">
        <f>Anassa!N26</f>
        <v>250.00000000000091</v>
      </c>
      <c r="H26" s="62">
        <v>0.626</v>
      </c>
      <c r="I26" s="74">
        <f>Anassa!AC26*5.04</f>
        <v>3297.5963999999994</v>
      </c>
      <c r="J26" s="75">
        <v>8.2900000000000001E-2</v>
      </c>
      <c r="K26" s="63">
        <f>Anassa!Z26</f>
        <v>170</v>
      </c>
      <c r="L26" s="64">
        <v>1.25</v>
      </c>
      <c r="M26" s="77">
        <f>Anassa!H26</f>
        <v>564</v>
      </c>
      <c r="N26" s="78">
        <v>0.88</v>
      </c>
      <c r="O26" s="65">
        <f>Anassa!AD26</f>
        <v>70</v>
      </c>
      <c r="P26" s="65">
        <f>Anassa!AE26</f>
        <v>135</v>
      </c>
    </row>
    <row r="27" spans="1:16" ht="15" x14ac:dyDescent="0.25">
      <c r="A27" s="58" t="s">
        <v>34</v>
      </c>
      <c r="B27" s="4">
        <f t="shared" si="1"/>
        <v>26</v>
      </c>
      <c r="C27" s="4">
        <v>9</v>
      </c>
      <c r="D27" s="3">
        <v>2024</v>
      </c>
      <c r="E27" s="59">
        <f>Anassa!D28-Anassa!D27</f>
        <v>8290</v>
      </c>
      <c r="F27" s="60">
        <f t="shared" si="0"/>
        <v>0.25629999999999997</v>
      </c>
      <c r="G27" s="61">
        <f>Anassa!N27</f>
        <v>174.99999999999818</v>
      </c>
      <c r="H27" s="62">
        <v>0.626</v>
      </c>
      <c r="I27" s="74">
        <f>Anassa!AC27*5.04</f>
        <v>3297.5963999999994</v>
      </c>
      <c r="J27" s="75">
        <v>8.2900000000000001E-2</v>
      </c>
      <c r="K27" s="63">
        <f>Anassa!Z27</f>
        <v>72</v>
      </c>
      <c r="L27" s="64">
        <v>1.25</v>
      </c>
      <c r="M27" s="77">
        <f>Anassa!H27</f>
        <v>1124</v>
      </c>
      <c r="N27" s="78">
        <v>0.88</v>
      </c>
      <c r="O27" s="65">
        <f>Anassa!AD27</f>
        <v>65</v>
      </c>
      <c r="P27" s="65">
        <f>Anassa!AE27</f>
        <v>126</v>
      </c>
    </row>
    <row r="28" spans="1:16" ht="15" x14ac:dyDescent="0.25">
      <c r="A28" s="58" t="s">
        <v>34</v>
      </c>
      <c r="B28" s="4">
        <f t="shared" si="1"/>
        <v>27</v>
      </c>
      <c r="C28" s="4">
        <v>9</v>
      </c>
      <c r="D28" s="3">
        <v>2024</v>
      </c>
      <c r="E28" s="59">
        <f>Anassa!D29-Anassa!D28</f>
        <v>8083.8000000007451</v>
      </c>
      <c r="F28" s="60">
        <f t="shared" si="0"/>
        <v>0.25629999999999997</v>
      </c>
      <c r="G28" s="61">
        <f>Anassa!N28</f>
        <v>175.00000000000091</v>
      </c>
      <c r="H28" s="62">
        <v>0.626</v>
      </c>
      <c r="I28" s="74">
        <f>Anassa!AC28*5.04</f>
        <v>3297.596400000004</v>
      </c>
      <c r="J28" s="75">
        <v>8.2900000000000001E-2</v>
      </c>
      <c r="K28" s="63">
        <f>Anassa!Z28</f>
        <v>79</v>
      </c>
      <c r="L28" s="64">
        <v>1.25</v>
      </c>
      <c r="M28" s="77">
        <f>Anassa!H28</f>
        <v>837</v>
      </c>
      <c r="N28" s="78">
        <v>0.88</v>
      </c>
      <c r="O28" s="65">
        <f>Anassa!AD28</f>
        <v>37</v>
      </c>
      <c r="P28" s="65">
        <f>Anassa!AE28</f>
        <v>77</v>
      </c>
    </row>
    <row r="29" spans="1:16" ht="15" x14ac:dyDescent="0.25">
      <c r="A29" s="58" t="s">
        <v>34</v>
      </c>
      <c r="B29" s="4">
        <f t="shared" si="1"/>
        <v>28</v>
      </c>
      <c r="C29" s="4">
        <v>9</v>
      </c>
      <c r="D29" s="3">
        <v>2024</v>
      </c>
      <c r="E29" s="59">
        <f>Anassa!D30-Anassa!D29</f>
        <v>8218</v>
      </c>
      <c r="F29" s="60">
        <f t="shared" si="0"/>
        <v>0.25629999999999997</v>
      </c>
      <c r="G29" s="61">
        <f>Anassa!N29</f>
        <v>200</v>
      </c>
      <c r="H29" s="62">
        <v>0.626</v>
      </c>
      <c r="I29" s="74">
        <f>Anassa!AC29*5.04</f>
        <v>3297.5963999999994</v>
      </c>
      <c r="J29" s="75">
        <v>8.2900000000000001E-2</v>
      </c>
      <c r="K29" s="63">
        <f>Anassa!Z29</f>
        <v>92</v>
      </c>
      <c r="L29" s="64">
        <v>1.25</v>
      </c>
      <c r="M29" s="77">
        <f>Anassa!H29</f>
        <v>828</v>
      </c>
      <c r="N29" s="78">
        <v>0.88</v>
      </c>
      <c r="O29" s="65">
        <f>Anassa!AD29</f>
        <v>38</v>
      </c>
      <c r="P29" s="65">
        <f>Anassa!AE29</f>
        <v>76</v>
      </c>
    </row>
    <row r="30" spans="1:16" ht="15" x14ac:dyDescent="0.25">
      <c r="A30" s="58" t="s">
        <v>34</v>
      </c>
      <c r="B30" s="4">
        <f t="shared" si="1"/>
        <v>29</v>
      </c>
      <c r="C30" s="4">
        <v>9</v>
      </c>
      <c r="D30" s="3">
        <v>2024</v>
      </c>
      <c r="E30" s="59">
        <f>Anassa!D31-Anassa!D30</f>
        <v>7953.1999999992549</v>
      </c>
      <c r="F30" s="60">
        <f t="shared" si="0"/>
        <v>0.25629999999999997</v>
      </c>
      <c r="G30" s="61">
        <f>Anassa!N30</f>
        <v>125</v>
      </c>
      <c r="H30" s="62">
        <v>0.626</v>
      </c>
      <c r="I30" s="74">
        <f>Anassa!AC30*5.04</f>
        <v>3297.5963999999994</v>
      </c>
      <c r="J30" s="75">
        <v>8.2900000000000001E-2</v>
      </c>
      <c r="K30" s="63">
        <f>Anassa!Z30</f>
        <v>78</v>
      </c>
      <c r="L30" s="64">
        <v>1.25</v>
      </c>
      <c r="M30" s="77">
        <f>Anassa!H30</f>
        <v>682</v>
      </c>
      <c r="N30" s="78">
        <v>0.88</v>
      </c>
      <c r="O30" s="65">
        <f>Anassa!AD30</f>
        <v>43</v>
      </c>
      <c r="P30" s="65">
        <f>Anassa!AE30</f>
        <v>89</v>
      </c>
    </row>
    <row r="31" spans="1:16" ht="15" x14ac:dyDescent="0.25">
      <c r="A31" s="58" t="s">
        <v>34</v>
      </c>
      <c r="B31" s="4">
        <f t="shared" si="1"/>
        <v>30</v>
      </c>
      <c r="C31" s="4">
        <v>9</v>
      </c>
      <c r="D31" s="3">
        <v>2024</v>
      </c>
      <c r="E31" s="59">
        <f>Anassa!D32-Anassa!D31</f>
        <v>8952.5</v>
      </c>
      <c r="F31" s="60">
        <f t="shared" si="0"/>
        <v>0.25629999999999997</v>
      </c>
      <c r="G31" s="61">
        <f>Anassa!N31</f>
        <v>60.930000000000291</v>
      </c>
      <c r="H31" s="62">
        <v>0.626</v>
      </c>
      <c r="I31" s="74">
        <f>Anassa!AC31*5.04</f>
        <v>3297.6215999999999</v>
      </c>
      <c r="J31" s="75">
        <v>8.2900000000000001E-2</v>
      </c>
      <c r="K31" s="63">
        <f>Anassa!Z31</f>
        <v>98</v>
      </c>
      <c r="L31" s="64">
        <v>1.25</v>
      </c>
      <c r="M31" s="77">
        <f>Anassa!H31</f>
        <v>1194</v>
      </c>
      <c r="N31" s="78">
        <v>0.88</v>
      </c>
      <c r="O31" s="65">
        <f>Anassa!AD31</f>
        <v>49</v>
      </c>
      <c r="P31" s="65">
        <f>Anassa!AE31</f>
        <v>100</v>
      </c>
    </row>
    <row r="32" spans="1:16" ht="15" x14ac:dyDescent="0.25">
      <c r="A32" s="58" t="s">
        <v>34</v>
      </c>
      <c r="B32" s="4">
        <f t="shared" si="1"/>
        <v>31</v>
      </c>
      <c r="C32" s="4">
        <v>9</v>
      </c>
      <c r="D32" s="3">
        <v>2024</v>
      </c>
      <c r="E32" s="59">
        <f>Anassa!D33-Anassa!D32</f>
        <v>-14248442.5</v>
      </c>
      <c r="F32" s="60">
        <f t="shared" si="0"/>
        <v>0.25629999999999997</v>
      </c>
      <c r="G32" s="61">
        <f>Anassa!N32</f>
        <v>0</v>
      </c>
      <c r="H32" s="62">
        <v>0.626</v>
      </c>
      <c r="I32" s="74">
        <f>Anassa!AC32*5.04</f>
        <v>0</v>
      </c>
      <c r="J32" s="75">
        <v>8.2900000000000001E-2</v>
      </c>
      <c r="K32" s="63">
        <f>Anassa!Z32</f>
        <v>0</v>
      </c>
      <c r="L32" s="64">
        <v>1.25</v>
      </c>
      <c r="M32" s="77">
        <f>Anassa!H32</f>
        <v>0</v>
      </c>
      <c r="N32" s="78">
        <v>0.88</v>
      </c>
      <c r="O32" s="65">
        <f>Anassa!AD32</f>
        <v>0</v>
      </c>
      <c r="P32" s="65">
        <f>Anassa!AE32</f>
        <v>0</v>
      </c>
    </row>
    <row r="33" spans="4:16" x14ac:dyDescent="0.2">
      <c r="D33" s="66"/>
      <c r="E33" s="59" t="s">
        <v>35</v>
      </c>
      <c r="F33" s="60"/>
      <c r="I33" s="74"/>
      <c r="J33" s="75"/>
      <c r="K33" s="64"/>
      <c r="L33" s="64"/>
      <c r="O33" s="68"/>
      <c r="P33" s="68"/>
    </row>
    <row r="34" spans="4:16" x14ac:dyDescent="0.2">
      <c r="D34" s="66"/>
      <c r="F34" s="60"/>
      <c r="I34" s="74"/>
      <c r="J34" s="75"/>
      <c r="K34" s="64"/>
      <c r="L34" s="64"/>
      <c r="O34" s="68"/>
      <c r="P34" s="68"/>
    </row>
    <row r="35" spans="4:16" x14ac:dyDescent="0.2">
      <c r="D35" s="66"/>
      <c r="F35" s="60"/>
      <c r="I35" s="74"/>
      <c r="J35" s="75"/>
      <c r="K35" s="64"/>
      <c r="L35" s="64"/>
      <c r="O35" s="68"/>
      <c r="P35" s="68"/>
    </row>
    <row r="36" spans="4:16" x14ac:dyDescent="0.2">
      <c r="D36" s="66"/>
      <c r="F36" s="60"/>
      <c r="I36" s="74"/>
      <c r="J36" s="75"/>
      <c r="K36" s="64"/>
      <c r="L36" s="64"/>
      <c r="O36" s="68"/>
      <c r="P36" s="68"/>
    </row>
    <row r="37" spans="4:16" x14ac:dyDescent="0.2">
      <c r="D37" s="66"/>
      <c r="F37" s="60"/>
      <c r="I37" s="74"/>
      <c r="J37" s="75"/>
      <c r="K37" s="64"/>
      <c r="L37" s="64"/>
      <c r="O37" s="68"/>
      <c r="P37" s="68"/>
    </row>
    <row r="38" spans="4:16" x14ac:dyDescent="0.2">
      <c r="D38" s="66"/>
      <c r="F38" s="60"/>
      <c r="I38" s="74"/>
      <c r="J38" s="75"/>
      <c r="K38" s="64"/>
      <c r="L38" s="64"/>
      <c r="O38" s="68"/>
      <c r="P38" s="68"/>
    </row>
    <row r="39" spans="4:16" x14ac:dyDescent="0.2">
      <c r="D39" s="66"/>
      <c r="F39" s="60"/>
      <c r="I39" s="74"/>
      <c r="J39" s="75"/>
      <c r="K39" s="64"/>
      <c r="L39" s="64"/>
      <c r="O39" s="68"/>
      <c r="P39" s="68"/>
    </row>
    <row r="40" spans="4:16" x14ac:dyDescent="0.2">
      <c r="F40" s="60"/>
      <c r="I40" s="74"/>
      <c r="J40" s="75"/>
    </row>
    <row r="41" spans="4:16" x14ac:dyDescent="0.2">
      <c r="F41" s="60"/>
      <c r="I41" s="74"/>
      <c r="J41" s="75"/>
    </row>
    <row r="42" spans="4:16" x14ac:dyDescent="0.2">
      <c r="F42" s="60"/>
      <c r="I42" s="74"/>
      <c r="J42" s="75"/>
    </row>
    <row r="43" spans="4:16" x14ac:dyDescent="0.2">
      <c r="F43" s="60"/>
      <c r="I43" s="74"/>
      <c r="J43" s="75"/>
    </row>
    <row r="44" spans="4:16" x14ac:dyDescent="0.2">
      <c r="I44" s="74"/>
      <c r="J44" s="7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topLeftCell="B7" zoomScale="115" zoomScaleNormal="115" workbookViewId="0">
      <selection activeCell="AD36" sqref="AD36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4" width="9" style="4" bestFit="1" customWidth="1"/>
    <col min="5" max="5" width="10.7109375" style="8" bestFit="1" customWidth="1"/>
    <col min="6" max="6" width="6.7109375" style="3" customWidth="1"/>
    <col min="7" max="7" width="7.5703125" style="3" customWidth="1"/>
    <col min="8" max="8" width="6.5703125" style="8" bestFit="1" customWidth="1"/>
    <col min="9" max="11" width="4.7109375" customWidth="1"/>
    <col min="12" max="12" width="7.85546875" customWidth="1"/>
    <col min="13" max="13" width="7.85546875" style="3" customWidth="1"/>
    <col min="14" max="14" width="6.42578125" style="8" bestFit="1" customWidth="1"/>
    <col min="15" max="17" width="4.7109375" customWidth="1"/>
    <col min="18" max="18" width="7.85546875" customWidth="1"/>
    <col min="19" max="19" width="7.85546875" style="3" customWidth="1"/>
    <col min="20" max="20" width="5.7109375" style="8" bestFit="1" customWidth="1"/>
    <col min="21" max="21" width="6.140625" style="8" bestFit="1" customWidth="1"/>
    <col min="22" max="25" width="8.42578125" customWidth="1"/>
    <col min="26" max="26" width="8.140625" style="8" bestFit="1" customWidth="1"/>
    <col min="27" max="28" width="7.5703125" style="6" customWidth="1"/>
    <col min="29" max="29" width="8.42578125" style="8" bestFit="1" customWidth="1"/>
    <col min="30" max="30" width="6.42578125" customWidth="1"/>
    <col min="31" max="31" width="7" customWidth="1"/>
  </cols>
  <sheetData>
    <row r="1" spans="1:31" s="36" customFormat="1" ht="90.75" thickTop="1" x14ac:dyDescent="0.2">
      <c r="A1" s="44" t="s">
        <v>1</v>
      </c>
      <c r="B1" s="119" t="s">
        <v>19</v>
      </c>
      <c r="C1" s="120" t="s">
        <v>20</v>
      </c>
      <c r="D1" s="121" t="s">
        <v>12</v>
      </c>
      <c r="E1" s="122" t="s">
        <v>3</v>
      </c>
      <c r="F1" s="123" t="s">
        <v>2</v>
      </c>
      <c r="G1" s="124" t="s">
        <v>8</v>
      </c>
      <c r="H1" s="122" t="s">
        <v>3</v>
      </c>
      <c r="I1" s="125" t="s">
        <v>4</v>
      </c>
      <c r="J1" s="126" t="s">
        <v>5</v>
      </c>
      <c r="K1" s="126" t="s">
        <v>13</v>
      </c>
      <c r="L1" s="127" t="s">
        <v>9</v>
      </c>
      <c r="M1" s="128" t="s">
        <v>7</v>
      </c>
      <c r="N1" s="122" t="s">
        <v>3</v>
      </c>
      <c r="O1" s="125" t="s">
        <v>4</v>
      </c>
      <c r="P1" s="126" t="s">
        <v>5</v>
      </c>
      <c r="Q1" s="126" t="s">
        <v>13</v>
      </c>
      <c r="R1" s="127" t="s">
        <v>14</v>
      </c>
      <c r="S1" s="128" t="s">
        <v>7</v>
      </c>
      <c r="T1" s="122" t="s">
        <v>3</v>
      </c>
      <c r="U1" s="122" t="s">
        <v>21</v>
      </c>
      <c r="V1" s="129" t="s">
        <v>15</v>
      </c>
      <c r="W1" s="130" t="s">
        <v>16</v>
      </c>
      <c r="X1" s="130" t="s">
        <v>17</v>
      </c>
      <c r="Y1" s="131" t="s">
        <v>18</v>
      </c>
      <c r="Z1" s="122" t="s">
        <v>3</v>
      </c>
      <c r="AA1" s="132" t="s">
        <v>10</v>
      </c>
      <c r="AB1" s="133" t="s">
        <v>11</v>
      </c>
      <c r="AC1" s="122" t="s">
        <v>3</v>
      </c>
      <c r="AD1" s="134" t="s">
        <v>0</v>
      </c>
      <c r="AE1" s="135" t="s">
        <v>6</v>
      </c>
    </row>
    <row r="2" spans="1:31" x14ac:dyDescent="0.2">
      <c r="A2" s="11">
        <v>45748</v>
      </c>
      <c r="B2" s="81">
        <v>16568994</v>
      </c>
      <c r="C2" s="82">
        <f>SUM(4002.8+1706155.1+588864+9877.3+247030+26529)</f>
        <v>2582458.2000000002</v>
      </c>
      <c r="D2" s="42">
        <f>B2-C2</f>
        <v>13986535.800000001</v>
      </c>
      <c r="E2" s="85">
        <f t="shared" ref="E2:E31" si="0">B3-B2</f>
        <v>5448</v>
      </c>
      <c r="F2" s="12">
        <v>10135</v>
      </c>
      <c r="G2" s="84">
        <v>0</v>
      </c>
      <c r="H2" s="85">
        <f>F2+G2-F3</f>
        <v>976</v>
      </c>
      <c r="I2" s="9">
        <v>0.75</v>
      </c>
      <c r="J2" s="15">
        <v>0.75</v>
      </c>
      <c r="K2" s="15">
        <v>0.65</v>
      </c>
      <c r="L2" s="17">
        <f>SUM(I2:K2)/3*7500</f>
        <v>5375</v>
      </c>
      <c r="M2" s="34">
        <v>0</v>
      </c>
      <c r="N2" s="85">
        <f>SUM(L2+M2-L3)</f>
        <v>175</v>
      </c>
      <c r="O2" s="9">
        <v>0.88</v>
      </c>
      <c r="P2" s="15">
        <v>0.88</v>
      </c>
      <c r="Q2" s="15">
        <v>0.88</v>
      </c>
      <c r="R2" s="17">
        <f>SUM(O2:Q2)/3*1500</f>
        <v>1320</v>
      </c>
      <c r="S2" s="34">
        <v>0</v>
      </c>
      <c r="T2" s="85">
        <f>SUM(R2+S2-R3)</f>
        <v>30</v>
      </c>
      <c r="U2" s="86">
        <f>SUM(N2+T2)</f>
        <v>205</v>
      </c>
      <c r="V2" s="20">
        <v>643725</v>
      </c>
      <c r="W2" s="35">
        <v>63670</v>
      </c>
      <c r="X2" s="35">
        <v>14479</v>
      </c>
      <c r="Y2" s="87">
        <f>SUM(V2-W2-X2)</f>
        <v>565576</v>
      </c>
      <c r="Z2" s="85">
        <f t="shared" ref="Z2:Z31" si="1">SUM(Y3-Y2)</f>
        <v>8</v>
      </c>
      <c r="AA2" s="21">
        <v>0</v>
      </c>
      <c r="AB2" s="22">
        <v>0</v>
      </c>
      <c r="AC2" s="85">
        <f>SUM(AA2+AB2-AA3)</f>
        <v>0</v>
      </c>
      <c r="AD2" s="7">
        <v>0</v>
      </c>
      <c r="AE2" s="10">
        <v>0</v>
      </c>
    </row>
    <row r="3" spans="1:31" x14ac:dyDescent="0.2">
      <c r="A3" s="11">
        <v>45749</v>
      </c>
      <c r="B3" s="38">
        <v>16574442</v>
      </c>
      <c r="C3" s="88">
        <f>SUM(4003.4+1706387+588864+9877.5+247111+26545)</f>
        <v>2582787.9</v>
      </c>
      <c r="D3" s="89">
        <f t="shared" ref="D3:D33" si="2">B3-C3</f>
        <v>13991654.1</v>
      </c>
      <c r="E3" s="14">
        <f t="shared" si="0"/>
        <v>8123</v>
      </c>
      <c r="F3" s="90">
        <v>9159</v>
      </c>
      <c r="G3" s="13">
        <v>0</v>
      </c>
      <c r="H3" s="14">
        <f>F3+G3-F4</f>
        <v>826</v>
      </c>
      <c r="I3" s="91">
        <v>0.7</v>
      </c>
      <c r="J3" s="92">
        <v>0.7</v>
      </c>
      <c r="K3" s="92">
        <v>0.68</v>
      </c>
      <c r="L3" s="18">
        <f>SUM(I3:K3)/3*7500</f>
        <v>5200</v>
      </c>
      <c r="M3" s="16">
        <v>0</v>
      </c>
      <c r="N3" s="19">
        <f>SUM(L3+M3-L4)</f>
        <v>75.000000000000909</v>
      </c>
      <c r="O3" s="91">
        <v>0.85</v>
      </c>
      <c r="P3" s="92">
        <v>0.85</v>
      </c>
      <c r="Q3" s="92">
        <v>0.88</v>
      </c>
      <c r="R3" s="18">
        <f t="shared" ref="R3:R33" si="3">SUM(O3:Q3)/3*1500</f>
        <v>1290</v>
      </c>
      <c r="S3" s="16">
        <v>0</v>
      </c>
      <c r="T3" s="19">
        <f t="shared" ref="T3:T31" si="4">SUM(R3+S3-R4)</f>
        <v>15</v>
      </c>
      <c r="U3" s="37">
        <f t="shared" ref="U3:U31" si="5">SUM(N3+T3)</f>
        <v>90.000000000000909</v>
      </c>
      <c r="V3" s="93">
        <v>643793</v>
      </c>
      <c r="W3" s="94">
        <v>63721</v>
      </c>
      <c r="X3" s="94">
        <v>14488</v>
      </c>
      <c r="Y3" s="43">
        <f t="shared" ref="Y3:Y10" si="6">SUM(V3-W3-X3)</f>
        <v>565584</v>
      </c>
      <c r="Z3" s="19">
        <v>23</v>
      </c>
      <c r="AA3" s="95">
        <v>0</v>
      </c>
      <c r="AB3" s="96">
        <v>0</v>
      </c>
      <c r="AC3" s="19">
        <f t="shared" ref="AC3:AC5" si="7">AA3-AA4</f>
        <v>0</v>
      </c>
      <c r="AD3" s="97">
        <v>0</v>
      </c>
      <c r="AE3" s="98">
        <v>0</v>
      </c>
    </row>
    <row r="4" spans="1:31" x14ac:dyDescent="0.2">
      <c r="A4" s="11">
        <v>45750</v>
      </c>
      <c r="B4" s="38">
        <v>16582565</v>
      </c>
      <c r="C4" s="88">
        <f>SUM(4004.1+1706631+588864+9877.7+247209+26563)</f>
        <v>2583148.8000000003</v>
      </c>
      <c r="D4" s="89">
        <f t="shared" si="2"/>
        <v>13999416.199999999</v>
      </c>
      <c r="E4" s="14">
        <f t="shared" si="0"/>
        <v>9227</v>
      </c>
      <c r="F4" s="90">
        <v>8333</v>
      </c>
      <c r="G4" s="13">
        <v>10000</v>
      </c>
      <c r="H4" s="14">
        <f t="shared" ref="H4:H29" si="8">F4+G4-F5</f>
        <v>339</v>
      </c>
      <c r="I4" s="91">
        <v>0.7</v>
      </c>
      <c r="J4" s="92">
        <v>0.7</v>
      </c>
      <c r="K4" s="92">
        <v>0.65</v>
      </c>
      <c r="L4" s="18">
        <f t="shared" ref="L4:L33" si="9">SUM(I4:K4)/3*7500</f>
        <v>5124.9999999999991</v>
      </c>
      <c r="M4" s="16">
        <v>1110.3399999999999</v>
      </c>
      <c r="N4" s="19">
        <f>SUM(L4+M4-L5)</f>
        <v>235.33999999999833</v>
      </c>
      <c r="O4" s="91">
        <v>0.85</v>
      </c>
      <c r="P4" s="92">
        <v>0.85</v>
      </c>
      <c r="Q4" s="92">
        <v>0.85</v>
      </c>
      <c r="R4" s="18">
        <f t="shared" si="3"/>
        <v>1275</v>
      </c>
      <c r="S4" s="16">
        <v>0</v>
      </c>
      <c r="T4" s="19">
        <f t="shared" si="4"/>
        <v>0</v>
      </c>
      <c r="U4" s="37">
        <f t="shared" si="5"/>
        <v>235.33999999999833</v>
      </c>
      <c r="V4" s="93">
        <v>643931</v>
      </c>
      <c r="W4" s="94">
        <v>63781</v>
      </c>
      <c r="X4" s="94">
        <v>14496</v>
      </c>
      <c r="Y4" s="43">
        <f t="shared" si="6"/>
        <v>565654</v>
      </c>
      <c r="Z4" s="19">
        <f t="shared" si="1"/>
        <v>52</v>
      </c>
      <c r="AA4" s="95">
        <v>0</v>
      </c>
      <c r="AB4" s="96">
        <v>0</v>
      </c>
      <c r="AC4" s="19">
        <f t="shared" si="7"/>
        <v>0</v>
      </c>
      <c r="AD4" s="97">
        <v>24</v>
      </c>
      <c r="AE4" s="98">
        <v>35</v>
      </c>
    </row>
    <row r="5" spans="1:31" x14ac:dyDescent="0.2">
      <c r="A5" s="11">
        <v>45751</v>
      </c>
      <c r="B5" s="38">
        <v>16591792</v>
      </c>
      <c r="C5" s="88">
        <f>SUM(4004.9+1706888.2+588864+9877.9+247300+26582)</f>
        <v>2583516.9999999995</v>
      </c>
      <c r="D5" s="89">
        <f t="shared" si="2"/>
        <v>14008275</v>
      </c>
      <c r="E5" s="14">
        <f t="shared" si="0"/>
        <v>9003</v>
      </c>
      <c r="F5" s="90">
        <v>17994</v>
      </c>
      <c r="G5" s="13">
        <v>0</v>
      </c>
      <c r="H5" s="14">
        <f t="shared" si="8"/>
        <v>651</v>
      </c>
      <c r="I5" s="91">
        <v>0.8</v>
      </c>
      <c r="J5" s="92">
        <v>0.8</v>
      </c>
      <c r="K5" s="92">
        <v>0.8</v>
      </c>
      <c r="L5" s="18">
        <f t="shared" si="9"/>
        <v>6000.0000000000009</v>
      </c>
      <c r="M5" s="16">
        <v>0</v>
      </c>
      <c r="N5" s="19">
        <f t="shared" ref="N5:N30" si="10">SUM(L5+M5-L6)</f>
        <v>200</v>
      </c>
      <c r="O5" s="91">
        <v>0.85</v>
      </c>
      <c r="P5" s="92">
        <v>0.85</v>
      </c>
      <c r="Q5" s="92">
        <v>0.85</v>
      </c>
      <c r="R5" s="18">
        <f t="shared" si="3"/>
        <v>1275</v>
      </c>
      <c r="S5" s="16">
        <v>0</v>
      </c>
      <c r="T5" s="19">
        <f t="shared" si="4"/>
        <v>74.999999999999773</v>
      </c>
      <c r="U5" s="37">
        <f t="shared" si="5"/>
        <v>274.99999999999977</v>
      </c>
      <c r="V5" s="93">
        <v>644050</v>
      </c>
      <c r="W5" s="94">
        <v>63840</v>
      </c>
      <c r="X5" s="94">
        <v>14504</v>
      </c>
      <c r="Y5" s="43">
        <f t="shared" si="6"/>
        <v>565706</v>
      </c>
      <c r="Z5" s="19">
        <f t="shared" si="1"/>
        <v>115</v>
      </c>
      <c r="AA5" s="95">
        <v>0</v>
      </c>
      <c r="AB5" s="96">
        <v>0</v>
      </c>
      <c r="AC5" s="19">
        <f t="shared" si="7"/>
        <v>0</v>
      </c>
      <c r="AD5" s="97">
        <v>32</v>
      </c>
      <c r="AE5" s="98">
        <v>58</v>
      </c>
    </row>
    <row r="6" spans="1:31" x14ac:dyDescent="0.2">
      <c r="A6" s="11">
        <v>45752</v>
      </c>
      <c r="B6" s="38">
        <v>16600795</v>
      </c>
      <c r="C6" s="88">
        <f>SUM(4005.6+1707155.2+588864+9878.1+247389+26600)</f>
        <v>2583891.9</v>
      </c>
      <c r="D6" s="89">
        <f t="shared" si="2"/>
        <v>14016903.1</v>
      </c>
      <c r="E6" s="14">
        <f t="shared" si="0"/>
        <v>9857</v>
      </c>
      <c r="F6" s="90">
        <v>17343</v>
      </c>
      <c r="G6" s="13">
        <v>0</v>
      </c>
      <c r="H6" s="14">
        <f t="shared" si="8"/>
        <v>397</v>
      </c>
      <c r="I6" s="91">
        <v>0.77</v>
      </c>
      <c r="J6" s="92">
        <v>0.75</v>
      </c>
      <c r="K6" s="92">
        <v>0.8</v>
      </c>
      <c r="L6" s="18">
        <f t="shared" si="9"/>
        <v>5800.0000000000009</v>
      </c>
      <c r="M6" s="16">
        <v>0</v>
      </c>
      <c r="N6" s="19">
        <f t="shared" si="10"/>
        <v>175.00000000000091</v>
      </c>
      <c r="O6" s="91">
        <v>0.8</v>
      </c>
      <c r="P6" s="92">
        <v>0.8</v>
      </c>
      <c r="Q6" s="92">
        <v>0.8</v>
      </c>
      <c r="R6" s="18">
        <f t="shared" si="3"/>
        <v>1200.0000000000002</v>
      </c>
      <c r="S6" s="16">
        <v>0</v>
      </c>
      <c r="T6" s="19">
        <f t="shared" si="4"/>
        <v>0</v>
      </c>
      <c r="U6" s="37">
        <f t="shared" si="5"/>
        <v>175.00000000000091</v>
      </c>
      <c r="V6" s="93">
        <v>644266</v>
      </c>
      <c r="W6" s="94">
        <v>63901</v>
      </c>
      <c r="X6" s="94">
        <v>14544</v>
      </c>
      <c r="Y6" s="43">
        <f t="shared" si="6"/>
        <v>565821</v>
      </c>
      <c r="Z6" s="19">
        <f t="shared" si="1"/>
        <v>81</v>
      </c>
      <c r="AA6" s="95">
        <v>0</v>
      </c>
      <c r="AB6" s="96">
        <v>8110</v>
      </c>
      <c r="AC6" s="19">
        <v>0</v>
      </c>
      <c r="AD6" s="97">
        <v>52</v>
      </c>
      <c r="AE6" s="98">
        <v>94</v>
      </c>
    </row>
    <row r="7" spans="1:31" x14ac:dyDescent="0.2">
      <c r="A7" s="11">
        <v>45753</v>
      </c>
      <c r="B7" s="99">
        <v>16610652</v>
      </c>
      <c r="C7" s="100">
        <f>SUM(4006.4+1707446.1+588864+9878.3+247482+26619)</f>
        <v>2584295.7999999998</v>
      </c>
      <c r="D7" s="101">
        <f>B7-C7</f>
        <v>14026356.199999999</v>
      </c>
      <c r="E7" s="45">
        <f t="shared" si="0"/>
        <v>9467</v>
      </c>
      <c r="F7" s="102">
        <v>16946</v>
      </c>
      <c r="G7" s="46">
        <v>0</v>
      </c>
      <c r="H7" s="45">
        <f t="shared" si="8"/>
        <v>267</v>
      </c>
      <c r="I7" s="103">
        <v>0.75</v>
      </c>
      <c r="J7" s="104">
        <v>0.75</v>
      </c>
      <c r="K7" s="104">
        <v>0.75</v>
      </c>
      <c r="L7" s="105">
        <f t="shared" si="9"/>
        <v>5625</v>
      </c>
      <c r="M7" s="106">
        <v>0</v>
      </c>
      <c r="N7" s="47">
        <f t="shared" si="10"/>
        <v>250</v>
      </c>
      <c r="O7" s="103">
        <v>0.8</v>
      </c>
      <c r="P7" s="104">
        <v>0.8</v>
      </c>
      <c r="Q7" s="104">
        <v>0.8</v>
      </c>
      <c r="R7" s="105">
        <f t="shared" si="3"/>
        <v>1200.0000000000002</v>
      </c>
      <c r="S7" s="106">
        <v>0</v>
      </c>
      <c r="T7" s="47">
        <f t="shared" si="4"/>
        <v>0</v>
      </c>
      <c r="U7" s="48">
        <f t="shared" si="5"/>
        <v>250</v>
      </c>
      <c r="V7" s="107">
        <v>644417</v>
      </c>
      <c r="W7" s="108">
        <v>63962</v>
      </c>
      <c r="X7" s="108">
        <v>14553</v>
      </c>
      <c r="Y7" s="49">
        <f t="shared" si="6"/>
        <v>565902</v>
      </c>
      <c r="Z7" s="47">
        <f t="shared" si="1"/>
        <v>97</v>
      </c>
      <c r="AA7" s="109">
        <v>7082.5</v>
      </c>
      <c r="AB7" s="110">
        <v>0</v>
      </c>
      <c r="AC7" s="47">
        <f>SUM(AA7+AB7-AA8)</f>
        <v>1027.5</v>
      </c>
      <c r="AD7" s="111">
        <v>67</v>
      </c>
      <c r="AE7" s="112">
        <v>102</v>
      </c>
    </row>
    <row r="8" spans="1:31" x14ac:dyDescent="0.2">
      <c r="A8" s="11">
        <v>45754</v>
      </c>
      <c r="B8" s="81">
        <v>16620119</v>
      </c>
      <c r="C8" s="82">
        <f>SUM(4007+1707712.4+588864+9878.5+247568+26639)</f>
        <v>2584668.9</v>
      </c>
      <c r="D8" s="42">
        <f t="shared" si="2"/>
        <v>14035450.1</v>
      </c>
      <c r="E8" s="83">
        <f t="shared" si="0"/>
        <v>10380</v>
      </c>
      <c r="F8" s="12">
        <v>16679</v>
      </c>
      <c r="G8" s="84">
        <v>0</v>
      </c>
      <c r="H8" s="83">
        <f t="shared" si="8"/>
        <v>268</v>
      </c>
      <c r="I8" s="9">
        <v>0.7</v>
      </c>
      <c r="J8" s="15">
        <v>0.75</v>
      </c>
      <c r="K8" s="15">
        <v>0.7</v>
      </c>
      <c r="L8" s="17">
        <f t="shared" si="9"/>
        <v>5375</v>
      </c>
      <c r="M8" s="34">
        <v>0</v>
      </c>
      <c r="N8" s="85">
        <f t="shared" si="10"/>
        <v>125.00000000000091</v>
      </c>
      <c r="O8" s="9">
        <v>0.8</v>
      </c>
      <c r="P8" s="15">
        <v>0.8</v>
      </c>
      <c r="Q8" s="15">
        <v>0.8</v>
      </c>
      <c r="R8" s="17">
        <f t="shared" si="3"/>
        <v>1200.0000000000002</v>
      </c>
      <c r="S8" s="34">
        <v>0</v>
      </c>
      <c r="T8" s="85">
        <f t="shared" si="4"/>
        <v>0</v>
      </c>
      <c r="U8" s="86">
        <f t="shared" si="5"/>
        <v>125.00000000000091</v>
      </c>
      <c r="V8" s="20">
        <v>644580</v>
      </c>
      <c r="W8" s="35">
        <v>64016</v>
      </c>
      <c r="X8" s="35">
        <v>14565</v>
      </c>
      <c r="Y8" s="87">
        <f t="shared" si="6"/>
        <v>565999</v>
      </c>
      <c r="Z8" s="85">
        <f t="shared" si="1"/>
        <v>116</v>
      </c>
      <c r="AA8" s="21">
        <v>6055</v>
      </c>
      <c r="AB8" s="22">
        <v>0</v>
      </c>
      <c r="AC8" s="85">
        <f t="shared" ref="AC8:AC31" si="11">SUM(AA8+AB8-AA9)</f>
        <v>1027.5</v>
      </c>
      <c r="AD8" s="7">
        <v>119</v>
      </c>
      <c r="AE8" s="10">
        <v>159</v>
      </c>
    </row>
    <row r="9" spans="1:31" x14ac:dyDescent="0.2">
      <c r="A9" s="11">
        <v>45755</v>
      </c>
      <c r="B9" s="38">
        <v>16630499</v>
      </c>
      <c r="C9" s="88">
        <f>SUM(4008.1+1708089+588864+9878.7+247689+26659)</f>
        <v>2585187.8000000003</v>
      </c>
      <c r="D9" s="89">
        <f t="shared" si="2"/>
        <v>14045311.199999999</v>
      </c>
      <c r="E9" s="14">
        <f t="shared" si="0"/>
        <v>10644</v>
      </c>
      <c r="F9" s="90">
        <v>16411</v>
      </c>
      <c r="G9" s="13">
        <v>0</v>
      </c>
      <c r="H9" s="14">
        <f t="shared" si="8"/>
        <v>406</v>
      </c>
      <c r="I9" s="91">
        <v>0.7</v>
      </c>
      <c r="J9" s="92">
        <v>0.7</v>
      </c>
      <c r="K9" s="92">
        <v>0.7</v>
      </c>
      <c r="L9" s="18">
        <f t="shared" si="9"/>
        <v>5249.9999999999991</v>
      </c>
      <c r="M9" s="16">
        <v>0</v>
      </c>
      <c r="N9" s="19">
        <f t="shared" si="10"/>
        <v>174.99999999999909</v>
      </c>
      <c r="O9" s="91">
        <v>0.8</v>
      </c>
      <c r="P9" s="92">
        <v>0.8</v>
      </c>
      <c r="Q9" s="92">
        <v>0.8</v>
      </c>
      <c r="R9" s="18">
        <f t="shared" si="3"/>
        <v>1200.0000000000002</v>
      </c>
      <c r="S9" s="16">
        <v>0</v>
      </c>
      <c r="T9" s="19">
        <f t="shared" si="4"/>
        <v>0</v>
      </c>
      <c r="U9" s="37">
        <f t="shared" si="5"/>
        <v>174.99999999999909</v>
      </c>
      <c r="V9" s="93">
        <v>644790</v>
      </c>
      <c r="W9" s="94">
        <v>64091</v>
      </c>
      <c r="X9" s="94">
        <v>14584</v>
      </c>
      <c r="Y9" s="43">
        <f t="shared" si="6"/>
        <v>566115</v>
      </c>
      <c r="Z9" s="19">
        <f t="shared" si="1"/>
        <v>151</v>
      </c>
      <c r="AA9" s="95">
        <v>5027.5</v>
      </c>
      <c r="AB9" s="96">
        <v>0</v>
      </c>
      <c r="AC9" s="19">
        <f t="shared" si="11"/>
        <v>1027.5</v>
      </c>
      <c r="AD9" s="97">
        <v>152</v>
      </c>
      <c r="AE9" s="98">
        <v>198</v>
      </c>
    </row>
    <row r="10" spans="1:31" x14ac:dyDescent="0.2">
      <c r="A10" s="11">
        <v>45756</v>
      </c>
      <c r="B10" s="38">
        <v>16641143</v>
      </c>
      <c r="C10" s="88">
        <f>SUM(4009.1+1708461.7+588864+9878.9+247818+26687)</f>
        <v>2585718.6999999997</v>
      </c>
      <c r="D10" s="89">
        <f t="shared" si="2"/>
        <v>14055424.300000001</v>
      </c>
      <c r="E10" s="14">
        <f t="shared" si="0"/>
        <v>9508</v>
      </c>
      <c r="F10" s="90">
        <v>16005</v>
      </c>
      <c r="G10" s="13">
        <v>0</v>
      </c>
      <c r="H10" s="14">
        <f t="shared" si="8"/>
        <v>136</v>
      </c>
      <c r="I10" s="91">
        <v>0.68</v>
      </c>
      <c r="J10" s="92">
        <v>0.7</v>
      </c>
      <c r="K10" s="92">
        <v>0.65</v>
      </c>
      <c r="L10" s="18">
        <f t="shared" si="9"/>
        <v>5075</v>
      </c>
      <c r="M10" s="16">
        <v>0</v>
      </c>
      <c r="N10" s="19">
        <f t="shared" si="10"/>
        <v>249.99999999999909</v>
      </c>
      <c r="O10" s="91">
        <v>0.8</v>
      </c>
      <c r="P10" s="92">
        <v>0.8</v>
      </c>
      <c r="Q10" s="92">
        <v>0.8</v>
      </c>
      <c r="R10" s="18">
        <f t="shared" si="3"/>
        <v>1200.0000000000002</v>
      </c>
      <c r="S10" s="16">
        <v>0</v>
      </c>
      <c r="T10" s="19">
        <f t="shared" si="4"/>
        <v>25.000000000000227</v>
      </c>
      <c r="U10" s="37">
        <f t="shared" si="5"/>
        <v>274.99999999999932</v>
      </c>
      <c r="V10" s="93">
        <v>645031</v>
      </c>
      <c r="W10" s="94">
        <v>64157</v>
      </c>
      <c r="X10" s="94">
        <v>14608</v>
      </c>
      <c r="Y10" s="43">
        <f t="shared" si="6"/>
        <v>566266</v>
      </c>
      <c r="Z10" s="19">
        <f t="shared" si="1"/>
        <v>164</v>
      </c>
      <c r="AA10" s="95">
        <v>4000</v>
      </c>
      <c r="AB10" s="96">
        <v>7960</v>
      </c>
      <c r="AC10" s="19">
        <f t="shared" si="11"/>
        <v>1953.6000000000004</v>
      </c>
      <c r="AD10" s="97">
        <v>153</v>
      </c>
      <c r="AE10" s="98">
        <v>207</v>
      </c>
    </row>
    <row r="11" spans="1:31" x14ac:dyDescent="0.2">
      <c r="A11" s="11">
        <v>45757</v>
      </c>
      <c r="B11" s="38">
        <v>16650651</v>
      </c>
      <c r="C11" s="88">
        <f>SUM(4010+1708807.9+588864+9879.1+247941+26711)</f>
        <v>2586213</v>
      </c>
      <c r="D11" s="89">
        <f t="shared" si="2"/>
        <v>14064438</v>
      </c>
      <c r="E11" s="14">
        <f t="shared" si="0"/>
        <v>9053</v>
      </c>
      <c r="F11" s="90">
        <v>15869</v>
      </c>
      <c r="G11" s="13">
        <v>0</v>
      </c>
      <c r="H11" s="14">
        <f t="shared" si="8"/>
        <v>685</v>
      </c>
      <c r="I11" s="91">
        <v>0.68</v>
      </c>
      <c r="J11" s="92">
        <v>0.65</v>
      </c>
      <c r="K11" s="92">
        <v>0.6</v>
      </c>
      <c r="L11" s="18">
        <f t="shared" si="9"/>
        <v>4825.0000000000009</v>
      </c>
      <c r="M11" s="16">
        <v>1656.7</v>
      </c>
      <c r="N11" s="19">
        <f t="shared" si="10"/>
        <v>156.70000000000073</v>
      </c>
      <c r="O11" s="91">
        <v>0.75</v>
      </c>
      <c r="P11" s="92">
        <v>0.8</v>
      </c>
      <c r="Q11" s="92">
        <v>0.8</v>
      </c>
      <c r="R11" s="18">
        <f t="shared" si="3"/>
        <v>1175</v>
      </c>
      <c r="S11" s="16">
        <v>594.97</v>
      </c>
      <c r="T11" s="19">
        <f t="shared" si="4"/>
        <v>504.97</v>
      </c>
      <c r="U11" s="37">
        <f t="shared" si="5"/>
        <v>661.67000000000075</v>
      </c>
      <c r="V11" s="93">
        <v>645281</v>
      </c>
      <c r="W11" s="94">
        <v>64222</v>
      </c>
      <c r="X11" s="94">
        <v>14629</v>
      </c>
      <c r="Y11" s="43">
        <f t="shared" ref="Y11:Y33" si="12">SUM(V11-W11-X11)</f>
        <v>566430</v>
      </c>
      <c r="Z11" s="19">
        <f t="shared" si="1"/>
        <v>111</v>
      </c>
      <c r="AA11" s="95">
        <v>10006.4</v>
      </c>
      <c r="AB11" s="96">
        <v>0</v>
      </c>
      <c r="AC11" s="19">
        <f t="shared" si="11"/>
        <v>1953.5999999999995</v>
      </c>
      <c r="AD11" s="97">
        <v>64</v>
      </c>
      <c r="AE11" s="98">
        <v>120</v>
      </c>
    </row>
    <row r="12" spans="1:31" x14ac:dyDescent="0.2">
      <c r="A12" s="11">
        <v>45758</v>
      </c>
      <c r="B12" s="38">
        <v>16659704</v>
      </c>
      <c r="C12" s="88">
        <f>SUM(4010.8+1709159.9+588864+9879.3+248046+26734)</f>
        <v>2586694</v>
      </c>
      <c r="D12" s="89">
        <f t="shared" si="2"/>
        <v>14073010</v>
      </c>
      <c r="E12" s="14">
        <f t="shared" si="0"/>
        <v>8948</v>
      </c>
      <c r="F12" s="90">
        <v>15184</v>
      </c>
      <c r="G12" s="13">
        <v>0</v>
      </c>
      <c r="H12" s="14">
        <f t="shared" si="8"/>
        <v>554</v>
      </c>
      <c r="I12" s="91">
        <v>0.88</v>
      </c>
      <c r="J12" s="92">
        <v>0.8</v>
      </c>
      <c r="K12" s="92">
        <v>0.85</v>
      </c>
      <c r="L12" s="18">
        <f t="shared" si="9"/>
        <v>6325</v>
      </c>
      <c r="M12" s="16">
        <v>0</v>
      </c>
      <c r="N12" s="19">
        <f t="shared" si="10"/>
        <v>324.99999999999909</v>
      </c>
      <c r="O12" s="91">
        <v>0.88</v>
      </c>
      <c r="P12" s="92">
        <v>0.8</v>
      </c>
      <c r="Q12" s="92">
        <v>0.85</v>
      </c>
      <c r="R12" s="18">
        <f t="shared" si="3"/>
        <v>1265</v>
      </c>
      <c r="S12" s="16">
        <v>0</v>
      </c>
      <c r="T12" s="19">
        <f t="shared" si="4"/>
        <v>65</v>
      </c>
      <c r="U12" s="37">
        <f t="shared" si="5"/>
        <v>389.99999999999909</v>
      </c>
      <c r="V12" s="93">
        <v>645483</v>
      </c>
      <c r="W12" s="94">
        <v>64294</v>
      </c>
      <c r="X12" s="94">
        <v>14648</v>
      </c>
      <c r="Y12" s="43">
        <f t="shared" si="12"/>
        <v>566541</v>
      </c>
      <c r="Z12" s="19">
        <f t="shared" si="1"/>
        <v>111</v>
      </c>
      <c r="AA12" s="95">
        <v>8052.8</v>
      </c>
      <c r="AB12" s="96">
        <v>0</v>
      </c>
      <c r="AC12" s="19">
        <f t="shared" si="11"/>
        <v>1953.6000000000004</v>
      </c>
      <c r="AD12" s="97">
        <v>83</v>
      </c>
      <c r="AE12" s="98">
        <v>159</v>
      </c>
    </row>
    <row r="13" spans="1:31" x14ac:dyDescent="0.2">
      <c r="A13" s="11">
        <v>45759</v>
      </c>
      <c r="B13" s="38">
        <v>16668652</v>
      </c>
      <c r="C13" s="88">
        <f>SUM(4011.7+1709535.5+588864+9879.5+248166+26759)</f>
        <v>2587215.7000000002</v>
      </c>
      <c r="D13" s="89">
        <f t="shared" si="2"/>
        <v>14081436.300000001</v>
      </c>
      <c r="E13" s="14">
        <f t="shared" si="0"/>
        <v>8702</v>
      </c>
      <c r="F13" s="90">
        <v>14630</v>
      </c>
      <c r="G13" s="13">
        <v>0</v>
      </c>
      <c r="H13" s="14">
        <f t="shared" si="8"/>
        <v>278</v>
      </c>
      <c r="I13" s="91">
        <v>0.8</v>
      </c>
      <c r="J13" s="92">
        <v>0.8</v>
      </c>
      <c r="K13" s="92">
        <v>0.8</v>
      </c>
      <c r="L13" s="18">
        <f t="shared" si="9"/>
        <v>6000.0000000000009</v>
      </c>
      <c r="M13" s="16">
        <v>0</v>
      </c>
      <c r="N13" s="19">
        <f t="shared" si="10"/>
        <v>375.00000000000091</v>
      </c>
      <c r="O13" s="91">
        <v>0.85</v>
      </c>
      <c r="P13" s="92">
        <v>0.8</v>
      </c>
      <c r="Q13" s="92">
        <v>0.75</v>
      </c>
      <c r="R13" s="18">
        <f t="shared" si="3"/>
        <v>1200</v>
      </c>
      <c r="S13" s="16">
        <v>0</v>
      </c>
      <c r="T13" s="19">
        <f t="shared" si="4"/>
        <v>125</v>
      </c>
      <c r="U13" s="37">
        <f t="shared" si="5"/>
        <v>500.00000000000091</v>
      </c>
      <c r="V13" s="93">
        <v>645701</v>
      </c>
      <c r="W13" s="94">
        <v>64380</v>
      </c>
      <c r="X13" s="94">
        <v>14669</v>
      </c>
      <c r="Y13" s="43">
        <f t="shared" si="12"/>
        <v>566652</v>
      </c>
      <c r="Z13" s="19">
        <v>22</v>
      </c>
      <c r="AA13" s="95">
        <v>6099.2</v>
      </c>
      <c r="AB13" s="96">
        <v>0</v>
      </c>
      <c r="AC13" s="19">
        <f t="shared" si="11"/>
        <v>1953.5999999999995</v>
      </c>
      <c r="AD13" s="97">
        <v>99</v>
      </c>
      <c r="AE13" s="98">
        <v>198</v>
      </c>
    </row>
    <row r="14" spans="1:31" x14ac:dyDescent="0.2">
      <c r="A14" s="11">
        <v>45760</v>
      </c>
      <c r="B14" s="99">
        <v>16677354</v>
      </c>
      <c r="C14" s="100">
        <f>SUM(4012.4+1709903.7+588878+9879.7+248274+26783)</f>
        <v>2587730.7999999998</v>
      </c>
      <c r="D14" s="101">
        <f t="shared" si="2"/>
        <v>14089623.199999999</v>
      </c>
      <c r="E14" s="45">
        <f t="shared" si="0"/>
        <v>9196</v>
      </c>
      <c r="F14" s="102">
        <v>14352</v>
      </c>
      <c r="G14" s="46">
        <v>0</v>
      </c>
      <c r="H14" s="45">
        <f t="shared" si="8"/>
        <v>1401</v>
      </c>
      <c r="I14" s="103">
        <v>0.75</v>
      </c>
      <c r="J14" s="104">
        <v>0.75</v>
      </c>
      <c r="K14" s="104">
        <v>0.75</v>
      </c>
      <c r="L14" s="105">
        <f t="shared" si="9"/>
        <v>5625</v>
      </c>
      <c r="M14" s="106">
        <v>0</v>
      </c>
      <c r="N14" s="47">
        <f t="shared" si="10"/>
        <v>125</v>
      </c>
      <c r="O14" s="103">
        <v>0.7</v>
      </c>
      <c r="P14" s="104">
        <v>0.7</v>
      </c>
      <c r="Q14" s="104">
        <v>0.75</v>
      </c>
      <c r="R14" s="105">
        <f t="shared" si="3"/>
        <v>1075</v>
      </c>
      <c r="S14" s="106">
        <v>0</v>
      </c>
      <c r="T14" s="47">
        <f t="shared" si="4"/>
        <v>175</v>
      </c>
      <c r="U14" s="48">
        <f t="shared" si="5"/>
        <v>300</v>
      </c>
      <c r="V14" s="107">
        <v>645965</v>
      </c>
      <c r="W14" s="108">
        <v>64470</v>
      </c>
      <c r="X14" s="108">
        <v>14710</v>
      </c>
      <c r="Y14" s="49">
        <f t="shared" si="12"/>
        <v>566785</v>
      </c>
      <c r="Z14" s="47">
        <f t="shared" si="1"/>
        <v>102</v>
      </c>
      <c r="AA14" s="109">
        <v>4145.6000000000004</v>
      </c>
      <c r="AB14" s="110">
        <v>0</v>
      </c>
      <c r="AC14" s="47">
        <f t="shared" si="11"/>
        <v>1953.6000000000004</v>
      </c>
      <c r="AD14" s="111">
        <v>100</v>
      </c>
      <c r="AE14" s="112">
        <v>203</v>
      </c>
    </row>
    <row r="15" spans="1:31" x14ac:dyDescent="0.2">
      <c r="A15" s="11">
        <v>45761</v>
      </c>
      <c r="B15" s="81">
        <v>16686550</v>
      </c>
      <c r="C15" s="82">
        <f>SUM(4013.5+1710339.3+588878+9879.4+248390+26809)</f>
        <v>2588309.1999999997</v>
      </c>
      <c r="D15" s="42">
        <f t="shared" si="2"/>
        <v>14098240.800000001</v>
      </c>
      <c r="E15" s="83">
        <f t="shared" si="0"/>
        <v>9080</v>
      </c>
      <c r="F15" s="12">
        <v>12951</v>
      </c>
      <c r="G15" s="84">
        <v>0</v>
      </c>
      <c r="H15" s="83">
        <f t="shared" si="8"/>
        <v>987</v>
      </c>
      <c r="I15" s="9">
        <v>0.75</v>
      </c>
      <c r="J15" s="15">
        <v>0.75</v>
      </c>
      <c r="K15" s="15">
        <v>0.7</v>
      </c>
      <c r="L15" s="17">
        <f t="shared" si="9"/>
        <v>5500</v>
      </c>
      <c r="M15" s="34">
        <v>0</v>
      </c>
      <c r="N15" s="85">
        <f t="shared" si="10"/>
        <v>250.00000000000091</v>
      </c>
      <c r="O15" s="9">
        <v>0.6</v>
      </c>
      <c r="P15" s="15">
        <v>0.6</v>
      </c>
      <c r="Q15" s="15">
        <v>0.6</v>
      </c>
      <c r="R15" s="17">
        <f t="shared" si="3"/>
        <v>900</v>
      </c>
      <c r="S15" s="34">
        <v>0</v>
      </c>
      <c r="T15" s="85">
        <f t="shared" si="4"/>
        <v>150</v>
      </c>
      <c r="U15" s="86">
        <f t="shared" si="5"/>
        <v>400.00000000000091</v>
      </c>
      <c r="V15" s="20">
        <v>646208</v>
      </c>
      <c r="W15" s="35">
        <v>64568</v>
      </c>
      <c r="X15" s="35">
        <v>14753</v>
      </c>
      <c r="Y15" s="87">
        <f t="shared" si="12"/>
        <v>566887</v>
      </c>
      <c r="Z15" s="85">
        <f t="shared" si="1"/>
        <v>120</v>
      </c>
      <c r="AA15" s="21">
        <v>2192</v>
      </c>
      <c r="AB15" s="22">
        <v>8455</v>
      </c>
      <c r="AC15" s="85">
        <f t="shared" si="11"/>
        <v>814.70000000000073</v>
      </c>
      <c r="AD15" s="7">
        <v>98</v>
      </c>
      <c r="AE15" s="10">
        <v>214</v>
      </c>
    </row>
    <row r="16" spans="1:31" x14ac:dyDescent="0.2">
      <c r="A16" s="11">
        <v>45762</v>
      </c>
      <c r="B16" s="38">
        <v>16695630</v>
      </c>
      <c r="C16" s="88">
        <f>SUM(4014.4+1710748.5+588878+9880.1+248513+26836)</f>
        <v>2588870</v>
      </c>
      <c r="D16" s="89">
        <f t="shared" si="2"/>
        <v>14106760</v>
      </c>
      <c r="E16" s="14">
        <f t="shared" si="0"/>
        <v>9839</v>
      </c>
      <c r="F16" s="90">
        <v>11964</v>
      </c>
      <c r="G16" s="13">
        <v>0</v>
      </c>
      <c r="H16" s="14">
        <f t="shared" si="8"/>
        <v>423</v>
      </c>
      <c r="I16" s="91">
        <v>0.7</v>
      </c>
      <c r="J16" s="92">
        <v>0.7</v>
      </c>
      <c r="K16" s="92">
        <v>0.7</v>
      </c>
      <c r="L16" s="18">
        <f t="shared" si="9"/>
        <v>5249.9999999999991</v>
      </c>
      <c r="M16" s="16">
        <v>0</v>
      </c>
      <c r="N16" s="19">
        <f t="shared" si="10"/>
        <v>49.999999999999091</v>
      </c>
      <c r="O16" s="91">
        <v>0.5</v>
      </c>
      <c r="P16" s="92">
        <v>0.5</v>
      </c>
      <c r="Q16" s="92">
        <v>0.5</v>
      </c>
      <c r="R16" s="18">
        <f t="shared" si="3"/>
        <v>750</v>
      </c>
      <c r="S16" s="16">
        <v>0</v>
      </c>
      <c r="T16" s="19">
        <f t="shared" si="4"/>
        <v>50.000000000000114</v>
      </c>
      <c r="U16" s="37">
        <f t="shared" si="5"/>
        <v>99.999999999999204</v>
      </c>
      <c r="V16" s="93">
        <v>646460</v>
      </c>
      <c r="W16" s="94">
        <v>64657</v>
      </c>
      <c r="X16" s="94">
        <v>14796</v>
      </c>
      <c r="Y16" s="43">
        <f t="shared" si="12"/>
        <v>567007</v>
      </c>
      <c r="Z16" s="19">
        <f t="shared" si="1"/>
        <v>148</v>
      </c>
      <c r="AA16" s="95">
        <v>9832.2999999999993</v>
      </c>
      <c r="AB16" s="96">
        <v>0</v>
      </c>
      <c r="AC16" s="19">
        <f t="shared" si="11"/>
        <v>814.69999999999891</v>
      </c>
      <c r="AD16" s="97">
        <v>107</v>
      </c>
      <c r="AE16" s="98">
        <v>238</v>
      </c>
    </row>
    <row r="17" spans="1:31" x14ac:dyDescent="0.2">
      <c r="A17" s="11">
        <v>45763</v>
      </c>
      <c r="B17" s="38">
        <v>16705469</v>
      </c>
      <c r="C17" s="88">
        <f>SUM(4015.5+1711226.8+588878+9880.3+248661+26866)</f>
        <v>2589527.5999999996</v>
      </c>
      <c r="D17" s="89">
        <f t="shared" si="2"/>
        <v>14115941.4</v>
      </c>
      <c r="E17" s="14">
        <f t="shared" si="0"/>
        <v>9904</v>
      </c>
      <c r="F17" s="90">
        <v>11541</v>
      </c>
      <c r="G17" s="13">
        <v>0</v>
      </c>
      <c r="H17" s="14">
        <f t="shared" si="8"/>
        <v>704</v>
      </c>
      <c r="I17" s="91">
        <v>0.68</v>
      </c>
      <c r="J17" s="92">
        <v>0.7</v>
      </c>
      <c r="K17" s="92">
        <v>0.7</v>
      </c>
      <c r="L17" s="18">
        <f t="shared" si="9"/>
        <v>5200</v>
      </c>
      <c r="M17" s="16">
        <v>0</v>
      </c>
      <c r="N17" s="19">
        <f t="shared" si="10"/>
        <v>75.000000000000909</v>
      </c>
      <c r="O17" s="91">
        <v>0.45</v>
      </c>
      <c r="P17" s="92">
        <v>0.45</v>
      </c>
      <c r="Q17" s="92">
        <v>0.5</v>
      </c>
      <c r="R17" s="18">
        <f t="shared" si="3"/>
        <v>699.99999999999989</v>
      </c>
      <c r="S17" s="16">
        <v>0</v>
      </c>
      <c r="T17" s="19">
        <f t="shared" si="4"/>
        <v>0</v>
      </c>
      <c r="U17" s="37">
        <f t="shared" si="5"/>
        <v>75.000000000000909</v>
      </c>
      <c r="V17" s="93">
        <v>646758</v>
      </c>
      <c r="W17" s="94">
        <v>64761</v>
      </c>
      <c r="X17" s="94">
        <v>14842</v>
      </c>
      <c r="Y17" s="43">
        <f t="shared" si="12"/>
        <v>567155</v>
      </c>
      <c r="Z17" s="19">
        <f t="shared" si="1"/>
        <v>133</v>
      </c>
      <c r="AA17" s="95">
        <v>9017.6</v>
      </c>
      <c r="AB17" s="96">
        <v>0</v>
      </c>
      <c r="AC17" s="19">
        <f t="shared" si="11"/>
        <v>814.70000000000073</v>
      </c>
      <c r="AD17" s="97">
        <v>130</v>
      </c>
      <c r="AE17" s="98">
        <v>291</v>
      </c>
    </row>
    <row r="18" spans="1:31" x14ac:dyDescent="0.2">
      <c r="A18" s="11">
        <v>45764</v>
      </c>
      <c r="B18" s="38">
        <v>16715373</v>
      </c>
      <c r="C18" s="88">
        <f>SUM(4016.6+1711704.4+588878+9880.5+248807+26894)</f>
        <v>2590180.5</v>
      </c>
      <c r="D18" s="89">
        <f t="shared" si="2"/>
        <v>14125192.5</v>
      </c>
      <c r="E18" s="14">
        <f t="shared" si="0"/>
        <v>10041</v>
      </c>
      <c r="F18" s="90">
        <v>10837</v>
      </c>
      <c r="G18" s="13">
        <v>0</v>
      </c>
      <c r="H18" s="14">
        <f t="shared" si="8"/>
        <v>1121</v>
      </c>
      <c r="I18" s="91">
        <v>0.65</v>
      </c>
      <c r="J18" s="92">
        <v>0.7</v>
      </c>
      <c r="K18" s="92">
        <v>0.7</v>
      </c>
      <c r="L18" s="18">
        <f t="shared" si="9"/>
        <v>5124.9999999999991</v>
      </c>
      <c r="M18" s="16">
        <v>1574.32</v>
      </c>
      <c r="N18" s="19">
        <f t="shared" si="10"/>
        <v>574.31999999999789</v>
      </c>
      <c r="O18" s="91">
        <v>0.45</v>
      </c>
      <c r="P18" s="92">
        <v>0.45</v>
      </c>
      <c r="Q18" s="92">
        <v>0.5</v>
      </c>
      <c r="R18" s="18">
        <f t="shared" si="3"/>
        <v>699.99999999999989</v>
      </c>
      <c r="S18" s="16">
        <v>657.79</v>
      </c>
      <c r="T18" s="19">
        <f t="shared" si="4"/>
        <v>67.789999999999964</v>
      </c>
      <c r="U18" s="37">
        <f t="shared" si="5"/>
        <v>642.10999999999785</v>
      </c>
      <c r="V18" s="93">
        <v>647043</v>
      </c>
      <c r="W18" s="94">
        <v>64869</v>
      </c>
      <c r="X18" s="94">
        <v>14886</v>
      </c>
      <c r="Y18" s="43">
        <f t="shared" si="12"/>
        <v>567288</v>
      </c>
      <c r="Z18" s="19">
        <f t="shared" si="1"/>
        <v>168</v>
      </c>
      <c r="AA18" s="95">
        <v>8202.9</v>
      </c>
      <c r="AB18" s="96">
        <v>0</v>
      </c>
      <c r="AC18" s="19">
        <f t="shared" si="11"/>
        <v>814.69999999999982</v>
      </c>
      <c r="AD18" s="97">
        <v>147</v>
      </c>
      <c r="AE18" s="98">
        <v>318</v>
      </c>
    </row>
    <row r="19" spans="1:31" x14ac:dyDescent="0.2">
      <c r="A19" s="11">
        <v>45765</v>
      </c>
      <c r="B19" s="38">
        <v>16725414</v>
      </c>
      <c r="C19" s="88">
        <f>SUM(4017.7+1712174.3+588878+9880.7+248947+26921)</f>
        <v>2590818.7000000002</v>
      </c>
      <c r="D19" s="89">
        <f t="shared" si="2"/>
        <v>14134595.300000001</v>
      </c>
      <c r="E19" s="14">
        <f t="shared" si="0"/>
        <v>10976</v>
      </c>
      <c r="F19" s="90">
        <v>9716</v>
      </c>
      <c r="G19" s="13">
        <v>9518</v>
      </c>
      <c r="H19" s="14">
        <f t="shared" si="8"/>
        <v>984</v>
      </c>
      <c r="I19" s="91">
        <v>0.8</v>
      </c>
      <c r="J19" s="92">
        <v>0.8</v>
      </c>
      <c r="K19" s="92">
        <v>0.85</v>
      </c>
      <c r="L19" s="18">
        <f t="shared" si="9"/>
        <v>6125.0000000000009</v>
      </c>
      <c r="M19" s="16">
        <v>0</v>
      </c>
      <c r="N19" s="19">
        <f t="shared" si="10"/>
        <v>400.00000000000091</v>
      </c>
      <c r="O19" s="91">
        <v>0.85</v>
      </c>
      <c r="P19" s="92">
        <v>0.88</v>
      </c>
      <c r="Q19" s="92">
        <v>0.85</v>
      </c>
      <c r="R19" s="18">
        <f t="shared" si="3"/>
        <v>1290</v>
      </c>
      <c r="S19" s="16">
        <v>0</v>
      </c>
      <c r="T19" s="19">
        <f t="shared" si="4"/>
        <v>60</v>
      </c>
      <c r="U19" s="37">
        <f t="shared" si="5"/>
        <v>460.00000000000091</v>
      </c>
      <c r="V19" s="93">
        <v>647357</v>
      </c>
      <c r="W19" s="94">
        <v>64973</v>
      </c>
      <c r="X19" s="94">
        <v>14928</v>
      </c>
      <c r="Y19" s="43">
        <f t="shared" si="12"/>
        <v>567456</v>
      </c>
      <c r="Z19" s="19">
        <f t="shared" si="1"/>
        <v>148</v>
      </c>
      <c r="AA19" s="95">
        <v>7388.2</v>
      </c>
      <c r="AB19" s="96">
        <v>0</v>
      </c>
      <c r="AC19" s="19">
        <f t="shared" si="11"/>
        <v>814.69999999999982</v>
      </c>
      <c r="AD19" s="97">
        <v>164</v>
      </c>
      <c r="AE19" s="98">
        <v>366</v>
      </c>
    </row>
    <row r="20" spans="1:31" x14ac:dyDescent="0.2">
      <c r="A20" s="11">
        <v>45766</v>
      </c>
      <c r="B20" s="38">
        <v>16736390</v>
      </c>
      <c r="C20" s="88">
        <f>SUM(4018.8+1712670.7+588878+9880.9+249087+26945)</f>
        <v>2591480.4</v>
      </c>
      <c r="D20" s="89">
        <f t="shared" si="2"/>
        <v>14144909.6</v>
      </c>
      <c r="E20" s="14">
        <f t="shared" si="0"/>
        <v>9844</v>
      </c>
      <c r="F20" s="90">
        <v>18250</v>
      </c>
      <c r="G20" s="13">
        <v>0</v>
      </c>
      <c r="H20" s="14">
        <f t="shared" si="8"/>
        <v>1437</v>
      </c>
      <c r="I20" s="91">
        <v>0.75</v>
      </c>
      <c r="J20" s="92">
        <v>0.77</v>
      </c>
      <c r="K20" s="92">
        <v>0.77</v>
      </c>
      <c r="L20" s="18">
        <f t="shared" si="9"/>
        <v>5725</v>
      </c>
      <c r="M20" s="16">
        <v>0</v>
      </c>
      <c r="N20" s="19">
        <f t="shared" si="10"/>
        <v>225</v>
      </c>
      <c r="O20" s="91">
        <v>0.82</v>
      </c>
      <c r="P20" s="92">
        <v>0.82</v>
      </c>
      <c r="Q20" s="92">
        <v>0.82</v>
      </c>
      <c r="R20" s="18">
        <f t="shared" si="3"/>
        <v>1230</v>
      </c>
      <c r="S20" s="16">
        <v>0</v>
      </c>
      <c r="T20" s="19">
        <f t="shared" si="4"/>
        <v>55</v>
      </c>
      <c r="U20" s="37">
        <f t="shared" si="5"/>
        <v>280</v>
      </c>
      <c r="V20" s="93">
        <v>647658</v>
      </c>
      <c r="W20" s="94">
        <v>65084</v>
      </c>
      <c r="X20" s="94">
        <v>14970</v>
      </c>
      <c r="Y20" s="43">
        <f t="shared" si="12"/>
        <v>567604</v>
      </c>
      <c r="Z20" s="19">
        <v>94</v>
      </c>
      <c r="AA20" s="95">
        <v>6573.5</v>
      </c>
      <c r="AB20" s="96">
        <v>0</v>
      </c>
      <c r="AC20" s="19">
        <f t="shared" si="11"/>
        <v>814.69999999999982</v>
      </c>
      <c r="AD20" s="97">
        <v>152</v>
      </c>
      <c r="AE20" s="98">
        <v>336</v>
      </c>
    </row>
    <row r="21" spans="1:31" x14ac:dyDescent="0.2">
      <c r="A21" s="11">
        <v>45767</v>
      </c>
      <c r="B21" s="99">
        <v>16746234</v>
      </c>
      <c r="C21" s="100">
        <f>SUM(4019.8+1713171.6+588878+9882+249234+26963)</f>
        <v>2592148.4000000004</v>
      </c>
      <c r="D21" s="101">
        <f t="shared" si="2"/>
        <v>14154085.6</v>
      </c>
      <c r="E21" s="45">
        <f t="shared" si="0"/>
        <v>9738</v>
      </c>
      <c r="F21" s="102">
        <v>16813</v>
      </c>
      <c r="G21" s="46">
        <v>0</v>
      </c>
      <c r="H21" s="45">
        <f t="shared" si="8"/>
        <v>1767</v>
      </c>
      <c r="I21" s="103">
        <v>0.7</v>
      </c>
      <c r="J21" s="104">
        <v>0.75</v>
      </c>
      <c r="K21" s="104">
        <v>0.75</v>
      </c>
      <c r="L21" s="105">
        <f t="shared" si="9"/>
        <v>5500</v>
      </c>
      <c r="M21" s="106">
        <v>0</v>
      </c>
      <c r="N21" s="47">
        <f t="shared" si="10"/>
        <v>0</v>
      </c>
      <c r="O21" s="103">
        <v>0.8</v>
      </c>
      <c r="P21" s="104">
        <v>0.8</v>
      </c>
      <c r="Q21" s="104">
        <v>0.75</v>
      </c>
      <c r="R21" s="105">
        <f t="shared" si="3"/>
        <v>1175</v>
      </c>
      <c r="S21" s="106">
        <v>0</v>
      </c>
      <c r="T21" s="47">
        <f t="shared" si="4"/>
        <v>125.00000000000023</v>
      </c>
      <c r="U21" s="48">
        <f t="shared" si="5"/>
        <v>125.00000000000023</v>
      </c>
      <c r="V21" s="107">
        <v>647984</v>
      </c>
      <c r="W21" s="108">
        <v>65191</v>
      </c>
      <c r="X21" s="108">
        <v>15013</v>
      </c>
      <c r="Y21" s="49">
        <f t="shared" si="12"/>
        <v>567780</v>
      </c>
      <c r="Z21" s="47">
        <f t="shared" si="1"/>
        <v>144</v>
      </c>
      <c r="AA21" s="109">
        <v>5758.8</v>
      </c>
      <c r="AB21" s="110">
        <v>0</v>
      </c>
      <c r="AC21" s="47">
        <f t="shared" si="11"/>
        <v>814.69999999999982</v>
      </c>
      <c r="AD21" s="111">
        <v>133</v>
      </c>
      <c r="AE21" s="112">
        <v>300</v>
      </c>
    </row>
    <row r="22" spans="1:31" x14ac:dyDescent="0.2">
      <c r="A22" s="11">
        <v>45768</v>
      </c>
      <c r="B22" s="81">
        <v>16755972</v>
      </c>
      <c r="C22" s="82">
        <f>SUM(4020.8+1713634.2+588878+9883.9+249367+26974)</f>
        <v>2592757.9</v>
      </c>
      <c r="D22" s="42">
        <f t="shared" si="2"/>
        <v>14163214.1</v>
      </c>
      <c r="E22" s="83">
        <f t="shared" si="0"/>
        <v>9847</v>
      </c>
      <c r="F22" s="12">
        <v>15046</v>
      </c>
      <c r="G22" s="84">
        <v>0</v>
      </c>
      <c r="H22" s="83">
        <f t="shared" si="8"/>
        <v>1113</v>
      </c>
      <c r="I22" s="9">
        <v>0.75</v>
      </c>
      <c r="J22" s="15">
        <v>0.75</v>
      </c>
      <c r="K22" s="15">
        <v>0.7</v>
      </c>
      <c r="L22" s="17">
        <f t="shared" si="9"/>
        <v>5500</v>
      </c>
      <c r="M22" s="34">
        <v>0</v>
      </c>
      <c r="N22" s="85">
        <f t="shared" si="10"/>
        <v>125</v>
      </c>
      <c r="O22" s="9">
        <v>0.7</v>
      </c>
      <c r="P22" s="15">
        <v>0.7</v>
      </c>
      <c r="Q22" s="15">
        <v>0.7</v>
      </c>
      <c r="R22" s="17">
        <f>SUM(O22:Q22)/3*1500</f>
        <v>1049.9999999999998</v>
      </c>
      <c r="S22" s="34">
        <v>0</v>
      </c>
      <c r="T22" s="85">
        <f t="shared" si="4"/>
        <v>49.999999999999773</v>
      </c>
      <c r="U22" s="86">
        <f t="shared" si="5"/>
        <v>174.99999999999977</v>
      </c>
      <c r="V22" s="20">
        <v>648266</v>
      </c>
      <c r="W22" s="35">
        <v>65289</v>
      </c>
      <c r="X22" s="35">
        <v>15053</v>
      </c>
      <c r="Y22" s="87">
        <f t="shared" si="12"/>
        <v>567924</v>
      </c>
      <c r="Z22" s="85">
        <f t="shared" si="1"/>
        <v>132</v>
      </c>
      <c r="AA22" s="21">
        <v>4944.1000000000004</v>
      </c>
      <c r="AB22" s="22">
        <v>0</v>
      </c>
      <c r="AC22" s="85">
        <f t="shared" si="11"/>
        <v>814.70000000000073</v>
      </c>
      <c r="AD22" s="7">
        <v>77</v>
      </c>
      <c r="AE22" s="10">
        <v>174</v>
      </c>
    </row>
    <row r="23" spans="1:31" x14ac:dyDescent="0.2">
      <c r="A23" s="11">
        <v>45769</v>
      </c>
      <c r="B23" s="38">
        <v>16765819</v>
      </c>
      <c r="C23" s="88">
        <f>SUM(4021.8+1714099.2+588878+9885.1+249503+26996)</f>
        <v>2593383.1</v>
      </c>
      <c r="D23" s="89">
        <f t="shared" si="2"/>
        <v>14172435.9</v>
      </c>
      <c r="E23" s="14">
        <f t="shared" si="0"/>
        <v>8684</v>
      </c>
      <c r="F23" s="90">
        <v>13933</v>
      </c>
      <c r="G23" s="13">
        <v>0</v>
      </c>
      <c r="H23" s="14">
        <f t="shared" si="8"/>
        <v>979</v>
      </c>
      <c r="I23" s="91">
        <v>0.75</v>
      </c>
      <c r="J23" s="92">
        <v>0.7</v>
      </c>
      <c r="K23" s="92">
        <v>0.7</v>
      </c>
      <c r="L23" s="18">
        <f t="shared" si="9"/>
        <v>5375</v>
      </c>
      <c r="M23" s="16">
        <v>0</v>
      </c>
      <c r="N23" s="19">
        <f t="shared" si="10"/>
        <v>375</v>
      </c>
      <c r="O23" s="91">
        <v>0.65</v>
      </c>
      <c r="P23" s="92">
        <v>0.65</v>
      </c>
      <c r="Q23" s="92">
        <v>0.7</v>
      </c>
      <c r="R23" s="18">
        <f t="shared" si="3"/>
        <v>1000</v>
      </c>
      <c r="S23" s="16">
        <v>0</v>
      </c>
      <c r="T23" s="19">
        <f t="shared" si="4"/>
        <v>300.00000000000011</v>
      </c>
      <c r="U23" s="37">
        <f t="shared" si="5"/>
        <v>675.00000000000011</v>
      </c>
      <c r="V23" s="93">
        <v>648542</v>
      </c>
      <c r="W23" s="94">
        <v>65388</v>
      </c>
      <c r="X23" s="94">
        <v>15098</v>
      </c>
      <c r="Y23" s="43">
        <f t="shared" si="12"/>
        <v>568056</v>
      </c>
      <c r="Z23" s="19">
        <f t="shared" si="1"/>
        <v>109</v>
      </c>
      <c r="AA23" s="95">
        <v>4129.3999999999996</v>
      </c>
      <c r="AB23" s="96">
        <v>0</v>
      </c>
      <c r="AC23" s="19">
        <f t="shared" si="11"/>
        <v>814.69999999999982</v>
      </c>
      <c r="AD23" s="97">
        <v>66</v>
      </c>
      <c r="AE23" s="98">
        <v>142</v>
      </c>
    </row>
    <row r="24" spans="1:31" x14ac:dyDescent="0.2">
      <c r="A24" s="11">
        <v>45770</v>
      </c>
      <c r="B24" s="38">
        <v>16774503</v>
      </c>
      <c r="C24" s="88">
        <f>SUM(4022.7+1714500.1+588878+4885.3+249616+27019)</f>
        <v>2588921.0999999996</v>
      </c>
      <c r="D24" s="89">
        <f t="shared" si="2"/>
        <v>14185581.9</v>
      </c>
      <c r="E24" s="14">
        <f t="shared" si="0"/>
        <v>9355</v>
      </c>
      <c r="F24" s="90">
        <v>12954</v>
      </c>
      <c r="G24" s="13">
        <v>0</v>
      </c>
      <c r="H24" s="14">
        <f t="shared" si="8"/>
        <v>708</v>
      </c>
      <c r="I24" s="91">
        <v>0.65</v>
      </c>
      <c r="J24" s="92">
        <v>0.65</v>
      </c>
      <c r="K24" s="92">
        <v>0.7</v>
      </c>
      <c r="L24" s="18">
        <f t="shared" si="9"/>
        <v>5000</v>
      </c>
      <c r="M24" s="16">
        <v>0</v>
      </c>
      <c r="N24" s="19">
        <f t="shared" si="10"/>
        <v>250</v>
      </c>
      <c r="O24" s="91">
        <v>0.45</v>
      </c>
      <c r="P24" s="92">
        <v>0.45</v>
      </c>
      <c r="Q24" s="92">
        <v>0.5</v>
      </c>
      <c r="R24" s="18">
        <f t="shared" si="3"/>
        <v>699.99999999999989</v>
      </c>
      <c r="S24" s="16">
        <v>0</v>
      </c>
      <c r="T24" s="19">
        <f t="shared" si="4"/>
        <v>124.99999999999989</v>
      </c>
      <c r="U24" s="37">
        <f t="shared" si="5"/>
        <v>374.99999999999989</v>
      </c>
      <c r="V24" s="93">
        <v>648777</v>
      </c>
      <c r="W24" s="94">
        <v>65473</v>
      </c>
      <c r="X24" s="94">
        <v>15139</v>
      </c>
      <c r="Y24" s="43">
        <f t="shared" si="12"/>
        <v>568165</v>
      </c>
      <c r="Z24" s="19">
        <v>32</v>
      </c>
      <c r="AA24" s="95">
        <v>3314.7</v>
      </c>
      <c r="AB24" s="96">
        <v>0</v>
      </c>
      <c r="AC24" s="19">
        <f t="shared" si="11"/>
        <v>814.69999999999982</v>
      </c>
      <c r="AD24" s="97">
        <v>69</v>
      </c>
      <c r="AE24" s="98">
        <v>137</v>
      </c>
    </row>
    <row r="25" spans="1:31" x14ac:dyDescent="0.2">
      <c r="A25" s="11">
        <v>45771</v>
      </c>
      <c r="B25" s="38">
        <v>16783858</v>
      </c>
      <c r="C25" s="88">
        <f>SUM(4023.9+1714929.3+588878+9885.5+249760+27045)</f>
        <v>2594521.7000000002</v>
      </c>
      <c r="D25" s="89">
        <f t="shared" si="2"/>
        <v>14189336.300000001</v>
      </c>
      <c r="E25" s="14">
        <f t="shared" si="0"/>
        <v>9653</v>
      </c>
      <c r="F25" s="90">
        <v>12246</v>
      </c>
      <c r="G25" s="13">
        <v>0</v>
      </c>
      <c r="H25" s="14">
        <f t="shared" si="8"/>
        <v>423</v>
      </c>
      <c r="I25" s="91">
        <v>0.65</v>
      </c>
      <c r="J25" s="92">
        <v>0.65</v>
      </c>
      <c r="K25" s="92">
        <v>0.6</v>
      </c>
      <c r="L25" s="18">
        <f t="shared" si="9"/>
        <v>4750</v>
      </c>
      <c r="M25" s="16">
        <v>1712.88</v>
      </c>
      <c r="N25" s="19">
        <f t="shared" si="10"/>
        <v>212.88000000000011</v>
      </c>
      <c r="O25" s="91">
        <v>0.35</v>
      </c>
      <c r="P25" s="92">
        <v>0.4</v>
      </c>
      <c r="Q25" s="92">
        <v>0.4</v>
      </c>
      <c r="R25" s="18">
        <f t="shared" si="3"/>
        <v>575</v>
      </c>
      <c r="S25" s="16">
        <v>642.71</v>
      </c>
      <c r="T25" s="19">
        <f t="shared" si="4"/>
        <v>-32.289999999999964</v>
      </c>
      <c r="U25" s="37">
        <f t="shared" si="5"/>
        <v>180.59000000000015</v>
      </c>
      <c r="V25" s="93">
        <v>648998</v>
      </c>
      <c r="W25" s="94">
        <v>65554</v>
      </c>
      <c r="X25" s="94">
        <v>15183</v>
      </c>
      <c r="Y25" s="43">
        <f t="shared" si="12"/>
        <v>568261</v>
      </c>
      <c r="Z25" s="19">
        <f t="shared" si="1"/>
        <v>89</v>
      </c>
      <c r="AA25" s="95">
        <v>2500</v>
      </c>
      <c r="AB25" s="96">
        <v>7880</v>
      </c>
      <c r="AC25" s="19">
        <f t="shared" si="11"/>
        <v>654.28499999999985</v>
      </c>
      <c r="AD25" s="97">
        <v>71</v>
      </c>
      <c r="AE25" s="98">
        <v>142</v>
      </c>
    </row>
    <row r="26" spans="1:31" x14ac:dyDescent="0.2">
      <c r="A26" s="11">
        <v>45772</v>
      </c>
      <c r="B26" s="38">
        <v>16793511</v>
      </c>
      <c r="C26" s="88">
        <f>SUM(4025+1715390.6+588891+9885.7+249894+27071)</f>
        <v>2595157.3000000003</v>
      </c>
      <c r="D26" s="89">
        <f t="shared" si="2"/>
        <v>14198353.699999999</v>
      </c>
      <c r="E26" s="14">
        <f t="shared" si="0"/>
        <v>9185</v>
      </c>
      <c r="F26" s="90">
        <v>11823</v>
      </c>
      <c r="G26" s="13">
        <v>0</v>
      </c>
      <c r="H26" s="14">
        <f t="shared" si="8"/>
        <v>564</v>
      </c>
      <c r="I26" s="91">
        <v>0.85</v>
      </c>
      <c r="J26" s="92">
        <v>0.8</v>
      </c>
      <c r="K26" s="92">
        <v>0.85</v>
      </c>
      <c r="L26" s="18">
        <f t="shared" si="9"/>
        <v>6250</v>
      </c>
      <c r="M26" s="16">
        <v>0</v>
      </c>
      <c r="N26" s="19">
        <f t="shared" si="10"/>
        <v>250.00000000000091</v>
      </c>
      <c r="O26" s="91">
        <v>0.85</v>
      </c>
      <c r="P26" s="92">
        <v>0.85</v>
      </c>
      <c r="Q26" s="92">
        <v>0.8</v>
      </c>
      <c r="R26" s="18">
        <f t="shared" si="3"/>
        <v>1250</v>
      </c>
      <c r="S26" s="16">
        <v>0</v>
      </c>
      <c r="T26" s="19">
        <f t="shared" si="4"/>
        <v>24.999999999999773</v>
      </c>
      <c r="U26" s="37">
        <f t="shared" si="5"/>
        <v>275.00000000000068</v>
      </c>
      <c r="V26" s="93">
        <v>649241</v>
      </c>
      <c r="W26" s="94">
        <v>65662</v>
      </c>
      <c r="X26" s="94">
        <v>15229</v>
      </c>
      <c r="Y26" s="43">
        <f t="shared" si="12"/>
        <v>568350</v>
      </c>
      <c r="Z26" s="19">
        <f t="shared" si="1"/>
        <v>170</v>
      </c>
      <c r="AA26" s="95">
        <v>9725.7150000000001</v>
      </c>
      <c r="AB26" s="96">
        <v>0</v>
      </c>
      <c r="AC26" s="19">
        <f t="shared" si="11"/>
        <v>654.28499999999985</v>
      </c>
      <c r="AD26" s="97">
        <v>70</v>
      </c>
      <c r="AE26" s="98">
        <v>135</v>
      </c>
    </row>
    <row r="27" spans="1:31" x14ac:dyDescent="0.2">
      <c r="A27" s="11">
        <v>45773</v>
      </c>
      <c r="B27" s="38">
        <v>16802696</v>
      </c>
      <c r="C27" s="88">
        <f>SUM(4026.1+1715849+588891+9885.9+250002+27097)</f>
        <v>2595751</v>
      </c>
      <c r="D27" s="89">
        <f t="shared" si="2"/>
        <v>14206945</v>
      </c>
      <c r="E27" s="14">
        <f t="shared" si="0"/>
        <v>8834</v>
      </c>
      <c r="F27" s="90">
        <v>11259</v>
      </c>
      <c r="G27" s="13">
        <v>0</v>
      </c>
      <c r="H27" s="14">
        <f t="shared" si="8"/>
        <v>1124</v>
      </c>
      <c r="I27" s="91">
        <v>0.8</v>
      </c>
      <c r="J27" s="92">
        <v>0.75</v>
      </c>
      <c r="K27" s="92">
        <v>0.85</v>
      </c>
      <c r="L27" s="18">
        <f t="shared" si="9"/>
        <v>5999.9999999999991</v>
      </c>
      <c r="M27" s="16">
        <v>0</v>
      </c>
      <c r="N27" s="19">
        <f t="shared" si="10"/>
        <v>174.99999999999818</v>
      </c>
      <c r="O27" s="91">
        <v>0.85</v>
      </c>
      <c r="P27" s="92">
        <v>0.8</v>
      </c>
      <c r="Q27" s="92">
        <v>0.8</v>
      </c>
      <c r="R27" s="18">
        <f t="shared" si="3"/>
        <v>1225.0000000000002</v>
      </c>
      <c r="S27" s="16">
        <v>0</v>
      </c>
      <c r="T27" s="19">
        <f t="shared" si="4"/>
        <v>25</v>
      </c>
      <c r="U27" s="37">
        <f t="shared" si="5"/>
        <v>199.99999999999818</v>
      </c>
      <c r="V27" s="93">
        <v>649540</v>
      </c>
      <c r="W27" s="94">
        <v>65751</v>
      </c>
      <c r="X27" s="94">
        <v>15269</v>
      </c>
      <c r="Y27" s="43">
        <f t="shared" si="12"/>
        <v>568520</v>
      </c>
      <c r="Z27" s="19">
        <f t="shared" si="1"/>
        <v>72</v>
      </c>
      <c r="AA27" s="95">
        <v>9071.43</v>
      </c>
      <c r="AB27" s="96">
        <v>0</v>
      </c>
      <c r="AC27" s="19">
        <f t="shared" si="11"/>
        <v>654.28499999999985</v>
      </c>
      <c r="AD27" s="97">
        <v>65</v>
      </c>
      <c r="AE27" s="98">
        <v>126</v>
      </c>
    </row>
    <row r="28" spans="1:31" x14ac:dyDescent="0.2">
      <c r="A28" s="11">
        <v>45774</v>
      </c>
      <c r="B28" s="99">
        <v>16811530</v>
      </c>
      <c r="C28" s="100">
        <f>SUM(4026.9+1716239+588892+9886.1+250129+27122)</f>
        <v>2596295</v>
      </c>
      <c r="D28" s="101">
        <f t="shared" si="2"/>
        <v>14215235</v>
      </c>
      <c r="E28" s="45">
        <f t="shared" si="0"/>
        <v>8654</v>
      </c>
      <c r="F28" s="102">
        <v>10135</v>
      </c>
      <c r="G28" s="46">
        <v>0</v>
      </c>
      <c r="H28" s="45">
        <f t="shared" si="8"/>
        <v>837</v>
      </c>
      <c r="I28" s="103">
        <v>0.8</v>
      </c>
      <c r="J28" s="104">
        <v>0.73</v>
      </c>
      <c r="K28" s="104">
        <v>0.8</v>
      </c>
      <c r="L28" s="105">
        <f t="shared" si="9"/>
        <v>5825.0000000000009</v>
      </c>
      <c r="M28" s="106">
        <v>0</v>
      </c>
      <c r="N28" s="47">
        <f t="shared" si="10"/>
        <v>175.00000000000091</v>
      </c>
      <c r="O28" s="103">
        <v>0.85</v>
      </c>
      <c r="P28" s="104">
        <v>0.75</v>
      </c>
      <c r="Q28" s="104">
        <v>0.8</v>
      </c>
      <c r="R28" s="105">
        <f t="shared" si="3"/>
        <v>1200.0000000000002</v>
      </c>
      <c r="S28" s="106">
        <v>0</v>
      </c>
      <c r="T28" s="47">
        <f t="shared" si="4"/>
        <v>100.00000000000023</v>
      </c>
      <c r="U28" s="48">
        <f t="shared" si="5"/>
        <v>275.00000000000114</v>
      </c>
      <c r="V28" s="107">
        <v>649762</v>
      </c>
      <c r="W28" s="108">
        <v>65857</v>
      </c>
      <c r="X28" s="108">
        <v>15313</v>
      </c>
      <c r="Y28" s="49">
        <f t="shared" si="12"/>
        <v>568592</v>
      </c>
      <c r="Z28" s="47">
        <f t="shared" si="1"/>
        <v>79</v>
      </c>
      <c r="AA28" s="109">
        <v>8417.1450000000004</v>
      </c>
      <c r="AB28" s="110">
        <v>0</v>
      </c>
      <c r="AC28" s="47">
        <f t="shared" si="11"/>
        <v>654.28500000000076</v>
      </c>
      <c r="AD28" s="111">
        <v>37</v>
      </c>
      <c r="AE28" s="112">
        <v>77</v>
      </c>
    </row>
    <row r="29" spans="1:31" x14ac:dyDescent="0.2">
      <c r="A29" s="11">
        <v>45775</v>
      </c>
      <c r="B29" s="81">
        <v>16820184</v>
      </c>
      <c r="C29" s="82">
        <f>SUM(4027.9+1716653.7+588892+9886.6+250259+27146)</f>
        <v>2596865.1999999997</v>
      </c>
      <c r="D29" s="42">
        <f t="shared" si="2"/>
        <v>14223318.800000001</v>
      </c>
      <c r="E29" s="83">
        <f t="shared" si="0"/>
        <v>8756</v>
      </c>
      <c r="F29" s="12">
        <v>9298</v>
      </c>
      <c r="G29" s="84">
        <v>0</v>
      </c>
      <c r="H29" s="83">
        <f t="shared" si="8"/>
        <v>828</v>
      </c>
      <c r="I29" s="9">
        <v>0.78</v>
      </c>
      <c r="J29" s="15">
        <v>0.7</v>
      </c>
      <c r="K29" s="15">
        <v>0.78</v>
      </c>
      <c r="L29" s="17">
        <f t="shared" si="9"/>
        <v>5650</v>
      </c>
      <c r="M29" s="34">
        <v>0</v>
      </c>
      <c r="N29" s="85">
        <f t="shared" si="10"/>
        <v>200</v>
      </c>
      <c r="O29" s="9">
        <v>0.75</v>
      </c>
      <c r="P29" s="15">
        <v>0.75</v>
      </c>
      <c r="Q29" s="15">
        <v>0.7</v>
      </c>
      <c r="R29" s="17">
        <f t="shared" si="3"/>
        <v>1100</v>
      </c>
      <c r="S29" s="34">
        <v>0</v>
      </c>
      <c r="T29" s="85">
        <f t="shared" si="4"/>
        <v>125.00000000000011</v>
      </c>
      <c r="U29" s="86">
        <f t="shared" si="5"/>
        <v>325.00000000000011</v>
      </c>
      <c r="V29" s="20">
        <v>649981</v>
      </c>
      <c r="W29" s="35">
        <v>65954</v>
      </c>
      <c r="X29" s="35">
        <v>15356</v>
      </c>
      <c r="Y29" s="87">
        <f t="shared" si="12"/>
        <v>568671</v>
      </c>
      <c r="Z29" s="85">
        <f t="shared" si="1"/>
        <v>92</v>
      </c>
      <c r="AA29" s="21">
        <v>7762.86</v>
      </c>
      <c r="AB29" s="22">
        <v>0</v>
      </c>
      <c r="AC29" s="85">
        <f t="shared" si="11"/>
        <v>654.28499999999985</v>
      </c>
      <c r="AD29" s="7">
        <v>38</v>
      </c>
      <c r="AE29" s="10">
        <v>76</v>
      </c>
    </row>
    <row r="30" spans="1:31" x14ac:dyDescent="0.2">
      <c r="A30" s="11">
        <v>45776</v>
      </c>
      <c r="B30" s="38">
        <v>16828940</v>
      </c>
      <c r="C30" s="88">
        <f>SUM(4028.8+1717041.5+588892+9886.9+250384+27170)</f>
        <v>2597403.1999999997</v>
      </c>
      <c r="D30" s="89">
        <f t="shared" si="2"/>
        <v>14231536.800000001</v>
      </c>
      <c r="E30" s="14">
        <f t="shared" si="0"/>
        <v>8455</v>
      </c>
      <c r="F30" s="90">
        <v>8470</v>
      </c>
      <c r="G30" s="13">
        <v>0</v>
      </c>
      <c r="H30" s="14">
        <f>F30+G30-F31</f>
        <v>682</v>
      </c>
      <c r="I30" s="91">
        <v>0.75</v>
      </c>
      <c r="J30" s="92">
        <v>0.68</v>
      </c>
      <c r="K30" s="92">
        <v>0.75</v>
      </c>
      <c r="L30" s="18">
        <f t="shared" si="9"/>
        <v>5450</v>
      </c>
      <c r="M30" s="16">
        <v>0</v>
      </c>
      <c r="N30" s="19">
        <f t="shared" si="10"/>
        <v>125</v>
      </c>
      <c r="O30" s="91">
        <v>0.7</v>
      </c>
      <c r="P30" s="92">
        <v>0.6</v>
      </c>
      <c r="Q30" s="92">
        <v>0.65</v>
      </c>
      <c r="R30" s="18">
        <f t="shared" si="3"/>
        <v>974.99999999999989</v>
      </c>
      <c r="S30" s="16">
        <v>0</v>
      </c>
      <c r="T30" s="19">
        <f t="shared" si="4"/>
        <v>99.999999999999886</v>
      </c>
      <c r="U30" s="37">
        <f t="shared" si="5"/>
        <v>224.99999999999989</v>
      </c>
      <c r="V30" s="93">
        <v>650217</v>
      </c>
      <c r="W30" s="94">
        <v>66054</v>
      </c>
      <c r="X30" s="94">
        <v>15400</v>
      </c>
      <c r="Y30" s="43">
        <f t="shared" si="12"/>
        <v>568763</v>
      </c>
      <c r="Z30" s="19">
        <f t="shared" si="1"/>
        <v>78</v>
      </c>
      <c r="AA30" s="95">
        <v>7108.5749999999998</v>
      </c>
      <c r="AB30" s="96">
        <v>0</v>
      </c>
      <c r="AC30" s="19">
        <f t="shared" si="11"/>
        <v>654.28499999999985</v>
      </c>
      <c r="AD30" s="97">
        <v>43</v>
      </c>
      <c r="AE30" s="98">
        <v>89</v>
      </c>
    </row>
    <row r="31" spans="1:31" x14ac:dyDescent="0.2">
      <c r="A31" s="11">
        <v>45777</v>
      </c>
      <c r="B31" s="38">
        <v>16837395</v>
      </c>
      <c r="C31" s="88">
        <f>SUM(4029.7+1717410.3+588892+9887+250494+27192)</f>
        <v>2597905</v>
      </c>
      <c r="D31" s="89">
        <f t="shared" si="2"/>
        <v>14239490</v>
      </c>
      <c r="E31" s="14">
        <f t="shared" si="0"/>
        <v>9433</v>
      </c>
      <c r="F31" s="90">
        <v>7788</v>
      </c>
      <c r="G31" s="13">
        <v>11400</v>
      </c>
      <c r="H31" s="14">
        <f>F31+G31-F32</f>
        <v>1194</v>
      </c>
      <c r="I31" s="91">
        <v>0.7</v>
      </c>
      <c r="J31" s="92">
        <v>0.68</v>
      </c>
      <c r="K31" s="92">
        <v>0.75</v>
      </c>
      <c r="L31" s="18">
        <f t="shared" si="9"/>
        <v>5325</v>
      </c>
      <c r="M31" s="16">
        <v>1210.93</v>
      </c>
      <c r="N31" s="19">
        <f>SUM(L31+M31-L32)</f>
        <v>60.930000000000291</v>
      </c>
      <c r="O31" s="91">
        <v>0.6</v>
      </c>
      <c r="P31" s="92">
        <v>0.55000000000000004</v>
      </c>
      <c r="Q31" s="92">
        <v>0.6</v>
      </c>
      <c r="R31" s="18">
        <f t="shared" si="3"/>
        <v>875</v>
      </c>
      <c r="S31" s="16">
        <v>460.82</v>
      </c>
      <c r="T31" s="19">
        <f t="shared" si="4"/>
        <v>40.819999999999936</v>
      </c>
      <c r="U31" s="37">
        <f t="shared" si="5"/>
        <v>101.75000000000023</v>
      </c>
      <c r="V31" s="93">
        <v>650427</v>
      </c>
      <c r="W31" s="94">
        <v>66144</v>
      </c>
      <c r="X31" s="94">
        <v>15442</v>
      </c>
      <c r="Y31" s="43">
        <f t="shared" si="12"/>
        <v>568841</v>
      </c>
      <c r="Z31" s="19">
        <f t="shared" si="1"/>
        <v>98</v>
      </c>
      <c r="AA31" s="95">
        <v>6454.29</v>
      </c>
      <c r="AB31" s="96">
        <v>0</v>
      </c>
      <c r="AC31" s="19">
        <f t="shared" si="11"/>
        <v>654.29</v>
      </c>
      <c r="AD31" s="97">
        <v>49</v>
      </c>
      <c r="AE31" s="98">
        <v>100</v>
      </c>
    </row>
    <row r="32" spans="1:31" ht="13.5" thickBot="1" x14ac:dyDescent="0.25">
      <c r="A32" s="11">
        <v>45778</v>
      </c>
      <c r="B32" s="38">
        <v>16846828</v>
      </c>
      <c r="C32" s="80">
        <f>SUM(4030.5+1717760.8+588891+9887.2+250602+27214)</f>
        <v>2598385.5</v>
      </c>
      <c r="D32" s="89">
        <f t="shared" si="2"/>
        <v>14248442.5</v>
      </c>
      <c r="E32" s="14"/>
      <c r="F32" s="90">
        <v>17994</v>
      </c>
      <c r="G32" s="13">
        <v>0</v>
      </c>
      <c r="H32" s="14"/>
      <c r="I32" s="113">
        <v>0.87</v>
      </c>
      <c r="J32" s="114">
        <v>0.86</v>
      </c>
      <c r="K32" s="114">
        <v>0.86</v>
      </c>
      <c r="L32" s="115">
        <f t="shared" si="9"/>
        <v>6475</v>
      </c>
      <c r="M32" s="116">
        <v>0</v>
      </c>
      <c r="N32" s="117"/>
      <c r="O32" s="113">
        <v>0.87</v>
      </c>
      <c r="P32" s="114">
        <v>0.87</v>
      </c>
      <c r="Q32" s="114">
        <v>0.85</v>
      </c>
      <c r="R32" s="115">
        <f t="shared" si="3"/>
        <v>1295</v>
      </c>
      <c r="S32" s="116">
        <v>0</v>
      </c>
      <c r="T32" s="117"/>
      <c r="U32" s="118"/>
      <c r="V32" s="93">
        <v>650658</v>
      </c>
      <c r="W32" s="94">
        <v>66235</v>
      </c>
      <c r="X32" s="94">
        <v>15484</v>
      </c>
      <c r="Y32" s="43">
        <f t="shared" si="12"/>
        <v>568939</v>
      </c>
      <c r="Z32" s="19"/>
      <c r="AA32" s="95">
        <v>5800</v>
      </c>
      <c r="AB32" s="96">
        <v>0</v>
      </c>
      <c r="AC32" s="19"/>
      <c r="AD32" s="97"/>
      <c r="AE32" s="98"/>
    </row>
    <row r="33" spans="1:31" ht="14.25" thickTop="1" thickBot="1" x14ac:dyDescent="0.25">
      <c r="A33" s="11">
        <v>45779</v>
      </c>
      <c r="B33" s="38"/>
      <c r="C33" s="80"/>
      <c r="D33" s="89">
        <f t="shared" si="2"/>
        <v>0</v>
      </c>
      <c r="E33" s="25"/>
      <c r="F33" s="90"/>
      <c r="G33" s="26"/>
      <c r="H33" s="25"/>
      <c r="I33" s="91"/>
      <c r="J33" s="92"/>
      <c r="K33" s="92"/>
      <c r="L33" s="39">
        <f t="shared" si="9"/>
        <v>0</v>
      </c>
      <c r="M33" s="16">
        <v>0</v>
      </c>
      <c r="N33" s="25"/>
      <c r="O33" s="91"/>
      <c r="P33" s="92"/>
      <c r="Q33" s="92"/>
      <c r="R33" s="39">
        <f t="shared" si="3"/>
        <v>0</v>
      </c>
      <c r="S33" s="16">
        <v>0</v>
      </c>
      <c r="T33" s="40"/>
      <c r="U33" s="41"/>
      <c r="V33" s="93"/>
      <c r="W33" s="94"/>
      <c r="X33" s="94"/>
      <c r="Y33" s="43">
        <f t="shared" si="12"/>
        <v>0</v>
      </c>
      <c r="Z33" s="25"/>
      <c r="AA33" s="95"/>
      <c r="AB33" s="96"/>
      <c r="AC33" s="23"/>
      <c r="AD33" s="24"/>
      <c r="AE33" s="24"/>
    </row>
    <row r="34" spans="1:31" s="33" customFormat="1" ht="10.5" thickTop="1" x14ac:dyDescent="0.2">
      <c r="A34" s="27"/>
      <c r="B34" s="30"/>
      <c r="C34" s="30"/>
      <c r="D34" s="30"/>
      <c r="E34" s="28">
        <f>SUM(E2:E33)</f>
        <v>277834</v>
      </c>
      <c r="F34" s="29"/>
      <c r="G34" s="29"/>
      <c r="H34" s="28">
        <f>SUM(H2:H33)</f>
        <v>23059</v>
      </c>
      <c r="I34" s="27"/>
      <c r="J34" s="27"/>
      <c r="K34" s="27"/>
      <c r="L34" s="27"/>
      <c r="M34" s="29">
        <f>SUM(M2:M33)</f>
        <v>7265.17</v>
      </c>
      <c r="N34" s="28">
        <f>SUM(N2:N33)</f>
        <v>6165.17</v>
      </c>
      <c r="O34" s="27"/>
      <c r="P34" s="27"/>
      <c r="Q34" s="27"/>
      <c r="R34" s="27"/>
      <c r="S34" s="29">
        <f>SUM(S2:S33)</f>
        <v>2356.29</v>
      </c>
      <c r="T34" s="28">
        <f>SUM(T2:T33)</f>
        <v>2381.29</v>
      </c>
      <c r="U34" s="28">
        <f>SUM(U2:U33)</f>
        <v>8546.4600000000009</v>
      </c>
      <c r="V34" s="27"/>
      <c r="W34" s="27"/>
      <c r="X34" s="27"/>
      <c r="Y34" s="27"/>
      <c r="Z34" s="28">
        <f>SUM(Z2:Z33)</f>
        <v>3059</v>
      </c>
      <c r="AA34" s="27"/>
      <c r="AB34" s="27">
        <f>SUM(AB2:AB33)</f>
        <v>32405</v>
      </c>
      <c r="AC34" s="28">
        <f>SUM(AC2:AC33)</f>
        <v>25577.500000000004</v>
      </c>
      <c r="AD34" s="31">
        <f>SUM(AD2:AD33)</f>
        <v>2461</v>
      </c>
      <c r="AE34" s="32">
        <f>SUM(AE2:AE32)</f>
        <v>4794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2025-05-17T08:40:43Z</dcterms:modified>
  <cp:category/>
  <cp:contentStatus/>
</cp:coreProperties>
</file>