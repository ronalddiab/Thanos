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workbookPr/>
  <mc:AlternateContent xmlns:mc="http://schemas.openxmlformats.org/markup-compatibility/2006">
    <mc:Choice Requires="x15">
      <x15ac:absPath xmlns:x15ac="http://schemas.microsoft.com/office/spreadsheetml/2010/11/ac" url="C:\Users\Cok.Krisyana\OneDrive - Four Seasons Hotels Limited\Documents\HEP 2019\"/>
    </mc:Choice>
  </mc:AlternateContent>
  <xr:revisionPtr revIDLastSave="40" documentId="11_FB71BE589D5EFEBE6CADB58FEEFCEE92847A3265" xr6:coauthVersionLast="47" xr6:coauthVersionMax="47" xr10:uidLastSave="{716B4281-E037-47EC-962E-BD65B25B1005}"/>
  <bookViews>
    <workbookView xWindow="0" yWindow="0" windowWidth="28800" windowHeight="12435" tabRatio="762" firstSheet="1" activeTab="1" xr2:uid="{00000000-000D-0000-FFFF-FFFF00000000}"/>
  </bookViews>
  <sheets>
    <sheet name="TOTAL" sheetId="11" r:id="rId1"/>
    <sheet name="FS Jimbaran April 2018" sheetId="14" r:id="rId2"/>
    <sheet name="RNs &amp; Covers April 2018" sheetId="10" r:id="rId3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0" i="14" l="1"/>
  <c r="V50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12" i="14"/>
  <c r="C47" i="14"/>
  <c r="D47" i="14"/>
  <c r="AB13" i="14" l="1"/>
  <c r="AB14" i="14"/>
  <c r="AB15" i="14"/>
  <c r="AB16" i="14"/>
  <c r="AB17" i="14"/>
  <c r="AB18" i="14"/>
  <c r="AB19" i="14"/>
  <c r="AB20" i="14"/>
  <c r="AB21" i="14"/>
  <c r="AB22" i="14"/>
  <c r="AB23" i="14"/>
  <c r="AB24" i="14"/>
  <c r="AB25" i="14"/>
  <c r="AB26" i="14"/>
  <c r="AB27" i="14"/>
  <c r="AB28" i="14"/>
  <c r="AB29" i="14"/>
  <c r="AB30" i="14"/>
  <c r="AB31" i="14"/>
  <c r="AB32" i="14"/>
  <c r="AB33" i="14"/>
  <c r="AB34" i="14"/>
  <c r="AB35" i="14"/>
  <c r="AB36" i="14"/>
  <c r="AB37" i="14"/>
  <c r="AB38" i="14"/>
  <c r="AB39" i="14"/>
  <c r="AB40" i="14"/>
  <c r="AB41" i="14"/>
  <c r="AB12" i="14"/>
  <c r="N12" i="14" l="1"/>
  <c r="P12" i="14"/>
  <c r="Q12" i="14"/>
  <c r="V12" i="14"/>
  <c r="W12" i="14"/>
  <c r="N13" i="14"/>
  <c r="O13" i="14" s="1"/>
  <c r="P13" i="14"/>
  <c r="Q13" i="14"/>
  <c r="V13" i="14"/>
  <c r="W13" i="14" s="1"/>
  <c r="O12" i="14" l="1"/>
  <c r="N32" i="14" l="1"/>
  <c r="N33" i="14"/>
  <c r="N34" i="14"/>
  <c r="N35" i="14"/>
  <c r="N36" i="14"/>
  <c r="N37" i="14"/>
  <c r="N38" i="14"/>
  <c r="N39" i="14"/>
  <c r="N40" i="14"/>
  <c r="N41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C38" i="10" l="1"/>
  <c r="B38" i="10"/>
  <c r="AD40" i="14"/>
  <c r="AG40" i="14"/>
  <c r="AG41" i="14"/>
  <c r="AD41" i="14"/>
  <c r="V40" i="14"/>
  <c r="W40" i="14" s="1"/>
  <c r="V41" i="14"/>
  <c r="W41" i="14" s="1"/>
  <c r="Q40" i="14"/>
  <c r="Q41" i="14"/>
  <c r="P40" i="14"/>
  <c r="P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Q33" i="14" l="1"/>
  <c r="Q34" i="14"/>
  <c r="Q35" i="14"/>
  <c r="Q36" i="14"/>
  <c r="Q37" i="14"/>
  <c r="Q38" i="14"/>
  <c r="Q39" i="14"/>
  <c r="Q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G31" i="14" l="1"/>
  <c r="AG32" i="14"/>
  <c r="AG33" i="14"/>
  <c r="AG34" i="14"/>
  <c r="AG35" i="14"/>
  <c r="AG36" i="14"/>
  <c r="AG37" i="14"/>
  <c r="AG38" i="14"/>
  <c r="AG39" i="14"/>
  <c r="AD31" i="14"/>
  <c r="AD32" i="14"/>
  <c r="AD33" i="14"/>
  <c r="AD34" i="14"/>
  <c r="AD35" i="14"/>
  <c r="AD36" i="14"/>
  <c r="AD37" i="14"/>
  <c r="AD38" i="14"/>
  <c r="AD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V31" i="14"/>
  <c r="V32" i="14"/>
  <c r="V33" i="14"/>
  <c r="V34" i="14"/>
  <c r="V35" i="14"/>
  <c r="V36" i="14"/>
  <c r="V37" i="14"/>
  <c r="V38" i="14"/>
  <c r="V39" i="14"/>
  <c r="Q31" i="14"/>
  <c r="K21" i="11" s="1"/>
  <c r="Q32" i="14"/>
  <c r="K22" i="11" s="1"/>
  <c r="K23" i="11"/>
  <c r="K24" i="11"/>
  <c r="K25" i="11"/>
  <c r="K26" i="11"/>
  <c r="K27" i="11"/>
  <c r="K28" i="11"/>
  <c r="K29" i="11"/>
  <c r="O37" i="14"/>
  <c r="O35" i="14"/>
  <c r="O32" i="14" l="1"/>
  <c r="O39" i="14"/>
  <c r="O33" i="14"/>
  <c r="O34" i="14"/>
  <c r="O36" i="14"/>
  <c r="O38" i="14"/>
  <c r="O31" i="14"/>
  <c r="L29" i="11"/>
  <c r="W39" i="14"/>
  <c r="L27" i="11"/>
  <c r="W37" i="14"/>
  <c r="L25" i="11"/>
  <c r="W35" i="14"/>
  <c r="L23" i="11"/>
  <c r="W33" i="14"/>
  <c r="L21" i="11"/>
  <c r="W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W38" i="14"/>
  <c r="L26" i="11"/>
  <c r="W36" i="14"/>
  <c r="L24" i="11"/>
  <c r="W34" i="14"/>
  <c r="L22" i="11"/>
  <c r="W32" i="14"/>
  <c r="E21" i="11" l="1"/>
  <c r="E22" i="11"/>
  <c r="F28" i="11"/>
  <c r="F26" i="11"/>
  <c r="F24" i="11"/>
  <c r="F22" i="11"/>
  <c r="F29" i="11"/>
  <c r="F27" i="11"/>
  <c r="F25" i="11"/>
  <c r="F23" i="11"/>
  <c r="F21" i="11"/>
  <c r="Q30" i="14" l="1"/>
  <c r="Q29" i="14"/>
  <c r="Q28" i="14"/>
  <c r="Q27" i="14"/>
  <c r="Q26" i="14"/>
  <c r="Q25" i="14"/>
  <c r="Q23" i="14"/>
  <c r="Q22" i="14"/>
  <c r="Q21" i="14"/>
  <c r="Q20" i="14"/>
  <c r="Q19" i="14"/>
  <c r="Q18" i="14"/>
  <c r="Q17" i="14"/>
  <c r="Q16" i="14"/>
  <c r="Q15" i="14"/>
  <c r="Q14" i="14"/>
  <c r="AE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Y47" i="14"/>
  <c r="Z47" i="14"/>
  <c r="J20" i="11"/>
  <c r="AG29" i="14"/>
  <c r="AG28" i="14"/>
  <c r="AG26" i="14"/>
  <c r="AD26" i="14"/>
  <c r="AG25" i="14"/>
  <c r="I15" i="11"/>
  <c r="P25" i="14"/>
  <c r="AG24" i="14"/>
  <c r="K14" i="11"/>
  <c r="AG23" i="14"/>
  <c r="P23" i="14"/>
  <c r="P21" i="14"/>
  <c r="AG20" i="14"/>
  <c r="V20" i="14"/>
  <c r="W20" i="14" s="1"/>
  <c r="I9" i="11"/>
  <c r="V19" i="14"/>
  <c r="W19" i="14" s="1"/>
  <c r="AG18" i="14"/>
  <c r="P18" i="14"/>
  <c r="AG17" i="14"/>
  <c r="I7" i="11"/>
  <c r="P17" i="14"/>
  <c r="AG16" i="14"/>
  <c r="K6" i="11"/>
  <c r="AG15" i="14"/>
  <c r="P15" i="14"/>
  <c r="AG13" i="14"/>
  <c r="K2" i="11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D22" i="14"/>
  <c r="H12" i="11"/>
  <c r="AD24" i="14"/>
  <c r="H14" i="11"/>
  <c r="AD25" i="14"/>
  <c r="H15" i="11"/>
  <c r="G16" i="11"/>
  <c r="H16" i="11"/>
  <c r="AD28" i="14"/>
  <c r="H18" i="11"/>
  <c r="AD29" i="14"/>
  <c r="H19" i="11"/>
  <c r="AD30" i="14"/>
  <c r="H20" i="11"/>
  <c r="AD14" i="14"/>
  <c r="H4" i="11"/>
  <c r="AD16" i="14"/>
  <c r="H6" i="11"/>
  <c r="AD20" i="14"/>
  <c r="H10" i="11"/>
  <c r="AD27" i="14"/>
  <c r="H17" i="11"/>
  <c r="O29" i="14"/>
  <c r="O27" i="14"/>
  <c r="G20" i="11"/>
  <c r="O20" i="14"/>
  <c r="O30" i="14"/>
  <c r="G15" i="11"/>
  <c r="G14" i="11"/>
  <c r="O28" i="14"/>
  <c r="J13" i="11"/>
  <c r="J14" i="11"/>
  <c r="AG30" i="14"/>
  <c r="J6" i="11"/>
  <c r="J5" i="11"/>
  <c r="G7" i="11"/>
  <c r="G11" i="11"/>
  <c r="AG27" i="14"/>
  <c r="J17" i="11"/>
  <c r="G13" i="11"/>
  <c r="J4" i="11"/>
  <c r="AG14" i="14"/>
  <c r="G5" i="11"/>
  <c r="G3" i="11"/>
  <c r="AG21" i="14"/>
  <c r="J11" i="11"/>
  <c r="J12" i="11"/>
  <c r="AG22" i="14"/>
  <c r="J47" i="14"/>
  <c r="G47" i="14"/>
  <c r="R47" i="14"/>
  <c r="V15" i="14"/>
  <c r="V17" i="14"/>
  <c r="V23" i="14"/>
  <c r="O24" i="14"/>
  <c r="P27" i="14"/>
  <c r="P29" i="14"/>
  <c r="P30" i="14"/>
  <c r="J16" i="11"/>
  <c r="J8" i="11"/>
  <c r="K3" i="11"/>
  <c r="G6" i="11"/>
  <c r="I12" i="11"/>
  <c r="I4" i="11"/>
  <c r="J15" i="11"/>
  <c r="O19" i="14"/>
  <c r="G12" i="11"/>
  <c r="G4" i="11"/>
  <c r="I18" i="11"/>
  <c r="K16" i="11"/>
  <c r="K8" i="11"/>
  <c r="L47" i="14"/>
  <c r="P14" i="14"/>
  <c r="P20" i="14"/>
  <c r="P22" i="14"/>
  <c r="V29" i="14"/>
  <c r="G19" i="11"/>
  <c r="I17" i="11"/>
  <c r="K15" i="11"/>
  <c r="K7" i="11"/>
  <c r="L10" i="11"/>
  <c r="AA47" i="14"/>
  <c r="I10" i="11"/>
  <c r="M47" i="14"/>
  <c r="P16" i="14"/>
  <c r="O18" i="14"/>
  <c r="O21" i="14"/>
  <c r="V27" i="14"/>
  <c r="G18" i="11"/>
  <c r="G10" i="11"/>
  <c r="I16" i="11"/>
  <c r="I8" i="11"/>
  <c r="J19" i="11"/>
  <c r="J3" i="11"/>
  <c r="L9" i="11"/>
  <c r="K47" i="14"/>
  <c r="O22" i="14"/>
  <c r="V24" i="14"/>
  <c r="P26" i="14"/>
  <c r="E47" i="14"/>
  <c r="O15" i="14"/>
  <c r="O16" i="14"/>
  <c r="P19" i="14"/>
  <c r="V21" i="14"/>
  <c r="O23" i="14"/>
  <c r="P28" i="14"/>
  <c r="G17" i="11"/>
  <c r="J18" i="11"/>
  <c r="J10" i="11"/>
  <c r="K13" i="11"/>
  <c r="K5" i="11"/>
  <c r="V25" i="14"/>
  <c r="F47" i="14"/>
  <c r="Q47" i="14"/>
  <c r="O14" i="14"/>
  <c r="V14" i="14"/>
  <c r="P24" i="14"/>
  <c r="O25" i="14"/>
  <c r="O26" i="14"/>
  <c r="I14" i="11"/>
  <c r="I6" i="11"/>
  <c r="K12" i="11"/>
  <c r="K4" i="11"/>
  <c r="L2" i="11"/>
  <c r="H2" i="11"/>
  <c r="V18" i="14"/>
  <c r="V26" i="14"/>
  <c r="V22" i="14"/>
  <c r="V30" i="14"/>
  <c r="H47" i="14"/>
  <c r="V28" i="14"/>
  <c r="J2" i="11"/>
  <c r="X47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D18" i="14"/>
  <c r="AD19" i="14"/>
  <c r="W24" i="14"/>
  <c r="L14" i="11"/>
  <c r="W22" i="14"/>
  <c r="L12" i="11"/>
  <c r="AD13" i="14"/>
  <c r="AD15" i="14"/>
  <c r="O17" i="14"/>
  <c r="W28" i="14"/>
  <c r="L18" i="11"/>
  <c r="W14" i="14"/>
  <c r="L4" i="11"/>
  <c r="W30" i="14"/>
  <c r="L20" i="11"/>
  <c r="W29" i="14"/>
  <c r="L19" i="11"/>
  <c r="S47" i="14"/>
  <c r="W18" i="14"/>
  <c r="L8" i="11"/>
  <c r="W25" i="14"/>
  <c r="L15" i="11"/>
  <c r="W23" i="14"/>
  <c r="L13" i="11"/>
  <c r="AD21" i="14"/>
  <c r="W26" i="14"/>
  <c r="L16" i="11"/>
  <c r="W17" i="14"/>
  <c r="L7" i="11"/>
  <c r="T47" i="14"/>
  <c r="W27" i="14"/>
  <c r="L17" i="11"/>
  <c r="W15" i="14"/>
  <c r="L5" i="11"/>
  <c r="AD23" i="14"/>
  <c r="AD17" i="14"/>
  <c r="W21" i="14"/>
  <c r="L11" i="11"/>
  <c r="AB47" i="14"/>
  <c r="AG19" i="14"/>
  <c r="J9" i="11"/>
  <c r="L3" i="11"/>
  <c r="AF47" i="14"/>
  <c r="AG47" i="14" s="1"/>
  <c r="AG12" i="14"/>
  <c r="V16" i="14"/>
  <c r="V47" i="14" s="1"/>
  <c r="W47" i="14" s="1"/>
  <c r="AC47" i="14"/>
  <c r="AD47" i="14" s="1"/>
  <c r="AD12" i="14"/>
  <c r="N47" i="14"/>
  <c r="P47" i="14"/>
  <c r="U47" i="14"/>
  <c r="AC50" i="14" l="1"/>
  <c r="F7" i="11"/>
  <c r="F2" i="11"/>
  <c r="W16" i="14"/>
  <c r="L6" i="11"/>
  <c r="O47" i="14"/>
  <c r="P50" i="14" s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<sst xmlns="http://schemas.openxmlformats.org/spreadsheetml/2006/main" count="93" uniqueCount="50">
  <si>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</si>
  <si>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</si>
  <si>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</si>
  <si>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</si>
  <si>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</si>
  <si>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</si>
  <si>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</si>
  <si>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</si>
  <si>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</si>
  <si>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</si>
  <si>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</si>
  <si>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</si>
  <si>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</si>
  <si>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</si>
  <si>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</si>
  <si>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</si>
  <si>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</si>
  <si>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APRIL 2018</t>
  </si>
  <si>
    <t>Date</t>
  </si>
  <si>
    <t>Room Nights</t>
  </si>
  <si>
    <t>ELECTRICITY Resort, Sundara &amp; Residences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</si>
  <si>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</si>
  <si>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</si>
  <si>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</si>
  <si>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</si>
  <si>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</si>
  <si>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</si>
  <si>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</si>
  <si>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</si>
  <si>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</si>
  <si>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</si>
  <si>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</si>
  <si>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</si>
  <si>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</si>
  <si>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</si>
  <si>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</si>
  <si>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</si>
  <si>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</si>
  <si>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</si>
  <si>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</si>
  <si>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</si>
  <si>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</si>
  <si>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USD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</si>
  <si>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</si>
  <si>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</si>
  <si>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</si>
  <si>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</si>
  <si>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</si>
  <si>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</si>
  <si>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m3/RNs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</si>
</sst>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41" fontId="15" fillId="0" borderId="0" applyFont="0" applyFill="0" applyBorder="0" applyAlignment="0" applyProtection="0"/>
    <xf numFmtId="0" fontId="15" fillId="0" borderId="0"/>
    <xf numFmtId="43" fontId="2" fillId="0" borderId="0" applyFont="0" applyFill="0" applyBorder="0" applyAlignment="0" applyProtection="0"/>
  </cellStyleXfs>
  <cellXfs count="214">
    <xf numFmtId="0" fontId="0" fillId="0" borderId="0" xfId="0"/>
    <xf numFmtId="0" fontId="0" fillId="0" borderId="8" xfId="0" applyBorder="1"/>
    <xf numFmtId="165" fontId="0" fillId="0" borderId="8" xfId="1" applyNumberFormat="1" applyFont="1" applyBorder="1"/>
    <xf numFmtId="165" fontId="0" fillId="0" borderId="0" xfId="1" applyNumberFormat="1" applyFont="1"/>
    <xf numFmtId="165" fontId="0" fillId="0" borderId="0" xfId="1" applyNumberFormat="1" applyFont="1" applyBorder="1"/>
    <xf numFmtId="165" fontId="1" fillId="0" borderId="0" xfId="1" applyNumberFormat="1" applyFont="1"/>
    <xf numFmtId="165" fontId="0" fillId="3" borderId="0" xfId="1" applyNumberFormat="1" applyFont="1" applyFill="1" applyBorder="1"/>
    <xf numFmtId="0" fontId="0" fillId="3" borderId="0" xfId="0" applyFill="1"/>
    <xf numFmtId="164" fontId="4" fillId="0" borderId="0" xfId="1" applyFont="1" applyBorder="1"/>
    <xf numFmtId="164" fontId="4" fillId="0" borderId="0" xfId="0" applyNumberFormat="1" applyFont="1"/>
    <xf numFmtId="165" fontId="0" fillId="0" borderId="0" xfId="0" applyNumberFormat="1"/>
    <xf numFmtId="0" fontId="7" fillId="0" borderId="0" xfId="0" applyFont="1"/>
    <xf numFmtId="0" fontId="0" fillId="0" borderId="31" xfId="0" applyBorder="1" applyAlignment="1">
      <alignment horizontal="center" vertical="center" wrapText="1"/>
    </xf>
    <xf numFmtId="164" fontId="0" fillId="3" borderId="0" xfId="0" applyNumberFormat="1" applyFill="1"/>
    <xf numFmtId="165" fontId="4" fillId="0" borderId="0" xfId="1" applyNumberFormat="1" applyFont="1" applyBorder="1"/>
    <xf numFmtId="0" fontId="0" fillId="0" borderId="9" xfId="0" applyBorder="1"/>
    <xf numFmtId="165" fontId="0" fillId="0" borderId="11" xfId="1" applyNumberFormat="1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165" fontId="0" fillId="0" borderId="33" xfId="1" applyNumberFormat="1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8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1" applyNumberFormat="1" applyFont="1" applyFill="1" applyBorder="1" applyAlignment="1">
      <alignment horizontal="right"/>
    </xf>
    <xf numFmtId="165" fontId="6" fillId="3" borderId="0" xfId="1" applyNumberFormat="1" applyFont="1" applyFill="1" applyBorder="1" applyAlignment="1"/>
    <xf numFmtId="166" fontId="0" fillId="0" borderId="8" xfId="1" applyNumberFormat="1" applyFont="1" applyBorder="1"/>
    <xf numFmtId="0" fontId="1" fillId="4" borderId="34" xfId="0" applyFont="1" applyFill="1" applyBorder="1" applyAlignment="1">
      <alignment horizontal="center" vertical="center"/>
    </xf>
    <xf numFmtId="167" fontId="6" fillId="3" borderId="0" xfId="0" applyNumberFormat="1" applyFont="1" applyFill="1"/>
    <xf numFmtId="167" fontId="1" fillId="4" borderId="4" xfId="0" applyNumberFormat="1" applyFont="1" applyFill="1" applyBorder="1" applyAlignment="1">
      <alignment horizontal="center" vertical="center"/>
    </xf>
    <xf numFmtId="167" fontId="0" fillId="0" borderId="20" xfId="1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2" xfId="0" applyBorder="1" applyAlignment="1">
      <alignment horizontal="center" vertical="center" wrapText="1"/>
    </xf>
    <xf numFmtId="167" fontId="0" fillId="0" borderId="9" xfId="1" applyNumberFormat="1" applyFont="1" applyBorder="1"/>
    <xf numFmtId="164" fontId="0" fillId="3" borderId="22" xfId="0" applyNumberFormat="1" applyFill="1" applyBorder="1"/>
    <xf numFmtId="165" fontId="0" fillId="0" borderId="12" xfId="1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165" fontId="0" fillId="0" borderId="39" xfId="1" applyNumberFormat="1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167" fontId="0" fillId="0" borderId="25" xfId="0" applyNumberFormat="1" applyBorder="1" applyAlignment="1">
      <alignment horizontal="center" vertical="center" wrapText="1"/>
    </xf>
    <xf numFmtId="167" fontId="0" fillId="0" borderId="40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8" xfId="0" applyFill="1" applyBorder="1" applyAlignment="1">
      <alignment vertical="center"/>
    </xf>
    <xf numFmtId="0" fontId="0" fillId="5" borderId="33" xfId="0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10" fillId="11" borderId="41" xfId="0" applyFont="1" applyFill="1" applyBorder="1" applyAlignment="1">
      <alignment horizontal="center" vertical="center" shrinkToFit="1"/>
    </xf>
    <xf numFmtId="0" fontId="10" fillId="11" borderId="42" xfId="0" applyFont="1" applyFill="1" applyBorder="1" applyAlignment="1">
      <alignment horizontal="center" vertical="center" shrinkToFit="1"/>
    </xf>
    <xf numFmtId="164" fontId="8" fillId="3" borderId="0" xfId="1" applyFont="1" applyFill="1" applyBorder="1" applyAlignment="1"/>
    <xf numFmtId="164" fontId="7" fillId="0" borderId="15" xfId="1" applyFont="1" applyBorder="1" applyAlignment="1">
      <alignment horizontal="center" vertical="center" wrapText="1"/>
    </xf>
    <xf numFmtId="164" fontId="7" fillId="0" borderId="27" xfId="1" applyFont="1" applyBorder="1" applyAlignment="1">
      <alignment horizontal="center" vertical="center" wrapText="1"/>
    </xf>
    <xf numFmtId="164" fontId="7" fillId="3" borderId="0" xfId="1" applyFont="1" applyFill="1" applyBorder="1"/>
    <xf numFmtId="164" fontId="11" fillId="0" borderId="0" xfId="1" applyFont="1" applyBorder="1"/>
    <xf numFmtId="164" fontId="7" fillId="0" borderId="0" xfId="1" applyFont="1"/>
    <xf numFmtId="165" fontId="8" fillId="3" borderId="0" xfId="1" applyNumberFormat="1" applyFont="1" applyFill="1" applyBorder="1" applyAlignment="1"/>
    <xf numFmtId="165" fontId="7" fillId="3" borderId="0" xfId="1" applyNumberFormat="1" applyFont="1" applyFill="1" applyBorder="1"/>
    <xf numFmtId="165" fontId="11" fillId="0" borderId="0" xfId="1" applyNumberFormat="1" applyFont="1" applyBorder="1"/>
    <xf numFmtId="165" fontId="7" fillId="0" borderId="0" xfId="1" applyNumberFormat="1" applyFont="1"/>
    <xf numFmtId="165" fontId="0" fillId="3" borderId="36" xfId="0" applyNumberFormat="1" applyFill="1" applyBorder="1"/>
    <xf numFmtId="165" fontId="1" fillId="0" borderId="36" xfId="0" applyNumberFormat="1" applyFont="1" applyBorder="1"/>
    <xf numFmtId="0" fontId="0" fillId="3" borderId="44" xfId="0" applyFill="1" applyBorder="1"/>
    <xf numFmtId="165" fontId="0" fillId="3" borderId="44" xfId="1" applyNumberFormat="1" applyFont="1" applyFill="1" applyBorder="1"/>
    <xf numFmtId="164" fontId="7" fillId="3" borderId="44" xfId="1" applyFont="1" applyFill="1" applyBorder="1"/>
    <xf numFmtId="165" fontId="7" fillId="3" borderId="44" xfId="1" applyNumberFormat="1" applyFont="1" applyFill="1" applyBorder="1"/>
    <xf numFmtId="0" fontId="0" fillId="3" borderId="46" xfId="0" applyFill="1" applyBorder="1"/>
    <xf numFmtId="43" fontId="0" fillId="3" borderId="44" xfId="0" applyNumberFormat="1" applyFill="1" applyBorder="1"/>
    <xf numFmtId="165" fontId="0" fillId="3" borderId="44" xfId="0" applyNumberFormat="1" applyFill="1" applyBorder="1"/>
    <xf numFmtId="165" fontId="0" fillId="0" borderId="44" xfId="1" applyNumberFormat="1" applyFont="1" applyBorder="1"/>
    <xf numFmtId="167" fontId="0" fillId="3" borderId="46" xfId="0" applyNumberFormat="1" applyFill="1" applyBorder="1"/>
    <xf numFmtId="165" fontId="8" fillId="6" borderId="22" xfId="1" applyNumberFormat="1" applyFont="1" applyFill="1" applyBorder="1"/>
    <xf numFmtId="0" fontId="1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8" fontId="6" fillId="3" borderId="0" xfId="1" applyNumberFormat="1" applyFont="1" applyFill="1" applyBorder="1" applyAlignment="1"/>
    <xf numFmtId="168" fontId="0" fillId="3" borderId="0" xfId="1" applyNumberFormat="1" applyFont="1" applyFill="1" applyBorder="1"/>
    <xf numFmtId="168" fontId="0" fillId="0" borderId="0" xfId="1" applyNumberFormat="1" applyFont="1" applyBorder="1"/>
    <xf numFmtId="168" fontId="0" fillId="0" borderId="0" xfId="1" applyNumberFormat="1" applyFont="1"/>
    <xf numFmtId="165" fontId="0" fillId="0" borderId="18" xfId="1" applyNumberFormat="1" applyFont="1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165" fontId="8" fillId="0" borderId="50" xfId="1" applyNumberFormat="1" applyFont="1" applyBorder="1" applyAlignment="1">
      <alignment horizontal="center" vertical="center" wrapText="1"/>
    </xf>
    <xf numFmtId="165" fontId="7" fillId="0" borderId="51" xfId="1" applyNumberFormat="1" applyFont="1" applyBorder="1" applyAlignment="1">
      <alignment horizontal="center" vertical="center" wrapText="1"/>
    </xf>
    <xf numFmtId="165" fontId="7" fillId="0" borderId="20" xfId="1" applyNumberFormat="1" applyFont="1" applyBorder="1"/>
    <xf numFmtId="0" fontId="0" fillId="0" borderId="28" xfId="0" applyBorder="1"/>
    <xf numFmtId="165" fontId="0" fillId="0" borderId="28" xfId="1" applyNumberFormat="1" applyFont="1" applyBorder="1"/>
    <xf numFmtId="164" fontId="7" fillId="0" borderId="28" xfId="1" applyFont="1" applyBorder="1"/>
    <xf numFmtId="165" fontId="7" fillId="0" borderId="31" xfId="1" applyNumberFormat="1" applyFont="1" applyBorder="1"/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165" fontId="0" fillId="0" borderId="17" xfId="1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4" fontId="0" fillId="0" borderId="20" xfId="0" applyNumberFormat="1" applyBorder="1"/>
    <xf numFmtId="165" fontId="0" fillId="0" borderId="53" xfId="1" applyNumberFormat="1" applyFont="1" applyBorder="1"/>
    <xf numFmtId="0" fontId="0" fillId="0" borderId="31" xfId="0" applyBorder="1"/>
    <xf numFmtId="165" fontId="0" fillId="0" borderId="10" xfId="1" applyNumberFormat="1" applyFont="1" applyBorder="1"/>
    <xf numFmtId="0" fontId="0" fillId="0" borderId="54" xfId="0" applyBorder="1"/>
    <xf numFmtId="164" fontId="0" fillId="0" borderId="42" xfId="1" applyFont="1" applyBorder="1"/>
    <xf numFmtId="164" fontId="0" fillId="0" borderId="55" xfId="1" applyFont="1" applyBorder="1"/>
    <xf numFmtId="165" fontId="7" fillId="0" borderId="41" xfId="1" applyNumberFormat="1" applyFont="1" applyBorder="1" applyAlignment="1">
      <alignment horizontal="center" vertical="center" wrapText="1"/>
    </xf>
    <xf numFmtId="165" fontId="7" fillId="0" borderId="42" xfId="1" applyNumberFormat="1" applyFont="1" applyBorder="1"/>
    <xf numFmtId="165" fontId="7" fillId="0" borderId="55" xfId="1" applyNumberFormat="1" applyFont="1" applyBorder="1"/>
    <xf numFmtId="165" fontId="0" fillId="3" borderId="13" xfId="1" applyNumberFormat="1" applyFont="1" applyFill="1" applyBorder="1"/>
    <xf numFmtId="0" fontId="0" fillId="3" borderId="57" xfId="0" applyFill="1" applyBorder="1"/>
    <xf numFmtId="0" fontId="0" fillId="3" borderId="14" xfId="0" applyFill="1" applyBorder="1"/>
    <xf numFmtId="0" fontId="0" fillId="3" borderId="58" xfId="0" applyFill="1" applyBorder="1"/>
    <xf numFmtId="0" fontId="0" fillId="3" borderId="59" xfId="0" applyFill="1" applyBorder="1"/>
    <xf numFmtId="165" fontId="0" fillId="3" borderId="45" xfId="1" applyNumberFormat="1" applyFont="1" applyFill="1" applyBorder="1"/>
    <xf numFmtId="0" fontId="10" fillId="11" borderId="55" xfId="0" applyFont="1" applyFill="1" applyBorder="1" applyAlignment="1">
      <alignment horizontal="center" vertical="center" shrinkToFit="1"/>
    </xf>
    <xf numFmtId="167" fontId="1" fillId="3" borderId="7" xfId="0" applyNumberFormat="1" applyFont="1" applyFill="1" applyBorder="1"/>
    <xf numFmtId="0" fontId="0" fillId="0" borderId="61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0" xfId="0" applyBorder="1"/>
    <xf numFmtId="165" fontId="0" fillId="0" borderId="20" xfId="0" applyNumberFormat="1" applyBorder="1"/>
    <xf numFmtId="0" fontId="0" fillId="0" borderId="20" xfId="0" applyBorder="1"/>
    <xf numFmtId="0" fontId="0" fillId="3" borderId="47" xfId="0" applyFill="1" applyBorder="1"/>
    <xf numFmtId="43" fontId="0" fillId="3" borderId="5" xfId="0" applyNumberFormat="1" applyFill="1" applyBorder="1"/>
    <xf numFmtId="0" fontId="0" fillId="3" borderId="62" xfId="0" applyFill="1" applyBorder="1"/>
    <xf numFmtId="165" fontId="1" fillId="0" borderId="11" xfId="1" applyNumberFormat="1" applyFont="1" applyBorder="1" applyAlignment="1">
      <alignment horizontal="center" vertical="center" wrapText="1"/>
    </xf>
    <xf numFmtId="165" fontId="13" fillId="3" borderId="8" xfId="1" applyNumberFormat="1" applyFont="1" applyFill="1" applyBorder="1" applyProtection="1">
      <protection locked="0"/>
    </xf>
    <xf numFmtId="165" fontId="1" fillId="12" borderId="6" xfId="0" applyNumberFormat="1" applyFont="1" applyFill="1" applyBorder="1"/>
    <xf numFmtId="165" fontId="0" fillId="3" borderId="22" xfId="1" applyNumberFormat="1" applyFont="1" applyFill="1" applyBorder="1"/>
    <xf numFmtId="43" fontId="0" fillId="0" borderId="0" xfId="0" applyNumberFormat="1"/>
    <xf numFmtId="168" fontId="1" fillId="4" borderId="3" xfId="1" applyNumberFormat="1" applyFont="1" applyFill="1" applyBorder="1" applyAlignment="1">
      <alignment horizontal="center" vertical="center"/>
    </xf>
    <xf numFmtId="168" fontId="0" fillId="0" borderId="38" xfId="1" applyNumberFormat="1" applyFont="1" applyBorder="1" applyAlignment="1">
      <alignment horizontal="center" vertical="center" wrapText="1"/>
    </xf>
    <xf numFmtId="168" fontId="0" fillId="0" borderId="24" xfId="1" applyNumberFormat="1" applyFont="1" applyBorder="1" applyAlignment="1">
      <alignment horizontal="center" vertical="center" wrapText="1"/>
    </xf>
    <xf numFmtId="168" fontId="0" fillId="0" borderId="21" xfId="1" applyNumberFormat="1" applyFont="1" applyBorder="1"/>
    <xf numFmtId="168" fontId="0" fillId="0" borderId="44" xfId="1" applyNumberFormat="1" applyFont="1" applyBorder="1"/>
    <xf numFmtId="165" fontId="1" fillId="12" borderId="6" xfId="1" applyNumberFormat="1" applyFont="1" applyFill="1" applyBorder="1"/>
    <xf numFmtId="167" fontId="1" fillId="12" borderId="7" xfId="0" applyNumberFormat="1" applyFont="1" applyFill="1" applyBorder="1"/>
    <xf numFmtId="165" fontId="1" fillId="12" borderId="30" xfId="1" applyNumberFormat="1" applyFont="1" applyFill="1" applyBorder="1"/>
    <xf numFmtId="167" fontId="1" fillId="12" borderId="32" xfId="1" applyNumberFormat="1" applyFont="1" applyFill="1" applyBorder="1"/>
    <xf numFmtId="164" fontId="5" fillId="0" borderId="0" xfId="1" applyFont="1" applyBorder="1"/>
    <xf numFmtId="166" fontId="0" fillId="0" borderId="52" xfId="1" applyNumberFormat="1" applyFont="1" applyBorder="1"/>
    <xf numFmtId="165" fontId="0" fillId="0" borderId="55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2" fontId="12" fillId="0" borderId="8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7" fillId="0" borderId="0" xfId="3" applyFont="1"/>
    <xf numFmtId="9" fontId="0" fillId="0" borderId="0" xfId="0" applyNumberFormat="1"/>
    <xf numFmtId="165" fontId="13" fillId="3" borderId="60" xfId="1" applyNumberFormat="1" applyFont="1" applyFill="1" applyBorder="1" applyProtection="1">
      <protection locked="0"/>
    </xf>
    <xf numFmtId="165" fontId="13" fillId="3" borderId="43" xfId="1" applyNumberFormat="1" applyFont="1" applyFill="1" applyBorder="1" applyProtection="1">
      <protection locked="0"/>
    </xf>
    <xf numFmtId="165" fontId="1" fillId="5" borderId="6" xfId="0" applyNumberFormat="1" applyFont="1" applyFill="1" applyBorder="1"/>
    <xf numFmtId="0" fontId="0" fillId="5" borderId="27" xfId="0" applyFill="1" applyBorder="1" applyAlignment="1">
      <alignment horizontal="center" vertical="center"/>
    </xf>
    <xf numFmtId="0" fontId="1" fillId="0" borderId="54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65" fontId="0" fillId="0" borderId="8" xfId="1" applyNumberFormat="1" applyFont="1" applyBorder="1" applyAlignment="1">
      <alignment horizontal="center" vertical="center" wrapText="1"/>
    </xf>
    <xf numFmtId="165" fontId="2" fillId="0" borderId="8" xfId="1" applyNumberFormat="1" applyFont="1" applyBorder="1"/>
    <xf numFmtId="164" fontId="2" fillId="0" borderId="8" xfId="1" applyFont="1" applyBorder="1"/>
    <xf numFmtId="165" fontId="1" fillId="0" borderId="10" xfId="1" applyNumberFormat="1" applyFont="1" applyBorder="1"/>
    <xf numFmtId="165" fontId="18" fillId="0" borderId="0" xfId="1" applyNumberFormat="1" applyFont="1" applyBorder="1"/>
    <xf numFmtId="0" fontId="16" fillId="3" borderId="0" xfId="0" applyFont="1" applyFill="1"/>
    <xf numFmtId="165" fontId="16" fillId="0" borderId="0" xfId="1" applyNumberFormat="1" applyFont="1"/>
    <xf numFmtId="0" fontId="16" fillId="0" borderId="0" xfId="0" applyFont="1"/>
    <xf numFmtId="164" fontId="17" fillId="0" borderId="0" xfId="1" applyFont="1"/>
    <xf numFmtId="165" fontId="17" fillId="0" borderId="0" xfId="1" applyNumberFormat="1" applyFont="1"/>
    <xf numFmtId="168" fontId="16" fillId="0" borderId="0" xfId="1" applyNumberFormat="1" applyFont="1"/>
    <xf numFmtId="167" fontId="16" fillId="0" borderId="0" xfId="0" applyNumberFormat="1" applyFont="1"/>
    <xf numFmtId="168" fontId="0" fillId="13" borderId="6" xfId="1" applyNumberFormat="1" applyFont="1" applyFill="1" applyBorder="1"/>
    <xf numFmtId="165" fontId="12" fillId="3" borderId="22" xfId="0" applyNumberFormat="1" applyFont="1" applyFill="1" applyBorder="1"/>
    <xf numFmtId="9" fontId="16" fillId="0" borderId="0" xfId="3" applyFont="1"/>
    <xf numFmtId="166" fontId="19" fillId="0" borderId="8" xfId="0" applyNumberFormat="1" applyFont="1" applyBorder="1"/>
    <xf numFmtId="37" fontId="19" fillId="0" borderId="8" xfId="0" applyNumberFormat="1" applyFont="1" applyBorder="1"/>
    <xf numFmtId="0" fontId="0" fillId="5" borderId="27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left"/>
    </xf>
    <xf numFmtId="49" fontId="8" fillId="2" borderId="37" xfId="0" applyNumberFormat="1" applyFont="1" applyFill="1" applyBorder="1" applyAlignment="1">
      <alignment horizontal="left"/>
    </xf>
    <xf numFmtId="49" fontId="8" fillId="2" borderId="2" xfId="0" applyNumberFormat="1" applyFont="1" applyFill="1" applyBorder="1" applyAlignment="1">
      <alignment horizontal="left"/>
    </xf>
    <xf numFmtId="0" fontId="9" fillId="10" borderId="26" xfId="0" applyFont="1" applyFill="1" applyBorder="1" applyAlignment="1">
      <alignment horizontal="center" vertical="center" wrapText="1"/>
    </xf>
    <xf numFmtId="0" fontId="9" fillId="10" borderId="35" xfId="0" applyFont="1" applyFill="1" applyBorder="1" applyAlignment="1">
      <alignment horizontal="center" vertical="center" wrapText="1"/>
    </xf>
    <xf numFmtId="0" fontId="9" fillId="10" borderId="36" xfId="0" applyFont="1" applyFill="1" applyBorder="1" applyAlignment="1">
      <alignment horizontal="center" vertical="center" wrapText="1"/>
    </xf>
    <xf numFmtId="164" fontId="0" fillId="0" borderId="26" xfId="1" applyFont="1" applyBorder="1" applyAlignment="1">
      <alignment horizontal="center" vertical="center" wrapText="1"/>
    </xf>
    <xf numFmtId="164" fontId="0" fillId="0" borderId="35" xfId="1" applyFont="1" applyBorder="1" applyAlignment="1">
      <alignment horizontal="center" vertical="center" wrapText="1"/>
    </xf>
    <xf numFmtId="164" fontId="0" fillId="0" borderId="36" xfId="1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1" fillId="8" borderId="3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37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9" borderId="18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165" fontId="8" fillId="0" borderId="26" xfId="1" applyNumberFormat="1" applyFont="1" applyBorder="1" applyAlignment="1">
      <alignment horizontal="center" vertical="center" wrapText="1"/>
    </xf>
    <xf numFmtId="165" fontId="8" fillId="0" borderId="36" xfId="1" applyNumberFormat="1" applyFont="1" applyBorder="1" applyAlignment="1">
      <alignment horizontal="center" vertical="center" wrapText="1"/>
    </xf>
    <xf numFmtId="17" fontId="6" fillId="3" borderId="56" xfId="0" applyNumberFormat="1" applyFont="1" applyFill="1" applyBorder="1" applyAlignment="1">
      <alignment horizontal="center"/>
    </xf>
    <xf numFmtId="0" fontId="6" fillId="3" borderId="56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</cellXfs>
  <cellStyles count="9">
    <cellStyle name="Comma" xfId="1" builtinId="3"/>
    <cellStyle name="Comma [0] 2" xfId="6" xr:uid="{00000000-0005-0000-0000-000001000000}"/>
    <cellStyle name="Comma 10" xfId="2" xr:uid="{00000000-0005-0000-0000-000002000000}"/>
    <cellStyle name="Comma 2" xfId="4" xr:uid="{00000000-0005-0000-0000-000003000000}"/>
    <cellStyle name="Comma 3" xfId="8" xr:uid="{00000000-0005-0000-0000-000004000000}"/>
    <cellStyle name="Hyperlink 2" xfId="5" xr:uid="{00000000-0005-0000-0000-000007000000}"/>
    <cellStyle name="Normal" xfId="0" builtinId="0"/>
    <cellStyle name="Normal 2" xfId="7" xr:uid="{00000000-0005-0000-0000-000009000000}"/>
    <cellStyle name="Percent" xfId="3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236483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Z32"/>
  <sheetViews>
    <sheetView topLeftCell="A2" workbookViewId="0">
      <selection activeCell="P27" sqref="P27"/>
    </sheetView>
  </sheetViews>
  <sheetFormatPr defaultColWidth="11.5703125" defaultRowHeight="15"/>
  <cols>
    <col min="1" max="1" width="18.42578125" style="151" customWidth="1"/>
    <col min="2" max="2" width="11.5703125" style="152"/>
    <col min="3" max="3" width="11.5703125" style="153"/>
    <col min="4" max="4" width="13.42578125" style="152" customWidth="1"/>
    <col min="5" max="5" width="12.5703125" style="150" customWidth="1"/>
    <col min="6" max="6" width="12.5703125" style="154" customWidth="1"/>
    <col min="7" max="7" width="11.5703125" style="150"/>
    <col min="8" max="8" width="11.5703125" style="154"/>
    <col min="9" max="9" width="11.5703125" style="155"/>
    <col min="10" max="10" width="11.5703125" style="156"/>
    <col min="11" max="11" width="11.5703125" style="150"/>
    <col min="12" max="12" width="11.5703125" style="156"/>
    <col min="13" max="26" width="11.5703125" style="150"/>
  </cols>
  <sheetData>
    <row r="1" spans="1:15" s="144" customFormat="1" ht="60.75">
      <c r="A1" s="140" t="s">
        <v>0</v>
      </c>
      <c r="B1" s="140" t="s">
        <v>1</v>
      </c>
      <c r="C1" s="141" t="s">
        <v>2</v>
      </c>
      <c r="D1" s="140" t="s">
        <v>3</v>
      </c>
      <c r="E1" s="139" t="s">
        <v>4</v>
      </c>
      <c r="F1" s="142" t="s">
        <v>5</v>
      </c>
      <c r="G1" s="139" t="s">
        <v>6</v>
      </c>
      <c r="H1" s="142" t="s">
        <v>7</v>
      </c>
      <c r="I1" s="139" t="s">
        <v>8</v>
      </c>
      <c r="J1" s="142" t="s">
        <v>9</v>
      </c>
      <c r="K1" s="139" t="s">
        <v>10</v>
      </c>
      <c r="L1" s="143" t="s">
        <v>11</v>
      </c>
      <c r="M1" s="139" t="s">
        <v>12</v>
      </c>
      <c r="N1" s="139" t="s">
        <v>13</v>
      </c>
    </row>
    <row r="2" spans="1:15">
      <c r="A2" s="145" t="s">
        <v>14</v>
      </c>
      <c r="B2" s="146">
        <v>1</v>
      </c>
      <c r="C2" s="147">
        <v>4</v>
      </c>
      <c r="D2" s="146">
        <v>2018</v>
      </c>
      <c r="E2" s="148">
        <f>'FS Jimbaran April 2018'!P12</f>
        <v>15160.000000010768</v>
      </c>
      <c r="F2" s="157">
        <f>'FS Jimbaran April 2018'!O12/'FS Jimbaran April 2018'!P12</f>
        <v>1253.2869676779787</v>
      </c>
      <c r="G2" s="148">
        <f>'FS Jimbaran April 2018'!AB12</f>
        <v>107.18163999998944</v>
      </c>
      <c r="H2" s="157">
        <f>'FS Jimbaran April 2018'!AC12/'FS Jimbaran April 2018'!AB12</f>
        <v>10317.804345221828</v>
      </c>
      <c r="I2" s="148">
        <f>'FS Jimbaran April 2018'!AE12</f>
        <v>501.60000000003492</v>
      </c>
      <c r="J2" s="149">
        <f>'FS Jimbaran April 2018'!AF12/'FS Jimbaran April 2018'!AE12</f>
        <v>8700</v>
      </c>
      <c r="K2" s="148">
        <f>'FS Jimbaran April 2018'!Q12</f>
        <v>1013</v>
      </c>
      <c r="L2" s="157">
        <f>'FS Jimbaran April 2018'!V12/'FS Jimbaran April 2018'!Q12</f>
        <v>10652.084363277394</v>
      </c>
      <c r="M2" s="148">
        <v>71</v>
      </c>
      <c r="N2" s="148">
        <v>723</v>
      </c>
    </row>
    <row r="3" spans="1:15">
      <c r="A3" s="145" t="s">
        <v>14</v>
      </c>
      <c r="B3" s="146">
        <f>B2+1</f>
        <v>2</v>
      </c>
      <c r="C3" s="147">
        <v>4</v>
      </c>
      <c r="D3" s="146">
        <v>2018</v>
      </c>
      <c r="E3" s="148">
        <f>'FS Jimbaran April 2018'!P13</f>
        <v>26299.999999979264</v>
      </c>
      <c r="F3" s="157">
        <f>'FS Jimbaran April 2018'!O13/'FS Jimbaran April 2018'!P13</f>
        <v>1181.8525482890279</v>
      </c>
      <c r="G3" s="148">
        <f>'FS Jimbaran April 2018'!AB13</f>
        <v>119.9538399999953</v>
      </c>
      <c r="H3" s="157">
        <f>'FS Jimbaran April 2018'!AC13/'FS Jimbaran April 2018'!AB13</f>
        <v>10153</v>
      </c>
      <c r="I3" s="148">
        <f>'FS Jimbaran April 2018'!AE13</f>
        <v>454.29999999993015</v>
      </c>
      <c r="J3" s="149">
        <f>'FS Jimbaran April 2018'!AF13/'FS Jimbaran April 2018'!AE13</f>
        <v>8700</v>
      </c>
      <c r="K3" s="148">
        <f>'FS Jimbaran April 2018'!Q13</f>
        <v>727</v>
      </c>
      <c r="L3" s="157">
        <f>'FS Jimbaran April 2018'!V13/'FS Jimbaran April 2018'!Q13</f>
        <v>10002.618844566712</v>
      </c>
      <c r="M3" s="148">
        <v>68</v>
      </c>
      <c r="N3" s="148">
        <v>752</v>
      </c>
    </row>
    <row r="4" spans="1:15">
      <c r="A4" s="145" t="s">
        <v>14</v>
      </c>
      <c r="B4" s="146">
        <f t="shared" ref="B4:B31" si="0">B3+1</f>
        <v>3</v>
      </c>
      <c r="C4" s="147">
        <v>4</v>
      </c>
      <c r="D4" s="146">
        <v>2018</v>
      </c>
      <c r="E4" s="148">
        <f>'FS Jimbaran April 2018'!P14</f>
        <v>22019.999999997141</v>
      </c>
      <c r="F4" s="157">
        <f>'FS Jimbaran April 2018'!O14/'FS Jimbaran April 2018'!P14</f>
        <v>1201.1661253406091</v>
      </c>
      <c r="G4" s="148">
        <f>'FS Jimbaran April 2018'!AB14</f>
        <v>107.06424000000702</v>
      </c>
      <c r="H4" s="157">
        <f>'FS Jimbaran April 2018'!AC14/'FS Jimbaran April 2018'!AB14</f>
        <v>10153</v>
      </c>
      <c r="I4" s="148">
        <f>'FS Jimbaran April 2018'!AE14</f>
        <v>6718.600000000024</v>
      </c>
      <c r="J4" s="149">
        <f>'FS Jimbaran April 2018'!AF14/'FS Jimbaran April 2018'!AE14</f>
        <v>8700</v>
      </c>
      <c r="K4" s="148">
        <f>'FS Jimbaran April 2018'!Q14</f>
        <v>858</v>
      </c>
      <c r="L4" s="157">
        <f>'FS Jimbaran April 2018'!V14/'FS Jimbaran April 2018'!Q14</f>
        <v>9422.9553846153849</v>
      </c>
      <c r="M4" s="148">
        <v>63</v>
      </c>
      <c r="N4" s="148">
        <v>606</v>
      </c>
    </row>
    <row r="5" spans="1:15">
      <c r="A5" s="145" t="s">
        <v>14</v>
      </c>
      <c r="B5" s="146">
        <f t="shared" si="0"/>
        <v>4</v>
      </c>
      <c r="C5" s="147">
        <v>4</v>
      </c>
      <c r="D5" s="146">
        <v>2018</v>
      </c>
      <c r="E5" s="148">
        <f>'FS Jimbaran April 2018'!P15</f>
        <v>26320.000000015625</v>
      </c>
      <c r="F5" s="157">
        <f>'FS Jimbaran April 2018'!O15/'FS Jimbaran April 2018'!P15</f>
        <v>1180.9544840424596</v>
      </c>
      <c r="G5" s="148">
        <f>'FS Jimbaran April 2018'!AB15</f>
        <v>12</v>
      </c>
      <c r="H5" s="157">
        <f>'FS Jimbaran April 2018'!AC15/'FS Jimbaran April 2018'!AB15</f>
        <v>58166.666666666664</v>
      </c>
      <c r="I5" s="148">
        <f>'FS Jimbaran April 2018'!AE15</f>
        <v>618.60000000000582</v>
      </c>
      <c r="J5" s="149">
        <f>'FS Jimbaran April 2018'!AF15/'FS Jimbaran April 2018'!AE15</f>
        <v>8700</v>
      </c>
      <c r="K5" s="148">
        <f>'FS Jimbaran April 2018'!Q15</f>
        <v>623</v>
      </c>
      <c r="L5" s="157">
        <f>'FS Jimbaran April 2018'!V15/'FS Jimbaran April 2018'!Q15</f>
        <v>10463.844975922953</v>
      </c>
      <c r="M5" s="148">
        <v>67</v>
      </c>
      <c r="N5" s="148">
        <v>584</v>
      </c>
    </row>
    <row r="6" spans="1:15">
      <c r="A6" s="145" t="s">
        <v>14</v>
      </c>
      <c r="B6" s="146">
        <f t="shared" si="0"/>
        <v>5</v>
      </c>
      <c r="C6" s="147">
        <v>4</v>
      </c>
      <c r="D6" s="146">
        <v>2018</v>
      </c>
      <c r="E6" s="148">
        <f>'FS Jimbaran April 2018'!P16</f>
        <v>27059.999999997559</v>
      </c>
      <c r="F6" s="157">
        <f>'FS Jimbaran April 2018'!O16/'FS Jimbaran April 2018'!P16</f>
        <v>1180.4102560975648</v>
      </c>
      <c r="G6" s="148">
        <f>'FS Jimbaran April 2018'!AB16</f>
        <v>505.73500000000001</v>
      </c>
      <c r="H6" s="157">
        <f>'FS Jimbaran April 2018'!AC16/'FS Jimbaran April 2018'!AB16</f>
        <v>10957.373832145293</v>
      </c>
      <c r="I6" s="148">
        <f>'FS Jimbaran April 2018'!AE16</f>
        <v>788.20000000006985</v>
      </c>
      <c r="J6" s="149">
        <f>'FS Jimbaran April 2018'!AF16/'FS Jimbaran April 2018'!AE16</f>
        <v>8700</v>
      </c>
      <c r="K6" s="148">
        <f>'FS Jimbaran April 2018'!Q16</f>
        <v>775.5</v>
      </c>
      <c r="L6" s="157">
        <f>'FS Jimbaran April 2018'!V16/'FS Jimbaran April 2018'!Q16</f>
        <v>9036.1822695035462</v>
      </c>
      <c r="M6" s="148">
        <v>55</v>
      </c>
      <c r="N6" s="148">
        <v>553</v>
      </c>
    </row>
    <row r="7" spans="1:15">
      <c r="A7" s="145" t="s">
        <v>14</v>
      </c>
      <c r="B7" s="146">
        <f t="shared" si="0"/>
        <v>6</v>
      </c>
      <c r="C7" s="147">
        <v>4</v>
      </c>
      <c r="D7" s="146">
        <v>2018</v>
      </c>
      <c r="E7" s="148">
        <f>'FS Jimbaran April 2018'!P17</f>
        <v>25840.000000008786</v>
      </c>
      <c r="F7" s="157">
        <f>'FS Jimbaran April 2018'!O17/'FS Jimbaran April 2018'!P17</f>
        <v>1182.6891989164142</v>
      </c>
      <c r="G7" s="148">
        <f>'FS Jimbaran April 2018'!AB17</f>
        <v>390.8925599999871</v>
      </c>
      <c r="H7" s="157">
        <f>'FS Jimbaran April 2018'!AC17/'FS Jimbaran April 2018'!AB17</f>
        <v>10893.812257976997</v>
      </c>
      <c r="I7" s="148">
        <f>'FS Jimbaran April 2018'!AE17</f>
        <v>617.70000000004075</v>
      </c>
      <c r="J7" s="149">
        <f>'FS Jimbaran April 2018'!AF17/'FS Jimbaran April 2018'!AE17</f>
        <v>8700</v>
      </c>
      <c r="K7" s="148">
        <f>'FS Jimbaran April 2018'!Q17</f>
        <v>506</v>
      </c>
      <c r="L7" s="157">
        <f>'FS Jimbaran April 2018'!V17/'FS Jimbaran April 2018'!Q17</f>
        <v>12981.606086956521</v>
      </c>
      <c r="M7" s="148">
        <v>48</v>
      </c>
      <c r="N7" s="148">
        <v>753</v>
      </c>
    </row>
    <row r="8" spans="1:15">
      <c r="A8" s="145" t="s">
        <v>14</v>
      </c>
      <c r="B8" s="146">
        <f t="shared" si="0"/>
        <v>7</v>
      </c>
      <c r="C8" s="147">
        <v>4</v>
      </c>
      <c r="D8" s="146">
        <v>2018</v>
      </c>
      <c r="E8" s="148">
        <f>'FS Jimbaran April 2018'!P18</f>
        <v>25139.999999987482</v>
      </c>
      <c r="F8" s="157">
        <f>'FS Jimbaran April 2018'!O18/'FS Jimbaran April 2018'!P18</f>
        <v>1182.7421026253257</v>
      </c>
      <c r="G8" s="148">
        <f>'FS Jimbaran April 2018'!AB18</f>
        <v>107.8295599999871</v>
      </c>
      <c r="H8" s="157">
        <f>'FS Jimbaran April 2018'!AC18/'FS Jimbaran April 2018'!AB18</f>
        <v>10153</v>
      </c>
      <c r="I8" s="148">
        <f>'FS Jimbaran April 2018'!AE18</f>
        <v>490.99999999991269</v>
      </c>
      <c r="J8" s="149">
        <f>'FS Jimbaran April 2018'!AF18/'FS Jimbaran April 2018'!AE18</f>
        <v>8700</v>
      </c>
      <c r="K8" s="148">
        <f>'FS Jimbaran April 2018'!Q18</f>
        <v>825.19999999999709</v>
      </c>
      <c r="L8" s="157">
        <f>'FS Jimbaran April 2018'!V18/'FS Jimbaran April 2018'!Q18</f>
        <v>9224.8969752787361</v>
      </c>
      <c r="M8" s="148">
        <v>51</v>
      </c>
      <c r="N8" s="148">
        <v>596</v>
      </c>
    </row>
    <row r="9" spans="1:15">
      <c r="A9" s="145" t="s">
        <v>14</v>
      </c>
      <c r="B9" s="146">
        <f t="shared" si="0"/>
        <v>8</v>
      </c>
      <c r="C9" s="147">
        <v>4</v>
      </c>
      <c r="D9" s="146">
        <v>2018</v>
      </c>
      <c r="E9" s="148">
        <f>'FS Jimbaran April 2018'!P19</f>
        <v>25640.000000002146</v>
      </c>
      <c r="F9" s="157">
        <f>'FS Jimbaran April 2018'!O19/'FS Jimbaran April 2018'!P19</f>
        <v>1181.3103217628643</v>
      </c>
      <c r="G9" s="148">
        <f>'FS Jimbaran April 2018'!AB19</f>
        <v>101.42504000000116</v>
      </c>
      <c r="H9" s="157">
        <f>'FS Jimbaran April 2018'!AC19/'FS Jimbaran April 2018'!AB19</f>
        <v>10153</v>
      </c>
      <c r="I9" s="148">
        <f>'FS Jimbaran April 2018'!AE19</f>
        <v>381.60000000003492</v>
      </c>
      <c r="J9" s="149">
        <f>'FS Jimbaran April 2018'!AF19/'FS Jimbaran April 2018'!AE19</f>
        <v>8700</v>
      </c>
      <c r="K9" s="148">
        <f>'FS Jimbaran April 2018'!Q19</f>
        <v>764.30000000000291</v>
      </c>
      <c r="L9" s="157">
        <f>'FS Jimbaran April 2018'!V19/'FS Jimbaran April 2018'!Q19</f>
        <v>9134.7116132408573</v>
      </c>
      <c r="M9" s="148">
        <v>38</v>
      </c>
      <c r="N9" s="148">
        <v>460</v>
      </c>
      <c r="O9" s="150" t="s">
        <v>15</v>
      </c>
    </row>
    <row r="10" spans="1:15">
      <c r="A10" s="145" t="s">
        <v>14</v>
      </c>
      <c r="B10" s="146">
        <f t="shared" si="0"/>
        <v>9</v>
      </c>
      <c r="C10" s="147">
        <v>4</v>
      </c>
      <c r="D10" s="146">
        <v>2018</v>
      </c>
      <c r="E10" s="148">
        <f>'FS Jimbaran April 2018'!P20</f>
        <v>26200.000000006527</v>
      </c>
      <c r="F10" s="157">
        <f>'FS Jimbaran April 2018'!O20/'FS Jimbaran April 2018'!P20</f>
        <v>1180.9671011450503</v>
      </c>
      <c r="G10" s="148">
        <f>'FS Jimbaran April 2018'!AB20</f>
        <v>108.35320000000586</v>
      </c>
      <c r="H10" s="157">
        <f>'FS Jimbaran April 2018'!AC20/'FS Jimbaran April 2018'!AB20</f>
        <v>10153</v>
      </c>
      <c r="I10" s="148">
        <f>'FS Jimbaran April 2018'!AE20</f>
        <v>532.20000000001164</v>
      </c>
      <c r="J10" s="149">
        <f>'FS Jimbaran April 2018'!AF20/'FS Jimbaran April 2018'!AE20</f>
        <v>8700</v>
      </c>
      <c r="K10" s="148">
        <f>'FS Jimbaran April 2018'!Q20</f>
        <v>697.40000000000146</v>
      </c>
      <c r="L10" s="157">
        <f>'FS Jimbaran April 2018'!V20/'FS Jimbaran April 2018'!Q20</f>
        <v>10018.775835962133</v>
      </c>
      <c r="M10" s="148">
        <v>30</v>
      </c>
      <c r="N10" s="148">
        <v>358</v>
      </c>
    </row>
    <row r="11" spans="1:15">
      <c r="A11" s="145" t="s">
        <v>14</v>
      </c>
      <c r="B11" s="146">
        <f t="shared" si="0"/>
        <v>10</v>
      </c>
      <c r="C11" s="147">
        <v>4</v>
      </c>
      <c r="D11" s="146">
        <v>2018</v>
      </c>
      <c r="E11" s="148">
        <f>'FS Jimbaran April 2018'!P21</f>
        <v>26019.999999991229</v>
      </c>
      <c r="F11" s="157">
        <f>'FS Jimbaran April 2018'!O21/'FS Jimbaran April 2018'!P21</f>
        <v>1181.6132063796992</v>
      </c>
      <c r="G11" s="148">
        <f>'FS Jimbaran April 2018'!AB21</f>
        <v>500.13608000000232</v>
      </c>
      <c r="H11" s="157">
        <f>'FS Jimbaran April 2018'!AC21/'FS Jimbaran April 2018'!AB21</f>
        <v>12083.074710866682</v>
      </c>
      <c r="I11" s="148">
        <f>'FS Jimbaran April 2018'!AE21</f>
        <v>475.39999999993597</v>
      </c>
      <c r="J11" s="149">
        <f>'FS Jimbaran April 2018'!AF21/'FS Jimbaran April 2018'!AE21</f>
        <v>8700</v>
      </c>
      <c r="K11" s="148">
        <f>'FS Jimbaran April 2018'!Q21</f>
        <v>769</v>
      </c>
      <c r="L11" s="157">
        <f>'FS Jimbaran April 2018'!V21/'FS Jimbaran April 2018'!Q21</f>
        <v>10213.188270481143</v>
      </c>
      <c r="M11" s="148">
        <v>36</v>
      </c>
      <c r="N11" s="148">
        <v>315</v>
      </c>
    </row>
    <row r="12" spans="1:15">
      <c r="A12" s="145" t="s">
        <v>14</v>
      </c>
      <c r="B12" s="146">
        <f t="shared" si="0"/>
        <v>11</v>
      </c>
      <c r="C12" s="147">
        <v>4</v>
      </c>
      <c r="D12" s="146">
        <v>2018</v>
      </c>
      <c r="E12" s="148">
        <f>'FS Jimbaran April 2018'!P22</f>
        <v>26800.000000001091</v>
      </c>
      <c r="F12" s="157">
        <f>'FS Jimbaran April 2018'!O22/'FS Jimbaran April 2018'!P22</f>
        <v>1182.9341921642272</v>
      </c>
      <c r="G12" s="148">
        <f>'FS Jimbaran April 2018'!AB22</f>
        <v>130.34608000000233</v>
      </c>
      <c r="H12" s="157">
        <f>'FS Jimbaran April 2018'!AC22/'FS Jimbaran April 2018'!AB22</f>
        <v>10153</v>
      </c>
      <c r="I12" s="148">
        <f>'FS Jimbaran April 2018'!AE22</f>
        <v>611.20000000009895</v>
      </c>
      <c r="J12" s="149">
        <f>'FS Jimbaran April 2018'!AF22/'FS Jimbaran April 2018'!AE22</f>
        <v>8700</v>
      </c>
      <c r="K12" s="148">
        <f>'FS Jimbaran April 2018'!Q22</f>
        <v>783.69999999999709</v>
      </c>
      <c r="L12" s="157">
        <f>'FS Jimbaran April 2018'!V22/'FS Jimbaran April 2018'!Q22</f>
        <v>9702.6413091744471</v>
      </c>
      <c r="M12" s="148">
        <v>56</v>
      </c>
      <c r="N12" s="148">
        <v>403</v>
      </c>
    </row>
    <row r="13" spans="1:15">
      <c r="A13" s="145" t="s">
        <v>14</v>
      </c>
      <c r="B13" s="146">
        <f t="shared" si="0"/>
        <v>12</v>
      </c>
      <c r="C13" s="147">
        <v>4</v>
      </c>
      <c r="D13" s="146">
        <v>2018</v>
      </c>
      <c r="E13" s="148">
        <f>'FS Jimbaran April 2018'!P23</f>
        <v>26740.000000001488</v>
      </c>
      <c r="F13" s="157">
        <f>'FS Jimbaran April 2018'!O23/'FS Jimbaran April 2018'!P23</f>
        <v>1182.7414554973343</v>
      </c>
      <c r="G13" s="148">
        <f>'FS Jimbaran April 2018'!AB23</f>
        <v>374.05895999999882</v>
      </c>
      <c r="H13" s="157">
        <f>'FS Jimbaran April 2018'!AC23/'FS Jimbaran April 2018'!AB23</f>
        <v>10879.928182658694</v>
      </c>
      <c r="I13" s="148">
        <f>'FS Jimbaran April 2018'!AE23</f>
        <v>738.19999999992433</v>
      </c>
      <c r="J13" s="149">
        <f>'FS Jimbaran April 2018'!AF23/'FS Jimbaran April 2018'!AE23</f>
        <v>8700</v>
      </c>
      <c r="K13" s="148">
        <f>'FS Jimbaran April 2018'!Q23</f>
        <v>829.09999999999854</v>
      </c>
      <c r="L13" s="157">
        <f>'FS Jimbaran April 2018'!V23/'FS Jimbaran April 2018'!Q23</f>
        <v>9219.5647593776466</v>
      </c>
      <c r="M13" s="148">
        <v>48</v>
      </c>
      <c r="N13" s="148">
        <v>477</v>
      </c>
    </row>
    <row r="14" spans="1:15">
      <c r="A14" s="145" t="s">
        <v>14</v>
      </c>
      <c r="B14" s="146">
        <f t="shared" si="0"/>
        <v>13</v>
      </c>
      <c r="C14" s="147">
        <v>4</v>
      </c>
      <c r="D14" s="146">
        <v>2018</v>
      </c>
      <c r="E14" s="148">
        <f>'FS Jimbaran April 2018'!P24</f>
        <v>27480.000000005475</v>
      </c>
      <c r="F14" s="157">
        <f>'FS Jimbaran April 2018'!O24/'FS Jimbaran April 2018'!P24</f>
        <v>1177.0124475982709</v>
      </c>
      <c r="G14" s="148">
        <f>'FS Jimbaran April 2018'!AB24</f>
        <v>110.88740000001171</v>
      </c>
      <c r="H14" s="157">
        <f>'FS Jimbaran April 2018'!AC24/'FS Jimbaran April 2018'!AB24</f>
        <v>10312.296728032203</v>
      </c>
      <c r="I14" s="148">
        <f>'FS Jimbaran April 2018'!AE24</f>
        <v>360.89999999996508</v>
      </c>
      <c r="J14" s="149">
        <f>'FS Jimbaran April 2018'!AF24/'FS Jimbaran April 2018'!AE24</f>
        <v>8700</v>
      </c>
      <c r="K14" s="148">
        <f>'FS Jimbaran April 2018'!Q24</f>
        <v>697.80000000000291</v>
      </c>
      <c r="L14" s="157">
        <f>'FS Jimbaran April 2018'!V24/'FS Jimbaran April 2018'!Q24</f>
        <v>9673.0176497563571</v>
      </c>
      <c r="M14" s="148">
        <v>48</v>
      </c>
      <c r="N14" s="148">
        <v>373</v>
      </c>
    </row>
    <row r="15" spans="1:15">
      <c r="A15" s="145" t="s">
        <v>14</v>
      </c>
      <c r="B15" s="146">
        <f t="shared" si="0"/>
        <v>14</v>
      </c>
      <c r="C15" s="147">
        <v>4</v>
      </c>
      <c r="D15" s="146">
        <v>2018</v>
      </c>
      <c r="E15" s="148">
        <f>'FS Jimbaran April 2018'!P25</f>
        <v>26879.999999998745</v>
      </c>
      <c r="F15" s="157">
        <f>'FS Jimbaran April 2018'!O25/'FS Jimbaran April 2018'!P25</f>
        <v>1181.4365625000021</v>
      </c>
      <c r="G15" s="148">
        <f>'FS Jimbaran April 2018'!AB25</f>
        <v>126.55287999999648</v>
      </c>
      <c r="H15" s="157">
        <f>'FS Jimbaran April 2018'!AC25/'FS Jimbaran April 2018'!AB25</f>
        <v>10432.15603343046</v>
      </c>
      <c r="I15" s="148">
        <f>'FS Jimbaran April 2018'!AE25</f>
        <v>451.30000000004657</v>
      </c>
      <c r="J15" s="149">
        <f>'FS Jimbaran April 2018'!AF25/'FS Jimbaran April 2018'!AE25</f>
        <v>8700</v>
      </c>
      <c r="K15" s="148">
        <f>'FS Jimbaran April 2018'!Q25</f>
        <v>531.19999999999709</v>
      </c>
      <c r="L15" s="157">
        <f>'FS Jimbaran April 2018'!V25/'FS Jimbaran April 2018'!Q25</f>
        <v>12688.048915662694</v>
      </c>
      <c r="M15" s="148">
        <v>50</v>
      </c>
      <c r="N15" s="148">
        <v>466</v>
      </c>
    </row>
    <row r="16" spans="1:15">
      <c r="A16" s="145" t="s">
        <v>14</v>
      </c>
      <c r="B16" s="146">
        <f t="shared" si="0"/>
        <v>15</v>
      </c>
      <c r="C16" s="147">
        <v>4</v>
      </c>
      <c r="D16" s="146">
        <v>2018</v>
      </c>
      <c r="E16" s="148">
        <f>'FS Jimbaran April 2018'!P26</f>
        <v>26499.999999997159</v>
      </c>
      <c r="F16" s="157">
        <f>'FS Jimbaran April 2018'!O26/'FS Jimbaran April 2018'!P26</f>
        <v>1179.9097641508949</v>
      </c>
      <c r="G16" s="148">
        <f>'FS Jimbaran April 2018'!AB26</f>
        <v>494.81912000000352</v>
      </c>
      <c r="H16" s="157">
        <f>'FS Jimbaran April 2018'!AC26/'FS Jimbaran April 2018'!AB26</f>
        <v>10975.118595578921</v>
      </c>
      <c r="I16" s="148">
        <f>'FS Jimbaran April 2018'!AE26</f>
        <v>335</v>
      </c>
      <c r="J16" s="149">
        <f>'FS Jimbaran April 2018'!AF26/'FS Jimbaran April 2018'!AE26</f>
        <v>8700</v>
      </c>
      <c r="K16" s="148">
        <f>'FS Jimbaran April 2018'!Q26</f>
        <v>458</v>
      </c>
      <c r="L16" s="157">
        <f>'FS Jimbaran April 2018'!V26/'FS Jimbaran April 2018'!Q26</f>
        <v>12661.837467248908</v>
      </c>
      <c r="M16" s="148">
        <v>31</v>
      </c>
      <c r="N16" s="148">
        <v>451</v>
      </c>
    </row>
    <row r="17" spans="1:14">
      <c r="A17" s="145" t="s">
        <v>14</v>
      </c>
      <c r="B17" s="146">
        <f t="shared" si="0"/>
        <v>16</v>
      </c>
      <c r="C17" s="147">
        <v>4</v>
      </c>
      <c r="D17" s="146">
        <v>2018</v>
      </c>
      <c r="E17" s="148">
        <f>'FS Jimbaran April 2018'!P27</f>
        <v>26779.999999998381</v>
      </c>
      <c r="F17" s="157">
        <f>'FS Jimbaran April 2018'!O27/'FS Jimbaran April 2018'!P27</f>
        <v>1181.3809637789432</v>
      </c>
      <c r="G17" s="148">
        <f>'FS Jimbaran April 2018'!AB27</f>
        <v>83.661559999987091</v>
      </c>
      <c r="H17" s="157">
        <f>'FS Jimbaran April 2018'!AC27/'FS Jimbaran April 2018'!AB27</f>
        <v>16828.706262231855</v>
      </c>
      <c r="I17" s="148">
        <f>'FS Jimbaran April 2018'!AE27</f>
        <v>404.70000000001164</v>
      </c>
      <c r="J17" s="149">
        <f>'FS Jimbaran April 2018'!AF27/'FS Jimbaran April 2018'!AE27</f>
        <v>8700</v>
      </c>
      <c r="K17" s="148">
        <f>'FS Jimbaran April 2018'!Q27</f>
        <v>443</v>
      </c>
      <c r="L17" s="157">
        <f>'FS Jimbaran April 2018'!V27/'FS Jimbaran April 2018'!Q27</f>
        <v>12512.086275395035</v>
      </c>
      <c r="M17" s="148">
        <v>38</v>
      </c>
      <c r="N17" s="148">
        <v>334</v>
      </c>
    </row>
    <row r="18" spans="1:14">
      <c r="A18" s="145" t="s">
        <v>14</v>
      </c>
      <c r="B18" s="146">
        <f t="shared" si="0"/>
        <v>17</v>
      </c>
      <c r="C18" s="147">
        <v>4</v>
      </c>
      <c r="D18" s="146">
        <v>2018</v>
      </c>
      <c r="E18" s="148">
        <f>'FS Jimbaran April 2018'!P28</f>
        <v>25840.000000010605</v>
      </c>
      <c r="F18" s="157">
        <f>'FS Jimbaran April 2018'!O28/'FS Jimbaran April 2018'!P28</f>
        <v>1184.3727422600969</v>
      </c>
      <c r="G18" s="148">
        <f>'FS Jimbaran April 2018'!AB28</f>
        <v>101.90840000001171</v>
      </c>
      <c r="H18" s="157">
        <f>'FS Jimbaran April 2018'!AC28/'FS Jimbaran April 2018'!AB28</f>
        <v>10153</v>
      </c>
      <c r="I18" s="148">
        <f>'FS Jimbaran April 2018'!AE28</f>
        <v>530.09999999994761</v>
      </c>
      <c r="J18" s="149">
        <f>'FS Jimbaran April 2018'!AF28/'FS Jimbaran April 2018'!AE28</f>
        <v>8700</v>
      </c>
      <c r="K18" s="148">
        <f>'FS Jimbaran April 2018'!Q28</f>
        <v>467</v>
      </c>
      <c r="L18" s="157">
        <f>'FS Jimbaran April 2018'!V28/'FS Jimbaran April 2018'!Q28</f>
        <v>12678.794646680941</v>
      </c>
      <c r="M18" s="148">
        <v>35</v>
      </c>
      <c r="N18" s="148">
        <v>319</v>
      </c>
    </row>
    <row r="19" spans="1:14">
      <c r="A19" s="145" t="s">
        <v>14</v>
      </c>
      <c r="B19" s="146">
        <f t="shared" si="0"/>
        <v>18</v>
      </c>
      <c r="C19" s="147">
        <v>4</v>
      </c>
      <c r="D19" s="146">
        <v>2018</v>
      </c>
      <c r="E19" s="148">
        <f>'FS Jimbaran April 2018'!P29</f>
        <v>27319.999999978223</v>
      </c>
      <c r="F19" s="157">
        <f>'FS Jimbaran April 2018'!O29/'FS Jimbaran April 2018'!P29</f>
        <v>1180.7209568082314</v>
      </c>
      <c r="G19" s="148">
        <f>'FS Jimbaran April 2018'!AB29</f>
        <v>367.28847999998476</v>
      </c>
      <c r="H19" s="157">
        <f>'FS Jimbaran April 2018'!AC29/'FS Jimbaran April 2018'!AB29</f>
        <v>10941.421134253957</v>
      </c>
      <c r="I19" s="148">
        <f>'FS Jimbaran April 2018'!AE29</f>
        <v>551.90000000002328</v>
      </c>
      <c r="J19" s="149">
        <f>'FS Jimbaran April 2018'!AF29/'FS Jimbaran April 2018'!AE29</f>
        <v>8700</v>
      </c>
      <c r="K19" s="148">
        <f>'FS Jimbaran April 2018'!Q29</f>
        <v>448</v>
      </c>
      <c r="L19" s="157">
        <f>'FS Jimbaran April 2018'!V29/'FS Jimbaran April 2018'!Q29</f>
        <v>12484.038035714286</v>
      </c>
      <c r="M19" s="148">
        <v>40</v>
      </c>
      <c r="N19" s="148">
        <v>314</v>
      </c>
    </row>
    <row r="20" spans="1:14">
      <c r="A20" s="145" t="s">
        <v>14</v>
      </c>
      <c r="B20" s="146">
        <f t="shared" si="0"/>
        <v>19</v>
      </c>
      <c r="C20" s="147">
        <v>4</v>
      </c>
      <c r="D20" s="146">
        <v>2018</v>
      </c>
      <c r="E20" s="148">
        <f>'FS Jimbaran April 2018'!P30</f>
        <v>26300.000000002001</v>
      </c>
      <c r="F20" s="157">
        <f>'FS Jimbaran April 2018'!O30/'FS Jimbaran April 2018'!P30</f>
        <v>1178.1308292775996</v>
      </c>
      <c r="G20" s="148">
        <f>'FS Jimbaran April 2018'!AB30</f>
        <v>90.186919999997642</v>
      </c>
      <c r="H20" s="157">
        <f>'FS Jimbaran April 2018'!AC30/'FS Jimbaran April 2018'!AB30</f>
        <v>10153</v>
      </c>
      <c r="I20" s="148">
        <f>'FS Jimbaran April 2018'!AE30</f>
        <v>778.30000000005271</v>
      </c>
      <c r="J20" s="149">
        <f>'FS Jimbaran April 2018'!AF30/'FS Jimbaran April 2018'!AE30</f>
        <v>8700</v>
      </c>
      <c r="K20" s="148">
        <f>'FS Jimbaran April 2018'!Q30</f>
        <v>471</v>
      </c>
      <c r="L20" s="157">
        <f>'FS Jimbaran April 2018'!V30/'FS Jimbaran April 2018'!Q30</f>
        <v>12780.145520169852</v>
      </c>
      <c r="M20" s="148">
        <v>39</v>
      </c>
      <c r="N20" s="148">
        <v>342</v>
      </c>
    </row>
    <row r="21" spans="1:14">
      <c r="A21" s="145" t="s">
        <v>14</v>
      </c>
      <c r="B21" s="146">
        <f t="shared" si="0"/>
        <v>20</v>
      </c>
      <c r="C21" s="147">
        <v>4</v>
      </c>
      <c r="D21" s="146">
        <v>2018</v>
      </c>
      <c r="E21" s="148">
        <f>'FS Jimbaran April 2018'!P31</f>
        <v>26600.000000009913</v>
      </c>
      <c r="F21" s="157">
        <f>'FS Jimbaran April 2018'!O31/'FS Jimbaran April 2018'!P31</f>
        <v>1180.7891999999272</v>
      </c>
      <c r="G21" s="148">
        <f>'FS Jimbaran April 2018'!AB31</f>
        <v>97.07480000002343</v>
      </c>
      <c r="H21" s="157">
        <f>'FS Jimbaran April 2018'!AC31/'FS Jimbaran April 2018'!AB31</f>
        <v>10153</v>
      </c>
      <c r="I21" s="148">
        <f>'FS Jimbaran April 2018'!AE31</f>
        <v>1251.1999999999477</v>
      </c>
      <c r="J21" s="149">
        <f>'FS Jimbaran April 2018'!AF31/'FS Jimbaran April 2018'!AE31</f>
        <v>8700</v>
      </c>
      <c r="K21" s="148">
        <f>'FS Jimbaran April 2018'!Q31</f>
        <v>453</v>
      </c>
      <c r="L21" s="157">
        <f>'FS Jimbaran April 2018'!V31/'FS Jimbaran April 2018'!Q31</f>
        <v>12427.281456953642</v>
      </c>
      <c r="M21" s="148">
        <v>38</v>
      </c>
      <c r="N21" s="148">
        <v>469</v>
      </c>
    </row>
    <row r="22" spans="1:14">
      <c r="A22" s="145" t="s">
        <v>14</v>
      </c>
      <c r="B22" s="146">
        <f t="shared" si="0"/>
        <v>21</v>
      </c>
      <c r="C22" s="147">
        <v>4</v>
      </c>
      <c r="D22" s="146">
        <v>2018</v>
      </c>
      <c r="E22" s="148">
        <f>'FS Jimbaran April 2018'!P32</f>
        <v>26080.000000007545</v>
      </c>
      <c r="F22" s="157">
        <f>'FS Jimbaran April 2018'!O32/'FS Jimbaran April 2018'!P32</f>
        <v>1179.3117837423422</v>
      </c>
      <c r="G22" s="148">
        <f>'FS Jimbaran April 2018'!AB32</f>
        <v>487.36387999999647</v>
      </c>
      <c r="H22" s="157">
        <f>'FS Jimbaran April 2018'!AC32/'FS Jimbaran April 2018'!AB32</f>
        <v>11023.938568529131</v>
      </c>
      <c r="I22" s="148">
        <f>'FS Jimbaran April 2018'!AE32</f>
        <v>456.69999999998254</v>
      </c>
      <c r="J22" s="149">
        <f>'FS Jimbaran April 2018'!AF32/'FS Jimbaran April 2018'!AE32</f>
        <v>8700</v>
      </c>
      <c r="K22" s="148">
        <f>'FS Jimbaran April 2018'!Q32</f>
        <v>823.90000000000146</v>
      </c>
      <c r="L22" s="157">
        <f>'FS Jimbaran April 2018'!V32/'FS Jimbaran April 2018'!Q32</f>
        <v>9764.1844859812991</v>
      </c>
      <c r="M22" s="148">
        <v>31</v>
      </c>
      <c r="N22" s="148">
        <v>414</v>
      </c>
    </row>
    <row r="23" spans="1:14">
      <c r="A23" s="145" t="s">
        <v>14</v>
      </c>
      <c r="B23" s="146">
        <f t="shared" si="0"/>
        <v>22</v>
      </c>
      <c r="C23" s="147">
        <v>4</v>
      </c>
      <c r="D23" s="146">
        <v>2018</v>
      </c>
      <c r="E23" s="148">
        <f>'FS Jimbaran April 2018'!P33</f>
        <v>26799.999999980628</v>
      </c>
      <c r="F23" s="157">
        <f>'FS Jimbaran April 2018'!O33/'FS Jimbaran April 2018'!P33</f>
        <v>1180.4993361940587</v>
      </c>
      <c r="G23" s="148">
        <f>'FS Jimbaran April 2018'!AB33</f>
        <v>136.57916000000466</v>
      </c>
      <c r="H23" s="157">
        <f>'FS Jimbaran April 2018'!AC33/'FS Jimbaran April 2018'!AB33</f>
        <v>14630.198424708275</v>
      </c>
      <c r="I23" s="148">
        <f>'FS Jimbaran April 2018'!AE33</f>
        <v>658.60000000000582</v>
      </c>
      <c r="J23" s="149">
        <f>'FS Jimbaran April 2018'!AF33/'FS Jimbaran April 2018'!AE33</f>
        <v>8700</v>
      </c>
      <c r="K23" s="148">
        <f>'FS Jimbaran April 2018'!Q33</f>
        <v>630.5</v>
      </c>
      <c r="L23" s="157">
        <f>'FS Jimbaran April 2018'!V33/'FS Jimbaran April 2018'!Q33</f>
        <v>10331.88816812054</v>
      </c>
      <c r="M23" s="148">
        <v>35</v>
      </c>
      <c r="N23" s="148">
        <v>398</v>
      </c>
    </row>
    <row r="24" spans="1:14">
      <c r="A24" s="145" t="s">
        <v>14</v>
      </c>
      <c r="B24" s="146">
        <f t="shared" si="0"/>
        <v>23</v>
      </c>
      <c r="C24" s="147">
        <v>4</v>
      </c>
      <c r="D24" s="146">
        <v>2018</v>
      </c>
      <c r="E24" s="148">
        <f>'FS Jimbaran April 2018'!P34</f>
        <v>26299.999999998363</v>
      </c>
      <c r="F24" s="157">
        <f>'FS Jimbaran April 2018'!O34/'FS Jimbaran April 2018'!P34</f>
        <v>1184.7472186311998</v>
      </c>
      <c r="G24" s="148">
        <f>'FS Jimbaran April 2018'!AB34</f>
        <v>107.8295599999871</v>
      </c>
      <c r="H24" s="157">
        <f>'FS Jimbaran April 2018'!AC34/'FS Jimbaran April 2018'!AB34</f>
        <v>10153</v>
      </c>
      <c r="I24" s="148">
        <f>'FS Jimbaran April 2018'!AE34</f>
        <v>500</v>
      </c>
      <c r="J24" s="149">
        <f>'FS Jimbaran April 2018'!AF34/'FS Jimbaran April 2018'!AE34</f>
        <v>8700</v>
      </c>
      <c r="K24" s="148">
        <f>'FS Jimbaran April 2018'!Q34</f>
        <v>651.20000000000437</v>
      </c>
      <c r="L24" s="157">
        <f>'FS Jimbaran April 2018'!V34/'FS Jimbaran April 2018'!Q34</f>
        <v>9846.3618918918582</v>
      </c>
      <c r="M24" s="148">
        <v>54</v>
      </c>
      <c r="N24" s="148">
        <v>432</v>
      </c>
    </row>
    <row r="25" spans="1:14">
      <c r="A25" s="145" t="s">
        <v>14</v>
      </c>
      <c r="B25" s="146">
        <f t="shared" si="0"/>
        <v>24</v>
      </c>
      <c r="C25" s="147">
        <v>4</v>
      </c>
      <c r="D25" s="146">
        <v>2018</v>
      </c>
      <c r="E25" s="148">
        <f>'FS Jimbaran April 2018'!P35</f>
        <v>25920.000000019172</v>
      </c>
      <c r="F25" s="157">
        <f>'FS Jimbaran April 2018'!O35/'FS Jimbaran April 2018'!P35</f>
        <v>1182.8152048610016</v>
      </c>
      <c r="G25" s="148">
        <f>'FS Jimbaran April 2018'!AB35</f>
        <v>422.67004000000117</v>
      </c>
      <c r="H25" s="157">
        <f>'FS Jimbaran April 2018'!AC35/'FS Jimbaran April 2018'!AB35</f>
        <v>10879.907447710273</v>
      </c>
      <c r="I25" s="148">
        <f>'FS Jimbaran April 2018'!AE35</f>
        <v>444.10000000003492</v>
      </c>
      <c r="J25" s="149">
        <f>'FS Jimbaran April 2018'!AF35/'FS Jimbaran April 2018'!AE35</f>
        <v>8700</v>
      </c>
      <c r="K25" s="148">
        <f>'FS Jimbaran April 2018'!Q35</f>
        <v>855.39999999999418</v>
      </c>
      <c r="L25" s="157">
        <f>'FS Jimbaran April 2018'!V35/'FS Jimbaran April 2018'!Q35</f>
        <v>8986.9531774608677</v>
      </c>
      <c r="M25" s="148">
        <v>52</v>
      </c>
      <c r="N25" s="148">
        <v>431</v>
      </c>
    </row>
    <row r="26" spans="1:14">
      <c r="A26" s="145" t="s">
        <v>14</v>
      </c>
      <c r="B26" s="146">
        <f>B25+1</f>
        <v>25</v>
      </c>
      <c r="C26" s="147">
        <v>4</v>
      </c>
      <c r="D26" s="146">
        <v>2018</v>
      </c>
      <c r="E26" s="148">
        <f>'FS Jimbaran April 2018'!P36</f>
        <v>26159.999999978936</v>
      </c>
      <c r="F26" s="157">
        <f>'FS Jimbaran April 2018'!O36/'FS Jimbaran April 2018'!P36</f>
        <v>1178.6154873854157</v>
      </c>
      <c r="G26" s="148">
        <f>'FS Jimbaran April 2018'!AB36</f>
        <v>91.959240000007028</v>
      </c>
      <c r="H26" s="157">
        <f>'FS Jimbaran April 2018'!AC36/'FS Jimbaran April 2018'!AB36</f>
        <v>10153</v>
      </c>
      <c r="I26" s="148">
        <f>'FS Jimbaran April 2018'!AE36</f>
        <v>628.69999999995343</v>
      </c>
      <c r="J26" s="149">
        <f>'FS Jimbaran April 2018'!AF36/'FS Jimbaran April 2018'!AE36</f>
        <v>8700</v>
      </c>
      <c r="K26" s="148">
        <f>'FS Jimbaran April 2018'!Q36</f>
        <v>840.80000000000291</v>
      </c>
      <c r="L26" s="157">
        <f>'FS Jimbaran April 2018'!V36/'FS Jimbaran April 2018'!Q36</f>
        <v>8903.6486393910418</v>
      </c>
      <c r="M26" s="148">
        <v>50</v>
      </c>
      <c r="N26" s="148">
        <v>351</v>
      </c>
    </row>
    <row r="27" spans="1:14">
      <c r="A27" s="145" t="s">
        <v>14</v>
      </c>
      <c r="B27" s="146">
        <f t="shared" si="0"/>
        <v>26</v>
      </c>
      <c r="C27" s="147">
        <v>4</v>
      </c>
      <c r="D27" s="146">
        <v>2018</v>
      </c>
      <c r="E27" s="148">
        <f>'FS Jimbaran April 2018'!P37</f>
        <v>26400.000000001455</v>
      </c>
      <c r="F27" s="157">
        <f>'FS Jimbaran April 2018'!O37/'FS Jimbaran April 2018'!P37</f>
        <v>1181.4954136363949</v>
      </c>
      <c r="G27" s="148">
        <f>'FS Jimbaran April 2018'!AB37</f>
        <v>503.03279999999415</v>
      </c>
      <c r="H27" s="157">
        <f>'FS Jimbaran April 2018'!AC37/'FS Jimbaran April 2018'!AB37</f>
        <v>10996.809787353837</v>
      </c>
      <c r="I27" s="148">
        <f>'FS Jimbaran April 2018'!AE37</f>
        <v>598.60000000000582</v>
      </c>
      <c r="J27" s="149">
        <f>'FS Jimbaran April 2018'!AF37/'FS Jimbaran April 2018'!AE37</f>
        <v>8700</v>
      </c>
      <c r="K27" s="148">
        <f>'FS Jimbaran April 2018'!Q37</f>
        <v>465</v>
      </c>
      <c r="L27" s="157">
        <f>'FS Jimbaran April 2018'!V37/'FS Jimbaran April 2018'!Q37</f>
        <v>12198.905333333332</v>
      </c>
      <c r="M27" s="148">
        <v>51</v>
      </c>
      <c r="N27" s="148">
        <v>420</v>
      </c>
    </row>
    <row r="28" spans="1:14">
      <c r="A28" s="145" t="s">
        <v>14</v>
      </c>
      <c r="B28" s="146">
        <f t="shared" si="0"/>
        <v>27</v>
      </c>
      <c r="C28" s="147">
        <v>4</v>
      </c>
      <c r="D28" s="146">
        <v>2018</v>
      </c>
      <c r="E28" s="148">
        <f>'FS Jimbaran April 2018'!P38</f>
        <v>26880.000000011478</v>
      </c>
      <c r="F28" s="157">
        <f>'FS Jimbaran April 2018'!O38/'FS Jimbaran April 2018'!P38</f>
        <v>1181.4365624999575</v>
      </c>
      <c r="G28" s="148">
        <f>'FS Jimbaran April 2018'!AB38</f>
        <v>155.47047999998475</v>
      </c>
      <c r="H28" s="157">
        <f>'FS Jimbaran April 2018'!AC38/'FS Jimbaran April 2018'!AB38</f>
        <v>10493.849272479285</v>
      </c>
      <c r="I28" s="148">
        <f>'FS Jimbaran April 2018'!AE38</f>
        <v>695.80000000001746</v>
      </c>
      <c r="J28" s="149">
        <f>'FS Jimbaran April 2018'!AF38/'FS Jimbaran April 2018'!AE38</f>
        <v>8700</v>
      </c>
      <c r="K28" s="148">
        <f>'FS Jimbaran April 2018'!Q38</f>
        <v>795</v>
      </c>
      <c r="L28" s="157">
        <f>'FS Jimbaran April 2018'!V38/'FS Jimbaran April 2018'!Q38</f>
        <v>8060.4712201257853</v>
      </c>
      <c r="M28" s="148">
        <v>78</v>
      </c>
      <c r="N28" s="148">
        <v>559</v>
      </c>
    </row>
    <row r="29" spans="1:14">
      <c r="A29" s="145" t="s">
        <v>14</v>
      </c>
      <c r="B29" s="146">
        <f t="shared" si="0"/>
        <v>28</v>
      </c>
      <c r="C29" s="147">
        <v>4</v>
      </c>
      <c r="D29" s="146">
        <v>2018</v>
      </c>
      <c r="E29" s="148">
        <f>'FS Jimbaran April 2018'!P39</f>
        <v>26219.999999988886</v>
      </c>
      <c r="F29" s="157">
        <f>'FS Jimbaran April 2018'!O39/'FS Jimbaran April 2018'!P39</f>
        <v>1183.3845755148936</v>
      </c>
      <c r="G29" s="148">
        <f>'FS Jimbaran April 2018'!AB39</f>
        <v>113.82784000002461</v>
      </c>
      <c r="H29" s="157">
        <f>'FS Jimbaran April 2018'!AC39/'FS Jimbaran April 2018'!AB39</f>
        <v>15214.714251978034</v>
      </c>
      <c r="I29" s="148">
        <f>'FS Jimbaran April 2018'!AE39</f>
        <v>746.80000000007567</v>
      </c>
      <c r="J29" s="149">
        <f>'FS Jimbaran April 2018'!AF39/'FS Jimbaran April 2018'!AE39</f>
        <v>8700</v>
      </c>
      <c r="K29" s="148">
        <f>'FS Jimbaran April 2018'!Q39</f>
        <v>817</v>
      </c>
      <c r="L29" s="157">
        <f>'FS Jimbaran April 2018'!V39/'FS Jimbaran April 2018'!Q39</f>
        <v>10538.834198286413</v>
      </c>
      <c r="M29" s="148">
        <v>96</v>
      </c>
      <c r="N29" s="148">
        <v>684</v>
      </c>
    </row>
    <row r="30" spans="1:14">
      <c r="A30" s="145" t="s">
        <v>14</v>
      </c>
      <c r="B30" s="146">
        <f t="shared" si="0"/>
        <v>29</v>
      </c>
      <c r="C30" s="147">
        <v>4</v>
      </c>
      <c r="D30" s="146">
        <v>2018</v>
      </c>
      <c r="E30" s="148">
        <f>'FS Jimbaran April 2018'!P40</f>
        <v>26540.00000000724</v>
      </c>
      <c r="F30" s="157">
        <f>'FS Jimbaran April 2018'!O40/'FS Jimbaran April 2018'!P40</f>
        <v>1181.8195162018947</v>
      </c>
      <c r="G30" s="148">
        <f>'FS Jimbaran April 2018'!AB40</f>
        <v>134.45119999997655</v>
      </c>
      <c r="H30" s="157">
        <f>'FS Jimbaran April 2018'!AC40/'FS Jimbaran April 2018'!AB40</f>
        <v>10284.378522467654</v>
      </c>
      <c r="I30" s="148">
        <f>'FS Jimbaran April 2018'!AE40</f>
        <v>636.39999999999418</v>
      </c>
      <c r="J30" s="149">
        <f>'FS Jimbaran April 2018'!AF40/'FS Jimbaran April 2018'!AE40</f>
        <v>8700</v>
      </c>
      <c r="K30" s="148">
        <f>'FS Jimbaran April 2018'!Q40</f>
        <v>668.19999999999709</v>
      </c>
      <c r="L30" s="157">
        <f>'FS Jimbaran April 2018'!V40/'FS Jimbaran April 2018'!Q40</f>
        <v>6474.2279616881242</v>
      </c>
      <c r="M30" s="148">
        <v>98</v>
      </c>
      <c r="N30" s="148">
        <v>720</v>
      </c>
    </row>
    <row r="31" spans="1:14">
      <c r="A31" s="145" t="s">
        <v>14</v>
      </c>
      <c r="B31" s="146">
        <f t="shared" si="0"/>
        <v>30</v>
      </c>
      <c r="C31" s="147">
        <v>4</v>
      </c>
      <c r="D31" s="146">
        <v>2018</v>
      </c>
      <c r="E31" s="148">
        <f>'FS Jimbaran April 2018'!P41</f>
        <v>37320.000000006534</v>
      </c>
      <c r="F31" s="157">
        <f>'FS Jimbaran April 2018'!O41/'FS Jimbaran April 2018'!P41</f>
        <v>1154.0121221864958</v>
      </c>
      <c r="G31" s="148">
        <f>'FS Jimbaran April 2018'!AB41</f>
        <v>351.66672000002109</v>
      </c>
      <c r="H31" s="157">
        <f>'FS Jimbaran April 2018'!AC41/'FS Jimbaran April 2018'!AB41</f>
        <v>10875.985672343362</v>
      </c>
      <c r="I31" s="148">
        <f>'FS Jimbaran April 2018'!AE41</f>
        <v>441.69999999988931</v>
      </c>
      <c r="J31" s="149">
        <f>'FS Jimbaran April 2018'!AF41/'FS Jimbaran April 2018'!AE41</f>
        <v>8700</v>
      </c>
      <c r="K31" s="148">
        <f>'FS Jimbaran April 2018'!Q41</f>
        <v>526.80000000000291</v>
      </c>
      <c r="L31" s="157">
        <f>'FS Jimbaran April 2018'!V41/'FS Jimbaran April 2018'!Q41</f>
        <v>4684.82</v>
      </c>
      <c r="M31" s="148">
        <v>96</v>
      </c>
      <c r="N31" s="148">
        <v>695</v>
      </c>
    </row>
    <row r="32" spans="1:14">
      <c r="E32" s="155"/>
      <c r="G32" s="155"/>
      <c r="K32" s="155"/>
      <c r="M32" s="155"/>
      <c r="N32" s="15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H102"/>
  <sheetViews>
    <sheetView tabSelected="1" zoomScale="62" zoomScaleNormal="62" workbookViewId="0">
      <pane xSplit="4" ySplit="10" topLeftCell="V34" activePane="bottomRight" state="frozen"/>
      <selection pane="bottomRight" activeCell="AB47" sqref="AB47"/>
      <selection pane="bottomLeft" activeCell="A11" sqref="A11"/>
      <selection pane="topRight" activeCell="E1" sqref="E1"/>
    </sheetView>
  </sheetViews>
  <sheetFormatPr defaultRowHeight="15.75"/>
  <cols>
    <col min="1" max="1" width="3.7109375" style="7" customWidth="1"/>
    <col min="2" max="2" width="8.7109375" style="7" customWidth="1"/>
    <col min="3" max="3" width="10.28515625" style="3" customWidth="1"/>
    <col min="4" max="4" width="10.57031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60" bestFit="1" customWidth="1"/>
    <col min="14" max="14" width="20.42578125" style="64" customWidth="1"/>
    <col min="15" max="15" width="18.85546875" customWidth="1"/>
    <col min="16" max="16" width="15.140625" style="64" customWidth="1"/>
    <col min="17" max="17" width="19.7109375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7.85546875" bestFit="1" customWidth="1"/>
    <col min="23" max="23" width="9.85546875" customWidth="1"/>
    <col min="24" max="24" width="15.85546875" bestFit="1" customWidth="1"/>
    <col min="25" max="25" width="12.85546875" style="3" bestFit="1" customWidth="1"/>
    <col min="26" max="26" width="14.85546875" customWidth="1"/>
    <col min="27" max="27" width="12.28515625" bestFit="1" customWidth="1"/>
    <col min="28" max="28" width="10" bestFit="1" customWidth="1"/>
    <col min="29" max="29" width="19" style="3" customWidth="1"/>
    <col min="30" max="30" width="10.5703125" customWidth="1"/>
    <col min="31" max="31" width="13.28515625" style="82" bestFit="1" customWidth="1"/>
    <col min="32" max="32" width="20.7109375" bestFit="1" customWidth="1"/>
    <col min="33" max="33" width="9.42578125" style="37" bestFit="1" customWidth="1"/>
    <col min="34" max="34" width="2.28515625" style="7" customWidth="1"/>
  </cols>
  <sheetData>
    <row r="5" spans="1:34">
      <c r="N5" s="158"/>
      <c r="S5" s="159"/>
    </row>
    <row r="6" spans="1:34" s="22" customFormat="1" ht="18.75">
      <c r="B6" s="22" t="s">
        <v>16</v>
      </c>
      <c r="C6" s="30"/>
      <c r="E6" s="30"/>
      <c r="F6" s="30"/>
      <c r="H6" s="30"/>
      <c r="L6" s="30"/>
      <c r="M6" s="55"/>
      <c r="N6" s="61"/>
      <c r="P6" s="61"/>
      <c r="Y6" s="30"/>
      <c r="AC6" s="30"/>
      <c r="AE6" s="79"/>
      <c r="AG6" s="33"/>
    </row>
    <row r="7" spans="1:34" s="11" customFormat="1">
      <c r="A7" s="26"/>
      <c r="B7" s="185" t="s">
        <v>17</v>
      </c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  <c r="AA7" s="186"/>
      <c r="AB7" s="186"/>
      <c r="AC7" s="186"/>
      <c r="AD7" s="186"/>
      <c r="AE7" s="186"/>
      <c r="AF7" s="186"/>
      <c r="AG7" s="187"/>
      <c r="AH7" s="26"/>
    </row>
    <row r="8" spans="1:34" s="7" customFormat="1" ht="15.75" customHeight="1">
      <c r="A8" s="23"/>
      <c r="B8" s="188" t="s">
        <v>18</v>
      </c>
      <c r="C8" s="191" t="s">
        <v>19</v>
      </c>
      <c r="D8" s="194" t="s">
        <v>13</v>
      </c>
      <c r="E8" s="197" t="s">
        <v>20</v>
      </c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  <c r="Q8" s="198" t="s">
        <v>21</v>
      </c>
      <c r="R8" s="199"/>
      <c r="S8" s="199"/>
      <c r="T8" s="199"/>
      <c r="U8" s="199"/>
      <c r="V8" s="199"/>
      <c r="W8" s="200"/>
      <c r="X8" s="201" t="s">
        <v>22</v>
      </c>
      <c r="Y8" s="201"/>
      <c r="Z8" s="201"/>
      <c r="AA8" s="201"/>
      <c r="AB8" s="201"/>
      <c r="AC8" s="201"/>
      <c r="AD8" s="201"/>
      <c r="AE8" s="201"/>
      <c r="AF8" s="201"/>
      <c r="AG8" s="202"/>
      <c r="AH8" s="25"/>
    </row>
    <row r="9" spans="1:34" ht="15" customHeight="1">
      <c r="B9" s="189"/>
      <c r="C9" s="192"/>
      <c r="D9" s="195"/>
      <c r="E9" s="203" t="s">
        <v>23</v>
      </c>
      <c r="F9" s="204"/>
      <c r="G9" s="204"/>
      <c r="H9" s="204"/>
      <c r="I9" s="205"/>
      <c r="J9" s="206" t="s">
        <v>24</v>
      </c>
      <c r="K9" s="206"/>
      <c r="L9" s="206"/>
      <c r="M9" s="206"/>
      <c r="N9" s="207"/>
      <c r="O9" s="194" t="s">
        <v>25</v>
      </c>
      <c r="P9" s="208" t="s">
        <v>26</v>
      </c>
      <c r="Q9" s="49"/>
      <c r="R9" s="49" t="s">
        <v>27</v>
      </c>
      <c r="S9" s="49"/>
      <c r="T9" s="50"/>
      <c r="U9" s="163"/>
      <c r="V9" s="183" t="s">
        <v>28</v>
      </c>
      <c r="W9" s="184"/>
      <c r="X9" s="201" t="s">
        <v>29</v>
      </c>
      <c r="Y9" s="201"/>
      <c r="Z9" s="201"/>
      <c r="AA9" s="201"/>
      <c r="AB9" s="201"/>
      <c r="AC9" s="201"/>
      <c r="AD9" s="202"/>
      <c r="AE9" s="127" t="s">
        <v>30</v>
      </c>
      <c r="AF9" s="32"/>
      <c r="AG9" s="34"/>
    </row>
    <row r="10" spans="1:34" ht="61.5" customHeight="1">
      <c r="A10" s="24"/>
      <c r="B10" s="190"/>
      <c r="C10" s="193"/>
      <c r="D10" s="196"/>
      <c r="E10" s="92" t="s">
        <v>31</v>
      </c>
      <c r="F10" s="77" t="s">
        <v>32</v>
      </c>
      <c r="G10" s="122" t="s">
        <v>33</v>
      </c>
      <c r="H10" s="16" t="s">
        <v>32</v>
      </c>
      <c r="I10" s="93" t="s">
        <v>34</v>
      </c>
      <c r="J10" s="92" t="s">
        <v>31</v>
      </c>
      <c r="K10" s="78" t="s">
        <v>32</v>
      </c>
      <c r="L10" s="122" t="s">
        <v>33</v>
      </c>
      <c r="M10" s="56" t="s">
        <v>32</v>
      </c>
      <c r="N10" s="85" t="s">
        <v>35</v>
      </c>
      <c r="O10" s="196"/>
      <c r="P10" s="209"/>
      <c r="Q10" s="164" t="s">
        <v>36</v>
      </c>
      <c r="R10" s="51" t="s">
        <v>37</v>
      </c>
      <c r="S10" s="51" t="s">
        <v>38</v>
      </c>
      <c r="T10" s="20" t="s">
        <v>39</v>
      </c>
      <c r="U10" s="20" t="s">
        <v>40</v>
      </c>
      <c r="V10" s="20" t="s">
        <v>41</v>
      </c>
      <c r="W10" s="12" t="s">
        <v>42</v>
      </c>
      <c r="X10" s="114" t="s">
        <v>43</v>
      </c>
      <c r="Y10" s="44" t="s">
        <v>44</v>
      </c>
      <c r="Z10" s="43" t="s">
        <v>45</v>
      </c>
      <c r="AA10" s="43" t="s">
        <v>46</v>
      </c>
      <c r="AB10" s="43" t="s">
        <v>47</v>
      </c>
      <c r="AC10" s="44" t="s">
        <v>41</v>
      </c>
      <c r="AD10" s="45" t="s">
        <v>42</v>
      </c>
      <c r="AE10" s="128" t="s">
        <v>48</v>
      </c>
      <c r="AF10" s="43" t="s">
        <v>41</v>
      </c>
      <c r="AG10" s="47" t="s">
        <v>42</v>
      </c>
      <c r="AH10" s="24"/>
    </row>
    <row r="11" spans="1:34">
      <c r="A11" s="24"/>
      <c r="B11" s="53"/>
      <c r="C11" s="94"/>
      <c r="D11" s="165"/>
      <c r="E11" s="166"/>
      <c r="F11" s="83"/>
      <c r="G11" s="17"/>
      <c r="H11" s="18"/>
      <c r="I11" s="95"/>
      <c r="J11" s="84"/>
      <c r="K11" s="17"/>
      <c r="L11" s="18"/>
      <c r="M11" s="57"/>
      <c r="N11" s="86"/>
      <c r="O11" s="52"/>
      <c r="P11" s="103"/>
      <c r="Q11" s="84"/>
      <c r="R11" s="17"/>
      <c r="S11" s="17"/>
      <c r="T11" s="19"/>
      <c r="U11" s="19"/>
      <c r="V11" s="19"/>
      <c r="W11" s="95"/>
      <c r="X11" s="115"/>
      <c r="Y11" s="41"/>
      <c r="Z11" s="38"/>
      <c r="AA11" s="38"/>
      <c r="AB11" s="38"/>
      <c r="AC11" s="41"/>
      <c r="AD11" s="42"/>
      <c r="AE11" s="129"/>
      <c r="AF11" s="38"/>
      <c r="AG11" s="46"/>
      <c r="AH11" s="24"/>
    </row>
    <row r="12" spans="1:34">
      <c r="A12" s="29"/>
      <c r="B12" s="54">
        <v>1</v>
      </c>
      <c r="C12" s="181">
        <v>71</v>
      </c>
      <c r="D12" s="182">
        <v>723</v>
      </c>
      <c r="E12" s="99">
        <v>9480.0000000104774</v>
      </c>
      <c r="F12" s="2">
        <v>10310154.120011395</v>
      </c>
      <c r="G12" s="31">
        <v>4159.9999999998545</v>
      </c>
      <c r="H12" s="2">
        <v>6786430.559999763</v>
      </c>
      <c r="I12" s="96">
        <f>F12+H12</f>
        <v>17096584.680011157</v>
      </c>
      <c r="J12" s="99">
        <v>1060.0000000004002</v>
      </c>
      <c r="K12" s="2">
        <v>1152823.1400004353</v>
      </c>
      <c r="L12" s="167">
        <v>460.00000000003638</v>
      </c>
      <c r="M12" s="168">
        <v>750422.61000005936</v>
      </c>
      <c r="N12" s="87">
        <f>+K12+M12</f>
        <v>1903245.7500004945</v>
      </c>
      <c r="O12" s="101">
        <f>N12+I12</f>
        <v>18999830.430011652</v>
      </c>
      <c r="P12" s="104">
        <f>L12+J12+G12+E12</f>
        <v>15160.000000010768</v>
      </c>
      <c r="Q12" s="169">
        <f t="shared" ref="Q12:Q41" si="0">T12+R12</f>
        <v>1013</v>
      </c>
      <c r="R12" s="2">
        <v>455</v>
      </c>
      <c r="S12" s="2">
        <v>8176431.9000000004</v>
      </c>
      <c r="T12" s="27">
        <v>558</v>
      </c>
      <c r="U12" s="27">
        <v>2614129.56</v>
      </c>
      <c r="V12" s="27">
        <f t="shared" ref="V12:V41" si="1">U12+S12</f>
        <v>10790561.460000001</v>
      </c>
      <c r="W12" s="117">
        <f t="shared" ref="W12:W39" si="2">V12/$AG$48</f>
        <v>831.5726432230357</v>
      </c>
      <c r="X12" s="123">
        <v>95.181639999989443</v>
      </c>
      <c r="Y12" s="2"/>
      <c r="Z12" s="2"/>
      <c r="AA12" s="2">
        <v>12</v>
      </c>
      <c r="AB12" s="2">
        <f>X12+Y12+Z12+AA12</f>
        <v>107.18163999998944</v>
      </c>
      <c r="AC12" s="2">
        <v>1105879.1909198929</v>
      </c>
      <c r="AD12" s="39">
        <f t="shared" ref="AD12:AD39" si="3">AC12/$AG$48</f>
        <v>85.224377367904566</v>
      </c>
      <c r="AE12" s="130">
        <v>501.60000000003492</v>
      </c>
      <c r="AF12" s="2">
        <v>4363920.0000003036</v>
      </c>
      <c r="AG12" s="35">
        <f t="shared" ref="AG12:AG41" si="4">AF12/$AG$48</f>
        <v>336.30469579051191</v>
      </c>
      <c r="AH12" s="6"/>
    </row>
    <row r="13" spans="1:34">
      <c r="A13" s="29"/>
      <c r="B13" s="54">
        <v>2</v>
      </c>
      <c r="C13" s="181">
        <v>68</v>
      </c>
      <c r="D13" s="182">
        <v>752</v>
      </c>
      <c r="E13" s="99">
        <v>19759.999999980209</v>
      </c>
      <c r="F13" s="2">
        <v>21490363.439978477</v>
      </c>
      <c r="G13" s="31">
        <v>4119.9999999989814</v>
      </c>
      <c r="H13" s="2">
        <v>6721176.4199983394</v>
      </c>
      <c r="I13" s="96">
        <f t="shared" ref="I13:I41" si="5">F13+H13</f>
        <v>28211539.859976817</v>
      </c>
      <c r="J13" s="99">
        <v>1980.0000000000182</v>
      </c>
      <c r="K13" s="2">
        <v>2153386.6200000197</v>
      </c>
      <c r="L13" s="167">
        <v>440.00000000005457</v>
      </c>
      <c r="M13" s="168">
        <v>717795.54000008909</v>
      </c>
      <c r="N13" s="87">
        <f t="shared" ref="N13:N41" si="6">+K13+M13</f>
        <v>2871182.1600001086</v>
      </c>
      <c r="O13" s="101">
        <f t="shared" ref="O13:O39" si="7">N13+I13</f>
        <v>31082722.019976925</v>
      </c>
      <c r="P13" s="104">
        <f t="shared" ref="P13:P39" si="8">L13+J13+G13+E13</f>
        <v>26299.999999979264</v>
      </c>
      <c r="Q13" s="169">
        <f t="shared" si="0"/>
        <v>727</v>
      </c>
      <c r="R13" s="2">
        <v>291</v>
      </c>
      <c r="S13" s="2">
        <v>5229322.38</v>
      </c>
      <c r="T13" s="27">
        <v>436</v>
      </c>
      <c r="U13" s="27">
        <v>2042581.5199999998</v>
      </c>
      <c r="V13" s="27">
        <f t="shared" si="1"/>
        <v>7271903.8999999994</v>
      </c>
      <c r="W13" s="117">
        <f t="shared" si="2"/>
        <v>560.40794260828955</v>
      </c>
      <c r="X13" s="123">
        <v>119.9538399999953</v>
      </c>
      <c r="Y13" s="2"/>
      <c r="Z13" s="2"/>
      <c r="AA13" s="2">
        <v>0</v>
      </c>
      <c r="AB13" s="2">
        <f t="shared" ref="AB13:AB41" si="9">X13+Y13+Z13+AA13</f>
        <v>119.9538399999953</v>
      </c>
      <c r="AC13" s="2">
        <v>1217891.3375199523</v>
      </c>
      <c r="AD13" s="39">
        <f t="shared" si="3"/>
        <v>93.856572936836315</v>
      </c>
      <c r="AE13" s="130">
        <v>454.29999999993015</v>
      </c>
      <c r="AF13" s="2">
        <v>3952409.9999993923</v>
      </c>
      <c r="AG13" s="35">
        <f t="shared" si="4"/>
        <v>304.59175298563684</v>
      </c>
      <c r="AH13" s="6"/>
    </row>
    <row r="14" spans="1:34">
      <c r="A14" s="29"/>
      <c r="B14" s="54">
        <v>3</v>
      </c>
      <c r="C14" s="181">
        <v>63</v>
      </c>
      <c r="D14" s="182">
        <v>606</v>
      </c>
      <c r="E14" s="99">
        <v>15559.999999997672</v>
      </c>
      <c r="F14" s="2">
        <v>16922573.639997467</v>
      </c>
      <c r="G14" s="31">
        <v>4159.9999999998545</v>
      </c>
      <c r="H14" s="2">
        <v>6786430.559999763</v>
      </c>
      <c r="I14" s="96">
        <f t="shared" si="5"/>
        <v>23709004.199997231</v>
      </c>
      <c r="J14" s="99">
        <v>1859.9999999996726</v>
      </c>
      <c r="K14" s="2">
        <v>2022878.3399996439</v>
      </c>
      <c r="L14" s="167">
        <v>439.99999999994088</v>
      </c>
      <c r="M14" s="168">
        <v>717795.53999990365</v>
      </c>
      <c r="N14" s="87">
        <f t="shared" si="6"/>
        <v>2740673.8799995473</v>
      </c>
      <c r="O14" s="101">
        <f t="shared" si="7"/>
        <v>26449678.07999678</v>
      </c>
      <c r="P14" s="104">
        <f t="shared" si="8"/>
        <v>22019.999999997141</v>
      </c>
      <c r="Q14" s="169">
        <f t="shared" si="0"/>
        <v>858</v>
      </c>
      <c r="R14" s="2">
        <v>306</v>
      </c>
      <c r="S14" s="2">
        <v>5498875.0800000001</v>
      </c>
      <c r="T14" s="27">
        <v>552</v>
      </c>
      <c r="U14" s="27">
        <v>2586020.6399999997</v>
      </c>
      <c r="V14" s="27">
        <f t="shared" si="1"/>
        <v>8084895.7199999997</v>
      </c>
      <c r="W14" s="117">
        <f t="shared" si="2"/>
        <v>623.06100836230326</v>
      </c>
      <c r="X14" s="123">
        <v>107.06424000000702</v>
      </c>
      <c r="Y14" s="2"/>
      <c r="Z14" s="2"/>
      <c r="AA14" s="2">
        <v>0</v>
      </c>
      <c r="AB14" s="2">
        <f t="shared" si="9"/>
        <v>107.06424000000702</v>
      </c>
      <c r="AC14" s="2">
        <v>1087023.2287200713</v>
      </c>
      <c r="AD14" s="39">
        <f t="shared" si="3"/>
        <v>83.771246093397266</v>
      </c>
      <c r="AE14" s="130">
        <v>6718.600000000024</v>
      </c>
      <c r="AF14" s="2">
        <v>58451820.000000209</v>
      </c>
      <c r="AG14" s="35">
        <f t="shared" si="4"/>
        <v>4504.5788060964596</v>
      </c>
      <c r="AH14" s="6"/>
    </row>
    <row r="15" spans="1:34">
      <c r="A15" s="29"/>
      <c r="B15" s="54">
        <v>4</v>
      </c>
      <c r="C15" s="181">
        <v>67</v>
      </c>
      <c r="D15" s="182">
        <v>584</v>
      </c>
      <c r="E15" s="99">
        <v>19800.000000017462</v>
      </c>
      <c r="F15" s="2">
        <v>21533866.200018991</v>
      </c>
      <c r="G15" s="31">
        <v>4079.9999999981083</v>
      </c>
      <c r="H15" s="2">
        <v>6655922.2799969148</v>
      </c>
      <c r="I15" s="96">
        <f t="shared" si="5"/>
        <v>28189788.480015904</v>
      </c>
      <c r="J15" s="99">
        <v>2000</v>
      </c>
      <c r="K15" s="2">
        <v>2175138</v>
      </c>
      <c r="L15" s="167">
        <v>440.00000000005457</v>
      </c>
      <c r="M15" s="168">
        <v>717795.54000008909</v>
      </c>
      <c r="N15" s="87">
        <f t="shared" si="6"/>
        <v>2892933.540000089</v>
      </c>
      <c r="O15" s="101">
        <f t="shared" si="7"/>
        <v>31082722.020015992</v>
      </c>
      <c r="P15" s="104">
        <f t="shared" si="8"/>
        <v>26320.000000015625</v>
      </c>
      <c r="Q15" s="169">
        <f t="shared" si="0"/>
        <v>623</v>
      </c>
      <c r="R15" s="2">
        <v>271</v>
      </c>
      <c r="S15" s="2">
        <v>4869918.78</v>
      </c>
      <c r="T15" s="27">
        <v>352</v>
      </c>
      <c r="U15" s="27">
        <v>1649056.64</v>
      </c>
      <c r="V15" s="27">
        <f t="shared" si="1"/>
        <v>6518975.4199999999</v>
      </c>
      <c r="W15" s="117">
        <f t="shared" si="2"/>
        <v>502.38364715411188</v>
      </c>
      <c r="X15" s="123">
        <v>0</v>
      </c>
      <c r="Y15" s="2"/>
      <c r="Z15" s="2"/>
      <c r="AA15" s="2">
        <v>12</v>
      </c>
      <c r="AB15" s="2">
        <f t="shared" si="9"/>
        <v>12</v>
      </c>
      <c r="AC15" s="2">
        <v>698000</v>
      </c>
      <c r="AD15" s="39">
        <f t="shared" si="3"/>
        <v>53.791242200077221</v>
      </c>
      <c r="AE15" s="130">
        <v>618.60000000000582</v>
      </c>
      <c r="AF15" s="2">
        <v>5381820.0000000503</v>
      </c>
      <c r="AG15" s="35">
        <f t="shared" si="4"/>
        <v>414.74897291865653</v>
      </c>
      <c r="AH15" s="6"/>
    </row>
    <row r="16" spans="1:34">
      <c r="A16" s="29"/>
      <c r="B16" s="54">
        <v>5</v>
      </c>
      <c r="C16" s="181">
        <v>55</v>
      </c>
      <c r="D16" s="182">
        <v>553</v>
      </c>
      <c r="E16" s="99">
        <v>20559.999999997672</v>
      </c>
      <c r="F16" s="2">
        <v>22360418.639997467</v>
      </c>
      <c r="G16" s="31">
        <v>4159.9999999998545</v>
      </c>
      <c r="H16" s="2">
        <v>6786430.559999763</v>
      </c>
      <c r="I16" s="96">
        <f t="shared" si="5"/>
        <v>29146849.199997231</v>
      </c>
      <c r="J16" s="99">
        <v>1880.0000000001091</v>
      </c>
      <c r="K16" s="2">
        <v>2044629.7200001187</v>
      </c>
      <c r="L16" s="167">
        <v>459.99999999992269</v>
      </c>
      <c r="M16" s="168">
        <v>750422.60999987391</v>
      </c>
      <c r="N16" s="87">
        <f t="shared" si="6"/>
        <v>2795052.3299999926</v>
      </c>
      <c r="O16" s="101">
        <f t="shared" si="7"/>
        <v>31941901.529997222</v>
      </c>
      <c r="P16" s="104">
        <f t="shared" si="8"/>
        <v>27059.999999997559</v>
      </c>
      <c r="Q16" s="169">
        <f t="shared" si="0"/>
        <v>775.5</v>
      </c>
      <c r="R16" s="2">
        <v>254</v>
      </c>
      <c r="S16" s="2">
        <v>4564425.72</v>
      </c>
      <c r="T16" s="27">
        <v>521.5</v>
      </c>
      <c r="U16" s="27">
        <v>2443133.63</v>
      </c>
      <c r="V16" s="27">
        <f t="shared" si="1"/>
        <v>7007559.3499999996</v>
      </c>
      <c r="W16" s="117">
        <f t="shared" si="2"/>
        <v>540.0362782625582</v>
      </c>
      <c r="X16" s="123">
        <v>105.73499999999999</v>
      </c>
      <c r="Y16" s="2"/>
      <c r="Z16" s="2">
        <v>400</v>
      </c>
      <c r="AA16" s="2">
        <v>0</v>
      </c>
      <c r="AB16" s="2">
        <f t="shared" si="9"/>
        <v>505.73500000000001</v>
      </c>
      <c r="AC16" s="2">
        <v>5541527.4550000001</v>
      </c>
      <c r="AD16" s="39">
        <f t="shared" si="3"/>
        <v>427.05679869667983</v>
      </c>
      <c r="AE16" s="130">
        <v>788.20000000006985</v>
      </c>
      <c r="AF16" s="2">
        <v>6857340.0000006072</v>
      </c>
      <c r="AG16" s="35">
        <f t="shared" si="4"/>
        <v>528.45965155918361</v>
      </c>
      <c r="AH16" s="6"/>
    </row>
    <row r="17" spans="1:34">
      <c r="A17" s="29"/>
      <c r="B17" s="54">
        <v>6</v>
      </c>
      <c r="C17" s="181">
        <v>48</v>
      </c>
      <c r="D17" s="182">
        <v>753</v>
      </c>
      <c r="E17" s="99">
        <v>19320.000000006985</v>
      </c>
      <c r="F17" s="2">
        <v>21011833.080007598</v>
      </c>
      <c r="G17" s="31">
        <v>4080.0000000017462</v>
      </c>
      <c r="H17" s="2">
        <v>6655922.2800028492</v>
      </c>
      <c r="I17" s="96">
        <f t="shared" si="5"/>
        <v>27667755.360010445</v>
      </c>
      <c r="J17" s="99">
        <v>2000</v>
      </c>
      <c r="K17" s="2">
        <v>2175138</v>
      </c>
      <c r="L17" s="167">
        <v>440.00000000005457</v>
      </c>
      <c r="M17" s="168">
        <v>717795.54000008909</v>
      </c>
      <c r="N17" s="87">
        <f t="shared" si="6"/>
        <v>2892933.540000089</v>
      </c>
      <c r="O17" s="101">
        <f t="shared" si="7"/>
        <v>30560688.900010534</v>
      </c>
      <c r="P17" s="104">
        <f t="shared" si="8"/>
        <v>25840.000000008786</v>
      </c>
      <c r="Q17" s="169">
        <f t="shared" si="0"/>
        <v>506</v>
      </c>
      <c r="R17" s="2">
        <v>316</v>
      </c>
      <c r="S17" s="2">
        <v>5678576.8799999999</v>
      </c>
      <c r="T17" s="27">
        <v>190</v>
      </c>
      <c r="U17" s="27">
        <v>890115.79999999993</v>
      </c>
      <c r="V17" s="27">
        <f t="shared" si="1"/>
        <v>6568692.6799999997</v>
      </c>
      <c r="W17" s="117">
        <f t="shared" si="2"/>
        <v>506.21509869305777</v>
      </c>
      <c r="X17" s="123">
        <v>116.89255999998709</v>
      </c>
      <c r="Y17" s="2">
        <v>250</v>
      </c>
      <c r="Z17" s="2"/>
      <c r="AA17" s="2">
        <v>24</v>
      </c>
      <c r="AB17" s="2">
        <f t="shared" si="9"/>
        <v>390.8925599999871</v>
      </c>
      <c r="AC17" s="2">
        <v>4258310.1616798686</v>
      </c>
      <c r="AD17" s="39">
        <f t="shared" si="3"/>
        <v>328.16589293692232</v>
      </c>
      <c r="AE17" s="130">
        <v>617.70000000004075</v>
      </c>
      <c r="AF17" s="2">
        <v>5373990.0000003548</v>
      </c>
      <c r="AG17" s="35">
        <f t="shared" si="4"/>
        <v>414.14555540230953</v>
      </c>
      <c r="AH17" s="6"/>
    </row>
    <row r="18" spans="1:34">
      <c r="A18" s="29"/>
      <c r="B18" s="54">
        <v>7</v>
      </c>
      <c r="C18" s="181">
        <v>51</v>
      </c>
      <c r="D18" s="182">
        <v>596</v>
      </c>
      <c r="E18" s="99">
        <v>18799.999999988358</v>
      </c>
      <c r="F18" s="2">
        <v>20446297.199987341</v>
      </c>
      <c r="G18" s="31">
        <v>3959.9999999991269</v>
      </c>
      <c r="H18" s="2">
        <v>6460159.8599985763</v>
      </c>
      <c r="I18" s="96">
        <f t="shared" si="5"/>
        <v>26906457.059985917</v>
      </c>
      <c r="J18" s="99">
        <v>1940.0000000000546</v>
      </c>
      <c r="K18" s="2">
        <v>2109883.8600000595</v>
      </c>
      <c r="L18" s="167">
        <v>439.99999999994088</v>
      </c>
      <c r="M18" s="168">
        <v>717795.53999990365</v>
      </c>
      <c r="N18" s="87">
        <f t="shared" si="6"/>
        <v>2827679.3999999631</v>
      </c>
      <c r="O18" s="101">
        <f t="shared" si="7"/>
        <v>29734136.459985882</v>
      </c>
      <c r="P18" s="104">
        <f t="shared" si="8"/>
        <v>25139.999999987482</v>
      </c>
      <c r="Q18" s="169">
        <f t="shared" si="0"/>
        <v>825.19999999999709</v>
      </c>
      <c r="R18" s="2">
        <v>282</v>
      </c>
      <c r="S18" s="2">
        <v>5067590.76</v>
      </c>
      <c r="T18" s="27">
        <v>543.19999999999709</v>
      </c>
      <c r="U18" s="27">
        <v>2544794.2239999864</v>
      </c>
      <c r="V18" s="27">
        <f t="shared" si="1"/>
        <v>7612384.9839999862</v>
      </c>
      <c r="W18" s="117">
        <f t="shared" si="2"/>
        <v>586.64705500655327</v>
      </c>
      <c r="X18" s="123">
        <v>107.8295599999871</v>
      </c>
      <c r="Y18" s="2"/>
      <c r="Z18" s="2"/>
      <c r="AA18" s="2">
        <v>0</v>
      </c>
      <c r="AB18" s="2">
        <f t="shared" si="9"/>
        <v>107.8295599999871</v>
      </c>
      <c r="AC18" s="2">
        <v>1094793.5226798691</v>
      </c>
      <c r="AD18" s="39">
        <f t="shared" si="3"/>
        <v>84.370062374711424</v>
      </c>
      <c r="AE18" s="130">
        <v>490.99999999991269</v>
      </c>
      <c r="AF18" s="2">
        <v>4271699.99999924</v>
      </c>
      <c r="AG18" s="35">
        <f t="shared" si="4"/>
        <v>329.19777837539965</v>
      </c>
      <c r="AH18" s="6"/>
    </row>
    <row r="19" spans="1:34">
      <c r="A19" s="29"/>
      <c r="B19" s="54">
        <v>8</v>
      </c>
      <c r="C19" s="181">
        <v>38</v>
      </c>
      <c r="D19" s="182">
        <v>460</v>
      </c>
      <c r="E19" s="99">
        <v>19440.000000002328</v>
      </c>
      <c r="F19" s="2">
        <v>21142341.360002533</v>
      </c>
      <c r="G19" s="31">
        <v>4000</v>
      </c>
      <c r="H19" s="2">
        <v>6525414</v>
      </c>
      <c r="I19" s="96">
        <f t="shared" si="5"/>
        <v>27667755.360002533</v>
      </c>
      <c r="J19" s="99">
        <v>1779.9999999997453</v>
      </c>
      <c r="K19" s="2">
        <v>1935872.819999723</v>
      </c>
      <c r="L19" s="167">
        <v>420.00000000007276</v>
      </c>
      <c r="M19" s="168">
        <v>685168.47000011872</v>
      </c>
      <c r="N19" s="87">
        <f t="shared" si="6"/>
        <v>2621041.2899998417</v>
      </c>
      <c r="O19" s="101">
        <f t="shared" si="7"/>
        <v>30288796.650002375</v>
      </c>
      <c r="P19" s="104">
        <f t="shared" si="8"/>
        <v>25640.000000002146</v>
      </c>
      <c r="Q19" s="169">
        <f t="shared" si="0"/>
        <v>764.30000000000291</v>
      </c>
      <c r="R19" s="2">
        <v>256</v>
      </c>
      <c r="S19" s="2">
        <v>4600366.08</v>
      </c>
      <c r="T19" s="27">
        <v>508.30000000000291</v>
      </c>
      <c r="U19" s="27">
        <v>2381294.0060000136</v>
      </c>
      <c r="V19" s="27">
        <f t="shared" si="1"/>
        <v>6981660.0860000141</v>
      </c>
      <c r="W19" s="117">
        <f t="shared" si="2"/>
        <v>538.04035622441074</v>
      </c>
      <c r="X19" s="123">
        <v>101.42504000000116</v>
      </c>
      <c r="Y19" s="2"/>
      <c r="Z19" s="2"/>
      <c r="AA19" s="2">
        <v>0</v>
      </c>
      <c r="AB19" s="2">
        <f t="shared" si="9"/>
        <v>101.42504000000116</v>
      </c>
      <c r="AC19" s="2">
        <v>1029768.4311200118</v>
      </c>
      <c r="AD19" s="39">
        <f t="shared" si="3"/>
        <v>79.35891559938409</v>
      </c>
      <c r="AE19" s="130">
        <v>381.60000000003492</v>
      </c>
      <c r="AF19" s="2">
        <v>3319920.0000003036</v>
      </c>
      <c r="AG19" s="35">
        <f t="shared" si="4"/>
        <v>255.84902694111273</v>
      </c>
      <c r="AH19" s="6"/>
    </row>
    <row r="20" spans="1:34">
      <c r="A20" s="29"/>
      <c r="B20" s="54">
        <v>9</v>
      </c>
      <c r="C20" s="181">
        <v>30</v>
      </c>
      <c r="D20" s="182">
        <v>358</v>
      </c>
      <c r="E20" s="99">
        <v>19880.000000004657</v>
      </c>
      <c r="F20" s="2">
        <v>21620871.720005065</v>
      </c>
      <c r="G20" s="31">
        <v>4080.0000000017462</v>
      </c>
      <c r="H20" s="2">
        <v>6655922.2800028492</v>
      </c>
      <c r="I20" s="96">
        <f t="shared" si="5"/>
        <v>28276794.000007913</v>
      </c>
      <c r="J20" s="99">
        <v>1820.0000000001637</v>
      </c>
      <c r="K20" s="2">
        <v>1979375.5800001782</v>
      </c>
      <c r="L20" s="167">
        <v>419.99999999995907</v>
      </c>
      <c r="M20" s="168">
        <v>685168.46999993327</v>
      </c>
      <c r="N20" s="87">
        <f t="shared" si="6"/>
        <v>2664544.0500001116</v>
      </c>
      <c r="O20" s="101">
        <f t="shared" si="7"/>
        <v>30941338.050008025</v>
      </c>
      <c r="P20" s="104">
        <f t="shared" si="8"/>
        <v>26200.000000006527</v>
      </c>
      <c r="Q20" s="169">
        <f t="shared" si="0"/>
        <v>697.40000000000146</v>
      </c>
      <c r="R20" s="2">
        <v>280</v>
      </c>
      <c r="S20" s="2">
        <v>5031650.4000000004</v>
      </c>
      <c r="T20" s="27">
        <v>417.40000000000146</v>
      </c>
      <c r="U20" s="27">
        <v>1955443.8680000068</v>
      </c>
      <c r="V20" s="27">
        <f t="shared" si="1"/>
        <v>6987094.2680000067</v>
      </c>
      <c r="W20" s="117">
        <f t="shared" si="2"/>
        <v>538.45914046527162</v>
      </c>
      <c r="X20" s="123">
        <v>108.35320000000586</v>
      </c>
      <c r="Y20" s="2"/>
      <c r="Z20" s="2"/>
      <c r="AA20" s="2">
        <v>0</v>
      </c>
      <c r="AB20" s="2">
        <f t="shared" si="9"/>
        <v>108.35320000000586</v>
      </c>
      <c r="AC20" s="2">
        <v>1100110.0396000594</v>
      </c>
      <c r="AD20" s="39">
        <f t="shared" si="3"/>
        <v>84.779778777741171</v>
      </c>
      <c r="AE20" s="130">
        <v>532.20000000001164</v>
      </c>
      <c r="AF20" s="2">
        <v>4630140.0000001015</v>
      </c>
      <c r="AG20" s="35">
        <f t="shared" si="4"/>
        <v>356.8208913470931</v>
      </c>
      <c r="AH20" s="6"/>
    </row>
    <row r="21" spans="1:34">
      <c r="A21" s="29"/>
      <c r="B21" s="54">
        <v>10</v>
      </c>
      <c r="C21" s="181">
        <v>36</v>
      </c>
      <c r="D21" s="182">
        <v>315</v>
      </c>
      <c r="E21" s="99">
        <v>19679.999999993015</v>
      </c>
      <c r="F21" s="2">
        <v>21403357.919992402</v>
      </c>
      <c r="G21" s="31">
        <v>4079.9999999981083</v>
      </c>
      <c r="H21" s="2">
        <v>6655922.2799969148</v>
      </c>
      <c r="I21" s="96">
        <f t="shared" si="5"/>
        <v>28059280.199989319</v>
      </c>
      <c r="J21" s="99">
        <v>1840.0000000001455</v>
      </c>
      <c r="K21" s="2">
        <v>2001126.9600001583</v>
      </c>
      <c r="L21" s="167">
        <v>419.99999999995907</v>
      </c>
      <c r="M21" s="168">
        <v>685168.46999993327</v>
      </c>
      <c r="N21" s="87">
        <f t="shared" si="6"/>
        <v>2686295.4300000914</v>
      </c>
      <c r="O21" s="101">
        <f t="shared" si="7"/>
        <v>30745575.629989412</v>
      </c>
      <c r="P21" s="104">
        <f t="shared" si="8"/>
        <v>26019.999999991229</v>
      </c>
      <c r="Q21" s="169">
        <f t="shared" si="0"/>
        <v>769</v>
      </c>
      <c r="R21" s="2">
        <v>320</v>
      </c>
      <c r="S21" s="2">
        <v>5750457.5999999996</v>
      </c>
      <c r="T21" s="27">
        <v>449</v>
      </c>
      <c r="U21" s="27">
        <v>2103484.1799999997</v>
      </c>
      <c r="V21" s="27">
        <f t="shared" si="1"/>
        <v>7853941.7799999993</v>
      </c>
      <c r="W21" s="117">
        <f t="shared" si="2"/>
        <v>605.26258526258675</v>
      </c>
      <c r="X21" s="123">
        <v>100.13608000000234</v>
      </c>
      <c r="Y21" s="2"/>
      <c r="Z21" s="2">
        <v>400</v>
      </c>
      <c r="AA21" s="2">
        <v>0</v>
      </c>
      <c r="AB21" s="2">
        <f t="shared" si="9"/>
        <v>500.13608000000232</v>
      </c>
      <c r="AC21" s="2">
        <v>6043181.6202400234</v>
      </c>
      <c r="AD21" s="39">
        <f t="shared" si="3"/>
        <v>465.7166850908111</v>
      </c>
      <c r="AE21" s="130">
        <v>475.39999999993597</v>
      </c>
      <c r="AF21" s="2">
        <v>4135979.9999994431</v>
      </c>
      <c r="AG21" s="35">
        <f t="shared" si="4"/>
        <v>318.73854142499346</v>
      </c>
      <c r="AH21" s="6"/>
    </row>
    <row r="22" spans="1:34">
      <c r="A22" s="29"/>
      <c r="B22" s="54">
        <v>11</v>
      </c>
      <c r="C22" s="181">
        <v>56</v>
      </c>
      <c r="D22" s="182">
        <v>403</v>
      </c>
      <c r="E22" s="99">
        <v>20279.999999998836</v>
      </c>
      <c r="F22" s="2">
        <v>22055899.319998737</v>
      </c>
      <c r="G22" s="31">
        <v>4280.0000000024738</v>
      </c>
      <c r="H22" s="2">
        <v>6982192.9800040368</v>
      </c>
      <c r="I22" s="96">
        <f t="shared" si="5"/>
        <v>29038092.300002776</v>
      </c>
      <c r="J22" s="99">
        <v>1819.999999999709</v>
      </c>
      <c r="K22" s="2">
        <v>1979375.5799996837</v>
      </c>
      <c r="L22" s="167">
        <v>420.00000000007276</v>
      </c>
      <c r="M22" s="168">
        <v>685168.47000011872</v>
      </c>
      <c r="N22" s="87">
        <f t="shared" si="6"/>
        <v>2664544.0499998024</v>
      </c>
      <c r="O22" s="101">
        <f t="shared" si="7"/>
        <v>31702636.350002579</v>
      </c>
      <c r="P22" s="104">
        <f t="shared" si="8"/>
        <v>26800.000000001091</v>
      </c>
      <c r="Q22" s="169">
        <f t="shared" si="0"/>
        <v>783.69999999999709</v>
      </c>
      <c r="R22" s="2">
        <v>296</v>
      </c>
      <c r="S22" s="2">
        <v>5319173.28</v>
      </c>
      <c r="T22" s="27">
        <v>487.69999999999709</v>
      </c>
      <c r="U22" s="27">
        <v>2284786.7139999862</v>
      </c>
      <c r="V22" s="27">
        <f t="shared" si="1"/>
        <v>7603959.993999986</v>
      </c>
      <c r="W22" s="117">
        <f t="shared" si="2"/>
        <v>585.99778469477212</v>
      </c>
      <c r="X22" s="123">
        <v>130.34608000000233</v>
      </c>
      <c r="Y22" s="2"/>
      <c r="Z22" s="2"/>
      <c r="AA22" s="2">
        <v>0</v>
      </c>
      <c r="AB22" s="2">
        <f t="shared" si="9"/>
        <v>130.34608000000233</v>
      </c>
      <c r="AC22" s="2">
        <v>1323403.7502400237</v>
      </c>
      <c r="AD22" s="39">
        <f t="shared" si="3"/>
        <v>101.98786770437194</v>
      </c>
      <c r="AE22" s="130">
        <v>611.20000000009895</v>
      </c>
      <c r="AF22" s="2">
        <v>5317440.0000008605</v>
      </c>
      <c r="AG22" s="35">
        <f t="shared" si="4"/>
        <v>409.78754000633938</v>
      </c>
      <c r="AH22" s="6"/>
    </row>
    <row r="23" spans="1:34">
      <c r="A23" s="29"/>
      <c r="B23" s="54">
        <v>12</v>
      </c>
      <c r="C23" s="181">
        <v>48</v>
      </c>
      <c r="D23" s="182">
        <v>477</v>
      </c>
      <c r="E23" s="99">
        <v>20160.000000003492</v>
      </c>
      <c r="F23" s="2">
        <v>21925391.040003799</v>
      </c>
      <c r="G23" s="31">
        <v>4239.9999999979627</v>
      </c>
      <c r="H23" s="2">
        <v>6916938.8399966769</v>
      </c>
      <c r="I23" s="96">
        <f t="shared" si="5"/>
        <v>28842329.880000476</v>
      </c>
      <c r="J23" s="99">
        <v>1900.0000000000909</v>
      </c>
      <c r="K23" s="2">
        <v>2066381.1000000988</v>
      </c>
      <c r="L23" s="167">
        <v>439.99999999994088</v>
      </c>
      <c r="M23" s="168">
        <v>717795.53999990365</v>
      </c>
      <c r="N23" s="87">
        <f t="shared" si="6"/>
        <v>2784176.6400000025</v>
      </c>
      <c r="O23" s="101">
        <f t="shared" si="7"/>
        <v>31626506.52000048</v>
      </c>
      <c r="P23" s="104">
        <f t="shared" si="8"/>
        <v>26740.000000001488</v>
      </c>
      <c r="Q23" s="169">
        <f t="shared" si="0"/>
        <v>829.09999999999854</v>
      </c>
      <c r="R23" s="2">
        <v>283</v>
      </c>
      <c r="S23" s="2">
        <v>5085560.9400000004</v>
      </c>
      <c r="T23" s="27">
        <v>546.09999999999854</v>
      </c>
      <c r="U23" s="27">
        <v>2558380.2019999931</v>
      </c>
      <c r="V23" s="27">
        <f t="shared" si="1"/>
        <v>7643941.1419999935</v>
      </c>
      <c r="W23" s="117">
        <f t="shared" si="2"/>
        <v>589.07892454506657</v>
      </c>
      <c r="X23" s="123">
        <v>112.05895999999882</v>
      </c>
      <c r="Y23" s="2">
        <v>250</v>
      </c>
      <c r="Z23" s="2"/>
      <c r="AA23" s="2">
        <v>12</v>
      </c>
      <c r="AB23" s="2">
        <f t="shared" si="9"/>
        <v>374.05895999999882</v>
      </c>
      <c r="AC23" s="2">
        <v>4069734.6208799882</v>
      </c>
      <c r="AD23" s="39">
        <f t="shared" si="3"/>
        <v>313.63335341231357</v>
      </c>
      <c r="AE23" s="130">
        <v>738.19999999992433</v>
      </c>
      <c r="AF23" s="2">
        <v>6422339.9999993416</v>
      </c>
      <c r="AG23" s="35">
        <f t="shared" si="4"/>
        <v>494.9364562051698</v>
      </c>
      <c r="AH23" s="6"/>
    </row>
    <row r="24" spans="1:34">
      <c r="A24" s="29"/>
      <c r="B24" s="54">
        <v>13</v>
      </c>
      <c r="C24" s="181">
        <v>48</v>
      </c>
      <c r="D24" s="182">
        <v>373</v>
      </c>
      <c r="E24" s="99">
        <v>21160.000000003492</v>
      </c>
      <c r="F24" s="2">
        <v>23012960.040003799</v>
      </c>
      <c r="G24" s="31">
        <v>4080.0000000017462</v>
      </c>
      <c r="H24" s="2">
        <v>6655922.2800028492</v>
      </c>
      <c r="I24" s="96">
        <f t="shared" si="5"/>
        <v>29668882.320006646</v>
      </c>
      <c r="J24" s="99">
        <v>1800.0000000001819</v>
      </c>
      <c r="K24" s="2">
        <v>1957624.2000001979</v>
      </c>
      <c r="L24" s="167">
        <v>440.00000000005457</v>
      </c>
      <c r="M24" s="168">
        <v>717795.54000008909</v>
      </c>
      <c r="N24" s="87">
        <f t="shared" si="6"/>
        <v>2675419.7400002871</v>
      </c>
      <c r="O24" s="101">
        <f t="shared" si="7"/>
        <v>32344302.060006931</v>
      </c>
      <c r="P24" s="104">
        <f t="shared" si="8"/>
        <v>27480.000000005475</v>
      </c>
      <c r="Q24" s="169">
        <f t="shared" si="0"/>
        <v>697.80000000000291</v>
      </c>
      <c r="R24" s="2">
        <v>262</v>
      </c>
      <c r="S24" s="2">
        <v>4708187.16</v>
      </c>
      <c r="T24" s="27">
        <v>435.80000000000291</v>
      </c>
      <c r="U24" s="27">
        <v>2041644.5560000136</v>
      </c>
      <c r="V24" s="27">
        <f t="shared" si="1"/>
        <v>6749831.716000014</v>
      </c>
      <c r="W24" s="117">
        <f t="shared" si="2"/>
        <v>520.17454533684759</v>
      </c>
      <c r="X24" s="123">
        <v>98.887400000011709</v>
      </c>
      <c r="Y24" s="2"/>
      <c r="Z24" s="2"/>
      <c r="AA24" s="2">
        <v>12</v>
      </c>
      <c r="AB24" s="2">
        <f t="shared" si="9"/>
        <v>110.88740000001171</v>
      </c>
      <c r="AC24" s="2">
        <v>1143503.7722001188</v>
      </c>
      <c r="AD24" s="39">
        <f t="shared" si="3"/>
        <v>88.123908835413346</v>
      </c>
      <c r="AE24" s="130">
        <v>360.89999999996508</v>
      </c>
      <c r="AF24" s="2">
        <v>3139829.9999996964</v>
      </c>
      <c r="AG24" s="35">
        <f t="shared" si="4"/>
        <v>241.97042406454457</v>
      </c>
      <c r="AH24" s="6"/>
    </row>
    <row r="25" spans="1:34">
      <c r="A25" s="29"/>
      <c r="B25" s="54">
        <v>14</v>
      </c>
      <c r="C25" s="181">
        <v>50</v>
      </c>
      <c r="D25" s="182">
        <v>466</v>
      </c>
      <c r="E25" s="99">
        <v>20279.999999998836</v>
      </c>
      <c r="F25" s="2">
        <v>22055899.319998737</v>
      </c>
      <c r="G25" s="31">
        <v>4159.9999999998545</v>
      </c>
      <c r="H25" s="2">
        <v>6786430.559999763</v>
      </c>
      <c r="I25" s="96">
        <f t="shared" si="5"/>
        <v>28842329.879998501</v>
      </c>
      <c r="J25" s="99">
        <v>1960.0000000000364</v>
      </c>
      <c r="K25" s="2">
        <v>2131635.2400000393</v>
      </c>
      <c r="L25" s="167">
        <v>480.00000000001819</v>
      </c>
      <c r="M25" s="168">
        <v>783049.68000002974</v>
      </c>
      <c r="N25" s="87">
        <f t="shared" si="6"/>
        <v>2914684.9200000688</v>
      </c>
      <c r="O25" s="101">
        <f t="shared" si="7"/>
        <v>31757014.79999857</v>
      </c>
      <c r="P25" s="104">
        <f t="shared" si="8"/>
        <v>26879.999999998745</v>
      </c>
      <c r="Q25" s="169">
        <f t="shared" si="0"/>
        <v>531.19999999999709</v>
      </c>
      <c r="R25" s="2">
        <v>320</v>
      </c>
      <c r="S25" s="2">
        <v>5750457.5999999996</v>
      </c>
      <c r="T25" s="27">
        <v>211.19999999999709</v>
      </c>
      <c r="U25" s="27">
        <v>989433.98399998632</v>
      </c>
      <c r="V25" s="27">
        <f t="shared" si="1"/>
        <v>6739891.5839999858</v>
      </c>
      <c r="W25" s="117">
        <f t="shared" si="2"/>
        <v>519.40851088424836</v>
      </c>
      <c r="X25" s="123">
        <v>102.55287999999648</v>
      </c>
      <c r="Y25" s="2"/>
      <c r="Z25" s="2"/>
      <c r="AA25" s="2">
        <v>24</v>
      </c>
      <c r="AB25" s="2">
        <f t="shared" si="9"/>
        <v>126.55287999999648</v>
      </c>
      <c r="AC25" s="2">
        <v>1320219.3906399643</v>
      </c>
      <c r="AD25" s="39">
        <f t="shared" si="3"/>
        <v>101.74246561483191</v>
      </c>
      <c r="AE25" s="130">
        <v>451.30000000004657</v>
      </c>
      <c r="AF25" s="2">
        <v>3926310.0000004051</v>
      </c>
      <c r="AG25" s="35">
        <f t="shared" si="4"/>
        <v>302.5803612644799</v>
      </c>
      <c r="AH25" s="6"/>
    </row>
    <row r="26" spans="1:34">
      <c r="A26" s="29"/>
      <c r="B26" s="54">
        <v>15</v>
      </c>
      <c r="C26" s="181">
        <v>31</v>
      </c>
      <c r="D26" s="182">
        <v>451</v>
      </c>
      <c r="E26" s="99">
        <v>20000</v>
      </c>
      <c r="F26" s="2">
        <v>21751380</v>
      </c>
      <c r="G26" s="31">
        <v>4039.9999999972351</v>
      </c>
      <c r="H26" s="2">
        <v>6590668.1399954902</v>
      </c>
      <c r="I26" s="96">
        <f t="shared" si="5"/>
        <v>28342048.139995489</v>
      </c>
      <c r="J26" s="99">
        <v>2000</v>
      </c>
      <c r="K26" s="2">
        <v>2175138</v>
      </c>
      <c r="L26" s="167">
        <v>459.99999999992269</v>
      </c>
      <c r="M26" s="168">
        <v>750422.60999987391</v>
      </c>
      <c r="N26" s="87">
        <f t="shared" si="6"/>
        <v>2925560.6099998737</v>
      </c>
      <c r="O26" s="101">
        <f t="shared" si="7"/>
        <v>31267608.749995362</v>
      </c>
      <c r="P26" s="104">
        <f t="shared" si="8"/>
        <v>26499.999999997159</v>
      </c>
      <c r="Q26" s="169">
        <f t="shared" si="0"/>
        <v>458</v>
      </c>
      <c r="R26" s="2">
        <v>275</v>
      </c>
      <c r="S26" s="2">
        <v>4941799.5</v>
      </c>
      <c r="T26" s="27">
        <v>183</v>
      </c>
      <c r="U26" s="27">
        <v>857322.05999999994</v>
      </c>
      <c r="V26" s="27">
        <f t="shared" si="1"/>
        <v>5799121.5599999996</v>
      </c>
      <c r="W26" s="117">
        <f t="shared" si="2"/>
        <v>446.90824123445503</v>
      </c>
      <c r="X26" s="123">
        <v>94.819120000003508</v>
      </c>
      <c r="Y26" s="2"/>
      <c r="Z26" s="2">
        <v>400</v>
      </c>
      <c r="AA26" s="2">
        <v>0</v>
      </c>
      <c r="AB26" s="2">
        <f t="shared" si="9"/>
        <v>494.81912000000352</v>
      </c>
      <c r="AC26" s="2">
        <v>5430698.5253600357</v>
      </c>
      <c r="AD26" s="39">
        <f t="shared" si="3"/>
        <v>418.51578752613733</v>
      </c>
      <c r="AE26" s="130">
        <v>335</v>
      </c>
      <c r="AF26" s="2">
        <v>2914500</v>
      </c>
      <c r="AG26" s="35">
        <f t="shared" si="4"/>
        <v>224.60540887123932</v>
      </c>
      <c r="AH26" s="6"/>
    </row>
    <row r="27" spans="1:34">
      <c r="A27" s="29"/>
      <c r="B27" s="54">
        <v>16</v>
      </c>
      <c r="C27" s="181">
        <v>38</v>
      </c>
      <c r="D27" s="182">
        <v>334</v>
      </c>
      <c r="E27" s="99">
        <v>20279.999999998836</v>
      </c>
      <c r="F27" s="2">
        <v>22055899.319998737</v>
      </c>
      <c r="G27" s="31">
        <v>4159.9999999998545</v>
      </c>
      <c r="H27" s="2">
        <v>6786430.559999763</v>
      </c>
      <c r="I27" s="96">
        <f t="shared" si="5"/>
        <v>28842329.879998501</v>
      </c>
      <c r="J27" s="99">
        <v>1879.9999999996544</v>
      </c>
      <c r="K27" s="2">
        <v>2044629.7199996242</v>
      </c>
      <c r="L27" s="167">
        <v>460.00000000003638</v>
      </c>
      <c r="M27" s="168">
        <v>750422.61000005936</v>
      </c>
      <c r="N27" s="87">
        <f t="shared" si="6"/>
        <v>2795052.3299996834</v>
      </c>
      <c r="O27" s="101">
        <f t="shared" si="7"/>
        <v>31637382.209998183</v>
      </c>
      <c r="P27" s="104">
        <f t="shared" si="8"/>
        <v>26779.999999998381</v>
      </c>
      <c r="Q27" s="169">
        <f t="shared" si="0"/>
        <v>443</v>
      </c>
      <c r="R27" s="2">
        <v>261</v>
      </c>
      <c r="S27" s="2">
        <v>4690216.9800000004</v>
      </c>
      <c r="T27" s="27">
        <v>182</v>
      </c>
      <c r="U27" s="27">
        <v>852637.24</v>
      </c>
      <c r="V27" s="27">
        <f t="shared" si="1"/>
        <v>5542854.2200000007</v>
      </c>
      <c r="W27" s="117">
        <f t="shared" si="2"/>
        <v>427.15904559848155</v>
      </c>
      <c r="X27" s="123">
        <v>83.661559999987091</v>
      </c>
      <c r="Y27" s="2"/>
      <c r="Z27" s="2"/>
      <c r="AA27" s="2">
        <v>0</v>
      </c>
      <c r="AB27" s="2">
        <f t="shared" si="9"/>
        <v>83.661559999987091</v>
      </c>
      <c r="AC27" s="2">
        <v>1407915.8186798689</v>
      </c>
      <c r="AD27" s="39">
        <f t="shared" si="3"/>
        <v>108.50077478499833</v>
      </c>
      <c r="AE27" s="130">
        <v>404.70000000001164</v>
      </c>
      <c r="AF27" s="2">
        <v>3520890.0000001015</v>
      </c>
      <c r="AG27" s="35">
        <f t="shared" si="4"/>
        <v>271.33674319460653</v>
      </c>
      <c r="AH27" s="6"/>
    </row>
    <row r="28" spans="1:34">
      <c r="A28" s="29"/>
      <c r="B28" s="54">
        <v>17</v>
      </c>
      <c r="C28" s="181">
        <v>35</v>
      </c>
      <c r="D28" s="182">
        <v>319</v>
      </c>
      <c r="E28" s="99">
        <v>19320.000000006985</v>
      </c>
      <c r="F28" s="2">
        <v>21011833.080007598</v>
      </c>
      <c r="G28" s="31">
        <v>4160.0000000034925</v>
      </c>
      <c r="H28" s="2">
        <v>6786430.5600056974</v>
      </c>
      <c r="I28" s="96">
        <f t="shared" si="5"/>
        <v>27798263.640013296</v>
      </c>
      <c r="J28" s="99">
        <v>1920.0000000000728</v>
      </c>
      <c r="K28" s="2">
        <v>2088132.4800000791</v>
      </c>
      <c r="L28" s="167">
        <v>440.00000000005457</v>
      </c>
      <c r="M28" s="168">
        <v>717795.54000008909</v>
      </c>
      <c r="N28" s="87">
        <f t="shared" si="6"/>
        <v>2805928.0200001681</v>
      </c>
      <c r="O28" s="101">
        <f t="shared" si="7"/>
        <v>30604191.660013463</v>
      </c>
      <c r="P28" s="104">
        <f t="shared" si="8"/>
        <v>25840.000000010605</v>
      </c>
      <c r="Q28" s="169">
        <f t="shared" si="0"/>
        <v>467</v>
      </c>
      <c r="R28" s="2">
        <v>281</v>
      </c>
      <c r="S28" s="2">
        <v>5049620.58</v>
      </c>
      <c r="T28" s="27">
        <v>186</v>
      </c>
      <c r="U28" s="27">
        <v>871376.5199999999</v>
      </c>
      <c r="V28" s="27">
        <f t="shared" si="1"/>
        <v>5920997.0999999996</v>
      </c>
      <c r="W28" s="117">
        <f t="shared" si="2"/>
        <v>456.30055740982067</v>
      </c>
      <c r="X28" s="123">
        <v>101.90840000001171</v>
      </c>
      <c r="Y28" s="2"/>
      <c r="Z28" s="2"/>
      <c r="AA28" s="2">
        <v>0</v>
      </c>
      <c r="AB28" s="2">
        <f t="shared" si="9"/>
        <v>101.90840000001171</v>
      </c>
      <c r="AC28" s="2">
        <v>1034675.9852001189</v>
      </c>
      <c r="AD28" s="39">
        <f t="shared" si="3"/>
        <v>79.737115356021647</v>
      </c>
      <c r="AE28" s="130">
        <v>530.09999999994761</v>
      </c>
      <c r="AF28" s="2">
        <v>4611869.9999995446</v>
      </c>
      <c r="AG28" s="35">
        <f t="shared" si="4"/>
        <v>355.41291714218573</v>
      </c>
      <c r="AH28" s="6"/>
    </row>
    <row r="29" spans="1:34">
      <c r="A29" s="29"/>
      <c r="B29" s="54">
        <v>18</v>
      </c>
      <c r="C29" s="181">
        <v>40</v>
      </c>
      <c r="D29" s="182">
        <v>314</v>
      </c>
      <c r="E29" s="99">
        <v>20759.999999980209</v>
      </c>
      <c r="F29" s="2">
        <v>22577932.439978477</v>
      </c>
      <c r="G29" s="31">
        <v>4239.9999999979627</v>
      </c>
      <c r="H29" s="2">
        <v>6916938.8399966769</v>
      </c>
      <c r="I29" s="96">
        <f t="shared" si="5"/>
        <v>29494871.279975154</v>
      </c>
      <c r="J29" s="99">
        <v>1880.0000000001091</v>
      </c>
      <c r="K29" s="2">
        <v>2044629.7200001187</v>
      </c>
      <c r="L29" s="167">
        <v>439.99999999994088</v>
      </c>
      <c r="M29" s="168">
        <v>717795.53999990365</v>
      </c>
      <c r="N29" s="87">
        <f t="shared" si="6"/>
        <v>2762425.2600000221</v>
      </c>
      <c r="O29" s="101">
        <f t="shared" si="7"/>
        <v>32257296.539975174</v>
      </c>
      <c r="P29" s="104">
        <f t="shared" si="8"/>
        <v>27319.999999978223</v>
      </c>
      <c r="Q29" s="169">
        <f t="shared" si="0"/>
        <v>448</v>
      </c>
      <c r="R29" s="2">
        <v>263</v>
      </c>
      <c r="S29" s="2">
        <v>4726157.34</v>
      </c>
      <c r="T29" s="27">
        <v>185</v>
      </c>
      <c r="U29" s="27">
        <v>866691.7</v>
      </c>
      <c r="V29" s="27">
        <f t="shared" si="1"/>
        <v>5592849.04</v>
      </c>
      <c r="W29" s="117">
        <f t="shared" si="2"/>
        <v>431.01188724800767</v>
      </c>
      <c r="X29" s="123">
        <v>93.288479999984744</v>
      </c>
      <c r="Y29" s="2">
        <v>250</v>
      </c>
      <c r="Z29" s="2"/>
      <c r="AA29" s="2">
        <v>24</v>
      </c>
      <c r="AB29" s="2">
        <f t="shared" si="9"/>
        <v>367.28847999998476</v>
      </c>
      <c r="AC29" s="2">
        <v>4018657.9374398449</v>
      </c>
      <c r="AD29" s="39">
        <f t="shared" si="3"/>
        <v>309.69713815485596</v>
      </c>
      <c r="AE29" s="130">
        <v>551.90000000002328</v>
      </c>
      <c r="AF29" s="2">
        <v>4801530.000000203</v>
      </c>
      <c r="AG29" s="35">
        <f t="shared" si="4"/>
        <v>370.02903031654398</v>
      </c>
      <c r="AH29" s="6"/>
    </row>
    <row r="30" spans="1:34">
      <c r="A30" s="29"/>
      <c r="B30" s="54">
        <v>19</v>
      </c>
      <c r="C30" s="181">
        <v>39</v>
      </c>
      <c r="D30" s="182">
        <v>342</v>
      </c>
      <c r="E30" s="99">
        <v>20000</v>
      </c>
      <c r="F30" s="2">
        <v>21751380</v>
      </c>
      <c r="G30" s="31">
        <v>3920.0000000018917</v>
      </c>
      <c r="H30" s="2">
        <v>6394905.7200030871</v>
      </c>
      <c r="I30" s="96">
        <f t="shared" si="5"/>
        <v>28146285.720003087</v>
      </c>
      <c r="J30" s="99">
        <v>1920.0000000000728</v>
      </c>
      <c r="K30" s="2">
        <v>2088132.4800000791</v>
      </c>
      <c r="L30" s="167">
        <v>460.00000000003638</v>
      </c>
      <c r="M30" s="168">
        <v>750422.61000005936</v>
      </c>
      <c r="N30" s="87">
        <f t="shared" si="6"/>
        <v>2838555.0900001386</v>
      </c>
      <c r="O30" s="101">
        <f t="shared" si="7"/>
        <v>30984840.810003225</v>
      </c>
      <c r="P30" s="104">
        <f t="shared" si="8"/>
        <v>26300.000000002001</v>
      </c>
      <c r="Q30" s="169">
        <f t="shared" si="0"/>
        <v>471</v>
      </c>
      <c r="R30" s="2">
        <v>287</v>
      </c>
      <c r="S30" s="2">
        <v>5157441.66</v>
      </c>
      <c r="T30" s="27">
        <v>184</v>
      </c>
      <c r="U30" s="27">
        <v>862006.87999999989</v>
      </c>
      <c r="V30" s="27">
        <f t="shared" si="1"/>
        <v>6019448.54</v>
      </c>
      <c r="W30" s="117">
        <f t="shared" si="2"/>
        <v>463.88769960750886</v>
      </c>
      <c r="X30" s="123">
        <v>90.186919999997642</v>
      </c>
      <c r="Y30" s="2"/>
      <c r="Z30" s="2"/>
      <c r="AA30" s="2">
        <v>0</v>
      </c>
      <c r="AB30" s="2">
        <f t="shared" si="9"/>
        <v>90.186919999997642</v>
      </c>
      <c r="AC30" s="2">
        <v>915667.79875997605</v>
      </c>
      <c r="AD30" s="39">
        <f t="shared" si="3"/>
        <v>70.565771257749915</v>
      </c>
      <c r="AE30" s="130">
        <v>778.30000000005271</v>
      </c>
      <c r="AF30" s="2">
        <v>6771210.0000004582</v>
      </c>
      <c r="AG30" s="35">
        <f t="shared" si="4"/>
        <v>521.82205887909674</v>
      </c>
      <c r="AH30" s="6"/>
    </row>
    <row r="31" spans="1:34">
      <c r="A31" s="29"/>
      <c r="B31" s="54">
        <v>20</v>
      </c>
      <c r="C31" s="181">
        <v>38</v>
      </c>
      <c r="D31" s="182">
        <v>469</v>
      </c>
      <c r="E31" s="99">
        <v>20200.000000011642</v>
      </c>
      <c r="F31" s="2">
        <v>21968893.800012663</v>
      </c>
      <c r="G31" s="31">
        <v>4079.9999999981083</v>
      </c>
      <c r="H31" s="2">
        <v>6655922.2799969148</v>
      </c>
      <c r="I31" s="96">
        <f t="shared" si="5"/>
        <v>28624816.08000958</v>
      </c>
      <c r="J31" s="99">
        <v>1840.0000000001455</v>
      </c>
      <c r="K31" s="2">
        <v>2001126.9600001583</v>
      </c>
      <c r="L31" s="167">
        <v>480.00000000001819</v>
      </c>
      <c r="M31" s="168">
        <v>783049.68000002974</v>
      </c>
      <c r="N31" s="87">
        <f t="shared" si="6"/>
        <v>2784176.6400001878</v>
      </c>
      <c r="O31" s="101">
        <f t="shared" si="7"/>
        <v>31408992.720009767</v>
      </c>
      <c r="P31" s="104">
        <f t="shared" si="8"/>
        <v>26600.000000009913</v>
      </c>
      <c r="Q31" s="169">
        <f t="shared" si="0"/>
        <v>453</v>
      </c>
      <c r="R31" s="2">
        <v>264</v>
      </c>
      <c r="S31" s="2">
        <v>4744127.5200000005</v>
      </c>
      <c r="T31" s="27">
        <v>189</v>
      </c>
      <c r="U31" s="27">
        <v>885430.98</v>
      </c>
      <c r="V31" s="27">
        <f t="shared" si="1"/>
        <v>5629558.5</v>
      </c>
      <c r="W31" s="117">
        <f t="shared" si="2"/>
        <v>433.84089506160944</v>
      </c>
      <c r="X31" s="123">
        <v>97.07480000002343</v>
      </c>
      <c r="Y31" s="2"/>
      <c r="Z31" s="2"/>
      <c r="AA31" s="2">
        <v>0</v>
      </c>
      <c r="AB31" s="2">
        <f t="shared" si="9"/>
        <v>97.07480000002343</v>
      </c>
      <c r="AC31" s="2">
        <v>985600.44440023787</v>
      </c>
      <c r="AD31" s="39">
        <f t="shared" si="3"/>
        <v>75.955117789737727</v>
      </c>
      <c r="AE31" s="130">
        <v>1251.1999999999477</v>
      </c>
      <c r="AF31" s="2">
        <v>10885439.999999546</v>
      </c>
      <c r="AG31" s="35">
        <f t="shared" si="4"/>
        <v>838.88444053636692</v>
      </c>
      <c r="AH31" s="6"/>
    </row>
    <row r="32" spans="1:34">
      <c r="A32" s="29"/>
      <c r="B32" s="54">
        <v>21</v>
      </c>
      <c r="C32" s="181">
        <v>31</v>
      </c>
      <c r="D32" s="182">
        <v>414</v>
      </c>
      <c r="E32" s="99">
        <v>19600.000000005821</v>
      </c>
      <c r="F32" s="2">
        <v>21316352.400006332</v>
      </c>
      <c r="G32" s="31">
        <v>3920.0000000018917</v>
      </c>
      <c r="H32" s="2">
        <v>6394905.7200030871</v>
      </c>
      <c r="I32" s="96">
        <f t="shared" si="5"/>
        <v>27711258.120009419</v>
      </c>
      <c r="J32" s="99">
        <v>2079.9999999999272</v>
      </c>
      <c r="K32" s="2">
        <v>2262143.5199999209</v>
      </c>
      <c r="L32" s="167">
        <v>479.9999999999045</v>
      </c>
      <c r="M32" s="168">
        <v>783049.67999984429</v>
      </c>
      <c r="N32" s="87">
        <f>+K32+M32</f>
        <v>3045193.199999765</v>
      </c>
      <c r="O32" s="101">
        <f t="shared" si="7"/>
        <v>30756451.320009183</v>
      </c>
      <c r="P32" s="104">
        <f t="shared" si="8"/>
        <v>26080.000000007545</v>
      </c>
      <c r="Q32" s="169">
        <f t="shared" si="0"/>
        <v>823.90000000000146</v>
      </c>
      <c r="R32" s="2">
        <v>315</v>
      </c>
      <c r="S32" s="2">
        <v>5660606.7000000002</v>
      </c>
      <c r="T32" s="27">
        <v>508.90000000000146</v>
      </c>
      <c r="U32" s="27">
        <v>2384104.8980000066</v>
      </c>
      <c r="V32" s="27">
        <f t="shared" si="1"/>
        <v>8044711.5980000068</v>
      </c>
      <c r="W32" s="117">
        <f t="shared" si="2"/>
        <v>619.96422635786337</v>
      </c>
      <c r="X32" s="123">
        <v>75.36387999999647</v>
      </c>
      <c r="Y32" s="2"/>
      <c r="Z32" s="2">
        <v>400</v>
      </c>
      <c r="AA32" s="2">
        <v>12</v>
      </c>
      <c r="AB32" s="2">
        <f t="shared" si="9"/>
        <v>487.36387999999647</v>
      </c>
      <c r="AC32" s="2">
        <v>5372669.4736399641</v>
      </c>
      <c r="AD32" s="39">
        <f t="shared" si="3"/>
        <v>414.04378928012704</v>
      </c>
      <c r="AE32" s="130">
        <v>456.69999999998254</v>
      </c>
      <c r="AF32" s="2">
        <v>3973289.9999998482</v>
      </c>
      <c r="AG32" s="35">
        <f t="shared" si="4"/>
        <v>306.20086636265995</v>
      </c>
      <c r="AH32" s="6"/>
    </row>
    <row r="33" spans="1:34">
      <c r="A33" s="29"/>
      <c r="B33" s="54">
        <v>22</v>
      </c>
      <c r="C33" s="181">
        <v>35</v>
      </c>
      <c r="D33" s="182">
        <v>398</v>
      </c>
      <c r="E33" s="99">
        <v>20199.999999982538</v>
      </c>
      <c r="F33" s="2">
        <v>21968893.799981009</v>
      </c>
      <c r="G33" s="31">
        <v>4079.9999999981083</v>
      </c>
      <c r="H33" s="2">
        <v>6655922.2799969148</v>
      </c>
      <c r="I33" s="96">
        <f t="shared" si="5"/>
        <v>28624816.079977922</v>
      </c>
      <c r="J33" s="99">
        <v>2019.9999999999818</v>
      </c>
      <c r="K33" s="2">
        <v>2196889.3799999803</v>
      </c>
      <c r="L33" s="167">
        <v>500</v>
      </c>
      <c r="M33" s="168">
        <v>815676.75</v>
      </c>
      <c r="N33" s="87">
        <f t="shared" si="6"/>
        <v>3012566.1299999803</v>
      </c>
      <c r="O33" s="101">
        <f t="shared" si="7"/>
        <v>31637382.209977902</v>
      </c>
      <c r="P33" s="104">
        <f t="shared" si="8"/>
        <v>26799.999999980628</v>
      </c>
      <c r="Q33" s="169">
        <f t="shared" si="0"/>
        <v>630.5</v>
      </c>
      <c r="R33" s="2">
        <v>268</v>
      </c>
      <c r="S33" s="2">
        <v>4816008.24</v>
      </c>
      <c r="T33" s="27">
        <v>362.5</v>
      </c>
      <c r="U33" s="27">
        <v>1698247.25</v>
      </c>
      <c r="V33" s="27">
        <f t="shared" si="1"/>
        <v>6514255.4900000002</v>
      </c>
      <c r="W33" s="117">
        <f t="shared" si="2"/>
        <v>502.01990661285487</v>
      </c>
      <c r="X33" s="123">
        <v>100.57916000000468</v>
      </c>
      <c r="Y33" s="2"/>
      <c r="Z33" s="2"/>
      <c r="AA33" s="2">
        <v>36</v>
      </c>
      <c r="AB33" s="2">
        <f t="shared" si="9"/>
        <v>136.57916000000466</v>
      </c>
      <c r="AC33" s="2">
        <v>1998180.2114800476</v>
      </c>
      <c r="AD33" s="39">
        <f t="shared" si="3"/>
        <v>153.98939214201255</v>
      </c>
      <c r="AE33" s="130">
        <v>658.60000000000582</v>
      </c>
      <c r="AF33" s="2">
        <v>5729820.0000000503</v>
      </c>
      <c r="AG33" s="35">
        <f t="shared" si="4"/>
        <v>441.56752920178963</v>
      </c>
      <c r="AH33" s="6"/>
    </row>
    <row r="34" spans="1:34">
      <c r="A34" s="29"/>
      <c r="B34" s="54">
        <v>23</v>
      </c>
      <c r="C34" s="181">
        <v>54</v>
      </c>
      <c r="D34" s="182">
        <v>432</v>
      </c>
      <c r="E34" s="99">
        <v>19559.999999997672</v>
      </c>
      <c r="F34" s="2">
        <v>21272849.639997467</v>
      </c>
      <c r="G34" s="31">
        <v>4200.0000000007276</v>
      </c>
      <c r="H34" s="2">
        <v>6851684.7000011876</v>
      </c>
      <c r="I34" s="96">
        <f t="shared" si="5"/>
        <v>28124534.339998655</v>
      </c>
      <c r="J34" s="99">
        <v>2039.9999999999636</v>
      </c>
      <c r="K34" s="2">
        <v>2218640.7599999607</v>
      </c>
      <c r="L34" s="167">
        <v>500</v>
      </c>
      <c r="M34" s="168">
        <v>815676.75</v>
      </c>
      <c r="N34" s="87">
        <f t="shared" si="6"/>
        <v>3034317.5099999607</v>
      </c>
      <c r="O34" s="101">
        <f t="shared" si="7"/>
        <v>31158851.849998616</v>
      </c>
      <c r="P34" s="104">
        <f t="shared" si="8"/>
        <v>26299.999999998363</v>
      </c>
      <c r="Q34" s="169">
        <f t="shared" si="0"/>
        <v>651.20000000000437</v>
      </c>
      <c r="R34" s="2">
        <v>253</v>
      </c>
      <c r="S34" s="2">
        <v>4546455.54</v>
      </c>
      <c r="T34" s="27">
        <v>398.20000000000437</v>
      </c>
      <c r="U34" s="27">
        <v>1865495.3240000203</v>
      </c>
      <c r="V34" s="27">
        <f t="shared" si="1"/>
        <v>6411950.8640000205</v>
      </c>
      <c r="W34" s="117">
        <f t="shared" si="2"/>
        <v>494.1358193415752</v>
      </c>
      <c r="X34" s="123">
        <v>107.8295599999871</v>
      </c>
      <c r="Y34" s="2"/>
      <c r="Z34" s="2"/>
      <c r="AA34" s="2">
        <v>0</v>
      </c>
      <c r="AB34" s="2">
        <f t="shared" si="9"/>
        <v>107.8295599999871</v>
      </c>
      <c r="AC34" s="2">
        <v>1094793.5226798691</v>
      </c>
      <c r="AD34" s="39">
        <f t="shared" si="3"/>
        <v>84.370062374711424</v>
      </c>
      <c r="AE34" s="130">
        <v>500</v>
      </c>
      <c r="AF34" s="2">
        <v>4350000</v>
      </c>
      <c r="AG34" s="35">
        <f t="shared" si="4"/>
        <v>335.23195353916316</v>
      </c>
      <c r="AH34" s="6"/>
    </row>
    <row r="35" spans="1:34">
      <c r="A35" s="29"/>
      <c r="B35" s="54">
        <v>24</v>
      </c>
      <c r="C35" s="181">
        <v>52</v>
      </c>
      <c r="D35" s="182">
        <v>431</v>
      </c>
      <c r="E35" s="99">
        <v>18960.000000020955</v>
      </c>
      <c r="F35" s="2">
        <v>20620308.24002279</v>
      </c>
      <c r="G35" s="31">
        <v>4079.9999999981083</v>
      </c>
      <c r="H35" s="2">
        <v>6655922.2799969148</v>
      </c>
      <c r="I35" s="96">
        <f t="shared" si="5"/>
        <v>27276230.520019703</v>
      </c>
      <c r="J35" s="99">
        <v>2420.0000000000728</v>
      </c>
      <c r="K35" s="2">
        <v>2631916.9800000791</v>
      </c>
      <c r="L35" s="167">
        <v>460.00000000003638</v>
      </c>
      <c r="M35" s="168">
        <v>750422.61000005936</v>
      </c>
      <c r="N35" s="87">
        <f t="shared" si="6"/>
        <v>3382339.5900001386</v>
      </c>
      <c r="O35" s="101">
        <f t="shared" si="7"/>
        <v>30658570.11001984</v>
      </c>
      <c r="P35" s="104">
        <f t="shared" si="8"/>
        <v>25920.000000019172</v>
      </c>
      <c r="Q35" s="169">
        <f t="shared" si="0"/>
        <v>855.39999999999418</v>
      </c>
      <c r="R35" s="2">
        <v>277</v>
      </c>
      <c r="S35" s="2">
        <v>4977739.8600000003</v>
      </c>
      <c r="T35" s="27">
        <v>578.39999999999418</v>
      </c>
      <c r="U35" s="27">
        <v>2709699.8879999728</v>
      </c>
      <c r="V35" s="27">
        <f t="shared" si="1"/>
        <v>7687439.7479999736</v>
      </c>
      <c r="W35" s="117">
        <f t="shared" si="2"/>
        <v>592.43113665210194</v>
      </c>
      <c r="X35" s="123">
        <v>136.67004000000117</v>
      </c>
      <c r="Y35" s="2">
        <v>250</v>
      </c>
      <c r="Z35" s="2"/>
      <c r="AA35" s="2">
        <v>36</v>
      </c>
      <c r="AB35" s="2">
        <f t="shared" si="9"/>
        <v>422.67004000000117</v>
      </c>
      <c r="AC35" s="2">
        <v>4598610.9161200114</v>
      </c>
      <c r="AD35" s="39">
        <f t="shared" si="3"/>
        <v>354.39110827067407</v>
      </c>
      <c r="AE35" s="130">
        <v>444.10000000003492</v>
      </c>
      <c r="AF35" s="2">
        <v>3863670.0000003036</v>
      </c>
      <c r="AG35" s="35">
        <f t="shared" si="4"/>
        <v>297.75302113350813</v>
      </c>
      <c r="AH35" s="6"/>
    </row>
    <row r="36" spans="1:34">
      <c r="A36" s="29"/>
      <c r="B36" s="54">
        <v>25</v>
      </c>
      <c r="C36" s="181">
        <v>50</v>
      </c>
      <c r="D36" s="182">
        <v>351</v>
      </c>
      <c r="E36" s="99">
        <v>20319.999999977881</v>
      </c>
      <c r="F36" s="2">
        <v>22099402.079975948</v>
      </c>
      <c r="G36" s="31">
        <v>3880.0000000010186</v>
      </c>
      <c r="H36" s="2">
        <v>6329651.5800016625</v>
      </c>
      <c r="I36" s="96">
        <f t="shared" si="5"/>
        <v>28429053.659977611</v>
      </c>
      <c r="J36" s="99">
        <v>1460.0000000000364</v>
      </c>
      <c r="K36" s="2">
        <v>1587850.7400000396</v>
      </c>
      <c r="L36" s="167">
        <v>500</v>
      </c>
      <c r="M36" s="168">
        <v>815676.75</v>
      </c>
      <c r="N36" s="87">
        <f t="shared" si="6"/>
        <v>2403527.4900000393</v>
      </c>
      <c r="O36" s="101">
        <f t="shared" si="7"/>
        <v>30832581.14997765</v>
      </c>
      <c r="P36" s="104">
        <f t="shared" si="8"/>
        <v>26159.999999978936</v>
      </c>
      <c r="Q36" s="169">
        <f t="shared" si="0"/>
        <v>840.80000000000291</v>
      </c>
      <c r="R36" s="2">
        <v>267</v>
      </c>
      <c r="S36" s="2">
        <v>4798038.0600000005</v>
      </c>
      <c r="T36" s="27">
        <v>573.80000000000291</v>
      </c>
      <c r="U36" s="27">
        <v>2688149.7160000135</v>
      </c>
      <c r="V36" s="27">
        <f t="shared" si="1"/>
        <v>7486187.7760000136</v>
      </c>
      <c r="W36" s="117">
        <f t="shared" si="2"/>
        <v>576.92169027804323</v>
      </c>
      <c r="X36" s="123">
        <v>91.959240000007028</v>
      </c>
      <c r="Y36" s="2"/>
      <c r="Z36" s="2"/>
      <c r="AA36" s="2">
        <v>0</v>
      </c>
      <c r="AB36" s="2">
        <f t="shared" si="9"/>
        <v>91.959240000007028</v>
      </c>
      <c r="AC36" s="2">
        <v>933662.16372007132</v>
      </c>
      <c r="AD36" s="39">
        <f t="shared" si="3"/>
        <v>71.952503698731377</v>
      </c>
      <c r="AE36" s="130">
        <v>628.69999999995343</v>
      </c>
      <c r="AF36" s="2">
        <v>5469689.9999995949</v>
      </c>
      <c r="AG36" s="35">
        <f t="shared" si="4"/>
        <v>421.52065838011254</v>
      </c>
      <c r="AH36" s="6"/>
    </row>
    <row r="37" spans="1:34">
      <c r="A37" s="29"/>
      <c r="B37" s="54">
        <v>26</v>
      </c>
      <c r="C37" s="181">
        <v>51</v>
      </c>
      <c r="D37" s="182">
        <v>420</v>
      </c>
      <c r="E37" s="99">
        <v>20000</v>
      </c>
      <c r="F37" s="2">
        <v>21751380</v>
      </c>
      <c r="G37" s="31">
        <v>4080.0000000017462</v>
      </c>
      <c r="H37" s="2">
        <v>6655922.2800028492</v>
      </c>
      <c r="I37" s="96">
        <f t="shared" si="5"/>
        <v>28407302.280002847</v>
      </c>
      <c r="J37" s="99">
        <v>1839.9999999996908</v>
      </c>
      <c r="K37" s="2">
        <v>2001126.9599996638</v>
      </c>
      <c r="L37" s="167">
        <v>480.00000000001819</v>
      </c>
      <c r="M37" s="168">
        <v>783049.68000002974</v>
      </c>
      <c r="N37" s="87">
        <f t="shared" si="6"/>
        <v>2784176.6399996933</v>
      </c>
      <c r="O37" s="101">
        <f t="shared" si="7"/>
        <v>31191478.920002542</v>
      </c>
      <c r="P37" s="104">
        <f t="shared" si="8"/>
        <v>26400.000000001455</v>
      </c>
      <c r="Q37" s="169">
        <f t="shared" si="0"/>
        <v>465</v>
      </c>
      <c r="R37" s="2">
        <v>263</v>
      </c>
      <c r="S37" s="2">
        <v>4726157.34</v>
      </c>
      <c r="T37" s="27">
        <v>202</v>
      </c>
      <c r="U37" s="27">
        <v>946333.6399999999</v>
      </c>
      <c r="V37" s="27">
        <f t="shared" si="1"/>
        <v>5672490.9799999995</v>
      </c>
      <c r="W37" s="117">
        <f t="shared" si="2"/>
        <v>437.1494787721108</v>
      </c>
      <c r="X37" s="123">
        <v>91.032799999994126</v>
      </c>
      <c r="Y37" s="2"/>
      <c r="Z37" s="2">
        <v>400</v>
      </c>
      <c r="AA37" s="2">
        <v>12</v>
      </c>
      <c r="AB37" s="2">
        <f t="shared" si="9"/>
        <v>503.03279999999415</v>
      </c>
      <c r="AC37" s="2">
        <v>5531756.0183999408</v>
      </c>
      <c r="AD37" s="39">
        <f t="shared" si="3"/>
        <v>426.30376472419204</v>
      </c>
      <c r="AE37" s="130">
        <v>598.60000000000582</v>
      </c>
      <c r="AF37" s="2">
        <v>5207820.0000000503</v>
      </c>
      <c r="AG37" s="35">
        <f t="shared" si="4"/>
        <v>401.33969477709002</v>
      </c>
      <c r="AH37" s="6"/>
    </row>
    <row r="38" spans="1:34">
      <c r="A38" s="29"/>
      <c r="B38" s="54">
        <v>27</v>
      </c>
      <c r="C38" s="181">
        <v>78</v>
      </c>
      <c r="D38" s="182">
        <v>559</v>
      </c>
      <c r="E38" s="99">
        <v>20200.000000011642</v>
      </c>
      <c r="F38" s="2">
        <v>21968893.800012663</v>
      </c>
      <c r="G38" s="31">
        <v>4159.9999999998545</v>
      </c>
      <c r="H38" s="2">
        <v>6786430.559999763</v>
      </c>
      <c r="I38" s="96">
        <f t="shared" si="5"/>
        <v>28755324.360012427</v>
      </c>
      <c r="J38" s="99">
        <v>2039.9999999999636</v>
      </c>
      <c r="K38" s="2">
        <v>2218640.7599999607</v>
      </c>
      <c r="L38" s="167">
        <v>480.00000000001819</v>
      </c>
      <c r="M38" s="168">
        <v>783049.68000002974</v>
      </c>
      <c r="N38" s="87">
        <f t="shared" si="6"/>
        <v>3001690.4399999902</v>
      </c>
      <c r="O38" s="101">
        <f t="shared" si="7"/>
        <v>31757014.800012417</v>
      </c>
      <c r="P38" s="104">
        <f t="shared" si="8"/>
        <v>26880.000000011478</v>
      </c>
      <c r="Q38" s="169">
        <f t="shared" si="0"/>
        <v>795</v>
      </c>
      <c r="R38" s="2">
        <v>202</v>
      </c>
      <c r="S38" s="2">
        <v>3629976.36</v>
      </c>
      <c r="T38" s="27">
        <v>593</v>
      </c>
      <c r="U38" s="27">
        <v>2778098.26</v>
      </c>
      <c r="V38" s="27">
        <f t="shared" si="1"/>
        <v>6408074.6199999992</v>
      </c>
      <c r="W38" s="117">
        <f t="shared" si="2"/>
        <v>493.83709730743232</v>
      </c>
      <c r="X38" s="123">
        <v>119.47047999998475</v>
      </c>
      <c r="Y38" s="2"/>
      <c r="Z38" s="2"/>
      <c r="AA38" s="2">
        <v>36</v>
      </c>
      <c r="AB38" s="2">
        <f t="shared" si="9"/>
        <v>155.47047999998475</v>
      </c>
      <c r="AC38" s="2">
        <v>1631483.7834398451</v>
      </c>
      <c r="AD38" s="39">
        <f t="shared" si="3"/>
        <v>125.72999905517341</v>
      </c>
      <c r="AE38" s="130">
        <v>695.80000000001746</v>
      </c>
      <c r="AF38" s="2">
        <v>6053460.0000001518</v>
      </c>
      <c r="AG38" s="35">
        <f t="shared" si="4"/>
        <v>466.50878654511121</v>
      </c>
      <c r="AH38" s="6"/>
    </row>
    <row r="39" spans="1:34">
      <c r="A39" s="29"/>
      <c r="B39" s="54">
        <v>28</v>
      </c>
      <c r="C39" s="181">
        <v>96</v>
      </c>
      <c r="D39" s="182">
        <v>684</v>
      </c>
      <c r="E39" s="99">
        <v>19519.999999989523</v>
      </c>
      <c r="F39" s="2">
        <v>21229346.879988603</v>
      </c>
      <c r="G39" s="31">
        <v>4119.9999999989814</v>
      </c>
      <c r="H39" s="2">
        <v>6721176.4199983394</v>
      </c>
      <c r="I39" s="96">
        <f t="shared" si="5"/>
        <v>27950523.299986944</v>
      </c>
      <c r="J39" s="99">
        <v>2080.000000000382</v>
      </c>
      <c r="K39" s="2">
        <v>2262143.5200004154</v>
      </c>
      <c r="L39" s="167">
        <v>500</v>
      </c>
      <c r="M39" s="168">
        <v>815676.75</v>
      </c>
      <c r="N39" s="87">
        <f t="shared" si="6"/>
        <v>3077820.2700004154</v>
      </c>
      <c r="O39" s="101">
        <f t="shared" si="7"/>
        <v>31028343.56998736</v>
      </c>
      <c r="P39" s="104">
        <f t="shared" si="8"/>
        <v>26219.999999988886</v>
      </c>
      <c r="Q39" s="169">
        <f t="shared" si="0"/>
        <v>817</v>
      </c>
      <c r="R39" s="2">
        <v>360</v>
      </c>
      <c r="S39" s="2">
        <v>6469264.7999999998</v>
      </c>
      <c r="T39" s="27">
        <v>457</v>
      </c>
      <c r="U39" s="27">
        <v>2140962.7399999998</v>
      </c>
      <c r="V39" s="27">
        <f t="shared" si="1"/>
        <v>8610227.5399999991</v>
      </c>
      <c r="W39" s="117">
        <f t="shared" si="2"/>
        <v>663.5456088852651</v>
      </c>
      <c r="X39" s="123">
        <v>101.82784000002461</v>
      </c>
      <c r="Y39" s="2"/>
      <c r="Z39" s="2"/>
      <c r="AA39" s="2">
        <v>12</v>
      </c>
      <c r="AB39" s="2">
        <f t="shared" si="9"/>
        <v>113.82784000002461</v>
      </c>
      <c r="AC39" s="2">
        <v>1731858.0595202497</v>
      </c>
      <c r="AD39" s="39">
        <f t="shared" si="3"/>
        <v>133.46532426333738</v>
      </c>
      <c r="AE39" s="130">
        <v>746.80000000007567</v>
      </c>
      <c r="AF39" s="2">
        <v>6497160.0000006584</v>
      </c>
      <c r="AG39" s="35">
        <f t="shared" si="4"/>
        <v>500.70244580614485</v>
      </c>
      <c r="AH39" s="6"/>
    </row>
    <row r="40" spans="1:34">
      <c r="A40" s="29"/>
      <c r="B40" s="54">
        <v>29</v>
      </c>
      <c r="C40" s="181">
        <v>98</v>
      </c>
      <c r="D40" s="182">
        <v>720</v>
      </c>
      <c r="E40" s="99">
        <v>19760.000000009313</v>
      </c>
      <c r="F40" s="2">
        <v>21490363.44001013</v>
      </c>
      <c r="G40" s="31">
        <v>4079.9999999981083</v>
      </c>
      <c r="H40" s="2">
        <v>6655922.2799969148</v>
      </c>
      <c r="I40" s="96">
        <f t="shared" si="5"/>
        <v>28146285.720007047</v>
      </c>
      <c r="J40" s="99">
        <v>2179.9999999998363</v>
      </c>
      <c r="K40" s="2">
        <v>2370900.419999822</v>
      </c>
      <c r="L40" s="167">
        <v>519.99999999998181</v>
      </c>
      <c r="M40" s="168">
        <v>848303.81999997038</v>
      </c>
      <c r="N40" s="87">
        <f t="shared" si="6"/>
        <v>3219204.2399997925</v>
      </c>
      <c r="O40" s="101">
        <f t="shared" ref="O40:O41" si="10">N40+I40</f>
        <v>31365489.960006841</v>
      </c>
      <c r="P40" s="104">
        <f t="shared" ref="P40:P41" si="11">L40+J40+G40+E40</f>
        <v>26540.00000000724</v>
      </c>
      <c r="Q40" s="169">
        <f t="shared" si="0"/>
        <v>668.19999999999709</v>
      </c>
      <c r="R40" s="2">
        <v>90</v>
      </c>
      <c r="S40" s="2">
        <v>1617316.2</v>
      </c>
      <c r="T40" s="27">
        <v>578.19999999999709</v>
      </c>
      <c r="U40" s="27">
        <v>2708762.9239999861</v>
      </c>
      <c r="V40" s="27">
        <f t="shared" si="1"/>
        <v>4326079.1239999859</v>
      </c>
      <c r="W40" s="117">
        <f t="shared" ref="W40:W41" si="12">V40/$AG$48</f>
        <v>333.3884956100016</v>
      </c>
      <c r="X40" s="123">
        <v>122.45119999997654</v>
      </c>
      <c r="Y40" s="2"/>
      <c r="Z40" s="2"/>
      <c r="AA40" s="2">
        <v>12</v>
      </c>
      <c r="AB40" s="2">
        <f t="shared" si="9"/>
        <v>134.45119999997655</v>
      </c>
      <c r="AC40" s="2">
        <v>1382747.0335997618</v>
      </c>
      <c r="AD40" s="39">
        <f t="shared" ref="AD40:AD41" si="13">AC40/$AG$48</f>
        <v>106.56114697106462</v>
      </c>
      <c r="AE40" s="130">
        <v>636.39999999999418</v>
      </c>
      <c r="AF40" s="2">
        <v>5536679.9999999497</v>
      </c>
      <c r="AG40" s="35">
        <f t="shared" si="4"/>
        <v>426.68323046464303</v>
      </c>
      <c r="AH40" s="6"/>
    </row>
    <row r="41" spans="1:34">
      <c r="A41" s="29"/>
      <c r="B41" s="54">
        <v>30</v>
      </c>
      <c r="C41" s="181">
        <v>96</v>
      </c>
      <c r="D41" s="182">
        <v>695</v>
      </c>
      <c r="E41" s="99">
        <v>29600.000000005821</v>
      </c>
      <c r="F41" s="2">
        <v>32192042.400006332</v>
      </c>
      <c r="G41" s="31">
        <v>4040.0000000008731</v>
      </c>
      <c r="H41" s="2">
        <v>6590668.1400014246</v>
      </c>
      <c r="I41" s="96">
        <f t="shared" si="5"/>
        <v>38782710.540007755</v>
      </c>
      <c r="J41" s="99">
        <v>3159.9999999998545</v>
      </c>
      <c r="K41" s="2">
        <v>3436718.0399998422</v>
      </c>
      <c r="L41" s="167">
        <v>519.99999999998181</v>
      </c>
      <c r="M41" s="168">
        <v>848303.81999997038</v>
      </c>
      <c r="N41" s="87">
        <f t="shared" si="6"/>
        <v>4285021.8599998122</v>
      </c>
      <c r="O41" s="101">
        <f t="shared" si="10"/>
        <v>43067732.400007568</v>
      </c>
      <c r="P41" s="104">
        <f t="shared" si="11"/>
        <v>37320.000000006534</v>
      </c>
      <c r="Q41" s="169">
        <f t="shared" si="0"/>
        <v>526.80000000000291</v>
      </c>
      <c r="R41" s="2">
        <v>0</v>
      </c>
      <c r="S41" s="2">
        <v>0</v>
      </c>
      <c r="T41" s="27">
        <v>526.80000000000291</v>
      </c>
      <c r="U41" s="27">
        <v>2467963.1760000135</v>
      </c>
      <c r="V41" s="27">
        <f t="shared" si="1"/>
        <v>2467963.1760000135</v>
      </c>
      <c r="W41" s="117">
        <f t="shared" si="12"/>
        <v>190.19313028809245</v>
      </c>
      <c r="X41" s="123">
        <v>101.66672000002109</v>
      </c>
      <c r="Y41" s="2">
        <v>250</v>
      </c>
      <c r="Z41" s="2"/>
      <c r="AA41" s="2">
        <v>0</v>
      </c>
      <c r="AB41" s="2">
        <f t="shared" si="9"/>
        <v>351.66672000002109</v>
      </c>
      <c r="AC41" s="2">
        <v>3824722.2081602141</v>
      </c>
      <c r="AD41" s="39">
        <f t="shared" si="13"/>
        <v>294.75151668647595</v>
      </c>
      <c r="AE41" s="130">
        <v>441.69999999988931</v>
      </c>
      <c r="AF41" s="2">
        <v>3842789.999999037</v>
      </c>
      <c r="AG41" s="35">
        <f t="shared" si="4"/>
        <v>296.14390775642255</v>
      </c>
      <c r="AH41" s="6"/>
    </row>
    <row r="42" spans="1:34">
      <c r="A42" s="29"/>
      <c r="B42" s="54"/>
      <c r="C42" s="160"/>
      <c r="D42" s="161"/>
      <c r="E42" s="99"/>
      <c r="F42" s="2"/>
      <c r="G42" s="31"/>
      <c r="H42" s="2"/>
      <c r="I42" s="96"/>
      <c r="J42" s="99"/>
      <c r="K42" s="2"/>
      <c r="L42" s="167"/>
      <c r="M42" s="168"/>
      <c r="N42" s="87"/>
      <c r="O42" s="101"/>
      <c r="P42" s="104"/>
      <c r="Q42" s="169"/>
      <c r="R42" s="2"/>
      <c r="S42" s="2"/>
      <c r="T42" s="27"/>
      <c r="U42" s="27"/>
      <c r="V42" s="27"/>
      <c r="W42" s="117"/>
      <c r="X42" s="123"/>
      <c r="Y42" s="2"/>
      <c r="Z42" s="2"/>
      <c r="AA42" s="2"/>
      <c r="AB42" s="2"/>
      <c r="AC42" s="2"/>
      <c r="AD42" s="39"/>
      <c r="AE42" s="130"/>
      <c r="AF42" s="2"/>
      <c r="AG42" s="35"/>
      <c r="AH42" s="6"/>
    </row>
    <row r="43" spans="1:34">
      <c r="A43" s="29"/>
      <c r="B43" s="112"/>
      <c r="C43" s="137"/>
      <c r="D43" s="138"/>
      <c r="E43" s="97"/>
      <c r="F43" s="97"/>
      <c r="G43" s="88"/>
      <c r="H43" s="89"/>
      <c r="I43" s="98"/>
      <c r="J43" s="100"/>
      <c r="K43" s="88"/>
      <c r="L43" s="89"/>
      <c r="M43" s="90"/>
      <c r="N43" s="91"/>
      <c r="O43" s="102"/>
      <c r="P43" s="105"/>
      <c r="Q43" s="169"/>
      <c r="R43" s="2"/>
      <c r="S43" s="2"/>
      <c r="T43" s="27"/>
      <c r="U43" s="27"/>
      <c r="V43" s="15"/>
      <c r="W43" s="118"/>
      <c r="X43" s="116"/>
      <c r="Y43" s="2"/>
      <c r="Z43" s="1"/>
      <c r="AA43" s="1"/>
      <c r="AB43" s="1"/>
      <c r="AC43" s="2"/>
      <c r="AD43" s="39"/>
      <c r="AE43" s="130"/>
      <c r="AF43" s="2"/>
      <c r="AG43" s="35"/>
      <c r="AH43" s="6"/>
    </row>
    <row r="44" spans="1:34" s="7" customFormat="1" ht="4.5" customHeight="1">
      <c r="B44" s="107"/>
      <c r="C44" s="108"/>
      <c r="D44" s="108"/>
      <c r="E44" s="106"/>
      <c r="F44" s="6"/>
      <c r="H44" s="6"/>
      <c r="L44" s="6"/>
      <c r="M44" s="58"/>
      <c r="N44" s="62"/>
      <c r="P44" s="62"/>
      <c r="Q44" s="119"/>
      <c r="W44" s="28"/>
      <c r="Y44" s="6"/>
      <c r="AE44" s="80"/>
      <c r="AG44" s="28"/>
    </row>
    <row r="45" spans="1:34" s="7" customFormat="1" ht="6" customHeight="1">
      <c r="B45" s="107"/>
      <c r="C45" s="108"/>
      <c r="D45" s="108"/>
      <c r="E45" s="106"/>
      <c r="F45" s="6"/>
      <c r="H45" s="6"/>
      <c r="L45" s="6"/>
      <c r="M45" s="58"/>
      <c r="N45" s="62"/>
      <c r="P45" s="62"/>
      <c r="Q45" s="119"/>
      <c r="W45" s="120"/>
      <c r="Y45" s="6"/>
      <c r="AC45" s="6"/>
      <c r="AE45" s="81"/>
      <c r="AF45" s="4"/>
      <c r="AG45" s="36"/>
    </row>
    <row r="46" spans="1:34" s="7" customFormat="1">
      <c r="B46" s="109"/>
      <c r="C46" s="110"/>
      <c r="D46" s="110"/>
      <c r="E46" s="111"/>
      <c r="F46" s="68"/>
      <c r="G46" s="67"/>
      <c r="H46" s="68"/>
      <c r="I46" s="67"/>
      <c r="J46" s="67"/>
      <c r="K46" s="67"/>
      <c r="L46" s="68"/>
      <c r="M46" s="69"/>
      <c r="N46" s="70"/>
      <c r="O46" s="67"/>
      <c r="P46" s="70"/>
      <c r="Q46" s="121"/>
      <c r="R46" s="72"/>
      <c r="S46" s="67"/>
      <c r="T46" s="67"/>
      <c r="U46" s="67"/>
      <c r="V46" s="67"/>
      <c r="W46" s="71"/>
      <c r="X46" s="73"/>
      <c r="Y46" s="68"/>
      <c r="Z46" s="73"/>
      <c r="AA46" s="73"/>
      <c r="AB46" s="73"/>
      <c r="AC46" s="68"/>
      <c r="AD46" s="67"/>
      <c r="AE46" s="131"/>
      <c r="AF46" s="74"/>
      <c r="AG46" s="75"/>
    </row>
    <row r="47" spans="1:34">
      <c r="A47" s="21"/>
      <c r="B47" s="65"/>
      <c r="C47" s="66">
        <f>SUM(C12:C41)</f>
        <v>1591</v>
      </c>
      <c r="D47" s="66">
        <f>SUM(D12:D41)</f>
        <v>14752</v>
      </c>
      <c r="E47" s="66">
        <f>SUM(E12:E43)</f>
        <v>592440.00000000233</v>
      </c>
      <c r="F47" s="66">
        <f>SUM(F12:F43)</f>
        <v>644319378.36000252</v>
      </c>
      <c r="G47" s="66">
        <f>SUM(G12:G43)</f>
        <v>122879.99999999738</v>
      </c>
      <c r="H47" s="66">
        <f t="shared" ref="H47:O47" si="14">SUM(H12:H43)</f>
        <v>200460718.07999569</v>
      </c>
      <c r="I47" s="66">
        <f t="shared" si="14"/>
        <v>844780096.43999815</v>
      </c>
      <c r="J47" s="66">
        <f t="shared" si="14"/>
        <v>58400.000000000102</v>
      </c>
      <c r="K47" s="66">
        <f t="shared" si="14"/>
        <v>63514029.600000098</v>
      </c>
      <c r="L47" s="66">
        <f t="shared" si="14"/>
        <v>13840.000000000033</v>
      </c>
      <c r="M47" s="66">
        <f t="shared" si="14"/>
        <v>22577932.440000053</v>
      </c>
      <c r="N47" s="66">
        <f t="shared" si="14"/>
        <v>86091962.040000141</v>
      </c>
      <c r="O47" s="66">
        <f t="shared" si="14"/>
        <v>930872058.47999871</v>
      </c>
      <c r="P47" s="76">
        <f>SUM(P12:P43)</f>
        <v>787560</v>
      </c>
      <c r="Q47" s="162">
        <f>SUM(Q12:Q42)</f>
        <v>20214</v>
      </c>
      <c r="R47" s="48">
        <f>SUM(R12:R42)</f>
        <v>8118</v>
      </c>
      <c r="S47" s="48">
        <f t="shared" ref="S47" si="15">SUM(S12:S42)</f>
        <v>145881921.24000001</v>
      </c>
      <c r="T47" s="48">
        <f>SUM(T12:T42)</f>
        <v>12096</v>
      </c>
      <c r="U47" s="48">
        <f>SUM(U12:U42)</f>
        <v>56667582.719999999</v>
      </c>
      <c r="V47" s="124">
        <f>SUM(V12:V42)</f>
        <v>202549503.96000001</v>
      </c>
      <c r="W47" s="113">
        <f>V47/$AG$48</f>
        <v>15609.440436988338</v>
      </c>
      <c r="X47" s="40">
        <f>SUM(X12:X41)</f>
        <v>3016.2066799999898</v>
      </c>
      <c r="Y47" s="125">
        <f>SUM(Y12:Y41)</f>
        <v>1250</v>
      </c>
      <c r="Z47" s="40">
        <f>SUM(Z12:Z42)</f>
        <v>2000</v>
      </c>
      <c r="AA47" s="40">
        <f>SUM(AA12:AA42)</f>
        <v>276</v>
      </c>
      <c r="AB47" s="179">
        <f>SUM(AB12:AB42)</f>
        <v>6542.206679999992</v>
      </c>
      <c r="AC47" s="134">
        <f>SUM(AC12:AC43)</f>
        <v>72927046.422039896</v>
      </c>
      <c r="AD47" s="135">
        <f>AC47/$AG$48</f>
        <v>5620.1094799773964</v>
      </c>
      <c r="AE47" s="178">
        <f>SUM(AE12:AE43)</f>
        <v>23399.399999999976</v>
      </c>
      <c r="AF47" s="132">
        <f>SUM(AF12:AF43)</f>
        <v>203574779.99999982</v>
      </c>
      <c r="AG47" s="133">
        <f>AF47/AG48</f>
        <v>15688.453147288576</v>
      </c>
      <c r="AH47" s="21"/>
    </row>
    <row r="48" spans="1:34">
      <c r="A48" s="21"/>
      <c r="B48" s="21"/>
      <c r="C48" s="4"/>
      <c r="D48" s="10"/>
      <c r="E48" s="4"/>
      <c r="F48" s="4"/>
      <c r="G48" s="10"/>
      <c r="H48" s="4"/>
      <c r="I48" s="8"/>
      <c r="J48" s="8"/>
      <c r="K48" s="8"/>
      <c r="L48" s="14"/>
      <c r="M48" s="59"/>
      <c r="N48" s="63"/>
      <c r="O48" s="9"/>
      <c r="P48" s="63"/>
      <c r="Q48" s="170" t="s">
        <v>49</v>
      </c>
      <c r="R48" s="10"/>
      <c r="S48" s="10"/>
      <c r="T48" s="126"/>
      <c r="U48" s="10"/>
      <c r="V48" s="10"/>
      <c r="W48" s="10"/>
      <c r="X48" s="13"/>
      <c r="Y48" s="6"/>
      <c r="Z48" s="13"/>
      <c r="AA48" s="13"/>
      <c r="AB48" s="6"/>
      <c r="AC48" s="4"/>
      <c r="AD48" s="10"/>
      <c r="AE48" s="81"/>
      <c r="AF48" s="10"/>
      <c r="AG48" s="136">
        <v>12976.09</v>
      </c>
      <c r="AH48" s="21"/>
    </row>
    <row r="49" spans="1:34">
      <c r="A49" s="21"/>
      <c r="B49" s="21"/>
      <c r="C49" s="4"/>
      <c r="D49" s="10"/>
      <c r="E49" s="4"/>
      <c r="F49" s="4"/>
      <c r="G49" s="10"/>
      <c r="H49" s="4"/>
      <c r="I49" s="8"/>
      <c r="J49" s="8"/>
      <c r="K49" s="8"/>
      <c r="L49" s="14"/>
      <c r="M49" s="59"/>
      <c r="N49" s="63"/>
      <c r="O49" s="9"/>
      <c r="P49" s="63"/>
      <c r="Q49" s="170"/>
      <c r="R49" s="10"/>
      <c r="S49" s="10"/>
      <c r="T49" s="126"/>
      <c r="U49" s="10"/>
      <c r="V49" s="10"/>
      <c r="W49" s="10"/>
      <c r="X49" s="13"/>
      <c r="Y49" s="6"/>
      <c r="Z49" s="13"/>
      <c r="AA49" s="13"/>
      <c r="AB49" s="6"/>
      <c r="AC49" s="4"/>
      <c r="AD49" s="10"/>
      <c r="AE49" s="81"/>
      <c r="AF49" s="10"/>
      <c r="AG49" s="136"/>
      <c r="AH49" s="21"/>
    </row>
    <row r="50" spans="1:34">
      <c r="A50" s="21"/>
      <c r="B50" s="21"/>
      <c r="C50" s="4"/>
      <c r="D50" s="10"/>
      <c r="E50" s="4"/>
      <c r="F50" s="4"/>
      <c r="G50" s="10"/>
      <c r="H50" s="4"/>
      <c r="I50" s="8"/>
      <c r="J50" s="8"/>
      <c r="K50" s="8"/>
      <c r="L50" s="14"/>
      <c r="M50" s="59"/>
      <c r="N50" s="63"/>
      <c r="O50" s="9"/>
      <c r="P50" s="63">
        <f>O47/P47</f>
        <v>1181.969701965563</v>
      </c>
      <c r="Q50" s="170"/>
      <c r="R50" s="10"/>
      <c r="S50" s="10"/>
      <c r="T50" s="126"/>
      <c r="U50" s="10"/>
      <c r="V50" s="10">
        <f>V47/Q47</f>
        <v>10020.258432769368</v>
      </c>
      <c r="W50" s="10"/>
      <c r="X50" s="13"/>
      <c r="Y50" s="6"/>
      <c r="Z50" s="13"/>
      <c r="AA50" s="13"/>
      <c r="AB50" s="6"/>
      <c r="AC50" s="4">
        <f>AC47/AB47</f>
        <v>11147.163333280689</v>
      </c>
      <c r="AD50" s="10"/>
      <c r="AE50" s="81"/>
      <c r="AF50" s="10">
        <f>AF47/AE47</f>
        <v>8700.0000000000018</v>
      </c>
      <c r="AG50" s="136"/>
      <c r="AH50" s="21"/>
    </row>
    <row r="51" spans="1:34" s="173" customFormat="1">
      <c r="A51" s="171"/>
      <c r="B51" s="171"/>
      <c r="C51" s="172"/>
      <c r="E51" s="172"/>
      <c r="F51" s="172"/>
      <c r="H51" s="172"/>
      <c r="L51" s="172"/>
      <c r="M51" s="174"/>
      <c r="N51" s="175"/>
      <c r="P51" s="175"/>
      <c r="R51" s="180"/>
      <c r="Y51" s="172"/>
      <c r="AC51" s="172"/>
      <c r="AE51" s="176"/>
      <c r="AG51" s="177"/>
      <c r="AH51" s="171"/>
    </row>
    <row r="52" spans="1:34" s="173" customFormat="1">
      <c r="A52" s="171"/>
      <c r="B52" s="171"/>
      <c r="C52" s="172"/>
      <c r="E52" s="172"/>
      <c r="F52" s="172"/>
      <c r="H52" s="172"/>
      <c r="L52" s="172"/>
      <c r="M52" s="174"/>
      <c r="N52" s="175"/>
      <c r="P52" s="175"/>
      <c r="Y52" s="172"/>
      <c r="AC52" s="172"/>
      <c r="AE52" s="176"/>
      <c r="AG52" s="177"/>
      <c r="AH52" s="171"/>
    </row>
    <row r="53" spans="1:34" s="173" customFormat="1">
      <c r="A53" s="171"/>
      <c r="B53" s="171"/>
      <c r="C53" s="172"/>
      <c r="E53" s="172"/>
      <c r="F53" s="172"/>
      <c r="H53" s="172"/>
      <c r="L53" s="172"/>
      <c r="M53" s="174"/>
      <c r="N53" s="175"/>
      <c r="P53" s="175"/>
      <c r="Y53" s="172"/>
      <c r="AC53" s="172"/>
      <c r="AE53" s="176"/>
      <c r="AG53" s="177"/>
      <c r="AH53" s="171"/>
    </row>
    <row r="54" spans="1:34" s="173" customFormat="1">
      <c r="A54" s="171"/>
      <c r="B54" s="171"/>
      <c r="C54" s="172"/>
      <c r="E54" s="172"/>
      <c r="F54" s="172"/>
      <c r="H54" s="172"/>
      <c r="L54" s="172"/>
      <c r="M54" s="174"/>
      <c r="N54" s="175"/>
      <c r="P54" s="175"/>
      <c r="Y54" s="172"/>
      <c r="AC54" s="172"/>
      <c r="AE54" s="176"/>
      <c r="AG54" s="177"/>
      <c r="AH54" s="171"/>
    </row>
    <row r="55" spans="1:34" s="173" customFormat="1">
      <c r="A55" s="171"/>
      <c r="B55" s="171"/>
      <c r="C55" s="172"/>
      <c r="E55" s="172"/>
      <c r="F55" s="172"/>
      <c r="H55" s="172"/>
      <c r="L55" s="172"/>
      <c r="M55" s="174"/>
      <c r="N55" s="175"/>
      <c r="P55" s="175"/>
      <c r="Y55" s="172"/>
      <c r="AC55" s="172"/>
      <c r="AE55" s="176"/>
      <c r="AG55" s="177"/>
      <c r="AH55" s="171"/>
    </row>
    <row r="56" spans="1:34" s="173" customFormat="1">
      <c r="A56" s="171"/>
      <c r="B56" s="171"/>
      <c r="C56" s="172"/>
      <c r="E56" s="172"/>
      <c r="F56" s="172"/>
      <c r="H56" s="172"/>
      <c r="L56" s="172"/>
      <c r="M56" s="174"/>
      <c r="N56" s="175"/>
      <c r="P56" s="175"/>
      <c r="Y56" s="172"/>
      <c r="AC56" s="172"/>
      <c r="AE56" s="176"/>
      <c r="AG56" s="177"/>
      <c r="AH56" s="171"/>
    </row>
    <row r="57" spans="1:34" s="173" customFormat="1">
      <c r="A57" s="171"/>
      <c r="B57" s="171"/>
      <c r="C57" s="172"/>
      <c r="E57" s="172"/>
      <c r="F57" s="172"/>
      <c r="H57" s="172"/>
      <c r="L57" s="172"/>
      <c r="M57" s="174"/>
      <c r="N57" s="175"/>
      <c r="P57" s="175"/>
      <c r="Y57" s="172"/>
      <c r="AC57" s="172"/>
      <c r="AE57" s="176"/>
      <c r="AG57" s="177"/>
      <c r="AH57" s="171"/>
    </row>
    <row r="58" spans="1:34" s="173" customFormat="1">
      <c r="A58" s="171"/>
      <c r="B58" s="171"/>
      <c r="C58" s="172"/>
      <c r="E58" s="172"/>
      <c r="F58" s="172"/>
      <c r="H58" s="172"/>
      <c r="L58" s="172"/>
      <c r="M58" s="174"/>
      <c r="N58" s="175"/>
      <c r="P58" s="175"/>
      <c r="Y58" s="172"/>
      <c r="AC58" s="172"/>
      <c r="AE58" s="176"/>
      <c r="AG58" s="177"/>
      <c r="AH58" s="171"/>
    </row>
    <row r="59" spans="1:34" s="173" customFormat="1">
      <c r="A59" s="171"/>
      <c r="B59" s="171"/>
      <c r="C59" s="172"/>
      <c r="E59" s="172"/>
      <c r="F59" s="172"/>
      <c r="H59" s="172"/>
      <c r="L59" s="172"/>
      <c r="M59" s="174"/>
      <c r="N59" s="175"/>
      <c r="P59" s="175"/>
      <c r="Y59" s="172"/>
      <c r="AC59" s="172"/>
      <c r="AE59" s="176"/>
      <c r="AG59" s="177"/>
      <c r="AH59" s="171"/>
    </row>
    <row r="60" spans="1:34" s="173" customFormat="1">
      <c r="A60" s="171"/>
      <c r="B60" s="171"/>
      <c r="C60" s="172"/>
      <c r="E60" s="172"/>
      <c r="F60" s="172"/>
      <c r="H60" s="172"/>
      <c r="L60" s="172"/>
      <c r="M60" s="174"/>
      <c r="N60" s="175"/>
      <c r="P60" s="175"/>
      <c r="Y60" s="172"/>
      <c r="AC60" s="172"/>
      <c r="AE60" s="176"/>
      <c r="AG60" s="177"/>
      <c r="AH60" s="171"/>
    </row>
    <row r="61" spans="1:34" s="173" customFormat="1">
      <c r="A61" s="171"/>
      <c r="B61" s="171"/>
      <c r="C61" s="172"/>
      <c r="E61" s="172"/>
      <c r="F61" s="172"/>
      <c r="H61" s="172"/>
      <c r="L61" s="172"/>
      <c r="M61" s="174"/>
      <c r="N61" s="175"/>
      <c r="P61" s="175"/>
      <c r="Y61" s="172"/>
      <c r="AC61" s="172"/>
      <c r="AE61" s="176"/>
      <c r="AG61" s="177"/>
      <c r="AH61" s="171"/>
    </row>
    <row r="62" spans="1:34" s="173" customFormat="1">
      <c r="A62" s="171"/>
      <c r="B62" s="171"/>
      <c r="C62" s="172"/>
      <c r="E62" s="172"/>
      <c r="F62" s="172"/>
      <c r="H62" s="172"/>
      <c r="L62" s="172"/>
      <c r="M62" s="174"/>
      <c r="N62" s="175"/>
      <c r="P62" s="175"/>
      <c r="Y62" s="172"/>
      <c r="AC62" s="172"/>
      <c r="AE62" s="176"/>
      <c r="AG62" s="177"/>
      <c r="AH62" s="171"/>
    </row>
    <row r="63" spans="1:34" s="173" customFormat="1">
      <c r="A63" s="171"/>
      <c r="B63" s="171"/>
      <c r="C63" s="172"/>
      <c r="E63" s="172"/>
      <c r="F63" s="172"/>
      <c r="H63" s="172"/>
      <c r="L63" s="172"/>
      <c r="M63" s="174"/>
      <c r="N63" s="175"/>
      <c r="P63" s="175"/>
      <c r="Y63" s="172"/>
      <c r="AC63" s="172"/>
      <c r="AE63" s="176"/>
      <c r="AG63" s="177"/>
      <c r="AH63" s="171"/>
    </row>
    <row r="64" spans="1:34" s="173" customFormat="1">
      <c r="A64" s="171"/>
      <c r="B64" s="171"/>
      <c r="C64" s="172"/>
      <c r="E64" s="172"/>
      <c r="F64" s="172"/>
      <c r="H64" s="172"/>
      <c r="L64" s="172"/>
      <c r="M64" s="174"/>
      <c r="N64" s="175"/>
      <c r="P64" s="175"/>
      <c r="Y64" s="172"/>
      <c r="AC64" s="172"/>
      <c r="AE64" s="176"/>
      <c r="AG64" s="177"/>
      <c r="AH64" s="171"/>
    </row>
    <row r="65" spans="1:34" s="173" customFormat="1">
      <c r="A65" s="171"/>
      <c r="B65" s="171"/>
      <c r="C65" s="172"/>
      <c r="E65" s="172"/>
      <c r="F65" s="172"/>
      <c r="H65" s="172"/>
      <c r="L65" s="172"/>
      <c r="M65" s="174"/>
      <c r="N65" s="175"/>
      <c r="P65" s="175"/>
      <c r="Y65" s="172"/>
      <c r="AC65" s="172"/>
      <c r="AE65" s="176"/>
      <c r="AG65" s="177"/>
      <c r="AH65" s="171"/>
    </row>
    <row r="66" spans="1:34" s="173" customFormat="1">
      <c r="A66" s="171"/>
      <c r="B66" s="171"/>
      <c r="C66" s="172"/>
      <c r="E66" s="172"/>
      <c r="F66" s="172"/>
      <c r="H66" s="172"/>
      <c r="L66" s="172"/>
      <c r="M66" s="174"/>
      <c r="N66" s="175"/>
      <c r="P66" s="175"/>
      <c r="Y66" s="172"/>
      <c r="AC66" s="172"/>
      <c r="AE66" s="176"/>
      <c r="AG66" s="177"/>
      <c r="AH66" s="171"/>
    </row>
    <row r="67" spans="1:34" s="173" customFormat="1">
      <c r="A67" s="171"/>
      <c r="B67" s="171"/>
      <c r="C67" s="172"/>
      <c r="E67" s="172"/>
      <c r="F67" s="172"/>
      <c r="H67" s="172"/>
      <c r="L67" s="172"/>
      <c r="M67" s="174"/>
      <c r="N67" s="175"/>
      <c r="P67" s="175"/>
      <c r="Y67" s="172"/>
      <c r="AC67" s="172"/>
      <c r="AE67" s="176"/>
      <c r="AG67" s="177"/>
      <c r="AH67" s="171"/>
    </row>
    <row r="68" spans="1:34" s="173" customFormat="1">
      <c r="A68" s="171"/>
      <c r="B68" s="171"/>
      <c r="C68" s="172"/>
      <c r="E68" s="172"/>
      <c r="F68" s="172"/>
      <c r="H68" s="172"/>
      <c r="L68" s="172"/>
      <c r="M68" s="174"/>
      <c r="N68" s="175"/>
      <c r="P68" s="175"/>
      <c r="Y68" s="172"/>
      <c r="AC68" s="172"/>
      <c r="AE68" s="176"/>
      <c r="AG68" s="177"/>
      <c r="AH68" s="171"/>
    </row>
    <row r="69" spans="1:34" s="173" customFormat="1">
      <c r="A69" s="171"/>
      <c r="B69" s="171"/>
      <c r="C69" s="172"/>
      <c r="E69" s="172"/>
      <c r="F69" s="172"/>
      <c r="H69" s="172"/>
      <c r="L69" s="172"/>
      <c r="M69" s="174"/>
      <c r="N69" s="175"/>
      <c r="P69" s="175"/>
      <c r="Y69" s="172"/>
      <c r="AC69" s="172"/>
      <c r="AE69" s="176"/>
      <c r="AG69" s="177"/>
      <c r="AH69" s="171"/>
    </row>
    <row r="70" spans="1:34" s="173" customFormat="1">
      <c r="A70" s="171"/>
      <c r="B70" s="171"/>
      <c r="C70" s="172"/>
      <c r="E70" s="172"/>
      <c r="F70" s="172"/>
      <c r="H70" s="172"/>
      <c r="L70" s="172"/>
      <c r="M70" s="174"/>
      <c r="N70" s="175"/>
      <c r="P70" s="175"/>
      <c r="Y70" s="172"/>
      <c r="AC70" s="172"/>
      <c r="AE70" s="176"/>
      <c r="AG70" s="177"/>
      <c r="AH70" s="171"/>
    </row>
    <row r="71" spans="1:34" s="173" customFormat="1">
      <c r="A71" s="171"/>
      <c r="B71" s="171"/>
      <c r="C71" s="172"/>
      <c r="E71" s="172"/>
      <c r="F71" s="172"/>
      <c r="H71" s="172"/>
      <c r="L71" s="172"/>
      <c r="M71" s="174"/>
      <c r="N71" s="175"/>
      <c r="P71" s="175"/>
      <c r="Y71" s="172"/>
      <c r="AC71" s="172"/>
      <c r="AE71" s="176"/>
      <c r="AG71" s="177"/>
      <c r="AH71" s="171"/>
    </row>
    <row r="72" spans="1:34" s="173" customFormat="1">
      <c r="A72" s="171"/>
      <c r="B72" s="171"/>
      <c r="C72" s="172"/>
      <c r="E72" s="172"/>
      <c r="F72" s="172"/>
      <c r="H72" s="172"/>
      <c r="L72" s="172"/>
      <c r="M72" s="174"/>
      <c r="N72" s="175"/>
      <c r="P72" s="175"/>
      <c r="Y72" s="172"/>
      <c r="AC72" s="172"/>
      <c r="AE72" s="176"/>
      <c r="AG72" s="177"/>
      <c r="AH72" s="171"/>
    </row>
    <row r="73" spans="1:34" s="173" customFormat="1">
      <c r="A73" s="171"/>
      <c r="B73" s="171"/>
      <c r="C73" s="172"/>
      <c r="E73" s="172"/>
      <c r="F73" s="172"/>
      <c r="H73" s="172"/>
      <c r="L73" s="172"/>
      <c r="M73" s="174"/>
      <c r="N73" s="175"/>
      <c r="P73" s="175"/>
      <c r="Y73" s="172"/>
      <c r="AC73" s="172"/>
      <c r="AE73" s="176"/>
      <c r="AG73" s="177"/>
      <c r="AH73" s="171"/>
    </row>
    <row r="74" spans="1:34" s="173" customFormat="1">
      <c r="A74" s="171"/>
      <c r="B74" s="171"/>
      <c r="C74" s="172"/>
      <c r="E74" s="172"/>
      <c r="F74" s="172"/>
      <c r="H74" s="172"/>
      <c r="L74" s="172"/>
      <c r="M74" s="174"/>
      <c r="N74" s="175"/>
      <c r="P74" s="175"/>
      <c r="Y74" s="172"/>
      <c r="AC74" s="172"/>
      <c r="AE74" s="176"/>
      <c r="AG74" s="177"/>
      <c r="AH74" s="171"/>
    </row>
    <row r="75" spans="1:34" s="173" customFormat="1">
      <c r="A75" s="171"/>
      <c r="B75" s="171"/>
      <c r="C75" s="172"/>
      <c r="E75" s="172"/>
      <c r="F75" s="172"/>
      <c r="H75" s="172"/>
      <c r="L75" s="172"/>
      <c r="M75" s="174"/>
      <c r="N75" s="175"/>
      <c r="P75" s="175"/>
      <c r="Y75" s="172"/>
      <c r="AC75" s="172"/>
      <c r="AE75" s="176"/>
      <c r="AG75" s="177"/>
      <c r="AH75" s="171"/>
    </row>
    <row r="76" spans="1:34" s="173" customFormat="1">
      <c r="A76" s="171"/>
      <c r="B76" s="171"/>
      <c r="C76" s="172"/>
      <c r="E76" s="172"/>
      <c r="F76" s="172"/>
      <c r="H76" s="172"/>
      <c r="L76" s="172"/>
      <c r="M76" s="174"/>
      <c r="N76" s="175"/>
      <c r="P76" s="175"/>
      <c r="Y76" s="172"/>
      <c r="AC76" s="172"/>
      <c r="AE76" s="176"/>
      <c r="AG76" s="177"/>
      <c r="AH76" s="171"/>
    </row>
    <row r="77" spans="1:34" s="173" customFormat="1">
      <c r="A77" s="171"/>
      <c r="B77" s="171"/>
      <c r="C77" s="172"/>
      <c r="E77" s="172"/>
      <c r="F77" s="172"/>
      <c r="H77" s="172"/>
      <c r="L77" s="172"/>
      <c r="M77" s="174"/>
      <c r="N77" s="175"/>
      <c r="P77" s="175"/>
      <c r="Y77" s="172"/>
      <c r="AC77" s="172"/>
      <c r="AE77" s="176"/>
      <c r="AG77" s="177"/>
      <c r="AH77" s="171"/>
    </row>
    <row r="78" spans="1:34" s="173" customFormat="1">
      <c r="A78" s="171"/>
      <c r="B78" s="171"/>
      <c r="C78" s="172"/>
      <c r="E78" s="172"/>
      <c r="F78" s="172"/>
      <c r="H78" s="172"/>
      <c r="L78" s="172"/>
      <c r="M78" s="174"/>
      <c r="N78" s="175"/>
      <c r="P78" s="175"/>
      <c r="Y78" s="172"/>
      <c r="AC78" s="172"/>
      <c r="AE78" s="176"/>
      <c r="AG78" s="177"/>
      <c r="AH78" s="171"/>
    </row>
    <row r="79" spans="1:34" s="173" customFormat="1">
      <c r="A79" s="171"/>
      <c r="B79" s="171"/>
      <c r="C79" s="172"/>
      <c r="E79" s="172"/>
      <c r="F79" s="172"/>
      <c r="H79" s="172"/>
      <c r="L79" s="172"/>
      <c r="M79" s="174"/>
      <c r="N79" s="175"/>
      <c r="P79" s="175"/>
      <c r="Y79" s="172"/>
      <c r="AC79" s="172"/>
      <c r="AE79" s="176"/>
      <c r="AG79" s="177"/>
      <c r="AH79" s="171"/>
    </row>
    <row r="80" spans="1:34" s="173" customFormat="1">
      <c r="A80" s="171"/>
      <c r="B80" s="171"/>
      <c r="C80" s="172"/>
      <c r="E80" s="172"/>
      <c r="F80" s="172"/>
      <c r="H80" s="172"/>
      <c r="L80" s="172"/>
      <c r="M80" s="174"/>
      <c r="N80" s="175"/>
      <c r="P80" s="175"/>
      <c r="Y80" s="172"/>
      <c r="AC80" s="172"/>
      <c r="AE80" s="176"/>
      <c r="AG80" s="177"/>
      <c r="AH80" s="171"/>
    </row>
    <row r="81" spans="1:34" s="173" customFormat="1">
      <c r="A81" s="171"/>
      <c r="B81" s="171"/>
      <c r="C81" s="172"/>
      <c r="E81" s="172"/>
      <c r="F81" s="172"/>
      <c r="H81" s="172"/>
      <c r="L81" s="172"/>
      <c r="M81" s="174"/>
      <c r="N81" s="175"/>
      <c r="P81" s="175"/>
      <c r="Y81" s="172"/>
      <c r="AC81" s="172"/>
      <c r="AE81" s="176"/>
      <c r="AG81" s="177"/>
      <c r="AH81" s="171"/>
    </row>
    <row r="82" spans="1:34" s="173" customFormat="1">
      <c r="A82" s="171"/>
      <c r="B82" s="171"/>
      <c r="C82" s="172"/>
      <c r="E82" s="172"/>
      <c r="F82" s="172"/>
      <c r="H82" s="172"/>
      <c r="L82" s="172"/>
      <c r="M82" s="174"/>
      <c r="N82" s="175"/>
      <c r="P82" s="175"/>
      <c r="Y82" s="172"/>
      <c r="AC82" s="172"/>
      <c r="AE82" s="176"/>
      <c r="AG82" s="177"/>
      <c r="AH82" s="171"/>
    </row>
    <row r="83" spans="1:34" s="173" customFormat="1">
      <c r="A83" s="171"/>
      <c r="B83" s="171"/>
      <c r="C83" s="172"/>
      <c r="E83" s="172"/>
      <c r="F83" s="172"/>
      <c r="H83" s="172"/>
      <c r="L83" s="172"/>
      <c r="M83" s="174"/>
      <c r="N83" s="175"/>
      <c r="P83" s="175"/>
      <c r="Y83" s="172"/>
      <c r="AC83" s="172"/>
      <c r="AE83" s="176"/>
      <c r="AG83" s="177"/>
      <c r="AH83" s="171"/>
    </row>
    <row r="84" spans="1:34" s="173" customFormat="1">
      <c r="A84" s="171"/>
      <c r="B84" s="171"/>
      <c r="C84" s="172"/>
      <c r="E84" s="172"/>
      <c r="F84" s="172"/>
      <c r="H84" s="172"/>
      <c r="L84" s="172"/>
      <c r="M84" s="174"/>
      <c r="N84" s="175"/>
      <c r="P84" s="175"/>
      <c r="Y84" s="172"/>
      <c r="AC84" s="172"/>
      <c r="AE84" s="176"/>
      <c r="AG84" s="177"/>
      <c r="AH84" s="171"/>
    </row>
    <row r="85" spans="1:34" s="173" customFormat="1">
      <c r="A85" s="171"/>
      <c r="B85" s="171"/>
      <c r="C85" s="172"/>
      <c r="E85" s="172"/>
      <c r="F85" s="172"/>
      <c r="H85" s="172"/>
      <c r="L85" s="172"/>
      <c r="M85" s="174"/>
      <c r="N85" s="175"/>
      <c r="P85" s="175"/>
      <c r="Y85" s="172"/>
      <c r="AC85" s="172"/>
      <c r="AE85" s="176"/>
      <c r="AG85" s="177"/>
      <c r="AH85" s="171"/>
    </row>
    <row r="86" spans="1:34" s="173" customFormat="1">
      <c r="A86" s="171"/>
      <c r="B86" s="171"/>
      <c r="C86" s="172"/>
      <c r="E86" s="172"/>
      <c r="F86" s="172"/>
      <c r="H86" s="172"/>
      <c r="L86" s="172"/>
      <c r="M86" s="174"/>
      <c r="N86" s="175"/>
      <c r="P86" s="175"/>
      <c r="Y86" s="172"/>
      <c r="AC86" s="172"/>
      <c r="AE86" s="176"/>
      <c r="AG86" s="177"/>
      <c r="AH86" s="171"/>
    </row>
    <row r="87" spans="1:34" s="173" customFormat="1">
      <c r="A87" s="171"/>
      <c r="B87" s="171"/>
      <c r="C87" s="172"/>
      <c r="E87" s="172"/>
      <c r="F87" s="172"/>
      <c r="H87" s="172"/>
      <c r="L87" s="172"/>
      <c r="M87" s="174"/>
      <c r="N87" s="175"/>
      <c r="P87" s="175"/>
      <c r="Y87" s="172"/>
      <c r="AC87" s="172"/>
      <c r="AE87" s="176"/>
      <c r="AG87" s="177"/>
      <c r="AH87" s="171"/>
    </row>
    <row r="88" spans="1:34" s="173" customFormat="1">
      <c r="A88" s="171"/>
      <c r="B88" s="171"/>
      <c r="C88" s="172"/>
      <c r="E88" s="172"/>
      <c r="F88" s="172"/>
      <c r="H88" s="172"/>
      <c r="L88" s="172"/>
      <c r="M88" s="174"/>
      <c r="N88" s="175"/>
      <c r="P88" s="175"/>
      <c r="Y88" s="172"/>
      <c r="AC88" s="172"/>
      <c r="AE88" s="176"/>
      <c r="AG88" s="177"/>
      <c r="AH88" s="171"/>
    </row>
    <row r="89" spans="1:34" s="173" customFormat="1">
      <c r="A89" s="171"/>
      <c r="B89" s="171"/>
      <c r="C89" s="172"/>
      <c r="E89" s="172"/>
      <c r="F89" s="172"/>
      <c r="H89" s="172"/>
      <c r="L89" s="172"/>
      <c r="M89" s="174"/>
      <c r="N89" s="175"/>
      <c r="P89" s="175"/>
      <c r="Y89" s="172"/>
      <c r="AC89" s="172"/>
      <c r="AE89" s="176"/>
      <c r="AG89" s="177"/>
      <c r="AH89" s="171"/>
    </row>
    <row r="90" spans="1:34" s="173" customFormat="1">
      <c r="A90" s="171"/>
      <c r="B90" s="171"/>
      <c r="C90" s="172"/>
      <c r="E90" s="172"/>
      <c r="F90" s="172"/>
      <c r="H90" s="172"/>
      <c r="L90" s="172"/>
      <c r="M90" s="174"/>
      <c r="N90" s="175"/>
      <c r="P90" s="175"/>
      <c r="Y90" s="172"/>
      <c r="AC90" s="172"/>
      <c r="AE90" s="176"/>
      <c r="AG90" s="177"/>
      <c r="AH90" s="171"/>
    </row>
    <row r="91" spans="1:34" s="173" customFormat="1">
      <c r="A91" s="171"/>
      <c r="B91" s="171"/>
      <c r="C91" s="172"/>
      <c r="E91" s="172"/>
      <c r="F91" s="172"/>
      <c r="H91" s="172"/>
      <c r="L91" s="172"/>
      <c r="M91" s="174"/>
      <c r="N91" s="175"/>
      <c r="P91" s="175"/>
      <c r="Y91" s="172"/>
      <c r="AC91" s="172"/>
      <c r="AE91" s="176"/>
      <c r="AG91" s="177"/>
      <c r="AH91" s="171"/>
    </row>
    <row r="92" spans="1:34" s="173" customFormat="1">
      <c r="A92" s="171"/>
      <c r="B92" s="171"/>
      <c r="C92" s="172"/>
      <c r="E92" s="172"/>
      <c r="F92" s="172"/>
      <c r="H92" s="172"/>
      <c r="L92" s="172"/>
      <c r="M92" s="174"/>
      <c r="N92" s="175"/>
      <c r="P92" s="175"/>
      <c r="Y92" s="172"/>
      <c r="AC92" s="172"/>
      <c r="AE92" s="176"/>
      <c r="AG92" s="177"/>
      <c r="AH92" s="171"/>
    </row>
    <row r="93" spans="1:34" s="173" customFormat="1">
      <c r="A93" s="171"/>
      <c r="B93" s="171"/>
      <c r="C93" s="172"/>
      <c r="E93" s="172"/>
      <c r="F93" s="172"/>
      <c r="H93" s="172"/>
      <c r="L93" s="172"/>
      <c r="M93" s="174"/>
      <c r="N93" s="175"/>
      <c r="P93" s="175"/>
      <c r="Y93" s="172"/>
      <c r="AC93" s="172"/>
      <c r="AE93" s="176"/>
      <c r="AG93" s="177"/>
      <c r="AH93" s="171"/>
    </row>
    <row r="94" spans="1:34" s="173" customFormat="1">
      <c r="A94" s="171"/>
      <c r="B94" s="171"/>
      <c r="C94" s="172"/>
      <c r="E94" s="172"/>
      <c r="F94" s="172"/>
      <c r="H94" s="172"/>
      <c r="L94" s="172"/>
      <c r="M94" s="174"/>
      <c r="N94" s="175"/>
      <c r="P94" s="175"/>
      <c r="Y94" s="172"/>
      <c r="AC94" s="172"/>
      <c r="AE94" s="176"/>
      <c r="AG94" s="177"/>
      <c r="AH94" s="171"/>
    </row>
    <row r="95" spans="1:34" s="173" customFormat="1">
      <c r="A95" s="171"/>
      <c r="B95" s="171"/>
      <c r="C95" s="172"/>
      <c r="E95" s="172"/>
      <c r="F95" s="172"/>
      <c r="H95" s="172"/>
      <c r="L95" s="172"/>
      <c r="M95" s="174"/>
      <c r="N95" s="175"/>
      <c r="P95" s="175"/>
      <c r="Y95" s="172"/>
      <c r="AC95" s="172"/>
      <c r="AE95" s="176"/>
      <c r="AG95" s="177"/>
      <c r="AH95" s="171"/>
    </row>
    <row r="96" spans="1:34" s="173" customFormat="1">
      <c r="A96" s="171"/>
      <c r="B96" s="171"/>
      <c r="C96" s="172"/>
      <c r="E96" s="172"/>
      <c r="F96" s="172"/>
      <c r="H96" s="172"/>
      <c r="L96" s="172"/>
      <c r="M96" s="174"/>
      <c r="N96" s="175"/>
      <c r="P96" s="175"/>
      <c r="Y96" s="172"/>
      <c r="AC96" s="172"/>
      <c r="AE96" s="176"/>
      <c r="AG96" s="177"/>
      <c r="AH96" s="171"/>
    </row>
    <row r="97" spans="1:34" s="173" customFormat="1">
      <c r="A97" s="171"/>
      <c r="B97" s="171"/>
      <c r="C97" s="172"/>
      <c r="E97" s="172"/>
      <c r="F97" s="172"/>
      <c r="H97" s="172"/>
      <c r="L97" s="172"/>
      <c r="M97" s="174"/>
      <c r="N97" s="175"/>
      <c r="P97" s="175"/>
      <c r="Y97" s="172"/>
      <c r="AC97" s="172"/>
      <c r="AE97" s="176"/>
      <c r="AG97" s="177"/>
      <c r="AH97" s="171"/>
    </row>
    <row r="98" spans="1:34" s="173" customFormat="1">
      <c r="A98" s="171"/>
      <c r="B98" s="171"/>
      <c r="C98" s="172"/>
      <c r="E98" s="172"/>
      <c r="F98" s="172"/>
      <c r="H98" s="172"/>
      <c r="L98" s="172"/>
      <c r="M98" s="174"/>
      <c r="N98" s="175"/>
      <c r="P98" s="175"/>
      <c r="Y98" s="172"/>
      <c r="AC98" s="172"/>
      <c r="AE98" s="176"/>
      <c r="AG98" s="177"/>
      <c r="AH98" s="171"/>
    </row>
    <row r="99" spans="1:34" s="173" customFormat="1">
      <c r="A99" s="171"/>
      <c r="B99" s="171"/>
      <c r="C99" s="172"/>
      <c r="E99" s="172"/>
      <c r="F99" s="172"/>
      <c r="H99" s="172"/>
      <c r="L99" s="172"/>
      <c r="M99" s="174"/>
      <c r="N99" s="175"/>
      <c r="P99" s="175"/>
      <c r="Y99" s="172"/>
      <c r="AC99" s="172"/>
      <c r="AE99" s="176"/>
      <c r="AG99" s="177"/>
      <c r="AH99" s="171"/>
    </row>
    <row r="100" spans="1:34" s="173" customFormat="1">
      <c r="A100" s="171"/>
      <c r="B100" s="171"/>
      <c r="C100" s="172"/>
      <c r="E100" s="172"/>
      <c r="F100" s="172"/>
      <c r="H100" s="172"/>
      <c r="L100" s="172"/>
      <c r="M100" s="174"/>
      <c r="N100" s="175"/>
      <c r="P100" s="175"/>
      <c r="Y100" s="172"/>
      <c r="AC100" s="172"/>
      <c r="AE100" s="176"/>
      <c r="AG100" s="177"/>
      <c r="AH100" s="171"/>
    </row>
    <row r="101" spans="1:34" s="173" customFormat="1">
      <c r="A101" s="171"/>
      <c r="B101" s="171"/>
      <c r="C101" s="172"/>
      <c r="E101" s="172"/>
      <c r="F101" s="172"/>
      <c r="H101" s="172"/>
      <c r="L101" s="172"/>
      <c r="M101" s="174"/>
      <c r="N101" s="175"/>
      <c r="P101" s="175"/>
      <c r="Y101" s="172"/>
      <c r="AC101" s="172"/>
      <c r="AE101" s="176"/>
      <c r="AG101" s="177"/>
      <c r="AH101" s="171"/>
    </row>
    <row r="102" spans="1:34" s="173" customFormat="1">
      <c r="A102" s="171"/>
      <c r="B102" s="171"/>
      <c r="C102" s="172"/>
      <c r="E102" s="172"/>
      <c r="F102" s="172"/>
      <c r="H102" s="172"/>
      <c r="L102" s="172"/>
      <c r="M102" s="174"/>
      <c r="N102" s="175"/>
      <c r="P102" s="175"/>
      <c r="Y102" s="172"/>
      <c r="AC102" s="172"/>
      <c r="AE102" s="176"/>
      <c r="AG102" s="177"/>
      <c r="AH102" s="171"/>
    </row>
  </sheetData>
  <mergeCells count="13">
    <mergeCell ref="V9:W9"/>
    <mergeCell ref="B7:AG7"/>
    <mergeCell ref="B8:B10"/>
    <mergeCell ref="C8:C10"/>
    <mergeCell ref="D8:D10"/>
    <mergeCell ref="E8:P8"/>
    <mergeCell ref="Q8:W8"/>
    <mergeCell ref="X8:AG8"/>
    <mergeCell ref="E9:I9"/>
    <mergeCell ref="J9:N9"/>
    <mergeCell ref="O9:O10"/>
    <mergeCell ref="X9:AD9"/>
    <mergeCell ref="P9:P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workbookViewId="0">
      <pane xSplit="1" ySplit="5" topLeftCell="B6" activePane="bottomRight" state="frozen"/>
      <selection pane="bottomRight" activeCell="B6" sqref="B6:C35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>
      <c r="A1" s="22" t="s">
        <v>16</v>
      </c>
    </row>
    <row r="2" spans="1:3" ht="18">
      <c r="A2" s="210">
        <v>43191</v>
      </c>
      <c r="B2" s="211"/>
      <c r="C2" s="211"/>
    </row>
    <row r="3" spans="1:3">
      <c r="A3" s="213" t="s">
        <v>18</v>
      </c>
      <c r="B3" s="212" t="s">
        <v>19</v>
      </c>
      <c r="C3" s="212" t="s">
        <v>13</v>
      </c>
    </row>
    <row r="4" spans="1:3">
      <c r="A4" s="213"/>
      <c r="B4" s="212"/>
      <c r="C4" s="212"/>
    </row>
    <row r="5" spans="1:3">
      <c r="A5" s="213"/>
      <c r="B5" s="212"/>
      <c r="C5" s="212"/>
    </row>
    <row r="6" spans="1:3">
      <c r="A6" s="1">
        <v>1</v>
      </c>
      <c r="B6" s="1">
        <v>71</v>
      </c>
      <c r="C6" s="1">
        <v>723</v>
      </c>
    </row>
    <row r="7" spans="1:3">
      <c r="A7" s="1">
        <v>2</v>
      </c>
      <c r="B7" s="1">
        <v>68</v>
      </c>
      <c r="C7" s="1">
        <v>752</v>
      </c>
    </row>
    <row r="8" spans="1:3">
      <c r="A8" s="1">
        <f>A7+1</f>
        <v>3</v>
      </c>
      <c r="B8" s="1">
        <v>63</v>
      </c>
      <c r="C8" s="1">
        <v>606</v>
      </c>
    </row>
    <row r="9" spans="1:3">
      <c r="A9" s="1">
        <f>A8+1</f>
        <v>4</v>
      </c>
      <c r="B9" s="1">
        <v>67</v>
      </c>
      <c r="C9" s="1">
        <v>584</v>
      </c>
    </row>
    <row r="10" spans="1:3">
      <c r="A10" s="1">
        <f t="shared" ref="A10:A35" si="0">A9+1</f>
        <v>5</v>
      </c>
      <c r="B10" s="1">
        <v>55</v>
      </c>
      <c r="C10" s="1">
        <v>553</v>
      </c>
    </row>
    <row r="11" spans="1:3">
      <c r="A11" s="1">
        <f t="shared" si="0"/>
        <v>6</v>
      </c>
      <c r="B11" s="1">
        <v>48</v>
      </c>
      <c r="C11" s="1">
        <v>753</v>
      </c>
    </row>
    <row r="12" spans="1:3">
      <c r="A12" s="1">
        <f t="shared" si="0"/>
        <v>7</v>
      </c>
      <c r="B12" s="1">
        <v>51</v>
      </c>
      <c r="C12" s="1">
        <v>596</v>
      </c>
    </row>
    <row r="13" spans="1:3">
      <c r="A13" s="1">
        <f t="shared" si="0"/>
        <v>8</v>
      </c>
      <c r="B13" s="1">
        <v>38</v>
      </c>
      <c r="C13" s="1">
        <v>460</v>
      </c>
    </row>
    <row r="14" spans="1:3">
      <c r="A14" s="1">
        <f t="shared" si="0"/>
        <v>9</v>
      </c>
      <c r="B14" s="1">
        <v>30</v>
      </c>
      <c r="C14" s="1">
        <v>358</v>
      </c>
    </row>
    <row r="15" spans="1:3">
      <c r="A15" s="1">
        <f t="shared" si="0"/>
        <v>10</v>
      </c>
      <c r="B15" s="1">
        <v>36</v>
      </c>
      <c r="C15" s="1">
        <v>315</v>
      </c>
    </row>
    <row r="16" spans="1:3">
      <c r="A16" s="1">
        <f t="shared" si="0"/>
        <v>11</v>
      </c>
      <c r="B16" s="1">
        <v>56</v>
      </c>
      <c r="C16" s="1">
        <v>403</v>
      </c>
    </row>
    <row r="17" spans="1:3">
      <c r="A17" s="1">
        <f t="shared" si="0"/>
        <v>12</v>
      </c>
      <c r="B17" s="1">
        <v>48</v>
      </c>
      <c r="C17" s="1">
        <v>477</v>
      </c>
    </row>
    <row r="18" spans="1:3">
      <c r="A18" s="1">
        <f t="shared" si="0"/>
        <v>13</v>
      </c>
      <c r="B18" s="1">
        <v>48</v>
      </c>
      <c r="C18" s="1">
        <v>373</v>
      </c>
    </row>
    <row r="19" spans="1:3">
      <c r="A19" s="1">
        <f t="shared" si="0"/>
        <v>14</v>
      </c>
      <c r="B19" s="1">
        <v>50</v>
      </c>
      <c r="C19" s="1">
        <v>466</v>
      </c>
    </row>
    <row r="20" spans="1:3">
      <c r="A20" s="1">
        <f t="shared" si="0"/>
        <v>15</v>
      </c>
      <c r="B20" s="1">
        <v>31</v>
      </c>
      <c r="C20" s="1">
        <v>451</v>
      </c>
    </row>
    <row r="21" spans="1:3">
      <c r="A21" s="1">
        <f t="shared" si="0"/>
        <v>16</v>
      </c>
      <c r="B21" s="1">
        <v>38</v>
      </c>
      <c r="C21" s="1">
        <v>334</v>
      </c>
    </row>
    <row r="22" spans="1:3">
      <c r="A22" s="1">
        <f t="shared" si="0"/>
        <v>17</v>
      </c>
      <c r="B22" s="1">
        <v>35</v>
      </c>
      <c r="C22" s="1">
        <v>319</v>
      </c>
    </row>
    <row r="23" spans="1:3">
      <c r="A23" s="1">
        <f t="shared" si="0"/>
        <v>18</v>
      </c>
      <c r="B23" s="1">
        <v>40</v>
      </c>
      <c r="C23" s="1">
        <v>314</v>
      </c>
    </row>
    <row r="24" spans="1:3">
      <c r="A24" s="1">
        <f t="shared" si="0"/>
        <v>19</v>
      </c>
      <c r="B24" s="1">
        <v>39</v>
      </c>
      <c r="C24" s="1">
        <v>342</v>
      </c>
    </row>
    <row r="25" spans="1:3">
      <c r="A25" s="1">
        <f t="shared" si="0"/>
        <v>20</v>
      </c>
      <c r="B25" s="1">
        <v>38</v>
      </c>
      <c r="C25" s="1">
        <v>469</v>
      </c>
    </row>
    <row r="26" spans="1:3">
      <c r="A26" s="1">
        <f t="shared" si="0"/>
        <v>21</v>
      </c>
      <c r="B26" s="1">
        <v>31</v>
      </c>
      <c r="C26" s="1">
        <v>414</v>
      </c>
    </row>
    <row r="27" spans="1:3">
      <c r="A27" s="1">
        <f t="shared" si="0"/>
        <v>22</v>
      </c>
      <c r="B27" s="1">
        <v>35</v>
      </c>
      <c r="C27" s="1">
        <v>398</v>
      </c>
    </row>
    <row r="28" spans="1:3">
      <c r="A28" s="1">
        <f t="shared" si="0"/>
        <v>23</v>
      </c>
      <c r="B28" s="1">
        <v>54</v>
      </c>
      <c r="C28" s="1">
        <v>432</v>
      </c>
    </row>
    <row r="29" spans="1:3">
      <c r="A29" s="1">
        <f t="shared" si="0"/>
        <v>24</v>
      </c>
      <c r="B29" s="1">
        <v>52</v>
      </c>
      <c r="C29" s="1">
        <v>431</v>
      </c>
    </row>
    <row r="30" spans="1:3">
      <c r="A30" s="1">
        <f t="shared" si="0"/>
        <v>25</v>
      </c>
      <c r="B30" s="1">
        <v>50</v>
      </c>
      <c r="C30" s="1">
        <v>351</v>
      </c>
    </row>
    <row r="31" spans="1:3">
      <c r="A31" s="1">
        <f t="shared" si="0"/>
        <v>26</v>
      </c>
      <c r="B31" s="1">
        <v>51</v>
      </c>
      <c r="C31" s="1">
        <v>420</v>
      </c>
    </row>
    <row r="32" spans="1:3">
      <c r="A32" s="1">
        <f t="shared" si="0"/>
        <v>27</v>
      </c>
      <c r="B32" s="1">
        <v>78</v>
      </c>
      <c r="C32" s="1">
        <v>559</v>
      </c>
    </row>
    <row r="33" spans="1:3">
      <c r="A33" s="1">
        <f t="shared" si="0"/>
        <v>28</v>
      </c>
      <c r="B33" s="1">
        <v>96</v>
      </c>
      <c r="C33" s="1">
        <v>684</v>
      </c>
    </row>
    <row r="34" spans="1:3">
      <c r="A34" s="1">
        <f t="shared" si="0"/>
        <v>29</v>
      </c>
      <c r="B34" s="1">
        <v>98</v>
      </c>
      <c r="C34" s="1">
        <v>720</v>
      </c>
    </row>
    <row r="35" spans="1:3">
      <c r="A35" s="1">
        <f t="shared" si="0"/>
        <v>30</v>
      </c>
      <c r="B35" s="1">
        <v>96</v>
      </c>
      <c r="C35" s="1">
        <v>695</v>
      </c>
    </row>
    <row r="36" spans="1:3">
      <c r="A36" s="1"/>
      <c r="B36" s="1"/>
      <c r="C36" s="1"/>
    </row>
    <row r="38" spans="1:3">
      <c r="B38" s="5">
        <f>SUM(B6:B36)</f>
        <v>1591</v>
      </c>
      <c r="C38" s="5">
        <f>SUM(C6:C36)</f>
        <v>14752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  <_Flow_SignoffStatus xmlns="2e11796f-5f26-4c51-a1e5-22e0f1616a7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/>
</file>

<file path=customXml/itemProps2.xml><?xml version="1.0" encoding="utf-8"?>
<ds:datastoreItem xmlns:ds="http://schemas.openxmlformats.org/officeDocument/2006/customXml" ds:itemID="{5AD9010F-6A0C-4328-A0AE-421E00B51B79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2023-02-23T11:26:57Z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1892600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