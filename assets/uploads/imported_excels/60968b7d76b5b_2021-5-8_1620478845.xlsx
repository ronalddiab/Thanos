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02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204583F2-D696-424B-93E1-10DD25A26256}" xr6:coauthVersionLast="47" xr6:coauthVersionMax="47" xr10:uidLastSave="{00000000-0000-0000-0000-000000000000}"/>
  <bookViews>
    <workbookView xWindow="-120" yWindow="-120" windowWidth="15600" windowHeight="11760" tabRatio="598" firstSheet="4" activeTab="4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L15" i="8"/>
  <c r="W35" i="4"/>
  <c r="U35" i="4"/>
  <c r="S35" i="4"/>
  <c r="Q35" i="4"/>
  <c r="O35" i="4"/>
  <c r="M35" i="4"/>
  <c r="K35" i="4"/>
  <c r="W34" i="4"/>
  <c r="U34" i="4"/>
  <c r="S34" i="4"/>
  <c r="Q34" i="4"/>
  <c r="O34" i="4"/>
  <c r="M34" i="4"/>
  <c r="K34" i="4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6" i="4"/>
  <c r="Q6" i="4"/>
  <c r="O6" i="4"/>
  <c r="O36" i="4" s="1"/>
  <c r="M6" i="4"/>
  <c r="M36" i="4"/>
  <c r="K6" i="4"/>
  <c r="K29" i="9"/>
  <c r="K30" i="9"/>
  <c r="K31" i="9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C32" i="5"/>
  <c r="E32" i="5"/>
  <c r="K30" i="8" s="1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Y32" i="5"/>
  <c r="U30" i="8"/>
  <c r="AA32" i="5"/>
  <c r="V30" i="8"/>
  <c r="AC32" i="5"/>
  <c r="AF32" i="5"/>
  <c r="C33" i="5"/>
  <c r="J31" i="8"/>
  <c r="E33" i="5"/>
  <c r="K31" i="8" s="1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H35" i="4"/>
  <c r="I31" i="8" s="1"/>
  <c r="H34" i="4"/>
  <c r="I30" i="8" s="1"/>
  <c r="H33" i="4"/>
  <c r="I29" i="8" s="1"/>
  <c r="D35" i="4"/>
  <c r="D34" i="4"/>
  <c r="D33" i="4"/>
  <c r="W29" i="8"/>
  <c r="W30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M10" i="8"/>
  <c r="L2" i="8"/>
  <c r="U29" i="8"/>
  <c r="X29" i="8"/>
  <c r="X30" i="8"/>
  <c r="W31" i="8"/>
  <c r="X31" i="8"/>
  <c r="N29" i="8"/>
  <c r="M29" i="8"/>
  <c r="C33" i="3"/>
  <c r="E30" i="8"/>
  <c r="I30" i="9"/>
  <c r="C34" i="3"/>
  <c r="E31" i="8"/>
  <c r="I31" i="9"/>
  <c r="J30" i="8"/>
  <c r="D6" i="4"/>
  <c r="F35" i="4"/>
  <c r="H31" i="8" s="1"/>
  <c r="F33" i="4"/>
  <c r="H29" i="8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" i="9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T30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6" i="4"/>
  <c r="I27" i="4"/>
  <c r="F2" i="8"/>
  <c r="Q36" i="4"/>
  <c r="I7" i="4"/>
  <c r="I30" i="4"/>
  <c r="I32" i="4"/>
  <c r="Q31" i="8"/>
  <c r="I27" i="9"/>
  <c r="F4" i="8"/>
  <c r="I11" i="9"/>
  <c r="AD14" i="5"/>
  <c r="AD21" i="5"/>
  <c r="AD12" i="5"/>
  <c r="AD7" i="5"/>
  <c r="I15" i="9"/>
  <c r="I12" i="9"/>
  <c r="I8" i="9"/>
  <c r="C35" i="3"/>
  <c r="I20" i="4"/>
  <c r="I2" i="8"/>
  <c r="I19" i="4"/>
  <c r="I8" i="4"/>
  <c r="I23" i="4"/>
  <c r="E35" i="3"/>
  <c r="I7" i="9"/>
  <c r="I23" i="9"/>
  <c r="I16" i="9"/>
  <c r="I19" i="9"/>
  <c r="I3" i="9"/>
  <c r="AD20" i="5"/>
  <c r="AD30" i="5"/>
  <c r="AD33" i="5"/>
  <c r="AD25" i="5"/>
  <c r="R23" i="8"/>
  <c r="G23" i="9"/>
  <c r="AD15" i="5"/>
  <c r="AD6" i="5"/>
  <c r="AD27" i="5"/>
  <c r="G31" i="9"/>
  <c r="AD29" i="5"/>
  <c r="AD23" i="5"/>
  <c r="AD28" i="5"/>
  <c r="AD18" i="5"/>
  <c r="G24" i="9"/>
  <c r="G30" i="9"/>
  <c r="AD26" i="5"/>
  <c r="AD8" i="5"/>
  <c r="G27" i="9"/>
  <c r="G25" i="9"/>
  <c r="G22" i="9"/>
  <c r="AD4" i="5"/>
  <c r="AD9" i="5"/>
  <c r="G9" i="9"/>
  <c r="M21" i="8"/>
  <c r="G21" i="9"/>
  <c r="G26" i="9"/>
  <c r="AD10" i="5"/>
  <c r="AD32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6" i="4"/>
  <c r="W36" i="4"/>
  <c r="I10" i="4"/>
  <c r="E2" i="9"/>
  <c r="I25" i="4"/>
  <c r="I24" i="4"/>
  <c r="F36" i="4"/>
  <c r="I15" i="4"/>
  <c r="I34" i="4"/>
  <c r="I18" i="4"/>
  <c r="G2" i="8"/>
  <c r="I13" i="4"/>
  <c r="D36" i="4"/>
  <c r="I17" i="4"/>
  <c r="I14" i="4"/>
  <c r="I9" i="4"/>
  <c r="I35" i="4"/>
  <c r="I22" i="4"/>
  <c r="G19" i="9"/>
  <c r="G20" i="9"/>
  <c r="H36" i="4"/>
  <c r="J12" i="8"/>
  <c r="G12" i="9"/>
  <c r="I36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I28" i="4"/>
  <c r="I33" i="4"/>
</calcChain>
</file>

<file path=xl/sharedStrings.xml><?xml version="1.0" encoding="utf-8"?>
<sst xmlns="http://schemas.openxmlformats.org/spreadsheetml/2006/main" count="184" uniqueCount="74">
  <si>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</si>
  <si>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</si>
  <si>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</si>
  <si>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</si>
  <si>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</si>
  <si>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</si>
  <si>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</si>
  <si>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</si>
  <si>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</si>
  <si>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</si>
  <si>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</si>
  <si>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</si>
  <si>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</si>
  <si>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</si>
  <si>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</si>
  <si>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</si>
  <si>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</si>
  <si>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</si>
  <si>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</si>
  <si>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</si>
  <si>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</si>
  <si>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</si>
  <si>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</si>
  <si>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</si>
  <si>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</si>
  <si>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</si>
  <si>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</si>
  <si>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</si>
  <si>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</si>
  <si>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</si>
  <si>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</si>
  <si>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</si>
  <si>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APR 2021</t>
  </si>
  <si>
    <t>Main Reading</t>
  </si>
  <si>
    <t>Cons.</t>
  </si>
  <si>
    <t>Beach Water</t>
  </si>
  <si>
    <t>Last</t>
  </si>
  <si>
    <t>Total</t>
  </si>
  <si>
    <t>Feeders and transformers Electrity cons.  APR 21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</si>
  <si>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</si>
  <si>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</si>
  <si>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</si>
  <si>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</si>
  <si>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</si>
  <si>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</si>
  <si>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</si>
  <si>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</si>
  <si>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</si>
  <si>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</si>
  <si>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</si>
  <si>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</si>
  <si>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</si>
  <si>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</si>
  <si>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</si>
  <si>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</si>
  <si>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</si>
  <si>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Gas Con. Apr 2021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</si>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</sst>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.000"/>
    <numFmt numFmtId="168" formatCode="[$-409]d\-mmm\-yy;@"/>
  </numFmts>
  <fonts count="3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indexed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40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9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31" fillId="10" borderId="60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5" xfId="2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9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8" fillId="11" borderId="42" xfId="2" applyFont="1" applyFill="1" applyBorder="1" applyAlignment="1">
      <alignment horizontal="center" vertical="center"/>
    </xf>
    <xf numFmtId="0" fontId="32" fillId="11" borderId="43" xfId="2" applyFont="1" applyFill="1" applyBorder="1" applyAlignment="1">
      <alignment horizontal="center" vertical="center"/>
    </xf>
    <xf numFmtId="0" fontId="32" fillId="11" borderId="44" xfId="2" applyFont="1" applyFill="1" applyBorder="1" applyAlignment="1">
      <alignment horizontal="center" vertical="center"/>
    </xf>
    <xf numFmtId="0" fontId="32" fillId="11" borderId="45" xfId="2" applyFont="1" applyFill="1" applyBorder="1" applyAlignment="1">
      <alignment horizontal="center" vertical="center"/>
    </xf>
    <xf numFmtId="0" fontId="33" fillId="11" borderId="40" xfId="2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8" fillId="11" borderId="50" xfId="2" applyFont="1" applyFill="1" applyBorder="1" applyAlignment="1">
      <alignment horizontal="center" vertical="center"/>
    </xf>
    <xf numFmtId="0" fontId="8" fillId="11" borderId="51" xfId="2" applyFont="1" applyFill="1" applyBorder="1" applyAlignment="1">
      <alignment horizontal="center" vertical="center"/>
    </xf>
    <xf numFmtId="0" fontId="8" fillId="11" borderId="52" xfId="2" applyFont="1" applyFill="1" applyBorder="1" applyAlignment="1">
      <alignment horizontal="center" vertical="center"/>
    </xf>
    <xf numFmtId="0" fontId="8" fillId="11" borderId="53" xfId="2" applyFont="1" applyFill="1" applyBorder="1" applyAlignment="1">
      <alignment horizontal="center" vertical="center"/>
    </xf>
    <xf numFmtId="0" fontId="10" fillId="8" borderId="32" xfId="5" applyFont="1" applyFill="1" applyBorder="1" applyAlignment="1">
      <alignment horizontal="center" vertical="center"/>
    </xf>
    <xf numFmtId="0" fontId="35" fillId="0" borderId="2" xfId="0" applyFont="1" applyBorder="1" applyAlignment="1">
      <alignment wrapText="1"/>
    </xf>
    <xf numFmtId="0" fontId="35" fillId="0" borderId="32" xfId="0" applyFont="1" applyBorder="1" applyAlignment="1">
      <alignment wrapText="1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5" fillId="12" borderId="32" xfId="0" applyFont="1" applyFill="1" applyBorder="1" applyAlignment="1">
      <alignment wrapText="1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164" fontId="5" fillId="0" borderId="54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8" fontId="28" fillId="8" borderId="9" xfId="0" applyNumberFormat="1" applyFont="1" applyFill="1" applyBorder="1" applyAlignment="1">
      <alignment horizontal="center" vertical="center"/>
    </xf>
    <xf numFmtId="0" fontId="36" fillId="13" borderId="61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34" fillId="13" borderId="61" xfId="0" applyFont="1" applyFill="1" applyBorder="1" applyAlignment="1">
      <alignment horizontal="center" vertical="center"/>
    </xf>
    <xf numFmtId="0" fontId="34" fillId="11" borderId="58" xfId="2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15" borderId="2" xfId="0" applyFont="1" applyFill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5" fillId="8" borderId="32" xfId="0" applyFont="1" applyFill="1" applyBorder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1"/>
  <sheetViews>
    <sheetView zoomScale="85" zoomScaleNormal="85" workbookViewId="0">
      <selection activeCell="A32" sqref="A32:XFD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4</v>
      </c>
      <c r="D2" s="14">
        <v>2021</v>
      </c>
      <c r="E2" s="7">
        <f>ELECT.!D6+ELECT.!F6+ELECT.!H6</f>
        <v>17198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1621</v>
      </c>
      <c r="H2" s="20">
        <v>3.6</v>
      </c>
      <c r="I2" s="7">
        <f>Submetering!E2+Water!E5</f>
        <v>478</v>
      </c>
      <c r="J2" s="20">
        <v>9.1</v>
      </c>
      <c r="K2" s="7">
        <f>ELECT.!B6</f>
        <v>19</v>
      </c>
    </row>
    <row r="3" spans="1:11">
      <c r="A3" s="11" t="s">
        <v>11</v>
      </c>
      <c r="B3" s="14">
        <f>B2+1</f>
        <v>2</v>
      </c>
      <c r="C3" s="14">
        <v>4</v>
      </c>
      <c r="D3" s="14">
        <v>2021</v>
      </c>
      <c r="E3" s="7">
        <f>ELECT.!D7+ELECT.!F7+ELECT.!H7</f>
        <v>18416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1814</v>
      </c>
      <c r="H3" s="20">
        <v>3.6</v>
      </c>
      <c r="I3" s="7">
        <f>Submetering!E3+Water!E6</f>
        <v>464</v>
      </c>
      <c r="J3" s="20">
        <v>9.1</v>
      </c>
      <c r="K3" s="7">
        <f>ELECT.!B7</f>
        <v>32</v>
      </c>
    </row>
    <row r="4" spans="1:11">
      <c r="A4" s="11" t="s">
        <v>11</v>
      </c>
      <c r="B4" s="14">
        <f t="shared" ref="B4:B31" si="0">B3+1</f>
        <v>3</v>
      </c>
      <c r="C4" s="14">
        <v>4</v>
      </c>
      <c r="D4" s="14">
        <v>2021</v>
      </c>
      <c r="E4" s="7">
        <f>ELECT.!D8+ELECT.!F8+ELECT.!H8</f>
        <v>17259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1599</v>
      </c>
      <c r="H4" s="20">
        <v>3.6</v>
      </c>
      <c r="I4" s="7">
        <f>Submetering!E4+Water!E7</f>
        <v>464</v>
      </c>
      <c r="J4" s="20">
        <v>9.1</v>
      </c>
      <c r="K4" s="7">
        <f>ELECT.!B8</f>
        <v>32</v>
      </c>
    </row>
    <row r="5" spans="1:11">
      <c r="A5" s="11" t="s">
        <v>11</v>
      </c>
      <c r="B5" s="14">
        <f t="shared" si="0"/>
        <v>4</v>
      </c>
      <c r="C5" s="14">
        <v>4</v>
      </c>
      <c r="D5" s="14">
        <v>2021</v>
      </c>
      <c r="E5" s="7">
        <f>ELECT.!D9+ELECT.!F9+ELECT.!H9</f>
        <v>18575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1616</v>
      </c>
      <c r="H5" s="20">
        <v>3.6</v>
      </c>
      <c r="I5" s="7">
        <f>Submetering!E5+Water!E8</f>
        <v>518</v>
      </c>
      <c r="J5" s="20">
        <v>9.1</v>
      </c>
      <c r="K5" s="7">
        <f>ELECT.!B9</f>
        <v>52</v>
      </c>
    </row>
    <row r="6" spans="1:11">
      <c r="A6" s="11" t="s">
        <v>11</v>
      </c>
      <c r="B6" s="14">
        <f t="shared" si="0"/>
        <v>5</v>
      </c>
      <c r="C6" s="14">
        <v>4</v>
      </c>
      <c r="D6" s="14">
        <v>2021</v>
      </c>
      <c r="E6" s="7">
        <f>ELECT.!D10+ELECT.!F10+ELECT.!H10</f>
        <v>15591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1641</v>
      </c>
      <c r="H6" s="20">
        <v>3.6</v>
      </c>
      <c r="I6" s="7">
        <f>Submetering!E6+Water!E9</f>
        <v>495</v>
      </c>
      <c r="J6" s="20">
        <v>9.1</v>
      </c>
      <c r="K6" s="7">
        <f>ELECT.!B10</f>
        <v>63</v>
      </c>
    </row>
    <row r="7" spans="1:11">
      <c r="A7" s="11" t="s">
        <v>11</v>
      </c>
      <c r="B7" s="14">
        <f t="shared" si="0"/>
        <v>6</v>
      </c>
      <c r="C7" s="14">
        <v>4</v>
      </c>
      <c r="D7" s="14">
        <v>2021</v>
      </c>
      <c r="E7" s="7">
        <f>ELECT.!D11+ELECT.!F11+ELECT.!H11</f>
        <v>21266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1646</v>
      </c>
      <c r="H7" s="20">
        <v>3.6</v>
      </c>
      <c r="I7" s="7">
        <f>Submetering!E7+Water!E10</f>
        <v>438</v>
      </c>
      <c r="J7" s="20">
        <v>9.1</v>
      </c>
      <c r="K7" s="7">
        <f>ELECT.!B11</f>
        <v>33</v>
      </c>
    </row>
    <row r="8" spans="1:11">
      <c r="A8" s="11" t="s">
        <v>11</v>
      </c>
      <c r="B8" s="14">
        <f t="shared" si="0"/>
        <v>7</v>
      </c>
      <c r="C8" s="14">
        <v>4</v>
      </c>
      <c r="D8" s="14">
        <v>2021</v>
      </c>
      <c r="E8" s="7">
        <f>ELECT.!D12+ELECT.!F12+ELECT.!H12</f>
        <v>18167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1848</v>
      </c>
      <c r="H8" s="20">
        <v>3.6</v>
      </c>
      <c r="I8" s="7">
        <f>Submetering!E8+Water!E11</f>
        <v>524</v>
      </c>
      <c r="J8" s="20">
        <v>9.1</v>
      </c>
      <c r="K8" s="7">
        <f>ELECT.!B12</f>
        <v>26</v>
      </c>
    </row>
    <row r="9" spans="1:11">
      <c r="A9" s="11" t="s">
        <v>11</v>
      </c>
      <c r="B9" s="14">
        <f t="shared" si="0"/>
        <v>8</v>
      </c>
      <c r="C9" s="14">
        <v>4</v>
      </c>
      <c r="D9" s="14">
        <v>2021</v>
      </c>
      <c r="E9" s="7">
        <f>ELECT.!D13+ELECT.!F13+ELECT.!H13</f>
        <v>17300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2024</v>
      </c>
      <c r="H9" s="20">
        <v>3.6</v>
      </c>
      <c r="I9" s="7">
        <f>Submetering!E9+Water!E12</f>
        <v>552</v>
      </c>
      <c r="J9" s="20">
        <v>9.1</v>
      </c>
      <c r="K9" s="7">
        <f>ELECT.!B13</f>
        <v>28</v>
      </c>
    </row>
    <row r="10" spans="1:11">
      <c r="A10" s="11" t="s">
        <v>11</v>
      </c>
      <c r="B10" s="14">
        <f t="shared" si="0"/>
        <v>9</v>
      </c>
      <c r="C10" s="14">
        <v>4</v>
      </c>
      <c r="D10" s="14">
        <v>2021</v>
      </c>
      <c r="E10" s="7">
        <f>ELECT.!D14+ELECT.!F14+ELECT.!H14</f>
        <v>17330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1635</v>
      </c>
      <c r="H10" s="20">
        <v>3.6</v>
      </c>
      <c r="I10" s="7">
        <f>Submetering!E10+Water!E13</f>
        <v>552</v>
      </c>
      <c r="J10" s="20">
        <v>9.1</v>
      </c>
      <c r="K10" s="7">
        <f>ELECT.!B14</f>
        <v>43</v>
      </c>
    </row>
    <row r="11" spans="1:11">
      <c r="A11" s="11" t="s">
        <v>11</v>
      </c>
      <c r="B11" s="14">
        <f t="shared" si="0"/>
        <v>10</v>
      </c>
      <c r="C11" s="14">
        <v>4</v>
      </c>
      <c r="D11" s="14">
        <v>2021</v>
      </c>
      <c r="E11" s="7">
        <f>ELECT.!D15+ELECT.!F15+ELECT.!H15</f>
        <v>19916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2017</v>
      </c>
      <c r="H11" s="20">
        <v>3.6</v>
      </c>
      <c r="I11" s="7">
        <f>Submetering!E11+Water!E14</f>
        <v>495</v>
      </c>
      <c r="J11" s="20">
        <v>9.1</v>
      </c>
      <c r="K11" s="7">
        <f>ELECT.!B15</f>
        <v>60</v>
      </c>
    </row>
    <row r="12" spans="1:11">
      <c r="A12" s="11" t="s">
        <v>11</v>
      </c>
      <c r="B12" s="14">
        <f t="shared" si="0"/>
        <v>11</v>
      </c>
      <c r="C12" s="14">
        <v>4</v>
      </c>
      <c r="D12" s="14">
        <v>2021</v>
      </c>
      <c r="E12" s="7">
        <f>ELECT.!D16+ELECT.!F16+ELECT.!H16</f>
        <v>16123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1765</v>
      </c>
      <c r="H12" s="20">
        <v>3.6</v>
      </c>
      <c r="I12" s="7">
        <f>Submetering!E12+Water!E15</f>
        <v>554</v>
      </c>
      <c r="J12" s="20">
        <v>9.1</v>
      </c>
      <c r="K12" s="7">
        <f>ELECT.!B16</f>
        <v>77</v>
      </c>
    </row>
    <row r="13" spans="1:11">
      <c r="A13" s="11" t="s">
        <v>11</v>
      </c>
      <c r="B13" s="14">
        <f t="shared" si="0"/>
        <v>12</v>
      </c>
      <c r="C13" s="14">
        <v>4</v>
      </c>
      <c r="D13" s="14">
        <v>2021</v>
      </c>
      <c r="E13" s="7">
        <f>ELECT.!D17+ELECT.!F17+ELECT.!H17</f>
        <v>16173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1600</v>
      </c>
      <c r="H13" s="20">
        <v>3.6</v>
      </c>
      <c r="I13" s="7">
        <f>Submetering!E13+Water!E16</f>
        <v>504</v>
      </c>
      <c r="J13" s="20">
        <v>9.1</v>
      </c>
      <c r="K13" s="7">
        <f>ELECT.!B17</f>
        <v>77</v>
      </c>
    </row>
    <row r="14" spans="1:11">
      <c r="A14" s="11" t="s">
        <v>11</v>
      </c>
      <c r="B14" s="14">
        <f t="shared" si="0"/>
        <v>13</v>
      </c>
      <c r="C14" s="14">
        <v>4</v>
      </c>
      <c r="D14" s="14">
        <v>2021</v>
      </c>
      <c r="E14" s="7">
        <f>ELECT.!D18+ELECT.!F18+ELECT.!H18</f>
        <v>15755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1433</v>
      </c>
      <c r="H14" s="20">
        <v>3.6</v>
      </c>
      <c r="I14" s="7">
        <f>Submetering!E14+Water!E17</f>
        <v>400</v>
      </c>
      <c r="J14" s="20">
        <v>9.1</v>
      </c>
      <c r="K14" s="7">
        <f>ELECT.!B18</f>
        <v>39</v>
      </c>
    </row>
    <row r="15" spans="1:11">
      <c r="A15" s="11" t="s">
        <v>11</v>
      </c>
      <c r="B15" s="14">
        <f t="shared" si="0"/>
        <v>14</v>
      </c>
      <c r="C15" s="14">
        <v>4</v>
      </c>
      <c r="D15" s="14">
        <v>2021</v>
      </c>
      <c r="E15" s="7">
        <f>ELECT.!D19+ELECT.!F19+ELECT.!H19</f>
        <v>13778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1276</v>
      </c>
      <c r="H15" s="20">
        <v>3.6</v>
      </c>
      <c r="I15" s="7">
        <f>Submetering!E15+Water!E18</f>
        <v>479</v>
      </c>
      <c r="J15" s="20">
        <v>9.1</v>
      </c>
      <c r="K15" s="7">
        <f>ELECT.!B19</f>
        <v>35</v>
      </c>
    </row>
    <row r="16" spans="1:11">
      <c r="A16" s="11" t="s">
        <v>11</v>
      </c>
      <c r="B16" s="14">
        <f t="shared" si="0"/>
        <v>15</v>
      </c>
      <c r="C16" s="14">
        <v>4</v>
      </c>
      <c r="D16" s="14">
        <v>2021</v>
      </c>
      <c r="E16" s="7">
        <f>ELECT.!D20+ELECT.!F20+ELECT.!H20</f>
        <v>13894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1254</v>
      </c>
      <c r="H16" s="20">
        <v>3.6</v>
      </c>
      <c r="I16" s="7">
        <f>Submetering!E16+Water!E19</f>
        <v>489</v>
      </c>
      <c r="J16" s="20">
        <v>9.1</v>
      </c>
      <c r="K16" s="7">
        <f>ELECT.!B20</f>
        <v>27</v>
      </c>
    </row>
    <row r="17" spans="1:11">
      <c r="A17" s="11" t="s">
        <v>11</v>
      </c>
      <c r="B17" s="14">
        <f t="shared" si="0"/>
        <v>16</v>
      </c>
      <c r="C17" s="14">
        <v>4</v>
      </c>
      <c r="D17" s="14">
        <v>2021</v>
      </c>
      <c r="E17" s="7">
        <f>ELECT.!D21+ELECT.!F21+ELECT.!H21</f>
        <v>16439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1285</v>
      </c>
      <c r="H17" s="20">
        <v>3.6</v>
      </c>
      <c r="I17" s="7">
        <f>Submetering!E17+Water!E20</f>
        <v>573</v>
      </c>
      <c r="J17" s="20">
        <v>9.1</v>
      </c>
      <c r="K17" s="7">
        <f>ELECT.!B21</f>
        <v>34</v>
      </c>
    </row>
    <row r="18" spans="1:11">
      <c r="A18" s="11" t="s">
        <v>11</v>
      </c>
      <c r="B18" s="14">
        <f t="shared" si="0"/>
        <v>17</v>
      </c>
      <c r="C18" s="14">
        <v>4</v>
      </c>
      <c r="D18" s="14">
        <v>2021</v>
      </c>
      <c r="E18" s="7">
        <f>ELECT.!D22+ELECT.!F22+ELECT.!H22</f>
        <v>12937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1294</v>
      </c>
      <c r="H18" s="20">
        <v>3.6</v>
      </c>
      <c r="I18" s="7">
        <f>Submetering!E18+Water!E21</f>
        <v>592</v>
      </c>
      <c r="J18" s="20">
        <v>9.1</v>
      </c>
      <c r="K18" s="7">
        <f>ELECT.!B22</f>
        <v>50</v>
      </c>
    </row>
    <row r="19" spans="1:11">
      <c r="A19" s="11" t="s">
        <v>11</v>
      </c>
      <c r="B19" s="14">
        <f t="shared" si="0"/>
        <v>18</v>
      </c>
      <c r="C19" s="14">
        <v>4</v>
      </c>
      <c r="D19" s="14">
        <v>2021</v>
      </c>
      <c r="E19" s="7">
        <f>ELECT.!D23+ELECT.!F23+ELECT.!H23</f>
        <v>14774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1354</v>
      </c>
      <c r="H19" s="20">
        <v>3.6</v>
      </c>
      <c r="I19" s="7">
        <f>Submetering!E19+Water!E22</f>
        <v>526</v>
      </c>
      <c r="J19" s="20">
        <v>9.1</v>
      </c>
      <c r="K19" s="7">
        <f>ELECT.!B23</f>
        <v>77</v>
      </c>
    </row>
    <row r="20" spans="1:11">
      <c r="A20" s="11" t="s">
        <v>11</v>
      </c>
      <c r="B20" s="14">
        <f t="shared" si="0"/>
        <v>19</v>
      </c>
      <c r="C20" s="14">
        <v>4</v>
      </c>
      <c r="D20" s="14">
        <v>2021</v>
      </c>
      <c r="E20" s="7">
        <f>ELECT.!D24+ELECT.!F24+ELECT.!H24</f>
        <v>15577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935</v>
      </c>
      <c r="H20" s="20">
        <v>3.6</v>
      </c>
      <c r="I20" s="7">
        <f>Submetering!E20+Water!E23</f>
        <v>514</v>
      </c>
      <c r="J20" s="20">
        <v>9.1</v>
      </c>
      <c r="K20" s="7">
        <f>ELECT.!B24</f>
        <v>77</v>
      </c>
    </row>
    <row r="21" spans="1:11">
      <c r="A21" s="11" t="s">
        <v>11</v>
      </c>
      <c r="B21" s="14">
        <f t="shared" si="0"/>
        <v>20</v>
      </c>
      <c r="C21" s="14">
        <v>4</v>
      </c>
      <c r="D21" s="14">
        <v>2021</v>
      </c>
      <c r="E21" s="7">
        <f>ELECT.!D25+ELECT.!F25+ELECT.!H25</f>
        <v>16334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1369</v>
      </c>
      <c r="H21" s="20">
        <v>3.6</v>
      </c>
      <c r="I21" s="7">
        <f>Submetering!E21+Water!E24</f>
        <v>547</v>
      </c>
      <c r="J21" s="20">
        <v>9.1</v>
      </c>
      <c r="K21" s="7">
        <f>ELECT.!B25</f>
        <v>46</v>
      </c>
    </row>
    <row r="22" spans="1:11">
      <c r="A22" s="11" t="s">
        <v>11</v>
      </c>
      <c r="B22" s="14">
        <f t="shared" si="0"/>
        <v>21</v>
      </c>
      <c r="C22" s="14">
        <v>4</v>
      </c>
      <c r="D22" s="14">
        <v>2021</v>
      </c>
      <c r="E22" s="7">
        <f>ELECT.!D26+ELECT.!F26+ELECT.!H26</f>
        <v>15014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1536</v>
      </c>
      <c r="H22" s="20">
        <v>3.6</v>
      </c>
      <c r="I22" s="7">
        <f>Submetering!E22+Water!E25</f>
        <v>573</v>
      </c>
      <c r="J22" s="20">
        <v>9.1</v>
      </c>
      <c r="K22" s="7">
        <f>ELECT.!B26</f>
        <v>42</v>
      </c>
    </row>
    <row r="23" spans="1:11">
      <c r="A23" s="11" t="s">
        <v>11</v>
      </c>
      <c r="B23" s="14">
        <f t="shared" si="0"/>
        <v>22</v>
      </c>
      <c r="C23" s="14">
        <v>4</v>
      </c>
      <c r="D23" s="14">
        <v>2021</v>
      </c>
      <c r="E23" s="7">
        <f>ELECT.!D27+ELECT.!F27+ELECT.!H27</f>
        <v>16524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1430</v>
      </c>
      <c r="H23" s="20">
        <v>3.6</v>
      </c>
      <c r="I23" s="7">
        <f>Submetering!E23+Water!E26</f>
        <v>526</v>
      </c>
      <c r="J23" s="20">
        <v>9.1</v>
      </c>
      <c r="K23" s="7">
        <f>ELECT.!B27</f>
        <v>52</v>
      </c>
    </row>
    <row r="24" spans="1:11">
      <c r="A24" s="11" t="s">
        <v>11</v>
      </c>
      <c r="B24" s="14">
        <f t="shared" si="0"/>
        <v>23</v>
      </c>
      <c r="C24" s="14">
        <v>4</v>
      </c>
      <c r="D24" s="14">
        <v>2021</v>
      </c>
      <c r="E24" s="7">
        <f>ELECT.!D28+ELECT.!F28+ELECT.!H28</f>
        <v>15062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1398</v>
      </c>
      <c r="H24" s="20">
        <v>3.6</v>
      </c>
      <c r="I24" s="7">
        <f>Submetering!E24+Water!E27</f>
        <v>781</v>
      </c>
      <c r="J24" s="20">
        <v>9.1</v>
      </c>
      <c r="K24" s="7">
        <f>ELECT.!B28</f>
        <v>46</v>
      </c>
    </row>
    <row r="25" spans="1:11">
      <c r="A25" s="11" t="s">
        <v>11</v>
      </c>
      <c r="B25" s="14">
        <f t="shared" si="0"/>
        <v>24</v>
      </c>
      <c r="C25" s="14">
        <v>4</v>
      </c>
      <c r="D25" s="14">
        <v>2021</v>
      </c>
      <c r="E25" s="7">
        <f>ELECT.!D29+ELECT.!F29+ELECT.!H29</f>
        <v>13729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1434</v>
      </c>
      <c r="H25" s="20">
        <v>3.6</v>
      </c>
      <c r="I25" s="7">
        <f>Submetering!E25+Water!E28</f>
        <v>680</v>
      </c>
      <c r="J25" s="20">
        <v>9.1</v>
      </c>
      <c r="K25" s="7">
        <f>ELECT.!B29</f>
        <v>64</v>
      </c>
    </row>
    <row r="26" spans="1:11">
      <c r="A26" s="11" t="s">
        <v>11</v>
      </c>
      <c r="B26" s="14">
        <f>B25+1</f>
        <v>25</v>
      </c>
      <c r="C26" s="14">
        <v>4</v>
      </c>
      <c r="D26" s="14">
        <v>2021</v>
      </c>
      <c r="E26" s="7">
        <f>ELECT.!D30+ELECT.!F30+ELECT.!H30</f>
        <v>13404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1716</v>
      </c>
      <c r="H26" s="20">
        <v>3.6</v>
      </c>
      <c r="I26" s="7">
        <f>Submetering!E26+Water!E29</f>
        <v>812</v>
      </c>
      <c r="J26" s="20">
        <v>9.1</v>
      </c>
      <c r="K26" s="7">
        <f>ELECT.!B30</f>
        <v>40</v>
      </c>
    </row>
    <row r="27" spans="1:11">
      <c r="A27" s="11" t="s">
        <v>11</v>
      </c>
      <c r="B27" s="14">
        <f t="shared" si="0"/>
        <v>26</v>
      </c>
      <c r="C27" s="14">
        <v>4</v>
      </c>
      <c r="D27" s="14">
        <v>2021</v>
      </c>
      <c r="E27" s="7">
        <f>ELECT.!D31+ELECT.!F31+ELECT.!H31</f>
        <v>16078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1257</v>
      </c>
      <c r="H27" s="20">
        <v>3.6</v>
      </c>
      <c r="I27" s="7">
        <f>Submetering!E27+Water!E30</f>
        <v>787</v>
      </c>
      <c r="J27" s="20">
        <v>9.1</v>
      </c>
      <c r="K27" s="7">
        <f>ELECT.!B31</f>
        <v>69</v>
      </c>
    </row>
    <row r="28" spans="1:11">
      <c r="A28" s="11" t="s">
        <v>11</v>
      </c>
      <c r="B28" s="14">
        <f t="shared" si="0"/>
        <v>27</v>
      </c>
      <c r="C28" s="14">
        <v>4</v>
      </c>
      <c r="D28" s="14">
        <v>2021</v>
      </c>
      <c r="E28" s="7">
        <f>ELECT.!D32+ELECT.!F32+ELECT.!H32</f>
        <v>15110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1302</v>
      </c>
      <c r="H28" s="20">
        <v>3.6</v>
      </c>
      <c r="I28" s="7">
        <f>Submetering!E28+Water!E31</f>
        <v>788</v>
      </c>
      <c r="J28" s="20">
        <v>9.1</v>
      </c>
      <c r="K28" s="7">
        <f>ELECT.!B32</f>
        <v>45</v>
      </c>
    </row>
    <row r="29" spans="1:11">
      <c r="A29" s="11" t="s">
        <v>11</v>
      </c>
      <c r="B29" s="14">
        <f t="shared" si="0"/>
        <v>28</v>
      </c>
      <c r="C29" s="14">
        <v>4</v>
      </c>
      <c r="D29" s="14">
        <v>2021</v>
      </c>
      <c r="E29" s="7">
        <f>ELECT.!D33+ELECT.!F33+ELECT.!H33</f>
        <v>20826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1327</v>
      </c>
      <c r="H29" s="20">
        <v>3.6</v>
      </c>
      <c r="I29" s="7">
        <f>Submetering!E29+Water!E32</f>
        <v>611</v>
      </c>
      <c r="J29" s="20">
        <v>9.1</v>
      </c>
      <c r="K29" s="7">
        <f>ELECT.!B33</f>
        <v>36</v>
      </c>
    </row>
    <row r="30" spans="1:11">
      <c r="A30" s="11" t="s">
        <v>11</v>
      </c>
      <c r="B30" s="14">
        <f t="shared" si="0"/>
        <v>29</v>
      </c>
      <c r="C30" s="14">
        <v>4</v>
      </c>
      <c r="D30" s="14">
        <v>2021</v>
      </c>
      <c r="E30" s="7">
        <f>ELECT.!D34+ELECT.!F34+ELECT.!H34</f>
        <v>20243</v>
      </c>
      <c r="F30" s="19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1316</v>
      </c>
      <c r="H30" s="20">
        <v>3.6</v>
      </c>
      <c r="I30" s="7">
        <f>Submetering!E30+Water!E33</f>
        <v>757</v>
      </c>
      <c r="J30" s="20">
        <v>9.1</v>
      </c>
      <c r="K30" s="7">
        <f>ELECT.!B34</f>
        <v>42</v>
      </c>
    </row>
    <row r="31" spans="1:11">
      <c r="A31" s="11" t="s">
        <v>11</v>
      </c>
      <c r="B31" s="14">
        <f t="shared" si="0"/>
        <v>30</v>
      </c>
      <c r="C31" s="14">
        <v>4</v>
      </c>
      <c r="D31" s="14">
        <v>2021</v>
      </c>
      <c r="E31" s="7">
        <f>ELECT.!D35+ELECT.!F35+ELECT.!H35</f>
        <v>21776</v>
      </c>
      <c r="F31" s="19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1828</v>
      </c>
      <c r="H31" s="20">
        <v>3.6</v>
      </c>
      <c r="I31" s="7">
        <f>Submetering!E31+Water!E34</f>
        <v>544</v>
      </c>
      <c r="J31" s="20">
        <v>9.1</v>
      </c>
      <c r="K31" s="7">
        <f>ELECT.!B35</f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1"/>
  <sheetViews>
    <sheetView zoomScale="85" zoomScaleNormal="85" workbookViewId="0">
      <selection activeCell="A32" sqref="A32:XFD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4</v>
      </c>
      <c r="D2" s="14">
        <v>2021</v>
      </c>
      <c r="E2" s="7">
        <f>Water!C5</f>
        <v>180</v>
      </c>
      <c r="F2" s="7">
        <f>Water!E5</f>
        <v>298</v>
      </c>
      <c r="G2" s="7">
        <f>ELECT.!D6</f>
        <v>3863</v>
      </c>
      <c r="H2" s="7">
        <f>ELECT.!F6</f>
        <v>7426</v>
      </c>
      <c r="I2" s="7">
        <f>ELECT.!H6</f>
        <v>5909</v>
      </c>
      <c r="J2" s="8">
        <f>Gas!C4</f>
        <v>199</v>
      </c>
      <c r="K2" s="8">
        <f>Gas!E4</f>
        <v>904</v>
      </c>
      <c r="L2" s="8">
        <f>Gas!G4</f>
        <v>88</v>
      </c>
      <c r="M2" s="16">
        <f>Gas!I4</f>
        <v>21</v>
      </c>
      <c r="N2" s="16">
        <f>Gas!K4</f>
        <v>29</v>
      </c>
      <c r="O2" s="8">
        <f>Gas!M4</f>
        <v>51</v>
      </c>
      <c r="P2" s="8">
        <f>Gas!O4</f>
        <v>80</v>
      </c>
      <c r="Q2" s="8">
        <f>Gas!Q4</f>
        <v>35</v>
      </c>
      <c r="R2" s="8">
        <f>Gas!S4</f>
        <v>134</v>
      </c>
      <c r="S2" s="8">
        <f>Gas!U4</f>
        <v>25</v>
      </c>
      <c r="T2" s="8">
        <f>Gas!W4</f>
        <v>55</v>
      </c>
      <c r="U2" s="8">
        <f>Gas!Y4</f>
        <v>0</v>
      </c>
      <c r="V2" s="8">
        <f>Gas!AA4</f>
        <v>0</v>
      </c>
      <c r="W2" s="8">
        <f>Gas!AC4</f>
        <v>0</v>
      </c>
      <c r="X2" s="7">
        <f>ELECT.!B6</f>
        <v>19</v>
      </c>
    </row>
    <row r="3" spans="1:24">
      <c r="A3" s="11" t="s">
        <v>11</v>
      </c>
      <c r="B3" s="14">
        <f>B2+1</f>
        <v>2</v>
      </c>
      <c r="C3" s="14">
        <v>4</v>
      </c>
      <c r="D3" s="14">
        <v>2021</v>
      </c>
      <c r="E3" s="7">
        <f>Water!C6</f>
        <v>210</v>
      </c>
      <c r="F3" s="7">
        <f>Water!E6</f>
        <v>254</v>
      </c>
      <c r="G3" s="7">
        <f>ELECT.!D7</f>
        <v>3945</v>
      </c>
      <c r="H3" s="7">
        <f>ELECT.!F7</f>
        <v>7555</v>
      </c>
      <c r="I3" s="7">
        <f>ELECT.!H7</f>
        <v>6916</v>
      </c>
      <c r="J3" s="8">
        <f>Gas!C5</f>
        <v>248</v>
      </c>
      <c r="K3" s="8">
        <f>Gas!E5</f>
        <v>942</v>
      </c>
      <c r="L3" s="8">
        <f>Gas!G5</f>
        <v>118</v>
      </c>
      <c r="M3" s="16">
        <f>Gas!I5</f>
        <v>30</v>
      </c>
      <c r="N3" s="16">
        <f>Gas!K5</f>
        <v>25</v>
      </c>
      <c r="O3" s="8">
        <f>Gas!M5</f>
        <v>58</v>
      </c>
      <c r="P3" s="8">
        <f>Gas!O5</f>
        <v>119</v>
      </c>
      <c r="Q3" s="8">
        <f>Gas!Q5</f>
        <v>33</v>
      </c>
      <c r="R3" s="8">
        <f>Gas!S5</f>
        <v>155</v>
      </c>
      <c r="S3" s="8">
        <f>Gas!U5</f>
        <v>27</v>
      </c>
      <c r="T3" s="8">
        <f>Gas!W5</f>
        <v>59</v>
      </c>
      <c r="U3" s="8">
        <f>Gas!Y5</f>
        <v>0</v>
      </c>
      <c r="V3" s="8">
        <f>Gas!AA5</f>
        <v>0</v>
      </c>
      <c r="W3" s="8">
        <f>Gas!AC5</f>
        <v>0</v>
      </c>
      <c r="X3" s="7">
        <f>ELECT.!B7</f>
        <v>32</v>
      </c>
    </row>
    <row r="4" spans="1:24">
      <c r="A4" s="11" t="s">
        <v>11</v>
      </c>
      <c r="B4" s="14">
        <f t="shared" ref="B4:B31" si="0">B3+1</f>
        <v>3</v>
      </c>
      <c r="C4" s="14">
        <v>4</v>
      </c>
      <c r="D4" s="14">
        <v>2021</v>
      </c>
      <c r="E4" s="7">
        <f>Water!C7</f>
        <v>210</v>
      </c>
      <c r="F4" s="7">
        <f>Water!E7</f>
        <v>254</v>
      </c>
      <c r="G4" s="7">
        <f>ELECT.!D8</f>
        <v>3597</v>
      </c>
      <c r="H4" s="7">
        <f>ELECT.!F8</f>
        <v>7300</v>
      </c>
      <c r="I4" s="7">
        <f>ELECT.!H8</f>
        <v>6362</v>
      </c>
      <c r="J4" s="8">
        <f>Gas!C6</f>
        <v>299</v>
      </c>
      <c r="K4" s="8">
        <f>Gas!E6</f>
        <v>691</v>
      </c>
      <c r="L4" s="8">
        <f>Gas!G6</f>
        <v>115</v>
      </c>
      <c r="M4" s="16">
        <f>Gas!I6</f>
        <v>30</v>
      </c>
      <c r="N4" s="16">
        <f>Gas!K6</f>
        <v>25</v>
      </c>
      <c r="O4" s="8">
        <f>Gas!M6</f>
        <v>61</v>
      </c>
      <c r="P4" s="8">
        <f>Gas!O6</f>
        <v>99</v>
      </c>
      <c r="Q4" s="8">
        <f>Gas!Q6</f>
        <v>35</v>
      </c>
      <c r="R4" s="8">
        <f>Gas!S6</f>
        <v>162</v>
      </c>
      <c r="S4" s="8">
        <f>Gas!U6</f>
        <v>30</v>
      </c>
      <c r="T4" s="8">
        <f>Gas!W6</f>
        <v>52</v>
      </c>
      <c r="U4" s="8">
        <f>Gas!Y6</f>
        <v>0</v>
      </c>
      <c r="V4" s="8">
        <f>Gas!AA6</f>
        <v>0</v>
      </c>
      <c r="W4" s="8">
        <f>Gas!AC6</f>
        <v>0</v>
      </c>
      <c r="X4" s="7">
        <f>ELECT.!B8</f>
        <v>32</v>
      </c>
    </row>
    <row r="5" spans="1:24">
      <c r="A5" s="11" t="s">
        <v>11</v>
      </c>
      <c r="B5" s="14">
        <f t="shared" si="0"/>
        <v>4</v>
      </c>
      <c r="C5" s="14">
        <v>4</v>
      </c>
      <c r="D5" s="14">
        <v>2021</v>
      </c>
      <c r="E5" s="7">
        <f>Water!C8</f>
        <v>220</v>
      </c>
      <c r="F5" s="7">
        <f>Water!E8</f>
        <v>298</v>
      </c>
      <c r="G5" s="7">
        <f>ELECT.!D9</f>
        <v>4085</v>
      </c>
      <c r="H5" s="7">
        <f>ELECT.!F9</f>
        <v>7640</v>
      </c>
      <c r="I5" s="7">
        <f>ELECT.!H9</f>
        <v>6850</v>
      </c>
      <c r="J5" s="8">
        <f>Gas!C7</f>
        <v>242</v>
      </c>
      <c r="K5" s="8">
        <f>Gas!E7</f>
        <v>778</v>
      </c>
      <c r="L5" s="8">
        <f>Gas!G7</f>
        <v>128</v>
      </c>
      <c r="M5" s="16">
        <f>Gas!I7</f>
        <v>31</v>
      </c>
      <c r="N5" s="16">
        <f>Gas!K7</f>
        <v>0</v>
      </c>
      <c r="O5" s="8">
        <f>Gas!M7</f>
        <v>57</v>
      </c>
      <c r="P5" s="8">
        <f>Gas!O7</f>
        <v>87</v>
      </c>
      <c r="Q5" s="8">
        <f>Gas!Q7</f>
        <v>31</v>
      </c>
      <c r="R5" s="8">
        <f>Gas!S7</f>
        <v>189</v>
      </c>
      <c r="S5" s="8">
        <f>Gas!U7</f>
        <v>22</v>
      </c>
      <c r="T5" s="8">
        <f>Gas!W7</f>
        <v>51</v>
      </c>
      <c r="U5" s="8">
        <f>Gas!Y7</f>
        <v>0</v>
      </c>
      <c r="V5" s="8">
        <f>Gas!AA7</f>
        <v>0</v>
      </c>
      <c r="W5" s="8">
        <f>Gas!AC7</f>
        <v>0</v>
      </c>
      <c r="X5" s="7">
        <f>ELECT.!B9</f>
        <v>52</v>
      </c>
    </row>
    <row r="6" spans="1:24">
      <c r="A6" s="11" t="s">
        <v>11</v>
      </c>
      <c r="B6" s="14">
        <f t="shared" si="0"/>
        <v>5</v>
      </c>
      <c r="C6" s="14">
        <v>4</v>
      </c>
      <c r="D6" s="14">
        <v>2021</v>
      </c>
      <c r="E6" s="7">
        <f>Water!C9</f>
        <v>190</v>
      </c>
      <c r="F6" s="7">
        <f>Water!E9</f>
        <v>305</v>
      </c>
      <c r="G6" s="7">
        <f>ELECT.!D10</f>
        <v>3532</v>
      </c>
      <c r="H6" s="7">
        <f>ELECT.!F10</f>
        <v>6337</v>
      </c>
      <c r="I6" s="7">
        <f>ELECT.!H10</f>
        <v>5722</v>
      </c>
      <c r="J6" s="8">
        <f>Gas!C8</f>
        <v>271</v>
      </c>
      <c r="K6" s="8">
        <f>Gas!E8</f>
        <v>819</v>
      </c>
      <c r="L6" s="8">
        <f>Gas!G8</f>
        <v>83</v>
      </c>
      <c r="M6" s="16">
        <f>Gas!I8</f>
        <v>14</v>
      </c>
      <c r="N6" s="16">
        <f>Gas!K8</f>
        <v>23</v>
      </c>
      <c r="O6" s="8">
        <f>Gas!M8</f>
        <v>42</v>
      </c>
      <c r="P6" s="8">
        <f>Gas!O8</f>
        <v>82</v>
      </c>
      <c r="Q6" s="8">
        <f>Gas!Q8</f>
        <v>34</v>
      </c>
      <c r="R6" s="8">
        <f>Gas!S8</f>
        <v>191</v>
      </c>
      <c r="S6" s="8">
        <f>Gas!U8</f>
        <v>28</v>
      </c>
      <c r="T6" s="8">
        <f>Gas!W8</f>
        <v>54</v>
      </c>
      <c r="U6" s="8">
        <f>Gas!Y8</f>
        <v>0</v>
      </c>
      <c r="V6" s="8">
        <f>Gas!AA8</f>
        <v>0</v>
      </c>
      <c r="W6" s="8">
        <f>Gas!AC8</f>
        <v>0</v>
      </c>
      <c r="X6" s="7">
        <f>ELECT.!B10</f>
        <v>63</v>
      </c>
    </row>
    <row r="7" spans="1:24">
      <c r="A7" s="11" t="s">
        <v>11</v>
      </c>
      <c r="B7" s="14">
        <f t="shared" si="0"/>
        <v>6</v>
      </c>
      <c r="C7" s="14">
        <v>4</v>
      </c>
      <c r="D7" s="14">
        <v>2021</v>
      </c>
      <c r="E7" s="7">
        <f>Water!C10</f>
        <v>200</v>
      </c>
      <c r="F7" s="7">
        <f>Water!E10</f>
        <v>238</v>
      </c>
      <c r="G7" s="7">
        <f>ELECT.!D11</f>
        <v>4591</v>
      </c>
      <c r="H7" s="7">
        <f>ELECT.!F11</f>
        <v>8500</v>
      </c>
      <c r="I7" s="7">
        <f>ELECT.!H11</f>
        <v>8175</v>
      </c>
      <c r="J7" s="8">
        <f>Gas!C9</f>
        <v>241</v>
      </c>
      <c r="K7" s="8">
        <f>Gas!E9</f>
        <v>788</v>
      </c>
      <c r="L7" s="8">
        <f>Gas!G9</f>
        <v>103</v>
      </c>
      <c r="M7" s="16">
        <f>Gas!I9</f>
        <v>20</v>
      </c>
      <c r="N7" s="16">
        <f>Gas!K9</f>
        <v>28</v>
      </c>
      <c r="O7" s="8">
        <f>Gas!M9</f>
        <v>48</v>
      </c>
      <c r="P7" s="8">
        <f>Gas!O9</f>
        <v>128</v>
      </c>
      <c r="Q7" s="8">
        <f>Gas!Q9</f>
        <v>36</v>
      </c>
      <c r="R7" s="8">
        <f>Gas!S9</f>
        <v>171</v>
      </c>
      <c r="S7" s="8">
        <f>Gas!U9</f>
        <v>34</v>
      </c>
      <c r="T7" s="8">
        <f>Gas!W9</f>
        <v>49</v>
      </c>
      <c r="U7" s="8">
        <f>Gas!Y9</f>
        <v>0</v>
      </c>
      <c r="V7" s="8">
        <f>Gas!AA9</f>
        <v>0</v>
      </c>
      <c r="W7" s="8">
        <f>Gas!AC9</f>
        <v>0</v>
      </c>
      <c r="X7" s="7">
        <f>ELECT.!B11</f>
        <v>33</v>
      </c>
    </row>
    <row r="8" spans="1:24">
      <c r="A8" s="11" t="s">
        <v>11</v>
      </c>
      <c r="B8" s="14">
        <f t="shared" si="0"/>
        <v>7</v>
      </c>
      <c r="C8" s="14">
        <v>4</v>
      </c>
      <c r="D8" s="14">
        <v>2021</v>
      </c>
      <c r="E8" s="7">
        <f>Water!C11</f>
        <v>230</v>
      </c>
      <c r="F8" s="7">
        <f>Water!E11</f>
        <v>294</v>
      </c>
      <c r="G8" s="7">
        <f>ELECT.!D12</f>
        <v>4013</v>
      </c>
      <c r="H8" s="7">
        <f>ELECT.!F12</f>
        <v>7743</v>
      </c>
      <c r="I8" s="7">
        <f>ELECT.!H12</f>
        <v>6411</v>
      </c>
      <c r="J8" s="8">
        <f>Gas!C10</f>
        <v>245</v>
      </c>
      <c r="K8" s="8">
        <f>Gas!E10</f>
        <v>982</v>
      </c>
      <c r="L8" s="8">
        <f>Gas!G10</f>
        <v>122</v>
      </c>
      <c r="M8" s="16">
        <f>Gas!I10</f>
        <v>33</v>
      </c>
      <c r="N8" s="16">
        <f>Gas!K10</f>
        <v>18</v>
      </c>
      <c r="O8" s="8">
        <f>Gas!M10</f>
        <v>58</v>
      </c>
      <c r="P8" s="8">
        <f>Gas!O10</f>
        <v>104</v>
      </c>
      <c r="Q8" s="8">
        <f>Gas!Q10</f>
        <v>36</v>
      </c>
      <c r="R8" s="8">
        <f>Gas!S10</f>
        <v>175</v>
      </c>
      <c r="S8" s="8">
        <f>Gas!U10</f>
        <v>24</v>
      </c>
      <c r="T8" s="8">
        <f>Gas!W10</f>
        <v>51</v>
      </c>
      <c r="U8" s="8">
        <f>Gas!Y10</f>
        <v>0</v>
      </c>
      <c r="V8" s="8">
        <f>Gas!AA10</f>
        <v>0</v>
      </c>
      <c r="W8" s="8">
        <f>Gas!AC10</f>
        <v>0</v>
      </c>
      <c r="X8" s="7">
        <f>ELECT.!B12</f>
        <v>26</v>
      </c>
    </row>
    <row r="9" spans="1:24">
      <c r="A9" s="11" t="s">
        <v>11</v>
      </c>
      <c r="B9" s="14">
        <f t="shared" si="0"/>
        <v>8</v>
      </c>
      <c r="C9" s="14">
        <v>4</v>
      </c>
      <c r="D9" s="14">
        <v>2021</v>
      </c>
      <c r="E9" s="7">
        <f>Water!C12</f>
        <v>230</v>
      </c>
      <c r="F9" s="7">
        <f>Water!E12</f>
        <v>322</v>
      </c>
      <c r="G9" s="7">
        <f>ELECT.!D13</f>
        <v>3964</v>
      </c>
      <c r="H9" s="7">
        <f>ELECT.!F13</f>
        <v>7769</v>
      </c>
      <c r="I9" s="7">
        <f>ELECT.!H13</f>
        <v>5567</v>
      </c>
      <c r="J9" s="8">
        <f>Gas!C11</f>
        <v>265</v>
      </c>
      <c r="K9" s="8">
        <f>Gas!E11</f>
        <v>1123</v>
      </c>
      <c r="L9" s="8">
        <f>Gas!G11</f>
        <v>81</v>
      </c>
      <c r="M9" s="16">
        <f>Gas!I11</f>
        <v>23</v>
      </c>
      <c r="N9" s="16">
        <f>Gas!K11</f>
        <v>23</v>
      </c>
      <c r="O9" s="8">
        <f>Gas!M11</f>
        <v>59</v>
      </c>
      <c r="P9" s="8">
        <f>Gas!O11</f>
        <v>116</v>
      </c>
      <c r="Q9" s="8">
        <f>Gas!Q11</f>
        <v>40</v>
      </c>
      <c r="R9" s="8">
        <f>Gas!S11</f>
        <v>200</v>
      </c>
      <c r="S9" s="8">
        <f>Gas!U11</f>
        <v>34</v>
      </c>
      <c r="T9" s="8">
        <f>Gas!W11</f>
        <v>60</v>
      </c>
      <c r="U9" s="8">
        <f>Gas!Y11</f>
        <v>0</v>
      </c>
      <c r="V9" s="8">
        <f>Gas!AA11</f>
        <v>0</v>
      </c>
      <c r="W9" s="8">
        <f>Gas!AC11</f>
        <v>0</v>
      </c>
      <c r="X9" s="7">
        <f>ELECT.!B13</f>
        <v>28</v>
      </c>
    </row>
    <row r="10" spans="1:24">
      <c r="A10" s="11" t="s">
        <v>11</v>
      </c>
      <c r="B10" s="14">
        <f t="shared" si="0"/>
        <v>9</v>
      </c>
      <c r="C10" s="14">
        <v>4</v>
      </c>
      <c r="D10" s="14">
        <v>2021</v>
      </c>
      <c r="E10" s="7">
        <f>Water!C13</f>
        <v>250</v>
      </c>
      <c r="F10" s="7">
        <f>Water!E13</f>
        <v>302</v>
      </c>
      <c r="G10" s="7">
        <f>ELECT.!D14</f>
        <v>4267</v>
      </c>
      <c r="H10" s="7">
        <f>ELECT.!F14</f>
        <v>7435</v>
      </c>
      <c r="I10" s="7">
        <f>ELECT.!H14</f>
        <v>5628</v>
      </c>
      <c r="J10" s="8">
        <f>Gas!C12</f>
        <v>280</v>
      </c>
      <c r="K10" s="8">
        <f>Gas!E12</f>
        <v>733</v>
      </c>
      <c r="L10" s="8">
        <f>Gas!G12</f>
        <v>123</v>
      </c>
      <c r="M10" s="16">
        <f>Gas!I12</f>
        <v>23</v>
      </c>
      <c r="N10" s="16">
        <f>Gas!K12</f>
        <v>21</v>
      </c>
      <c r="O10" s="8">
        <f>Gas!M12</f>
        <v>50</v>
      </c>
      <c r="P10" s="8">
        <f>Gas!O12</f>
        <v>70</v>
      </c>
      <c r="Q10" s="8">
        <f>Gas!Q12</f>
        <v>35</v>
      </c>
      <c r="R10" s="8">
        <f>Gas!S12</f>
        <v>216</v>
      </c>
      <c r="S10" s="8">
        <f>Gas!U12</f>
        <v>27</v>
      </c>
      <c r="T10" s="8">
        <f>Gas!W12</f>
        <v>57</v>
      </c>
      <c r="U10" s="8">
        <f>Gas!Y12</f>
        <v>0</v>
      </c>
      <c r="V10" s="8">
        <f>Gas!AA12</f>
        <v>0</v>
      </c>
      <c r="W10" s="8">
        <f>Gas!AC12</f>
        <v>0</v>
      </c>
      <c r="X10" s="7">
        <f>ELECT.!B14</f>
        <v>43</v>
      </c>
    </row>
    <row r="11" spans="1:24">
      <c r="A11" s="11" t="s">
        <v>11</v>
      </c>
      <c r="B11" s="14">
        <f t="shared" si="0"/>
        <v>10</v>
      </c>
      <c r="C11" s="14">
        <v>4</v>
      </c>
      <c r="D11" s="14">
        <v>2021</v>
      </c>
      <c r="E11" s="7">
        <f>Water!C14</f>
        <v>230</v>
      </c>
      <c r="F11" s="7">
        <f>Water!E14</f>
        <v>265</v>
      </c>
      <c r="G11" s="7">
        <f>ELECT.!D15</f>
        <v>4396</v>
      </c>
      <c r="H11" s="7">
        <f>ELECT.!F15</f>
        <v>8673</v>
      </c>
      <c r="I11" s="7">
        <f>ELECT.!H15</f>
        <v>6847</v>
      </c>
      <c r="J11" s="8">
        <f>Gas!C13</f>
        <v>244</v>
      </c>
      <c r="K11" s="8">
        <f>Gas!E13</f>
        <v>1158</v>
      </c>
      <c r="L11" s="8">
        <f>Gas!G13</f>
        <v>115</v>
      </c>
      <c r="M11" s="16">
        <f>Gas!I13</f>
        <v>25</v>
      </c>
      <c r="N11" s="16">
        <f>Gas!K13</f>
        <v>22</v>
      </c>
      <c r="O11" s="8">
        <f>Gas!M13</f>
        <v>65</v>
      </c>
      <c r="P11" s="8">
        <f>Gas!O13</f>
        <v>85</v>
      </c>
      <c r="Q11" s="8">
        <f>Gas!Q13</f>
        <v>33</v>
      </c>
      <c r="R11" s="8">
        <f>Gas!S13</f>
        <v>176</v>
      </c>
      <c r="S11" s="8">
        <f>Gas!U13</f>
        <v>35</v>
      </c>
      <c r="T11" s="8">
        <f>Gas!W13</f>
        <v>59</v>
      </c>
      <c r="U11" s="8">
        <f>Gas!Y13</f>
        <v>0</v>
      </c>
      <c r="V11" s="8">
        <f>Gas!AA13</f>
        <v>0</v>
      </c>
      <c r="W11" s="8">
        <f>Gas!AC13</f>
        <v>0</v>
      </c>
      <c r="X11" s="7">
        <f>ELECT.!B15</f>
        <v>60</v>
      </c>
    </row>
    <row r="12" spans="1:24">
      <c r="A12" s="11" t="s">
        <v>11</v>
      </c>
      <c r="B12" s="14">
        <f t="shared" si="0"/>
        <v>11</v>
      </c>
      <c r="C12" s="14">
        <v>4</v>
      </c>
      <c r="D12" s="14">
        <v>2021</v>
      </c>
      <c r="E12" s="7">
        <f>Water!C15</f>
        <v>200</v>
      </c>
      <c r="F12" s="7">
        <f>Water!E15</f>
        <v>354</v>
      </c>
      <c r="G12" s="7">
        <f>ELECT.!D16</f>
        <v>3587</v>
      </c>
      <c r="H12" s="7">
        <f>ELECT.!F16</f>
        <v>6985</v>
      </c>
      <c r="I12" s="7">
        <f>ELECT.!H16</f>
        <v>5551</v>
      </c>
      <c r="J12" s="8">
        <f>Gas!C14</f>
        <v>329</v>
      </c>
      <c r="K12" s="8">
        <f>Gas!E14</f>
        <v>912</v>
      </c>
      <c r="L12" s="8">
        <f>Gas!G14</f>
        <v>100</v>
      </c>
      <c r="M12" s="16">
        <f>Gas!I14</f>
        <v>21</v>
      </c>
      <c r="N12" s="16">
        <f>Gas!K14</f>
        <v>0</v>
      </c>
      <c r="O12" s="8">
        <f>Gas!M14</f>
        <v>57</v>
      </c>
      <c r="P12" s="8">
        <f>Gas!O14</f>
        <v>48</v>
      </c>
      <c r="Q12" s="8">
        <f>Gas!Q14</f>
        <v>34</v>
      </c>
      <c r="R12" s="8">
        <f>Gas!S14</f>
        <v>197</v>
      </c>
      <c r="S12" s="8">
        <f>Gas!U14</f>
        <v>27</v>
      </c>
      <c r="T12" s="8">
        <f>Gas!W14</f>
        <v>40</v>
      </c>
      <c r="U12" s="8">
        <f>Gas!Y14</f>
        <v>0</v>
      </c>
      <c r="V12" s="8">
        <f>Gas!AA14</f>
        <v>0</v>
      </c>
      <c r="W12" s="8">
        <f>Gas!AC14</f>
        <v>0</v>
      </c>
      <c r="X12" s="7">
        <f>ELECT.!B16</f>
        <v>77</v>
      </c>
    </row>
    <row r="13" spans="1:24">
      <c r="A13" s="11" t="s">
        <v>11</v>
      </c>
      <c r="B13" s="14">
        <f t="shared" si="0"/>
        <v>12</v>
      </c>
      <c r="C13" s="14">
        <v>4</v>
      </c>
      <c r="D13" s="14">
        <v>2021</v>
      </c>
      <c r="E13" s="7">
        <f>Water!C16</f>
        <v>270</v>
      </c>
      <c r="F13" s="7">
        <f>Water!E16</f>
        <v>234</v>
      </c>
      <c r="G13" s="7">
        <f>ELECT.!D17</f>
        <v>3622</v>
      </c>
      <c r="H13" s="7">
        <f>ELECT.!F17</f>
        <v>6927</v>
      </c>
      <c r="I13" s="7">
        <f>ELECT.!H17</f>
        <v>5624</v>
      </c>
      <c r="J13" s="8">
        <f>Gas!C15</f>
        <v>228</v>
      </c>
      <c r="K13" s="8">
        <f>Gas!E15</f>
        <v>879</v>
      </c>
      <c r="L13" s="8">
        <f>Gas!G15</f>
        <v>100</v>
      </c>
      <c r="M13" s="16">
        <f>Gas!I15</f>
        <v>21</v>
      </c>
      <c r="N13" s="16">
        <f>Gas!K15</f>
        <v>22</v>
      </c>
      <c r="O13" s="8">
        <f>Gas!M15</f>
        <v>40</v>
      </c>
      <c r="P13" s="8">
        <f>Gas!O15</f>
        <v>38</v>
      </c>
      <c r="Q13" s="8">
        <f>Gas!Q15</f>
        <v>34</v>
      </c>
      <c r="R13" s="8">
        <f>Gas!S15</f>
        <v>164</v>
      </c>
      <c r="S13" s="8">
        <f>Gas!U15</f>
        <v>24</v>
      </c>
      <c r="T13" s="8">
        <f>Gas!W15</f>
        <v>50</v>
      </c>
      <c r="U13" s="8">
        <f>Gas!Y15</f>
        <v>0</v>
      </c>
      <c r="V13" s="8">
        <f>Gas!AA15</f>
        <v>0</v>
      </c>
      <c r="W13" s="8">
        <f>Gas!AC15</f>
        <v>0</v>
      </c>
      <c r="X13" s="7">
        <f>ELECT.!B17</f>
        <v>77</v>
      </c>
    </row>
    <row r="14" spans="1:24">
      <c r="A14" s="11" t="s">
        <v>11</v>
      </c>
      <c r="B14" s="14">
        <f t="shared" si="0"/>
        <v>13</v>
      </c>
      <c r="C14" s="14">
        <v>4</v>
      </c>
      <c r="D14" s="14">
        <v>2021</v>
      </c>
      <c r="E14" s="7">
        <f>Water!C17</f>
        <v>170</v>
      </c>
      <c r="F14" s="7">
        <f>Water!E17</f>
        <v>230</v>
      </c>
      <c r="G14" s="7">
        <f>ELECT.!D18</f>
        <v>3382</v>
      </c>
      <c r="H14" s="7">
        <f>ELECT.!F18</f>
        <v>6672</v>
      </c>
      <c r="I14" s="7">
        <f>ELECT.!H18</f>
        <v>5701</v>
      </c>
      <c r="J14" s="8">
        <f>Gas!C16</f>
        <v>296</v>
      </c>
      <c r="K14" s="8">
        <f>Gas!E16</f>
        <v>755</v>
      </c>
      <c r="L14" s="8">
        <f>Gas!G16</f>
        <v>103</v>
      </c>
      <c r="M14" s="16">
        <f>Gas!I16</f>
        <v>22</v>
      </c>
      <c r="N14" s="16">
        <f>Gas!K16</f>
        <v>1</v>
      </c>
      <c r="O14" s="8">
        <f>Gas!M16</f>
        <v>59</v>
      </c>
      <c r="P14" s="8">
        <f>Gas!O16</f>
        <v>38</v>
      </c>
      <c r="Q14" s="8">
        <f>Gas!Q16</f>
        <v>0</v>
      </c>
      <c r="R14" s="8">
        <f>Gas!S16</f>
        <v>100</v>
      </c>
      <c r="S14" s="8">
        <f>Gas!U16</f>
        <v>19</v>
      </c>
      <c r="T14" s="8">
        <f>Gas!W16</f>
        <v>40</v>
      </c>
      <c r="U14" s="8">
        <f>Gas!Y16</f>
        <v>0</v>
      </c>
      <c r="V14" s="8">
        <f>Gas!AA16</f>
        <v>0</v>
      </c>
      <c r="W14" s="8">
        <f>Gas!AC16</f>
        <v>0</v>
      </c>
      <c r="X14" s="7">
        <f>ELECT.!B18</f>
        <v>39</v>
      </c>
    </row>
    <row r="15" spans="1:24">
      <c r="A15" s="11" t="s">
        <v>11</v>
      </c>
      <c r="B15" s="14">
        <f t="shared" si="0"/>
        <v>14</v>
      </c>
      <c r="C15" s="14">
        <v>4</v>
      </c>
      <c r="D15" s="14">
        <v>2021</v>
      </c>
      <c r="E15" s="7">
        <f>Water!C18</f>
        <v>170</v>
      </c>
      <c r="F15" s="7">
        <f>Water!E18</f>
        <v>309</v>
      </c>
      <c r="G15" s="7">
        <f>ELECT.!D19</f>
        <v>3204</v>
      </c>
      <c r="H15" s="7">
        <f>ELECT.!F19</f>
        <v>5347</v>
      </c>
      <c r="I15" s="7">
        <f>ELECT.!H19</f>
        <v>5227</v>
      </c>
      <c r="J15" s="8">
        <f>Gas!C17</f>
        <v>193</v>
      </c>
      <c r="K15" s="8">
        <f>Gas!E17</f>
        <v>747</v>
      </c>
      <c r="L15" s="8">
        <f>Gas!G17</f>
        <v>73</v>
      </c>
      <c r="M15" s="16">
        <f>Gas!I17</f>
        <v>16</v>
      </c>
      <c r="N15" s="16">
        <f>Gas!K17</f>
        <v>0</v>
      </c>
      <c r="O15" s="8">
        <f>Gas!M17</f>
        <v>51</v>
      </c>
      <c r="P15" s="8">
        <f>Gas!O17</f>
        <v>43</v>
      </c>
      <c r="Q15" s="8">
        <f>Gas!Q17</f>
        <v>0</v>
      </c>
      <c r="R15" s="8">
        <f>Gas!S17</f>
        <v>86</v>
      </c>
      <c r="S15" s="8">
        <f>Gas!U17</f>
        <v>21</v>
      </c>
      <c r="T15" s="8">
        <f>Gas!W17</f>
        <v>46</v>
      </c>
      <c r="U15" s="8">
        <f>Gas!Y17</f>
        <v>0</v>
      </c>
      <c r="V15" s="8">
        <f>Gas!AA17</f>
        <v>0</v>
      </c>
      <c r="W15" s="8">
        <f>Gas!AC17</f>
        <v>0</v>
      </c>
      <c r="X15" s="7">
        <f>ELECT.!B19</f>
        <v>35</v>
      </c>
    </row>
    <row r="16" spans="1:24">
      <c r="A16" s="11" t="s">
        <v>11</v>
      </c>
      <c r="B16" s="14">
        <f t="shared" si="0"/>
        <v>15</v>
      </c>
      <c r="C16" s="14">
        <v>4</v>
      </c>
      <c r="D16" s="14">
        <v>2021</v>
      </c>
      <c r="E16" s="7">
        <f>Water!C19</f>
        <v>220</v>
      </c>
      <c r="F16" s="7">
        <f>Water!E19</f>
        <v>269</v>
      </c>
      <c r="G16" s="7">
        <f>ELECT.!D20</f>
        <v>3255</v>
      </c>
      <c r="H16" s="7">
        <f>ELECT.!F20</f>
        <v>5414</v>
      </c>
      <c r="I16" s="7">
        <f>ELECT.!H20</f>
        <v>5225</v>
      </c>
      <c r="J16" s="8">
        <f>Gas!C18</f>
        <v>223</v>
      </c>
      <c r="K16" s="8">
        <f>Gas!E18</f>
        <v>628</v>
      </c>
      <c r="L16" s="8">
        <f>Gas!G18</f>
        <v>111</v>
      </c>
      <c r="M16" s="16">
        <f>Gas!I18</f>
        <v>17</v>
      </c>
      <c r="N16" s="16">
        <f>Gas!K18</f>
        <v>0</v>
      </c>
      <c r="O16" s="8">
        <f>Gas!M18</f>
        <v>52</v>
      </c>
      <c r="P16" s="8">
        <f>Gas!O18</f>
        <v>50</v>
      </c>
      <c r="Q16" s="8">
        <f>Gas!Q18</f>
        <v>0</v>
      </c>
      <c r="R16" s="8">
        <f>Gas!S18</f>
        <v>99</v>
      </c>
      <c r="S16" s="8">
        <f>Gas!U18</f>
        <v>26</v>
      </c>
      <c r="T16" s="8">
        <f>Gas!W18</f>
        <v>48</v>
      </c>
      <c r="U16" s="8">
        <f>Gas!Y18</f>
        <v>0</v>
      </c>
      <c r="V16" s="8">
        <f>Gas!AA18</f>
        <v>0</v>
      </c>
      <c r="W16" s="8">
        <f>Gas!AC18</f>
        <v>0</v>
      </c>
      <c r="X16" s="7">
        <f>ELECT.!B20</f>
        <v>27</v>
      </c>
    </row>
    <row r="17" spans="1:24">
      <c r="A17" s="11" t="s">
        <v>11</v>
      </c>
      <c r="B17" s="14">
        <f t="shared" si="0"/>
        <v>16</v>
      </c>
      <c r="C17" s="14">
        <v>4</v>
      </c>
      <c r="D17" s="14">
        <v>2021</v>
      </c>
      <c r="E17" s="7">
        <f>Water!C20</f>
        <v>180</v>
      </c>
      <c r="F17" s="7">
        <f>Water!E20</f>
        <v>393</v>
      </c>
      <c r="G17" s="7">
        <f>ELECT.!D21</f>
        <v>3947</v>
      </c>
      <c r="H17" s="7">
        <f>ELECT.!F21</f>
        <v>6454</v>
      </c>
      <c r="I17" s="7">
        <f>ELECT.!H21</f>
        <v>6038</v>
      </c>
      <c r="J17" s="8">
        <f>Gas!C19</f>
        <v>223</v>
      </c>
      <c r="K17" s="8">
        <f>Gas!E19</f>
        <v>703</v>
      </c>
      <c r="L17" s="8">
        <f>Gas!G19</f>
        <v>74</v>
      </c>
      <c r="M17" s="16">
        <f>Gas!I19</f>
        <v>17</v>
      </c>
      <c r="N17" s="16">
        <f>Gas!K19</f>
        <v>0</v>
      </c>
      <c r="O17" s="8">
        <f>Gas!M19</f>
        <v>56</v>
      </c>
      <c r="P17" s="8">
        <f>Gas!O19</f>
        <v>34</v>
      </c>
      <c r="Q17" s="8">
        <f>Gas!Q19</f>
        <v>0</v>
      </c>
      <c r="R17" s="8">
        <f>Gas!S19</f>
        <v>117</v>
      </c>
      <c r="S17" s="8">
        <f>Gas!U19</f>
        <v>21</v>
      </c>
      <c r="T17" s="8">
        <f>Gas!W19</f>
        <v>40</v>
      </c>
      <c r="U17" s="8">
        <f>Gas!Y19</f>
        <v>0</v>
      </c>
      <c r="V17" s="8">
        <f>Gas!AA19</f>
        <v>0</v>
      </c>
      <c r="W17" s="8">
        <f>Gas!AC19</f>
        <v>0</v>
      </c>
      <c r="X17" s="7">
        <f>ELECT.!B21</f>
        <v>34</v>
      </c>
    </row>
    <row r="18" spans="1:24">
      <c r="A18" s="11" t="s">
        <v>11</v>
      </c>
      <c r="B18" s="14">
        <f t="shared" si="0"/>
        <v>17</v>
      </c>
      <c r="C18" s="14">
        <v>4</v>
      </c>
      <c r="D18" s="14">
        <v>2021</v>
      </c>
      <c r="E18" s="7">
        <f>Water!C21</f>
        <v>200</v>
      </c>
      <c r="F18" s="7">
        <f>Water!E21</f>
        <v>392</v>
      </c>
      <c r="G18" s="7">
        <f>ELECT.!D22</f>
        <v>3054</v>
      </c>
      <c r="H18" s="7">
        <f>ELECT.!F22</f>
        <v>5339</v>
      </c>
      <c r="I18" s="7">
        <f>ELECT.!H22</f>
        <v>4544</v>
      </c>
      <c r="J18" s="8">
        <f>Gas!C20</f>
        <v>206</v>
      </c>
      <c r="K18" s="8">
        <f>Gas!E20</f>
        <v>669</v>
      </c>
      <c r="L18" s="8">
        <f>Gas!G20</f>
        <v>87</v>
      </c>
      <c r="M18" s="16">
        <f>Gas!I20</f>
        <v>16</v>
      </c>
      <c r="N18" s="16">
        <f>Gas!K20</f>
        <v>12</v>
      </c>
      <c r="O18" s="8">
        <f>Gas!M20</f>
        <v>59</v>
      </c>
      <c r="P18" s="8">
        <f>Gas!O20</f>
        <v>58</v>
      </c>
      <c r="Q18" s="8">
        <f>Gas!Q20</f>
        <v>0</v>
      </c>
      <c r="R18" s="8">
        <f>Gas!S20</f>
        <v>124</v>
      </c>
      <c r="S18" s="8">
        <f>Gas!U20</f>
        <v>20</v>
      </c>
      <c r="T18" s="8">
        <f>Gas!W20</f>
        <v>43</v>
      </c>
      <c r="U18" s="8">
        <f>Gas!Y20</f>
        <v>0</v>
      </c>
      <c r="V18" s="8">
        <f>Gas!AA20</f>
        <v>0</v>
      </c>
      <c r="W18" s="8">
        <f>Gas!AC20</f>
        <v>0</v>
      </c>
      <c r="X18" s="7">
        <f>ELECT.!B22</f>
        <v>50</v>
      </c>
    </row>
    <row r="19" spans="1:24">
      <c r="A19" s="11" t="s">
        <v>11</v>
      </c>
      <c r="B19" s="14">
        <f t="shared" si="0"/>
        <v>18</v>
      </c>
      <c r="C19" s="14">
        <v>4</v>
      </c>
      <c r="D19" s="14">
        <v>2021</v>
      </c>
      <c r="E19" s="7">
        <f>Water!C22</f>
        <v>160</v>
      </c>
      <c r="F19" s="7">
        <f>Water!E22</f>
        <v>366</v>
      </c>
      <c r="G19" s="7">
        <f>ELECT.!D23</f>
        <v>3432</v>
      </c>
      <c r="H19" s="7">
        <f>ELECT.!F23</f>
        <v>5958</v>
      </c>
      <c r="I19" s="7">
        <f>ELECT.!H23</f>
        <v>5384</v>
      </c>
      <c r="J19" s="8">
        <f>Gas!C21</f>
        <v>256</v>
      </c>
      <c r="K19" s="8">
        <f>Gas!E21</f>
        <v>782</v>
      </c>
      <c r="L19" s="8">
        <f>Gas!G21</f>
        <v>57</v>
      </c>
      <c r="M19" s="16">
        <f>Gas!I21</f>
        <v>16</v>
      </c>
      <c r="N19" s="16">
        <f>Gas!K21</f>
        <v>7</v>
      </c>
      <c r="O19" s="8">
        <f>Gas!M21</f>
        <v>36</v>
      </c>
      <c r="P19" s="8">
        <f>Gas!O21</f>
        <v>46</v>
      </c>
      <c r="Q19" s="8">
        <f>Gas!Q21</f>
        <v>0</v>
      </c>
      <c r="R19" s="8">
        <f>Gas!S21</f>
        <v>91</v>
      </c>
      <c r="S19" s="8">
        <f>Gas!U21</f>
        <v>20</v>
      </c>
      <c r="T19" s="8">
        <f>Gas!W21</f>
        <v>43</v>
      </c>
      <c r="U19" s="8">
        <f>Gas!Y21</f>
        <v>0</v>
      </c>
      <c r="V19" s="8">
        <f>Gas!AA21</f>
        <v>0</v>
      </c>
      <c r="W19" s="8">
        <f>Gas!AC21</f>
        <v>0</v>
      </c>
      <c r="X19" s="7">
        <f>ELECT.!B23</f>
        <v>77</v>
      </c>
    </row>
    <row r="20" spans="1:24">
      <c r="A20" s="11" t="s">
        <v>11</v>
      </c>
      <c r="B20" s="14">
        <f t="shared" si="0"/>
        <v>19</v>
      </c>
      <c r="C20" s="14">
        <v>4</v>
      </c>
      <c r="D20" s="14">
        <v>2021</v>
      </c>
      <c r="E20" s="7">
        <f>Water!C23</f>
        <v>140</v>
      </c>
      <c r="F20" s="7">
        <f>Water!E23</f>
        <v>374</v>
      </c>
      <c r="G20" s="7">
        <f>ELECT.!D24</f>
        <v>3567</v>
      </c>
      <c r="H20" s="7">
        <f>ELECT.!F24</f>
        <v>6430</v>
      </c>
      <c r="I20" s="7">
        <f>ELECT.!H24</f>
        <v>5580</v>
      </c>
      <c r="J20" s="8">
        <f>Gas!C22</f>
        <v>255</v>
      </c>
      <c r="K20" s="8">
        <f>Gas!E22</f>
        <v>322</v>
      </c>
      <c r="L20" s="8">
        <f>Gas!G22</f>
        <v>80</v>
      </c>
      <c r="M20" s="16">
        <f>Gas!I22</f>
        <v>16</v>
      </c>
      <c r="N20" s="16">
        <f>Gas!K22</f>
        <v>9</v>
      </c>
      <c r="O20" s="8">
        <f>Gas!M22</f>
        <v>45</v>
      </c>
      <c r="P20" s="8">
        <f>Gas!O22</f>
        <v>24</v>
      </c>
      <c r="Q20" s="8">
        <f>Gas!Q22</f>
        <v>0</v>
      </c>
      <c r="R20" s="8">
        <f>Gas!S22</f>
        <v>112</v>
      </c>
      <c r="S20" s="8">
        <f>Gas!U22</f>
        <v>23</v>
      </c>
      <c r="T20" s="8">
        <f>Gas!W22</f>
        <v>49</v>
      </c>
      <c r="U20" s="8">
        <f>Gas!Y22</f>
        <v>0</v>
      </c>
      <c r="V20" s="8">
        <f>Gas!AA22</f>
        <v>0</v>
      </c>
      <c r="W20" s="8">
        <f>Gas!AC22</f>
        <v>0</v>
      </c>
      <c r="X20" s="7">
        <f>ELECT.!B24</f>
        <v>77</v>
      </c>
    </row>
    <row r="21" spans="1:24">
      <c r="A21" s="11" t="s">
        <v>11</v>
      </c>
      <c r="B21" s="14">
        <f t="shared" si="0"/>
        <v>20</v>
      </c>
      <c r="C21" s="14">
        <v>4</v>
      </c>
      <c r="D21" s="14">
        <v>2021</v>
      </c>
      <c r="E21" s="7">
        <f>Water!C24</f>
        <v>160</v>
      </c>
      <c r="F21" s="7">
        <f>Water!E24</f>
        <v>387</v>
      </c>
      <c r="G21" s="7">
        <f>ELECT.!D25</f>
        <v>3722</v>
      </c>
      <c r="H21" s="7">
        <f>ELECT.!F25</f>
        <v>6565</v>
      </c>
      <c r="I21" s="7">
        <f>ELECT.!H25</f>
        <v>6047</v>
      </c>
      <c r="J21" s="8">
        <f>Gas!C23</f>
        <v>220</v>
      </c>
      <c r="K21" s="8">
        <f>Gas!E23</f>
        <v>715</v>
      </c>
      <c r="L21" s="8">
        <f>Gas!G23</f>
        <v>114</v>
      </c>
      <c r="M21" s="16">
        <f>Gas!I23</f>
        <v>17</v>
      </c>
      <c r="N21" s="16">
        <f>Gas!K23</f>
        <v>2</v>
      </c>
      <c r="O21" s="8">
        <f>Gas!M23</f>
        <v>47</v>
      </c>
      <c r="P21" s="8">
        <f>Gas!O23</f>
        <v>84</v>
      </c>
      <c r="Q21" s="8">
        <f>Gas!Q23</f>
        <v>0</v>
      </c>
      <c r="R21" s="8">
        <f>Gas!S23</f>
        <v>102</v>
      </c>
      <c r="S21" s="8">
        <f>Gas!U23</f>
        <v>22</v>
      </c>
      <c r="T21" s="8">
        <f>Gas!W23</f>
        <v>44</v>
      </c>
      <c r="U21" s="8">
        <f>Gas!Y23</f>
        <v>0</v>
      </c>
      <c r="V21" s="8">
        <f>Gas!AA23</f>
        <v>2</v>
      </c>
      <c r="W21" s="8">
        <f>Gas!AC23</f>
        <v>0</v>
      </c>
      <c r="X21" s="7">
        <f>ELECT.!B25</f>
        <v>46</v>
      </c>
    </row>
    <row r="22" spans="1:24">
      <c r="A22" s="11" t="s">
        <v>11</v>
      </c>
      <c r="B22" s="14">
        <f t="shared" si="0"/>
        <v>21</v>
      </c>
      <c r="C22" s="14">
        <v>4</v>
      </c>
      <c r="D22" s="14">
        <v>2021</v>
      </c>
      <c r="E22" s="7">
        <f>Water!C25</f>
        <v>170</v>
      </c>
      <c r="F22" s="7">
        <f>Water!E25</f>
        <v>403</v>
      </c>
      <c r="G22" s="7">
        <f>ELECT.!D26</f>
        <v>3225</v>
      </c>
      <c r="H22" s="7">
        <f>ELECT.!F26</f>
        <v>6279</v>
      </c>
      <c r="I22" s="7">
        <f>ELECT.!H26</f>
        <v>5510</v>
      </c>
      <c r="J22" s="8">
        <f>Gas!C24</f>
        <v>267</v>
      </c>
      <c r="K22" s="8">
        <f>Gas!E24</f>
        <v>722</v>
      </c>
      <c r="L22" s="8">
        <f>Gas!G24</f>
        <v>95</v>
      </c>
      <c r="M22" s="16">
        <f>Gas!I24</f>
        <v>14</v>
      </c>
      <c r="N22" s="16">
        <f>Gas!K24</f>
        <v>0</v>
      </c>
      <c r="O22" s="8">
        <f>Gas!M24</f>
        <v>25</v>
      </c>
      <c r="P22" s="8">
        <f>Gas!O24</f>
        <v>133</v>
      </c>
      <c r="Q22" s="8">
        <f>Gas!Q24</f>
        <v>0</v>
      </c>
      <c r="R22" s="8">
        <f>Gas!S24</f>
        <v>111</v>
      </c>
      <c r="S22" s="8">
        <f>Gas!U24</f>
        <v>20</v>
      </c>
      <c r="T22" s="8">
        <f>Gas!W24</f>
        <v>49</v>
      </c>
      <c r="U22" s="8">
        <f>Gas!Y24</f>
        <v>0</v>
      </c>
      <c r="V22" s="8">
        <f>Gas!AA24</f>
        <v>100</v>
      </c>
      <c r="W22" s="8">
        <f>Gas!AC24</f>
        <v>0</v>
      </c>
      <c r="X22" s="7">
        <f>ELECT.!B26</f>
        <v>42</v>
      </c>
    </row>
    <row r="23" spans="1:24">
      <c r="A23" s="11" t="s">
        <v>11</v>
      </c>
      <c r="B23" s="14">
        <f t="shared" si="0"/>
        <v>22</v>
      </c>
      <c r="C23" s="14">
        <v>4</v>
      </c>
      <c r="D23" s="14">
        <v>2021</v>
      </c>
      <c r="E23" s="7">
        <f>Water!C26</f>
        <v>160</v>
      </c>
      <c r="F23" s="7">
        <f>Water!E26</f>
        <v>366</v>
      </c>
      <c r="G23" s="7">
        <f>ELECT.!D27</f>
        <v>3624</v>
      </c>
      <c r="H23" s="7">
        <f>ELECT.!F27</f>
        <v>6829</v>
      </c>
      <c r="I23" s="7">
        <f>ELECT.!H27</f>
        <v>6071</v>
      </c>
      <c r="J23" s="8">
        <f>Gas!C25</f>
        <v>207</v>
      </c>
      <c r="K23" s="8">
        <f>Gas!E25</f>
        <v>682</v>
      </c>
      <c r="L23" s="8">
        <f>Gas!G25</f>
        <v>96</v>
      </c>
      <c r="M23" s="16">
        <f>Gas!I25</f>
        <v>18</v>
      </c>
      <c r="N23" s="16">
        <f>Gas!K25</f>
        <v>1</v>
      </c>
      <c r="O23" s="8">
        <f>Gas!M25</f>
        <v>37</v>
      </c>
      <c r="P23" s="8">
        <f>Gas!O25</f>
        <v>119</v>
      </c>
      <c r="Q23" s="8">
        <f>Gas!Q25</f>
        <v>0</v>
      </c>
      <c r="R23" s="8">
        <f>Gas!S25</f>
        <v>108</v>
      </c>
      <c r="S23" s="8">
        <f>Gas!U25</f>
        <v>21</v>
      </c>
      <c r="T23" s="8">
        <f>Gas!W25</f>
        <v>43</v>
      </c>
      <c r="U23" s="8">
        <f>Gas!Y25</f>
        <v>0</v>
      </c>
      <c r="V23" s="8">
        <f>Gas!AA25</f>
        <v>98</v>
      </c>
      <c r="W23" s="8">
        <f>Gas!AC25</f>
        <v>0</v>
      </c>
      <c r="X23" s="7">
        <f>ELECT.!B27</f>
        <v>52</v>
      </c>
    </row>
    <row r="24" spans="1:24">
      <c r="A24" s="11" t="s">
        <v>11</v>
      </c>
      <c r="B24" s="14">
        <f t="shared" si="0"/>
        <v>23</v>
      </c>
      <c r="C24" s="14">
        <v>4</v>
      </c>
      <c r="D24" s="14">
        <v>2021</v>
      </c>
      <c r="E24" s="7">
        <f>Water!C27</f>
        <v>170</v>
      </c>
      <c r="F24" s="7">
        <f>Water!E27</f>
        <v>611</v>
      </c>
      <c r="G24" s="7">
        <f>ELECT.!D28</f>
        <v>3443</v>
      </c>
      <c r="H24" s="7">
        <f>ELECT.!F28</f>
        <v>6077</v>
      </c>
      <c r="I24" s="7">
        <f>ELECT.!H28</f>
        <v>5542</v>
      </c>
      <c r="J24" s="8">
        <f>Gas!C26</f>
        <v>285</v>
      </c>
      <c r="K24" s="8">
        <f>Gas!E26</f>
        <v>649</v>
      </c>
      <c r="L24" s="8">
        <f>Gas!G26</f>
        <v>81</v>
      </c>
      <c r="M24" s="16">
        <f>Gas!I26</f>
        <v>22</v>
      </c>
      <c r="N24" s="16">
        <f>Gas!K26</f>
        <v>1</v>
      </c>
      <c r="O24" s="8">
        <f>Gas!M26</f>
        <v>32</v>
      </c>
      <c r="P24" s="8">
        <f>Gas!O26</f>
        <v>50</v>
      </c>
      <c r="Q24" s="8">
        <f>Gas!Q26</f>
        <v>0</v>
      </c>
      <c r="R24" s="8">
        <f>Gas!S26</f>
        <v>112</v>
      </c>
      <c r="S24" s="8">
        <f>Gas!U26</f>
        <v>21</v>
      </c>
      <c r="T24" s="8">
        <f>Gas!W26</f>
        <v>44</v>
      </c>
      <c r="U24" s="8">
        <f>Gas!Y26</f>
        <v>0</v>
      </c>
      <c r="V24" s="8">
        <f>Gas!AA26</f>
        <v>101</v>
      </c>
      <c r="W24" s="8">
        <f>Gas!AC26</f>
        <v>0</v>
      </c>
      <c r="X24" s="7">
        <f>ELECT.!B28</f>
        <v>46</v>
      </c>
    </row>
    <row r="25" spans="1:24">
      <c r="A25" s="11" t="s">
        <v>11</v>
      </c>
      <c r="B25" s="14">
        <f t="shared" si="0"/>
        <v>24</v>
      </c>
      <c r="C25" s="14">
        <v>4</v>
      </c>
      <c r="D25" s="14">
        <v>2021</v>
      </c>
      <c r="E25" s="7">
        <f>Water!C28</f>
        <v>180</v>
      </c>
      <c r="F25" s="7">
        <f>Water!E28</f>
        <v>500</v>
      </c>
      <c r="G25" s="7">
        <f>ELECT.!D29</f>
        <v>3115</v>
      </c>
      <c r="H25" s="7">
        <f>ELECT.!F29</f>
        <v>5470</v>
      </c>
      <c r="I25" s="7">
        <f>ELECT.!H29</f>
        <v>5144</v>
      </c>
      <c r="J25" s="8">
        <f>Gas!C27</f>
        <v>263</v>
      </c>
      <c r="K25" s="8">
        <f>Gas!E27</f>
        <v>723</v>
      </c>
      <c r="L25" s="8">
        <f>Gas!G27</f>
        <v>82</v>
      </c>
      <c r="M25" s="16">
        <f>Gas!I27</f>
        <v>26</v>
      </c>
      <c r="N25" s="16">
        <f>Gas!K27</f>
        <v>0</v>
      </c>
      <c r="O25" s="8">
        <f>Gas!M27</f>
        <v>25</v>
      </c>
      <c r="P25" s="8">
        <f>Gas!O27</f>
        <v>50</v>
      </c>
      <c r="Q25" s="8">
        <f>Gas!Q27</f>
        <v>0</v>
      </c>
      <c r="R25" s="8">
        <f>Gas!S27</f>
        <v>113</v>
      </c>
      <c r="S25" s="8">
        <f>Gas!U27</f>
        <v>20</v>
      </c>
      <c r="T25" s="8">
        <f>Gas!W27</f>
        <v>43</v>
      </c>
      <c r="U25" s="8">
        <f>Gas!Y27</f>
        <v>0</v>
      </c>
      <c r="V25" s="8">
        <f>Gas!AA27</f>
        <v>89</v>
      </c>
      <c r="W25" s="8">
        <f>Gas!AC27</f>
        <v>0</v>
      </c>
      <c r="X25" s="7">
        <f>ELECT.!B29</f>
        <v>64</v>
      </c>
    </row>
    <row r="26" spans="1:24">
      <c r="A26" s="11" t="s">
        <v>11</v>
      </c>
      <c r="B26" s="14">
        <f>B25+1</f>
        <v>25</v>
      </c>
      <c r="C26" s="14">
        <v>4</v>
      </c>
      <c r="D26" s="14">
        <v>2021</v>
      </c>
      <c r="E26" s="7">
        <f>Water!C29</f>
        <v>160</v>
      </c>
      <c r="F26" s="7">
        <f>Water!E29</f>
        <v>652</v>
      </c>
      <c r="G26" s="7">
        <f>ELECT.!D30</f>
        <v>3030</v>
      </c>
      <c r="H26" s="7">
        <f>ELECT.!F30</f>
        <v>5486</v>
      </c>
      <c r="I26" s="7">
        <f>ELECT.!H30</f>
        <v>4888</v>
      </c>
      <c r="J26" s="8">
        <f>Gas!C28</f>
        <v>238</v>
      </c>
      <c r="K26" s="8">
        <f>Gas!E28</f>
        <v>954</v>
      </c>
      <c r="L26" s="8">
        <f>Gas!G28</f>
        <v>101</v>
      </c>
      <c r="M26" s="16">
        <f>Gas!I28</f>
        <v>10</v>
      </c>
      <c r="N26" s="16">
        <f>Gas!K28</f>
        <v>0</v>
      </c>
      <c r="O26" s="8">
        <f>Gas!M28</f>
        <v>50</v>
      </c>
      <c r="P26" s="8">
        <f>Gas!O28</f>
        <v>35</v>
      </c>
      <c r="Q26" s="8">
        <f>Gas!Q28</f>
        <v>0</v>
      </c>
      <c r="R26" s="8">
        <f>Gas!S28</f>
        <v>116</v>
      </c>
      <c r="S26" s="8">
        <f>Gas!U28</f>
        <v>15</v>
      </c>
      <c r="T26" s="8">
        <f>Gas!W28</f>
        <v>39</v>
      </c>
      <c r="U26" s="8">
        <f>Gas!Y28</f>
        <v>0</v>
      </c>
      <c r="V26" s="8">
        <f>Gas!AA28</f>
        <v>158</v>
      </c>
      <c r="W26" s="8">
        <f>Gas!AC28</f>
        <v>0</v>
      </c>
      <c r="X26" s="7">
        <f>ELECT.!B30</f>
        <v>40</v>
      </c>
    </row>
    <row r="27" spans="1:24">
      <c r="A27" s="11" t="s">
        <v>11</v>
      </c>
      <c r="B27" s="14">
        <f t="shared" si="0"/>
        <v>26</v>
      </c>
      <c r="C27" s="14">
        <v>4</v>
      </c>
      <c r="D27" s="14">
        <v>2021</v>
      </c>
      <c r="E27" s="7">
        <f>Water!C30</f>
        <v>170</v>
      </c>
      <c r="F27" s="7">
        <f>Water!E30</f>
        <v>617</v>
      </c>
      <c r="G27" s="7">
        <f>ELECT.!D31</f>
        <v>3591</v>
      </c>
      <c r="H27" s="7">
        <f>ELECT.!F31</f>
        <v>6601</v>
      </c>
      <c r="I27" s="7">
        <f>ELECT.!H31</f>
        <v>5886</v>
      </c>
      <c r="J27" s="8">
        <f>Gas!C29</f>
        <v>188</v>
      </c>
      <c r="K27" s="8">
        <f>Gas!E29</f>
        <v>538</v>
      </c>
      <c r="L27" s="8">
        <f>Gas!G29</f>
        <v>69</v>
      </c>
      <c r="M27" s="16">
        <f>Gas!I29</f>
        <v>15</v>
      </c>
      <c r="N27" s="16">
        <f>Gas!K29</f>
        <v>0</v>
      </c>
      <c r="O27" s="8">
        <f>Gas!M29</f>
        <v>29</v>
      </c>
      <c r="P27" s="8">
        <f>Gas!O29</f>
        <v>92</v>
      </c>
      <c r="Q27" s="8">
        <f>Gas!Q29</f>
        <v>0</v>
      </c>
      <c r="R27" s="8">
        <f>Gas!S29</f>
        <v>98</v>
      </c>
      <c r="S27" s="8">
        <f>Gas!U29</f>
        <v>21</v>
      </c>
      <c r="T27" s="8">
        <f>Gas!W29</f>
        <v>47</v>
      </c>
      <c r="U27" s="8">
        <f>Gas!Y29</f>
        <v>0</v>
      </c>
      <c r="V27" s="8">
        <f>Gas!AA29</f>
        <v>160</v>
      </c>
      <c r="W27" s="8">
        <f>Gas!AC29</f>
        <v>0</v>
      </c>
      <c r="X27" s="7">
        <f>ELECT.!B31</f>
        <v>69</v>
      </c>
    </row>
    <row r="28" spans="1:24">
      <c r="A28" s="11" t="s">
        <v>11</v>
      </c>
      <c r="B28" s="14">
        <f t="shared" si="0"/>
        <v>27</v>
      </c>
      <c r="C28" s="14">
        <v>4</v>
      </c>
      <c r="D28" s="14">
        <v>2021</v>
      </c>
      <c r="E28" s="7">
        <f>Water!C31</f>
        <v>190</v>
      </c>
      <c r="F28" s="7">
        <f>Water!E31</f>
        <v>598</v>
      </c>
      <c r="G28" s="7">
        <f>ELECT.!D32</f>
        <v>3260</v>
      </c>
      <c r="H28" s="7">
        <f>ELECT.!F32</f>
        <v>5923</v>
      </c>
      <c r="I28" s="7">
        <f>ELECT.!H32</f>
        <v>5927</v>
      </c>
      <c r="J28" s="8">
        <f>Gas!C30</f>
        <v>234</v>
      </c>
      <c r="K28" s="8">
        <f>Gas!E30</f>
        <v>600</v>
      </c>
      <c r="L28" s="8">
        <f>Gas!G30</f>
        <v>86</v>
      </c>
      <c r="M28" s="16">
        <f>Gas!I30</f>
        <v>14</v>
      </c>
      <c r="N28" s="16">
        <f>Gas!K30</f>
        <v>4</v>
      </c>
      <c r="O28" s="8">
        <f>Gas!M30</f>
        <v>37</v>
      </c>
      <c r="P28" s="8">
        <f>Gas!O30</f>
        <v>23</v>
      </c>
      <c r="Q28" s="8">
        <f>Gas!Q30</f>
        <v>0</v>
      </c>
      <c r="R28" s="8">
        <f>Gas!S30</f>
        <v>94</v>
      </c>
      <c r="S28" s="8">
        <f>Gas!U30</f>
        <v>18</v>
      </c>
      <c r="T28" s="8">
        <f>Gas!W30</f>
        <v>32</v>
      </c>
      <c r="U28" s="8">
        <f>Gas!Y30</f>
        <v>0</v>
      </c>
      <c r="V28" s="8">
        <f>Gas!AA30</f>
        <v>160</v>
      </c>
      <c r="W28" s="8">
        <f>Gas!AC30</f>
        <v>0</v>
      </c>
      <c r="X28" s="7">
        <f>ELECT.!B32</f>
        <v>45</v>
      </c>
    </row>
    <row r="29" spans="1:24">
      <c r="A29" s="11" t="s">
        <v>11</v>
      </c>
      <c r="B29" s="14">
        <f t="shared" si="0"/>
        <v>28</v>
      </c>
      <c r="C29" s="14">
        <v>4</v>
      </c>
      <c r="D29" s="14">
        <v>2021</v>
      </c>
      <c r="E29" s="7">
        <f>Water!C32</f>
        <v>150</v>
      </c>
      <c r="F29" s="7">
        <f>Water!E32</f>
        <v>461</v>
      </c>
      <c r="G29" s="7">
        <f>ELECT.!D33</f>
        <v>3448</v>
      </c>
      <c r="H29" s="7">
        <f>ELECT.!F33</f>
        <v>12444</v>
      </c>
      <c r="I29" s="7">
        <f>ELECT.!H33</f>
        <v>4934</v>
      </c>
      <c r="J29" s="8">
        <f>Gas!C31</f>
        <v>270</v>
      </c>
      <c r="K29" s="8">
        <f>Gas!E31</f>
        <v>567</v>
      </c>
      <c r="L29" s="8">
        <f>Gas!G31</f>
        <v>66</v>
      </c>
      <c r="M29" s="16">
        <f>Gas!I31</f>
        <v>14</v>
      </c>
      <c r="N29" s="16">
        <f>Gas!K31</f>
        <v>7</v>
      </c>
      <c r="O29" s="8">
        <f>Gas!M31</f>
        <v>23</v>
      </c>
      <c r="P29" s="8">
        <f>Gas!O31</f>
        <v>31</v>
      </c>
      <c r="Q29" s="8">
        <f>Gas!Q31</f>
        <v>0</v>
      </c>
      <c r="R29" s="8">
        <f>Gas!S31</f>
        <v>133</v>
      </c>
      <c r="S29" s="8">
        <f>Gas!U31</f>
        <v>22</v>
      </c>
      <c r="T29" s="8">
        <f>Gas!W31</f>
        <v>38</v>
      </c>
      <c r="U29" s="8">
        <f>Gas!Y31</f>
        <v>0</v>
      </c>
      <c r="V29" s="8">
        <f>Gas!AA31</f>
        <v>156</v>
      </c>
      <c r="W29" s="8">
        <f>Gas!AC31</f>
        <v>0</v>
      </c>
      <c r="X29" s="7">
        <f>ELECT.!B33</f>
        <v>36</v>
      </c>
    </row>
    <row r="30" spans="1:24">
      <c r="A30" s="11" t="s">
        <v>11</v>
      </c>
      <c r="B30" s="14">
        <f t="shared" si="0"/>
        <v>29</v>
      </c>
      <c r="C30" s="14">
        <v>4</v>
      </c>
      <c r="D30" s="14">
        <v>2021</v>
      </c>
      <c r="E30" s="7">
        <f>Water!C33</f>
        <v>190</v>
      </c>
      <c r="F30" s="7">
        <f>Water!E33</f>
        <v>567</v>
      </c>
      <c r="G30" s="7">
        <f>ELECT.!D34</f>
        <v>3115</v>
      </c>
      <c r="H30" s="7">
        <f>ELECT.!F34</f>
        <v>12187</v>
      </c>
      <c r="I30" s="7">
        <f>ELECT.!H34</f>
        <v>4941</v>
      </c>
      <c r="J30" s="8">
        <f>Gas!C32</f>
        <v>176</v>
      </c>
      <c r="K30" s="8">
        <f>Gas!E32</f>
        <v>610</v>
      </c>
      <c r="L30" s="8">
        <f>Gas!G32</f>
        <v>73</v>
      </c>
      <c r="M30" s="16">
        <f>Gas!I32</f>
        <v>15</v>
      </c>
      <c r="N30" s="16">
        <f>Gas!K32</f>
        <v>12</v>
      </c>
      <c r="O30" s="8">
        <f>Gas!M32</f>
        <v>36</v>
      </c>
      <c r="P30" s="8">
        <f>Gas!O32</f>
        <v>76</v>
      </c>
      <c r="Q30" s="8">
        <f>Gas!Q32</f>
        <v>0</v>
      </c>
      <c r="R30" s="8">
        <f>Gas!S32</f>
        <v>82</v>
      </c>
      <c r="S30" s="8">
        <f>Gas!U32</f>
        <v>19</v>
      </c>
      <c r="T30" s="8">
        <f>Gas!W32</f>
        <v>41</v>
      </c>
      <c r="U30" s="8">
        <f>Gas!Y32</f>
        <v>0</v>
      </c>
      <c r="V30" s="8">
        <f>Gas!AA32</f>
        <v>176</v>
      </c>
      <c r="W30" s="8">
        <f>Gas!AC32</f>
        <v>0</v>
      </c>
      <c r="X30" s="7">
        <f>ELECT.!B34</f>
        <v>42</v>
      </c>
    </row>
    <row r="31" spans="1:24">
      <c r="A31" s="11" t="s">
        <v>11</v>
      </c>
      <c r="B31" s="14">
        <f t="shared" si="0"/>
        <v>30</v>
      </c>
      <c r="C31" s="14">
        <v>4</v>
      </c>
      <c r="D31" s="14">
        <v>2021</v>
      </c>
      <c r="E31" s="7">
        <f>Water!C34</f>
        <v>250</v>
      </c>
      <c r="F31" s="7">
        <f>Water!E34</f>
        <v>294</v>
      </c>
      <c r="G31" s="7">
        <f>ELECT.!D35</f>
        <v>3754</v>
      </c>
      <c r="H31" s="7">
        <f>ELECT.!F35</f>
        <v>12329</v>
      </c>
      <c r="I31" s="7">
        <f>ELECT.!H35</f>
        <v>5693</v>
      </c>
      <c r="J31" s="8">
        <f>Gas!C33</f>
        <v>232</v>
      </c>
      <c r="K31" s="8">
        <f>Gas!E33</f>
        <v>901</v>
      </c>
      <c r="L31" s="8">
        <f>Gas!G33</f>
        <v>96</v>
      </c>
      <c r="M31" s="16">
        <f>Gas!I33</f>
        <v>17</v>
      </c>
      <c r="N31" s="16">
        <f>Gas!K33</f>
        <v>1</v>
      </c>
      <c r="O31" s="8">
        <f>Gas!M33</f>
        <v>35</v>
      </c>
      <c r="P31" s="8">
        <f>Gas!O33</f>
        <v>45</v>
      </c>
      <c r="Q31" s="8">
        <f>Gas!Q33</f>
        <v>0</v>
      </c>
      <c r="R31" s="8">
        <f>Gas!S33</f>
        <v>159</v>
      </c>
      <c r="S31" s="8">
        <f>Gas!U33</f>
        <v>24</v>
      </c>
      <c r="T31" s="8">
        <f>Gas!W33</f>
        <v>43</v>
      </c>
      <c r="U31" s="8">
        <f>Gas!Y33</f>
        <v>98</v>
      </c>
      <c r="V31" s="8">
        <f>Gas!AA33</f>
        <v>177</v>
      </c>
      <c r="W31" s="8">
        <f>Gas!AC33</f>
        <v>0</v>
      </c>
      <c r="X31" s="7">
        <f>ELECT.!B35</f>
        <v>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5"/>
  <sheetViews>
    <sheetView zoomScale="70" zoomScaleNormal="70" workbookViewId="0">
      <selection activeCell="D4" sqref="D4:D34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18" t="s">
        <v>32</v>
      </c>
      <c r="B1" s="119"/>
      <c r="C1" s="119"/>
      <c r="D1" s="119"/>
      <c r="E1" s="120"/>
    </row>
    <row r="2" spans="1:5" ht="19.5" thickBot="1">
      <c r="A2" s="27" t="s">
        <v>1</v>
      </c>
      <c r="B2" s="121"/>
      <c r="C2" s="122"/>
      <c r="D2" s="122"/>
      <c r="E2" s="123"/>
    </row>
    <row r="3" spans="1:5" ht="18.75">
      <c r="A3" s="28"/>
      <c r="B3" s="29" t="s">
        <v>33</v>
      </c>
      <c r="C3" s="29" t="s">
        <v>34</v>
      </c>
      <c r="D3" s="91" t="s">
        <v>35</v>
      </c>
      <c r="E3" s="30" t="s">
        <v>34</v>
      </c>
    </row>
    <row r="4" spans="1:5" ht="27">
      <c r="A4" s="46" t="s">
        <v>36</v>
      </c>
      <c r="B4" s="132"/>
      <c r="C4" s="82">
        <v>0</v>
      </c>
      <c r="D4" s="133">
        <v>531977</v>
      </c>
      <c r="E4" s="87">
        <v>0</v>
      </c>
    </row>
    <row r="5" spans="1:5" ht="26.25">
      <c r="A5" s="131">
        <v>44287</v>
      </c>
      <c r="B5" s="132">
        <v>57489</v>
      </c>
      <c r="C5" s="83">
        <v>180</v>
      </c>
      <c r="D5" s="134">
        <v>532249</v>
      </c>
      <c r="E5" s="87">
        <f>E8</f>
        <v>298</v>
      </c>
    </row>
    <row r="6" spans="1:5" ht="26.25">
      <c r="A6" s="131">
        <v>44288</v>
      </c>
      <c r="B6" s="132">
        <v>57510</v>
      </c>
      <c r="C6" s="83">
        <f t="shared" ref="C6:C34" si="0">(IF((B6-B5)&lt;0,"0",(B6-B5)))*10</f>
        <v>210</v>
      </c>
      <c r="D6" s="134">
        <v>532466</v>
      </c>
      <c r="E6" s="87">
        <f>E7</f>
        <v>254</v>
      </c>
    </row>
    <row r="7" spans="1:5" ht="26.25">
      <c r="A7" s="131">
        <v>44289</v>
      </c>
      <c r="B7" s="132">
        <v>57531</v>
      </c>
      <c r="C7" s="83">
        <f t="shared" si="0"/>
        <v>210</v>
      </c>
      <c r="D7" s="134">
        <v>532720</v>
      </c>
      <c r="E7" s="87">
        <f t="shared" ref="E7:E34" si="1">(IF((D7-D6)&lt;0,"0",(D7-D6)))</f>
        <v>254</v>
      </c>
    </row>
    <row r="8" spans="1:5" ht="26.25">
      <c r="A8" s="131">
        <v>44290</v>
      </c>
      <c r="B8" s="132">
        <v>57553</v>
      </c>
      <c r="C8" s="83">
        <f t="shared" si="0"/>
        <v>220</v>
      </c>
      <c r="D8" s="134">
        <v>533018</v>
      </c>
      <c r="E8" s="87">
        <f t="shared" si="1"/>
        <v>298</v>
      </c>
    </row>
    <row r="9" spans="1:5" ht="26.25">
      <c r="A9" s="131">
        <v>44291</v>
      </c>
      <c r="B9" s="132">
        <v>57572</v>
      </c>
      <c r="C9" s="83">
        <f t="shared" si="0"/>
        <v>190</v>
      </c>
      <c r="D9" s="134">
        <v>533323</v>
      </c>
      <c r="E9" s="87">
        <f t="shared" si="1"/>
        <v>305</v>
      </c>
    </row>
    <row r="10" spans="1:5" ht="26.25">
      <c r="A10" s="131">
        <v>44292</v>
      </c>
      <c r="B10" s="132">
        <v>57592</v>
      </c>
      <c r="C10" s="83">
        <f t="shared" si="0"/>
        <v>200</v>
      </c>
      <c r="D10" s="134">
        <v>533561</v>
      </c>
      <c r="E10" s="87">
        <f t="shared" si="1"/>
        <v>238</v>
      </c>
    </row>
    <row r="11" spans="1:5" ht="26.25">
      <c r="A11" s="131">
        <v>44293</v>
      </c>
      <c r="B11" s="132">
        <v>57615</v>
      </c>
      <c r="C11" s="83">
        <f t="shared" si="0"/>
        <v>230</v>
      </c>
      <c r="D11" s="134">
        <v>533855</v>
      </c>
      <c r="E11" s="87">
        <f t="shared" si="1"/>
        <v>294</v>
      </c>
    </row>
    <row r="12" spans="1:5" ht="26.25">
      <c r="A12" s="131">
        <v>44294</v>
      </c>
      <c r="B12" s="132">
        <v>57638</v>
      </c>
      <c r="C12" s="83">
        <f t="shared" si="0"/>
        <v>230</v>
      </c>
      <c r="D12" s="134">
        <v>534177</v>
      </c>
      <c r="E12" s="87">
        <f t="shared" si="1"/>
        <v>322</v>
      </c>
    </row>
    <row r="13" spans="1:5" ht="26.25">
      <c r="A13" s="131">
        <v>44295</v>
      </c>
      <c r="B13" s="132">
        <v>57663</v>
      </c>
      <c r="C13" s="83">
        <f t="shared" si="0"/>
        <v>250</v>
      </c>
      <c r="D13" s="134">
        <v>534479</v>
      </c>
      <c r="E13" s="87">
        <f t="shared" si="1"/>
        <v>302</v>
      </c>
    </row>
    <row r="14" spans="1:5" ht="26.25">
      <c r="A14" s="131">
        <v>44296</v>
      </c>
      <c r="B14" s="132">
        <v>57686</v>
      </c>
      <c r="C14" s="83">
        <f t="shared" si="0"/>
        <v>230</v>
      </c>
      <c r="D14" s="134">
        <v>534744</v>
      </c>
      <c r="E14" s="87">
        <f t="shared" si="1"/>
        <v>265</v>
      </c>
    </row>
    <row r="15" spans="1:5" ht="26.25">
      <c r="A15" s="131">
        <v>44297</v>
      </c>
      <c r="B15" s="132">
        <v>57706</v>
      </c>
      <c r="C15" s="83">
        <f t="shared" si="0"/>
        <v>200</v>
      </c>
      <c r="D15" s="134">
        <v>535098</v>
      </c>
      <c r="E15" s="87">
        <f t="shared" si="1"/>
        <v>354</v>
      </c>
    </row>
    <row r="16" spans="1:5" ht="26.25">
      <c r="A16" s="131">
        <v>44298</v>
      </c>
      <c r="B16" s="132">
        <v>57733</v>
      </c>
      <c r="C16" s="83">
        <f t="shared" si="0"/>
        <v>270</v>
      </c>
      <c r="D16" s="134">
        <v>535332</v>
      </c>
      <c r="E16" s="88">
        <f t="shared" si="1"/>
        <v>234</v>
      </c>
    </row>
    <row r="17" spans="1:11" ht="26.25">
      <c r="A17" s="131">
        <v>44299</v>
      </c>
      <c r="B17" s="132">
        <v>57750</v>
      </c>
      <c r="C17" s="83">
        <f t="shared" si="0"/>
        <v>170</v>
      </c>
      <c r="D17" s="134">
        <v>535562</v>
      </c>
      <c r="E17" s="90">
        <f t="shared" si="1"/>
        <v>230</v>
      </c>
    </row>
    <row r="18" spans="1:11" ht="26.25">
      <c r="A18" s="131">
        <v>44300</v>
      </c>
      <c r="B18" s="132">
        <v>57767</v>
      </c>
      <c r="C18" s="83">
        <f t="shared" si="0"/>
        <v>170</v>
      </c>
      <c r="D18" s="134">
        <v>535871</v>
      </c>
      <c r="E18" s="87">
        <f t="shared" si="1"/>
        <v>309</v>
      </c>
    </row>
    <row r="19" spans="1:11" ht="26.25">
      <c r="A19" s="131">
        <v>44301</v>
      </c>
      <c r="B19" s="132">
        <v>57789</v>
      </c>
      <c r="C19" s="83">
        <f t="shared" si="0"/>
        <v>220</v>
      </c>
      <c r="D19" s="134">
        <v>536140</v>
      </c>
      <c r="E19" s="87">
        <f t="shared" si="1"/>
        <v>269</v>
      </c>
    </row>
    <row r="20" spans="1:11" ht="26.25">
      <c r="A20" s="131">
        <v>44302</v>
      </c>
      <c r="B20" s="132">
        <v>57807</v>
      </c>
      <c r="C20" s="83">
        <f t="shared" si="0"/>
        <v>180</v>
      </c>
      <c r="D20" s="134">
        <v>536533</v>
      </c>
      <c r="E20" s="87">
        <f t="shared" si="1"/>
        <v>393</v>
      </c>
    </row>
    <row r="21" spans="1:11" ht="26.25">
      <c r="A21" s="131">
        <v>44303</v>
      </c>
      <c r="B21" s="132">
        <v>57827</v>
      </c>
      <c r="C21" s="83">
        <f t="shared" si="0"/>
        <v>200</v>
      </c>
      <c r="D21" s="134">
        <v>536925</v>
      </c>
      <c r="E21" s="87">
        <f t="shared" si="1"/>
        <v>392</v>
      </c>
    </row>
    <row r="22" spans="1:11" ht="26.25">
      <c r="A22" s="131">
        <v>44304</v>
      </c>
      <c r="B22" s="132">
        <v>57843</v>
      </c>
      <c r="C22" s="83">
        <f t="shared" si="0"/>
        <v>160</v>
      </c>
      <c r="D22" s="134">
        <v>537291</v>
      </c>
      <c r="E22" s="87">
        <f t="shared" si="1"/>
        <v>366</v>
      </c>
    </row>
    <row r="23" spans="1:11" ht="26.25">
      <c r="A23" s="131">
        <v>44305</v>
      </c>
      <c r="B23" s="132">
        <v>57857</v>
      </c>
      <c r="C23" s="83">
        <f t="shared" si="0"/>
        <v>140</v>
      </c>
      <c r="D23" s="134">
        <v>537665</v>
      </c>
      <c r="E23" s="87">
        <f t="shared" si="1"/>
        <v>374</v>
      </c>
    </row>
    <row r="24" spans="1:11" ht="26.25">
      <c r="A24" s="131">
        <v>44306</v>
      </c>
      <c r="B24" s="132">
        <v>57873</v>
      </c>
      <c r="C24" s="83">
        <f t="shared" si="0"/>
        <v>160</v>
      </c>
      <c r="D24" s="134">
        <v>538052</v>
      </c>
      <c r="E24" s="87">
        <f t="shared" si="1"/>
        <v>387</v>
      </c>
    </row>
    <row r="25" spans="1:11" ht="26.25">
      <c r="A25" s="131">
        <v>44307</v>
      </c>
      <c r="B25" s="132">
        <v>57890</v>
      </c>
      <c r="C25" s="83">
        <f t="shared" si="0"/>
        <v>170</v>
      </c>
      <c r="D25" s="134">
        <v>538455</v>
      </c>
      <c r="E25" s="87">
        <f t="shared" si="1"/>
        <v>403</v>
      </c>
    </row>
    <row r="26" spans="1:11" ht="26.25">
      <c r="A26" s="131">
        <v>44308</v>
      </c>
      <c r="B26" s="132">
        <v>57906</v>
      </c>
      <c r="C26" s="83">
        <f t="shared" si="0"/>
        <v>160</v>
      </c>
      <c r="D26" s="134">
        <v>538821</v>
      </c>
      <c r="E26" s="87">
        <f t="shared" si="1"/>
        <v>366</v>
      </c>
    </row>
    <row r="27" spans="1:11" ht="26.25">
      <c r="A27" s="131">
        <v>44309</v>
      </c>
      <c r="B27" s="132">
        <v>57923</v>
      </c>
      <c r="C27" s="83">
        <f t="shared" si="0"/>
        <v>170</v>
      </c>
      <c r="D27" s="134">
        <v>539432</v>
      </c>
      <c r="E27" s="87">
        <f t="shared" si="1"/>
        <v>611</v>
      </c>
      <c r="K27" s="23"/>
    </row>
    <row r="28" spans="1:11" ht="26.25">
      <c r="A28" s="131">
        <v>44310</v>
      </c>
      <c r="B28" s="132">
        <v>57941</v>
      </c>
      <c r="C28" s="83">
        <f t="shared" si="0"/>
        <v>180</v>
      </c>
      <c r="D28" s="134">
        <v>539932</v>
      </c>
      <c r="E28" s="87">
        <f t="shared" si="1"/>
        <v>500</v>
      </c>
    </row>
    <row r="29" spans="1:11" ht="26.25">
      <c r="A29" s="131">
        <v>44311</v>
      </c>
      <c r="B29" s="132">
        <v>57957</v>
      </c>
      <c r="C29" s="83">
        <f t="shared" si="0"/>
        <v>160</v>
      </c>
      <c r="D29" s="134">
        <v>540584</v>
      </c>
      <c r="E29" s="87">
        <f t="shared" si="1"/>
        <v>652</v>
      </c>
    </row>
    <row r="30" spans="1:11" ht="26.25">
      <c r="A30" s="131">
        <v>44312</v>
      </c>
      <c r="B30" s="132">
        <v>57974</v>
      </c>
      <c r="C30" s="83">
        <f t="shared" si="0"/>
        <v>170</v>
      </c>
      <c r="D30" s="134">
        <v>541201</v>
      </c>
      <c r="E30" s="87">
        <f t="shared" si="1"/>
        <v>617</v>
      </c>
    </row>
    <row r="31" spans="1:11" ht="26.25">
      <c r="A31" s="131">
        <v>44313</v>
      </c>
      <c r="B31" s="132">
        <v>57993</v>
      </c>
      <c r="C31" s="83">
        <f t="shared" si="0"/>
        <v>190</v>
      </c>
      <c r="D31" s="134">
        <v>541799</v>
      </c>
      <c r="E31" s="87">
        <f t="shared" si="1"/>
        <v>598</v>
      </c>
    </row>
    <row r="32" spans="1:11" ht="26.25">
      <c r="A32" s="131">
        <v>44314</v>
      </c>
      <c r="B32" s="132">
        <v>58008</v>
      </c>
      <c r="C32" s="83">
        <f t="shared" si="0"/>
        <v>150</v>
      </c>
      <c r="D32" s="134">
        <v>542260</v>
      </c>
      <c r="E32" s="87">
        <f t="shared" si="1"/>
        <v>461</v>
      </c>
    </row>
    <row r="33" spans="1:5" ht="26.25">
      <c r="A33" s="131">
        <v>44315</v>
      </c>
      <c r="B33" s="132">
        <v>58027</v>
      </c>
      <c r="C33" s="83">
        <f t="shared" si="0"/>
        <v>190</v>
      </c>
      <c r="D33" s="134">
        <v>542827</v>
      </c>
      <c r="E33" s="87">
        <f t="shared" si="1"/>
        <v>567</v>
      </c>
    </row>
    <row r="34" spans="1:5" ht="26.25">
      <c r="A34" s="131">
        <v>44316</v>
      </c>
      <c r="B34" s="132">
        <v>58052</v>
      </c>
      <c r="C34" s="83">
        <f t="shared" si="0"/>
        <v>250</v>
      </c>
      <c r="D34" s="134">
        <v>543121</v>
      </c>
      <c r="E34" s="88">
        <f t="shared" si="1"/>
        <v>294</v>
      </c>
    </row>
    <row r="35" spans="1:5" ht="27">
      <c r="A35" s="84" t="s">
        <v>37</v>
      </c>
      <c r="B35" s="85"/>
      <c r="C35" s="47">
        <f>SUM(C5:C34)</f>
        <v>5810</v>
      </c>
      <c r="D35" s="86"/>
      <c r="E35" s="89">
        <f>SUM(E5:E34)</f>
        <v>11207</v>
      </c>
    </row>
  </sheetData>
  <mergeCells count="2">
    <mergeCell ref="A1:E1"/>
    <mergeCell ref="B2:E2"/>
  </mergeCells>
  <phoneticPr fontId="0" type="noConversion"/>
  <conditionalFormatting sqref="B35 C4:C34 D35 E4:E34">
    <cfRule type="cellIs" dxfId="42" priority="110" stopIfTrue="1" operator="lessThan">
      <formula>0</formula>
    </cfRule>
  </conditionalFormatting>
  <conditionalFormatting sqref="D35">
    <cfRule type="cellIs" dxfId="41" priority="108" stopIfTrue="1" operator="lessThan">
      <formula>0</formula>
    </cfRule>
  </conditionalFormatting>
  <conditionalFormatting sqref="B4">
    <cfRule type="cellIs" dxfId="40" priority="4" stopIfTrue="1" operator="lessThan">
      <formula>0</formula>
    </cfRule>
  </conditionalFormatting>
  <conditionalFormatting sqref="B5:B34">
    <cfRule type="cellIs" dxfId="39" priority="3" stopIfTrue="1" operator="lessThan">
      <formula>0</formula>
    </cfRule>
  </conditionalFormatting>
  <conditionalFormatting sqref="D5:D34">
    <cfRule type="cellIs" dxfId="38" priority="2" stopIfTrue="1" operator="lessThan">
      <formula>0</formula>
    </cfRule>
  </conditionalFormatting>
  <conditionalFormatting sqref="D4">
    <cfRule type="cellIs" dxfId="37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3"/>
  <sheetViews>
    <sheetView zoomScale="60" zoomScaleNormal="60" workbookViewId="0">
      <selection activeCell="G5" sqref="G5:G35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24" t="s">
        <v>38</v>
      </c>
      <c r="B1" s="125"/>
      <c r="C1" s="125"/>
      <c r="D1" s="125"/>
      <c r="E1" s="125"/>
      <c r="F1" s="125"/>
      <c r="G1" s="125"/>
      <c r="H1" s="125"/>
      <c r="I1" s="126"/>
    </row>
    <row r="2" spans="1:23" ht="15.75" customHeight="1" thickTop="1" thickBot="1">
      <c r="A2" s="127" t="s">
        <v>39</v>
      </c>
      <c r="B2" s="128"/>
      <c r="C2" s="128"/>
      <c r="D2" s="128"/>
      <c r="E2" s="128"/>
      <c r="F2" s="128"/>
      <c r="G2" s="128"/>
      <c r="H2" s="128"/>
      <c r="I2" s="129"/>
      <c r="J2" s="103" t="s">
        <v>40</v>
      </c>
      <c r="K2" s="104"/>
      <c r="L2" s="104"/>
      <c r="M2" s="104"/>
      <c r="N2" s="104"/>
      <c r="O2" s="105"/>
      <c r="P2" s="103" t="s">
        <v>41</v>
      </c>
      <c r="Q2" s="104"/>
      <c r="R2" s="104"/>
      <c r="S2" s="104"/>
      <c r="T2" s="104"/>
      <c r="U2" s="104"/>
      <c r="V2" s="104"/>
      <c r="W2" s="105"/>
    </row>
    <row r="3" spans="1:23" ht="16.5" thickBot="1">
      <c r="A3" s="44" t="s">
        <v>1</v>
      </c>
      <c r="B3" s="45" t="s">
        <v>42</v>
      </c>
      <c r="C3" s="115" t="s">
        <v>43</v>
      </c>
      <c r="D3" s="38" t="s">
        <v>34</v>
      </c>
      <c r="E3" s="38" t="s">
        <v>44</v>
      </c>
      <c r="F3" s="116" t="s">
        <v>34</v>
      </c>
      <c r="G3" s="38" t="s">
        <v>45</v>
      </c>
      <c r="H3" s="31" t="s">
        <v>34</v>
      </c>
      <c r="I3" s="96" t="s">
        <v>37</v>
      </c>
      <c r="J3" s="106" t="s">
        <v>46</v>
      </c>
      <c r="K3" s="38"/>
      <c r="L3" s="38" t="s">
        <v>47</v>
      </c>
      <c r="M3" s="38"/>
      <c r="N3" s="38" t="s">
        <v>48</v>
      </c>
      <c r="O3" s="96"/>
      <c r="P3" s="106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96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7" t="s">
        <v>53</v>
      </c>
      <c r="J4" s="107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7" t="s">
        <v>55</v>
      </c>
      <c r="P4" s="107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7" t="s">
        <v>55</v>
      </c>
    </row>
    <row r="5" spans="1:23" ht="26.25">
      <c r="A5" s="35" t="s">
        <v>36</v>
      </c>
      <c r="B5" s="33">
        <v>20</v>
      </c>
      <c r="C5" s="135">
        <v>48254188</v>
      </c>
      <c r="D5" s="41">
        <v>0</v>
      </c>
      <c r="E5" s="135">
        <v>46508865</v>
      </c>
      <c r="F5" s="77">
        <v>0</v>
      </c>
      <c r="G5" s="135">
        <v>35243735</v>
      </c>
      <c r="H5" s="77">
        <v>0</v>
      </c>
      <c r="I5" s="99"/>
      <c r="J5" s="108"/>
      <c r="K5" s="108"/>
      <c r="L5" s="108"/>
      <c r="M5" s="108"/>
      <c r="N5" s="108"/>
      <c r="O5" s="98"/>
      <c r="P5" s="108"/>
      <c r="Q5" s="108"/>
      <c r="R5" s="108"/>
      <c r="S5" s="108"/>
      <c r="T5" s="108"/>
      <c r="U5" s="108"/>
      <c r="V5" s="108"/>
      <c r="W5" s="98"/>
    </row>
    <row r="6" spans="1:23" ht="26.25">
      <c r="A6" s="32">
        <v>44287</v>
      </c>
      <c r="B6" s="34">
        <v>19</v>
      </c>
      <c r="C6" s="135">
        <v>48258051</v>
      </c>
      <c r="D6" s="42">
        <f>IF((C6-C5)&lt;0,"0",(C6-C5))</f>
        <v>3863</v>
      </c>
      <c r="E6" s="135">
        <v>46516291</v>
      </c>
      <c r="F6" s="42">
        <f>IF((E6-E5)&lt;0,"0",(E6-E5))</f>
        <v>7426</v>
      </c>
      <c r="G6" s="135">
        <v>35249644</v>
      </c>
      <c r="H6" s="42">
        <f>IF((G6-G5)&lt;0,"0",(G6-G5))</f>
        <v>5909</v>
      </c>
      <c r="I6" s="100">
        <f>D6+F6+H6</f>
        <v>17198</v>
      </c>
      <c r="J6" s="108"/>
      <c r="K6" s="108">
        <f t="shared" ref="K6:K34" si="0">IF(J6-J5&lt;0,0,J6-J5)</f>
        <v>0</v>
      </c>
      <c r="L6" s="108"/>
      <c r="M6" s="108">
        <f t="shared" ref="M6:U21" si="1">IF(L6-L5&lt;0,0,L6-L5)</f>
        <v>0</v>
      </c>
      <c r="N6" s="108"/>
      <c r="O6" s="98">
        <f t="shared" si="1"/>
        <v>0</v>
      </c>
      <c r="P6" s="108"/>
      <c r="Q6" s="108">
        <f t="shared" si="1"/>
        <v>0</v>
      </c>
      <c r="R6" s="108"/>
      <c r="S6" s="108">
        <f t="shared" si="1"/>
        <v>0</v>
      </c>
      <c r="T6" s="108"/>
      <c r="U6" s="108">
        <f t="shared" si="1"/>
        <v>0</v>
      </c>
      <c r="V6" s="108"/>
      <c r="W6" s="98">
        <f t="shared" ref="W6:W27" si="2">IF(V6-V5&lt;0,0,V6-V5)</f>
        <v>0</v>
      </c>
    </row>
    <row r="7" spans="1:23" ht="26.25">
      <c r="A7" s="32">
        <v>44288</v>
      </c>
      <c r="B7" s="34">
        <v>32</v>
      </c>
      <c r="C7" s="135">
        <v>48261996</v>
      </c>
      <c r="D7" s="42">
        <f t="shared" ref="D7:D32" si="3">IF((C7-C6)&lt;0,"0",(C7-C6))</f>
        <v>3945</v>
      </c>
      <c r="E7" s="135">
        <v>46523846</v>
      </c>
      <c r="F7" s="42">
        <f t="shared" ref="F7:F32" si="4">IF((E7-E6)&lt;0,"0",(E7-E6))</f>
        <v>7555</v>
      </c>
      <c r="G7" s="135">
        <v>35256560</v>
      </c>
      <c r="H7" s="42">
        <f t="shared" ref="H7:H32" si="5">IF((G7-G6)&lt;0,"0",(G7-G6))</f>
        <v>6916</v>
      </c>
      <c r="I7" s="100">
        <f t="shared" ref="I7:I36" si="6">D7+F7+H7</f>
        <v>18416</v>
      </c>
      <c r="J7" s="108"/>
      <c r="K7" s="108">
        <f t="shared" si="0"/>
        <v>0</v>
      </c>
      <c r="L7" s="108"/>
      <c r="M7" s="108">
        <f t="shared" si="1"/>
        <v>0</v>
      </c>
      <c r="N7" s="108"/>
      <c r="O7" s="98">
        <f t="shared" si="1"/>
        <v>0</v>
      </c>
      <c r="P7" s="108"/>
      <c r="Q7" s="108">
        <f t="shared" si="1"/>
        <v>0</v>
      </c>
      <c r="R7" s="108"/>
      <c r="S7" s="108">
        <f t="shared" si="1"/>
        <v>0</v>
      </c>
      <c r="T7" s="108"/>
      <c r="U7" s="108">
        <f t="shared" si="1"/>
        <v>0</v>
      </c>
      <c r="V7" s="108"/>
      <c r="W7" s="98">
        <f t="shared" si="2"/>
        <v>0</v>
      </c>
    </row>
    <row r="8" spans="1:23" ht="26.25">
      <c r="A8" s="32">
        <v>44289</v>
      </c>
      <c r="B8" s="34">
        <v>32</v>
      </c>
      <c r="C8" s="135">
        <v>48265593</v>
      </c>
      <c r="D8" s="42">
        <f t="shared" si="3"/>
        <v>3597</v>
      </c>
      <c r="E8" s="135">
        <v>46531146</v>
      </c>
      <c r="F8" s="42">
        <f t="shared" si="4"/>
        <v>7300</v>
      </c>
      <c r="G8" s="135">
        <v>35262922</v>
      </c>
      <c r="H8" s="42">
        <f t="shared" si="5"/>
        <v>6362</v>
      </c>
      <c r="I8" s="100">
        <f t="shared" si="6"/>
        <v>17259</v>
      </c>
      <c r="J8" s="108"/>
      <c r="K8" s="108">
        <f t="shared" si="0"/>
        <v>0</v>
      </c>
      <c r="L8" s="108"/>
      <c r="M8" s="108">
        <f t="shared" si="1"/>
        <v>0</v>
      </c>
      <c r="N8" s="108"/>
      <c r="O8" s="98">
        <f t="shared" si="1"/>
        <v>0</v>
      </c>
      <c r="P8" s="108"/>
      <c r="Q8" s="108">
        <f t="shared" si="1"/>
        <v>0</v>
      </c>
      <c r="R8" s="108"/>
      <c r="S8" s="108">
        <f t="shared" si="1"/>
        <v>0</v>
      </c>
      <c r="T8" s="108"/>
      <c r="U8" s="108">
        <f t="shared" si="1"/>
        <v>0</v>
      </c>
      <c r="V8" s="108"/>
      <c r="W8" s="98">
        <f t="shared" si="2"/>
        <v>0</v>
      </c>
    </row>
    <row r="9" spans="1:23" ht="26.25">
      <c r="A9" s="32">
        <v>44290</v>
      </c>
      <c r="B9" s="34">
        <v>52</v>
      </c>
      <c r="C9" s="135">
        <v>48269678</v>
      </c>
      <c r="D9" s="42">
        <f t="shared" si="3"/>
        <v>4085</v>
      </c>
      <c r="E9" s="135">
        <v>46538786</v>
      </c>
      <c r="F9" s="42">
        <f t="shared" si="4"/>
        <v>7640</v>
      </c>
      <c r="G9" s="135">
        <v>35269772</v>
      </c>
      <c r="H9" s="42">
        <f t="shared" si="5"/>
        <v>6850</v>
      </c>
      <c r="I9" s="100">
        <f t="shared" si="6"/>
        <v>18575</v>
      </c>
      <c r="J9" s="108"/>
      <c r="K9" s="108">
        <f t="shared" si="0"/>
        <v>0</v>
      </c>
      <c r="L9" s="108"/>
      <c r="M9" s="108">
        <f t="shared" si="1"/>
        <v>0</v>
      </c>
      <c r="N9" s="108"/>
      <c r="O9" s="98">
        <f t="shared" si="1"/>
        <v>0</v>
      </c>
      <c r="P9" s="108"/>
      <c r="Q9" s="108">
        <f t="shared" si="1"/>
        <v>0</v>
      </c>
      <c r="R9" s="108"/>
      <c r="S9" s="108">
        <f t="shared" si="1"/>
        <v>0</v>
      </c>
      <c r="T9" s="108"/>
      <c r="U9" s="108">
        <f t="shared" si="1"/>
        <v>0</v>
      </c>
      <c r="V9" s="108"/>
      <c r="W9" s="98">
        <f t="shared" si="2"/>
        <v>0</v>
      </c>
    </row>
    <row r="10" spans="1:23" ht="26.25">
      <c r="A10" s="32">
        <v>44291</v>
      </c>
      <c r="B10" s="34">
        <v>63</v>
      </c>
      <c r="C10" s="135">
        <v>48273210</v>
      </c>
      <c r="D10" s="42">
        <f t="shared" si="3"/>
        <v>3532</v>
      </c>
      <c r="E10" s="135">
        <v>46545123</v>
      </c>
      <c r="F10" s="42">
        <f t="shared" si="4"/>
        <v>6337</v>
      </c>
      <c r="G10" s="135">
        <v>35275494</v>
      </c>
      <c r="H10" s="42">
        <f t="shared" si="5"/>
        <v>5722</v>
      </c>
      <c r="I10" s="100">
        <f t="shared" si="6"/>
        <v>15591</v>
      </c>
      <c r="J10" s="108"/>
      <c r="K10" s="108">
        <f t="shared" si="0"/>
        <v>0</v>
      </c>
      <c r="L10" s="108"/>
      <c r="M10" s="108">
        <f t="shared" si="1"/>
        <v>0</v>
      </c>
      <c r="N10" s="108"/>
      <c r="O10" s="98">
        <f t="shared" si="1"/>
        <v>0</v>
      </c>
      <c r="P10" s="108"/>
      <c r="Q10" s="108">
        <f t="shared" si="1"/>
        <v>0</v>
      </c>
      <c r="R10" s="108"/>
      <c r="S10" s="108">
        <f t="shared" si="1"/>
        <v>0</v>
      </c>
      <c r="T10" s="108"/>
      <c r="U10" s="108">
        <f t="shared" si="1"/>
        <v>0</v>
      </c>
      <c r="V10" s="108"/>
      <c r="W10" s="98">
        <f t="shared" si="2"/>
        <v>0</v>
      </c>
    </row>
    <row r="11" spans="1:23" ht="26.25">
      <c r="A11" s="32">
        <v>44292</v>
      </c>
      <c r="B11" s="34">
        <v>33</v>
      </c>
      <c r="C11" s="135">
        <v>48277801</v>
      </c>
      <c r="D11" s="42">
        <f t="shared" si="3"/>
        <v>4591</v>
      </c>
      <c r="E11" s="135">
        <v>46553623</v>
      </c>
      <c r="F11" s="42">
        <f t="shared" si="4"/>
        <v>8500</v>
      </c>
      <c r="G11" s="135">
        <v>35283669</v>
      </c>
      <c r="H11" s="42">
        <f t="shared" si="5"/>
        <v>8175</v>
      </c>
      <c r="I11" s="100">
        <f t="shared" si="6"/>
        <v>21266</v>
      </c>
      <c r="J11" s="108"/>
      <c r="K11" s="108">
        <f t="shared" si="0"/>
        <v>0</v>
      </c>
      <c r="L11" s="108"/>
      <c r="M11" s="108">
        <f t="shared" si="1"/>
        <v>0</v>
      </c>
      <c r="N11" s="108"/>
      <c r="O11" s="98">
        <f t="shared" si="1"/>
        <v>0</v>
      </c>
      <c r="P11" s="108"/>
      <c r="Q11" s="108">
        <f t="shared" si="1"/>
        <v>0</v>
      </c>
      <c r="R11" s="108"/>
      <c r="S11" s="108">
        <f t="shared" si="1"/>
        <v>0</v>
      </c>
      <c r="T11" s="108"/>
      <c r="U11" s="108">
        <f t="shared" si="1"/>
        <v>0</v>
      </c>
      <c r="V11" s="108"/>
      <c r="W11" s="98">
        <f t="shared" si="2"/>
        <v>0</v>
      </c>
    </row>
    <row r="12" spans="1:23" ht="26.25">
      <c r="A12" s="32">
        <v>44293</v>
      </c>
      <c r="B12" s="34">
        <v>26</v>
      </c>
      <c r="C12" s="135">
        <v>48281814</v>
      </c>
      <c r="D12" s="42">
        <f t="shared" si="3"/>
        <v>4013</v>
      </c>
      <c r="E12" s="135">
        <v>46561366</v>
      </c>
      <c r="F12" s="42">
        <f t="shared" si="4"/>
        <v>7743</v>
      </c>
      <c r="G12" s="135">
        <v>35290080</v>
      </c>
      <c r="H12" s="42">
        <f t="shared" si="5"/>
        <v>6411</v>
      </c>
      <c r="I12" s="100">
        <f t="shared" si="6"/>
        <v>18167</v>
      </c>
      <c r="J12" s="108"/>
      <c r="K12" s="108">
        <f t="shared" si="0"/>
        <v>0</v>
      </c>
      <c r="L12" s="108"/>
      <c r="M12" s="108">
        <f t="shared" si="1"/>
        <v>0</v>
      </c>
      <c r="N12" s="108"/>
      <c r="O12" s="98">
        <f t="shared" si="1"/>
        <v>0</v>
      </c>
      <c r="P12" s="108"/>
      <c r="Q12" s="108">
        <f t="shared" si="1"/>
        <v>0</v>
      </c>
      <c r="R12" s="108"/>
      <c r="S12" s="108">
        <f t="shared" si="1"/>
        <v>0</v>
      </c>
      <c r="T12" s="108"/>
      <c r="U12" s="108">
        <f t="shared" si="1"/>
        <v>0</v>
      </c>
      <c r="V12" s="108"/>
      <c r="W12" s="98">
        <f t="shared" si="2"/>
        <v>0</v>
      </c>
    </row>
    <row r="13" spans="1:23" ht="26.25">
      <c r="A13" s="32">
        <v>44294</v>
      </c>
      <c r="B13" s="34">
        <v>28</v>
      </c>
      <c r="C13" s="135">
        <v>48285778</v>
      </c>
      <c r="D13" s="42">
        <f t="shared" si="3"/>
        <v>3964</v>
      </c>
      <c r="E13" s="135">
        <v>46569135</v>
      </c>
      <c r="F13" s="42">
        <f t="shared" si="4"/>
        <v>7769</v>
      </c>
      <c r="G13" s="135">
        <v>35295647</v>
      </c>
      <c r="H13" s="42">
        <f t="shared" si="5"/>
        <v>5567</v>
      </c>
      <c r="I13" s="100">
        <f t="shared" si="6"/>
        <v>17300</v>
      </c>
      <c r="J13" s="108"/>
      <c r="K13" s="108">
        <f t="shared" si="0"/>
        <v>0</v>
      </c>
      <c r="L13" s="108"/>
      <c r="M13" s="108">
        <f t="shared" si="1"/>
        <v>0</v>
      </c>
      <c r="N13" s="108"/>
      <c r="O13" s="98">
        <f t="shared" si="1"/>
        <v>0</v>
      </c>
      <c r="P13" s="108"/>
      <c r="Q13" s="108">
        <f t="shared" si="1"/>
        <v>0</v>
      </c>
      <c r="R13" s="108"/>
      <c r="S13" s="108">
        <f t="shared" si="1"/>
        <v>0</v>
      </c>
      <c r="T13" s="108"/>
      <c r="U13" s="108">
        <f t="shared" si="1"/>
        <v>0</v>
      </c>
      <c r="V13" s="108"/>
      <c r="W13" s="98">
        <f t="shared" si="2"/>
        <v>0</v>
      </c>
    </row>
    <row r="14" spans="1:23" ht="26.25">
      <c r="A14" s="32">
        <v>44295</v>
      </c>
      <c r="B14" s="34">
        <v>43</v>
      </c>
      <c r="C14" s="135">
        <v>48290045</v>
      </c>
      <c r="D14" s="42">
        <f t="shared" si="3"/>
        <v>4267</v>
      </c>
      <c r="E14" s="135">
        <v>46576570</v>
      </c>
      <c r="F14" s="42">
        <f t="shared" si="4"/>
        <v>7435</v>
      </c>
      <c r="G14" s="135">
        <v>35301275</v>
      </c>
      <c r="H14" s="42">
        <f t="shared" si="5"/>
        <v>5628</v>
      </c>
      <c r="I14" s="100">
        <f t="shared" si="6"/>
        <v>17330</v>
      </c>
      <c r="J14" s="108"/>
      <c r="K14" s="108">
        <f t="shared" si="0"/>
        <v>0</v>
      </c>
      <c r="L14" s="108"/>
      <c r="M14" s="108">
        <f t="shared" si="1"/>
        <v>0</v>
      </c>
      <c r="N14" s="108"/>
      <c r="O14" s="98">
        <f t="shared" si="1"/>
        <v>0</v>
      </c>
      <c r="P14" s="108"/>
      <c r="Q14" s="108">
        <f t="shared" si="1"/>
        <v>0</v>
      </c>
      <c r="R14" s="108"/>
      <c r="S14" s="108">
        <f t="shared" si="1"/>
        <v>0</v>
      </c>
      <c r="T14" s="108"/>
      <c r="U14" s="108">
        <f t="shared" si="1"/>
        <v>0</v>
      </c>
      <c r="V14" s="108"/>
      <c r="W14" s="98">
        <f t="shared" si="2"/>
        <v>0</v>
      </c>
    </row>
    <row r="15" spans="1:23" ht="26.25">
      <c r="A15" s="32">
        <v>44296</v>
      </c>
      <c r="B15" s="34">
        <v>60</v>
      </c>
      <c r="C15" s="135">
        <v>48294441</v>
      </c>
      <c r="D15" s="42">
        <f t="shared" ref="D15:D27" si="7">IF((C15-C14)&lt;0,"0",(C15-C14))</f>
        <v>4396</v>
      </c>
      <c r="E15" s="135">
        <v>46585243</v>
      </c>
      <c r="F15" s="42">
        <f t="shared" si="4"/>
        <v>8673</v>
      </c>
      <c r="G15" s="135">
        <v>35308122</v>
      </c>
      <c r="H15" s="42">
        <f t="shared" si="5"/>
        <v>6847</v>
      </c>
      <c r="I15" s="100">
        <f t="shared" si="6"/>
        <v>19916</v>
      </c>
      <c r="J15" s="108"/>
      <c r="K15" s="108">
        <f t="shared" si="0"/>
        <v>0</v>
      </c>
      <c r="L15" s="108"/>
      <c r="M15" s="108">
        <f t="shared" si="1"/>
        <v>0</v>
      </c>
      <c r="N15" s="108"/>
      <c r="O15" s="98">
        <f t="shared" si="1"/>
        <v>0</v>
      </c>
      <c r="P15" s="108"/>
      <c r="Q15" s="108">
        <f t="shared" si="1"/>
        <v>0</v>
      </c>
      <c r="R15" s="108"/>
      <c r="S15" s="108">
        <f t="shared" si="1"/>
        <v>0</v>
      </c>
      <c r="T15" s="108"/>
      <c r="U15" s="108">
        <f t="shared" si="1"/>
        <v>0</v>
      </c>
      <c r="V15" s="108"/>
      <c r="W15" s="98">
        <f t="shared" si="2"/>
        <v>0</v>
      </c>
    </row>
    <row r="16" spans="1:23" ht="26.25">
      <c r="A16" s="32">
        <v>44297</v>
      </c>
      <c r="B16" s="34">
        <v>77</v>
      </c>
      <c r="C16" s="135">
        <v>48298028</v>
      </c>
      <c r="D16" s="42">
        <f t="shared" si="7"/>
        <v>3587</v>
      </c>
      <c r="E16" s="135">
        <v>46592228</v>
      </c>
      <c r="F16" s="42">
        <f t="shared" si="4"/>
        <v>6985</v>
      </c>
      <c r="G16" s="135">
        <v>35313673</v>
      </c>
      <c r="H16" s="42">
        <f t="shared" si="5"/>
        <v>5551</v>
      </c>
      <c r="I16" s="100">
        <f t="shared" si="6"/>
        <v>16123</v>
      </c>
      <c r="J16" s="108"/>
      <c r="K16" s="108">
        <f t="shared" si="0"/>
        <v>0</v>
      </c>
      <c r="L16" s="108"/>
      <c r="M16" s="108">
        <f t="shared" si="1"/>
        <v>0</v>
      </c>
      <c r="N16" s="108"/>
      <c r="O16" s="98">
        <f t="shared" si="1"/>
        <v>0</v>
      </c>
      <c r="P16" s="108"/>
      <c r="Q16" s="108">
        <f t="shared" si="1"/>
        <v>0</v>
      </c>
      <c r="R16" s="108"/>
      <c r="S16" s="108">
        <f t="shared" si="1"/>
        <v>0</v>
      </c>
      <c r="T16" s="108"/>
      <c r="U16" s="108">
        <f t="shared" si="1"/>
        <v>0</v>
      </c>
      <c r="V16" s="108"/>
      <c r="W16" s="98">
        <f t="shared" si="2"/>
        <v>0</v>
      </c>
    </row>
    <row r="17" spans="1:23" ht="26.25">
      <c r="A17" s="32">
        <v>44298</v>
      </c>
      <c r="B17" s="34">
        <v>77</v>
      </c>
      <c r="C17" s="135">
        <v>48301650</v>
      </c>
      <c r="D17" s="42">
        <f t="shared" si="7"/>
        <v>3622</v>
      </c>
      <c r="E17" s="135">
        <v>46599155</v>
      </c>
      <c r="F17" s="42">
        <f t="shared" si="4"/>
        <v>6927</v>
      </c>
      <c r="G17" s="135">
        <v>35319297</v>
      </c>
      <c r="H17" s="42">
        <f t="shared" si="5"/>
        <v>5624</v>
      </c>
      <c r="I17" s="100">
        <f t="shared" si="6"/>
        <v>16173</v>
      </c>
      <c r="J17" s="108"/>
      <c r="K17" s="108">
        <f t="shared" si="0"/>
        <v>0</v>
      </c>
      <c r="L17" s="108"/>
      <c r="M17" s="108">
        <f t="shared" si="1"/>
        <v>0</v>
      </c>
      <c r="N17" s="108"/>
      <c r="O17" s="98">
        <f t="shared" si="1"/>
        <v>0</v>
      </c>
      <c r="P17" s="108"/>
      <c r="Q17" s="108">
        <f t="shared" si="1"/>
        <v>0</v>
      </c>
      <c r="R17" s="108"/>
      <c r="S17" s="108">
        <f t="shared" si="1"/>
        <v>0</v>
      </c>
      <c r="T17" s="108"/>
      <c r="U17" s="108">
        <f t="shared" si="1"/>
        <v>0</v>
      </c>
      <c r="V17" s="108"/>
      <c r="W17" s="98">
        <f t="shared" si="2"/>
        <v>0</v>
      </c>
    </row>
    <row r="18" spans="1:23" ht="26.25">
      <c r="A18" s="32">
        <v>44299</v>
      </c>
      <c r="B18" s="34">
        <v>39</v>
      </c>
      <c r="C18" s="135">
        <v>48305032</v>
      </c>
      <c r="D18" s="42">
        <f t="shared" si="7"/>
        <v>3382</v>
      </c>
      <c r="E18" s="135">
        <v>46605827</v>
      </c>
      <c r="F18" s="42">
        <f t="shared" si="4"/>
        <v>6672</v>
      </c>
      <c r="G18" s="135">
        <v>35324998</v>
      </c>
      <c r="H18" s="42">
        <f t="shared" si="5"/>
        <v>5701</v>
      </c>
      <c r="I18" s="100">
        <f t="shared" si="6"/>
        <v>15755</v>
      </c>
      <c r="J18" s="108"/>
      <c r="K18" s="108">
        <f t="shared" si="0"/>
        <v>0</v>
      </c>
      <c r="L18" s="108"/>
      <c r="M18" s="108">
        <f t="shared" si="1"/>
        <v>0</v>
      </c>
      <c r="N18" s="108"/>
      <c r="O18" s="98">
        <f t="shared" si="1"/>
        <v>0</v>
      </c>
      <c r="P18" s="108"/>
      <c r="Q18" s="108">
        <f t="shared" si="1"/>
        <v>0</v>
      </c>
      <c r="R18" s="108"/>
      <c r="S18" s="108">
        <f t="shared" si="1"/>
        <v>0</v>
      </c>
      <c r="T18" s="108"/>
      <c r="U18" s="108">
        <f t="shared" si="1"/>
        <v>0</v>
      </c>
      <c r="V18" s="108"/>
      <c r="W18" s="98">
        <f t="shared" si="2"/>
        <v>0</v>
      </c>
    </row>
    <row r="19" spans="1:23" ht="26.25">
      <c r="A19" s="32">
        <v>44300</v>
      </c>
      <c r="B19" s="34">
        <v>35</v>
      </c>
      <c r="C19" s="135">
        <v>48308236</v>
      </c>
      <c r="D19" s="42">
        <f t="shared" si="7"/>
        <v>3204</v>
      </c>
      <c r="E19" s="135">
        <v>46611174</v>
      </c>
      <c r="F19" s="42">
        <f t="shared" si="4"/>
        <v>5347</v>
      </c>
      <c r="G19" s="135">
        <v>35330225</v>
      </c>
      <c r="H19" s="42">
        <f t="shared" si="5"/>
        <v>5227</v>
      </c>
      <c r="I19" s="100">
        <f t="shared" si="6"/>
        <v>13778</v>
      </c>
      <c r="J19" s="108"/>
      <c r="K19" s="108">
        <f t="shared" si="0"/>
        <v>0</v>
      </c>
      <c r="L19" s="108"/>
      <c r="M19" s="108">
        <f t="shared" si="1"/>
        <v>0</v>
      </c>
      <c r="N19" s="108"/>
      <c r="O19" s="98">
        <f t="shared" si="1"/>
        <v>0</v>
      </c>
      <c r="P19" s="108"/>
      <c r="Q19" s="108">
        <f t="shared" si="1"/>
        <v>0</v>
      </c>
      <c r="R19" s="108"/>
      <c r="S19" s="108">
        <f t="shared" si="1"/>
        <v>0</v>
      </c>
      <c r="T19" s="108"/>
      <c r="U19" s="108">
        <f t="shared" si="1"/>
        <v>0</v>
      </c>
      <c r="V19" s="108"/>
      <c r="W19" s="98">
        <f t="shared" si="2"/>
        <v>0</v>
      </c>
    </row>
    <row r="20" spans="1:23" ht="26.25">
      <c r="A20" s="32">
        <v>44301</v>
      </c>
      <c r="B20" s="34">
        <v>27</v>
      </c>
      <c r="C20" s="135">
        <v>48311491</v>
      </c>
      <c r="D20" s="42">
        <f t="shared" si="7"/>
        <v>3255</v>
      </c>
      <c r="E20" s="135">
        <v>46616588</v>
      </c>
      <c r="F20" s="42">
        <f t="shared" si="4"/>
        <v>5414</v>
      </c>
      <c r="G20" s="135">
        <v>35335450</v>
      </c>
      <c r="H20" s="42">
        <f t="shared" si="5"/>
        <v>5225</v>
      </c>
      <c r="I20" s="100">
        <f t="shared" si="6"/>
        <v>13894</v>
      </c>
      <c r="J20" s="108"/>
      <c r="K20" s="108">
        <f t="shared" si="0"/>
        <v>0</v>
      </c>
      <c r="L20" s="108"/>
      <c r="M20" s="108">
        <f t="shared" si="1"/>
        <v>0</v>
      </c>
      <c r="N20" s="108"/>
      <c r="O20" s="98">
        <f t="shared" si="1"/>
        <v>0</v>
      </c>
      <c r="P20" s="108"/>
      <c r="Q20" s="108">
        <f t="shared" si="1"/>
        <v>0</v>
      </c>
      <c r="R20" s="108"/>
      <c r="S20" s="108">
        <f t="shared" si="1"/>
        <v>0</v>
      </c>
      <c r="T20" s="108"/>
      <c r="U20" s="108">
        <f t="shared" si="1"/>
        <v>0</v>
      </c>
      <c r="V20" s="108"/>
      <c r="W20" s="98">
        <f t="shared" si="2"/>
        <v>0</v>
      </c>
    </row>
    <row r="21" spans="1:23" ht="26.25">
      <c r="A21" s="32">
        <v>44302</v>
      </c>
      <c r="B21" s="34">
        <v>34</v>
      </c>
      <c r="C21" s="135">
        <v>48315438</v>
      </c>
      <c r="D21" s="42">
        <f t="shared" si="7"/>
        <v>3947</v>
      </c>
      <c r="E21" s="135">
        <v>46623042</v>
      </c>
      <c r="F21" s="42">
        <f t="shared" si="4"/>
        <v>6454</v>
      </c>
      <c r="G21" s="135">
        <v>35341488</v>
      </c>
      <c r="H21" s="42">
        <f t="shared" si="5"/>
        <v>6038</v>
      </c>
      <c r="I21" s="100">
        <f t="shared" si="6"/>
        <v>16439</v>
      </c>
      <c r="J21" s="108"/>
      <c r="K21" s="108">
        <f t="shared" si="0"/>
        <v>0</v>
      </c>
      <c r="L21" s="108"/>
      <c r="M21" s="108">
        <f t="shared" si="1"/>
        <v>0</v>
      </c>
      <c r="N21" s="108"/>
      <c r="O21" s="98">
        <f t="shared" si="1"/>
        <v>0</v>
      </c>
      <c r="P21" s="108"/>
      <c r="Q21" s="108">
        <f t="shared" si="1"/>
        <v>0</v>
      </c>
      <c r="R21" s="108"/>
      <c r="S21" s="108">
        <f t="shared" si="1"/>
        <v>0</v>
      </c>
      <c r="T21" s="108"/>
      <c r="U21" s="108">
        <f t="shared" si="1"/>
        <v>0</v>
      </c>
      <c r="V21" s="108"/>
      <c r="W21" s="98">
        <f t="shared" si="2"/>
        <v>0</v>
      </c>
    </row>
    <row r="22" spans="1:23" ht="26.25">
      <c r="A22" s="32">
        <v>44303</v>
      </c>
      <c r="B22" s="34">
        <v>50</v>
      </c>
      <c r="C22" s="135">
        <v>48318492</v>
      </c>
      <c r="D22" s="42">
        <f t="shared" si="7"/>
        <v>3054</v>
      </c>
      <c r="E22" s="135">
        <v>46628381</v>
      </c>
      <c r="F22" s="42">
        <f t="shared" si="4"/>
        <v>5339</v>
      </c>
      <c r="G22" s="135">
        <v>35346032</v>
      </c>
      <c r="H22" s="42">
        <f t="shared" si="5"/>
        <v>4544</v>
      </c>
      <c r="I22" s="100">
        <f t="shared" si="6"/>
        <v>12937</v>
      </c>
      <c r="J22" s="108"/>
      <c r="K22" s="108">
        <f t="shared" si="0"/>
        <v>0</v>
      </c>
      <c r="L22" s="108"/>
      <c r="M22" s="108">
        <f t="shared" ref="M22:M27" si="8">IF(L22-L21&lt;0,0,L22-L21)</f>
        <v>0</v>
      </c>
      <c r="N22" s="108"/>
      <c r="O22" s="98">
        <f t="shared" ref="O22:O27" si="9">IF(N22-N21&lt;0,0,N22-N21)</f>
        <v>0</v>
      </c>
      <c r="P22" s="108"/>
      <c r="Q22" s="108">
        <f t="shared" ref="Q22:Q27" si="10">IF(P22-P21&lt;0,0,P22-P21)</f>
        <v>0</v>
      </c>
      <c r="R22" s="108"/>
      <c r="S22" s="108">
        <f t="shared" ref="S22:S27" si="11">IF(R22-R21&lt;0,0,R22-R21)</f>
        <v>0</v>
      </c>
      <c r="T22" s="108"/>
      <c r="U22" s="108">
        <f t="shared" ref="U22:U27" si="12">IF(T22-T21&lt;0,0,T22-T21)</f>
        <v>0</v>
      </c>
      <c r="V22" s="108"/>
      <c r="W22" s="98">
        <f t="shared" si="2"/>
        <v>0</v>
      </c>
    </row>
    <row r="23" spans="1:23" ht="26.25">
      <c r="A23" s="32">
        <v>44304</v>
      </c>
      <c r="B23" s="34">
        <v>77</v>
      </c>
      <c r="C23" s="135">
        <v>48321924</v>
      </c>
      <c r="D23" s="42">
        <f t="shared" si="7"/>
        <v>3432</v>
      </c>
      <c r="E23" s="135">
        <v>46634339</v>
      </c>
      <c r="F23" s="42">
        <f t="shared" si="4"/>
        <v>5958</v>
      </c>
      <c r="G23" s="135">
        <v>35351416</v>
      </c>
      <c r="H23" s="42">
        <f t="shared" si="5"/>
        <v>5384</v>
      </c>
      <c r="I23" s="100">
        <f t="shared" si="6"/>
        <v>14774</v>
      </c>
      <c r="J23" s="108"/>
      <c r="K23" s="108">
        <f t="shared" si="0"/>
        <v>0</v>
      </c>
      <c r="L23" s="108"/>
      <c r="M23" s="108">
        <f t="shared" si="8"/>
        <v>0</v>
      </c>
      <c r="N23" s="108"/>
      <c r="O23" s="98">
        <f t="shared" si="9"/>
        <v>0</v>
      </c>
      <c r="P23" s="108"/>
      <c r="Q23" s="108">
        <f t="shared" si="10"/>
        <v>0</v>
      </c>
      <c r="R23" s="108"/>
      <c r="S23" s="108">
        <f t="shared" si="11"/>
        <v>0</v>
      </c>
      <c r="T23" s="108"/>
      <c r="U23" s="108">
        <f t="shared" si="12"/>
        <v>0</v>
      </c>
      <c r="V23" s="108"/>
      <c r="W23" s="98">
        <f t="shared" si="2"/>
        <v>0</v>
      </c>
    </row>
    <row r="24" spans="1:23" ht="26.25">
      <c r="A24" s="32">
        <v>44305</v>
      </c>
      <c r="B24" s="34">
        <v>77</v>
      </c>
      <c r="C24" s="135">
        <v>48325491</v>
      </c>
      <c r="D24" s="42">
        <f t="shared" si="7"/>
        <v>3567</v>
      </c>
      <c r="E24" s="135">
        <v>46640769</v>
      </c>
      <c r="F24" s="42">
        <f t="shared" si="4"/>
        <v>6430</v>
      </c>
      <c r="G24" s="135">
        <v>35356996</v>
      </c>
      <c r="H24" s="42">
        <f t="shared" si="5"/>
        <v>5580</v>
      </c>
      <c r="I24" s="100">
        <f t="shared" si="6"/>
        <v>15577</v>
      </c>
      <c r="J24" s="108"/>
      <c r="K24" s="108">
        <f t="shared" si="0"/>
        <v>0</v>
      </c>
      <c r="L24" s="108"/>
      <c r="M24" s="108">
        <f t="shared" si="8"/>
        <v>0</v>
      </c>
      <c r="N24" s="108"/>
      <c r="O24" s="98">
        <f t="shared" si="9"/>
        <v>0</v>
      </c>
      <c r="P24" s="108"/>
      <c r="Q24" s="108">
        <f t="shared" si="10"/>
        <v>0</v>
      </c>
      <c r="R24" s="108"/>
      <c r="S24" s="108">
        <f t="shared" si="11"/>
        <v>0</v>
      </c>
      <c r="T24" s="108"/>
      <c r="U24" s="108">
        <f t="shared" si="12"/>
        <v>0</v>
      </c>
      <c r="V24" s="108"/>
      <c r="W24" s="98">
        <f t="shared" si="2"/>
        <v>0</v>
      </c>
    </row>
    <row r="25" spans="1:23" ht="26.25">
      <c r="A25" s="32">
        <v>44306</v>
      </c>
      <c r="B25" s="34">
        <v>46</v>
      </c>
      <c r="C25" s="135">
        <v>48329213</v>
      </c>
      <c r="D25" s="42">
        <f t="shared" si="7"/>
        <v>3722</v>
      </c>
      <c r="E25" s="135">
        <v>46647334</v>
      </c>
      <c r="F25" s="42">
        <f t="shared" si="4"/>
        <v>6565</v>
      </c>
      <c r="G25" s="135">
        <v>35363043</v>
      </c>
      <c r="H25" s="42">
        <f t="shared" si="5"/>
        <v>6047</v>
      </c>
      <c r="I25" s="100">
        <f t="shared" si="6"/>
        <v>16334</v>
      </c>
      <c r="J25" s="108"/>
      <c r="K25" s="108">
        <f t="shared" si="0"/>
        <v>0</v>
      </c>
      <c r="L25" s="108"/>
      <c r="M25" s="108">
        <f t="shared" si="8"/>
        <v>0</v>
      </c>
      <c r="N25" s="108"/>
      <c r="O25" s="98">
        <f t="shared" si="9"/>
        <v>0</v>
      </c>
      <c r="P25" s="108"/>
      <c r="Q25" s="108">
        <f t="shared" si="10"/>
        <v>0</v>
      </c>
      <c r="R25" s="108"/>
      <c r="S25" s="108">
        <f t="shared" si="11"/>
        <v>0</v>
      </c>
      <c r="T25" s="108"/>
      <c r="U25" s="108">
        <f t="shared" si="12"/>
        <v>0</v>
      </c>
      <c r="V25" s="108"/>
      <c r="W25" s="98">
        <f t="shared" si="2"/>
        <v>0</v>
      </c>
    </row>
    <row r="26" spans="1:23" ht="26.25">
      <c r="A26" s="32">
        <v>44307</v>
      </c>
      <c r="B26" s="34">
        <v>42</v>
      </c>
      <c r="C26" s="135">
        <v>48332438</v>
      </c>
      <c r="D26" s="42">
        <f t="shared" si="7"/>
        <v>3225</v>
      </c>
      <c r="E26" s="135">
        <v>46653613</v>
      </c>
      <c r="F26" s="42">
        <f t="shared" si="4"/>
        <v>6279</v>
      </c>
      <c r="G26" s="135">
        <v>35368553</v>
      </c>
      <c r="H26" s="42">
        <f t="shared" si="5"/>
        <v>5510</v>
      </c>
      <c r="I26" s="100">
        <f t="shared" si="6"/>
        <v>15014</v>
      </c>
      <c r="J26" s="108"/>
      <c r="K26" s="108">
        <f t="shared" si="0"/>
        <v>0</v>
      </c>
      <c r="L26" s="108"/>
      <c r="M26" s="108">
        <f t="shared" si="8"/>
        <v>0</v>
      </c>
      <c r="N26" s="108"/>
      <c r="O26" s="98">
        <f t="shared" si="9"/>
        <v>0</v>
      </c>
      <c r="P26" s="108"/>
      <c r="Q26" s="108">
        <f t="shared" si="10"/>
        <v>0</v>
      </c>
      <c r="R26" s="108"/>
      <c r="S26" s="108">
        <f t="shared" si="11"/>
        <v>0</v>
      </c>
      <c r="T26" s="108"/>
      <c r="U26" s="108">
        <f t="shared" si="12"/>
        <v>0</v>
      </c>
      <c r="V26" s="108"/>
      <c r="W26" s="98">
        <f t="shared" si="2"/>
        <v>0</v>
      </c>
    </row>
    <row r="27" spans="1:23" ht="26.25">
      <c r="A27" s="32">
        <v>44308</v>
      </c>
      <c r="B27" s="34">
        <v>52</v>
      </c>
      <c r="C27" s="135">
        <v>48336062</v>
      </c>
      <c r="D27" s="42">
        <f t="shared" si="7"/>
        <v>3624</v>
      </c>
      <c r="E27" s="135">
        <v>46660442</v>
      </c>
      <c r="F27" s="42">
        <f t="shared" si="4"/>
        <v>6829</v>
      </c>
      <c r="G27" s="135">
        <v>35374624</v>
      </c>
      <c r="H27" s="42">
        <f t="shared" si="5"/>
        <v>6071</v>
      </c>
      <c r="I27" s="100">
        <f t="shared" si="6"/>
        <v>16524</v>
      </c>
      <c r="J27" s="108"/>
      <c r="K27" s="108">
        <f t="shared" si="0"/>
        <v>0</v>
      </c>
      <c r="L27" s="108"/>
      <c r="M27" s="108">
        <f t="shared" si="8"/>
        <v>0</v>
      </c>
      <c r="N27" s="108"/>
      <c r="O27" s="98">
        <f t="shared" si="9"/>
        <v>0</v>
      </c>
      <c r="P27" s="108"/>
      <c r="Q27" s="108">
        <f t="shared" si="10"/>
        <v>0</v>
      </c>
      <c r="R27" s="108"/>
      <c r="S27" s="108">
        <f t="shared" si="11"/>
        <v>0</v>
      </c>
      <c r="T27" s="108"/>
      <c r="U27" s="108">
        <f t="shared" si="12"/>
        <v>0</v>
      </c>
      <c r="V27" s="108"/>
      <c r="W27" s="98">
        <f t="shared" si="2"/>
        <v>0</v>
      </c>
    </row>
    <row r="28" spans="1:23" ht="26.25">
      <c r="A28" s="32">
        <v>44309</v>
      </c>
      <c r="B28" s="34">
        <v>46</v>
      </c>
      <c r="C28" s="135">
        <v>48339505</v>
      </c>
      <c r="D28" s="42">
        <f t="shared" si="3"/>
        <v>3443</v>
      </c>
      <c r="E28" s="135">
        <v>46666519</v>
      </c>
      <c r="F28" s="42">
        <f t="shared" si="4"/>
        <v>6077</v>
      </c>
      <c r="G28" s="135">
        <v>35380166</v>
      </c>
      <c r="H28" s="42">
        <f t="shared" si="5"/>
        <v>5542</v>
      </c>
      <c r="I28" s="100">
        <f t="shared" si="6"/>
        <v>15062</v>
      </c>
      <c r="J28" s="108"/>
      <c r="K28" s="108">
        <f t="shared" si="0"/>
        <v>0</v>
      </c>
      <c r="L28" s="108"/>
      <c r="M28" s="108">
        <f>IF(L28-L27&lt;0,0,L28-L27)</f>
        <v>0</v>
      </c>
      <c r="N28" s="108"/>
      <c r="O28" s="98">
        <f>IF(N28-N27&lt;0,0,N28-N27)</f>
        <v>0</v>
      </c>
      <c r="P28" s="108"/>
      <c r="Q28" s="108">
        <f>IF(P28-P27&lt;0,0,P28-P27)</f>
        <v>0</v>
      </c>
      <c r="R28" s="108"/>
      <c r="S28" s="108">
        <f>IF(R28-R27&lt;0,0,R28-R27)</f>
        <v>0</v>
      </c>
      <c r="T28" s="108"/>
      <c r="U28" s="108">
        <f>IF(T28-T27&lt;0,0,T28-T27)</f>
        <v>0</v>
      </c>
      <c r="V28" s="108"/>
      <c r="W28" s="98">
        <f t="shared" ref="W28:W35" si="13">IF(V28-V27&lt;0,0,V28-V27)</f>
        <v>0</v>
      </c>
    </row>
    <row r="29" spans="1:23" ht="26.25">
      <c r="A29" s="32">
        <v>44310</v>
      </c>
      <c r="B29" s="34">
        <v>64</v>
      </c>
      <c r="C29" s="135">
        <v>48342620</v>
      </c>
      <c r="D29" s="42">
        <f t="shared" si="3"/>
        <v>3115</v>
      </c>
      <c r="E29" s="135">
        <v>46671989</v>
      </c>
      <c r="F29" s="42">
        <f t="shared" si="4"/>
        <v>5470</v>
      </c>
      <c r="G29" s="135">
        <v>35385310</v>
      </c>
      <c r="H29" s="42">
        <f t="shared" si="5"/>
        <v>5144</v>
      </c>
      <c r="I29" s="100">
        <f t="shared" si="6"/>
        <v>13729</v>
      </c>
      <c r="J29" s="108"/>
      <c r="K29" s="108">
        <f t="shared" si="0"/>
        <v>0</v>
      </c>
      <c r="L29" s="108"/>
      <c r="M29" s="108">
        <f>IF(L29-L28&lt;0,0,L29-L28)</f>
        <v>0</v>
      </c>
      <c r="N29" s="108"/>
      <c r="O29" s="98">
        <f>IF(N29-N28&lt;0,0,N29-N28)</f>
        <v>0</v>
      </c>
      <c r="P29" s="108"/>
      <c r="Q29" s="108">
        <f>IF(P29-P28&lt;0,0,P29-P28)</f>
        <v>0</v>
      </c>
      <c r="R29" s="108"/>
      <c r="S29" s="108">
        <f>IF(R29-R28&lt;0,0,R29-R28)</f>
        <v>0</v>
      </c>
      <c r="T29" s="108"/>
      <c r="U29" s="108">
        <f>IF(T29-T28&lt;0,0,T29-T28)</f>
        <v>0</v>
      </c>
      <c r="V29" s="108"/>
      <c r="W29" s="98">
        <f t="shared" si="13"/>
        <v>0</v>
      </c>
    </row>
    <row r="30" spans="1:23" ht="26.25">
      <c r="A30" s="32">
        <v>44311</v>
      </c>
      <c r="B30" s="34">
        <v>40</v>
      </c>
      <c r="C30" s="135">
        <v>48345650</v>
      </c>
      <c r="D30" s="42">
        <f t="shared" si="3"/>
        <v>3030</v>
      </c>
      <c r="E30" s="135">
        <v>46677475</v>
      </c>
      <c r="F30" s="42">
        <f t="shared" si="4"/>
        <v>5486</v>
      </c>
      <c r="G30" s="135">
        <v>35390198</v>
      </c>
      <c r="H30" s="42">
        <f t="shared" si="5"/>
        <v>4888</v>
      </c>
      <c r="I30" s="100">
        <f t="shared" si="6"/>
        <v>13404</v>
      </c>
      <c r="J30" s="108"/>
      <c r="K30" s="108">
        <f t="shared" si="0"/>
        <v>0</v>
      </c>
      <c r="L30" s="108"/>
      <c r="M30" s="108">
        <f>IF(L30-L29&lt;0,0,L30-L29)</f>
        <v>0</v>
      </c>
      <c r="N30" s="108"/>
      <c r="O30" s="98">
        <f>IF(N30-N29&lt;0,0,N30-N29)</f>
        <v>0</v>
      </c>
      <c r="P30" s="108"/>
      <c r="Q30" s="108">
        <f>IF(P30-P29&lt;0,0,P30-P29)</f>
        <v>0</v>
      </c>
      <c r="R30" s="108"/>
      <c r="S30" s="108">
        <f>IF(R30-R29&lt;0,0,R30-R29)</f>
        <v>0</v>
      </c>
      <c r="T30" s="108"/>
      <c r="U30" s="108">
        <f>IF(T30-T29&lt;0,0,T30-T29)</f>
        <v>0</v>
      </c>
      <c r="V30" s="108"/>
      <c r="W30" s="98">
        <f t="shared" si="13"/>
        <v>0</v>
      </c>
    </row>
    <row r="31" spans="1:23" ht="26.25">
      <c r="A31" s="32">
        <v>44312</v>
      </c>
      <c r="B31" s="34">
        <v>69</v>
      </c>
      <c r="C31" s="135">
        <v>48349241</v>
      </c>
      <c r="D31" s="42">
        <f t="shared" si="3"/>
        <v>3591</v>
      </c>
      <c r="E31" s="135">
        <v>46684076</v>
      </c>
      <c r="F31" s="42">
        <f t="shared" si="4"/>
        <v>6601</v>
      </c>
      <c r="G31" s="135">
        <v>35396084</v>
      </c>
      <c r="H31" s="42">
        <f t="shared" si="5"/>
        <v>5886</v>
      </c>
      <c r="I31" s="100">
        <f t="shared" si="6"/>
        <v>16078</v>
      </c>
      <c r="J31" s="108"/>
      <c r="K31" s="108">
        <f t="shared" si="0"/>
        <v>0</v>
      </c>
      <c r="L31" s="108"/>
      <c r="M31" s="108">
        <f t="shared" ref="M31:U31" si="14">IF(L31-L30&lt;0,0,L31-L30)</f>
        <v>0</v>
      </c>
      <c r="N31" s="108"/>
      <c r="O31" s="98">
        <f t="shared" si="14"/>
        <v>0</v>
      </c>
      <c r="P31" s="108"/>
      <c r="Q31" s="108">
        <f t="shared" si="14"/>
        <v>0</v>
      </c>
      <c r="R31" s="108"/>
      <c r="S31" s="108">
        <f t="shared" si="14"/>
        <v>0</v>
      </c>
      <c r="T31" s="108"/>
      <c r="U31" s="108">
        <f t="shared" si="14"/>
        <v>0</v>
      </c>
      <c r="V31" s="108"/>
      <c r="W31" s="98">
        <f t="shared" si="13"/>
        <v>0</v>
      </c>
    </row>
    <row r="32" spans="1:23" ht="26.25">
      <c r="A32" s="32">
        <v>44313</v>
      </c>
      <c r="B32" s="34">
        <v>45</v>
      </c>
      <c r="C32" s="135">
        <v>48352501</v>
      </c>
      <c r="D32" s="42">
        <f t="shared" si="3"/>
        <v>3260</v>
      </c>
      <c r="E32" s="135">
        <v>46689999</v>
      </c>
      <c r="F32" s="42">
        <f t="shared" si="4"/>
        <v>5923</v>
      </c>
      <c r="G32" s="135">
        <v>35402011</v>
      </c>
      <c r="H32" s="42">
        <f t="shared" si="5"/>
        <v>5927</v>
      </c>
      <c r="I32" s="100">
        <f t="shared" si="6"/>
        <v>15110</v>
      </c>
      <c r="J32" s="108"/>
      <c r="K32" s="108">
        <f>IF(J32-J31&lt;0,0,J32-J31)</f>
        <v>0</v>
      </c>
      <c r="L32" s="108"/>
      <c r="M32" s="108">
        <f>IF(L32-L31&lt;0,0,L32-L31)</f>
        <v>0</v>
      </c>
      <c r="N32" s="108"/>
      <c r="O32" s="98">
        <f>IF(N32-N31&lt;0,0,N32-N31)</f>
        <v>0</v>
      </c>
      <c r="P32" s="108"/>
      <c r="Q32" s="108">
        <f>IF(P32-P31&lt;0,0,P32-P31)</f>
        <v>0</v>
      </c>
      <c r="R32" s="108"/>
      <c r="S32" s="108">
        <f>IF(R32-R31&lt;0,0,R32-R31)</f>
        <v>0</v>
      </c>
      <c r="T32" s="108"/>
      <c r="U32" s="108">
        <f>IF(T32-T31&lt;0,0,T32-T31)</f>
        <v>0</v>
      </c>
      <c r="V32" s="108"/>
      <c r="W32" s="98">
        <f t="shared" si="13"/>
        <v>0</v>
      </c>
    </row>
    <row r="33" spans="1:23" ht="26.25">
      <c r="A33" s="32">
        <v>44314</v>
      </c>
      <c r="B33" s="34">
        <v>36</v>
      </c>
      <c r="C33" s="135">
        <v>48355949</v>
      </c>
      <c r="D33" s="42">
        <f>C33-C32</f>
        <v>3448</v>
      </c>
      <c r="E33" s="135">
        <v>46696520</v>
      </c>
      <c r="F33" s="42">
        <f>IF((E33-E31)&lt;0,"0",(E33-E31))</f>
        <v>12444</v>
      </c>
      <c r="G33" s="135">
        <v>35406945</v>
      </c>
      <c r="H33" s="42">
        <f>G33-G32</f>
        <v>4934</v>
      </c>
      <c r="I33" s="100">
        <f>D33+F33+H33</f>
        <v>20826</v>
      </c>
      <c r="J33" s="108"/>
      <c r="K33" s="108">
        <f t="shared" si="0"/>
        <v>0</v>
      </c>
      <c r="L33" s="108"/>
      <c r="M33" s="108">
        <f>IF(L33-L32&lt;0,0,L33-L32)</f>
        <v>0</v>
      </c>
      <c r="N33" s="108"/>
      <c r="O33" s="98">
        <f>IF(N33-N32&lt;0,0,N33-N32)</f>
        <v>0</v>
      </c>
      <c r="P33" s="108"/>
      <c r="Q33" s="108">
        <f>IF(P33-P32&lt;0,0,P33-P32)</f>
        <v>0</v>
      </c>
      <c r="R33" s="108"/>
      <c r="S33" s="108">
        <f>IF(R33-R32&lt;0,0,R33-R32)</f>
        <v>0</v>
      </c>
      <c r="T33" s="108"/>
      <c r="U33" s="108">
        <f>IF(T33-T32&lt;0,0,T33-T32)</f>
        <v>0</v>
      </c>
      <c r="V33" s="108"/>
      <c r="W33" s="98">
        <f t="shared" si="13"/>
        <v>0</v>
      </c>
    </row>
    <row r="34" spans="1:23" ht="26.25">
      <c r="A34" s="32">
        <v>44315</v>
      </c>
      <c r="B34" s="34">
        <v>42</v>
      </c>
      <c r="C34" s="135">
        <v>48359064</v>
      </c>
      <c r="D34" s="42">
        <f>C34-C33</f>
        <v>3115</v>
      </c>
      <c r="E34" s="135">
        <v>46702186</v>
      </c>
      <c r="F34" s="42">
        <f>IF((E34-E32)&lt;0,"0",(E34-E32))</f>
        <v>12187</v>
      </c>
      <c r="G34" s="135">
        <v>35411886</v>
      </c>
      <c r="H34" s="42">
        <f>G34-G33</f>
        <v>4941</v>
      </c>
      <c r="I34" s="100">
        <f t="shared" si="6"/>
        <v>20243</v>
      </c>
      <c r="J34" s="108"/>
      <c r="K34" s="108">
        <f t="shared" si="0"/>
        <v>0</v>
      </c>
      <c r="L34" s="108"/>
      <c r="M34" s="108">
        <f>IF(L34-L33&lt;0,0,L34-L33)</f>
        <v>0</v>
      </c>
      <c r="N34" s="108"/>
      <c r="O34" s="98">
        <f>IF(N34-N33&lt;0,0,N34-N33)</f>
        <v>0</v>
      </c>
      <c r="P34" s="108"/>
      <c r="Q34" s="108">
        <f>IF(P34-P33&lt;0,0,P34-P33)</f>
        <v>0</v>
      </c>
      <c r="R34" s="108"/>
      <c r="S34" s="108">
        <f>IF(R34-R33&lt;0,0,R34-R33)</f>
        <v>0</v>
      </c>
      <c r="T34" s="108"/>
      <c r="U34" s="108">
        <f>IF(T34-T33&lt;0,0,T34-T33)</f>
        <v>0</v>
      </c>
      <c r="V34" s="108"/>
      <c r="W34" s="98">
        <f t="shared" si="13"/>
        <v>0</v>
      </c>
    </row>
    <row r="35" spans="1:23" ht="26.25">
      <c r="A35" s="32">
        <v>44316</v>
      </c>
      <c r="B35" s="34">
        <v>50</v>
      </c>
      <c r="C35" s="135">
        <v>48362818</v>
      </c>
      <c r="D35" s="74">
        <f>C35-C34</f>
        <v>3754</v>
      </c>
      <c r="E35" s="135">
        <v>46708849</v>
      </c>
      <c r="F35" s="78">
        <f>IF((E35-E33)&lt;0,"0",(E35-E33))</f>
        <v>12329</v>
      </c>
      <c r="G35" s="135">
        <v>35417579</v>
      </c>
      <c r="H35" s="74">
        <f>G35-G34</f>
        <v>5693</v>
      </c>
      <c r="I35" s="101">
        <f t="shared" si="6"/>
        <v>21776</v>
      </c>
      <c r="J35" s="108"/>
      <c r="K35" s="108">
        <f>IF(J35-J34&lt;0,0,J35-J34)</f>
        <v>0</v>
      </c>
      <c r="L35" s="108"/>
      <c r="M35" s="108">
        <f>IF(L35-L34&lt;0,0,L35-L34)</f>
        <v>0</v>
      </c>
      <c r="N35" s="108"/>
      <c r="O35" s="98">
        <f>IF(N35-N34&lt;0,0,N35-N34)</f>
        <v>0</v>
      </c>
      <c r="P35" s="108"/>
      <c r="Q35" s="108">
        <f>IF(P35-P34&lt;0,0,P35-P34)</f>
        <v>0</v>
      </c>
      <c r="R35" s="108"/>
      <c r="S35" s="108">
        <f>IF(R35-R34&lt;0,0,R35-R34)</f>
        <v>0</v>
      </c>
      <c r="T35" s="108"/>
      <c r="U35" s="108">
        <f>IF(T35-T34&lt;0,0,T35-T34)</f>
        <v>0</v>
      </c>
      <c r="V35" s="108"/>
      <c r="W35" s="98">
        <f t="shared" si="13"/>
        <v>0</v>
      </c>
    </row>
    <row r="36" spans="1:23" s="21" customFormat="1" ht="27.75" thickBot="1">
      <c r="A36" s="44" t="s">
        <v>37</v>
      </c>
      <c r="B36" s="45"/>
      <c r="C36" s="80"/>
      <c r="D36" s="75">
        <f>SUM(D5:D35)</f>
        <v>108630</v>
      </c>
      <c r="E36" s="81"/>
      <c r="F36" s="75">
        <f>SUM(F5:F34)</f>
        <v>205765</v>
      </c>
      <c r="G36" s="79"/>
      <c r="H36" s="75">
        <f>SUM(H5:H35)</f>
        <v>173844</v>
      </c>
      <c r="I36" s="102">
        <f t="shared" si="6"/>
        <v>488239</v>
      </c>
      <c r="J36" s="109"/>
      <c r="K36" s="110">
        <f>SUM(K5:K34)</f>
        <v>0</v>
      </c>
      <c r="L36" s="110"/>
      <c r="M36" s="110">
        <f>SUM(M5:M34)</f>
        <v>0</v>
      </c>
      <c r="N36" s="110"/>
      <c r="O36" s="111">
        <f>SUM(O5:O34)</f>
        <v>0</v>
      </c>
      <c r="P36" s="109"/>
      <c r="Q36" s="110">
        <f>SUM(Q5:Q34)</f>
        <v>0</v>
      </c>
      <c r="R36" s="110"/>
      <c r="S36" s="110">
        <f>SUM(S5:S34)</f>
        <v>0</v>
      </c>
      <c r="T36" s="110"/>
      <c r="U36" s="110">
        <f>SUM(U5:U34)</f>
        <v>0</v>
      </c>
      <c r="V36" s="110"/>
      <c r="W36" s="111">
        <f>SUM(W5:W34)</f>
        <v>0</v>
      </c>
    </row>
    <row r="37" spans="1:23" ht="37.5">
      <c r="J37" s="92"/>
      <c r="K37" s="92"/>
      <c r="L37" s="92"/>
      <c r="M37" s="92"/>
      <c r="N37" s="92"/>
      <c r="O37" s="92"/>
      <c r="P37" s="92"/>
      <c r="Q37" s="92"/>
      <c r="R37"/>
      <c r="S37" s="93"/>
      <c r="T37"/>
      <c r="U37" s="93"/>
      <c r="V37"/>
      <c r="W37" s="93"/>
    </row>
    <row r="38" spans="1:23" ht="26.25">
      <c r="A38" s="3"/>
      <c r="B38" s="25"/>
      <c r="J38"/>
      <c r="K38" s="94"/>
      <c r="L38"/>
      <c r="M38" s="94"/>
      <c r="N38"/>
      <c r="O38" s="94"/>
      <c r="P38"/>
      <c r="Q38" s="94"/>
      <c r="R38" s="93"/>
      <c r="S38" s="93"/>
      <c r="T38" s="95"/>
      <c r="U38" s="93"/>
      <c r="V38" s="93"/>
      <c r="W38" s="93"/>
    </row>
    <row r="53" spans="1:2" ht="15">
      <c r="A53" s="3"/>
      <c r="B53" s="25"/>
    </row>
  </sheetData>
  <mergeCells count="2">
    <mergeCell ref="A1:I1"/>
    <mergeCell ref="A2:I2"/>
  </mergeCells>
  <phoneticPr fontId="0" type="noConversion"/>
  <conditionalFormatting sqref="D5:D35 D36:G36 F5:F35 H5:W36 A3:B36">
    <cfRule type="cellIs" dxfId="36" priority="211" stopIfTrue="1" operator="lessThan">
      <formula>0</formula>
    </cfRule>
  </conditionalFormatting>
  <conditionalFormatting sqref="C6:C35">
    <cfRule type="cellIs" dxfId="35" priority="6" stopIfTrue="1" operator="lessThan">
      <formula>0</formula>
    </cfRule>
  </conditionalFormatting>
  <conditionalFormatting sqref="C5">
    <cfRule type="cellIs" dxfId="34" priority="5" stopIfTrue="1" operator="lessThan">
      <formula>0</formula>
    </cfRule>
  </conditionalFormatting>
  <conditionalFormatting sqref="E6:E35">
    <cfRule type="cellIs" dxfId="33" priority="4" stopIfTrue="1" operator="lessThan">
      <formula>0</formula>
    </cfRule>
  </conditionalFormatting>
  <conditionalFormatting sqref="E5">
    <cfRule type="cellIs" dxfId="32" priority="3" stopIfTrue="1" operator="lessThan">
      <formula>0</formula>
    </cfRule>
  </conditionalFormatting>
  <conditionalFormatting sqref="G6:G35">
    <cfRule type="cellIs" dxfId="31" priority="2" stopIfTrue="1" operator="lessThan">
      <formula>0</formula>
    </cfRule>
  </conditionalFormatting>
  <conditionalFormatting sqref="G5">
    <cfRule type="cellIs" dxfId="30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4"/>
  <sheetViews>
    <sheetView tabSelected="1" view="pageBreakPreview" topLeftCell="J1" zoomScale="50" zoomScaleNormal="55" zoomScaleSheetLayoutView="50" workbookViewId="0">
      <selection activeCell="AB8" sqref="AB8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4.85546875" bestFit="1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30" t="s">
        <v>56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</row>
    <row r="2" spans="1:38">
      <c r="A2" s="56" t="s">
        <v>1</v>
      </c>
      <c r="B2" s="58" t="s">
        <v>57</v>
      </c>
      <c r="C2" s="57" t="s">
        <v>34</v>
      </c>
      <c r="D2" s="57" t="s">
        <v>58</v>
      </c>
      <c r="E2" s="57" t="s">
        <v>34</v>
      </c>
      <c r="F2" s="57" t="s">
        <v>59</v>
      </c>
      <c r="G2" s="57" t="s">
        <v>34</v>
      </c>
      <c r="H2" s="57" t="s">
        <v>60</v>
      </c>
      <c r="I2" s="57" t="s">
        <v>34</v>
      </c>
      <c r="J2" s="57" t="s">
        <v>61</v>
      </c>
      <c r="K2" s="57" t="s">
        <v>34</v>
      </c>
      <c r="L2" s="57" t="s">
        <v>62</v>
      </c>
      <c r="M2" s="57" t="s">
        <v>34</v>
      </c>
      <c r="N2" s="57" t="s">
        <v>63</v>
      </c>
      <c r="O2" s="57" t="s">
        <v>34</v>
      </c>
      <c r="P2" s="57" t="s">
        <v>64</v>
      </c>
      <c r="Q2" s="57" t="s">
        <v>34</v>
      </c>
      <c r="R2" s="57" t="s">
        <v>65</v>
      </c>
      <c r="S2" s="57" t="s">
        <v>34</v>
      </c>
      <c r="T2" s="57" t="s">
        <v>66</v>
      </c>
      <c r="U2" s="57" t="s">
        <v>34</v>
      </c>
      <c r="V2" s="57" t="s">
        <v>67</v>
      </c>
      <c r="W2" s="57" t="s">
        <v>34</v>
      </c>
      <c r="X2" s="57" t="s">
        <v>68</v>
      </c>
      <c r="Y2" s="57" t="s">
        <v>34</v>
      </c>
      <c r="Z2" s="57" t="s">
        <v>69</v>
      </c>
      <c r="AA2" s="57" t="s">
        <v>34</v>
      </c>
      <c r="AB2" s="57" t="s">
        <v>70</v>
      </c>
      <c r="AC2" s="57" t="s">
        <v>34</v>
      </c>
      <c r="AD2" s="69" t="s">
        <v>71</v>
      </c>
      <c r="AE2" s="71" t="s">
        <v>72</v>
      </c>
      <c r="AF2" s="55" t="s">
        <v>34</v>
      </c>
    </row>
    <row r="3" spans="1:38">
      <c r="A3" s="54" t="s">
        <v>36</v>
      </c>
      <c r="B3" s="113"/>
      <c r="C3" s="62"/>
      <c r="D3" s="113"/>
      <c r="E3" s="60"/>
      <c r="F3" s="114"/>
      <c r="G3" s="60"/>
      <c r="H3" s="114"/>
      <c r="I3" s="59"/>
      <c r="J3" s="117"/>
      <c r="K3" s="62"/>
      <c r="L3" s="114"/>
      <c r="M3" s="60"/>
      <c r="N3" s="114"/>
      <c r="O3" s="62"/>
      <c r="P3" s="114"/>
      <c r="Q3" s="60"/>
      <c r="R3" s="114"/>
      <c r="S3" s="62"/>
      <c r="T3" s="114"/>
      <c r="U3" s="60"/>
      <c r="V3" s="114"/>
      <c r="W3" s="62"/>
      <c r="X3" s="112">
        <v>21007</v>
      </c>
      <c r="Y3" s="60"/>
      <c r="Z3" s="112">
        <v>677122</v>
      </c>
      <c r="AA3" s="62"/>
      <c r="AB3" s="76">
        <v>1410</v>
      </c>
      <c r="AC3" s="60"/>
      <c r="AD3" s="67"/>
      <c r="AE3" s="72"/>
      <c r="AF3" s="53"/>
    </row>
    <row r="4" spans="1:38">
      <c r="A4" s="52">
        <v>44287</v>
      </c>
      <c r="B4" s="136">
        <v>1470534</v>
      </c>
      <c r="C4" s="63">
        <v>199</v>
      </c>
      <c r="D4" s="137">
        <v>33270878</v>
      </c>
      <c r="E4" s="60">
        <v>904</v>
      </c>
      <c r="F4" s="138">
        <v>11589</v>
      </c>
      <c r="G4" s="60">
        <v>88</v>
      </c>
      <c r="H4" s="138">
        <v>87342</v>
      </c>
      <c r="I4" s="60">
        <v>21</v>
      </c>
      <c r="J4" s="139">
        <v>180154</v>
      </c>
      <c r="K4" s="63">
        <v>29</v>
      </c>
      <c r="L4" s="138">
        <v>86625</v>
      </c>
      <c r="M4" s="60">
        <v>51</v>
      </c>
      <c r="N4" s="138">
        <v>608925</v>
      </c>
      <c r="O4" s="63">
        <v>80</v>
      </c>
      <c r="P4" s="138">
        <v>161882</v>
      </c>
      <c r="Q4" s="60">
        <v>35</v>
      </c>
      <c r="R4" s="138">
        <v>884595</v>
      </c>
      <c r="S4" s="63">
        <v>134</v>
      </c>
      <c r="T4" s="138">
        <v>68954</v>
      </c>
      <c r="U4" s="60">
        <v>25</v>
      </c>
      <c r="V4" s="138">
        <v>286281</v>
      </c>
      <c r="W4" s="63">
        <v>55</v>
      </c>
      <c r="X4" s="112">
        <v>21007</v>
      </c>
      <c r="Y4" s="60">
        <f>IF((X4-X3)&lt;0,"0",(X4-X3))</f>
        <v>0</v>
      </c>
      <c r="Z4" s="139">
        <v>677122</v>
      </c>
      <c r="AA4" s="63">
        <v>0</v>
      </c>
      <c r="AB4" s="76">
        <v>1410</v>
      </c>
      <c r="AC4" s="60">
        <f>IF((AB4-AB3)&lt;0,"0",(AB4-AB3))</f>
        <v>0</v>
      </c>
      <c r="AD4" s="68">
        <f>C4+E4+G4+I4+K4+M4+O4+Q4+S4+U4+W4+Y4+AA4+AC4</f>
        <v>1621</v>
      </c>
      <c r="AE4" s="18">
        <v>0</v>
      </c>
      <c r="AF4" s="53">
        <f>IF((AE4-AE3)&lt;0,"0",(AE4-AE3))</f>
        <v>0</v>
      </c>
    </row>
    <row r="5" spans="1:38">
      <c r="A5" s="52">
        <v>44288</v>
      </c>
      <c r="B5" s="136">
        <v>1470782</v>
      </c>
      <c r="C5" s="63">
        <f t="shared" ref="C5:C33" si="0">IF((B5-B4)&lt;0,"0",(B5-B4))</f>
        <v>248</v>
      </c>
      <c r="D5" s="136">
        <v>33271820</v>
      </c>
      <c r="E5" s="60">
        <f t="shared" ref="E5:E33" si="1">IF((D5-D4)&lt;0,"0",(D5-D4))</f>
        <v>942</v>
      </c>
      <c r="F5" s="138">
        <v>11707</v>
      </c>
      <c r="G5" s="60">
        <f t="shared" ref="G5:G33" si="2">IF((F5-F4)&lt;0,"0",(F5-F4))</f>
        <v>118</v>
      </c>
      <c r="H5" s="138">
        <v>87372</v>
      </c>
      <c r="I5" s="60">
        <f t="shared" ref="I5:I33" si="3">IF((H5-H4)&lt;0,"0",(H5-H4))</f>
        <v>30</v>
      </c>
      <c r="J5" s="139">
        <v>180179</v>
      </c>
      <c r="K5" s="63">
        <f t="shared" ref="K5:K33" si="4">IF((J5-J4)&lt;0,"0",(J5-J4))</f>
        <v>25</v>
      </c>
      <c r="L5" s="138">
        <v>86683</v>
      </c>
      <c r="M5" s="60">
        <f t="shared" ref="M5:M33" si="5">IF((L5-L4)&lt;0,"0",(L5-L4))</f>
        <v>58</v>
      </c>
      <c r="N5" s="138">
        <v>609044</v>
      </c>
      <c r="O5" s="63">
        <f t="shared" ref="O5:O33" si="6">IF((N5-N4)&lt;0,"0",(N5-N4))</f>
        <v>119</v>
      </c>
      <c r="P5" s="138">
        <v>161915</v>
      </c>
      <c r="Q5" s="60">
        <f t="shared" ref="Q5:Q33" si="7">IF((P5-P4)&lt;0,"0",(P5-P4))</f>
        <v>33</v>
      </c>
      <c r="R5" s="138">
        <v>884750</v>
      </c>
      <c r="S5" s="63">
        <f t="shared" ref="S5:S33" si="8">IF((R5-R4)&lt;0,"0",(R5-R4))</f>
        <v>155</v>
      </c>
      <c r="T5" s="138">
        <v>68981</v>
      </c>
      <c r="U5" s="60">
        <f t="shared" ref="U5:U33" si="9">IF((T5-T4)&lt;0,"0",(T5-T4))</f>
        <v>27</v>
      </c>
      <c r="V5" s="138">
        <v>286340</v>
      </c>
      <c r="W5" s="63">
        <f t="shared" ref="W5:W33" si="10">IF((V5-V4)&lt;0,"0",(V5-V4))</f>
        <v>59</v>
      </c>
      <c r="X5" s="112">
        <v>21007</v>
      </c>
      <c r="Y5" s="60">
        <f t="shared" ref="Y5:Y33" si="11">IF((X5-X4)&lt;0,"0",(X5-X4))</f>
        <v>0</v>
      </c>
      <c r="Z5" s="139">
        <v>677122</v>
      </c>
      <c r="AA5" s="63">
        <f t="shared" ref="AA5:AA33" si="12">IF((Z5-Z4)&lt;0,"0",(Z5-Z4))</f>
        <v>0</v>
      </c>
      <c r="AB5" s="76">
        <v>1410</v>
      </c>
      <c r="AC5" s="60">
        <f t="shared" ref="AC5:AC33" si="13">IF((AB5-AB4)&lt;0,"0",(AB5-AB4))</f>
        <v>0</v>
      </c>
      <c r="AD5" s="70">
        <f t="shared" ref="AD5:AD30" si="14">C5+E5+G5+I5+K5+M5+O5+Q5+S5+U5+W5+Y5+AA5+AC5</f>
        <v>1814</v>
      </c>
      <c r="AE5" s="18">
        <v>0</v>
      </c>
      <c r="AF5" s="53">
        <f t="shared" ref="AF5:AF33" si="15">IF((AE5-AE4)&lt;0,"0",(AE5-AE4))</f>
        <v>0</v>
      </c>
    </row>
    <row r="6" spans="1:38">
      <c r="A6" s="52">
        <v>44289</v>
      </c>
      <c r="B6" s="136">
        <v>1471081</v>
      </c>
      <c r="C6" s="63">
        <f t="shared" si="0"/>
        <v>299</v>
      </c>
      <c r="D6" s="136">
        <v>33272511</v>
      </c>
      <c r="E6" s="60">
        <f t="shared" si="1"/>
        <v>691</v>
      </c>
      <c r="F6" s="138">
        <v>11822</v>
      </c>
      <c r="G6" s="60">
        <f t="shared" si="2"/>
        <v>115</v>
      </c>
      <c r="H6" s="138">
        <v>87402</v>
      </c>
      <c r="I6" s="60">
        <f t="shared" si="3"/>
        <v>30</v>
      </c>
      <c r="J6" s="139">
        <v>180204</v>
      </c>
      <c r="K6" s="63">
        <f t="shared" si="4"/>
        <v>25</v>
      </c>
      <c r="L6" s="138">
        <v>86744</v>
      </c>
      <c r="M6" s="60">
        <f t="shared" si="5"/>
        <v>61</v>
      </c>
      <c r="N6" s="138">
        <v>609143</v>
      </c>
      <c r="O6" s="63">
        <f t="shared" si="6"/>
        <v>99</v>
      </c>
      <c r="P6" s="138">
        <v>161950</v>
      </c>
      <c r="Q6" s="60">
        <f t="shared" si="7"/>
        <v>35</v>
      </c>
      <c r="R6" s="138">
        <v>884912</v>
      </c>
      <c r="S6" s="63">
        <f t="shared" si="8"/>
        <v>162</v>
      </c>
      <c r="T6" s="138">
        <v>69011</v>
      </c>
      <c r="U6" s="60">
        <f t="shared" si="9"/>
        <v>30</v>
      </c>
      <c r="V6" s="138">
        <v>286392</v>
      </c>
      <c r="W6" s="63">
        <f t="shared" si="10"/>
        <v>52</v>
      </c>
      <c r="X6" s="112">
        <v>21007</v>
      </c>
      <c r="Y6" s="60">
        <f t="shared" si="11"/>
        <v>0</v>
      </c>
      <c r="Z6" s="139">
        <v>677122</v>
      </c>
      <c r="AA6" s="63">
        <f t="shared" si="12"/>
        <v>0</v>
      </c>
      <c r="AB6" s="76">
        <v>1410</v>
      </c>
      <c r="AC6" s="60">
        <f t="shared" si="13"/>
        <v>0</v>
      </c>
      <c r="AD6" s="70">
        <f t="shared" si="14"/>
        <v>1599</v>
      </c>
      <c r="AE6" s="18">
        <v>0</v>
      </c>
      <c r="AF6" s="53">
        <f t="shared" si="15"/>
        <v>0</v>
      </c>
    </row>
    <row r="7" spans="1:38">
      <c r="A7" s="52">
        <v>44290</v>
      </c>
      <c r="B7" s="136">
        <v>1471323</v>
      </c>
      <c r="C7" s="63">
        <f t="shared" si="0"/>
        <v>242</v>
      </c>
      <c r="D7" s="136">
        <v>33273289</v>
      </c>
      <c r="E7" s="60">
        <f t="shared" si="1"/>
        <v>778</v>
      </c>
      <c r="F7" s="138">
        <v>11950</v>
      </c>
      <c r="G7" s="60">
        <f t="shared" si="2"/>
        <v>128</v>
      </c>
      <c r="H7" s="138">
        <v>87433</v>
      </c>
      <c r="I7" s="60">
        <f t="shared" si="3"/>
        <v>31</v>
      </c>
      <c r="J7" s="139">
        <v>180204</v>
      </c>
      <c r="K7" s="63">
        <f t="shared" si="4"/>
        <v>0</v>
      </c>
      <c r="L7" s="138">
        <v>86801</v>
      </c>
      <c r="M7" s="60">
        <f t="shared" si="5"/>
        <v>57</v>
      </c>
      <c r="N7" s="138">
        <v>609230</v>
      </c>
      <c r="O7" s="63">
        <f t="shared" si="6"/>
        <v>87</v>
      </c>
      <c r="P7" s="138">
        <v>161981</v>
      </c>
      <c r="Q7" s="60">
        <f t="shared" si="7"/>
        <v>31</v>
      </c>
      <c r="R7" s="138">
        <v>885101</v>
      </c>
      <c r="S7" s="63">
        <f t="shared" si="8"/>
        <v>189</v>
      </c>
      <c r="T7" s="138">
        <v>69033</v>
      </c>
      <c r="U7" s="60">
        <f t="shared" si="9"/>
        <v>22</v>
      </c>
      <c r="V7" s="138">
        <v>286443</v>
      </c>
      <c r="W7" s="63">
        <f t="shared" si="10"/>
        <v>51</v>
      </c>
      <c r="X7" s="112">
        <v>21007</v>
      </c>
      <c r="Y7" s="60">
        <f t="shared" si="11"/>
        <v>0</v>
      </c>
      <c r="Z7" s="139">
        <v>677122</v>
      </c>
      <c r="AA7" s="63">
        <f t="shared" si="12"/>
        <v>0</v>
      </c>
      <c r="AB7" s="76">
        <v>1410</v>
      </c>
      <c r="AC7" s="60">
        <f t="shared" si="13"/>
        <v>0</v>
      </c>
      <c r="AD7" s="70">
        <f t="shared" si="14"/>
        <v>1616</v>
      </c>
      <c r="AE7" s="18">
        <v>0</v>
      </c>
      <c r="AF7" s="53">
        <f t="shared" si="15"/>
        <v>0</v>
      </c>
    </row>
    <row r="8" spans="1:38">
      <c r="A8" s="52">
        <v>44291</v>
      </c>
      <c r="B8" s="136">
        <v>1471594</v>
      </c>
      <c r="C8" s="63">
        <f t="shared" si="0"/>
        <v>271</v>
      </c>
      <c r="D8" s="136">
        <v>33274108</v>
      </c>
      <c r="E8" s="60">
        <f t="shared" si="1"/>
        <v>819</v>
      </c>
      <c r="F8" s="138">
        <v>12033</v>
      </c>
      <c r="G8" s="60">
        <f t="shared" si="2"/>
        <v>83</v>
      </c>
      <c r="H8" s="138">
        <v>87447</v>
      </c>
      <c r="I8" s="60">
        <f t="shared" si="3"/>
        <v>14</v>
      </c>
      <c r="J8" s="139">
        <v>180227</v>
      </c>
      <c r="K8" s="63">
        <f t="shared" si="4"/>
        <v>23</v>
      </c>
      <c r="L8" s="138">
        <v>86843</v>
      </c>
      <c r="M8" s="60">
        <f t="shared" si="5"/>
        <v>42</v>
      </c>
      <c r="N8" s="138">
        <v>609312</v>
      </c>
      <c r="O8" s="63">
        <f t="shared" si="6"/>
        <v>82</v>
      </c>
      <c r="P8" s="138">
        <v>162015</v>
      </c>
      <c r="Q8" s="60">
        <f t="shared" si="7"/>
        <v>34</v>
      </c>
      <c r="R8" s="138">
        <v>885292</v>
      </c>
      <c r="S8" s="63">
        <f t="shared" si="8"/>
        <v>191</v>
      </c>
      <c r="T8" s="138">
        <v>69061</v>
      </c>
      <c r="U8" s="60">
        <f t="shared" si="9"/>
        <v>28</v>
      </c>
      <c r="V8" s="138">
        <v>286497</v>
      </c>
      <c r="W8" s="63">
        <f t="shared" si="10"/>
        <v>54</v>
      </c>
      <c r="X8" s="112">
        <v>21007</v>
      </c>
      <c r="Y8" s="60">
        <f t="shared" si="11"/>
        <v>0</v>
      </c>
      <c r="Z8" s="139">
        <v>677122</v>
      </c>
      <c r="AA8" s="63">
        <f t="shared" si="12"/>
        <v>0</v>
      </c>
      <c r="AB8" s="76">
        <v>1410</v>
      </c>
      <c r="AC8" s="60">
        <f t="shared" si="13"/>
        <v>0</v>
      </c>
      <c r="AD8" s="70">
        <f t="shared" si="14"/>
        <v>1641</v>
      </c>
      <c r="AE8" s="18">
        <v>0</v>
      </c>
      <c r="AF8" s="53">
        <f t="shared" si="15"/>
        <v>0</v>
      </c>
    </row>
    <row r="9" spans="1:38">
      <c r="A9" s="52">
        <v>44292</v>
      </c>
      <c r="B9" s="136">
        <v>1471835</v>
      </c>
      <c r="C9" s="63">
        <f t="shared" si="0"/>
        <v>241</v>
      </c>
      <c r="D9" s="136">
        <v>33274896</v>
      </c>
      <c r="E9" s="60">
        <f t="shared" si="1"/>
        <v>788</v>
      </c>
      <c r="F9" s="138">
        <v>12136</v>
      </c>
      <c r="G9" s="60">
        <f t="shared" si="2"/>
        <v>103</v>
      </c>
      <c r="H9" s="138">
        <v>87467</v>
      </c>
      <c r="I9" s="60">
        <f t="shared" si="3"/>
        <v>20</v>
      </c>
      <c r="J9" s="139">
        <v>180255</v>
      </c>
      <c r="K9" s="63">
        <f t="shared" si="4"/>
        <v>28</v>
      </c>
      <c r="L9" s="138">
        <v>86891</v>
      </c>
      <c r="M9" s="60">
        <f t="shared" si="5"/>
        <v>48</v>
      </c>
      <c r="N9" s="138">
        <v>609440</v>
      </c>
      <c r="O9" s="63">
        <f t="shared" si="6"/>
        <v>128</v>
      </c>
      <c r="P9" s="138">
        <v>162051</v>
      </c>
      <c r="Q9" s="60">
        <f t="shared" si="7"/>
        <v>36</v>
      </c>
      <c r="R9" s="138">
        <v>885463</v>
      </c>
      <c r="S9" s="63">
        <f t="shared" si="8"/>
        <v>171</v>
      </c>
      <c r="T9" s="138">
        <v>69095</v>
      </c>
      <c r="U9" s="60">
        <f t="shared" si="9"/>
        <v>34</v>
      </c>
      <c r="V9" s="138">
        <v>286546</v>
      </c>
      <c r="W9" s="63">
        <f t="shared" si="10"/>
        <v>49</v>
      </c>
      <c r="X9" s="112">
        <v>21007</v>
      </c>
      <c r="Y9" s="60">
        <f t="shared" si="11"/>
        <v>0</v>
      </c>
      <c r="Z9" s="139">
        <v>677122</v>
      </c>
      <c r="AA9" s="63">
        <f t="shared" si="12"/>
        <v>0</v>
      </c>
      <c r="AB9" s="76">
        <v>1410</v>
      </c>
      <c r="AC9" s="60">
        <f t="shared" si="13"/>
        <v>0</v>
      </c>
      <c r="AD9" s="70">
        <f t="shared" si="14"/>
        <v>1646</v>
      </c>
      <c r="AE9" s="18">
        <v>0</v>
      </c>
      <c r="AF9" s="53">
        <f t="shared" si="15"/>
        <v>0</v>
      </c>
    </row>
    <row r="10" spans="1:38">
      <c r="A10" s="52">
        <v>44293</v>
      </c>
      <c r="B10" s="136">
        <v>1472080</v>
      </c>
      <c r="C10" s="63">
        <f t="shared" si="0"/>
        <v>245</v>
      </c>
      <c r="D10" s="136">
        <v>33275878</v>
      </c>
      <c r="E10" s="60">
        <f t="shared" si="1"/>
        <v>982</v>
      </c>
      <c r="F10" s="138">
        <v>12258</v>
      </c>
      <c r="G10" s="60">
        <f t="shared" si="2"/>
        <v>122</v>
      </c>
      <c r="H10" s="138">
        <v>87500</v>
      </c>
      <c r="I10" s="60">
        <f t="shared" si="3"/>
        <v>33</v>
      </c>
      <c r="J10" s="139">
        <v>180273</v>
      </c>
      <c r="K10" s="63">
        <f t="shared" si="4"/>
        <v>18</v>
      </c>
      <c r="L10" s="138">
        <v>86949</v>
      </c>
      <c r="M10" s="60">
        <f t="shared" si="5"/>
        <v>58</v>
      </c>
      <c r="N10" s="138">
        <v>609544</v>
      </c>
      <c r="O10" s="63">
        <f t="shared" si="6"/>
        <v>104</v>
      </c>
      <c r="P10" s="138">
        <v>162087</v>
      </c>
      <c r="Q10" s="60">
        <f t="shared" si="7"/>
        <v>36</v>
      </c>
      <c r="R10" s="138">
        <v>885638</v>
      </c>
      <c r="S10" s="63">
        <f t="shared" si="8"/>
        <v>175</v>
      </c>
      <c r="T10" s="138">
        <v>69119</v>
      </c>
      <c r="U10" s="60">
        <f t="shared" si="9"/>
        <v>24</v>
      </c>
      <c r="V10" s="138">
        <v>286597</v>
      </c>
      <c r="W10" s="63">
        <f t="shared" si="10"/>
        <v>51</v>
      </c>
      <c r="X10" s="112">
        <v>21007</v>
      </c>
      <c r="Y10" s="60">
        <f t="shared" si="11"/>
        <v>0</v>
      </c>
      <c r="Z10" s="139">
        <v>677122</v>
      </c>
      <c r="AA10" s="63">
        <f t="shared" si="12"/>
        <v>0</v>
      </c>
      <c r="AB10" s="76">
        <v>1410</v>
      </c>
      <c r="AC10" s="60">
        <f t="shared" si="13"/>
        <v>0</v>
      </c>
      <c r="AD10" s="70">
        <f t="shared" si="14"/>
        <v>1848</v>
      </c>
      <c r="AE10" s="18">
        <v>0</v>
      </c>
      <c r="AF10" s="53">
        <f t="shared" si="15"/>
        <v>0</v>
      </c>
    </row>
    <row r="11" spans="1:38">
      <c r="A11" s="52">
        <v>44294</v>
      </c>
      <c r="B11" s="136">
        <v>1472345</v>
      </c>
      <c r="C11" s="63">
        <f t="shared" si="0"/>
        <v>265</v>
      </c>
      <c r="D11" s="136">
        <v>33277001</v>
      </c>
      <c r="E11" s="60">
        <f>IF((D11-D10)&lt;0,"0",(D11-D10))</f>
        <v>1123</v>
      </c>
      <c r="F11" s="138">
        <v>12339</v>
      </c>
      <c r="G11" s="60">
        <f t="shared" si="2"/>
        <v>81</v>
      </c>
      <c r="H11" s="138">
        <v>87523</v>
      </c>
      <c r="I11" s="60">
        <f t="shared" si="3"/>
        <v>23</v>
      </c>
      <c r="J11" s="139">
        <v>180296</v>
      </c>
      <c r="K11" s="63">
        <f t="shared" si="4"/>
        <v>23</v>
      </c>
      <c r="L11" s="138">
        <v>87008</v>
      </c>
      <c r="M11" s="60">
        <f t="shared" si="5"/>
        <v>59</v>
      </c>
      <c r="N11" s="138">
        <v>609660</v>
      </c>
      <c r="O11" s="63">
        <f t="shared" si="6"/>
        <v>116</v>
      </c>
      <c r="P11" s="138">
        <v>162127</v>
      </c>
      <c r="Q11" s="60">
        <f t="shared" si="7"/>
        <v>40</v>
      </c>
      <c r="R11" s="138">
        <v>885838</v>
      </c>
      <c r="S11" s="63">
        <f t="shared" si="8"/>
        <v>200</v>
      </c>
      <c r="T11" s="138">
        <v>69153</v>
      </c>
      <c r="U11" s="60">
        <f t="shared" si="9"/>
        <v>34</v>
      </c>
      <c r="V11" s="138">
        <v>286657</v>
      </c>
      <c r="W11" s="63">
        <f t="shared" si="10"/>
        <v>60</v>
      </c>
      <c r="X11" s="112">
        <v>21007</v>
      </c>
      <c r="Y11" s="60">
        <f t="shared" si="11"/>
        <v>0</v>
      </c>
      <c r="Z11" s="139">
        <v>677122</v>
      </c>
      <c r="AA11" s="63">
        <f t="shared" si="12"/>
        <v>0</v>
      </c>
      <c r="AB11" s="76">
        <v>1410</v>
      </c>
      <c r="AC11" s="60">
        <f t="shared" si="13"/>
        <v>0</v>
      </c>
      <c r="AD11" s="70">
        <f t="shared" si="14"/>
        <v>2024</v>
      </c>
      <c r="AE11" s="18">
        <v>0</v>
      </c>
      <c r="AF11" s="53">
        <f t="shared" si="15"/>
        <v>0</v>
      </c>
    </row>
    <row r="12" spans="1:38">
      <c r="A12" s="52">
        <v>44295</v>
      </c>
      <c r="B12" s="136">
        <v>1472625</v>
      </c>
      <c r="C12" s="63">
        <f t="shared" si="0"/>
        <v>280</v>
      </c>
      <c r="D12" s="136">
        <v>33277734</v>
      </c>
      <c r="E12" s="60">
        <f>IF((D12-D11)&lt;0,"0",(D12-D11))</f>
        <v>733</v>
      </c>
      <c r="F12" s="138">
        <v>12462</v>
      </c>
      <c r="G12" s="60">
        <f t="shared" si="2"/>
        <v>123</v>
      </c>
      <c r="H12" s="138">
        <v>87546</v>
      </c>
      <c r="I12" s="60">
        <f t="shared" si="3"/>
        <v>23</v>
      </c>
      <c r="J12" s="139">
        <v>180317</v>
      </c>
      <c r="K12" s="63">
        <f t="shared" si="4"/>
        <v>21</v>
      </c>
      <c r="L12" s="138">
        <v>87058</v>
      </c>
      <c r="M12" s="60">
        <f t="shared" si="5"/>
        <v>50</v>
      </c>
      <c r="N12" s="138">
        <v>609730</v>
      </c>
      <c r="O12" s="63">
        <f t="shared" si="6"/>
        <v>70</v>
      </c>
      <c r="P12" s="138">
        <v>162162</v>
      </c>
      <c r="Q12" s="60">
        <f t="shared" si="7"/>
        <v>35</v>
      </c>
      <c r="R12" s="138">
        <v>886054</v>
      </c>
      <c r="S12" s="63">
        <f t="shared" si="8"/>
        <v>216</v>
      </c>
      <c r="T12" s="138">
        <v>69180</v>
      </c>
      <c r="U12" s="60">
        <f t="shared" si="9"/>
        <v>27</v>
      </c>
      <c r="V12" s="138">
        <v>286714</v>
      </c>
      <c r="W12" s="63">
        <f t="shared" si="10"/>
        <v>57</v>
      </c>
      <c r="X12" s="112">
        <v>21007</v>
      </c>
      <c r="Y12" s="60">
        <f t="shared" si="11"/>
        <v>0</v>
      </c>
      <c r="Z12" s="139">
        <v>677122</v>
      </c>
      <c r="AA12" s="63">
        <f t="shared" si="12"/>
        <v>0</v>
      </c>
      <c r="AB12" s="76">
        <v>1410</v>
      </c>
      <c r="AC12" s="60">
        <f t="shared" si="13"/>
        <v>0</v>
      </c>
      <c r="AD12" s="70">
        <f t="shared" si="14"/>
        <v>1635</v>
      </c>
      <c r="AE12" s="18">
        <v>0</v>
      </c>
      <c r="AF12" s="53">
        <f t="shared" si="15"/>
        <v>0</v>
      </c>
    </row>
    <row r="13" spans="1:38">
      <c r="A13" s="52">
        <v>44296</v>
      </c>
      <c r="B13" s="136">
        <v>1472869</v>
      </c>
      <c r="C13" s="63">
        <f t="shared" si="0"/>
        <v>244</v>
      </c>
      <c r="D13" s="136">
        <v>33278892</v>
      </c>
      <c r="E13" s="60">
        <f>IF((D13-D12)&lt;0,"0",(D13-D12))</f>
        <v>1158</v>
      </c>
      <c r="F13" s="138">
        <v>12577</v>
      </c>
      <c r="G13" s="60">
        <f t="shared" si="2"/>
        <v>115</v>
      </c>
      <c r="H13" s="138">
        <v>87571</v>
      </c>
      <c r="I13" s="60">
        <f t="shared" si="3"/>
        <v>25</v>
      </c>
      <c r="J13" s="139">
        <v>180339</v>
      </c>
      <c r="K13" s="63">
        <f t="shared" si="4"/>
        <v>22</v>
      </c>
      <c r="L13" s="138">
        <v>87123</v>
      </c>
      <c r="M13" s="60">
        <f t="shared" si="5"/>
        <v>65</v>
      </c>
      <c r="N13" s="138">
        <v>609815</v>
      </c>
      <c r="O13" s="63">
        <f t="shared" si="6"/>
        <v>85</v>
      </c>
      <c r="P13" s="138">
        <v>162195</v>
      </c>
      <c r="Q13" s="60">
        <f t="shared" si="7"/>
        <v>33</v>
      </c>
      <c r="R13" s="138">
        <v>886230</v>
      </c>
      <c r="S13" s="63">
        <f t="shared" si="8"/>
        <v>176</v>
      </c>
      <c r="T13" s="138">
        <v>69215</v>
      </c>
      <c r="U13" s="60">
        <f t="shared" si="9"/>
        <v>35</v>
      </c>
      <c r="V13" s="138">
        <v>286773</v>
      </c>
      <c r="W13" s="63">
        <f t="shared" si="10"/>
        <v>59</v>
      </c>
      <c r="X13" s="112">
        <v>21007</v>
      </c>
      <c r="Y13" s="60">
        <f t="shared" si="11"/>
        <v>0</v>
      </c>
      <c r="Z13" s="139">
        <v>677122</v>
      </c>
      <c r="AA13" s="63">
        <f t="shared" si="12"/>
        <v>0</v>
      </c>
      <c r="AB13" s="76">
        <v>1410</v>
      </c>
      <c r="AC13" s="60">
        <f t="shared" si="13"/>
        <v>0</v>
      </c>
      <c r="AD13" s="70">
        <f t="shared" si="14"/>
        <v>2017</v>
      </c>
      <c r="AE13" s="18">
        <v>0</v>
      </c>
      <c r="AF13" s="53">
        <f t="shared" si="15"/>
        <v>0</v>
      </c>
    </row>
    <row r="14" spans="1:38">
      <c r="A14" s="52">
        <v>44297</v>
      </c>
      <c r="B14" s="136">
        <v>1473198</v>
      </c>
      <c r="C14" s="63">
        <f t="shared" si="0"/>
        <v>329</v>
      </c>
      <c r="D14" s="136">
        <v>33279804</v>
      </c>
      <c r="E14" s="60">
        <f t="shared" si="1"/>
        <v>912</v>
      </c>
      <c r="F14" s="138">
        <v>12677</v>
      </c>
      <c r="G14" s="60">
        <f t="shared" si="2"/>
        <v>100</v>
      </c>
      <c r="H14" s="138">
        <v>87592</v>
      </c>
      <c r="I14" s="60">
        <f t="shared" si="3"/>
        <v>21</v>
      </c>
      <c r="J14" s="139">
        <v>180339</v>
      </c>
      <c r="K14" s="63">
        <f t="shared" si="4"/>
        <v>0</v>
      </c>
      <c r="L14" s="138">
        <v>87180</v>
      </c>
      <c r="M14" s="60">
        <f t="shared" si="5"/>
        <v>57</v>
      </c>
      <c r="N14" s="138">
        <v>609863</v>
      </c>
      <c r="O14" s="63">
        <f t="shared" si="6"/>
        <v>48</v>
      </c>
      <c r="P14" s="138">
        <v>162229</v>
      </c>
      <c r="Q14" s="60">
        <f t="shared" si="7"/>
        <v>34</v>
      </c>
      <c r="R14" s="138">
        <v>886427</v>
      </c>
      <c r="S14" s="63">
        <f t="shared" si="8"/>
        <v>197</v>
      </c>
      <c r="T14" s="138">
        <v>69242</v>
      </c>
      <c r="U14" s="60">
        <f t="shared" si="9"/>
        <v>27</v>
      </c>
      <c r="V14" s="138">
        <v>286813</v>
      </c>
      <c r="W14" s="63">
        <f t="shared" si="10"/>
        <v>40</v>
      </c>
      <c r="X14" s="112">
        <v>21007</v>
      </c>
      <c r="Y14" s="60">
        <f t="shared" si="11"/>
        <v>0</v>
      </c>
      <c r="Z14" s="139">
        <v>677122</v>
      </c>
      <c r="AA14" s="63">
        <f t="shared" si="12"/>
        <v>0</v>
      </c>
      <c r="AB14" s="76">
        <v>1410</v>
      </c>
      <c r="AC14" s="60">
        <f t="shared" si="13"/>
        <v>0</v>
      </c>
      <c r="AD14" s="70">
        <f t="shared" si="14"/>
        <v>1765</v>
      </c>
      <c r="AE14" s="18">
        <v>0</v>
      </c>
      <c r="AF14" s="53">
        <f t="shared" si="15"/>
        <v>0</v>
      </c>
    </row>
    <row r="15" spans="1:38">
      <c r="A15" s="52">
        <v>44298</v>
      </c>
      <c r="B15" s="136">
        <v>1473426</v>
      </c>
      <c r="C15" s="63">
        <f t="shared" si="0"/>
        <v>228</v>
      </c>
      <c r="D15" s="136">
        <v>33280683</v>
      </c>
      <c r="E15" s="60">
        <f t="shared" si="1"/>
        <v>879</v>
      </c>
      <c r="F15" s="138">
        <v>12777</v>
      </c>
      <c r="G15" s="60">
        <f t="shared" si="2"/>
        <v>100</v>
      </c>
      <c r="H15" s="138">
        <v>87613</v>
      </c>
      <c r="I15" s="60">
        <f t="shared" si="3"/>
        <v>21</v>
      </c>
      <c r="J15" s="139">
        <v>180361</v>
      </c>
      <c r="K15" s="63">
        <f t="shared" si="4"/>
        <v>22</v>
      </c>
      <c r="L15" s="138">
        <v>87220</v>
      </c>
      <c r="M15" s="60">
        <f t="shared" si="5"/>
        <v>40</v>
      </c>
      <c r="N15" s="138">
        <v>609901</v>
      </c>
      <c r="O15" s="63">
        <f t="shared" si="6"/>
        <v>38</v>
      </c>
      <c r="P15" s="138">
        <v>162263</v>
      </c>
      <c r="Q15" s="60">
        <f t="shared" si="7"/>
        <v>34</v>
      </c>
      <c r="R15" s="138">
        <v>886591</v>
      </c>
      <c r="S15" s="63">
        <f t="shared" si="8"/>
        <v>164</v>
      </c>
      <c r="T15" s="138">
        <v>69266</v>
      </c>
      <c r="U15" s="60">
        <f t="shared" si="9"/>
        <v>24</v>
      </c>
      <c r="V15" s="138">
        <v>286863</v>
      </c>
      <c r="W15" s="63">
        <f t="shared" si="10"/>
        <v>50</v>
      </c>
      <c r="X15" s="112">
        <v>21007</v>
      </c>
      <c r="Y15" s="60">
        <f t="shared" si="11"/>
        <v>0</v>
      </c>
      <c r="Z15" s="139">
        <v>677122</v>
      </c>
      <c r="AA15" s="63">
        <f t="shared" si="12"/>
        <v>0</v>
      </c>
      <c r="AB15" s="76">
        <v>1410</v>
      </c>
      <c r="AC15" s="60">
        <f t="shared" si="13"/>
        <v>0</v>
      </c>
      <c r="AD15" s="70">
        <f t="shared" si="14"/>
        <v>1600</v>
      </c>
      <c r="AE15" s="18">
        <v>0</v>
      </c>
      <c r="AF15" s="53">
        <f t="shared" si="15"/>
        <v>0</v>
      </c>
    </row>
    <row r="16" spans="1:38">
      <c r="A16" s="52">
        <v>44299</v>
      </c>
      <c r="B16" s="136">
        <v>1473722</v>
      </c>
      <c r="C16" s="63">
        <f t="shared" si="0"/>
        <v>296</v>
      </c>
      <c r="D16" s="136">
        <v>33281438</v>
      </c>
      <c r="E16" s="60">
        <f t="shared" si="1"/>
        <v>755</v>
      </c>
      <c r="F16" s="138">
        <v>12880</v>
      </c>
      <c r="G16" s="60">
        <f t="shared" si="2"/>
        <v>103</v>
      </c>
      <c r="H16" s="138">
        <v>87635</v>
      </c>
      <c r="I16" s="60">
        <f t="shared" si="3"/>
        <v>22</v>
      </c>
      <c r="J16" s="139">
        <v>180362</v>
      </c>
      <c r="K16" s="63">
        <f t="shared" si="4"/>
        <v>1</v>
      </c>
      <c r="L16" s="138">
        <v>87279</v>
      </c>
      <c r="M16" s="60">
        <f t="shared" si="5"/>
        <v>59</v>
      </c>
      <c r="N16" s="138">
        <v>609939</v>
      </c>
      <c r="O16" s="63">
        <f t="shared" si="6"/>
        <v>38</v>
      </c>
      <c r="P16" s="138">
        <v>162263</v>
      </c>
      <c r="Q16" s="60">
        <f t="shared" si="7"/>
        <v>0</v>
      </c>
      <c r="R16" s="138">
        <v>886691</v>
      </c>
      <c r="S16" s="63">
        <f t="shared" si="8"/>
        <v>100</v>
      </c>
      <c r="T16" s="138">
        <v>69285</v>
      </c>
      <c r="U16" s="60">
        <f t="shared" si="9"/>
        <v>19</v>
      </c>
      <c r="V16" s="138">
        <v>286903</v>
      </c>
      <c r="W16" s="63">
        <f t="shared" si="10"/>
        <v>40</v>
      </c>
      <c r="X16" s="112">
        <v>21007</v>
      </c>
      <c r="Y16" s="60">
        <f t="shared" si="11"/>
        <v>0</v>
      </c>
      <c r="Z16" s="139">
        <v>677122</v>
      </c>
      <c r="AA16" s="63">
        <f t="shared" si="12"/>
        <v>0</v>
      </c>
      <c r="AB16" s="76">
        <v>1410</v>
      </c>
      <c r="AC16" s="60">
        <f t="shared" si="13"/>
        <v>0</v>
      </c>
      <c r="AD16" s="70">
        <f t="shared" si="14"/>
        <v>1433</v>
      </c>
      <c r="AE16" s="18">
        <v>0</v>
      </c>
      <c r="AF16" s="53">
        <f t="shared" si="15"/>
        <v>0</v>
      </c>
      <c r="AL16" t="s">
        <v>73</v>
      </c>
    </row>
    <row r="17" spans="1:38">
      <c r="A17" s="52">
        <v>44300</v>
      </c>
      <c r="B17" s="136">
        <v>1473915</v>
      </c>
      <c r="C17" s="63">
        <f t="shared" si="0"/>
        <v>193</v>
      </c>
      <c r="D17" s="136">
        <v>33282185</v>
      </c>
      <c r="E17" s="60">
        <f t="shared" si="1"/>
        <v>747</v>
      </c>
      <c r="F17" s="138">
        <v>12953</v>
      </c>
      <c r="G17" s="60">
        <f t="shared" si="2"/>
        <v>73</v>
      </c>
      <c r="H17" s="138">
        <v>87651</v>
      </c>
      <c r="I17" s="60">
        <f t="shared" si="3"/>
        <v>16</v>
      </c>
      <c r="J17" s="139">
        <v>180362</v>
      </c>
      <c r="K17" s="63">
        <f t="shared" si="4"/>
        <v>0</v>
      </c>
      <c r="L17" s="138">
        <v>87330</v>
      </c>
      <c r="M17" s="60">
        <f t="shared" si="5"/>
        <v>51</v>
      </c>
      <c r="N17" s="138">
        <v>609982</v>
      </c>
      <c r="O17" s="63">
        <f t="shared" si="6"/>
        <v>43</v>
      </c>
      <c r="P17" s="138">
        <v>162263</v>
      </c>
      <c r="Q17" s="60">
        <f t="shared" si="7"/>
        <v>0</v>
      </c>
      <c r="R17" s="138">
        <v>886777</v>
      </c>
      <c r="S17" s="63">
        <f t="shared" si="8"/>
        <v>86</v>
      </c>
      <c r="T17" s="138">
        <v>69306</v>
      </c>
      <c r="U17" s="60">
        <f t="shared" si="9"/>
        <v>21</v>
      </c>
      <c r="V17" s="138">
        <v>286949</v>
      </c>
      <c r="W17" s="63">
        <f t="shared" si="10"/>
        <v>46</v>
      </c>
      <c r="X17" s="112">
        <v>21007</v>
      </c>
      <c r="Y17" s="60">
        <f t="shared" si="11"/>
        <v>0</v>
      </c>
      <c r="Z17" s="139">
        <v>677122</v>
      </c>
      <c r="AA17" s="63">
        <f t="shared" si="12"/>
        <v>0</v>
      </c>
      <c r="AB17" s="76">
        <v>1410</v>
      </c>
      <c r="AC17" s="60">
        <f t="shared" si="13"/>
        <v>0</v>
      </c>
      <c r="AD17" s="70">
        <f t="shared" si="14"/>
        <v>1276</v>
      </c>
      <c r="AE17" s="18">
        <v>0</v>
      </c>
      <c r="AF17" s="53">
        <f t="shared" si="15"/>
        <v>0</v>
      </c>
    </row>
    <row r="18" spans="1:38">
      <c r="A18" s="52">
        <v>44301</v>
      </c>
      <c r="B18" s="136">
        <v>1474138</v>
      </c>
      <c r="C18" s="63">
        <f t="shared" si="0"/>
        <v>223</v>
      </c>
      <c r="D18" s="136">
        <v>33282813</v>
      </c>
      <c r="E18" s="60">
        <f t="shared" si="1"/>
        <v>628</v>
      </c>
      <c r="F18" s="138">
        <v>13064</v>
      </c>
      <c r="G18" s="60">
        <f t="shared" si="2"/>
        <v>111</v>
      </c>
      <c r="H18" s="138">
        <v>87668</v>
      </c>
      <c r="I18" s="60">
        <f t="shared" si="3"/>
        <v>17</v>
      </c>
      <c r="J18" s="139">
        <v>180362</v>
      </c>
      <c r="K18" s="63">
        <f t="shared" si="4"/>
        <v>0</v>
      </c>
      <c r="L18" s="138">
        <v>87382</v>
      </c>
      <c r="M18" s="60">
        <f t="shared" si="5"/>
        <v>52</v>
      </c>
      <c r="N18" s="138">
        <v>610032</v>
      </c>
      <c r="O18" s="63">
        <f t="shared" si="6"/>
        <v>50</v>
      </c>
      <c r="P18" s="138">
        <v>162263</v>
      </c>
      <c r="Q18" s="60">
        <f t="shared" si="7"/>
        <v>0</v>
      </c>
      <c r="R18" s="138">
        <v>886876</v>
      </c>
      <c r="S18" s="63">
        <f t="shared" si="8"/>
        <v>99</v>
      </c>
      <c r="T18" s="138">
        <v>69332</v>
      </c>
      <c r="U18" s="60">
        <f t="shared" si="9"/>
        <v>26</v>
      </c>
      <c r="V18" s="138">
        <v>286997</v>
      </c>
      <c r="W18" s="63">
        <f t="shared" si="10"/>
        <v>48</v>
      </c>
      <c r="X18" s="112">
        <v>21007</v>
      </c>
      <c r="Y18" s="60">
        <f t="shared" si="11"/>
        <v>0</v>
      </c>
      <c r="Z18" s="139">
        <v>677122</v>
      </c>
      <c r="AA18" s="63">
        <f t="shared" si="12"/>
        <v>0</v>
      </c>
      <c r="AB18" s="76">
        <v>1410</v>
      </c>
      <c r="AC18" s="60">
        <f t="shared" si="13"/>
        <v>0</v>
      </c>
      <c r="AD18" s="70">
        <f t="shared" si="14"/>
        <v>1254</v>
      </c>
      <c r="AE18" s="18">
        <v>0</v>
      </c>
      <c r="AF18" s="53">
        <f t="shared" si="15"/>
        <v>0</v>
      </c>
    </row>
    <row r="19" spans="1:38">
      <c r="A19" s="52">
        <v>44302</v>
      </c>
      <c r="B19" s="136">
        <v>1474361</v>
      </c>
      <c r="C19" s="63">
        <f t="shared" si="0"/>
        <v>223</v>
      </c>
      <c r="D19" s="136">
        <v>33283516</v>
      </c>
      <c r="E19" s="60">
        <f t="shared" si="1"/>
        <v>703</v>
      </c>
      <c r="F19" s="138">
        <v>13138</v>
      </c>
      <c r="G19" s="60">
        <f t="shared" si="2"/>
        <v>74</v>
      </c>
      <c r="H19" s="138">
        <v>87685</v>
      </c>
      <c r="I19" s="60">
        <f t="shared" si="3"/>
        <v>17</v>
      </c>
      <c r="J19" s="139">
        <v>180362</v>
      </c>
      <c r="K19" s="63">
        <f t="shared" si="4"/>
        <v>0</v>
      </c>
      <c r="L19" s="138">
        <v>87438</v>
      </c>
      <c r="M19" s="60">
        <f t="shared" si="5"/>
        <v>56</v>
      </c>
      <c r="N19" s="138">
        <v>610066</v>
      </c>
      <c r="O19" s="63">
        <f t="shared" si="6"/>
        <v>34</v>
      </c>
      <c r="P19" s="138">
        <v>162263</v>
      </c>
      <c r="Q19" s="60">
        <f t="shared" si="7"/>
        <v>0</v>
      </c>
      <c r="R19" s="138">
        <v>886993</v>
      </c>
      <c r="S19" s="63">
        <f t="shared" si="8"/>
        <v>117</v>
      </c>
      <c r="T19" s="138">
        <v>69353</v>
      </c>
      <c r="U19" s="60">
        <f t="shared" si="9"/>
        <v>21</v>
      </c>
      <c r="V19" s="138">
        <v>287037</v>
      </c>
      <c r="W19" s="63">
        <f t="shared" si="10"/>
        <v>40</v>
      </c>
      <c r="X19" s="112">
        <v>21007</v>
      </c>
      <c r="Y19" s="60">
        <f t="shared" si="11"/>
        <v>0</v>
      </c>
      <c r="Z19" s="139">
        <v>677122</v>
      </c>
      <c r="AA19" s="63">
        <f t="shared" si="12"/>
        <v>0</v>
      </c>
      <c r="AB19" s="76">
        <v>1410</v>
      </c>
      <c r="AC19" s="60">
        <f t="shared" si="13"/>
        <v>0</v>
      </c>
      <c r="AD19" s="70">
        <f t="shared" si="14"/>
        <v>1285</v>
      </c>
      <c r="AE19" s="18">
        <v>0</v>
      </c>
      <c r="AF19" s="53">
        <f t="shared" si="15"/>
        <v>0</v>
      </c>
    </row>
    <row r="20" spans="1:38">
      <c r="A20" s="52">
        <v>44303</v>
      </c>
      <c r="B20" s="136">
        <v>1474567</v>
      </c>
      <c r="C20" s="63">
        <f t="shared" si="0"/>
        <v>206</v>
      </c>
      <c r="D20" s="136">
        <v>33284185</v>
      </c>
      <c r="E20" s="60">
        <f t="shared" si="1"/>
        <v>669</v>
      </c>
      <c r="F20" s="138">
        <v>13225</v>
      </c>
      <c r="G20" s="60">
        <f t="shared" si="2"/>
        <v>87</v>
      </c>
      <c r="H20" s="138">
        <v>87701</v>
      </c>
      <c r="I20" s="60">
        <f t="shared" si="3"/>
        <v>16</v>
      </c>
      <c r="J20" s="139">
        <v>180374</v>
      </c>
      <c r="K20" s="63">
        <f t="shared" si="4"/>
        <v>12</v>
      </c>
      <c r="L20" s="138">
        <v>87497</v>
      </c>
      <c r="M20" s="60">
        <f t="shared" si="5"/>
        <v>59</v>
      </c>
      <c r="N20" s="138">
        <v>610124</v>
      </c>
      <c r="O20" s="63">
        <f t="shared" si="6"/>
        <v>58</v>
      </c>
      <c r="P20" s="138">
        <v>162263</v>
      </c>
      <c r="Q20" s="60">
        <f t="shared" si="7"/>
        <v>0</v>
      </c>
      <c r="R20" s="138">
        <v>887117</v>
      </c>
      <c r="S20" s="63">
        <f t="shared" si="8"/>
        <v>124</v>
      </c>
      <c r="T20" s="138">
        <v>69373</v>
      </c>
      <c r="U20" s="60">
        <f t="shared" si="9"/>
        <v>20</v>
      </c>
      <c r="V20" s="138">
        <v>287080</v>
      </c>
      <c r="W20" s="63">
        <f t="shared" si="10"/>
        <v>43</v>
      </c>
      <c r="X20" s="112">
        <v>21007</v>
      </c>
      <c r="Y20" s="60">
        <f t="shared" si="11"/>
        <v>0</v>
      </c>
      <c r="Z20" s="139">
        <v>677122</v>
      </c>
      <c r="AA20" s="63">
        <f t="shared" si="12"/>
        <v>0</v>
      </c>
      <c r="AB20" s="76">
        <v>1410</v>
      </c>
      <c r="AC20" s="60">
        <f t="shared" si="13"/>
        <v>0</v>
      </c>
      <c r="AD20" s="70">
        <f t="shared" si="14"/>
        <v>1294</v>
      </c>
      <c r="AE20" s="18">
        <v>0</v>
      </c>
      <c r="AF20" s="53">
        <f t="shared" si="15"/>
        <v>0</v>
      </c>
    </row>
    <row r="21" spans="1:38">
      <c r="A21" s="52">
        <v>44304</v>
      </c>
      <c r="B21" s="136">
        <v>1474823</v>
      </c>
      <c r="C21" s="63">
        <f t="shared" si="0"/>
        <v>256</v>
      </c>
      <c r="D21" s="136">
        <v>33284967</v>
      </c>
      <c r="E21" s="60">
        <f t="shared" si="1"/>
        <v>782</v>
      </c>
      <c r="F21" s="138">
        <v>13282</v>
      </c>
      <c r="G21" s="60">
        <f t="shared" si="2"/>
        <v>57</v>
      </c>
      <c r="H21" s="138">
        <v>87717</v>
      </c>
      <c r="I21" s="60">
        <f t="shared" si="3"/>
        <v>16</v>
      </c>
      <c r="J21" s="139">
        <v>180381</v>
      </c>
      <c r="K21" s="63">
        <f t="shared" si="4"/>
        <v>7</v>
      </c>
      <c r="L21" s="138">
        <v>87533</v>
      </c>
      <c r="M21" s="60">
        <f t="shared" si="5"/>
        <v>36</v>
      </c>
      <c r="N21" s="138">
        <v>610170</v>
      </c>
      <c r="O21" s="63">
        <f t="shared" si="6"/>
        <v>46</v>
      </c>
      <c r="P21" s="138">
        <v>162263</v>
      </c>
      <c r="Q21" s="60">
        <f t="shared" si="7"/>
        <v>0</v>
      </c>
      <c r="R21" s="138">
        <v>887208</v>
      </c>
      <c r="S21" s="63">
        <f t="shared" si="8"/>
        <v>91</v>
      </c>
      <c r="T21" s="138">
        <v>69393</v>
      </c>
      <c r="U21" s="60">
        <f t="shared" si="9"/>
        <v>20</v>
      </c>
      <c r="V21" s="138">
        <v>287123</v>
      </c>
      <c r="W21" s="63">
        <f t="shared" si="10"/>
        <v>43</v>
      </c>
      <c r="X21" s="112">
        <v>21007</v>
      </c>
      <c r="Y21" s="60">
        <f t="shared" si="11"/>
        <v>0</v>
      </c>
      <c r="Z21" s="139">
        <v>677122</v>
      </c>
      <c r="AA21" s="63">
        <f t="shared" si="12"/>
        <v>0</v>
      </c>
      <c r="AB21" s="76">
        <v>1410</v>
      </c>
      <c r="AC21" s="60">
        <f t="shared" si="13"/>
        <v>0</v>
      </c>
      <c r="AD21" s="70">
        <f t="shared" si="14"/>
        <v>1354</v>
      </c>
      <c r="AE21" s="18">
        <v>0</v>
      </c>
      <c r="AF21" s="53">
        <f t="shared" si="15"/>
        <v>0</v>
      </c>
    </row>
    <row r="22" spans="1:38">
      <c r="A22" s="52">
        <v>44305</v>
      </c>
      <c r="B22" s="136">
        <v>1475078</v>
      </c>
      <c r="C22" s="63">
        <f t="shared" si="0"/>
        <v>255</v>
      </c>
      <c r="D22" s="136">
        <v>33285289</v>
      </c>
      <c r="E22" s="60">
        <f t="shared" si="1"/>
        <v>322</v>
      </c>
      <c r="F22" s="138">
        <v>13362</v>
      </c>
      <c r="G22" s="60">
        <f t="shared" si="2"/>
        <v>80</v>
      </c>
      <c r="H22" s="138">
        <v>87733</v>
      </c>
      <c r="I22" s="60">
        <f t="shared" si="3"/>
        <v>16</v>
      </c>
      <c r="J22" s="139">
        <v>180390</v>
      </c>
      <c r="K22" s="63">
        <f t="shared" si="4"/>
        <v>9</v>
      </c>
      <c r="L22" s="138">
        <v>87578</v>
      </c>
      <c r="M22" s="60">
        <f t="shared" si="5"/>
        <v>45</v>
      </c>
      <c r="N22" s="138">
        <v>610194</v>
      </c>
      <c r="O22" s="63">
        <f t="shared" si="6"/>
        <v>24</v>
      </c>
      <c r="P22" s="138">
        <v>162263</v>
      </c>
      <c r="Q22" s="60">
        <f t="shared" si="7"/>
        <v>0</v>
      </c>
      <c r="R22" s="138">
        <v>887320</v>
      </c>
      <c r="S22" s="63">
        <f t="shared" si="8"/>
        <v>112</v>
      </c>
      <c r="T22" s="138">
        <v>69416</v>
      </c>
      <c r="U22" s="60">
        <f t="shared" si="9"/>
        <v>23</v>
      </c>
      <c r="V22" s="138">
        <v>287172</v>
      </c>
      <c r="W22" s="63">
        <f t="shared" si="10"/>
        <v>49</v>
      </c>
      <c r="X22" s="112">
        <v>21007</v>
      </c>
      <c r="Y22" s="60">
        <f t="shared" si="11"/>
        <v>0</v>
      </c>
      <c r="Z22" s="139">
        <v>677122</v>
      </c>
      <c r="AA22" s="63">
        <f t="shared" si="12"/>
        <v>0</v>
      </c>
      <c r="AB22" s="76">
        <v>1410</v>
      </c>
      <c r="AC22" s="60">
        <f t="shared" si="13"/>
        <v>0</v>
      </c>
      <c r="AD22" s="70">
        <f t="shared" si="14"/>
        <v>935</v>
      </c>
      <c r="AE22" s="18">
        <v>0</v>
      </c>
      <c r="AF22" s="53">
        <f t="shared" si="15"/>
        <v>0</v>
      </c>
    </row>
    <row r="23" spans="1:38">
      <c r="A23" s="52">
        <v>44306</v>
      </c>
      <c r="B23" s="136">
        <v>1475298</v>
      </c>
      <c r="C23" s="63">
        <f t="shared" si="0"/>
        <v>220</v>
      </c>
      <c r="D23" s="136">
        <v>33286004</v>
      </c>
      <c r="E23" s="60">
        <f t="shared" si="1"/>
        <v>715</v>
      </c>
      <c r="F23" s="138">
        <v>13476</v>
      </c>
      <c r="G23" s="60">
        <f t="shared" si="2"/>
        <v>114</v>
      </c>
      <c r="H23" s="138">
        <v>87750</v>
      </c>
      <c r="I23" s="60">
        <f t="shared" si="3"/>
        <v>17</v>
      </c>
      <c r="J23" s="139">
        <v>180392</v>
      </c>
      <c r="K23" s="63">
        <f t="shared" si="4"/>
        <v>2</v>
      </c>
      <c r="L23" s="138">
        <v>87625</v>
      </c>
      <c r="M23" s="60">
        <f t="shared" si="5"/>
        <v>47</v>
      </c>
      <c r="N23" s="138">
        <v>610278</v>
      </c>
      <c r="O23" s="63">
        <f t="shared" si="6"/>
        <v>84</v>
      </c>
      <c r="P23" s="138">
        <v>162263</v>
      </c>
      <c r="Q23" s="60">
        <f t="shared" si="7"/>
        <v>0</v>
      </c>
      <c r="R23" s="138">
        <v>887422</v>
      </c>
      <c r="S23" s="63">
        <f t="shared" si="8"/>
        <v>102</v>
      </c>
      <c r="T23" s="138">
        <v>69438</v>
      </c>
      <c r="U23" s="60">
        <f t="shared" si="9"/>
        <v>22</v>
      </c>
      <c r="V23" s="138">
        <v>287216</v>
      </c>
      <c r="W23" s="63">
        <f t="shared" si="10"/>
        <v>44</v>
      </c>
      <c r="X23" s="112">
        <v>21007</v>
      </c>
      <c r="Y23" s="60">
        <f t="shared" si="11"/>
        <v>0</v>
      </c>
      <c r="Z23" s="139">
        <v>677124</v>
      </c>
      <c r="AA23" s="63">
        <f t="shared" si="12"/>
        <v>2</v>
      </c>
      <c r="AB23" s="76">
        <v>1410</v>
      </c>
      <c r="AC23" s="60">
        <f t="shared" si="13"/>
        <v>0</v>
      </c>
      <c r="AD23" s="70">
        <f t="shared" si="14"/>
        <v>1369</v>
      </c>
      <c r="AE23" s="18">
        <v>0</v>
      </c>
      <c r="AF23" s="53">
        <f t="shared" si="15"/>
        <v>0</v>
      </c>
    </row>
    <row r="24" spans="1:38">
      <c r="A24" s="52">
        <v>44307</v>
      </c>
      <c r="B24" s="136">
        <v>1475565</v>
      </c>
      <c r="C24" s="63">
        <f t="shared" si="0"/>
        <v>267</v>
      </c>
      <c r="D24" s="136">
        <v>33286726</v>
      </c>
      <c r="E24" s="60">
        <f t="shared" si="1"/>
        <v>722</v>
      </c>
      <c r="F24" s="138">
        <v>13571</v>
      </c>
      <c r="G24" s="60">
        <f t="shared" si="2"/>
        <v>95</v>
      </c>
      <c r="H24" s="138">
        <v>87764</v>
      </c>
      <c r="I24" s="60">
        <f t="shared" si="3"/>
        <v>14</v>
      </c>
      <c r="J24" s="139">
        <v>180392</v>
      </c>
      <c r="K24" s="63">
        <f t="shared" si="4"/>
        <v>0</v>
      </c>
      <c r="L24" s="138">
        <v>87650</v>
      </c>
      <c r="M24" s="60">
        <f t="shared" si="5"/>
        <v>25</v>
      </c>
      <c r="N24" s="138">
        <v>610411</v>
      </c>
      <c r="O24" s="63">
        <f t="shared" si="6"/>
        <v>133</v>
      </c>
      <c r="P24" s="138">
        <v>162263</v>
      </c>
      <c r="Q24" s="60">
        <f t="shared" si="7"/>
        <v>0</v>
      </c>
      <c r="R24" s="138">
        <v>887533</v>
      </c>
      <c r="S24" s="63">
        <f t="shared" si="8"/>
        <v>111</v>
      </c>
      <c r="T24" s="138">
        <v>69458</v>
      </c>
      <c r="U24" s="60">
        <f t="shared" si="9"/>
        <v>20</v>
      </c>
      <c r="V24" s="138">
        <v>287265</v>
      </c>
      <c r="W24" s="63">
        <f t="shared" si="10"/>
        <v>49</v>
      </c>
      <c r="X24" s="112">
        <v>21007</v>
      </c>
      <c r="Y24" s="60">
        <f t="shared" si="11"/>
        <v>0</v>
      </c>
      <c r="Z24" s="139">
        <v>677224</v>
      </c>
      <c r="AA24" s="63">
        <f t="shared" si="12"/>
        <v>100</v>
      </c>
      <c r="AB24" s="76">
        <v>1410</v>
      </c>
      <c r="AC24" s="60">
        <f t="shared" si="13"/>
        <v>0</v>
      </c>
      <c r="AD24" s="70">
        <f t="shared" si="14"/>
        <v>1536</v>
      </c>
      <c r="AE24" s="18">
        <v>0</v>
      </c>
      <c r="AF24" s="53">
        <f t="shared" si="15"/>
        <v>0</v>
      </c>
      <c r="AI24" t="s">
        <v>73</v>
      </c>
    </row>
    <row r="25" spans="1:38">
      <c r="A25" s="52">
        <v>44308</v>
      </c>
      <c r="B25" s="136">
        <v>1475772</v>
      </c>
      <c r="C25" s="63">
        <f t="shared" si="0"/>
        <v>207</v>
      </c>
      <c r="D25" s="136">
        <v>33287408</v>
      </c>
      <c r="E25" s="60">
        <f t="shared" si="1"/>
        <v>682</v>
      </c>
      <c r="F25" s="138">
        <v>13667</v>
      </c>
      <c r="G25" s="60">
        <f t="shared" si="2"/>
        <v>96</v>
      </c>
      <c r="H25" s="138">
        <v>87782</v>
      </c>
      <c r="I25" s="60">
        <f t="shared" si="3"/>
        <v>18</v>
      </c>
      <c r="J25" s="139">
        <v>180393</v>
      </c>
      <c r="K25" s="63">
        <f t="shared" si="4"/>
        <v>1</v>
      </c>
      <c r="L25" s="138">
        <v>87687</v>
      </c>
      <c r="M25" s="60">
        <f t="shared" si="5"/>
        <v>37</v>
      </c>
      <c r="N25" s="138">
        <v>610530</v>
      </c>
      <c r="O25" s="63">
        <f t="shared" si="6"/>
        <v>119</v>
      </c>
      <c r="P25" s="138">
        <v>162263</v>
      </c>
      <c r="Q25" s="60">
        <f t="shared" si="7"/>
        <v>0</v>
      </c>
      <c r="R25" s="138">
        <v>887641</v>
      </c>
      <c r="S25" s="63">
        <f t="shared" si="8"/>
        <v>108</v>
      </c>
      <c r="T25" s="138">
        <v>69479</v>
      </c>
      <c r="U25" s="60">
        <f t="shared" si="9"/>
        <v>21</v>
      </c>
      <c r="V25" s="138">
        <v>287308</v>
      </c>
      <c r="W25" s="63">
        <f t="shared" si="10"/>
        <v>43</v>
      </c>
      <c r="X25" s="112">
        <v>21007</v>
      </c>
      <c r="Y25" s="60">
        <f t="shared" si="11"/>
        <v>0</v>
      </c>
      <c r="Z25" s="139">
        <v>677322</v>
      </c>
      <c r="AA25" s="63">
        <f t="shared" si="12"/>
        <v>98</v>
      </c>
      <c r="AB25" s="76">
        <v>1410</v>
      </c>
      <c r="AC25" s="60">
        <f t="shared" si="13"/>
        <v>0</v>
      </c>
      <c r="AD25" s="70">
        <f t="shared" si="14"/>
        <v>1430</v>
      </c>
      <c r="AE25" s="18">
        <v>0</v>
      </c>
      <c r="AF25" s="53">
        <f t="shared" si="15"/>
        <v>0</v>
      </c>
      <c r="AH25" t="s">
        <v>73</v>
      </c>
    </row>
    <row r="26" spans="1:38">
      <c r="A26" s="52">
        <v>44309</v>
      </c>
      <c r="B26" s="136">
        <v>1476057</v>
      </c>
      <c r="C26" s="63">
        <f t="shared" si="0"/>
        <v>285</v>
      </c>
      <c r="D26" s="136">
        <v>33288057</v>
      </c>
      <c r="E26" s="60">
        <f t="shared" si="1"/>
        <v>649</v>
      </c>
      <c r="F26" s="138">
        <v>13748</v>
      </c>
      <c r="G26" s="60">
        <f t="shared" si="2"/>
        <v>81</v>
      </c>
      <c r="H26" s="138">
        <v>87804</v>
      </c>
      <c r="I26" s="60">
        <f t="shared" si="3"/>
        <v>22</v>
      </c>
      <c r="J26" s="139">
        <v>180394</v>
      </c>
      <c r="K26" s="63">
        <f t="shared" si="4"/>
        <v>1</v>
      </c>
      <c r="L26" s="138">
        <v>87719</v>
      </c>
      <c r="M26" s="60">
        <f t="shared" si="5"/>
        <v>32</v>
      </c>
      <c r="N26" s="138">
        <v>610580</v>
      </c>
      <c r="O26" s="63">
        <f t="shared" si="6"/>
        <v>50</v>
      </c>
      <c r="P26" s="138">
        <v>162263</v>
      </c>
      <c r="Q26" s="60">
        <f t="shared" si="7"/>
        <v>0</v>
      </c>
      <c r="R26" s="138">
        <v>887753</v>
      </c>
      <c r="S26" s="63">
        <f t="shared" si="8"/>
        <v>112</v>
      </c>
      <c r="T26" s="138">
        <v>69500</v>
      </c>
      <c r="U26" s="60">
        <f t="shared" si="9"/>
        <v>21</v>
      </c>
      <c r="V26" s="138">
        <v>287352</v>
      </c>
      <c r="W26" s="63">
        <f t="shared" si="10"/>
        <v>44</v>
      </c>
      <c r="X26" s="112">
        <v>21007</v>
      </c>
      <c r="Y26" s="60">
        <f t="shared" si="11"/>
        <v>0</v>
      </c>
      <c r="Z26" s="139">
        <v>677423</v>
      </c>
      <c r="AA26" s="63">
        <f t="shared" si="12"/>
        <v>101</v>
      </c>
      <c r="AB26" s="76">
        <v>1410</v>
      </c>
      <c r="AC26" s="60">
        <f t="shared" si="13"/>
        <v>0</v>
      </c>
      <c r="AD26" s="70">
        <f t="shared" si="14"/>
        <v>1398</v>
      </c>
      <c r="AE26" s="18">
        <v>0</v>
      </c>
      <c r="AF26" s="53">
        <f t="shared" si="15"/>
        <v>0</v>
      </c>
    </row>
    <row r="27" spans="1:38">
      <c r="A27" s="52">
        <v>44310</v>
      </c>
      <c r="B27" s="136">
        <v>1476320</v>
      </c>
      <c r="C27" s="63">
        <f t="shared" si="0"/>
        <v>263</v>
      </c>
      <c r="D27" s="136">
        <v>33288780</v>
      </c>
      <c r="E27" s="60">
        <f t="shared" si="1"/>
        <v>723</v>
      </c>
      <c r="F27" s="138">
        <v>13830</v>
      </c>
      <c r="G27" s="60">
        <f t="shared" si="2"/>
        <v>82</v>
      </c>
      <c r="H27" s="138">
        <v>87830</v>
      </c>
      <c r="I27" s="60">
        <f t="shared" si="3"/>
        <v>26</v>
      </c>
      <c r="J27" s="139">
        <v>180394</v>
      </c>
      <c r="K27" s="63">
        <f t="shared" si="4"/>
        <v>0</v>
      </c>
      <c r="L27" s="138">
        <v>87744</v>
      </c>
      <c r="M27" s="60">
        <f t="shared" si="5"/>
        <v>25</v>
      </c>
      <c r="N27" s="138">
        <v>610630</v>
      </c>
      <c r="O27" s="63">
        <f t="shared" si="6"/>
        <v>50</v>
      </c>
      <c r="P27" s="138">
        <v>162263</v>
      </c>
      <c r="Q27" s="60">
        <f t="shared" si="7"/>
        <v>0</v>
      </c>
      <c r="R27" s="138">
        <v>887866</v>
      </c>
      <c r="S27" s="63">
        <f t="shared" si="8"/>
        <v>113</v>
      </c>
      <c r="T27" s="138">
        <v>69520</v>
      </c>
      <c r="U27" s="60">
        <f t="shared" si="9"/>
        <v>20</v>
      </c>
      <c r="V27" s="138">
        <v>287395</v>
      </c>
      <c r="W27" s="63">
        <f t="shared" si="10"/>
        <v>43</v>
      </c>
      <c r="X27" s="112">
        <v>21007</v>
      </c>
      <c r="Y27" s="60">
        <f t="shared" si="11"/>
        <v>0</v>
      </c>
      <c r="Z27" s="139">
        <v>677512</v>
      </c>
      <c r="AA27" s="63">
        <f t="shared" si="12"/>
        <v>89</v>
      </c>
      <c r="AB27" s="76">
        <v>1410</v>
      </c>
      <c r="AC27" s="60">
        <f t="shared" si="13"/>
        <v>0</v>
      </c>
      <c r="AD27" s="70">
        <f t="shared" si="14"/>
        <v>1434</v>
      </c>
      <c r="AE27" s="18">
        <v>0</v>
      </c>
      <c r="AF27" s="53">
        <f t="shared" si="15"/>
        <v>0</v>
      </c>
    </row>
    <row r="28" spans="1:38">
      <c r="A28" s="52">
        <v>44311</v>
      </c>
      <c r="B28" s="136">
        <v>1476558</v>
      </c>
      <c r="C28" s="63">
        <f t="shared" si="0"/>
        <v>238</v>
      </c>
      <c r="D28" s="136">
        <v>33289734</v>
      </c>
      <c r="E28" s="60">
        <f t="shared" si="1"/>
        <v>954</v>
      </c>
      <c r="F28" s="138">
        <v>13931</v>
      </c>
      <c r="G28" s="60">
        <f t="shared" si="2"/>
        <v>101</v>
      </c>
      <c r="H28" s="138">
        <v>87840</v>
      </c>
      <c r="I28" s="60">
        <f t="shared" si="3"/>
        <v>10</v>
      </c>
      <c r="J28" s="139">
        <v>180394</v>
      </c>
      <c r="K28" s="63">
        <f t="shared" si="4"/>
        <v>0</v>
      </c>
      <c r="L28" s="138">
        <v>87794</v>
      </c>
      <c r="M28" s="60">
        <f t="shared" si="5"/>
        <v>50</v>
      </c>
      <c r="N28" s="138">
        <v>610665</v>
      </c>
      <c r="O28" s="63">
        <f t="shared" si="6"/>
        <v>35</v>
      </c>
      <c r="P28" s="138">
        <v>162263</v>
      </c>
      <c r="Q28" s="60">
        <f t="shared" si="7"/>
        <v>0</v>
      </c>
      <c r="R28" s="138">
        <v>887982</v>
      </c>
      <c r="S28" s="63">
        <f t="shared" si="8"/>
        <v>116</v>
      </c>
      <c r="T28" s="138">
        <v>69535</v>
      </c>
      <c r="U28" s="60">
        <f t="shared" si="9"/>
        <v>15</v>
      </c>
      <c r="V28" s="138">
        <v>287434</v>
      </c>
      <c r="W28" s="63">
        <f t="shared" si="10"/>
        <v>39</v>
      </c>
      <c r="X28" s="112">
        <v>21007</v>
      </c>
      <c r="Y28" s="60">
        <f t="shared" si="11"/>
        <v>0</v>
      </c>
      <c r="Z28" s="139">
        <v>677670</v>
      </c>
      <c r="AA28" s="63">
        <f t="shared" si="12"/>
        <v>158</v>
      </c>
      <c r="AB28" s="76">
        <v>1410</v>
      </c>
      <c r="AC28" s="60">
        <f t="shared" si="13"/>
        <v>0</v>
      </c>
      <c r="AD28" s="70">
        <f t="shared" si="14"/>
        <v>1716</v>
      </c>
      <c r="AE28" s="18">
        <v>0</v>
      </c>
      <c r="AF28" s="53">
        <f t="shared" si="15"/>
        <v>0</v>
      </c>
    </row>
    <row r="29" spans="1:38">
      <c r="A29" s="52">
        <v>44312</v>
      </c>
      <c r="B29" s="136">
        <v>1476746</v>
      </c>
      <c r="C29" s="63">
        <f t="shared" si="0"/>
        <v>188</v>
      </c>
      <c r="D29" s="136">
        <v>33290272</v>
      </c>
      <c r="E29" s="60">
        <f t="shared" si="1"/>
        <v>538</v>
      </c>
      <c r="F29" s="138">
        <v>14000</v>
      </c>
      <c r="G29" s="60">
        <f t="shared" si="2"/>
        <v>69</v>
      </c>
      <c r="H29" s="138">
        <v>87855</v>
      </c>
      <c r="I29" s="60">
        <f t="shared" si="3"/>
        <v>15</v>
      </c>
      <c r="J29" s="139">
        <v>180394</v>
      </c>
      <c r="K29" s="63">
        <f t="shared" si="4"/>
        <v>0</v>
      </c>
      <c r="L29" s="138">
        <v>87823</v>
      </c>
      <c r="M29" s="60">
        <f t="shared" si="5"/>
        <v>29</v>
      </c>
      <c r="N29" s="138">
        <v>610757</v>
      </c>
      <c r="O29" s="63">
        <f t="shared" si="6"/>
        <v>92</v>
      </c>
      <c r="P29" s="138">
        <v>162263</v>
      </c>
      <c r="Q29" s="60">
        <f t="shared" si="7"/>
        <v>0</v>
      </c>
      <c r="R29" s="138">
        <v>888080</v>
      </c>
      <c r="S29" s="63">
        <f t="shared" si="8"/>
        <v>98</v>
      </c>
      <c r="T29" s="138">
        <v>69556</v>
      </c>
      <c r="U29" s="60">
        <f t="shared" si="9"/>
        <v>21</v>
      </c>
      <c r="V29" s="138">
        <v>287481</v>
      </c>
      <c r="W29" s="63">
        <f t="shared" si="10"/>
        <v>47</v>
      </c>
      <c r="X29" s="112">
        <v>21007</v>
      </c>
      <c r="Y29" s="60">
        <f t="shared" si="11"/>
        <v>0</v>
      </c>
      <c r="Z29" s="139">
        <v>677830</v>
      </c>
      <c r="AA29" s="63">
        <f t="shared" si="12"/>
        <v>160</v>
      </c>
      <c r="AB29" s="76">
        <v>1410</v>
      </c>
      <c r="AC29" s="60">
        <f t="shared" si="13"/>
        <v>0</v>
      </c>
      <c r="AD29" s="70">
        <f t="shared" si="14"/>
        <v>1257</v>
      </c>
      <c r="AE29" s="18">
        <v>0</v>
      </c>
      <c r="AF29" s="53">
        <f t="shared" si="15"/>
        <v>0</v>
      </c>
      <c r="AL29" t="s">
        <v>73</v>
      </c>
    </row>
    <row r="30" spans="1:38">
      <c r="A30" s="52">
        <v>44313</v>
      </c>
      <c r="B30" s="136">
        <v>1476980</v>
      </c>
      <c r="C30" s="63">
        <f t="shared" si="0"/>
        <v>234</v>
      </c>
      <c r="D30" s="136">
        <v>33290872</v>
      </c>
      <c r="E30" s="60">
        <f t="shared" si="1"/>
        <v>600</v>
      </c>
      <c r="F30" s="138">
        <v>14086</v>
      </c>
      <c r="G30" s="60">
        <f t="shared" si="2"/>
        <v>86</v>
      </c>
      <c r="H30" s="138">
        <v>87869</v>
      </c>
      <c r="I30" s="60">
        <f t="shared" si="3"/>
        <v>14</v>
      </c>
      <c r="J30" s="139">
        <v>180398</v>
      </c>
      <c r="K30" s="63">
        <f t="shared" si="4"/>
        <v>4</v>
      </c>
      <c r="L30" s="138">
        <v>87860</v>
      </c>
      <c r="M30" s="60">
        <f t="shared" si="5"/>
        <v>37</v>
      </c>
      <c r="N30" s="138">
        <v>610780</v>
      </c>
      <c r="O30" s="63">
        <f t="shared" si="6"/>
        <v>23</v>
      </c>
      <c r="P30" s="138">
        <v>162263</v>
      </c>
      <c r="Q30" s="60">
        <f t="shared" si="7"/>
        <v>0</v>
      </c>
      <c r="R30" s="138">
        <v>888174</v>
      </c>
      <c r="S30" s="63">
        <f t="shared" si="8"/>
        <v>94</v>
      </c>
      <c r="T30" s="138">
        <v>69574</v>
      </c>
      <c r="U30" s="60">
        <f t="shared" si="9"/>
        <v>18</v>
      </c>
      <c r="V30" s="138">
        <v>287513</v>
      </c>
      <c r="W30" s="63">
        <f t="shared" si="10"/>
        <v>32</v>
      </c>
      <c r="X30" s="112">
        <v>21007</v>
      </c>
      <c r="Y30" s="60">
        <f t="shared" si="11"/>
        <v>0</v>
      </c>
      <c r="Z30" s="139">
        <v>677990</v>
      </c>
      <c r="AA30" s="63">
        <f t="shared" si="12"/>
        <v>160</v>
      </c>
      <c r="AB30" s="76">
        <v>1410</v>
      </c>
      <c r="AC30" s="60">
        <f t="shared" si="13"/>
        <v>0</v>
      </c>
      <c r="AD30" s="70">
        <f t="shared" si="14"/>
        <v>1302</v>
      </c>
      <c r="AE30" s="18">
        <v>0</v>
      </c>
      <c r="AF30" s="53">
        <f t="shared" si="15"/>
        <v>0</v>
      </c>
    </row>
    <row r="31" spans="1:38">
      <c r="A31" s="52">
        <v>44314</v>
      </c>
      <c r="B31" s="136">
        <v>1477250</v>
      </c>
      <c r="C31" s="63">
        <f t="shared" si="0"/>
        <v>270</v>
      </c>
      <c r="D31" s="136">
        <v>33291439</v>
      </c>
      <c r="E31" s="60">
        <f t="shared" si="1"/>
        <v>567</v>
      </c>
      <c r="F31" s="138">
        <v>14152</v>
      </c>
      <c r="G31" s="60">
        <f t="shared" si="2"/>
        <v>66</v>
      </c>
      <c r="H31" s="138">
        <v>87883</v>
      </c>
      <c r="I31" s="60">
        <f t="shared" si="3"/>
        <v>14</v>
      </c>
      <c r="J31" s="139">
        <v>180405</v>
      </c>
      <c r="K31" s="63">
        <f t="shared" si="4"/>
        <v>7</v>
      </c>
      <c r="L31" s="138">
        <v>87883</v>
      </c>
      <c r="M31" s="60">
        <f t="shared" si="5"/>
        <v>23</v>
      </c>
      <c r="N31" s="138">
        <v>610811</v>
      </c>
      <c r="O31" s="63">
        <f t="shared" si="6"/>
        <v>31</v>
      </c>
      <c r="P31" s="138">
        <v>162263</v>
      </c>
      <c r="Q31" s="60">
        <f t="shared" si="7"/>
        <v>0</v>
      </c>
      <c r="R31" s="138">
        <v>888307</v>
      </c>
      <c r="S31" s="63">
        <f t="shared" si="8"/>
        <v>133</v>
      </c>
      <c r="T31" s="138">
        <v>69596</v>
      </c>
      <c r="U31" s="60">
        <f t="shared" si="9"/>
        <v>22</v>
      </c>
      <c r="V31" s="138">
        <v>287551</v>
      </c>
      <c r="W31" s="63">
        <f t="shared" si="10"/>
        <v>38</v>
      </c>
      <c r="X31" s="112">
        <v>21007</v>
      </c>
      <c r="Y31" s="60">
        <f t="shared" si="11"/>
        <v>0</v>
      </c>
      <c r="Z31" s="139">
        <v>678146</v>
      </c>
      <c r="AA31" s="63">
        <f t="shared" si="12"/>
        <v>156</v>
      </c>
      <c r="AB31" s="76">
        <v>1410</v>
      </c>
      <c r="AC31" s="60">
        <f t="shared" si="13"/>
        <v>0</v>
      </c>
      <c r="AD31" s="70">
        <f>AC31+AA31+Y31+W31+U31+S31+Q31+O31+M31+K31+I31+G31+E31+C31</f>
        <v>1327</v>
      </c>
      <c r="AE31" s="18">
        <v>0</v>
      </c>
      <c r="AF31" s="53">
        <f t="shared" si="15"/>
        <v>0</v>
      </c>
    </row>
    <row r="32" spans="1:38">
      <c r="A32" s="52">
        <v>44315</v>
      </c>
      <c r="B32" s="136">
        <v>1477426</v>
      </c>
      <c r="C32" s="64">
        <f t="shared" si="0"/>
        <v>176</v>
      </c>
      <c r="D32" s="136">
        <v>33292049</v>
      </c>
      <c r="E32" s="60">
        <f t="shared" si="1"/>
        <v>610</v>
      </c>
      <c r="F32" s="138">
        <v>14225</v>
      </c>
      <c r="G32" s="60">
        <f t="shared" si="2"/>
        <v>73</v>
      </c>
      <c r="H32" s="138">
        <v>87898</v>
      </c>
      <c r="I32" s="60">
        <f t="shared" si="3"/>
        <v>15</v>
      </c>
      <c r="J32" s="139">
        <v>180417</v>
      </c>
      <c r="K32" s="63">
        <f t="shared" si="4"/>
        <v>12</v>
      </c>
      <c r="L32" s="138">
        <v>87919</v>
      </c>
      <c r="M32" s="60">
        <f t="shared" si="5"/>
        <v>36</v>
      </c>
      <c r="N32" s="138">
        <v>610887</v>
      </c>
      <c r="O32" s="63">
        <f t="shared" si="6"/>
        <v>76</v>
      </c>
      <c r="P32" s="138">
        <v>162263</v>
      </c>
      <c r="Q32" s="60">
        <f t="shared" si="7"/>
        <v>0</v>
      </c>
      <c r="R32" s="138">
        <v>888389</v>
      </c>
      <c r="S32" s="63">
        <f t="shared" si="8"/>
        <v>82</v>
      </c>
      <c r="T32" s="138">
        <v>69615</v>
      </c>
      <c r="U32" s="60">
        <f t="shared" si="9"/>
        <v>19</v>
      </c>
      <c r="V32" s="138">
        <v>287592</v>
      </c>
      <c r="W32" s="63">
        <f t="shared" si="10"/>
        <v>41</v>
      </c>
      <c r="X32" s="112">
        <v>21007</v>
      </c>
      <c r="Y32" s="60">
        <f t="shared" si="11"/>
        <v>0</v>
      </c>
      <c r="Z32" s="139">
        <v>678322</v>
      </c>
      <c r="AA32" s="63">
        <f t="shared" si="12"/>
        <v>176</v>
      </c>
      <c r="AB32" s="76">
        <v>1410</v>
      </c>
      <c r="AC32" s="60">
        <f t="shared" si="13"/>
        <v>0</v>
      </c>
      <c r="AD32" s="70">
        <f>AC32+AA32+Y32+W32+U32+S32+Q32+O32+M32+K32+I32+G32+E32+C32</f>
        <v>1316</v>
      </c>
      <c r="AE32" s="18">
        <v>0</v>
      </c>
      <c r="AF32" s="53">
        <f t="shared" si="15"/>
        <v>0</v>
      </c>
    </row>
    <row r="33" spans="1:32">
      <c r="A33" s="52">
        <v>44316</v>
      </c>
      <c r="B33" s="136">
        <v>1477658</v>
      </c>
      <c r="C33" s="65">
        <f t="shared" si="0"/>
        <v>232</v>
      </c>
      <c r="D33" s="136">
        <v>33292950</v>
      </c>
      <c r="E33" s="61">
        <f t="shared" si="1"/>
        <v>901</v>
      </c>
      <c r="F33" s="138">
        <v>14321</v>
      </c>
      <c r="G33" s="60">
        <f t="shared" si="2"/>
        <v>96</v>
      </c>
      <c r="H33" s="138">
        <v>87915</v>
      </c>
      <c r="I33" s="61">
        <f t="shared" si="3"/>
        <v>17</v>
      </c>
      <c r="J33" s="139">
        <v>180418</v>
      </c>
      <c r="K33" s="64">
        <f t="shared" si="4"/>
        <v>1</v>
      </c>
      <c r="L33" s="138">
        <v>87954</v>
      </c>
      <c r="M33" s="61">
        <f t="shared" si="5"/>
        <v>35</v>
      </c>
      <c r="N33" s="138">
        <v>610932</v>
      </c>
      <c r="O33" s="64">
        <f t="shared" si="6"/>
        <v>45</v>
      </c>
      <c r="P33" s="138">
        <v>162263</v>
      </c>
      <c r="Q33" s="61">
        <f t="shared" si="7"/>
        <v>0</v>
      </c>
      <c r="R33" s="138">
        <v>888548</v>
      </c>
      <c r="S33" s="63">
        <f t="shared" si="8"/>
        <v>159</v>
      </c>
      <c r="T33" s="138">
        <v>69639</v>
      </c>
      <c r="U33" s="60">
        <f t="shared" si="9"/>
        <v>24</v>
      </c>
      <c r="V33" s="138">
        <v>287635</v>
      </c>
      <c r="W33" s="63">
        <f t="shared" si="10"/>
        <v>43</v>
      </c>
      <c r="X33" s="139">
        <v>21105</v>
      </c>
      <c r="Y33" s="60">
        <f t="shared" si="11"/>
        <v>98</v>
      </c>
      <c r="Z33" s="139">
        <v>678499</v>
      </c>
      <c r="AA33" s="63">
        <f t="shared" si="12"/>
        <v>177</v>
      </c>
      <c r="AB33" s="76">
        <v>1410</v>
      </c>
      <c r="AC33" s="60">
        <f t="shared" si="13"/>
        <v>0</v>
      </c>
      <c r="AD33" s="73">
        <f>AC33+AA33+Y33+W33+U33+S33+Q33+O33+M33+K33+I33+G33+E33+C33</f>
        <v>1828</v>
      </c>
      <c r="AE33" s="66">
        <v>0</v>
      </c>
      <c r="AF33" s="53">
        <f t="shared" si="15"/>
        <v>0</v>
      </c>
    </row>
    <row r="34" spans="1:32">
      <c r="C34" s="17"/>
      <c r="E34" s="17"/>
      <c r="G34" s="17"/>
      <c r="I34" s="17"/>
      <c r="K34" s="17"/>
      <c r="M34" s="17"/>
      <c r="O34" s="17"/>
      <c r="Q34" s="17"/>
      <c r="S34" s="17"/>
      <c r="U34" s="17"/>
      <c r="W34" s="17"/>
      <c r="Y34" s="17"/>
      <c r="AA34" s="17"/>
      <c r="AC34" s="17"/>
      <c r="AF34" s="17"/>
    </row>
  </sheetData>
  <mergeCells count="1">
    <mergeCell ref="A1:AF1"/>
  </mergeCells>
  <phoneticPr fontId="0" type="noConversion"/>
  <conditionalFormatting sqref="C3:C33 I3:I33 K3:K33 M3:M33 O3:O33 Q3:Q33 S3:S33 U3:U33 W3:AD3 G3:G33 E3:E33 A2:A33 W33 Y33 W4:Y32 AA4:AE33">
    <cfRule type="cellIs" dxfId="29" priority="344" stopIfTrue="1" operator="lessThan">
      <formula>0</formula>
    </cfRule>
  </conditionalFormatting>
  <conditionalFormatting sqref="X3:X15">
    <cfRule type="cellIs" dxfId="28" priority="119" stopIfTrue="1" operator="lessThan">
      <formula>0</formula>
    </cfRule>
  </conditionalFormatting>
  <conditionalFormatting sqref="X3:X15">
    <cfRule type="cellIs" dxfId="27" priority="118" stopIfTrue="1" operator="lessThan">
      <formula>0</formula>
    </cfRule>
  </conditionalFormatting>
  <conditionalFormatting sqref="Z3">
    <cfRule type="cellIs" dxfId="26" priority="117" stopIfTrue="1" operator="lessThan">
      <formula>0</formula>
    </cfRule>
  </conditionalFormatting>
  <conditionalFormatting sqref="Z3">
    <cfRule type="cellIs" dxfId="25" priority="116" stopIfTrue="1" operator="lessThan">
      <formula>0</formula>
    </cfRule>
  </conditionalFormatting>
  <conditionalFormatting sqref="X16:X32">
    <cfRule type="cellIs" dxfId="24" priority="104" stopIfTrue="1" operator="lessThan">
      <formula>0</formula>
    </cfRule>
  </conditionalFormatting>
  <conditionalFormatting sqref="X3:X14">
    <cfRule type="cellIs" dxfId="23" priority="78" stopIfTrue="1" operator="lessThan">
      <formula>0</formula>
    </cfRule>
  </conditionalFormatting>
  <conditionalFormatting sqref="Z3">
    <cfRule type="cellIs" dxfId="22" priority="77" stopIfTrue="1" operator="lessThan">
      <formula>0</formula>
    </cfRule>
  </conditionalFormatting>
  <conditionalFormatting sqref="X3:X32">
    <cfRule type="cellIs" dxfId="21" priority="64" stopIfTrue="1" operator="lessThan">
      <formula>0</formula>
    </cfRule>
  </conditionalFormatting>
  <conditionalFormatting sqref="Z3">
    <cfRule type="cellIs" dxfId="20" priority="63" stopIfTrue="1" operator="lessThan">
      <formula>0</formula>
    </cfRule>
  </conditionalFormatting>
  <conditionalFormatting sqref="B5:B33">
    <cfRule type="cellIs" dxfId="19" priority="20" stopIfTrue="1" operator="lessThan">
      <formula>0</formula>
    </cfRule>
  </conditionalFormatting>
  <conditionalFormatting sqref="B4:B33">
    <cfRule type="cellIs" dxfId="18" priority="19" stopIfTrue="1" operator="lessThan">
      <formula>0</formula>
    </cfRule>
  </conditionalFormatting>
  <conditionalFormatting sqref="B4:B33">
    <cfRule type="duplicateValues" dxfId="17" priority="18"/>
  </conditionalFormatting>
  <conditionalFormatting sqref="D5:D33">
    <cfRule type="cellIs" dxfId="16" priority="16" stopIfTrue="1" operator="lessThan">
      <formula>0</formula>
    </cfRule>
  </conditionalFormatting>
  <conditionalFormatting sqref="D4">
    <cfRule type="cellIs" dxfId="15" priority="15" stopIfTrue="1" operator="lessThan">
      <formula>0</formula>
    </cfRule>
  </conditionalFormatting>
  <conditionalFormatting sqref="D4">
    <cfRule type="duplicateValues" dxfId="14" priority="14"/>
  </conditionalFormatting>
  <conditionalFormatting sqref="D5:D33">
    <cfRule type="duplicateValues" dxfId="13" priority="17"/>
  </conditionalFormatting>
  <conditionalFormatting sqref="F4:F33">
    <cfRule type="cellIs" dxfId="12" priority="12" stopIfTrue="1" operator="lessThan">
      <formula>0</formula>
    </cfRule>
  </conditionalFormatting>
  <conditionalFormatting sqref="F4:F33">
    <cfRule type="duplicateValues" dxfId="11" priority="13"/>
  </conditionalFormatting>
  <conditionalFormatting sqref="H4:H33">
    <cfRule type="cellIs" dxfId="10" priority="11" stopIfTrue="1" operator="lessThan">
      <formula>0</formula>
    </cfRule>
  </conditionalFormatting>
  <conditionalFormatting sqref="J4:J33">
    <cfRule type="cellIs" dxfId="9" priority="10" stopIfTrue="1" operator="lessThan">
      <formula>0</formula>
    </cfRule>
  </conditionalFormatting>
  <conditionalFormatting sqref="L4:L33">
    <cfRule type="cellIs" dxfId="8" priority="9" stopIfTrue="1" operator="lessThan">
      <formula>0</formula>
    </cfRule>
  </conditionalFormatting>
  <conditionalFormatting sqref="N4:N33">
    <cfRule type="cellIs" dxfId="7" priority="8" stopIfTrue="1" operator="lessThan">
      <formula>0</formula>
    </cfRule>
  </conditionalFormatting>
  <conditionalFormatting sqref="P4:P33">
    <cfRule type="cellIs" dxfId="6" priority="7" stopIfTrue="1" operator="lessThan">
      <formula>0</formula>
    </cfRule>
  </conditionalFormatting>
  <conditionalFormatting sqref="R4:R33">
    <cfRule type="cellIs" dxfId="5" priority="6" stopIfTrue="1" operator="lessThan">
      <formula>0</formula>
    </cfRule>
  </conditionalFormatting>
  <conditionalFormatting sqref="T4:T33">
    <cfRule type="cellIs" dxfId="4" priority="5" stopIfTrue="1" operator="lessThan">
      <formula>0</formula>
    </cfRule>
  </conditionalFormatting>
  <conditionalFormatting sqref="V4:V33">
    <cfRule type="cellIs" dxfId="3" priority="4" stopIfTrue="1" operator="lessThan">
      <formula>0</formula>
    </cfRule>
  </conditionalFormatting>
  <conditionalFormatting sqref="X33">
    <cfRule type="cellIs" dxfId="2" priority="3" stopIfTrue="1" operator="lessThan">
      <formula>0</formula>
    </cfRule>
  </conditionalFormatting>
  <conditionalFormatting sqref="Z13:Z33">
    <cfRule type="cellIs" dxfId="1" priority="2" stopIfTrue="1" operator="lessThan">
      <formula>0</formula>
    </cfRule>
  </conditionalFormatting>
  <conditionalFormatting sqref="Z4:Z12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2021-05-08T12:59:16Z</dcterms:modified>
  <cp:category/>
  <cp:contentStatus/>
</cp:coreProperties>
</file>