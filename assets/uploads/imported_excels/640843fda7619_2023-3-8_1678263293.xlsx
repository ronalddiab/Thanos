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2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Y7" i="7" l="1"/>
  <c r="AY8" i="7" s="1"/>
  <c r="AY9" i="7" s="1"/>
  <c r="AY10" i="7" s="1"/>
  <c r="AY11" i="7" s="1"/>
  <c r="AY12" i="7" s="1"/>
  <c r="AY13" i="7" s="1"/>
  <c r="AY14" i="7" s="1"/>
  <c r="AY15" i="7" s="1"/>
  <c r="AY16" i="7" s="1"/>
  <c r="AY17" i="7" s="1"/>
  <c r="AY18" i="7" s="1"/>
  <c r="AY19" i="7" s="1"/>
  <c r="AY20" i="7" s="1"/>
  <c r="AY21" i="7" s="1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Y32" i="7" s="1"/>
  <c r="AY33" i="7" s="1"/>
  <c r="AY34" i="7" s="1"/>
  <c r="AY35" i="7" s="1"/>
  <c r="AY36" i="7" s="1"/>
  <c r="AY37" i="7" s="1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AZ18" i="7"/>
  <c r="BA18" i="7" s="1"/>
  <c r="AZ19" i="7"/>
  <c r="BA19" i="7" s="1"/>
  <c r="AZ20" i="7"/>
  <c r="BA20" i="7" s="1"/>
  <c r="AZ21" i="7"/>
  <c r="BA21" i="7" s="1"/>
  <c r="AZ22" i="7"/>
  <c r="BA22" i="7" s="1"/>
  <c r="AZ23" i="7"/>
  <c r="BA23" i="7" s="1"/>
  <c r="AZ24" i="7"/>
  <c r="BA24" i="7" s="1"/>
  <c r="AZ25" i="7"/>
  <c r="BA25" i="7" s="1"/>
  <c r="AZ26" i="7"/>
  <c r="BA26" i="7" s="1"/>
  <c r="AZ27" i="7"/>
  <c r="BA27" i="7" s="1"/>
  <c r="AZ28" i="7"/>
  <c r="BA28" i="7" s="1"/>
  <c r="AZ29" i="7"/>
  <c r="BA29" i="7" s="1"/>
  <c r="AZ30" i="7"/>
  <c r="BA30" i="7" s="1"/>
  <c r="AZ31" i="7"/>
  <c r="BA31" i="7" s="1"/>
  <c r="AZ32" i="7"/>
  <c r="BA32" i="7" s="1"/>
  <c r="AZ33" i="7"/>
  <c r="BA33" i="7" s="1"/>
  <c r="AZ34" i="7"/>
  <c r="BA34" i="7" s="1"/>
  <c r="AZ35" i="7"/>
  <c r="BA35" i="7" s="1"/>
  <c r="AZ36" i="7"/>
  <c r="BA36" i="7" s="1"/>
  <c r="AZ37" i="7"/>
  <c r="BA37" i="7" s="1"/>
  <c r="AZ38" i="7"/>
  <c r="AZ7" i="7"/>
  <c r="BA7" i="7" s="1"/>
  <c r="S29" i="9" l="1"/>
  <c r="BB34" i="7"/>
  <c r="S25" i="9"/>
  <c r="BB30" i="7"/>
  <c r="S21" i="9"/>
  <c r="BB26" i="7"/>
  <c r="S17" i="9"/>
  <c r="BB22" i="7"/>
  <c r="S13" i="9"/>
  <c r="BB18" i="7"/>
  <c r="S9" i="9"/>
  <c r="BB14" i="7"/>
  <c r="S5" i="9"/>
  <c r="BB10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S31" i="9"/>
  <c r="BB36" i="7"/>
  <c r="S27" i="9"/>
  <c r="BB32" i="7"/>
  <c r="S23" i="9"/>
  <c r="BB28" i="7"/>
  <c r="S19" i="9"/>
  <c r="BB24" i="7"/>
  <c r="S15" i="9"/>
  <c r="BB20" i="7"/>
  <c r="S11" i="9"/>
  <c r="BB16" i="7"/>
  <c r="S7" i="9"/>
  <c r="BB12" i="7"/>
  <c r="S3" i="9"/>
  <c r="BB8" i="7"/>
  <c r="S2" i="9"/>
  <c r="BA38" i="7"/>
  <c r="BB38" i="7" s="1"/>
  <c r="BB7" i="7"/>
  <c r="S30" i="9"/>
  <c r="BB35" i="7"/>
  <c r="S26" i="9"/>
  <c r="BB31" i="7"/>
  <c r="S22" i="9"/>
  <c r="BB27" i="7"/>
  <c r="S18" i="9"/>
  <c r="BB23" i="7"/>
  <c r="S14" i="9"/>
  <c r="BB19" i="7"/>
  <c r="S10" i="9"/>
  <c r="BB15" i="7"/>
  <c r="S6" i="9"/>
  <c r="BB11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<sst xmlns="http://schemas.openxmlformats.org/spreadsheetml/2006/main" count="139" uniqueCount="59">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</sst>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2" xfId="0" applyFont="1" applyBorder="1"/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27270</v>
      </c>
      <c r="F2" s="11">
        <v>5.0000000000000001E-3</v>
      </c>
      <c r="G2" s="12">
        <f>Submetering!S2</f>
        <v>510.78300000000002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35</v>
      </c>
    </row>
    <row r="3" spans="1:11" s="15" customFormat="1" x14ac:dyDescent="0.25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Submetering!S3</f>
        <v>510.78300000000002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81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Submetering!S4</f>
        <v>510.78300000000002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163</v>
      </c>
    </row>
    <row r="5" spans="1:11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62260</v>
      </c>
      <c r="F5" s="11">
        <v>5.0000000000000001E-3</v>
      </c>
      <c r="G5" s="12">
        <f>Submetering!S5</f>
        <v>510.78300000000002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241</v>
      </c>
    </row>
    <row r="6" spans="1:11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65950</v>
      </c>
      <c r="F6" s="11">
        <v>5.0000000000000001E-3</v>
      </c>
      <c r="G6" s="12">
        <f>Submetering!S6</f>
        <v>510.78300000000002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248</v>
      </c>
    </row>
    <row r="7" spans="1:11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66360</v>
      </c>
      <c r="F7" s="11">
        <v>5.0000000000000001E-3</v>
      </c>
      <c r="G7" s="12">
        <f>Submetering!S7</f>
        <v>510.78300000000002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230</v>
      </c>
    </row>
    <row r="8" spans="1:11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64120</v>
      </c>
      <c r="F8" s="11">
        <v>5.0000000000000001E-3</v>
      </c>
      <c r="G8" s="12">
        <f>Submetering!S8</f>
        <v>510.78300000000002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132</v>
      </c>
    </row>
    <row r="9" spans="1:11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61790</v>
      </c>
      <c r="F9" s="11">
        <v>5.0000000000000001E-3</v>
      </c>
      <c r="G9" s="12">
        <f>Submetering!S9</f>
        <v>510.78300000000002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86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58980</v>
      </c>
      <c r="F10" s="11">
        <v>5.0000000000000001E-3</v>
      </c>
      <c r="G10" s="12">
        <f>Submetering!S10</f>
        <v>510.78300000000002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99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61170</v>
      </c>
      <c r="F11" s="11">
        <v>5.0000000000000001E-3</v>
      </c>
      <c r="G11" s="12">
        <f>Submetering!S11</f>
        <v>510.78300000000002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97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62314</v>
      </c>
      <c r="F12" s="11">
        <v>5.0000000000000001E-3</v>
      </c>
      <c r="G12" s="12">
        <f>Submetering!S12</f>
        <v>510.78300000000002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153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65696</v>
      </c>
      <c r="F13" s="11">
        <v>5.0000000000000001E-3</v>
      </c>
      <c r="G13" s="12">
        <f>Submetering!S13</f>
        <v>510.78300000000002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168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72390</v>
      </c>
      <c r="F14" s="11">
        <v>5.0000000000000001E-3</v>
      </c>
      <c r="G14" s="12">
        <f>Submetering!S14</f>
        <v>510.78300000000002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176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67250</v>
      </c>
      <c r="F15" s="11">
        <v>5.0000000000000001E-3</v>
      </c>
      <c r="G15" s="12">
        <f>Submetering!S15</f>
        <v>510.78300000000002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115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67150</v>
      </c>
      <c r="F16" s="11">
        <v>5.0000000000000001E-3</v>
      </c>
      <c r="G16" s="12">
        <f>Submetering!S16</f>
        <v>510.78300000000002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133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67320</v>
      </c>
      <c r="F17" s="11">
        <v>5.0000000000000001E-3</v>
      </c>
      <c r="G17" s="12">
        <f>Submetering!S17</f>
        <v>510.78300000000002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153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64550</v>
      </c>
      <c r="F18" s="11">
        <v>5.0000000000000001E-3</v>
      </c>
      <c r="G18" s="12">
        <f>Submetering!S18</f>
        <v>510.78300000000002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139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67150</v>
      </c>
      <c r="F19" s="11">
        <v>5.0000000000000001E-3</v>
      </c>
      <c r="G19" s="12">
        <f>Submetering!S19</f>
        <v>510.78300000000002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149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68200</v>
      </c>
      <c r="F20" s="11">
        <v>5.0000000000000001E-3</v>
      </c>
      <c r="G20" s="12">
        <f>Submetering!S20</f>
        <v>510.78300000000002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196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69660</v>
      </c>
      <c r="F21" s="11">
        <v>5.0000000000000001E-3</v>
      </c>
      <c r="G21" s="12">
        <f>Submetering!S21</f>
        <v>510.78300000000002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201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70320</v>
      </c>
      <c r="F22" s="11">
        <v>5.0000000000000001E-3</v>
      </c>
      <c r="G22" s="12">
        <f>Submetering!S22</f>
        <v>510.78300000000002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197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72060</v>
      </c>
      <c r="F23" s="11">
        <v>5.0000000000000001E-3</v>
      </c>
      <c r="G23" s="12">
        <f>Submetering!S23</f>
        <v>510.78300000000002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231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67800</v>
      </c>
      <c r="F24" s="11">
        <v>5.0000000000000001E-3</v>
      </c>
      <c r="G24" s="12">
        <f>Submetering!S24</f>
        <v>510.78300000000002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284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64220</v>
      </c>
      <c r="F25" s="11">
        <v>5.0000000000000001E-3</v>
      </c>
      <c r="G25" s="12">
        <f>Submetering!S25</f>
        <v>510.78300000000002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207</v>
      </c>
    </row>
    <row r="26" spans="1:11" s="15" customFormat="1" x14ac:dyDescent="0.25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61740</v>
      </c>
      <c r="F26" s="11">
        <v>5.0000000000000001E-3</v>
      </c>
      <c r="G26" s="12">
        <f>Submetering!S26</f>
        <v>510.78300000000002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192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63070</v>
      </c>
      <c r="F27" s="11">
        <v>5.0000000000000001E-3</v>
      </c>
      <c r="G27" s="12">
        <f>Submetering!S27</f>
        <v>510.78300000000002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242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65730</v>
      </c>
      <c r="F28" s="11">
        <v>5.0000000000000001E-3</v>
      </c>
      <c r="G28" s="12">
        <f>Submetering!S28</f>
        <v>510.78300000000002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266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65800</v>
      </c>
      <c r="F29" s="11">
        <v>5.0000000000000001E-3</v>
      </c>
      <c r="G29" s="12">
        <f>Submetering!S29</f>
        <v>510.78300000000002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156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58910</v>
      </c>
      <c r="F30" s="11">
        <v>5.0000000000000001E-3</v>
      </c>
      <c r="G30" s="12">
        <f>Submetering!S30</f>
        <v>510.78300000000002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136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65840</v>
      </c>
      <c r="F31" s="11">
        <v>5.0000000000000001E-3</v>
      </c>
      <c r="G31" s="12">
        <f>Submetering!S31</f>
        <v>510.78300000000002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153</v>
      </c>
    </row>
    <row r="32" spans="1:11" x14ac:dyDescent="0.25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65200</v>
      </c>
      <c r="F32" s="11">
        <v>5.0000000000000001E-3</v>
      </c>
      <c r="G32" s="12">
        <f>Submetering!S32</f>
        <v>510.78300000000002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 t="str">
        <f>Hotel!R7</f>
        <v>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Hotel!AT7</f>
        <v>0</v>
      </c>
      <c r="S2" s="4">
        <f>Hotel!BA7</f>
        <v>510.78300000000002</v>
      </c>
      <c r="T2" s="4">
        <f>Hotel!AX7</f>
        <v>0</v>
      </c>
      <c r="U2" s="4">
        <f>Hotel!B7</f>
        <v>35</v>
      </c>
    </row>
    <row r="3" spans="1:21" x14ac:dyDescent="0.25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Hotel!AT8</f>
        <v>0</v>
      </c>
      <c r="S3" s="4">
        <f>Hotel!BA8</f>
        <v>510.78300000000002</v>
      </c>
      <c r="T3" s="4">
        <f>Hotel!AX8</f>
        <v>0</v>
      </c>
      <c r="U3" s="4">
        <f>Hotel!B8</f>
        <v>81</v>
      </c>
    </row>
    <row r="4" spans="1:21" x14ac:dyDescent="0.25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Hotel!AT9</f>
        <v>0</v>
      </c>
      <c r="S4" s="4">
        <f>Hotel!BA9</f>
        <v>510.78300000000002</v>
      </c>
      <c r="T4" s="4">
        <f>Hotel!AX9</f>
        <v>0</v>
      </c>
      <c r="U4" s="4">
        <f>Hotel!B9</f>
        <v>163</v>
      </c>
    </row>
    <row r="5" spans="1:21" x14ac:dyDescent="0.25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13500</v>
      </c>
      <c r="F5" s="4">
        <f>Hotel!R10</f>
        <v>1860</v>
      </c>
      <c r="G5" s="4">
        <f>Hotel!S10</f>
        <v>60</v>
      </c>
      <c r="H5" s="4">
        <f>Hotel!T10</f>
        <v>1520</v>
      </c>
      <c r="I5" s="4">
        <f>Hotel!U10</f>
        <v>4970</v>
      </c>
      <c r="J5" s="4">
        <f>Hotel!V10</f>
        <v>4250</v>
      </c>
      <c r="K5" s="4">
        <f>Hotel!W10</f>
        <v>3020</v>
      </c>
      <c r="L5" s="4">
        <f>Hotel!X10</f>
        <v>4760</v>
      </c>
      <c r="M5" s="4">
        <f>Hotel!Y10</f>
        <v>4660</v>
      </c>
      <c r="N5" s="4">
        <f>Hotel!Z10</f>
        <v>2940</v>
      </c>
      <c r="O5" s="4">
        <f>Hotel!AA10</f>
        <v>3510</v>
      </c>
      <c r="P5" s="4">
        <f>Hotel!AB10</f>
        <v>7200</v>
      </c>
      <c r="Q5" s="4">
        <f>Hotel!AC10</f>
        <v>10010</v>
      </c>
      <c r="R5" s="4">
        <f>Hotel!AT10</f>
        <v>0</v>
      </c>
      <c r="S5" s="4">
        <f>Hotel!BA10</f>
        <v>510.78300000000002</v>
      </c>
      <c r="T5" s="4">
        <f>Hotel!AX10</f>
        <v>0</v>
      </c>
      <c r="U5" s="4">
        <f>Hotel!B10</f>
        <v>241</v>
      </c>
    </row>
    <row r="6" spans="1:21" x14ac:dyDescent="0.25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11270</v>
      </c>
      <c r="F6" s="4">
        <f>Hotel!R11</f>
        <v>3170</v>
      </c>
      <c r="G6" s="4">
        <f>Hotel!S11</f>
        <v>2330</v>
      </c>
      <c r="H6" s="4">
        <f>Hotel!T11</f>
        <v>1600</v>
      </c>
      <c r="I6" s="4">
        <f>Hotel!U11</f>
        <v>5300</v>
      </c>
      <c r="J6" s="4">
        <f>Hotel!V11</f>
        <v>4210</v>
      </c>
      <c r="K6" s="4">
        <f>Hotel!W11</f>
        <v>3490</v>
      </c>
      <c r="L6" s="4">
        <f>Hotel!X11</f>
        <v>4440</v>
      </c>
      <c r="M6" s="4">
        <f>Hotel!Y11</f>
        <v>5850</v>
      </c>
      <c r="N6" s="4">
        <f>Hotel!Z11</f>
        <v>3000</v>
      </c>
      <c r="O6" s="4">
        <f>Hotel!AA11</f>
        <v>3710</v>
      </c>
      <c r="P6" s="4">
        <f>Hotel!AB11</f>
        <v>6940</v>
      </c>
      <c r="Q6" s="4">
        <f>Hotel!AC11</f>
        <v>10640</v>
      </c>
      <c r="R6" s="4">
        <f>Hotel!AT11</f>
        <v>0</v>
      </c>
      <c r="S6" s="4">
        <f>Hotel!BA11</f>
        <v>510.78300000000002</v>
      </c>
      <c r="T6" s="4">
        <f>Hotel!AX11</f>
        <v>0</v>
      </c>
      <c r="U6" s="4">
        <f>Hotel!B11</f>
        <v>248</v>
      </c>
    </row>
    <row r="7" spans="1:21" x14ac:dyDescent="0.25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9540</v>
      </c>
      <c r="F7" s="4">
        <f>Hotel!R12</f>
        <v>3780</v>
      </c>
      <c r="G7" s="4">
        <f>Hotel!S12</f>
        <v>3090</v>
      </c>
      <c r="H7" s="4">
        <f>Hotel!T12</f>
        <v>1590</v>
      </c>
      <c r="I7" s="4">
        <f>Hotel!U12</f>
        <v>5250</v>
      </c>
      <c r="J7" s="4">
        <f>Hotel!V12</f>
        <v>4440</v>
      </c>
      <c r="K7" s="4">
        <f>Hotel!W12</f>
        <v>3850</v>
      </c>
      <c r="L7" s="4">
        <f>Hotel!X12</f>
        <v>4480</v>
      </c>
      <c r="M7" s="4">
        <f>Hotel!Y12</f>
        <v>5260</v>
      </c>
      <c r="N7" s="4">
        <f>Hotel!Z12</f>
        <v>3050</v>
      </c>
      <c r="O7" s="4">
        <f>Hotel!AA12</f>
        <v>3830</v>
      </c>
      <c r="P7" s="4">
        <f>Hotel!AB12</f>
        <v>7310</v>
      </c>
      <c r="Q7" s="4">
        <f>Hotel!AC12</f>
        <v>10890</v>
      </c>
      <c r="R7" s="4">
        <f>Hotel!AT12</f>
        <v>0</v>
      </c>
      <c r="S7" s="4">
        <f>Hotel!BA12</f>
        <v>510.78300000000002</v>
      </c>
      <c r="T7" s="4">
        <f>Hotel!AX12</f>
        <v>0</v>
      </c>
      <c r="U7" s="4">
        <f>Hotel!B12</f>
        <v>230</v>
      </c>
    </row>
    <row r="8" spans="1:21" x14ac:dyDescent="0.25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9240</v>
      </c>
      <c r="F8" s="4">
        <f>Hotel!R13</f>
        <v>3730</v>
      </c>
      <c r="G8" s="4">
        <f>Hotel!S13</f>
        <v>2980</v>
      </c>
      <c r="H8" s="4">
        <f>Hotel!T13</f>
        <v>1630</v>
      </c>
      <c r="I8" s="4">
        <f>Hotel!U13</f>
        <v>4950</v>
      </c>
      <c r="J8" s="4">
        <f>Hotel!V13</f>
        <v>4230</v>
      </c>
      <c r="K8" s="4">
        <f>Hotel!W13</f>
        <v>3330</v>
      </c>
      <c r="L8" s="4">
        <f>Hotel!X13</f>
        <v>4170</v>
      </c>
      <c r="M8" s="4">
        <f>Hotel!Y13</f>
        <v>5620</v>
      </c>
      <c r="N8" s="4">
        <f>Hotel!Z13</f>
        <v>2830</v>
      </c>
      <c r="O8" s="4">
        <f>Hotel!AA13</f>
        <v>3520</v>
      </c>
      <c r="P8" s="4">
        <f>Hotel!AB13</f>
        <v>7310</v>
      </c>
      <c r="Q8" s="4">
        <f>Hotel!AC13</f>
        <v>10580</v>
      </c>
      <c r="R8" s="4">
        <f>Hotel!AT13</f>
        <v>0</v>
      </c>
      <c r="S8" s="4">
        <f>Hotel!BA13</f>
        <v>510.78300000000002</v>
      </c>
      <c r="T8" s="4">
        <f>Hotel!AX13</f>
        <v>0</v>
      </c>
      <c r="U8" s="4">
        <f>Hotel!B13</f>
        <v>132</v>
      </c>
    </row>
    <row r="9" spans="1:21" x14ac:dyDescent="0.25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3780</v>
      </c>
      <c r="F9" s="4">
        <f>Hotel!R14</f>
        <v>9300</v>
      </c>
      <c r="G9" s="4">
        <f>Hotel!S14</f>
        <v>1370</v>
      </c>
      <c r="H9" s="4">
        <f>Hotel!T14</f>
        <v>1660</v>
      </c>
      <c r="I9" s="4">
        <f>Hotel!U14</f>
        <v>4670</v>
      </c>
      <c r="J9" s="4">
        <f>Hotel!V14</f>
        <v>4030</v>
      </c>
      <c r="K9" s="4">
        <f>Hotel!W14</f>
        <v>3030</v>
      </c>
      <c r="L9" s="4">
        <f>Hotel!X14</f>
        <v>3940</v>
      </c>
      <c r="M9" s="4">
        <f>Hotel!Y14</f>
        <v>5410</v>
      </c>
      <c r="N9" s="4">
        <f>Hotel!Z14</f>
        <v>2560</v>
      </c>
      <c r="O9" s="4">
        <f>Hotel!AA14</f>
        <v>3260</v>
      </c>
      <c r="P9" s="4">
        <f>Hotel!AB14</f>
        <v>7490</v>
      </c>
      <c r="Q9" s="4">
        <f>Hotel!AC14</f>
        <v>11290</v>
      </c>
      <c r="R9" s="4">
        <f>Hotel!AT14</f>
        <v>0</v>
      </c>
      <c r="S9" s="4">
        <f>Hotel!BA14</f>
        <v>510.78300000000002</v>
      </c>
      <c r="T9" s="4">
        <f>Hotel!AX14</f>
        <v>0</v>
      </c>
      <c r="U9" s="4">
        <f>Hotel!B14</f>
        <v>86</v>
      </c>
    </row>
    <row r="10" spans="1:21" x14ac:dyDescent="0.25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510</v>
      </c>
      <c r="F10" s="4">
        <f>Hotel!R15</f>
        <v>13020</v>
      </c>
      <c r="G10" s="4">
        <f>Hotel!S15</f>
        <v>80</v>
      </c>
      <c r="H10" s="4">
        <f>Hotel!T15</f>
        <v>1610</v>
      </c>
      <c r="I10" s="4">
        <f>Hotel!U15</f>
        <v>4370</v>
      </c>
      <c r="J10" s="4">
        <f>Hotel!V15</f>
        <v>3950</v>
      </c>
      <c r="K10" s="4">
        <f>Hotel!W15</f>
        <v>3120</v>
      </c>
      <c r="L10" s="4">
        <f>Hotel!X15</f>
        <v>4070</v>
      </c>
      <c r="M10" s="4">
        <f>Hotel!Y15</f>
        <v>5140</v>
      </c>
      <c r="N10" s="4">
        <f>Hotel!Z15</f>
        <v>2510</v>
      </c>
      <c r="O10" s="4">
        <f>Hotel!AA15</f>
        <v>3020</v>
      </c>
      <c r="P10" s="4">
        <f>Hotel!AB15</f>
        <v>7090</v>
      </c>
      <c r="Q10" s="4">
        <f>Hotel!AC15</f>
        <v>10490</v>
      </c>
      <c r="R10" s="4">
        <f>Hotel!AT15</f>
        <v>0</v>
      </c>
      <c r="S10" s="4">
        <f>Hotel!BA15</f>
        <v>510.78300000000002</v>
      </c>
      <c r="T10" s="4">
        <f>Hotel!AX15</f>
        <v>0</v>
      </c>
      <c r="U10" s="4">
        <f>Hotel!B15</f>
        <v>99</v>
      </c>
    </row>
    <row r="11" spans="1:21" x14ac:dyDescent="0.25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510</v>
      </c>
      <c r="F11" s="4">
        <f>Hotel!R16</f>
        <v>13840</v>
      </c>
      <c r="G11" s="4">
        <f>Hotel!S16</f>
        <v>80</v>
      </c>
      <c r="H11" s="4">
        <f>Hotel!T16</f>
        <v>1630</v>
      </c>
      <c r="I11" s="4">
        <f>Hotel!U16</f>
        <v>4510</v>
      </c>
      <c r="J11" s="4">
        <f>Hotel!V16</f>
        <v>3890</v>
      </c>
      <c r="K11" s="4">
        <f>Hotel!W16</f>
        <v>3300</v>
      </c>
      <c r="L11" s="4">
        <f>Hotel!X16</f>
        <v>4110</v>
      </c>
      <c r="M11" s="4">
        <f>Hotel!Y16</f>
        <v>5360</v>
      </c>
      <c r="N11" s="4">
        <f>Hotel!Z16</f>
        <v>2610</v>
      </c>
      <c r="O11" s="4">
        <f>Hotel!AA16</f>
        <v>2910</v>
      </c>
      <c r="P11" s="4">
        <f>Hotel!AB16</f>
        <v>7470</v>
      </c>
      <c r="Q11" s="4">
        <f>Hotel!AC16</f>
        <v>10950</v>
      </c>
      <c r="R11" s="4">
        <f>Hotel!AT16</f>
        <v>0</v>
      </c>
      <c r="S11" s="4">
        <f>Hotel!BA16</f>
        <v>510.78300000000002</v>
      </c>
      <c r="T11" s="4">
        <f>Hotel!AX16</f>
        <v>0</v>
      </c>
      <c r="U11" s="4">
        <f>Hotel!B16</f>
        <v>97</v>
      </c>
    </row>
    <row r="12" spans="1:21" x14ac:dyDescent="0.25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1860</v>
      </c>
      <c r="F12" s="4">
        <f>Hotel!R17</f>
        <v>14320</v>
      </c>
      <c r="G12" s="4">
        <f>Hotel!S17</f>
        <v>100</v>
      </c>
      <c r="H12" s="4">
        <f>Hotel!T17</f>
        <v>1600</v>
      </c>
      <c r="I12" s="4">
        <f>Hotel!U17</f>
        <v>4200</v>
      </c>
      <c r="J12" s="4">
        <f>Hotel!V17</f>
        <v>4020</v>
      </c>
      <c r="K12" s="4">
        <f>Hotel!W17</f>
        <v>3300</v>
      </c>
      <c r="L12" s="4">
        <f>Hotel!X17</f>
        <v>4010</v>
      </c>
      <c r="M12" s="4">
        <f>Hotel!Y17</f>
        <v>5280</v>
      </c>
      <c r="N12" s="4">
        <f>Hotel!Z17</f>
        <v>2680</v>
      </c>
      <c r="O12" s="4">
        <f>Hotel!AA17</f>
        <v>2870</v>
      </c>
      <c r="P12" s="4">
        <f>Hotel!AB17</f>
        <v>7280</v>
      </c>
      <c r="Q12" s="4">
        <f>Hotel!AC17</f>
        <v>10794</v>
      </c>
      <c r="R12" s="4">
        <f>Hotel!AT17</f>
        <v>0</v>
      </c>
      <c r="S12" s="4">
        <f>Hotel!BA17</f>
        <v>510.78300000000002</v>
      </c>
      <c r="T12" s="4">
        <f>Hotel!AX17</f>
        <v>0</v>
      </c>
      <c r="U12" s="4">
        <f>Hotel!B17</f>
        <v>153</v>
      </c>
    </row>
    <row r="13" spans="1:21" x14ac:dyDescent="0.25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1990</v>
      </c>
      <c r="F13" s="4">
        <f>Hotel!R18</f>
        <v>16160</v>
      </c>
      <c r="G13" s="4">
        <f>Hotel!S18</f>
        <v>140</v>
      </c>
      <c r="H13" s="4">
        <f>Hotel!T18</f>
        <v>1630</v>
      </c>
      <c r="I13" s="4">
        <f>Hotel!U18</f>
        <v>4610</v>
      </c>
      <c r="J13" s="4">
        <f>Hotel!V18</f>
        <v>4120</v>
      </c>
      <c r="K13" s="4">
        <f>Hotel!W18</f>
        <v>3560</v>
      </c>
      <c r="L13" s="4">
        <f>Hotel!X18</f>
        <v>4310</v>
      </c>
      <c r="M13" s="4">
        <f>Hotel!Y18</f>
        <v>5560</v>
      </c>
      <c r="N13" s="4">
        <f>Hotel!Z18</f>
        <v>2830</v>
      </c>
      <c r="O13" s="4">
        <f>Hotel!AA18</f>
        <v>3300</v>
      </c>
      <c r="P13" s="4">
        <f>Hotel!AB18</f>
        <v>7650</v>
      </c>
      <c r="Q13" s="4">
        <f>Hotel!AC18</f>
        <v>9836</v>
      </c>
      <c r="R13" s="4">
        <f>Hotel!AT18</f>
        <v>0</v>
      </c>
      <c r="S13" s="4">
        <f>Hotel!BA18</f>
        <v>510.78300000000002</v>
      </c>
      <c r="T13" s="4">
        <f>Hotel!AX18</f>
        <v>0</v>
      </c>
      <c r="U13" s="4">
        <f>Hotel!B18</f>
        <v>168</v>
      </c>
    </row>
    <row r="14" spans="1:21" x14ac:dyDescent="0.25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9160</v>
      </c>
      <c r="F14" s="4">
        <f>Hotel!R19</f>
        <v>12550</v>
      </c>
      <c r="G14" s="4">
        <f>Hotel!S19</f>
        <v>100</v>
      </c>
      <c r="H14" s="4">
        <f>Hotel!T19</f>
        <v>1630</v>
      </c>
      <c r="I14" s="4">
        <f>Hotel!U19</f>
        <v>4890</v>
      </c>
      <c r="J14" s="4">
        <f>Hotel!V19</f>
        <v>4210</v>
      </c>
      <c r="K14" s="4">
        <f>Hotel!W19</f>
        <v>3420</v>
      </c>
      <c r="L14" s="4">
        <f>Hotel!X19</f>
        <v>4420</v>
      </c>
      <c r="M14" s="4">
        <f>Hotel!Y19</f>
        <v>5650</v>
      </c>
      <c r="N14" s="4">
        <f>Hotel!Z19</f>
        <v>3010</v>
      </c>
      <c r="O14" s="4">
        <f>Hotel!AA19</f>
        <v>3460</v>
      </c>
      <c r="P14" s="4">
        <f>Hotel!AB19</f>
        <v>7530</v>
      </c>
      <c r="Q14" s="4">
        <f>Hotel!AC19</f>
        <v>12360</v>
      </c>
      <c r="R14" s="4">
        <f>Hotel!AT19</f>
        <v>0</v>
      </c>
      <c r="S14" s="4">
        <f>Hotel!BA19</f>
        <v>510.78300000000002</v>
      </c>
      <c r="T14" s="4">
        <f>Hotel!AX19</f>
        <v>0</v>
      </c>
      <c r="U14" s="4">
        <f>Hotel!B19</f>
        <v>176</v>
      </c>
    </row>
    <row r="15" spans="1:21" x14ac:dyDescent="0.25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8380</v>
      </c>
      <c r="F15" s="4">
        <f>Hotel!R20</f>
        <v>11600</v>
      </c>
      <c r="G15" s="4">
        <f>Hotel!S20</f>
        <v>110</v>
      </c>
      <c r="H15" s="4">
        <f>Hotel!T20</f>
        <v>1550</v>
      </c>
      <c r="I15" s="4">
        <f>Hotel!U20</f>
        <v>4570</v>
      </c>
      <c r="J15" s="4">
        <f>Hotel!V20</f>
        <v>4100</v>
      </c>
      <c r="K15" s="4">
        <f>Hotel!W20</f>
        <v>2930</v>
      </c>
      <c r="L15" s="4">
        <f>Hotel!X20</f>
        <v>4280</v>
      </c>
      <c r="M15" s="4">
        <f>Hotel!Y20</f>
        <v>4890</v>
      </c>
      <c r="N15" s="4">
        <f>Hotel!Z20</f>
        <v>2670</v>
      </c>
      <c r="O15" s="4">
        <f>Hotel!AA20</f>
        <v>3200</v>
      </c>
      <c r="P15" s="4">
        <f>Hotel!AB20</f>
        <v>7030</v>
      </c>
      <c r="Q15" s="4">
        <f>Hotel!AC20</f>
        <v>11940</v>
      </c>
      <c r="R15" s="4">
        <f>Hotel!AT20</f>
        <v>0</v>
      </c>
      <c r="S15" s="4">
        <f>Hotel!BA20</f>
        <v>510.78300000000002</v>
      </c>
      <c r="T15" s="4">
        <f>Hotel!AX20</f>
        <v>0</v>
      </c>
      <c r="U15" s="4">
        <f>Hotel!B20</f>
        <v>115</v>
      </c>
    </row>
    <row r="16" spans="1:21" x14ac:dyDescent="0.25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8650</v>
      </c>
      <c r="F16" s="4">
        <f>Hotel!R21</f>
        <v>11900</v>
      </c>
      <c r="G16" s="4">
        <f>Hotel!S21</f>
        <v>150</v>
      </c>
      <c r="H16" s="4">
        <f>Hotel!T21</f>
        <v>1590</v>
      </c>
      <c r="I16" s="4">
        <f>Hotel!U21</f>
        <v>4530</v>
      </c>
      <c r="J16" s="4">
        <f>Hotel!V21</f>
        <v>3840</v>
      </c>
      <c r="K16" s="4">
        <f>Hotel!W21</f>
        <v>2740</v>
      </c>
      <c r="L16" s="4">
        <f>Hotel!X21</f>
        <v>4110</v>
      </c>
      <c r="M16" s="4">
        <f>Hotel!Y21</f>
        <v>5110</v>
      </c>
      <c r="N16" s="4">
        <f>Hotel!Z21</f>
        <v>2710</v>
      </c>
      <c r="O16" s="4">
        <f>Hotel!AA21</f>
        <v>3170</v>
      </c>
      <c r="P16" s="4">
        <f>Hotel!AB21</f>
        <v>7350</v>
      </c>
      <c r="Q16" s="4">
        <f>Hotel!AC21</f>
        <v>11300</v>
      </c>
      <c r="R16" s="4">
        <f>Hotel!AT21</f>
        <v>0</v>
      </c>
      <c r="S16" s="4">
        <f>Hotel!BA21</f>
        <v>510.78300000000002</v>
      </c>
      <c r="T16" s="4">
        <f>Hotel!AX21</f>
        <v>0</v>
      </c>
      <c r="U16" s="4">
        <f>Hotel!B21</f>
        <v>133</v>
      </c>
    </row>
    <row r="17" spans="1:21" x14ac:dyDescent="0.25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9270</v>
      </c>
      <c r="F17" s="4">
        <f>Hotel!R22</f>
        <v>12550</v>
      </c>
      <c r="G17" s="4">
        <f>Hotel!S22</f>
        <v>130</v>
      </c>
      <c r="H17" s="4">
        <f>Hotel!T22</f>
        <v>1590</v>
      </c>
      <c r="I17" s="4">
        <f>Hotel!U22</f>
        <v>4530</v>
      </c>
      <c r="J17" s="4">
        <f>Hotel!V22</f>
        <v>3810</v>
      </c>
      <c r="K17" s="4">
        <f>Hotel!W22</f>
        <v>2870</v>
      </c>
      <c r="L17" s="4">
        <f>Hotel!X22</f>
        <v>4260</v>
      </c>
      <c r="M17" s="4">
        <f>Hotel!Y22</f>
        <v>4870</v>
      </c>
      <c r="N17" s="4">
        <f>Hotel!Z22</f>
        <v>2780</v>
      </c>
      <c r="O17" s="4">
        <f>Hotel!AA22</f>
        <v>3170</v>
      </c>
      <c r="P17" s="4">
        <f>Hotel!AB22</f>
        <v>7210</v>
      </c>
      <c r="Q17" s="4">
        <f>Hotel!AC22</f>
        <v>10280</v>
      </c>
      <c r="R17" s="4">
        <f>Hotel!AT22</f>
        <v>0</v>
      </c>
      <c r="S17" s="4">
        <f>Hotel!BA22</f>
        <v>510.78300000000002</v>
      </c>
      <c r="T17" s="4">
        <f>Hotel!AX22</f>
        <v>0</v>
      </c>
      <c r="U17" s="4">
        <f>Hotel!B22</f>
        <v>153</v>
      </c>
    </row>
    <row r="18" spans="1:21" x14ac:dyDescent="0.25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8580</v>
      </c>
      <c r="F18" s="4">
        <f>Hotel!R23</f>
        <v>11790</v>
      </c>
      <c r="G18" s="4">
        <f>Hotel!S23</f>
        <v>110</v>
      </c>
      <c r="H18" s="4">
        <f>Hotel!T23</f>
        <v>1510</v>
      </c>
      <c r="I18" s="4">
        <f>Hotel!U23</f>
        <v>4430</v>
      </c>
      <c r="J18" s="4">
        <f>Hotel!V23</f>
        <v>3880</v>
      </c>
      <c r="K18" s="4">
        <f>Hotel!W23</f>
        <v>2890</v>
      </c>
      <c r="L18" s="4">
        <f>Hotel!X23</f>
        <v>4180</v>
      </c>
      <c r="M18" s="4">
        <f>Hotel!Y23</f>
        <v>4250</v>
      </c>
      <c r="N18" s="4">
        <f>Hotel!Z23</f>
        <v>2570</v>
      </c>
      <c r="O18" s="4">
        <f>Hotel!AA23</f>
        <v>3100</v>
      </c>
      <c r="P18" s="4">
        <f>Hotel!AB23</f>
        <v>6690</v>
      </c>
      <c r="Q18" s="4">
        <f>Hotel!AC23</f>
        <v>10570</v>
      </c>
      <c r="R18" s="4">
        <f>Hotel!AT23</f>
        <v>0</v>
      </c>
      <c r="S18" s="4">
        <f>Hotel!BA23</f>
        <v>510.78300000000002</v>
      </c>
      <c r="T18" s="4">
        <f>Hotel!AX23</f>
        <v>0</v>
      </c>
      <c r="U18" s="4">
        <f>Hotel!B23</f>
        <v>139</v>
      </c>
    </row>
    <row r="19" spans="1:21" x14ac:dyDescent="0.25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9060</v>
      </c>
      <c r="F19" s="4">
        <f>Hotel!R24</f>
        <v>12320</v>
      </c>
      <c r="G19" s="4">
        <f>Hotel!S24</f>
        <v>120</v>
      </c>
      <c r="H19" s="4">
        <f>Hotel!T24</f>
        <v>1580</v>
      </c>
      <c r="I19" s="4">
        <f>Hotel!U24</f>
        <v>4430</v>
      </c>
      <c r="J19" s="4">
        <f>Hotel!V24</f>
        <v>4030</v>
      </c>
      <c r="K19" s="4">
        <f>Hotel!W24</f>
        <v>3200</v>
      </c>
      <c r="L19" s="4">
        <f>Hotel!X24</f>
        <v>4470</v>
      </c>
      <c r="M19" s="4">
        <f>Hotel!Y24</f>
        <v>4970</v>
      </c>
      <c r="N19" s="4">
        <f>Hotel!Z24</f>
        <v>2620</v>
      </c>
      <c r="O19" s="4">
        <f>Hotel!AA24</f>
        <v>3040</v>
      </c>
      <c r="P19" s="4">
        <f>Hotel!AB24</f>
        <v>7150</v>
      </c>
      <c r="Q19" s="4">
        <f>Hotel!AC24</f>
        <v>10160</v>
      </c>
      <c r="R19" s="4">
        <f>Hotel!AT24</f>
        <v>0</v>
      </c>
      <c r="S19" s="4">
        <f>Hotel!BA24</f>
        <v>510.78300000000002</v>
      </c>
      <c r="T19" s="4">
        <f>Hotel!AX24</f>
        <v>0</v>
      </c>
      <c r="U19" s="4">
        <f>Hotel!B24</f>
        <v>149</v>
      </c>
    </row>
    <row r="20" spans="1:21" x14ac:dyDescent="0.25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9360</v>
      </c>
      <c r="F20" s="4">
        <f>Hotel!R25</f>
        <v>12630</v>
      </c>
      <c r="G20" s="4">
        <f>Hotel!S25</f>
        <v>130</v>
      </c>
      <c r="H20" s="4">
        <f>Hotel!T25</f>
        <v>1610</v>
      </c>
      <c r="I20" s="4">
        <f>Hotel!U25</f>
        <v>4610</v>
      </c>
      <c r="J20" s="4">
        <f>Hotel!V25</f>
        <v>4070</v>
      </c>
      <c r="K20" s="4">
        <f>Hotel!W25</f>
        <v>3210</v>
      </c>
      <c r="L20" s="4">
        <f>Hotel!X25</f>
        <v>4370</v>
      </c>
      <c r="M20" s="4">
        <f>Hotel!Y25</f>
        <v>5400</v>
      </c>
      <c r="N20" s="4">
        <f>Hotel!Z25</f>
        <v>2710</v>
      </c>
      <c r="O20" s="4">
        <f>Hotel!AA25</f>
        <v>3110</v>
      </c>
      <c r="P20" s="4">
        <f>Hotel!AB25</f>
        <v>7450</v>
      </c>
      <c r="Q20" s="4">
        <f>Hotel!AC25</f>
        <v>9540</v>
      </c>
      <c r="R20" s="4">
        <f>Hotel!AT25</f>
        <v>0</v>
      </c>
      <c r="S20" s="4">
        <f>Hotel!BA25</f>
        <v>510.78300000000002</v>
      </c>
      <c r="T20" s="4">
        <f>Hotel!AX25</f>
        <v>0</v>
      </c>
      <c r="U20" s="4">
        <f>Hotel!B25</f>
        <v>196</v>
      </c>
    </row>
    <row r="21" spans="1:21" x14ac:dyDescent="0.25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9470</v>
      </c>
      <c r="F21" s="4">
        <f>Hotel!R26</f>
        <v>12770</v>
      </c>
      <c r="G21" s="4">
        <f>Hotel!S26</f>
        <v>140</v>
      </c>
      <c r="H21" s="4">
        <f>Hotel!T26</f>
        <v>1630</v>
      </c>
      <c r="I21" s="4">
        <f>Hotel!U26</f>
        <v>4850</v>
      </c>
      <c r="J21" s="4">
        <f>Hotel!V26</f>
        <v>4090</v>
      </c>
      <c r="K21" s="4">
        <f>Hotel!W26</f>
        <v>3380</v>
      </c>
      <c r="L21" s="4">
        <f>Hotel!X26</f>
        <v>4500</v>
      </c>
      <c r="M21" s="4">
        <f>Hotel!Y26</f>
        <v>5390</v>
      </c>
      <c r="N21" s="4">
        <f>Hotel!Z26</f>
        <v>2800</v>
      </c>
      <c r="O21" s="4">
        <f>Hotel!AA26</f>
        <v>3420</v>
      </c>
      <c r="P21" s="4">
        <f>Hotel!AB26</f>
        <v>9330</v>
      </c>
      <c r="Q21" s="4">
        <f>Hotel!AC26</f>
        <v>7890</v>
      </c>
      <c r="R21" s="4">
        <f>Hotel!AT26</f>
        <v>0</v>
      </c>
      <c r="S21" s="4">
        <f>Hotel!BA26</f>
        <v>510.78300000000002</v>
      </c>
      <c r="T21" s="4">
        <f>Hotel!AX26</f>
        <v>0</v>
      </c>
      <c r="U21" s="4">
        <f>Hotel!B26</f>
        <v>201</v>
      </c>
    </row>
    <row r="22" spans="1:21" x14ac:dyDescent="0.25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9950</v>
      </c>
      <c r="F22" s="4">
        <f>Hotel!R27</f>
        <v>13300</v>
      </c>
      <c r="G22" s="4">
        <f>Hotel!S27</f>
        <v>140</v>
      </c>
      <c r="H22" s="4">
        <f>Hotel!T27</f>
        <v>1660</v>
      </c>
      <c r="I22" s="4">
        <f>Hotel!U27</f>
        <v>4840</v>
      </c>
      <c r="J22" s="4">
        <f>Hotel!V27</f>
        <v>4240</v>
      </c>
      <c r="K22" s="4">
        <f>Hotel!W27</f>
        <v>3450</v>
      </c>
      <c r="L22" s="4">
        <f>Hotel!X27</f>
        <v>4680</v>
      </c>
      <c r="M22" s="4">
        <f>Hotel!Y27</f>
        <v>5340</v>
      </c>
      <c r="N22" s="4">
        <f>Hotel!Z27</f>
        <v>2900</v>
      </c>
      <c r="O22" s="4">
        <f>Hotel!AA27</f>
        <v>3610</v>
      </c>
      <c r="P22" s="4">
        <f>Hotel!AB27</f>
        <v>5930</v>
      </c>
      <c r="Q22" s="4">
        <f>Hotel!AC27</f>
        <v>10280</v>
      </c>
      <c r="R22" s="4">
        <f>Hotel!AT27</f>
        <v>0</v>
      </c>
      <c r="S22" s="4">
        <f>Hotel!BA27</f>
        <v>510.78300000000002</v>
      </c>
      <c r="T22" s="4">
        <f>Hotel!AX27</f>
        <v>0</v>
      </c>
      <c r="U22" s="4">
        <f>Hotel!B27</f>
        <v>197</v>
      </c>
    </row>
    <row r="23" spans="1:21" x14ac:dyDescent="0.25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9350</v>
      </c>
      <c r="F23" s="4">
        <f>Hotel!R28</f>
        <v>12640</v>
      </c>
      <c r="G23" s="4">
        <f>Hotel!S28</f>
        <v>130</v>
      </c>
      <c r="H23" s="4">
        <f>Hotel!T28</f>
        <v>1630</v>
      </c>
      <c r="I23" s="4">
        <f>Hotel!U28</f>
        <v>4470</v>
      </c>
      <c r="J23" s="4">
        <f>Hotel!V28</f>
        <v>4090</v>
      </c>
      <c r="K23" s="4">
        <f>Hotel!W28</f>
        <v>3730</v>
      </c>
      <c r="L23" s="4">
        <f>Hotel!X28</f>
        <v>4640</v>
      </c>
      <c r="M23" s="4">
        <f>Hotel!Y28</f>
        <v>5180</v>
      </c>
      <c r="N23" s="4">
        <f>Hotel!Z28</f>
        <v>2970</v>
      </c>
      <c r="O23" s="4">
        <f>Hotel!AA28</f>
        <v>3490</v>
      </c>
      <c r="P23" s="4">
        <f>Hotel!AB28</f>
        <v>7430</v>
      </c>
      <c r="Q23" s="4">
        <f>Hotel!AC28</f>
        <v>12310</v>
      </c>
      <c r="R23" s="4">
        <f>Hotel!AT28</f>
        <v>0</v>
      </c>
      <c r="S23" s="4">
        <f>Hotel!BA28</f>
        <v>510.78300000000002</v>
      </c>
      <c r="T23" s="4">
        <f>Hotel!AX28</f>
        <v>0</v>
      </c>
      <c r="U23" s="4">
        <f>Hotel!B28</f>
        <v>231</v>
      </c>
    </row>
    <row r="24" spans="1:21" x14ac:dyDescent="0.25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6070</v>
      </c>
      <c r="F24" s="4">
        <f>Hotel!R29</f>
        <v>12500</v>
      </c>
      <c r="G24" s="4">
        <f>Hotel!S29</f>
        <v>130</v>
      </c>
      <c r="H24" s="4">
        <f>Hotel!T29</f>
        <v>2960</v>
      </c>
      <c r="I24" s="4">
        <f>Hotel!U29</f>
        <v>4560</v>
      </c>
      <c r="J24" s="4">
        <f>Hotel!V29</f>
        <v>4340</v>
      </c>
      <c r="K24" s="4">
        <f>Hotel!W29</f>
        <v>3400</v>
      </c>
      <c r="L24" s="4">
        <f>Hotel!X29</f>
        <v>4650</v>
      </c>
      <c r="M24" s="4">
        <f>Hotel!Y29</f>
        <v>4650</v>
      </c>
      <c r="N24" s="4">
        <f>Hotel!Z29</f>
        <v>3050</v>
      </c>
      <c r="O24" s="4">
        <f>Hotel!AA29</f>
        <v>3690</v>
      </c>
      <c r="P24" s="4">
        <f>Hotel!AB29</f>
        <v>7100</v>
      </c>
      <c r="Q24" s="4">
        <f>Hotel!AC29</f>
        <v>10700</v>
      </c>
      <c r="R24" s="4">
        <f>Hotel!AT29</f>
        <v>0</v>
      </c>
      <c r="S24" s="4">
        <f>Hotel!BA29</f>
        <v>510.78300000000002</v>
      </c>
      <c r="T24" s="4">
        <f>Hotel!AX29</f>
        <v>0</v>
      </c>
      <c r="U24" s="4">
        <f>Hotel!B29</f>
        <v>284</v>
      </c>
    </row>
    <row r="25" spans="1:21" x14ac:dyDescent="0.25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1030</v>
      </c>
      <c r="F25" s="4">
        <f>Hotel!R30</f>
        <v>15100</v>
      </c>
      <c r="G25" s="4">
        <f>Hotel!S30</f>
        <v>100</v>
      </c>
      <c r="H25" s="4">
        <f>Hotel!T30</f>
        <v>2380</v>
      </c>
      <c r="I25" s="4">
        <f>Hotel!U30</f>
        <v>4440</v>
      </c>
      <c r="J25" s="4">
        <f>Hotel!V30</f>
        <v>4330</v>
      </c>
      <c r="K25" s="4">
        <f>Hotel!W30</f>
        <v>3500</v>
      </c>
      <c r="L25" s="4">
        <f>Hotel!X30</f>
        <v>4240</v>
      </c>
      <c r="M25" s="4">
        <f>Hotel!Y30</f>
        <v>3920</v>
      </c>
      <c r="N25" s="4">
        <f>Hotel!Z30</f>
        <v>2800</v>
      </c>
      <c r="O25" s="4">
        <f>Hotel!AA30</f>
        <v>3260</v>
      </c>
      <c r="P25" s="4">
        <f>Hotel!AB30</f>
        <v>7090</v>
      </c>
      <c r="Q25" s="4">
        <f>Hotel!AC30</f>
        <v>12030</v>
      </c>
      <c r="R25" s="4">
        <f>Hotel!AT30</f>
        <v>0</v>
      </c>
      <c r="S25" s="4">
        <f>Hotel!BA30</f>
        <v>510.78300000000002</v>
      </c>
      <c r="T25" s="4">
        <f>Hotel!AX30</f>
        <v>0</v>
      </c>
      <c r="U25" s="4">
        <f>Hotel!B30</f>
        <v>207</v>
      </c>
    </row>
    <row r="26" spans="1:21" x14ac:dyDescent="0.25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1010</v>
      </c>
      <c r="F26" s="4">
        <f>Hotel!R31</f>
        <v>14140</v>
      </c>
      <c r="G26" s="4">
        <f>Hotel!S31</f>
        <v>130</v>
      </c>
      <c r="H26" s="4">
        <f>Hotel!T31</f>
        <v>3130</v>
      </c>
      <c r="I26" s="4">
        <f>Hotel!U31</f>
        <v>4470</v>
      </c>
      <c r="J26" s="4">
        <f>Hotel!V31</f>
        <v>4170</v>
      </c>
      <c r="K26" s="4">
        <f>Hotel!W31</f>
        <v>3470</v>
      </c>
      <c r="L26" s="4">
        <f>Hotel!X31</f>
        <v>4420</v>
      </c>
      <c r="M26" s="4">
        <f>Hotel!Y31</f>
        <v>3950</v>
      </c>
      <c r="N26" s="4">
        <f>Hotel!Z31</f>
        <v>2780</v>
      </c>
      <c r="O26" s="4">
        <f>Hotel!AA31</f>
        <v>3200</v>
      </c>
      <c r="P26" s="4">
        <f>Hotel!AB31</f>
        <v>6760</v>
      </c>
      <c r="Q26" s="4">
        <f>Hotel!AC31</f>
        <v>10110</v>
      </c>
      <c r="R26" s="4">
        <f>Hotel!AT31</f>
        <v>0</v>
      </c>
      <c r="S26" s="4">
        <f>Hotel!BA31</f>
        <v>510.78300000000002</v>
      </c>
      <c r="T26" s="4">
        <f>Hotel!AX31</f>
        <v>0</v>
      </c>
      <c r="U26" s="4">
        <f>Hotel!B31</f>
        <v>192</v>
      </c>
    </row>
    <row r="27" spans="1:21" x14ac:dyDescent="0.25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1050</v>
      </c>
      <c r="F27" s="4">
        <f>Hotel!R32</f>
        <v>12000</v>
      </c>
      <c r="G27" s="4">
        <f>Hotel!S32</f>
        <v>140</v>
      </c>
      <c r="H27" s="4">
        <f>Hotel!T32</f>
        <v>4850</v>
      </c>
      <c r="I27" s="4">
        <f>Hotel!U32</f>
        <v>4740</v>
      </c>
      <c r="J27" s="4">
        <f>Hotel!V32</f>
        <v>4260</v>
      </c>
      <c r="K27" s="4">
        <f>Hotel!W32</f>
        <v>3200</v>
      </c>
      <c r="L27" s="4">
        <f>Hotel!X32</f>
        <v>4450</v>
      </c>
      <c r="M27" s="4">
        <f>Hotel!Y32</f>
        <v>4360</v>
      </c>
      <c r="N27" s="4">
        <f>Hotel!Z32</f>
        <v>2890</v>
      </c>
      <c r="O27" s="4">
        <f>Hotel!AA32</f>
        <v>3350</v>
      </c>
      <c r="P27" s="4">
        <f>Hotel!AB32</f>
        <v>7300</v>
      </c>
      <c r="Q27" s="4">
        <f>Hotel!AC32</f>
        <v>10480</v>
      </c>
      <c r="R27" s="4">
        <f>Hotel!AT32</f>
        <v>0</v>
      </c>
      <c r="S27" s="4">
        <f>Hotel!BA32</f>
        <v>510.78300000000002</v>
      </c>
      <c r="T27" s="4">
        <f>Hotel!AX32</f>
        <v>0</v>
      </c>
      <c r="U27" s="4">
        <f>Hotel!B32</f>
        <v>242</v>
      </c>
    </row>
    <row r="28" spans="1:21" x14ac:dyDescent="0.25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1010</v>
      </c>
      <c r="F28" s="4">
        <f>Hotel!R33</f>
        <v>12040</v>
      </c>
      <c r="G28" s="4">
        <f>Hotel!S33</f>
        <v>120</v>
      </c>
      <c r="H28" s="4">
        <f>Hotel!T33</f>
        <v>4900</v>
      </c>
      <c r="I28" s="4">
        <f>Hotel!U33</f>
        <v>4750</v>
      </c>
      <c r="J28" s="4">
        <f>Hotel!V33</f>
        <v>4190</v>
      </c>
      <c r="K28" s="4">
        <f>Hotel!W33</f>
        <v>3600</v>
      </c>
      <c r="L28" s="4">
        <f>Hotel!X33</f>
        <v>4510</v>
      </c>
      <c r="M28" s="4">
        <f>Hotel!Y33</f>
        <v>4870</v>
      </c>
      <c r="N28" s="4">
        <f>Hotel!Z33</f>
        <v>3030</v>
      </c>
      <c r="O28" s="4">
        <f>Hotel!AA33</f>
        <v>3630</v>
      </c>
      <c r="P28" s="4">
        <f>Hotel!AB33</f>
        <v>7050</v>
      </c>
      <c r="Q28" s="4">
        <f>Hotel!AC33</f>
        <v>12030</v>
      </c>
      <c r="R28" s="4">
        <f>Hotel!AT33</f>
        <v>0</v>
      </c>
      <c r="S28" s="4">
        <f>Hotel!BA33</f>
        <v>510.78300000000002</v>
      </c>
      <c r="T28" s="4">
        <f>Hotel!AX33</f>
        <v>0</v>
      </c>
      <c r="U28" s="4">
        <f>Hotel!B33</f>
        <v>266</v>
      </c>
    </row>
    <row r="29" spans="1:21" x14ac:dyDescent="0.25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1040</v>
      </c>
      <c r="F29" s="4">
        <f>Hotel!R34</f>
        <v>12520</v>
      </c>
      <c r="G29" s="4">
        <f>Hotel!S34</f>
        <v>140</v>
      </c>
      <c r="H29" s="4">
        <f>Hotel!T34</f>
        <v>5090</v>
      </c>
      <c r="I29" s="4">
        <f>Hotel!U34</f>
        <v>4700</v>
      </c>
      <c r="J29" s="4">
        <f>Hotel!V34</f>
        <v>4270</v>
      </c>
      <c r="K29" s="4">
        <f>Hotel!W34</f>
        <v>3230</v>
      </c>
      <c r="L29" s="4">
        <f>Hotel!X34</f>
        <v>4470</v>
      </c>
      <c r="M29" s="4">
        <f>Hotel!Y34</f>
        <v>4850</v>
      </c>
      <c r="N29" s="4">
        <f>Hotel!Z34</f>
        <v>2910</v>
      </c>
      <c r="O29" s="4">
        <f>Hotel!AA34</f>
        <v>3490</v>
      </c>
      <c r="P29" s="4">
        <f>Hotel!AB34</f>
        <v>7340</v>
      </c>
      <c r="Q29" s="4">
        <f>Hotel!AC34</f>
        <v>11750</v>
      </c>
      <c r="R29" s="4">
        <f>Hotel!AT34</f>
        <v>0</v>
      </c>
      <c r="S29" s="4">
        <f>Hotel!BA34</f>
        <v>510.78300000000002</v>
      </c>
      <c r="T29" s="4">
        <f>Hotel!AX34</f>
        <v>0</v>
      </c>
      <c r="U29" s="4">
        <f>Hotel!B34</f>
        <v>156</v>
      </c>
    </row>
    <row r="30" spans="1:21" x14ac:dyDescent="0.25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1000</v>
      </c>
      <c r="F30" s="4">
        <f>Hotel!R35</f>
        <v>11800</v>
      </c>
      <c r="G30" s="4">
        <f>Hotel!S35</f>
        <v>1180</v>
      </c>
      <c r="H30" s="4">
        <f>Hotel!T35</f>
        <v>3540</v>
      </c>
      <c r="I30" s="4">
        <f>Hotel!U35</f>
        <v>4340</v>
      </c>
      <c r="J30" s="4">
        <f>Hotel!V35</f>
        <v>3970</v>
      </c>
      <c r="K30" s="4">
        <f>Hotel!W35</f>
        <v>2800</v>
      </c>
      <c r="L30" s="4">
        <f>Hotel!X35</f>
        <v>4040</v>
      </c>
      <c r="M30" s="4">
        <f>Hotel!Y35</f>
        <v>4230</v>
      </c>
      <c r="N30" s="4">
        <f>Hotel!Z35</f>
        <v>2560</v>
      </c>
      <c r="O30" s="4">
        <f>Hotel!AA35</f>
        <v>3250</v>
      </c>
      <c r="P30" s="4">
        <f>Hotel!AB35</f>
        <v>6990</v>
      </c>
      <c r="Q30" s="4">
        <f>Hotel!AC35</f>
        <v>9210</v>
      </c>
      <c r="R30" s="4">
        <f>Hotel!AT35</f>
        <v>0</v>
      </c>
      <c r="S30" s="4">
        <f>Hotel!BA35</f>
        <v>510.78300000000002</v>
      </c>
      <c r="T30" s="4">
        <f>Hotel!AX35</f>
        <v>0</v>
      </c>
      <c r="U30" s="4">
        <f>Hotel!B35</f>
        <v>136</v>
      </c>
    </row>
    <row r="31" spans="1:21" x14ac:dyDescent="0.25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1050</v>
      </c>
      <c r="F31" s="4">
        <f>Hotel!R36</f>
        <v>13010</v>
      </c>
      <c r="G31" s="4">
        <f>Hotel!S36</f>
        <v>3230</v>
      </c>
      <c r="H31" s="4">
        <f>Hotel!T36</f>
        <v>1660</v>
      </c>
      <c r="I31" s="4">
        <f>Hotel!U36</f>
        <v>4470</v>
      </c>
      <c r="J31" s="4">
        <f>Hotel!V36</f>
        <v>4150</v>
      </c>
      <c r="K31" s="4">
        <f>Hotel!W36</f>
        <v>3370</v>
      </c>
      <c r="L31" s="4">
        <f>Hotel!X36</f>
        <v>4480</v>
      </c>
      <c r="M31" s="4">
        <f>Hotel!Y36</f>
        <v>4570</v>
      </c>
      <c r="N31" s="4">
        <f>Hotel!Z36</f>
        <v>2630</v>
      </c>
      <c r="O31" s="4">
        <f>Hotel!AA36</f>
        <v>3240</v>
      </c>
      <c r="P31" s="4">
        <f>Hotel!AB36</f>
        <v>7370</v>
      </c>
      <c r="Q31" s="4">
        <f>Hotel!AC36</f>
        <v>12610</v>
      </c>
      <c r="R31" s="4">
        <f>Hotel!AT36</f>
        <v>0</v>
      </c>
      <c r="S31" s="4">
        <f>Hotel!BA36</f>
        <v>510.78300000000002</v>
      </c>
      <c r="T31" s="4">
        <f>Hotel!AX36</f>
        <v>0</v>
      </c>
      <c r="U31" s="4">
        <f>Hotel!B36</f>
        <v>153</v>
      </c>
    </row>
    <row r="32" spans="1:21" x14ac:dyDescent="0.25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1020</v>
      </c>
      <c r="F32" s="4">
        <f>Hotel!R37</f>
        <v>12830</v>
      </c>
      <c r="G32" s="4">
        <f>Hotel!S37</f>
        <v>3230</v>
      </c>
      <c r="H32" s="4">
        <f>Hotel!T37</f>
        <v>1620</v>
      </c>
      <c r="I32" s="4">
        <f>Hotel!U37</f>
        <v>4550</v>
      </c>
      <c r="J32" s="4">
        <f>Hotel!V37</f>
        <v>4150</v>
      </c>
      <c r="K32" s="4">
        <f>Hotel!W37</f>
        <v>3300</v>
      </c>
      <c r="L32" s="4">
        <f>Hotel!X37</f>
        <v>4430</v>
      </c>
      <c r="M32" s="4">
        <f>Hotel!Y37</f>
        <v>4630</v>
      </c>
      <c r="N32" s="4">
        <f>Hotel!Z37</f>
        <v>2690</v>
      </c>
      <c r="O32" s="4">
        <f>Hotel!AA37</f>
        <v>3270</v>
      </c>
      <c r="P32" s="4">
        <f>Hotel!AB37</f>
        <v>7060</v>
      </c>
      <c r="Q32" s="4">
        <f>Hotel!AC37</f>
        <v>12420</v>
      </c>
      <c r="R32" s="4">
        <f>Hotel!AT37</f>
        <v>0</v>
      </c>
      <c r="S32" s="4">
        <f>Hotel!BA37</f>
        <v>510.78300000000002</v>
      </c>
      <c r="T32" s="4">
        <f>Hotel!AX37</f>
        <v>0</v>
      </c>
      <c r="U32" s="4">
        <f>Hotel!B37</f>
        <v>143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8"/>
  <sheetViews>
    <sheetView tabSelected="1" topLeftCell="AB19" zoomScale="93" zoomScaleNormal="93" workbookViewId="0">
      <selection activeCell="BA45" sqref="BA4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51" customWidth="1"/>
    <col min="47" max="47" width="7.28515625" customWidth="1"/>
    <col min="48" max="50" width="11.85546875" style="54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44681</v>
      </c>
      <c r="B2" s="40">
        <v>27</v>
      </c>
      <c r="C2" s="24">
        <v>7956030</v>
      </c>
      <c r="D2" s="24">
        <v>18564890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61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5">
        <v>298912</v>
      </c>
      <c r="AW2" s="55"/>
      <c r="AX2" s="55">
        <v>298912</v>
      </c>
      <c r="AY2" s="58">
        <v>663505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6" t="s">
        <v>23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8" t="s">
        <v>24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28" t="s">
        <v>25</v>
      </c>
      <c r="AF4" s="71" t="s">
        <v>26</v>
      </c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29" t="s">
        <v>27</v>
      </c>
      <c r="AT4" s="72" t="s">
        <v>51</v>
      </c>
      <c r="AV4" s="73" t="s">
        <v>53</v>
      </c>
      <c r="AW4" s="73" t="s">
        <v>55</v>
      </c>
      <c r="AX4" s="73" t="s">
        <v>56</v>
      </c>
      <c r="AY4" s="62" t="s">
        <v>28</v>
      </c>
      <c r="AZ4" s="63" t="s">
        <v>29</v>
      </c>
      <c r="BA4" s="63" t="s">
        <v>48</v>
      </c>
      <c r="BB4" s="65" t="s">
        <v>30</v>
      </c>
    </row>
    <row r="5" spans="1:54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2"/>
      <c r="AV5" s="73"/>
      <c r="AW5" s="73"/>
      <c r="AX5" s="73"/>
      <c r="AY5" s="62"/>
      <c r="AZ5" s="64"/>
      <c r="BA5" s="64"/>
      <c r="BB5" s="65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5">
        <v>298912</v>
      </c>
      <c r="AW6" s="55"/>
      <c r="AX6" s="55" t="s">
        <v>57</v>
      </c>
      <c r="AY6" s="58">
        <v>663505</v>
      </c>
    </row>
    <row r="7" spans="1:54" x14ac:dyDescent="0.25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 t="shared" ref="Q7:AC7" si="0">IF((C7-C2&lt;0), "0",C7-C2)</f>
        <v>6170</v>
      </c>
      <c r="R7" s="37" t="str">
        <f t="shared" si="0"/>
        <v>0</v>
      </c>
      <c r="S7" s="37">
        <f t="shared" si="0"/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27270</v>
      </c>
      <c r="AF7" s="20">
        <f t="shared" ref="AF7:AF36" si="1">Q7*$D$39</f>
        <v>30.85</v>
      </c>
      <c r="AG7" s="20">
        <f t="shared" ref="AG7:AG36" si="2">R7*$D$39</f>
        <v>0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136.35</v>
      </c>
      <c r="AT7" s="52"/>
      <c r="AV7" s="56">
        <v>0</v>
      </c>
      <c r="AW7" s="55">
        <f t="shared" ref="AW7:AW39" si="14">(AV8-AV7)*1000</f>
        <v>0</v>
      </c>
      <c r="AX7" s="57">
        <f>AW7*$AX$44</f>
        <v>0</v>
      </c>
      <c r="AY7" s="58">
        <f>AY6+$AY$48</f>
        <v>665376</v>
      </c>
      <c r="AZ7" s="37">
        <f>(IF((AY7-AY6&lt;0),"0",AY7-AY6))*100</f>
        <v>187100</v>
      </c>
      <c r="BA7" s="37">
        <f>AZ7*$AZ$44*60%</f>
        <v>510.78300000000002</v>
      </c>
      <c r="BB7" s="50">
        <f>BA7*0.4444</f>
        <v>226.99196520000001</v>
      </c>
    </row>
    <row r="8" spans="1:54" x14ac:dyDescent="0.25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T8" s="52"/>
      <c r="AV8" s="56">
        <v>0</v>
      </c>
      <c r="AW8" s="55">
        <f t="shared" si="14"/>
        <v>0</v>
      </c>
      <c r="AX8" s="57">
        <f t="shared" ref="AX8:AX39" si="17">AW8*$AX$44</f>
        <v>0</v>
      </c>
      <c r="AY8" s="58">
        <f t="shared" ref="AY8:AY37" si="18">AY7+$AY$48</f>
        <v>667247</v>
      </c>
      <c r="AZ8" s="37">
        <f t="shared" ref="AZ8:AZ38" si="19">(IF((AY8-AY7&lt;0),"0",AY8-AY7))*100</f>
        <v>187100</v>
      </c>
      <c r="BA8" s="37">
        <f t="shared" ref="BA8:BA39" si="20">AZ8*$AZ$44*60%</f>
        <v>510.78300000000002</v>
      </c>
      <c r="BB8" s="50">
        <f t="shared" ref="BB8:BB38" si="21">BA8*0.4444</f>
        <v>226.99196520000001</v>
      </c>
    </row>
    <row r="9" spans="1:54" x14ac:dyDescent="0.25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22">IF((C9-C8&lt;0), "0",C9-C8)</f>
        <v>12700</v>
      </c>
      <c r="R9" s="37">
        <f t="shared" ref="R9:R37" si="23">IF((D9-D8&lt;0), "0",D9-D8)</f>
        <v>1890</v>
      </c>
      <c r="S9" s="37">
        <f t="shared" si="16"/>
        <v>0</v>
      </c>
      <c r="T9" s="37">
        <f t="shared" ref="T9:T35" si="24">IF((F9-F8&lt;0), "0",F9-F8)</f>
        <v>1510</v>
      </c>
      <c r="U9" s="37">
        <f t="shared" ref="U9:U35" si="25">IF((G9-G8&lt;0), "0",G9-G8)</f>
        <v>4710</v>
      </c>
      <c r="V9" s="37">
        <f t="shared" ref="V9:V35" si="26">IF((H9-H8&lt;0), "0",H9-H8)</f>
        <v>4120</v>
      </c>
      <c r="W9" s="37">
        <f t="shared" ref="W9:W35" si="27">IF((I9-I8&lt;0), "0",I9-I8)</f>
        <v>2820</v>
      </c>
      <c r="X9" s="37">
        <f t="shared" ref="X9:X37" si="28">IF((J9-J8&lt;0), "0",J9-J8)</f>
        <v>4660</v>
      </c>
      <c r="Y9" s="37">
        <f t="shared" ref="Y9:Y35" si="29">IF((K9-K8&lt;0), "0",K9-K8)</f>
        <v>4050</v>
      </c>
      <c r="Z9" s="37">
        <f t="shared" ref="Z9:Z35" si="30">IF((L9-L8&lt;0), "0",L9-L8)</f>
        <v>2770</v>
      </c>
      <c r="AA9" s="37">
        <f t="shared" ref="AA9:AA35" si="31">IF((M9-M8&lt;0), "0",M9-M8)</f>
        <v>3230</v>
      </c>
      <c r="AB9" s="37">
        <f t="shared" ref="AB9:AB37" si="32">IF((N9-N8&lt;0), "0",N9-N8)</f>
        <v>7320</v>
      </c>
      <c r="AC9" s="37">
        <f t="shared" ref="AC9:AC37" si="33">IF((O9-O8&lt;0), "0",O9-O8)</f>
        <v>10050</v>
      </c>
      <c r="AD9" s="35">
        <f t="shared" ref="AD9:AD37" si="34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5">SUM(AF9:AR9)</f>
        <v>299.14999999999998</v>
      </c>
      <c r="AT9" s="52"/>
      <c r="AV9" s="56">
        <v>0</v>
      </c>
      <c r="AW9" s="55">
        <f t="shared" si="14"/>
        <v>0</v>
      </c>
      <c r="AX9" s="57">
        <f t="shared" si="17"/>
        <v>0</v>
      </c>
      <c r="AY9" s="58">
        <f t="shared" si="18"/>
        <v>669118</v>
      </c>
      <c r="AZ9" s="37">
        <f t="shared" si="19"/>
        <v>187100</v>
      </c>
      <c r="BA9" s="37">
        <f t="shared" si="20"/>
        <v>510.78300000000002</v>
      </c>
      <c r="BB9" s="50">
        <f t="shared" si="21"/>
        <v>226.99196520000001</v>
      </c>
    </row>
    <row r="10" spans="1:54" x14ac:dyDescent="0.25">
      <c r="A10" s="23">
        <v>44685</v>
      </c>
      <c r="B10" s="40">
        <v>241</v>
      </c>
      <c r="C10" s="24">
        <v>8000530</v>
      </c>
      <c r="D10" s="24">
        <v>18571250</v>
      </c>
      <c r="E10" s="24">
        <v>3201590</v>
      </c>
      <c r="F10" s="24">
        <v>4011210</v>
      </c>
      <c r="G10" s="24">
        <v>11929370</v>
      </c>
      <c r="H10" s="24">
        <v>6802220</v>
      </c>
      <c r="I10" s="24">
        <v>5961990</v>
      </c>
      <c r="J10" s="24">
        <v>7351490</v>
      </c>
      <c r="K10" s="24">
        <v>10893730</v>
      </c>
      <c r="L10" s="24">
        <v>4684120</v>
      </c>
      <c r="M10" s="24">
        <v>8925910</v>
      </c>
      <c r="N10" s="24">
        <v>14393810</v>
      </c>
      <c r="O10" s="24">
        <v>20125510</v>
      </c>
      <c r="Q10" s="37">
        <f t="shared" si="22"/>
        <v>13500</v>
      </c>
      <c r="R10" s="37">
        <f t="shared" si="23"/>
        <v>1860</v>
      </c>
      <c r="S10" s="37">
        <f t="shared" si="16"/>
        <v>60</v>
      </c>
      <c r="T10" s="37">
        <f t="shared" si="24"/>
        <v>1520</v>
      </c>
      <c r="U10" s="37">
        <f t="shared" si="25"/>
        <v>4970</v>
      </c>
      <c r="V10" s="37">
        <f t="shared" si="26"/>
        <v>4250</v>
      </c>
      <c r="W10" s="37">
        <f t="shared" si="27"/>
        <v>3020</v>
      </c>
      <c r="X10" s="37">
        <f t="shared" si="28"/>
        <v>4760</v>
      </c>
      <c r="Y10" s="37">
        <f t="shared" si="29"/>
        <v>4660</v>
      </c>
      <c r="Z10" s="37">
        <f t="shared" si="30"/>
        <v>2940</v>
      </c>
      <c r="AA10" s="37">
        <f t="shared" si="31"/>
        <v>3510</v>
      </c>
      <c r="AB10" s="37">
        <f t="shared" si="32"/>
        <v>7200</v>
      </c>
      <c r="AC10" s="37">
        <f t="shared" si="33"/>
        <v>10010</v>
      </c>
      <c r="AD10" s="35">
        <f t="shared" si="34"/>
        <v>62260</v>
      </c>
      <c r="AF10" s="20">
        <f t="shared" si="1"/>
        <v>67.5</v>
      </c>
      <c r="AG10" s="20">
        <f t="shared" si="2"/>
        <v>9.3000000000000007</v>
      </c>
      <c r="AH10" s="20">
        <f t="shared" si="3"/>
        <v>0.3</v>
      </c>
      <c r="AI10" s="20">
        <f t="shared" si="4"/>
        <v>7.6000000000000005</v>
      </c>
      <c r="AJ10" s="20">
        <f t="shared" si="5"/>
        <v>24.85</v>
      </c>
      <c r="AK10" s="20">
        <f t="shared" si="6"/>
        <v>21.25</v>
      </c>
      <c r="AL10" s="20">
        <f t="shared" si="7"/>
        <v>15.1</v>
      </c>
      <c r="AM10" s="20">
        <f t="shared" si="8"/>
        <v>23.8</v>
      </c>
      <c r="AN10" s="20">
        <f t="shared" si="9"/>
        <v>23.3</v>
      </c>
      <c r="AO10" s="20">
        <f t="shared" si="10"/>
        <v>14.700000000000001</v>
      </c>
      <c r="AP10" s="20">
        <f t="shared" si="11"/>
        <v>17.55</v>
      </c>
      <c r="AQ10" s="20">
        <f t="shared" si="12"/>
        <v>36</v>
      </c>
      <c r="AR10" s="20">
        <f t="shared" si="13"/>
        <v>50.050000000000004</v>
      </c>
      <c r="AS10" s="35">
        <f t="shared" si="35"/>
        <v>311.3</v>
      </c>
      <c r="AT10" s="52"/>
      <c r="AV10" s="56">
        <v>0</v>
      </c>
      <c r="AW10" s="55">
        <f t="shared" si="14"/>
        <v>0</v>
      </c>
      <c r="AX10" s="57">
        <f t="shared" si="17"/>
        <v>0</v>
      </c>
      <c r="AY10" s="58">
        <f t="shared" si="18"/>
        <v>670989</v>
      </c>
      <c r="AZ10" s="37">
        <f t="shared" si="19"/>
        <v>187100</v>
      </c>
      <c r="BA10" s="37">
        <f t="shared" si="20"/>
        <v>510.78300000000002</v>
      </c>
      <c r="BB10" s="50">
        <f t="shared" si="21"/>
        <v>226.99196520000001</v>
      </c>
    </row>
    <row r="11" spans="1:54" x14ac:dyDescent="0.25">
      <c r="A11" s="23">
        <v>44686</v>
      </c>
      <c r="B11" s="40">
        <v>248</v>
      </c>
      <c r="C11" s="24">
        <v>8011800</v>
      </c>
      <c r="D11" s="24">
        <v>18574420</v>
      </c>
      <c r="E11" s="24">
        <v>3203920</v>
      </c>
      <c r="F11" s="24">
        <v>4012810</v>
      </c>
      <c r="G11" s="24">
        <v>11934670</v>
      </c>
      <c r="H11" s="24">
        <v>6806430</v>
      </c>
      <c r="I11" s="24">
        <v>5965480</v>
      </c>
      <c r="J11" s="24">
        <v>7355930</v>
      </c>
      <c r="K11" s="24">
        <v>10899580</v>
      </c>
      <c r="L11" s="24">
        <v>4687120</v>
      </c>
      <c r="M11" s="24">
        <v>8929620</v>
      </c>
      <c r="N11" s="24">
        <v>14400750</v>
      </c>
      <c r="O11" s="24">
        <v>20136150</v>
      </c>
      <c r="Q11" s="37">
        <f t="shared" si="22"/>
        <v>11270</v>
      </c>
      <c r="R11" s="37">
        <f t="shared" si="23"/>
        <v>3170</v>
      </c>
      <c r="S11" s="37">
        <f t="shared" si="16"/>
        <v>2330</v>
      </c>
      <c r="T11" s="37">
        <f t="shared" si="24"/>
        <v>1600</v>
      </c>
      <c r="U11" s="37">
        <f t="shared" si="25"/>
        <v>5300</v>
      </c>
      <c r="V11" s="37">
        <f t="shared" si="26"/>
        <v>4210</v>
      </c>
      <c r="W11" s="37">
        <f t="shared" si="27"/>
        <v>3490</v>
      </c>
      <c r="X11" s="37">
        <f t="shared" si="28"/>
        <v>4440</v>
      </c>
      <c r="Y11" s="37">
        <f t="shared" si="29"/>
        <v>5850</v>
      </c>
      <c r="Z11" s="37">
        <f t="shared" si="30"/>
        <v>3000</v>
      </c>
      <c r="AA11" s="37">
        <f t="shared" si="31"/>
        <v>3710</v>
      </c>
      <c r="AB11" s="37">
        <f t="shared" si="32"/>
        <v>6940</v>
      </c>
      <c r="AC11" s="37">
        <f t="shared" si="33"/>
        <v>10640</v>
      </c>
      <c r="AD11" s="35">
        <f t="shared" si="34"/>
        <v>65950</v>
      </c>
      <c r="AF11" s="20">
        <f t="shared" si="1"/>
        <v>56.35</v>
      </c>
      <c r="AG11" s="20">
        <f t="shared" si="2"/>
        <v>15.85</v>
      </c>
      <c r="AH11" s="20">
        <f t="shared" si="3"/>
        <v>11.65</v>
      </c>
      <c r="AI11" s="20">
        <f t="shared" si="4"/>
        <v>8</v>
      </c>
      <c r="AJ11" s="20">
        <f t="shared" si="5"/>
        <v>26.5</v>
      </c>
      <c r="AK11" s="20">
        <f t="shared" si="6"/>
        <v>21.05</v>
      </c>
      <c r="AL11" s="20">
        <f t="shared" si="7"/>
        <v>17.45</v>
      </c>
      <c r="AM11" s="20">
        <f t="shared" si="8"/>
        <v>22.2</v>
      </c>
      <c r="AN11" s="20">
        <f t="shared" si="9"/>
        <v>29.25</v>
      </c>
      <c r="AO11" s="20">
        <f t="shared" si="10"/>
        <v>15</v>
      </c>
      <c r="AP11" s="20">
        <f t="shared" si="11"/>
        <v>18.55</v>
      </c>
      <c r="AQ11" s="20">
        <f t="shared" si="12"/>
        <v>34.700000000000003</v>
      </c>
      <c r="AR11" s="20">
        <f t="shared" si="13"/>
        <v>53.2</v>
      </c>
      <c r="AS11" s="35">
        <f t="shared" si="35"/>
        <v>329.75</v>
      </c>
      <c r="AT11" s="52"/>
      <c r="AV11" s="56">
        <v>0</v>
      </c>
      <c r="AW11" s="55">
        <f t="shared" si="14"/>
        <v>0</v>
      </c>
      <c r="AX11" s="57">
        <f t="shared" si="17"/>
        <v>0</v>
      </c>
      <c r="AY11" s="58">
        <f t="shared" si="18"/>
        <v>672860</v>
      </c>
      <c r="AZ11" s="37">
        <f t="shared" si="19"/>
        <v>187100</v>
      </c>
      <c r="BA11" s="37">
        <f t="shared" si="20"/>
        <v>510.78300000000002</v>
      </c>
      <c r="BB11" s="50">
        <f t="shared" si="21"/>
        <v>226.99196520000001</v>
      </c>
    </row>
    <row r="12" spans="1:54" x14ac:dyDescent="0.25">
      <c r="A12" s="23">
        <v>44687</v>
      </c>
      <c r="B12" s="40">
        <v>230</v>
      </c>
      <c r="C12" s="59">
        <v>8021340</v>
      </c>
      <c r="D12" s="24">
        <v>18578200</v>
      </c>
      <c r="E12" s="24">
        <v>3207010</v>
      </c>
      <c r="F12" s="24">
        <v>4014400</v>
      </c>
      <c r="G12" s="24">
        <v>11939920</v>
      </c>
      <c r="H12" s="24">
        <v>6810870</v>
      </c>
      <c r="I12" s="24">
        <v>5969330</v>
      </c>
      <c r="J12" s="24">
        <v>7360410</v>
      </c>
      <c r="K12" s="24">
        <v>10904840</v>
      </c>
      <c r="L12" s="24">
        <v>4690170</v>
      </c>
      <c r="M12" s="24">
        <v>8933450</v>
      </c>
      <c r="N12" s="24">
        <v>14408060</v>
      </c>
      <c r="O12" s="24">
        <v>20147040</v>
      </c>
      <c r="Q12" s="37">
        <f t="shared" si="22"/>
        <v>9540</v>
      </c>
      <c r="R12" s="37">
        <f t="shared" si="23"/>
        <v>3780</v>
      </c>
      <c r="S12" s="37">
        <f t="shared" si="16"/>
        <v>3090</v>
      </c>
      <c r="T12" s="37">
        <f t="shared" ref="T12:W14" si="36">IF((F12-F11&lt;0), "0",F12-F11)</f>
        <v>1590</v>
      </c>
      <c r="U12" s="37">
        <f t="shared" si="36"/>
        <v>5250</v>
      </c>
      <c r="V12" s="37">
        <f t="shared" si="36"/>
        <v>4440</v>
      </c>
      <c r="W12" s="37">
        <f t="shared" si="36"/>
        <v>3850</v>
      </c>
      <c r="X12" s="37">
        <f t="shared" si="28"/>
        <v>4480</v>
      </c>
      <c r="Y12" s="37">
        <f t="shared" si="29"/>
        <v>5260</v>
      </c>
      <c r="Z12" s="37">
        <f>IF((L12-L11&lt;0), "0",L12-L11)</f>
        <v>3050</v>
      </c>
      <c r="AA12" s="37">
        <f t="shared" si="31"/>
        <v>3830</v>
      </c>
      <c r="AB12" s="37">
        <f t="shared" si="32"/>
        <v>7310</v>
      </c>
      <c r="AC12" s="37">
        <f t="shared" si="33"/>
        <v>10890</v>
      </c>
      <c r="AD12" s="35">
        <f t="shared" si="34"/>
        <v>66360</v>
      </c>
      <c r="AF12" s="20">
        <f t="shared" si="1"/>
        <v>47.7</v>
      </c>
      <c r="AG12" s="20">
        <f t="shared" si="2"/>
        <v>18.900000000000002</v>
      </c>
      <c r="AH12" s="20">
        <f t="shared" si="3"/>
        <v>15.450000000000001</v>
      </c>
      <c r="AI12" s="20">
        <f t="shared" si="4"/>
        <v>7.95</v>
      </c>
      <c r="AJ12" s="20">
        <f t="shared" si="5"/>
        <v>26.25</v>
      </c>
      <c r="AK12" s="20">
        <f t="shared" si="6"/>
        <v>22.2</v>
      </c>
      <c r="AL12" s="20">
        <f t="shared" si="7"/>
        <v>19.25</v>
      </c>
      <c r="AM12" s="20">
        <f t="shared" si="8"/>
        <v>22.400000000000002</v>
      </c>
      <c r="AN12" s="20">
        <f t="shared" si="9"/>
        <v>26.3</v>
      </c>
      <c r="AO12" s="20">
        <f t="shared" si="10"/>
        <v>15.25</v>
      </c>
      <c r="AP12" s="20">
        <f t="shared" si="11"/>
        <v>19.150000000000002</v>
      </c>
      <c r="AQ12" s="20">
        <f t="shared" si="12"/>
        <v>36.550000000000004</v>
      </c>
      <c r="AR12" s="20">
        <f t="shared" si="13"/>
        <v>54.45</v>
      </c>
      <c r="AS12" s="35">
        <f t="shared" si="35"/>
        <v>331.8</v>
      </c>
      <c r="AT12" s="52"/>
      <c r="AV12" s="56">
        <v>0</v>
      </c>
      <c r="AW12" s="55">
        <f t="shared" si="14"/>
        <v>0</v>
      </c>
      <c r="AX12" s="57">
        <f t="shared" si="17"/>
        <v>0</v>
      </c>
      <c r="AY12" s="58">
        <f t="shared" si="18"/>
        <v>674731</v>
      </c>
      <c r="AZ12" s="37">
        <f t="shared" si="19"/>
        <v>187100</v>
      </c>
      <c r="BA12" s="37">
        <f t="shared" si="20"/>
        <v>510.78300000000002</v>
      </c>
      <c r="BB12" s="50">
        <f t="shared" si="21"/>
        <v>226.99196520000001</v>
      </c>
    </row>
    <row r="13" spans="1:54" x14ac:dyDescent="0.25">
      <c r="A13" s="23">
        <v>44688</v>
      </c>
      <c r="B13" s="40">
        <v>132</v>
      </c>
      <c r="C13" s="24">
        <v>8030580</v>
      </c>
      <c r="D13" s="24">
        <v>18581930</v>
      </c>
      <c r="E13" s="24">
        <v>3209990</v>
      </c>
      <c r="F13" s="24">
        <v>4016030</v>
      </c>
      <c r="G13" s="24">
        <v>11944870</v>
      </c>
      <c r="H13" s="24">
        <v>6815100</v>
      </c>
      <c r="I13" s="24">
        <v>5972660</v>
      </c>
      <c r="J13" s="24">
        <v>7364580</v>
      </c>
      <c r="K13" s="24">
        <v>10910460</v>
      </c>
      <c r="L13" s="24">
        <v>4693000</v>
      </c>
      <c r="M13" s="24">
        <v>8936970</v>
      </c>
      <c r="N13" s="24">
        <v>14415370</v>
      </c>
      <c r="O13" s="24">
        <v>20157620</v>
      </c>
      <c r="Q13" s="37">
        <f t="shared" si="22"/>
        <v>9240</v>
      </c>
      <c r="R13" s="37">
        <f t="shared" si="23"/>
        <v>3730</v>
      </c>
      <c r="S13" s="37">
        <f t="shared" si="16"/>
        <v>2980</v>
      </c>
      <c r="T13" s="37">
        <f t="shared" si="36"/>
        <v>1630</v>
      </c>
      <c r="U13" s="37">
        <f t="shared" si="36"/>
        <v>4950</v>
      </c>
      <c r="V13" s="37">
        <f t="shared" si="36"/>
        <v>4230</v>
      </c>
      <c r="W13" s="37">
        <f t="shared" si="36"/>
        <v>3330</v>
      </c>
      <c r="X13" s="37">
        <f t="shared" si="28"/>
        <v>4170</v>
      </c>
      <c r="Y13" s="37">
        <f t="shared" si="29"/>
        <v>5620</v>
      </c>
      <c r="Z13" s="37">
        <f>IF((L13-L12&lt;0), "0",L13-L12)</f>
        <v>2830</v>
      </c>
      <c r="AA13" s="37">
        <f t="shared" si="31"/>
        <v>3520</v>
      </c>
      <c r="AB13" s="37">
        <f t="shared" si="32"/>
        <v>7310</v>
      </c>
      <c r="AC13" s="37">
        <f t="shared" si="33"/>
        <v>10580</v>
      </c>
      <c r="AD13" s="35">
        <f t="shared" si="34"/>
        <v>64120</v>
      </c>
      <c r="AF13" s="20">
        <f t="shared" si="1"/>
        <v>46.2</v>
      </c>
      <c r="AG13" s="20">
        <f t="shared" si="2"/>
        <v>18.650000000000002</v>
      </c>
      <c r="AH13" s="20">
        <f t="shared" si="3"/>
        <v>14.9</v>
      </c>
      <c r="AI13" s="20">
        <f t="shared" si="4"/>
        <v>8.15</v>
      </c>
      <c r="AJ13" s="20">
        <f t="shared" si="5"/>
        <v>24.75</v>
      </c>
      <c r="AK13" s="20">
        <f t="shared" si="6"/>
        <v>21.150000000000002</v>
      </c>
      <c r="AL13" s="20">
        <f t="shared" si="7"/>
        <v>16.649999999999999</v>
      </c>
      <c r="AM13" s="20">
        <f t="shared" si="8"/>
        <v>20.85</v>
      </c>
      <c r="AN13" s="20">
        <f t="shared" si="9"/>
        <v>28.1</v>
      </c>
      <c r="AO13" s="20">
        <f t="shared" si="10"/>
        <v>14.15</v>
      </c>
      <c r="AP13" s="20">
        <f t="shared" si="11"/>
        <v>17.600000000000001</v>
      </c>
      <c r="AQ13" s="20">
        <f t="shared" si="12"/>
        <v>36.550000000000004</v>
      </c>
      <c r="AR13" s="20">
        <f t="shared" si="13"/>
        <v>52.9</v>
      </c>
      <c r="AS13" s="35">
        <f t="shared" si="35"/>
        <v>320.59999999999997</v>
      </c>
      <c r="AT13" s="52"/>
      <c r="AV13" s="56">
        <v>0</v>
      </c>
      <c r="AW13" s="55">
        <f t="shared" si="14"/>
        <v>0</v>
      </c>
      <c r="AX13" s="57">
        <f t="shared" si="17"/>
        <v>0</v>
      </c>
      <c r="AY13" s="58">
        <f t="shared" si="18"/>
        <v>676602</v>
      </c>
      <c r="AZ13" s="37">
        <f t="shared" si="19"/>
        <v>187100</v>
      </c>
      <c r="BA13" s="37">
        <f t="shared" si="20"/>
        <v>510.78300000000002</v>
      </c>
      <c r="BB13" s="50">
        <f t="shared" si="21"/>
        <v>226.99196520000001</v>
      </c>
    </row>
    <row r="14" spans="1:54" x14ac:dyDescent="0.25">
      <c r="A14" s="23">
        <v>44689</v>
      </c>
      <c r="B14" s="40">
        <v>86</v>
      </c>
      <c r="C14" s="24">
        <v>8034360</v>
      </c>
      <c r="D14" s="24">
        <v>18591230</v>
      </c>
      <c r="E14" s="24">
        <v>3211360</v>
      </c>
      <c r="F14" s="24">
        <v>4017690</v>
      </c>
      <c r="G14" s="24">
        <v>11949540</v>
      </c>
      <c r="H14" s="24">
        <v>6819130</v>
      </c>
      <c r="I14" s="24">
        <v>5975690</v>
      </c>
      <c r="J14" s="24">
        <v>7368520</v>
      </c>
      <c r="K14" s="24">
        <v>10915870</v>
      </c>
      <c r="L14" s="24">
        <v>4695560</v>
      </c>
      <c r="M14" s="24">
        <v>8940230</v>
      </c>
      <c r="N14" s="24">
        <v>14422860</v>
      </c>
      <c r="O14" s="24">
        <v>20168910</v>
      </c>
      <c r="P14" s="49"/>
      <c r="Q14" s="37">
        <f t="shared" si="22"/>
        <v>3780</v>
      </c>
      <c r="R14" s="37">
        <f t="shared" si="23"/>
        <v>9300</v>
      </c>
      <c r="S14" s="37">
        <f t="shared" si="16"/>
        <v>1370</v>
      </c>
      <c r="T14" s="37">
        <f t="shared" si="36"/>
        <v>1660</v>
      </c>
      <c r="U14" s="37">
        <f t="shared" si="36"/>
        <v>4670</v>
      </c>
      <c r="V14" s="37">
        <f t="shared" si="36"/>
        <v>4030</v>
      </c>
      <c r="W14" s="37">
        <f t="shared" si="36"/>
        <v>3030</v>
      </c>
      <c r="X14" s="37">
        <f t="shared" si="28"/>
        <v>3940</v>
      </c>
      <c r="Y14" s="37">
        <f t="shared" si="29"/>
        <v>5410</v>
      </c>
      <c r="Z14" s="37">
        <f>IF((L14-L13&lt;0), "0",L14-L13)</f>
        <v>2560</v>
      </c>
      <c r="AA14" s="37">
        <f t="shared" si="31"/>
        <v>3260</v>
      </c>
      <c r="AB14" s="37">
        <f t="shared" si="32"/>
        <v>7490</v>
      </c>
      <c r="AC14" s="37">
        <f t="shared" si="33"/>
        <v>11290</v>
      </c>
      <c r="AD14" s="35">
        <f t="shared" si="34"/>
        <v>61790</v>
      </c>
      <c r="AF14" s="20">
        <f t="shared" si="1"/>
        <v>18.900000000000002</v>
      </c>
      <c r="AG14" s="20">
        <f t="shared" si="2"/>
        <v>46.5</v>
      </c>
      <c r="AH14" s="20">
        <f t="shared" si="3"/>
        <v>6.8500000000000005</v>
      </c>
      <c r="AI14" s="20">
        <f t="shared" si="4"/>
        <v>8.3000000000000007</v>
      </c>
      <c r="AJ14" s="20">
        <f t="shared" si="5"/>
        <v>23.35</v>
      </c>
      <c r="AK14" s="20">
        <f t="shared" si="6"/>
        <v>20.150000000000002</v>
      </c>
      <c r="AL14" s="20">
        <f t="shared" si="7"/>
        <v>15.15</v>
      </c>
      <c r="AM14" s="20">
        <f t="shared" si="8"/>
        <v>19.7</v>
      </c>
      <c r="AN14" s="20">
        <f t="shared" si="9"/>
        <v>27.05</v>
      </c>
      <c r="AO14" s="20">
        <f t="shared" si="10"/>
        <v>12.8</v>
      </c>
      <c r="AP14" s="20">
        <f t="shared" si="11"/>
        <v>16.3</v>
      </c>
      <c r="AQ14" s="20">
        <f t="shared" si="12"/>
        <v>37.450000000000003</v>
      </c>
      <c r="AR14" s="20">
        <f t="shared" si="13"/>
        <v>56.45</v>
      </c>
      <c r="AS14" s="35">
        <f t="shared" si="35"/>
        <v>308.95000000000005</v>
      </c>
      <c r="AT14" s="52"/>
      <c r="AV14" s="56">
        <v>0</v>
      </c>
      <c r="AW14" s="55">
        <f t="shared" si="14"/>
        <v>0</v>
      </c>
      <c r="AX14" s="57">
        <f t="shared" si="17"/>
        <v>0</v>
      </c>
      <c r="AY14" s="58">
        <f t="shared" si="18"/>
        <v>678473</v>
      </c>
      <c r="AZ14" s="37">
        <f t="shared" si="19"/>
        <v>187100</v>
      </c>
      <c r="BA14" s="37">
        <f t="shared" si="20"/>
        <v>510.78300000000002</v>
      </c>
      <c r="BB14" s="50">
        <f t="shared" si="21"/>
        <v>226.99196520000001</v>
      </c>
    </row>
    <row r="15" spans="1:54" x14ac:dyDescent="0.25">
      <c r="A15" s="23">
        <v>44690</v>
      </c>
      <c r="B15" s="40">
        <v>99</v>
      </c>
      <c r="C15" s="24">
        <v>8034870</v>
      </c>
      <c r="D15" s="24">
        <v>18604250</v>
      </c>
      <c r="E15" s="24">
        <v>3211440</v>
      </c>
      <c r="F15" s="24">
        <v>4019300</v>
      </c>
      <c r="G15" s="24">
        <v>11953910</v>
      </c>
      <c r="H15" s="24">
        <v>6823080</v>
      </c>
      <c r="I15" s="24">
        <v>5978810</v>
      </c>
      <c r="J15" s="24">
        <v>7372590</v>
      </c>
      <c r="K15" s="24">
        <v>10921010</v>
      </c>
      <c r="L15" s="24">
        <v>4698070</v>
      </c>
      <c r="M15" s="24">
        <v>8943250</v>
      </c>
      <c r="N15" s="24">
        <v>14429950</v>
      </c>
      <c r="O15" s="24">
        <v>20179400</v>
      </c>
      <c r="Q15" s="37">
        <f t="shared" si="22"/>
        <v>510</v>
      </c>
      <c r="R15" s="37">
        <f t="shared" si="23"/>
        <v>13020</v>
      </c>
      <c r="S15" s="37">
        <f t="shared" si="16"/>
        <v>80</v>
      </c>
      <c r="T15" s="37">
        <f t="shared" si="24"/>
        <v>1610</v>
      </c>
      <c r="U15" s="37">
        <f t="shared" si="25"/>
        <v>4370</v>
      </c>
      <c r="V15" s="37">
        <f t="shared" si="26"/>
        <v>3950</v>
      </c>
      <c r="W15" s="37">
        <f t="shared" si="27"/>
        <v>3120</v>
      </c>
      <c r="X15" s="37">
        <f t="shared" si="28"/>
        <v>4070</v>
      </c>
      <c r="Y15" s="37">
        <f t="shared" si="29"/>
        <v>5140</v>
      </c>
      <c r="Z15" s="37">
        <f t="shared" si="30"/>
        <v>2510</v>
      </c>
      <c r="AA15" s="37">
        <f t="shared" si="31"/>
        <v>3020</v>
      </c>
      <c r="AB15" s="37">
        <f t="shared" si="32"/>
        <v>7090</v>
      </c>
      <c r="AC15" s="37">
        <f t="shared" si="33"/>
        <v>10490</v>
      </c>
      <c r="AD15" s="35">
        <f t="shared" si="34"/>
        <v>58980</v>
      </c>
      <c r="AF15" s="20">
        <f t="shared" si="1"/>
        <v>2.5500000000000003</v>
      </c>
      <c r="AG15" s="20">
        <f t="shared" si="2"/>
        <v>65.099999999999994</v>
      </c>
      <c r="AH15" s="20">
        <f t="shared" si="3"/>
        <v>0.4</v>
      </c>
      <c r="AI15" s="20">
        <f t="shared" si="4"/>
        <v>8.0500000000000007</v>
      </c>
      <c r="AJ15" s="20">
        <f t="shared" si="5"/>
        <v>21.85</v>
      </c>
      <c r="AK15" s="20">
        <f t="shared" si="6"/>
        <v>19.75</v>
      </c>
      <c r="AL15" s="20">
        <f t="shared" si="7"/>
        <v>15.6</v>
      </c>
      <c r="AM15" s="20">
        <f t="shared" si="8"/>
        <v>20.350000000000001</v>
      </c>
      <c r="AN15" s="20">
        <f t="shared" si="9"/>
        <v>25.7</v>
      </c>
      <c r="AO15" s="20">
        <f t="shared" si="10"/>
        <v>12.55</v>
      </c>
      <c r="AP15" s="20">
        <f t="shared" si="11"/>
        <v>15.1</v>
      </c>
      <c r="AQ15" s="20">
        <f t="shared" si="12"/>
        <v>35.450000000000003</v>
      </c>
      <c r="AR15" s="20">
        <f t="shared" si="13"/>
        <v>52.45</v>
      </c>
      <c r="AS15" s="35">
        <f t="shared" si="35"/>
        <v>294.89999999999998</v>
      </c>
      <c r="AT15" s="52"/>
      <c r="AV15" s="56">
        <v>0</v>
      </c>
      <c r="AW15" s="55">
        <f t="shared" si="14"/>
        <v>0</v>
      </c>
      <c r="AX15" s="57">
        <f t="shared" si="17"/>
        <v>0</v>
      </c>
      <c r="AY15" s="58">
        <f t="shared" si="18"/>
        <v>680344</v>
      </c>
      <c r="AZ15" s="37">
        <f t="shared" si="19"/>
        <v>187100</v>
      </c>
      <c r="BA15" s="37">
        <f t="shared" si="20"/>
        <v>510.78300000000002</v>
      </c>
      <c r="BB15" s="50">
        <f t="shared" si="21"/>
        <v>226.99196520000001</v>
      </c>
    </row>
    <row r="16" spans="1:54" x14ac:dyDescent="0.25">
      <c r="A16" s="23">
        <v>44691</v>
      </c>
      <c r="B16" s="40">
        <v>97</v>
      </c>
      <c r="C16" s="24">
        <v>8035380</v>
      </c>
      <c r="D16" s="24">
        <v>18618090</v>
      </c>
      <c r="E16" s="24">
        <v>3211520</v>
      </c>
      <c r="F16" s="24">
        <v>4020930</v>
      </c>
      <c r="G16" s="24">
        <v>11958420</v>
      </c>
      <c r="H16" s="24">
        <v>6826970</v>
      </c>
      <c r="I16" s="24">
        <v>5982110</v>
      </c>
      <c r="J16" s="24">
        <v>7376700</v>
      </c>
      <c r="K16" s="24">
        <v>10926370</v>
      </c>
      <c r="L16" s="24">
        <v>4700680</v>
      </c>
      <c r="M16" s="24">
        <v>8946160</v>
      </c>
      <c r="N16" s="24">
        <v>14437420</v>
      </c>
      <c r="O16" s="24">
        <v>20190350</v>
      </c>
      <c r="Q16" s="37">
        <f t="shared" si="22"/>
        <v>510</v>
      </c>
      <c r="R16" s="37">
        <f t="shared" si="23"/>
        <v>13840</v>
      </c>
      <c r="S16" s="37">
        <f t="shared" si="16"/>
        <v>80</v>
      </c>
      <c r="T16" s="37">
        <f t="shared" si="24"/>
        <v>1630</v>
      </c>
      <c r="U16" s="37">
        <f>IF((G16-G15&lt;0), "0",G16-G15)</f>
        <v>4510</v>
      </c>
      <c r="V16" s="37">
        <f>IF((H16-H15&lt;0), "0",H16-H15)</f>
        <v>3890</v>
      </c>
      <c r="W16" s="37">
        <f t="shared" si="27"/>
        <v>3300</v>
      </c>
      <c r="X16" s="37">
        <f t="shared" si="28"/>
        <v>4110</v>
      </c>
      <c r="Y16" s="37">
        <f t="shared" si="29"/>
        <v>5360</v>
      </c>
      <c r="Z16" s="37">
        <f t="shared" si="30"/>
        <v>2610</v>
      </c>
      <c r="AA16" s="37">
        <f t="shared" si="31"/>
        <v>2910</v>
      </c>
      <c r="AB16" s="37">
        <f t="shared" si="32"/>
        <v>7470</v>
      </c>
      <c r="AC16" s="37">
        <f t="shared" si="33"/>
        <v>10950</v>
      </c>
      <c r="AD16" s="35">
        <f t="shared" si="34"/>
        <v>61170</v>
      </c>
      <c r="AF16" s="20">
        <f t="shared" si="1"/>
        <v>2.5500000000000003</v>
      </c>
      <c r="AG16" s="20">
        <f t="shared" si="2"/>
        <v>69.2</v>
      </c>
      <c r="AH16" s="20">
        <f t="shared" si="3"/>
        <v>0.4</v>
      </c>
      <c r="AI16" s="20">
        <f t="shared" si="4"/>
        <v>8.15</v>
      </c>
      <c r="AJ16" s="20">
        <f t="shared" si="5"/>
        <v>22.55</v>
      </c>
      <c r="AK16" s="20">
        <f t="shared" si="6"/>
        <v>19.45</v>
      </c>
      <c r="AL16" s="20">
        <f t="shared" si="7"/>
        <v>16.5</v>
      </c>
      <c r="AM16" s="20">
        <f t="shared" si="8"/>
        <v>20.55</v>
      </c>
      <c r="AN16" s="20">
        <f t="shared" si="9"/>
        <v>26.8</v>
      </c>
      <c r="AO16" s="20">
        <f t="shared" si="10"/>
        <v>13.05</v>
      </c>
      <c r="AP16" s="20">
        <f t="shared" si="11"/>
        <v>14.55</v>
      </c>
      <c r="AQ16" s="20">
        <f t="shared" si="12"/>
        <v>37.35</v>
      </c>
      <c r="AR16" s="20">
        <f t="shared" si="13"/>
        <v>54.75</v>
      </c>
      <c r="AS16" s="35">
        <f t="shared" si="35"/>
        <v>305.85000000000002</v>
      </c>
      <c r="AT16" s="52"/>
      <c r="AV16" s="56">
        <v>0</v>
      </c>
      <c r="AW16" s="55">
        <f t="shared" si="14"/>
        <v>0</v>
      </c>
      <c r="AX16" s="57">
        <f t="shared" si="17"/>
        <v>0</v>
      </c>
      <c r="AY16" s="58">
        <f t="shared" si="18"/>
        <v>682215</v>
      </c>
      <c r="AZ16" s="37">
        <f t="shared" si="19"/>
        <v>187100</v>
      </c>
      <c r="BA16" s="37">
        <f t="shared" si="20"/>
        <v>510.78300000000002</v>
      </c>
      <c r="BB16" s="50">
        <f t="shared" si="21"/>
        <v>226.99196520000001</v>
      </c>
    </row>
    <row r="17" spans="1:54" x14ac:dyDescent="0.25">
      <c r="A17" s="23">
        <v>44692</v>
      </c>
      <c r="B17" s="40">
        <v>153</v>
      </c>
      <c r="C17" s="24">
        <v>8037240</v>
      </c>
      <c r="D17" s="24">
        <v>18632410</v>
      </c>
      <c r="E17" s="24">
        <v>3211620</v>
      </c>
      <c r="F17" s="24">
        <v>4022530</v>
      </c>
      <c r="G17" s="24">
        <v>11962620</v>
      </c>
      <c r="H17" s="24">
        <v>6830990</v>
      </c>
      <c r="I17" s="24">
        <v>5985410</v>
      </c>
      <c r="J17" s="24">
        <v>7380710</v>
      </c>
      <c r="K17" s="24">
        <v>10931650</v>
      </c>
      <c r="L17" s="24">
        <v>4703360</v>
      </c>
      <c r="M17" s="24">
        <v>8949030</v>
      </c>
      <c r="N17" s="24">
        <v>14444700</v>
      </c>
      <c r="O17" s="24">
        <v>20201144</v>
      </c>
      <c r="Q17" s="37">
        <f t="shared" si="22"/>
        <v>1860</v>
      </c>
      <c r="R17" s="37">
        <f t="shared" si="23"/>
        <v>14320</v>
      </c>
      <c r="S17" s="37">
        <f t="shared" si="16"/>
        <v>100</v>
      </c>
      <c r="T17" s="37">
        <f t="shared" si="24"/>
        <v>1600</v>
      </c>
      <c r="U17" s="37">
        <f>IF((G17-G16&lt;0), "0",G17-G16)</f>
        <v>4200</v>
      </c>
      <c r="V17" s="37">
        <f>IF((H17-H16&lt;0), "0",H17-H16)</f>
        <v>4020</v>
      </c>
      <c r="W17" s="37">
        <f t="shared" si="27"/>
        <v>3300</v>
      </c>
      <c r="X17" s="37">
        <f t="shared" si="28"/>
        <v>4010</v>
      </c>
      <c r="Y17" s="37">
        <f t="shared" si="29"/>
        <v>5280</v>
      </c>
      <c r="Z17" s="37">
        <f t="shared" si="30"/>
        <v>2680</v>
      </c>
      <c r="AA17" s="37">
        <f t="shared" si="31"/>
        <v>2870</v>
      </c>
      <c r="AB17" s="37">
        <f t="shared" si="32"/>
        <v>7280</v>
      </c>
      <c r="AC17" s="37">
        <f t="shared" si="33"/>
        <v>10794</v>
      </c>
      <c r="AD17" s="35">
        <f t="shared" si="34"/>
        <v>62314</v>
      </c>
      <c r="AF17" s="20">
        <f t="shared" si="1"/>
        <v>9.3000000000000007</v>
      </c>
      <c r="AG17" s="20">
        <f t="shared" si="2"/>
        <v>71.600000000000009</v>
      </c>
      <c r="AH17" s="20">
        <f t="shared" si="3"/>
        <v>0.5</v>
      </c>
      <c r="AI17" s="20">
        <f t="shared" si="4"/>
        <v>8</v>
      </c>
      <c r="AJ17" s="20">
        <f t="shared" si="5"/>
        <v>21</v>
      </c>
      <c r="AK17" s="20">
        <f t="shared" si="6"/>
        <v>20.100000000000001</v>
      </c>
      <c r="AL17" s="20">
        <f t="shared" si="7"/>
        <v>16.5</v>
      </c>
      <c r="AM17" s="20">
        <f t="shared" si="8"/>
        <v>20.05</v>
      </c>
      <c r="AN17" s="20">
        <f t="shared" si="9"/>
        <v>26.400000000000002</v>
      </c>
      <c r="AO17" s="20">
        <f t="shared" si="10"/>
        <v>13.4</v>
      </c>
      <c r="AP17" s="20">
        <f t="shared" si="11"/>
        <v>14.35</v>
      </c>
      <c r="AQ17" s="20">
        <f t="shared" si="12"/>
        <v>36.4</v>
      </c>
      <c r="AR17" s="20">
        <f t="shared" si="13"/>
        <v>53.97</v>
      </c>
      <c r="AS17" s="35">
        <f t="shared" si="35"/>
        <v>311.57000000000005</v>
      </c>
      <c r="AT17" s="52"/>
      <c r="AV17" s="56">
        <v>0</v>
      </c>
      <c r="AW17" s="55">
        <f t="shared" si="14"/>
        <v>0</v>
      </c>
      <c r="AX17" s="57">
        <f t="shared" si="17"/>
        <v>0</v>
      </c>
      <c r="AY17" s="58">
        <f t="shared" si="18"/>
        <v>684086</v>
      </c>
      <c r="AZ17" s="37">
        <f t="shared" si="19"/>
        <v>187100</v>
      </c>
      <c r="BA17" s="37">
        <f t="shared" si="20"/>
        <v>510.78300000000002</v>
      </c>
      <c r="BB17" s="50">
        <f t="shared" si="21"/>
        <v>226.99196520000001</v>
      </c>
    </row>
    <row r="18" spans="1:54" x14ac:dyDescent="0.25">
      <c r="A18" s="23">
        <v>44693</v>
      </c>
      <c r="B18" s="40">
        <v>168</v>
      </c>
      <c r="C18" s="24">
        <v>8039230</v>
      </c>
      <c r="D18" s="24">
        <v>18648570</v>
      </c>
      <c r="E18" s="24">
        <v>3211760</v>
      </c>
      <c r="F18" s="24">
        <v>4024160</v>
      </c>
      <c r="G18" s="24">
        <v>11967230</v>
      </c>
      <c r="H18" s="24">
        <v>6835110</v>
      </c>
      <c r="I18" s="24">
        <v>5988970</v>
      </c>
      <c r="J18" s="24">
        <v>7385020</v>
      </c>
      <c r="K18" s="24">
        <v>10937210</v>
      </c>
      <c r="L18" s="24">
        <v>4706190</v>
      </c>
      <c r="M18" s="24">
        <v>8952330</v>
      </c>
      <c r="N18" s="24">
        <v>14452350</v>
      </c>
      <c r="O18" s="24">
        <v>20210980</v>
      </c>
      <c r="Q18" s="37">
        <f t="shared" si="22"/>
        <v>1990</v>
      </c>
      <c r="R18" s="37">
        <f t="shared" si="23"/>
        <v>16160</v>
      </c>
      <c r="S18" s="37">
        <f t="shared" si="16"/>
        <v>140</v>
      </c>
      <c r="T18" s="37">
        <f t="shared" si="24"/>
        <v>1630</v>
      </c>
      <c r="U18" s="37">
        <f t="shared" si="25"/>
        <v>4610</v>
      </c>
      <c r="V18" s="37">
        <f t="shared" si="26"/>
        <v>4120</v>
      </c>
      <c r="W18" s="37">
        <f t="shared" si="27"/>
        <v>3560</v>
      </c>
      <c r="X18" s="37">
        <f t="shared" si="28"/>
        <v>4310</v>
      </c>
      <c r="Y18" s="37">
        <f t="shared" si="29"/>
        <v>5560</v>
      </c>
      <c r="Z18" s="37">
        <f t="shared" si="30"/>
        <v>2830</v>
      </c>
      <c r="AA18" s="37">
        <f t="shared" si="31"/>
        <v>3300</v>
      </c>
      <c r="AB18" s="37">
        <f t="shared" si="32"/>
        <v>7650</v>
      </c>
      <c r="AC18" s="37">
        <f t="shared" si="33"/>
        <v>9836</v>
      </c>
      <c r="AD18" s="35">
        <f t="shared" si="34"/>
        <v>65696</v>
      </c>
      <c r="AF18" s="20">
        <f t="shared" si="1"/>
        <v>9.9500000000000011</v>
      </c>
      <c r="AG18" s="20">
        <f t="shared" si="2"/>
        <v>80.8</v>
      </c>
      <c r="AH18" s="20">
        <f t="shared" si="3"/>
        <v>0.70000000000000007</v>
      </c>
      <c r="AI18" s="20">
        <f t="shared" si="4"/>
        <v>8.15</v>
      </c>
      <c r="AJ18" s="20">
        <f t="shared" si="5"/>
        <v>23.05</v>
      </c>
      <c r="AK18" s="20">
        <f t="shared" si="6"/>
        <v>20.6</v>
      </c>
      <c r="AL18" s="20">
        <f t="shared" si="7"/>
        <v>17.8</v>
      </c>
      <c r="AM18" s="20">
        <f t="shared" si="8"/>
        <v>21.55</v>
      </c>
      <c r="AN18" s="20">
        <f t="shared" si="9"/>
        <v>27.8</v>
      </c>
      <c r="AO18" s="20">
        <f t="shared" si="10"/>
        <v>14.15</v>
      </c>
      <c r="AP18" s="20">
        <f t="shared" si="11"/>
        <v>16.5</v>
      </c>
      <c r="AQ18" s="20">
        <f t="shared" si="12"/>
        <v>38.25</v>
      </c>
      <c r="AR18" s="20">
        <f t="shared" si="13"/>
        <v>49.18</v>
      </c>
      <c r="AS18" s="35">
        <f t="shared" si="35"/>
        <v>328.48000000000008</v>
      </c>
      <c r="AT18" s="52"/>
      <c r="AV18" s="56">
        <v>0</v>
      </c>
      <c r="AW18" s="55">
        <f t="shared" si="14"/>
        <v>0</v>
      </c>
      <c r="AX18" s="57">
        <f t="shared" si="17"/>
        <v>0</v>
      </c>
      <c r="AY18" s="58">
        <f t="shared" si="18"/>
        <v>685957</v>
      </c>
      <c r="AZ18" s="37">
        <f t="shared" si="19"/>
        <v>187100</v>
      </c>
      <c r="BA18" s="37">
        <f t="shared" si="20"/>
        <v>510.78300000000002</v>
      </c>
      <c r="BB18" s="50">
        <f t="shared" si="21"/>
        <v>226.99196520000001</v>
      </c>
    </row>
    <row r="19" spans="1:54" x14ac:dyDescent="0.25">
      <c r="A19" s="23">
        <v>44694</v>
      </c>
      <c r="B19" s="40">
        <v>176</v>
      </c>
      <c r="C19" s="24">
        <v>8048390</v>
      </c>
      <c r="D19" s="24">
        <v>18661120</v>
      </c>
      <c r="E19" s="24">
        <v>3211860</v>
      </c>
      <c r="F19" s="24">
        <v>4025790</v>
      </c>
      <c r="G19" s="24">
        <v>11972120</v>
      </c>
      <c r="H19" s="24">
        <v>6839320</v>
      </c>
      <c r="I19" s="24">
        <v>5992390</v>
      </c>
      <c r="J19" s="24">
        <v>7389440</v>
      </c>
      <c r="K19" s="24">
        <v>10942860</v>
      </c>
      <c r="L19" s="24">
        <v>4709200</v>
      </c>
      <c r="M19" s="24">
        <v>8955790</v>
      </c>
      <c r="N19" s="24">
        <v>14459880</v>
      </c>
      <c r="O19" s="24">
        <v>20223340</v>
      </c>
      <c r="Q19" s="37">
        <f t="shared" si="22"/>
        <v>9160</v>
      </c>
      <c r="R19" s="37">
        <f t="shared" si="23"/>
        <v>12550</v>
      </c>
      <c r="S19" s="37">
        <f t="shared" si="16"/>
        <v>100</v>
      </c>
      <c r="T19" s="37">
        <f t="shared" si="24"/>
        <v>1630</v>
      </c>
      <c r="U19" s="37">
        <f t="shared" si="25"/>
        <v>4890</v>
      </c>
      <c r="V19" s="37">
        <f t="shared" si="26"/>
        <v>4210</v>
      </c>
      <c r="W19" s="37">
        <f t="shared" si="27"/>
        <v>3420</v>
      </c>
      <c r="X19" s="37">
        <f t="shared" si="28"/>
        <v>4420</v>
      </c>
      <c r="Y19" s="37">
        <f t="shared" si="29"/>
        <v>5650</v>
      </c>
      <c r="Z19" s="37">
        <f t="shared" si="30"/>
        <v>3010</v>
      </c>
      <c r="AA19" s="37">
        <f t="shared" si="31"/>
        <v>3460</v>
      </c>
      <c r="AB19" s="37">
        <f t="shared" si="32"/>
        <v>7530</v>
      </c>
      <c r="AC19" s="37">
        <f t="shared" si="33"/>
        <v>12360</v>
      </c>
      <c r="AD19" s="35">
        <f t="shared" si="34"/>
        <v>72390</v>
      </c>
      <c r="AF19" s="20">
        <f t="shared" si="1"/>
        <v>45.800000000000004</v>
      </c>
      <c r="AG19" s="20">
        <f t="shared" si="2"/>
        <v>62.75</v>
      </c>
      <c r="AH19" s="20">
        <f t="shared" si="3"/>
        <v>0.5</v>
      </c>
      <c r="AI19" s="20">
        <f t="shared" si="4"/>
        <v>8.15</v>
      </c>
      <c r="AJ19" s="20">
        <f t="shared" si="5"/>
        <v>24.45</v>
      </c>
      <c r="AK19" s="20">
        <f t="shared" si="6"/>
        <v>21.05</v>
      </c>
      <c r="AL19" s="20">
        <f t="shared" si="7"/>
        <v>17.100000000000001</v>
      </c>
      <c r="AM19" s="20">
        <f t="shared" si="8"/>
        <v>22.1</v>
      </c>
      <c r="AN19" s="20">
        <f t="shared" si="9"/>
        <v>28.25</v>
      </c>
      <c r="AO19" s="20">
        <f t="shared" si="10"/>
        <v>15.05</v>
      </c>
      <c r="AP19" s="20">
        <f t="shared" si="11"/>
        <v>17.3</v>
      </c>
      <c r="AQ19" s="20">
        <f t="shared" si="12"/>
        <v>37.65</v>
      </c>
      <c r="AR19" s="20">
        <f t="shared" si="13"/>
        <v>61.800000000000004</v>
      </c>
      <c r="AS19" s="35">
        <f t="shared" si="35"/>
        <v>361.95</v>
      </c>
      <c r="AT19" s="52"/>
      <c r="AV19" s="56">
        <v>0</v>
      </c>
      <c r="AW19" s="55">
        <f t="shared" si="14"/>
        <v>0</v>
      </c>
      <c r="AX19" s="57">
        <f t="shared" si="17"/>
        <v>0</v>
      </c>
      <c r="AY19" s="58">
        <f t="shared" si="18"/>
        <v>687828</v>
      </c>
      <c r="AZ19" s="37">
        <f t="shared" si="19"/>
        <v>187100</v>
      </c>
      <c r="BA19" s="37">
        <f t="shared" si="20"/>
        <v>510.78300000000002</v>
      </c>
      <c r="BB19" s="50">
        <f t="shared" si="21"/>
        <v>226.99196520000001</v>
      </c>
    </row>
    <row r="20" spans="1:54" x14ac:dyDescent="0.25">
      <c r="A20" s="23">
        <v>44695</v>
      </c>
      <c r="B20" s="40">
        <v>115</v>
      </c>
      <c r="C20" s="24">
        <v>8056770</v>
      </c>
      <c r="D20" s="24">
        <v>18672720</v>
      </c>
      <c r="E20" s="24">
        <v>3211970</v>
      </c>
      <c r="F20" s="24">
        <v>4027340</v>
      </c>
      <c r="G20" s="24">
        <v>11976690</v>
      </c>
      <c r="H20" s="24">
        <v>6843420</v>
      </c>
      <c r="I20" s="24">
        <v>5995320</v>
      </c>
      <c r="J20" s="24">
        <v>7393720</v>
      </c>
      <c r="K20" s="24">
        <v>10947750</v>
      </c>
      <c r="L20" s="24">
        <v>4711870</v>
      </c>
      <c r="M20" s="24">
        <v>8958990</v>
      </c>
      <c r="N20" s="24">
        <v>14466910</v>
      </c>
      <c r="O20" s="24">
        <v>20235280</v>
      </c>
      <c r="Q20" s="37">
        <f t="shared" si="22"/>
        <v>8380</v>
      </c>
      <c r="R20" s="37">
        <f t="shared" si="23"/>
        <v>11600</v>
      </c>
      <c r="S20" s="37">
        <f t="shared" si="16"/>
        <v>110</v>
      </c>
      <c r="T20" s="37">
        <f t="shared" si="24"/>
        <v>1550</v>
      </c>
      <c r="U20" s="37">
        <f t="shared" si="25"/>
        <v>4570</v>
      </c>
      <c r="V20" s="37">
        <f t="shared" si="26"/>
        <v>4100</v>
      </c>
      <c r="W20" s="37">
        <f t="shared" si="27"/>
        <v>2930</v>
      </c>
      <c r="X20" s="37">
        <f t="shared" si="28"/>
        <v>4280</v>
      </c>
      <c r="Y20" s="37">
        <f t="shared" si="29"/>
        <v>4890</v>
      </c>
      <c r="Z20" s="37">
        <f t="shared" si="30"/>
        <v>2670</v>
      </c>
      <c r="AA20" s="37">
        <f t="shared" si="31"/>
        <v>3200</v>
      </c>
      <c r="AB20" s="37">
        <f t="shared" si="32"/>
        <v>7030</v>
      </c>
      <c r="AC20" s="37">
        <f t="shared" si="33"/>
        <v>11940</v>
      </c>
      <c r="AD20" s="35">
        <f t="shared" si="34"/>
        <v>67250</v>
      </c>
      <c r="AF20" s="20">
        <f t="shared" si="1"/>
        <v>41.9</v>
      </c>
      <c r="AG20" s="20">
        <f t="shared" si="2"/>
        <v>58</v>
      </c>
      <c r="AH20" s="20">
        <f t="shared" si="3"/>
        <v>0.55000000000000004</v>
      </c>
      <c r="AI20" s="20">
        <f t="shared" si="4"/>
        <v>7.75</v>
      </c>
      <c r="AJ20" s="20">
        <f t="shared" si="5"/>
        <v>22.85</v>
      </c>
      <c r="AK20" s="20">
        <f t="shared" si="6"/>
        <v>20.5</v>
      </c>
      <c r="AL20" s="20">
        <f t="shared" si="7"/>
        <v>14.65</v>
      </c>
      <c r="AM20" s="20">
        <f t="shared" si="8"/>
        <v>21.400000000000002</v>
      </c>
      <c r="AN20" s="20">
        <f t="shared" si="9"/>
        <v>24.45</v>
      </c>
      <c r="AO20" s="20">
        <f t="shared" si="10"/>
        <v>13.35</v>
      </c>
      <c r="AP20" s="20">
        <f t="shared" si="11"/>
        <v>16</v>
      </c>
      <c r="AQ20" s="20">
        <f t="shared" si="12"/>
        <v>35.15</v>
      </c>
      <c r="AR20" s="20">
        <f t="shared" si="13"/>
        <v>59.7</v>
      </c>
      <c r="AS20" s="35">
        <f t="shared" si="35"/>
        <v>336.25</v>
      </c>
      <c r="AT20" s="52"/>
      <c r="AV20" s="56">
        <v>0</v>
      </c>
      <c r="AW20" s="55">
        <f t="shared" si="14"/>
        <v>0</v>
      </c>
      <c r="AX20" s="57">
        <f t="shared" si="17"/>
        <v>0</v>
      </c>
      <c r="AY20" s="58">
        <f t="shared" si="18"/>
        <v>689699</v>
      </c>
      <c r="AZ20" s="37">
        <f t="shared" si="19"/>
        <v>187100</v>
      </c>
      <c r="BA20" s="37">
        <f t="shared" si="20"/>
        <v>510.78300000000002</v>
      </c>
      <c r="BB20" s="50">
        <f t="shared" si="21"/>
        <v>226.99196520000001</v>
      </c>
    </row>
    <row r="21" spans="1:54" x14ac:dyDescent="0.25">
      <c r="A21" s="23">
        <v>44696</v>
      </c>
      <c r="B21" s="40">
        <v>133</v>
      </c>
      <c r="C21" s="24">
        <v>8065420</v>
      </c>
      <c r="D21" s="24">
        <v>18684620</v>
      </c>
      <c r="E21" s="24">
        <v>3212120</v>
      </c>
      <c r="F21" s="24">
        <v>4028930</v>
      </c>
      <c r="G21" s="24">
        <v>11981220</v>
      </c>
      <c r="H21" s="24">
        <v>6847260</v>
      </c>
      <c r="I21" s="24">
        <v>5998060</v>
      </c>
      <c r="J21" s="24">
        <v>7397830</v>
      </c>
      <c r="K21" s="24">
        <v>10952860</v>
      </c>
      <c r="L21" s="24">
        <v>4714580</v>
      </c>
      <c r="M21" s="24">
        <v>8962160</v>
      </c>
      <c r="N21" s="24">
        <v>14474260</v>
      </c>
      <c r="O21" s="24">
        <v>20246580</v>
      </c>
      <c r="Q21" s="37">
        <f t="shared" si="22"/>
        <v>8650</v>
      </c>
      <c r="R21" s="37">
        <f t="shared" si="23"/>
        <v>11900</v>
      </c>
      <c r="S21" s="37">
        <f t="shared" si="16"/>
        <v>150</v>
      </c>
      <c r="T21" s="37">
        <f t="shared" si="24"/>
        <v>1590</v>
      </c>
      <c r="U21" s="37">
        <f t="shared" si="25"/>
        <v>4530</v>
      </c>
      <c r="V21" s="37">
        <f t="shared" si="26"/>
        <v>3840</v>
      </c>
      <c r="W21" s="37">
        <f t="shared" si="27"/>
        <v>2740</v>
      </c>
      <c r="X21" s="37">
        <f t="shared" si="28"/>
        <v>4110</v>
      </c>
      <c r="Y21" s="37">
        <f t="shared" si="29"/>
        <v>5110</v>
      </c>
      <c r="Z21" s="37">
        <f t="shared" si="30"/>
        <v>2710</v>
      </c>
      <c r="AA21" s="37">
        <f t="shared" si="31"/>
        <v>3170</v>
      </c>
      <c r="AB21" s="37">
        <f t="shared" si="32"/>
        <v>7350</v>
      </c>
      <c r="AC21" s="37">
        <f t="shared" si="33"/>
        <v>11300</v>
      </c>
      <c r="AD21" s="35">
        <f t="shared" si="34"/>
        <v>67150</v>
      </c>
      <c r="AF21" s="20">
        <f t="shared" si="1"/>
        <v>43.25</v>
      </c>
      <c r="AG21" s="20">
        <f t="shared" si="2"/>
        <v>59.5</v>
      </c>
      <c r="AH21" s="20">
        <f t="shared" si="3"/>
        <v>0.75</v>
      </c>
      <c r="AI21" s="20">
        <f t="shared" si="4"/>
        <v>7.95</v>
      </c>
      <c r="AJ21" s="20">
        <f t="shared" si="5"/>
        <v>22.650000000000002</v>
      </c>
      <c r="AK21" s="20">
        <f t="shared" si="6"/>
        <v>19.2</v>
      </c>
      <c r="AL21" s="20">
        <f t="shared" si="7"/>
        <v>13.700000000000001</v>
      </c>
      <c r="AM21" s="20">
        <f t="shared" si="8"/>
        <v>20.55</v>
      </c>
      <c r="AN21" s="20">
        <f t="shared" si="9"/>
        <v>25.55</v>
      </c>
      <c r="AO21" s="20">
        <f t="shared" si="10"/>
        <v>13.55</v>
      </c>
      <c r="AP21" s="20">
        <f t="shared" si="11"/>
        <v>15.85</v>
      </c>
      <c r="AQ21" s="20">
        <f t="shared" si="12"/>
        <v>36.75</v>
      </c>
      <c r="AR21" s="20">
        <f t="shared" si="13"/>
        <v>56.5</v>
      </c>
      <c r="AS21" s="35">
        <f t="shared" si="35"/>
        <v>335.75</v>
      </c>
      <c r="AT21" s="52"/>
      <c r="AV21" s="56">
        <v>0</v>
      </c>
      <c r="AW21" s="55">
        <f t="shared" si="14"/>
        <v>0</v>
      </c>
      <c r="AX21" s="57">
        <f t="shared" si="17"/>
        <v>0</v>
      </c>
      <c r="AY21" s="58">
        <f t="shared" si="18"/>
        <v>691570</v>
      </c>
      <c r="AZ21" s="37">
        <f t="shared" si="19"/>
        <v>187100</v>
      </c>
      <c r="BA21" s="37">
        <f t="shared" si="20"/>
        <v>510.78300000000002</v>
      </c>
      <c r="BB21" s="50">
        <f t="shared" si="21"/>
        <v>226.99196520000001</v>
      </c>
    </row>
    <row r="22" spans="1:54" x14ac:dyDescent="0.25">
      <c r="A22" s="23">
        <v>44697</v>
      </c>
      <c r="B22" s="40">
        <v>153</v>
      </c>
      <c r="C22" s="24">
        <v>8074690</v>
      </c>
      <c r="D22" s="24">
        <v>18697170</v>
      </c>
      <c r="E22" s="24">
        <v>3212250</v>
      </c>
      <c r="F22" s="24">
        <v>4030520</v>
      </c>
      <c r="G22" s="24">
        <v>11985750</v>
      </c>
      <c r="H22" s="24">
        <v>6851070</v>
      </c>
      <c r="I22" s="24">
        <v>6000930</v>
      </c>
      <c r="J22" s="60">
        <v>7402090</v>
      </c>
      <c r="K22" s="24">
        <v>10957730</v>
      </c>
      <c r="L22" s="24">
        <v>4717360</v>
      </c>
      <c r="M22" s="24">
        <v>8965330</v>
      </c>
      <c r="N22" s="24">
        <v>14481470</v>
      </c>
      <c r="O22" s="60">
        <v>20256860</v>
      </c>
      <c r="Q22" s="37">
        <f t="shared" si="22"/>
        <v>9270</v>
      </c>
      <c r="R22" s="37">
        <f t="shared" si="23"/>
        <v>12550</v>
      </c>
      <c r="S22" s="37">
        <f t="shared" si="16"/>
        <v>130</v>
      </c>
      <c r="T22" s="37">
        <f t="shared" si="24"/>
        <v>1590</v>
      </c>
      <c r="U22" s="37">
        <f t="shared" si="25"/>
        <v>4530</v>
      </c>
      <c r="V22" s="37">
        <f t="shared" si="26"/>
        <v>3810</v>
      </c>
      <c r="W22" s="37">
        <f t="shared" si="27"/>
        <v>2870</v>
      </c>
      <c r="X22" s="37">
        <f t="shared" si="28"/>
        <v>4260</v>
      </c>
      <c r="Y22" s="37">
        <f t="shared" si="29"/>
        <v>4870</v>
      </c>
      <c r="Z22" s="37">
        <f t="shared" si="30"/>
        <v>2780</v>
      </c>
      <c r="AA22" s="37">
        <f t="shared" si="31"/>
        <v>3170</v>
      </c>
      <c r="AB22" s="37">
        <f t="shared" si="32"/>
        <v>7210</v>
      </c>
      <c r="AC22" s="37">
        <f t="shared" si="33"/>
        <v>10280</v>
      </c>
      <c r="AD22" s="35">
        <f t="shared" si="34"/>
        <v>67320</v>
      </c>
      <c r="AF22" s="20">
        <f t="shared" si="1"/>
        <v>46.35</v>
      </c>
      <c r="AG22" s="20">
        <f t="shared" si="2"/>
        <v>62.75</v>
      </c>
      <c r="AH22" s="20">
        <f t="shared" si="3"/>
        <v>0.65</v>
      </c>
      <c r="AI22" s="20">
        <f t="shared" si="4"/>
        <v>7.95</v>
      </c>
      <c r="AJ22" s="20">
        <f t="shared" si="5"/>
        <v>22.650000000000002</v>
      </c>
      <c r="AK22" s="20">
        <f t="shared" si="6"/>
        <v>19.05</v>
      </c>
      <c r="AL22" s="20">
        <f t="shared" si="7"/>
        <v>14.35</v>
      </c>
      <c r="AM22" s="20">
        <f t="shared" si="8"/>
        <v>21.3</v>
      </c>
      <c r="AN22" s="20">
        <f t="shared" si="9"/>
        <v>24.35</v>
      </c>
      <c r="AO22" s="20">
        <f t="shared" si="10"/>
        <v>13.9</v>
      </c>
      <c r="AP22" s="20">
        <f t="shared" si="11"/>
        <v>15.85</v>
      </c>
      <c r="AQ22" s="20">
        <f t="shared" si="12"/>
        <v>36.050000000000004</v>
      </c>
      <c r="AR22" s="20">
        <f t="shared" si="13"/>
        <v>51.4</v>
      </c>
      <c r="AS22" s="35">
        <f t="shared" si="35"/>
        <v>336.59999999999997</v>
      </c>
      <c r="AT22" s="52"/>
      <c r="AV22" s="56">
        <v>0</v>
      </c>
      <c r="AW22" s="55">
        <f t="shared" si="14"/>
        <v>0</v>
      </c>
      <c r="AX22" s="57">
        <f t="shared" si="17"/>
        <v>0</v>
      </c>
      <c r="AY22" s="58">
        <f t="shared" si="18"/>
        <v>693441</v>
      </c>
      <c r="AZ22" s="37">
        <f t="shared" si="19"/>
        <v>187100</v>
      </c>
      <c r="BA22" s="37">
        <f t="shared" si="20"/>
        <v>510.78300000000002</v>
      </c>
      <c r="BB22" s="50">
        <f t="shared" si="21"/>
        <v>226.99196520000001</v>
      </c>
    </row>
    <row r="23" spans="1:54" x14ac:dyDescent="0.25">
      <c r="A23" s="23">
        <v>44698</v>
      </c>
      <c r="B23" s="40">
        <v>139</v>
      </c>
      <c r="C23" s="24">
        <v>8083270</v>
      </c>
      <c r="D23" s="24">
        <v>18708960</v>
      </c>
      <c r="E23" s="24">
        <v>3212360</v>
      </c>
      <c r="F23" s="24">
        <v>4032030</v>
      </c>
      <c r="G23" s="24">
        <v>11990180</v>
      </c>
      <c r="H23" s="24">
        <v>6854950</v>
      </c>
      <c r="I23" s="24">
        <v>6003820</v>
      </c>
      <c r="J23" s="24">
        <v>7406270</v>
      </c>
      <c r="K23" s="24">
        <v>10961980</v>
      </c>
      <c r="L23" s="24">
        <v>4719930</v>
      </c>
      <c r="M23" s="24">
        <v>8968430</v>
      </c>
      <c r="N23" s="24">
        <v>14488160</v>
      </c>
      <c r="O23" s="24">
        <v>20267430</v>
      </c>
      <c r="Q23" s="37">
        <f t="shared" si="22"/>
        <v>8580</v>
      </c>
      <c r="R23" s="37">
        <f t="shared" si="23"/>
        <v>11790</v>
      </c>
      <c r="S23" s="37">
        <f t="shared" si="16"/>
        <v>110</v>
      </c>
      <c r="T23" s="37">
        <f t="shared" si="24"/>
        <v>1510</v>
      </c>
      <c r="U23" s="37">
        <f t="shared" si="25"/>
        <v>4430</v>
      </c>
      <c r="V23" s="37">
        <f t="shared" si="26"/>
        <v>3880</v>
      </c>
      <c r="W23" s="37">
        <f t="shared" si="27"/>
        <v>2890</v>
      </c>
      <c r="X23" s="37">
        <f t="shared" si="28"/>
        <v>4180</v>
      </c>
      <c r="Y23" s="37">
        <f t="shared" si="29"/>
        <v>4250</v>
      </c>
      <c r="Z23" s="37">
        <f t="shared" si="30"/>
        <v>2570</v>
      </c>
      <c r="AA23" s="37">
        <f t="shared" si="31"/>
        <v>3100</v>
      </c>
      <c r="AB23" s="37">
        <f t="shared" si="32"/>
        <v>6690</v>
      </c>
      <c r="AC23" s="37">
        <f t="shared" si="33"/>
        <v>10570</v>
      </c>
      <c r="AD23" s="35">
        <f t="shared" si="34"/>
        <v>64550</v>
      </c>
      <c r="AF23" s="20">
        <f t="shared" si="1"/>
        <v>42.9</v>
      </c>
      <c r="AG23" s="20">
        <f t="shared" si="2"/>
        <v>58.95</v>
      </c>
      <c r="AH23" s="20">
        <f t="shared" si="3"/>
        <v>0.55000000000000004</v>
      </c>
      <c r="AI23" s="20">
        <f t="shared" si="4"/>
        <v>7.55</v>
      </c>
      <c r="AJ23" s="20">
        <f t="shared" si="5"/>
        <v>22.150000000000002</v>
      </c>
      <c r="AK23" s="20">
        <f t="shared" si="6"/>
        <v>19.400000000000002</v>
      </c>
      <c r="AL23" s="20">
        <f t="shared" si="7"/>
        <v>14.450000000000001</v>
      </c>
      <c r="AM23" s="20">
        <f t="shared" si="8"/>
        <v>20.900000000000002</v>
      </c>
      <c r="AN23" s="20">
        <f t="shared" si="9"/>
        <v>21.25</v>
      </c>
      <c r="AO23" s="20">
        <f t="shared" si="10"/>
        <v>12.85</v>
      </c>
      <c r="AP23" s="20">
        <f t="shared" si="11"/>
        <v>15.5</v>
      </c>
      <c r="AQ23" s="20">
        <f t="shared" si="12"/>
        <v>33.450000000000003</v>
      </c>
      <c r="AR23" s="20">
        <f t="shared" si="13"/>
        <v>52.85</v>
      </c>
      <c r="AS23" s="35">
        <f t="shared" si="35"/>
        <v>322.75</v>
      </c>
      <c r="AT23" s="52"/>
      <c r="AV23" s="56">
        <v>0</v>
      </c>
      <c r="AW23" s="55">
        <f t="shared" si="14"/>
        <v>0</v>
      </c>
      <c r="AX23" s="57">
        <f t="shared" si="17"/>
        <v>0</v>
      </c>
      <c r="AY23" s="58">
        <f t="shared" si="18"/>
        <v>695312</v>
      </c>
      <c r="AZ23" s="37">
        <f t="shared" si="19"/>
        <v>187100</v>
      </c>
      <c r="BA23" s="37">
        <f t="shared" si="20"/>
        <v>510.78300000000002</v>
      </c>
      <c r="BB23" s="50">
        <f t="shared" si="21"/>
        <v>226.99196520000001</v>
      </c>
    </row>
    <row r="24" spans="1:54" x14ac:dyDescent="0.25">
      <c r="A24" s="23">
        <v>44699</v>
      </c>
      <c r="B24" s="40">
        <v>149</v>
      </c>
      <c r="C24" s="24">
        <v>8092330</v>
      </c>
      <c r="D24" s="24">
        <v>18721280</v>
      </c>
      <c r="E24" s="24">
        <v>3212480</v>
      </c>
      <c r="F24" s="24">
        <v>4033610</v>
      </c>
      <c r="G24" s="24">
        <v>11994610</v>
      </c>
      <c r="H24" s="24">
        <v>6858980</v>
      </c>
      <c r="I24" s="24">
        <v>6007020</v>
      </c>
      <c r="J24" s="24">
        <v>7410740</v>
      </c>
      <c r="K24" s="24">
        <v>10966950</v>
      </c>
      <c r="L24" s="24">
        <v>4722550</v>
      </c>
      <c r="M24" s="24">
        <v>8971470</v>
      </c>
      <c r="N24" s="24">
        <v>14495310</v>
      </c>
      <c r="O24" s="24">
        <v>20277590</v>
      </c>
      <c r="Q24" s="37">
        <f t="shared" si="22"/>
        <v>9060</v>
      </c>
      <c r="R24" s="37">
        <f t="shared" si="23"/>
        <v>12320</v>
      </c>
      <c r="S24" s="37">
        <f t="shared" si="16"/>
        <v>120</v>
      </c>
      <c r="T24" s="37">
        <f t="shared" si="24"/>
        <v>1580</v>
      </c>
      <c r="U24" s="37">
        <f t="shared" si="25"/>
        <v>4430</v>
      </c>
      <c r="V24" s="37">
        <f t="shared" si="26"/>
        <v>4030</v>
      </c>
      <c r="W24" s="37">
        <f t="shared" si="27"/>
        <v>3200</v>
      </c>
      <c r="X24" s="37">
        <f t="shared" si="28"/>
        <v>4470</v>
      </c>
      <c r="Y24" s="37">
        <f t="shared" si="29"/>
        <v>4970</v>
      </c>
      <c r="Z24" s="37">
        <f t="shared" si="30"/>
        <v>2620</v>
      </c>
      <c r="AA24" s="37">
        <f t="shared" si="31"/>
        <v>3040</v>
      </c>
      <c r="AB24" s="37">
        <f t="shared" si="32"/>
        <v>7150</v>
      </c>
      <c r="AC24" s="37">
        <f t="shared" si="33"/>
        <v>10160</v>
      </c>
      <c r="AD24" s="35">
        <f t="shared" si="34"/>
        <v>67150</v>
      </c>
      <c r="AF24" s="20">
        <f t="shared" si="1"/>
        <v>45.300000000000004</v>
      </c>
      <c r="AG24" s="20">
        <f t="shared" si="2"/>
        <v>61.6</v>
      </c>
      <c r="AH24" s="20">
        <f t="shared" si="3"/>
        <v>0.6</v>
      </c>
      <c r="AI24" s="20">
        <f t="shared" si="4"/>
        <v>7.9</v>
      </c>
      <c r="AJ24" s="20">
        <f t="shared" si="5"/>
        <v>22.150000000000002</v>
      </c>
      <c r="AK24" s="20">
        <f t="shared" si="6"/>
        <v>20.150000000000002</v>
      </c>
      <c r="AL24" s="20">
        <f t="shared" si="7"/>
        <v>16</v>
      </c>
      <c r="AM24" s="20">
        <f t="shared" si="8"/>
        <v>22.35</v>
      </c>
      <c r="AN24" s="20">
        <f t="shared" si="9"/>
        <v>24.85</v>
      </c>
      <c r="AO24" s="20">
        <f t="shared" si="10"/>
        <v>13.1</v>
      </c>
      <c r="AP24" s="20">
        <f t="shared" si="11"/>
        <v>15.200000000000001</v>
      </c>
      <c r="AQ24" s="20">
        <f t="shared" si="12"/>
        <v>35.75</v>
      </c>
      <c r="AR24" s="20">
        <f t="shared" si="13"/>
        <v>50.800000000000004</v>
      </c>
      <c r="AS24" s="35">
        <f t="shared" si="35"/>
        <v>335.75</v>
      </c>
      <c r="AT24" s="52"/>
      <c r="AV24" s="56">
        <v>0</v>
      </c>
      <c r="AW24" s="55">
        <f t="shared" si="14"/>
        <v>0</v>
      </c>
      <c r="AX24" s="57">
        <f t="shared" si="17"/>
        <v>0</v>
      </c>
      <c r="AY24" s="58">
        <f t="shared" si="18"/>
        <v>697183</v>
      </c>
      <c r="AZ24" s="37">
        <f t="shared" si="19"/>
        <v>187100</v>
      </c>
      <c r="BA24" s="37">
        <f t="shared" si="20"/>
        <v>510.78300000000002</v>
      </c>
      <c r="BB24" s="50">
        <f t="shared" si="21"/>
        <v>226.99196520000001</v>
      </c>
    </row>
    <row r="25" spans="1:54" x14ac:dyDescent="0.25">
      <c r="A25" s="23">
        <v>44700</v>
      </c>
      <c r="B25" s="40">
        <v>196</v>
      </c>
      <c r="C25" s="24">
        <v>8101690</v>
      </c>
      <c r="D25" s="24">
        <v>18733910</v>
      </c>
      <c r="E25" s="24">
        <v>3212610</v>
      </c>
      <c r="F25" s="24">
        <v>4035220</v>
      </c>
      <c r="G25" s="24">
        <v>11999220</v>
      </c>
      <c r="H25" s="24">
        <v>6863050</v>
      </c>
      <c r="I25" s="24">
        <v>6010230</v>
      </c>
      <c r="J25" s="24">
        <v>7415110</v>
      </c>
      <c r="K25" s="24">
        <v>10972350</v>
      </c>
      <c r="L25" s="24">
        <v>4725260</v>
      </c>
      <c r="M25" s="24">
        <v>8974580</v>
      </c>
      <c r="N25" s="24">
        <v>14502760</v>
      </c>
      <c r="O25" s="24">
        <v>20287130</v>
      </c>
      <c r="Q25" s="37">
        <f t="shared" ref="Q25:AC27" si="37">IF((C25-C24&lt;0), "0",C25-C24)</f>
        <v>9360</v>
      </c>
      <c r="R25" s="37">
        <f t="shared" si="23"/>
        <v>12630</v>
      </c>
      <c r="S25" s="37">
        <f t="shared" si="37"/>
        <v>130</v>
      </c>
      <c r="T25" s="37">
        <f t="shared" si="37"/>
        <v>1610</v>
      </c>
      <c r="U25" s="37">
        <f t="shared" si="37"/>
        <v>4610</v>
      </c>
      <c r="V25" s="37">
        <f t="shared" si="37"/>
        <v>4070</v>
      </c>
      <c r="W25" s="37">
        <f t="shared" si="37"/>
        <v>3210</v>
      </c>
      <c r="X25" s="37">
        <f t="shared" si="37"/>
        <v>4370</v>
      </c>
      <c r="Y25" s="37">
        <f t="shared" si="37"/>
        <v>5400</v>
      </c>
      <c r="Z25" s="37">
        <f t="shared" si="37"/>
        <v>2710</v>
      </c>
      <c r="AA25" s="37">
        <f t="shared" si="37"/>
        <v>3110</v>
      </c>
      <c r="AB25" s="37">
        <f t="shared" si="37"/>
        <v>7450</v>
      </c>
      <c r="AC25" s="37">
        <f t="shared" si="37"/>
        <v>9540</v>
      </c>
      <c r="AD25" s="35">
        <f t="shared" si="34"/>
        <v>68200</v>
      </c>
      <c r="AF25" s="20">
        <f t="shared" si="1"/>
        <v>46.800000000000004</v>
      </c>
      <c r="AG25" s="20">
        <f t="shared" si="2"/>
        <v>63.15</v>
      </c>
      <c r="AH25" s="20">
        <f t="shared" si="3"/>
        <v>0.65</v>
      </c>
      <c r="AI25" s="20">
        <f t="shared" si="4"/>
        <v>8.0500000000000007</v>
      </c>
      <c r="AJ25" s="20">
        <f t="shared" si="5"/>
        <v>23.05</v>
      </c>
      <c r="AK25" s="20">
        <f t="shared" si="6"/>
        <v>20.350000000000001</v>
      </c>
      <c r="AL25" s="20">
        <f t="shared" si="7"/>
        <v>16.05</v>
      </c>
      <c r="AM25" s="20">
        <f t="shared" si="8"/>
        <v>21.85</v>
      </c>
      <c r="AN25" s="20">
        <f t="shared" si="9"/>
        <v>27</v>
      </c>
      <c r="AO25" s="20">
        <f t="shared" si="10"/>
        <v>13.55</v>
      </c>
      <c r="AP25" s="20">
        <f t="shared" si="11"/>
        <v>15.55</v>
      </c>
      <c r="AQ25" s="20">
        <f t="shared" si="12"/>
        <v>37.25</v>
      </c>
      <c r="AR25" s="20">
        <f t="shared" si="13"/>
        <v>47.7</v>
      </c>
      <c r="AS25" s="35">
        <f t="shared" si="35"/>
        <v>341</v>
      </c>
      <c r="AT25" s="52"/>
      <c r="AV25" s="56">
        <v>0</v>
      </c>
      <c r="AW25" s="55">
        <f t="shared" si="14"/>
        <v>0</v>
      </c>
      <c r="AX25" s="57">
        <f t="shared" si="17"/>
        <v>0</v>
      </c>
      <c r="AY25" s="58">
        <f t="shared" si="18"/>
        <v>699054</v>
      </c>
      <c r="AZ25" s="37">
        <f t="shared" si="19"/>
        <v>187100</v>
      </c>
      <c r="BA25" s="37">
        <f t="shared" si="20"/>
        <v>510.78300000000002</v>
      </c>
      <c r="BB25" s="50">
        <f t="shared" si="21"/>
        <v>226.99196520000001</v>
      </c>
    </row>
    <row r="26" spans="1:54" x14ac:dyDescent="0.25">
      <c r="A26" s="23">
        <v>44701</v>
      </c>
      <c r="B26" s="40">
        <v>201</v>
      </c>
      <c r="C26" s="24">
        <v>8111160</v>
      </c>
      <c r="D26" s="24">
        <v>18746680</v>
      </c>
      <c r="E26" s="24">
        <v>3212750</v>
      </c>
      <c r="F26" s="24">
        <v>4036850</v>
      </c>
      <c r="G26" s="24">
        <v>12004070</v>
      </c>
      <c r="H26" s="24">
        <v>6867140</v>
      </c>
      <c r="I26" s="24">
        <v>6013610</v>
      </c>
      <c r="J26" s="24">
        <v>7419610</v>
      </c>
      <c r="K26" s="24">
        <v>10977740</v>
      </c>
      <c r="L26" s="24">
        <v>4728060</v>
      </c>
      <c r="M26" s="24">
        <v>8978000</v>
      </c>
      <c r="N26" s="24">
        <v>14512090</v>
      </c>
      <c r="O26" s="24">
        <v>20295020</v>
      </c>
      <c r="Q26" s="37">
        <f t="shared" si="37"/>
        <v>9470</v>
      </c>
      <c r="R26" s="37">
        <f t="shared" si="23"/>
        <v>12770</v>
      </c>
      <c r="S26" s="37">
        <f t="shared" si="37"/>
        <v>140</v>
      </c>
      <c r="T26" s="37">
        <f t="shared" si="37"/>
        <v>1630</v>
      </c>
      <c r="U26" s="37">
        <f t="shared" si="37"/>
        <v>4850</v>
      </c>
      <c r="V26" s="37">
        <f t="shared" si="37"/>
        <v>4090</v>
      </c>
      <c r="W26" s="37">
        <f t="shared" si="37"/>
        <v>3380</v>
      </c>
      <c r="X26" s="37">
        <f t="shared" si="37"/>
        <v>4500</v>
      </c>
      <c r="Y26" s="37">
        <f t="shared" si="37"/>
        <v>5390</v>
      </c>
      <c r="Z26" s="37">
        <f t="shared" si="37"/>
        <v>2800</v>
      </c>
      <c r="AA26" s="37">
        <f t="shared" si="37"/>
        <v>3420</v>
      </c>
      <c r="AB26" s="37">
        <f t="shared" si="37"/>
        <v>9330</v>
      </c>
      <c r="AC26" s="37">
        <f t="shared" si="37"/>
        <v>7890</v>
      </c>
      <c r="AD26" s="35">
        <f t="shared" si="34"/>
        <v>69660</v>
      </c>
      <c r="AF26" s="20">
        <f t="shared" si="1"/>
        <v>47.35</v>
      </c>
      <c r="AG26" s="20">
        <f t="shared" si="2"/>
        <v>63.85</v>
      </c>
      <c r="AH26" s="20">
        <f t="shared" si="3"/>
        <v>0.70000000000000007</v>
      </c>
      <c r="AI26" s="20">
        <f t="shared" si="4"/>
        <v>8.15</v>
      </c>
      <c r="AJ26" s="20">
        <f t="shared" si="5"/>
        <v>24.25</v>
      </c>
      <c r="AK26" s="20">
        <f t="shared" si="6"/>
        <v>20.45</v>
      </c>
      <c r="AL26" s="20">
        <f t="shared" si="7"/>
        <v>16.899999999999999</v>
      </c>
      <c r="AM26" s="20">
        <f t="shared" si="8"/>
        <v>22.5</v>
      </c>
      <c r="AN26" s="20">
        <f t="shared" si="9"/>
        <v>26.95</v>
      </c>
      <c r="AO26" s="20">
        <f t="shared" si="10"/>
        <v>14</v>
      </c>
      <c r="AP26" s="20">
        <f t="shared" si="11"/>
        <v>17.100000000000001</v>
      </c>
      <c r="AQ26" s="20">
        <f t="shared" si="12"/>
        <v>46.65</v>
      </c>
      <c r="AR26" s="20">
        <f t="shared" si="13"/>
        <v>39.450000000000003</v>
      </c>
      <c r="AS26" s="35">
        <f t="shared" si="35"/>
        <v>348.29999999999995</v>
      </c>
      <c r="AT26" s="52"/>
      <c r="AV26" s="56">
        <v>0</v>
      </c>
      <c r="AW26" s="55">
        <f t="shared" si="14"/>
        <v>0</v>
      </c>
      <c r="AX26" s="57">
        <f t="shared" si="17"/>
        <v>0</v>
      </c>
      <c r="AY26" s="58">
        <f t="shared" si="18"/>
        <v>700925</v>
      </c>
      <c r="AZ26" s="37">
        <f t="shared" si="19"/>
        <v>187100</v>
      </c>
      <c r="BA26" s="37">
        <f t="shared" si="20"/>
        <v>510.78300000000002</v>
      </c>
      <c r="BB26" s="50">
        <f t="shared" si="21"/>
        <v>226.99196520000001</v>
      </c>
    </row>
    <row r="27" spans="1:54" x14ac:dyDescent="0.25">
      <c r="A27" s="23">
        <v>44702</v>
      </c>
      <c r="B27" s="40">
        <v>197</v>
      </c>
      <c r="C27" s="24">
        <v>8121110</v>
      </c>
      <c r="D27" s="24">
        <v>18759980</v>
      </c>
      <c r="E27" s="24">
        <v>3212890</v>
      </c>
      <c r="F27" s="24">
        <v>4038510</v>
      </c>
      <c r="G27" s="24">
        <v>12008910</v>
      </c>
      <c r="H27" s="24">
        <v>6871380</v>
      </c>
      <c r="I27" s="24">
        <v>6017060</v>
      </c>
      <c r="J27" s="24">
        <v>7424290</v>
      </c>
      <c r="K27" s="24">
        <v>10983080</v>
      </c>
      <c r="L27" s="24">
        <v>4730960</v>
      </c>
      <c r="M27" s="24">
        <v>8981610</v>
      </c>
      <c r="N27" s="24">
        <v>14518020</v>
      </c>
      <c r="O27" s="24">
        <v>20305300</v>
      </c>
      <c r="Q27" s="37">
        <f t="shared" si="37"/>
        <v>9950</v>
      </c>
      <c r="R27" s="37">
        <f t="shared" si="23"/>
        <v>13300</v>
      </c>
      <c r="S27" s="37">
        <f t="shared" si="37"/>
        <v>140</v>
      </c>
      <c r="T27" s="37">
        <f t="shared" si="37"/>
        <v>1660</v>
      </c>
      <c r="U27" s="37">
        <f t="shared" si="37"/>
        <v>4840</v>
      </c>
      <c r="V27" s="37">
        <f t="shared" si="37"/>
        <v>4240</v>
      </c>
      <c r="W27" s="37">
        <f t="shared" si="37"/>
        <v>3450</v>
      </c>
      <c r="X27" s="37">
        <f t="shared" si="37"/>
        <v>4680</v>
      </c>
      <c r="Y27" s="37">
        <f t="shared" si="37"/>
        <v>5340</v>
      </c>
      <c r="Z27" s="37">
        <f t="shared" si="37"/>
        <v>2900</v>
      </c>
      <c r="AA27" s="37">
        <f t="shared" si="37"/>
        <v>3610</v>
      </c>
      <c r="AB27" s="37">
        <f t="shared" si="37"/>
        <v>5930</v>
      </c>
      <c r="AC27" s="37">
        <f t="shared" si="37"/>
        <v>10280</v>
      </c>
      <c r="AD27" s="35">
        <f t="shared" si="34"/>
        <v>70320</v>
      </c>
      <c r="AF27" s="20">
        <f t="shared" si="1"/>
        <v>49.75</v>
      </c>
      <c r="AG27" s="20">
        <f t="shared" si="2"/>
        <v>66.5</v>
      </c>
      <c r="AH27" s="20">
        <f t="shared" si="3"/>
        <v>0.70000000000000007</v>
      </c>
      <c r="AI27" s="20">
        <f t="shared" si="4"/>
        <v>8.3000000000000007</v>
      </c>
      <c r="AJ27" s="20">
        <f t="shared" si="5"/>
        <v>24.2</v>
      </c>
      <c r="AK27" s="20">
        <f t="shared" si="6"/>
        <v>21.2</v>
      </c>
      <c r="AL27" s="20">
        <f t="shared" si="7"/>
        <v>17.25</v>
      </c>
      <c r="AM27" s="20">
        <f t="shared" si="8"/>
        <v>23.400000000000002</v>
      </c>
      <c r="AN27" s="20">
        <f t="shared" si="9"/>
        <v>26.7</v>
      </c>
      <c r="AO27" s="20">
        <f t="shared" si="10"/>
        <v>14.5</v>
      </c>
      <c r="AP27" s="20">
        <f t="shared" si="11"/>
        <v>18.05</v>
      </c>
      <c r="AQ27" s="20">
        <f t="shared" si="12"/>
        <v>29.650000000000002</v>
      </c>
      <c r="AR27" s="20">
        <f t="shared" si="13"/>
        <v>51.4</v>
      </c>
      <c r="AS27" s="35">
        <f t="shared" si="35"/>
        <v>351.59999999999991</v>
      </c>
      <c r="AT27" s="52"/>
      <c r="AV27" s="56">
        <v>0</v>
      </c>
      <c r="AW27" s="55">
        <f t="shared" si="14"/>
        <v>0</v>
      </c>
      <c r="AX27" s="57">
        <f t="shared" si="17"/>
        <v>0</v>
      </c>
      <c r="AY27" s="58">
        <f t="shared" si="18"/>
        <v>702796</v>
      </c>
      <c r="AZ27" s="37">
        <f t="shared" si="19"/>
        <v>187100</v>
      </c>
      <c r="BA27" s="37">
        <f t="shared" si="20"/>
        <v>510.78300000000002</v>
      </c>
      <c r="BB27" s="50">
        <f t="shared" si="21"/>
        <v>226.99196520000001</v>
      </c>
    </row>
    <row r="28" spans="1:54" x14ac:dyDescent="0.25">
      <c r="A28" s="23">
        <v>44703</v>
      </c>
      <c r="B28" s="40">
        <v>231</v>
      </c>
      <c r="C28" s="24">
        <v>8130460</v>
      </c>
      <c r="D28" s="24">
        <v>18772620</v>
      </c>
      <c r="E28" s="24">
        <v>3213020</v>
      </c>
      <c r="F28" s="24">
        <v>4040140</v>
      </c>
      <c r="G28" s="24">
        <v>12013380</v>
      </c>
      <c r="H28" s="24">
        <v>6875470</v>
      </c>
      <c r="I28" s="24">
        <v>6020790</v>
      </c>
      <c r="J28" s="24">
        <v>7428930</v>
      </c>
      <c r="K28" s="24">
        <v>10988260</v>
      </c>
      <c r="L28" s="24">
        <v>4733930</v>
      </c>
      <c r="M28" s="24">
        <v>8985100</v>
      </c>
      <c r="N28" s="24">
        <v>14525450</v>
      </c>
      <c r="O28" s="24">
        <v>20317610</v>
      </c>
      <c r="Q28" s="37">
        <f t="shared" si="22"/>
        <v>9350</v>
      </c>
      <c r="R28" s="37">
        <f t="shared" si="23"/>
        <v>12640</v>
      </c>
      <c r="S28" s="37">
        <f t="shared" si="16"/>
        <v>130</v>
      </c>
      <c r="T28" s="37">
        <f t="shared" si="24"/>
        <v>1630</v>
      </c>
      <c r="U28" s="37">
        <f t="shared" si="25"/>
        <v>4470</v>
      </c>
      <c r="V28" s="37">
        <f t="shared" si="26"/>
        <v>4090</v>
      </c>
      <c r="W28" s="37">
        <f t="shared" si="27"/>
        <v>3730</v>
      </c>
      <c r="X28" s="37">
        <f t="shared" si="28"/>
        <v>4640</v>
      </c>
      <c r="Y28" s="37">
        <f t="shared" si="29"/>
        <v>5180</v>
      </c>
      <c r="Z28" s="37">
        <f t="shared" si="30"/>
        <v>2970</v>
      </c>
      <c r="AA28" s="37">
        <f t="shared" si="31"/>
        <v>3490</v>
      </c>
      <c r="AB28" s="37">
        <f t="shared" si="32"/>
        <v>7430</v>
      </c>
      <c r="AC28" s="37">
        <f t="shared" si="33"/>
        <v>12310</v>
      </c>
      <c r="AD28" s="35">
        <f t="shared" si="34"/>
        <v>72060</v>
      </c>
      <c r="AF28" s="20">
        <f t="shared" si="1"/>
        <v>46.75</v>
      </c>
      <c r="AG28" s="20">
        <f t="shared" si="2"/>
        <v>63.2</v>
      </c>
      <c r="AH28" s="20">
        <f t="shared" si="3"/>
        <v>0.65</v>
      </c>
      <c r="AI28" s="20">
        <f t="shared" si="4"/>
        <v>8.15</v>
      </c>
      <c r="AJ28" s="20">
        <f t="shared" si="5"/>
        <v>22.35</v>
      </c>
      <c r="AK28" s="20">
        <f t="shared" si="6"/>
        <v>20.45</v>
      </c>
      <c r="AL28" s="20">
        <f t="shared" si="7"/>
        <v>18.650000000000002</v>
      </c>
      <c r="AM28" s="20">
        <f t="shared" si="8"/>
        <v>23.2</v>
      </c>
      <c r="AN28" s="20">
        <f t="shared" si="9"/>
        <v>25.900000000000002</v>
      </c>
      <c r="AO28" s="20">
        <f t="shared" si="10"/>
        <v>14.85</v>
      </c>
      <c r="AP28" s="20">
        <f t="shared" si="11"/>
        <v>17.45</v>
      </c>
      <c r="AQ28" s="20">
        <f t="shared" si="12"/>
        <v>37.15</v>
      </c>
      <c r="AR28" s="20">
        <f t="shared" si="13"/>
        <v>61.550000000000004</v>
      </c>
      <c r="AS28" s="35">
        <f t="shared" si="35"/>
        <v>360.3</v>
      </c>
      <c r="AT28" s="52"/>
      <c r="AV28" s="56">
        <v>0</v>
      </c>
      <c r="AW28" s="55">
        <f t="shared" si="14"/>
        <v>0</v>
      </c>
      <c r="AX28" s="57">
        <f t="shared" si="17"/>
        <v>0</v>
      </c>
      <c r="AY28" s="58">
        <f t="shared" si="18"/>
        <v>704667</v>
      </c>
      <c r="AZ28" s="37">
        <f t="shared" si="19"/>
        <v>187100</v>
      </c>
      <c r="BA28" s="37">
        <f t="shared" si="20"/>
        <v>510.78300000000002</v>
      </c>
      <c r="BB28" s="50">
        <f t="shared" si="21"/>
        <v>226.99196520000001</v>
      </c>
    </row>
    <row r="29" spans="1:54" x14ac:dyDescent="0.25">
      <c r="A29" s="23">
        <v>44704</v>
      </c>
      <c r="B29" s="40">
        <v>284</v>
      </c>
      <c r="C29" s="24">
        <v>8136530</v>
      </c>
      <c r="D29" s="24">
        <v>18785120</v>
      </c>
      <c r="E29" s="24">
        <v>3213150</v>
      </c>
      <c r="F29" s="24">
        <v>4043100</v>
      </c>
      <c r="G29" s="24">
        <v>12017940</v>
      </c>
      <c r="H29" s="24">
        <v>6879810</v>
      </c>
      <c r="I29" s="24">
        <v>6024190</v>
      </c>
      <c r="J29" s="24">
        <v>7433580</v>
      </c>
      <c r="K29" s="24">
        <v>10992910</v>
      </c>
      <c r="L29" s="24">
        <v>4736980</v>
      </c>
      <c r="M29" s="24">
        <v>8988790</v>
      </c>
      <c r="N29" s="24">
        <v>14532550</v>
      </c>
      <c r="O29" s="24">
        <v>20328310</v>
      </c>
      <c r="Q29" s="37">
        <f t="shared" si="22"/>
        <v>6070</v>
      </c>
      <c r="R29" s="37">
        <f t="shared" si="23"/>
        <v>12500</v>
      </c>
      <c r="S29" s="37">
        <f t="shared" si="16"/>
        <v>130</v>
      </c>
      <c r="T29" s="37">
        <f t="shared" si="24"/>
        <v>2960</v>
      </c>
      <c r="U29" s="37">
        <f t="shared" si="25"/>
        <v>4560</v>
      </c>
      <c r="V29" s="37">
        <f t="shared" si="26"/>
        <v>4340</v>
      </c>
      <c r="W29" s="37">
        <f t="shared" si="27"/>
        <v>3400</v>
      </c>
      <c r="X29" s="37">
        <f t="shared" si="28"/>
        <v>4650</v>
      </c>
      <c r="Y29" s="37">
        <f t="shared" si="29"/>
        <v>4650</v>
      </c>
      <c r="Z29" s="37">
        <f t="shared" si="30"/>
        <v>3050</v>
      </c>
      <c r="AA29" s="37">
        <f t="shared" si="31"/>
        <v>3690</v>
      </c>
      <c r="AB29" s="37">
        <f t="shared" si="32"/>
        <v>7100</v>
      </c>
      <c r="AC29" s="37">
        <f t="shared" si="33"/>
        <v>10700</v>
      </c>
      <c r="AD29" s="35">
        <f t="shared" si="34"/>
        <v>67800</v>
      </c>
      <c r="AF29" s="20">
        <f t="shared" si="1"/>
        <v>30.35</v>
      </c>
      <c r="AG29" s="20">
        <f t="shared" si="2"/>
        <v>62.5</v>
      </c>
      <c r="AH29" s="20">
        <f t="shared" si="3"/>
        <v>0.65</v>
      </c>
      <c r="AI29" s="20">
        <f t="shared" si="4"/>
        <v>14.8</v>
      </c>
      <c r="AJ29" s="20">
        <f t="shared" si="5"/>
        <v>22.8</v>
      </c>
      <c r="AK29" s="20">
        <f t="shared" si="6"/>
        <v>21.7</v>
      </c>
      <c r="AL29" s="20">
        <f t="shared" si="7"/>
        <v>17</v>
      </c>
      <c r="AM29" s="20">
        <f t="shared" si="8"/>
        <v>23.25</v>
      </c>
      <c r="AN29" s="20">
        <f t="shared" si="9"/>
        <v>23.25</v>
      </c>
      <c r="AO29" s="20">
        <f t="shared" si="10"/>
        <v>15.25</v>
      </c>
      <c r="AP29" s="20">
        <f t="shared" si="11"/>
        <v>18.45</v>
      </c>
      <c r="AQ29" s="20">
        <f t="shared" si="12"/>
        <v>35.5</v>
      </c>
      <c r="AR29" s="20">
        <f t="shared" si="13"/>
        <v>53.5</v>
      </c>
      <c r="AS29" s="35">
        <f t="shared" si="35"/>
        <v>339</v>
      </c>
      <c r="AT29" s="52"/>
      <c r="AV29" s="56">
        <v>0</v>
      </c>
      <c r="AW29" s="55">
        <f t="shared" si="14"/>
        <v>0</v>
      </c>
      <c r="AX29" s="57">
        <f t="shared" si="17"/>
        <v>0</v>
      </c>
      <c r="AY29" s="58">
        <f t="shared" si="18"/>
        <v>706538</v>
      </c>
      <c r="AZ29" s="37">
        <f t="shared" si="19"/>
        <v>187100</v>
      </c>
      <c r="BA29" s="37">
        <f t="shared" si="20"/>
        <v>510.78300000000002</v>
      </c>
      <c r="BB29" s="50">
        <f t="shared" si="21"/>
        <v>226.99196520000001</v>
      </c>
    </row>
    <row r="30" spans="1:54" x14ac:dyDescent="0.25">
      <c r="A30" s="23">
        <v>44705</v>
      </c>
      <c r="B30" s="40">
        <v>207</v>
      </c>
      <c r="C30" s="24">
        <v>8137560</v>
      </c>
      <c r="D30" s="24">
        <v>18800220</v>
      </c>
      <c r="E30" s="24">
        <v>3213250</v>
      </c>
      <c r="F30" s="24">
        <v>4045480</v>
      </c>
      <c r="G30" s="24">
        <v>12022380</v>
      </c>
      <c r="H30" s="24">
        <v>6884140</v>
      </c>
      <c r="I30" s="24">
        <v>6027690</v>
      </c>
      <c r="J30" s="24">
        <v>7437820</v>
      </c>
      <c r="K30" s="24">
        <v>10996830</v>
      </c>
      <c r="L30" s="24">
        <v>4739780</v>
      </c>
      <c r="M30" s="24">
        <v>8992050</v>
      </c>
      <c r="N30" s="24">
        <v>14539640</v>
      </c>
      <c r="O30" s="24">
        <v>20340340</v>
      </c>
      <c r="Q30" s="37">
        <f t="shared" si="22"/>
        <v>1030</v>
      </c>
      <c r="R30" s="37">
        <f t="shared" si="23"/>
        <v>15100</v>
      </c>
      <c r="S30" s="37">
        <f t="shared" si="16"/>
        <v>100</v>
      </c>
      <c r="T30" s="37">
        <f t="shared" si="24"/>
        <v>2380</v>
      </c>
      <c r="U30" s="37">
        <f t="shared" si="25"/>
        <v>4440</v>
      </c>
      <c r="V30" s="37">
        <f t="shared" si="26"/>
        <v>4330</v>
      </c>
      <c r="W30" s="37">
        <f t="shared" si="27"/>
        <v>3500</v>
      </c>
      <c r="X30" s="37">
        <f t="shared" si="28"/>
        <v>4240</v>
      </c>
      <c r="Y30" s="37">
        <f t="shared" si="29"/>
        <v>3920</v>
      </c>
      <c r="Z30" s="37">
        <f t="shared" si="30"/>
        <v>2800</v>
      </c>
      <c r="AA30" s="37">
        <f t="shared" si="31"/>
        <v>3260</v>
      </c>
      <c r="AB30" s="37">
        <f t="shared" si="32"/>
        <v>7090</v>
      </c>
      <c r="AC30" s="37">
        <f t="shared" si="33"/>
        <v>12030</v>
      </c>
      <c r="AD30" s="35">
        <f t="shared" si="34"/>
        <v>64220</v>
      </c>
      <c r="AF30" s="20">
        <f t="shared" si="1"/>
        <v>5.15</v>
      </c>
      <c r="AG30" s="20">
        <f t="shared" si="2"/>
        <v>75.5</v>
      </c>
      <c r="AH30" s="20">
        <f t="shared" si="3"/>
        <v>0.5</v>
      </c>
      <c r="AI30" s="20">
        <f t="shared" si="4"/>
        <v>11.9</v>
      </c>
      <c r="AJ30" s="20">
        <f t="shared" si="5"/>
        <v>22.2</v>
      </c>
      <c r="AK30" s="20">
        <f t="shared" si="6"/>
        <v>21.650000000000002</v>
      </c>
      <c r="AL30" s="20">
        <f t="shared" si="7"/>
        <v>17.5</v>
      </c>
      <c r="AM30" s="20">
        <f t="shared" si="8"/>
        <v>21.2</v>
      </c>
      <c r="AN30" s="20">
        <f t="shared" si="9"/>
        <v>19.600000000000001</v>
      </c>
      <c r="AO30" s="20">
        <f t="shared" si="10"/>
        <v>14</v>
      </c>
      <c r="AP30" s="20">
        <f t="shared" si="11"/>
        <v>16.3</v>
      </c>
      <c r="AQ30" s="20">
        <f t="shared" si="12"/>
        <v>35.450000000000003</v>
      </c>
      <c r="AR30" s="20">
        <f t="shared" si="13"/>
        <v>60.15</v>
      </c>
      <c r="AS30" s="35">
        <f t="shared" si="35"/>
        <v>321.09999999999997</v>
      </c>
      <c r="AT30" s="52"/>
      <c r="AV30" s="56">
        <v>0</v>
      </c>
      <c r="AW30" s="55">
        <f t="shared" si="14"/>
        <v>0</v>
      </c>
      <c r="AX30" s="57">
        <f t="shared" si="17"/>
        <v>0</v>
      </c>
      <c r="AY30" s="58">
        <f t="shared" si="18"/>
        <v>708409</v>
      </c>
      <c r="AZ30" s="37">
        <f t="shared" si="19"/>
        <v>187100</v>
      </c>
      <c r="BA30" s="37">
        <f t="shared" si="20"/>
        <v>510.78300000000002</v>
      </c>
      <c r="BB30" s="50">
        <f t="shared" si="21"/>
        <v>226.99196520000001</v>
      </c>
    </row>
    <row r="31" spans="1:54" x14ac:dyDescent="0.25">
      <c r="A31" s="23">
        <v>44706</v>
      </c>
      <c r="B31" s="40">
        <v>192</v>
      </c>
      <c r="C31" s="24">
        <v>8138570</v>
      </c>
      <c r="D31" s="24">
        <v>18814360</v>
      </c>
      <c r="E31" s="24">
        <v>3213380</v>
      </c>
      <c r="F31" s="24">
        <v>4048610</v>
      </c>
      <c r="G31" s="24">
        <v>12026850</v>
      </c>
      <c r="H31" s="24">
        <v>6888310</v>
      </c>
      <c r="I31" s="24">
        <v>6031160</v>
      </c>
      <c r="J31" s="24">
        <v>7442240</v>
      </c>
      <c r="K31" s="24">
        <v>11000780</v>
      </c>
      <c r="L31" s="24">
        <v>4742560</v>
      </c>
      <c r="M31" s="24">
        <v>8995250</v>
      </c>
      <c r="N31" s="24">
        <v>14546400</v>
      </c>
      <c r="O31" s="24">
        <v>20350450</v>
      </c>
      <c r="Q31" s="37">
        <f>IF((C31-C30&lt;0), "0",C31-C30)</f>
        <v>1010</v>
      </c>
      <c r="R31" s="37">
        <f t="shared" si="23"/>
        <v>14140</v>
      </c>
      <c r="S31" s="37">
        <f t="shared" si="16"/>
        <v>130</v>
      </c>
      <c r="T31" s="37">
        <f t="shared" si="24"/>
        <v>3130</v>
      </c>
      <c r="U31" s="37">
        <f t="shared" si="25"/>
        <v>4470</v>
      </c>
      <c r="V31" s="37">
        <f t="shared" si="26"/>
        <v>4170</v>
      </c>
      <c r="W31" s="37">
        <f t="shared" si="27"/>
        <v>3470</v>
      </c>
      <c r="X31" s="37">
        <f t="shared" si="28"/>
        <v>4420</v>
      </c>
      <c r="Y31" s="37">
        <f t="shared" si="29"/>
        <v>3950</v>
      </c>
      <c r="Z31" s="37">
        <f t="shared" si="30"/>
        <v>2780</v>
      </c>
      <c r="AA31" s="37">
        <f t="shared" si="31"/>
        <v>3200</v>
      </c>
      <c r="AB31" s="37">
        <f t="shared" si="32"/>
        <v>6760</v>
      </c>
      <c r="AC31" s="37">
        <f t="shared" si="33"/>
        <v>10110</v>
      </c>
      <c r="AD31" s="35">
        <f t="shared" si="34"/>
        <v>61740</v>
      </c>
      <c r="AF31" s="20">
        <f t="shared" si="1"/>
        <v>5.05</v>
      </c>
      <c r="AG31" s="20">
        <f t="shared" si="2"/>
        <v>70.7</v>
      </c>
      <c r="AH31" s="20">
        <f t="shared" si="3"/>
        <v>0.65</v>
      </c>
      <c r="AI31" s="20">
        <f t="shared" si="4"/>
        <v>15.65</v>
      </c>
      <c r="AJ31" s="20">
        <f t="shared" si="5"/>
        <v>22.35</v>
      </c>
      <c r="AK31" s="20">
        <f t="shared" si="6"/>
        <v>20.85</v>
      </c>
      <c r="AL31" s="20">
        <f t="shared" si="7"/>
        <v>17.350000000000001</v>
      </c>
      <c r="AM31" s="20">
        <f t="shared" si="8"/>
        <v>22.1</v>
      </c>
      <c r="AN31" s="20">
        <f t="shared" si="9"/>
        <v>19.75</v>
      </c>
      <c r="AO31" s="20">
        <f t="shared" si="10"/>
        <v>13.9</v>
      </c>
      <c r="AP31" s="20">
        <f t="shared" si="11"/>
        <v>16</v>
      </c>
      <c r="AQ31" s="20">
        <f t="shared" si="12"/>
        <v>33.799999999999997</v>
      </c>
      <c r="AR31" s="20">
        <f t="shared" si="13"/>
        <v>50.550000000000004</v>
      </c>
      <c r="AS31" s="35">
        <f t="shared" si="35"/>
        <v>308.7</v>
      </c>
      <c r="AT31" s="52"/>
      <c r="AV31" s="56">
        <v>0</v>
      </c>
      <c r="AW31" s="55">
        <f t="shared" si="14"/>
        <v>0</v>
      </c>
      <c r="AX31" s="57">
        <f t="shared" si="17"/>
        <v>0</v>
      </c>
      <c r="AY31" s="58">
        <f t="shared" si="18"/>
        <v>710280</v>
      </c>
      <c r="AZ31" s="37">
        <f t="shared" si="19"/>
        <v>187100</v>
      </c>
      <c r="BA31" s="37">
        <f t="shared" si="20"/>
        <v>510.78300000000002</v>
      </c>
      <c r="BB31" s="50">
        <f t="shared" si="21"/>
        <v>226.99196520000001</v>
      </c>
    </row>
    <row r="32" spans="1:54" x14ac:dyDescent="0.25">
      <c r="A32" s="23">
        <v>44707</v>
      </c>
      <c r="B32" s="40">
        <v>242</v>
      </c>
      <c r="C32" s="24">
        <v>8139620</v>
      </c>
      <c r="D32" s="24">
        <v>18826360</v>
      </c>
      <c r="E32" s="24">
        <v>3213520</v>
      </c>
      <c r="F32" s="24">
        <v>4053460</v>
      </c>
      <c r="G32" s="24">
        <v>12031590</v>
      </c>
      <c r="H32" s="24">
        <v>6892570</v>
      </c>
      <c r="I32" s="24">
        <v>6034360</v>
      </c>
      <c r="J32" s="24">
        <v>7446690</v>
      </c>
      <c r="K32" s="24">
        <v>11005140</v>
      </c>
      <c r="L32" s="24">
        <v>4745450</v>
      </c>
      <c r="M32" s="24">
        <v>8998600</v>
      </c>
      <c r="N32" s="24">
        <v>14553700</v>
      </c>
      <c r="O32" s="24">
        <v>20360930</v>
      </c>
      <c r="Q32" s="37">
        <f>IF((C32-C31&lt;0), "0",C32-C31)</f>
        <v>1050</v>
      </c>
      <c r="R32" s="37">
        <f t="shared" si="23"/>
        <v>12000</v>
      </c>
      <c r="S32" s="37">
        <f t="shared" si="16"/>
        <v>140</v>
      </c>
      <c r="T32" s="37">
        <f t="shared" si="24"/>
        <v>4850</v>
      </c>
      <c r="U32" s="37">
        <f t="shared" si="25"/>
        <v>4740</v>
      </c>
      <c r="V32" s="37">
        <f t="shared" si="26"/>
        <v>4260</v>
      </c>
      <c r="W32" s="37">
        <f t="shared" si="27"/>
        <v>3200</v>
      </c>
      <c r="X32" s="37">
        <f t="shared" si="28"/>
        <v>4450</v>
      </c>
      <c r="Y32" s="37">
        <f t="shared" si="29"/>
        <v>4360</v>
      </c>
      <c r="Z32" s="37">
        <f t="shared" si="30"/>
        <v>2890</v>
      </c>
      <c r="AA32" s="37">
        <f t="shared" si="31"/>
        <v>3350</v>
      </c>
      <c r="AB32" s="37">
        <f t="shared" si="32"/>
        <v>7300</v>
      </c>
      <c r="AC32" s="37">
        <f t="shared" si="33"/>
        <v>10480</v>
      </c>
      <c r="AD32" s="35">
        <f t="shared" si="34"/>
        <v>63070</v>
      </c>
      <c r="AF32" s="20">
        <f t="shared" si="1"/>
        <v>5.25</v>
      </c>
      <c r="AG32" s="20">
        <f t="shared" si="2"/>
        <v>60</v>
      </c>
      <c r="AH32" s="20">
        <f t="shared" si="3"/>
        <v>0.70000000000000007</v>
      </c>
      <c r="AI32" s="20">
        <f t="shared" si="4"/>
        <v>24.25</v>
      </c>
      <c r="AJ32" s="20">
        <f t="shared" si="5"/>
        <v>23.7</v>
      </c>
      <c r="AK32" s="20">
        <f t="shared" si="6"/>
        <v>21.3</v>
      </c>
      <c r="AL32" s="20">
        <f t="shared" si="7"/>
        <v>16</v>
      </c>
      <c r="AM32" s="20">
        <f t="shared" si="8"/>
        <v>22.25</v>
      </c>
      <c r="AN32" s="20">
        <f t="shared" si="9"/>
        <v>21.8</v>
      </c>
      <c r="AO32" s="20">
        <f t="shared" si="10"/>
        <v>14.450000000000001</v>
      </c>
      <c r="AP32" s="20">
        <f t="shared" si="11"/>
        <v>16.75</v>
      </c>
      <c r="AQ32" s="20">
        <f t="shared" si="12"/>
        <v>36.5</v>
      </c>
      <c r="AR32" s="20">
        <f t="shared" si="13"/>
        <v>52.4</v>
      </c>
      <c r="AS32" s="35">
        <f t="shared" si="35"/>
        <v>315.35000000000002</v>
      </c>
      <c r="AT32" s="52"/>
      <c r="AV32" s="56">
        <v>0</v>
      </c>
      <c r="AW32" s="55">
        <f t="shared" si="14"/>
        <v>0</v>
      </c>
      <c r="AX32" s="57">
        <f t="shared" si="17"/>
        <v>0</v>
      </c>
      <c r="AY32" s="58">
        <f t="shared" si="18"/>
        <v>712151</v>
      </c>
      <c r="AZ32" s="37">
        <f t="shared" si="19"/>
        <v>187100</v>
      </c>
      <c r="BA32" s="37">
        <f t="shared" si="20"/>
        <v>510.78300000000002</v>
      </c>
      <c r="BB32" s="50">
        <f t="shared" si="21"/>
        <v>226.99196520000001</v>
      </c>
    </row>
    <row r="33" spans="1:54" x14ac:dyDescent="0.25">
      <c r="A33" s="23">
        <v>44708</v>
      </c>
      <c r="B33" s="40">
        <v>266</v>
      </c>
      <c r="C33" s="24">
        <v>8140630</v>
      </c>
      <c r="D33" s="24">
        <v>18838400</v>
      </c>
      <c r="E33" s="24">
        <v>3213640</v>
      </c>
      <c r="F33" s="24">
        <v>4058360</v>
      </c>
      <c r="G33" s="24">
        <v>12036340</v>
      </c>
      <c r="H33" s="24">
        <v>6896760</v>
      </c>
      <c r="I33" s="24">
        <v>6037960</v>
      </c>
      <c r="J33" s="24">
        <v>7451200</v>
      </c>
      <c r="K33" s="24">
        <v>11010010</v>
      </c>
      <c r="L33" s="24">
        <v>4748480</v>
      </c>
      <c r="M33" s="24">
        <v>9002230</v>
      </c>
      <c r="N33" s="24">
        <v>14560750</v>
      </c>
      <c r="O33" s="24">
        <v>20372960</v>
      </c>
      <c r="Q33" s="37">
        <f>IF((C33-C32&lt;0), "0",C33-C32)</f>
        <v>1010</v>
      </c>
      <c r="R33" s="37">
        <f t="shared" si="23"/>
        <v>12040</v>
      </c>
      <c r="S33" s="37">
        <f t="shared" si="16"/>
        <v>120</v>
      </c>
      <c r="T33" s="37">
        <f t="shared" si="24"/>
        <v>4900</v>
      </c>
      <c r="U33" s="37">
        <f t="shared" si="25"/>
        <v>4750</v>
      </c>
      <c r="V33" s="37">
        <f t="shared" si="26"/>
        <v>4190</v>
      </c>
      <c r="W33" s="37">
        <f t="shared" si="27"/>
        <v>3600</v>
      </c>
      <c r="X33" s="37">
        <f t="shared" si="28"/>
        <v>4510</v>
      </c>
      <c r="Y33" s="37">
        <f t="shared" si="29"/>
        <v>4870</v>
      </c>
      <c r="Z33" s="37">
        <f t="shared" si="30"/>
        <v>3030</v>
      </c>
      <c r="AA33" s="37">
        <f t="shared" si="31"/>
        <v>3630</v>
      </c>
      <c r="AB33" s="37">
        <f t="shared" si="32"/>
        <v>7050</v>
      </c>
      <c r="AC33" s="37">
        <f t="shared" si="33"/>
        <v>12030</v>
      </c>
      <c r="AD33" s="35">
        <f t="shared" si="34"/>
        <v>65730</v>
      </c>
      <c r="AF33" s="20">
        <f t="shared" si="1"/>
        <v>5.05</v>
      </c>
      <c r="AG33" s="20">
        <f t="shared" si="2"/>
        <v>60.2</v>
      </c>
      <c r="AH33" s="20">
        <f t="shared" si="3"/>
        <v>0.6</v>
      </c>
      <c r="AI33" s="20">
        <f t="shared" si="4"/>
        <v>24.5</v>
      </c>
      <c r="AJ33" s="20">
        <f t="shared" si="5"/>
        <v>23.75</v>
      </c>
      <c r="AK33" s="20">
        <f t="shared" si="6"/>
        <v>20.95</v>
      </c>
      <c r="AL33" s="20">
        <f t="shared" si="7"/>
        <v>18</v>
      </c>
      <c r="AM33" s="20">
        <f t="shared" si="8"/>
        <v>22.55</v>
      </c>
      <c r="AN33" s="20">
        <f t="shared" si="9"/>
        <v>24.35</v>
      </c>
      <c r="AO33" s="20">
        <f t="shared" si="10"/>
        <v>15.15</v>
      </c>
      <c r="AP33" s="20">
        <f t="shared" si="11"/>
        <v>18.150000000000002</v>
      </c>
      <c r="AQ33" s="20">
        <f t="shared" si="12"/>
        <v>35.25</v>
      </c>
      <c r="AR33" s="20">
        <f t="shared" si="13"/>
        <v>60.15</v>
      </c>
      <c r="AS33" s="35">
        <f t="shared" si="35"/>
        <v>328.65</v>
      </c>
      <c r="AT33" s="52"/>
      <c r="AV33" s="56">
        <v>0</v>
      </c>
      <c r="AW33" s="55">
        <f t="shared" si="14"/>
        <v>0</v>
      </c>
      <c r="AX33" s="57">
        <f t="shared" si="17"/>
        <v>0</v>
      </c>
      <c r="AY33" s="58">
        <f t="shared" si="18"/>
        <v>714022</v>
      </c>
      <c r="AZ33" s="37">
        <f t="shared" si="19"/>
        <v>187100</v>
      </c>
      <c r="BA33" s="37">
        <f t="shared" si="20"/>
        <v>510.78300000000002</v>
      </c>
      <c r="BB33" s="50">
        <f t="shared" si="21"/>
        <v>226.99196520000001</v>
      </c>
    </row>
    <row r="34" spans="1:54" x14ac:dyDescent="0.25">
      <c r="A34" s="23">
        <v>44709</v>
      </c>
      <c r="B34" s="48">
        <v>156</v>
      </c>
      <c r="C34" s="47">
        <v>8141670</v>
      </c>
      <c r="D34" s="24">
        <v>18850920</v>
      </c>
      <c r="E34" s="24">
        <v>3213780</v>
      </c>
      <c r="F34" s="24">
        <v>4063450</v>
      </c>
      <c r="G34" s="24">
        <v>12041040</v>
      </c>
      <c r="H34" s="24">
        <v>6901030</v>
      </c>
      <c r="I34" s="24">
        <v>6041190</v>
      </c>
      <c r="J34" s="24">
        <v>7455670</v>
      </c>
      <c r="K34" s="24">
        <v>11014860</v>
      </c>
      <c r="L34" s="24">
        <v>4751390</v>
      </c>
      <c r="M34" s="24">
        <v>9005720</v>
      </c>
      <c r="N34" s="24">
        <v>14568090</v>
      </c>
      <c r="O34" s="24">
        <v>20384710</v>
      </c>
      <c r="Q34" s="37">
        <f>IF((C34-C33&lt;0), "0",C34-C33)</f>
        <v>1040</v>
      </c>
      <c r="R34" s="37">
        <f t="shared" si="23"/>
        <v>12520</v>
      </c>
      <c r="S34" s="37">
        <f t="shared" si="16"/>
        <v>140</v>
      </c>
      <c r="T34" s="37">
        <f t="shared" si="24"/>
        <v>5090</v>
      </c>
      <c r="U34" s="37">
        <f t="shared" si="25"/>
        <v>4700</v>
      </c>
      <c r="V34" s="37">
        <f t="shared" si="26"/>
        <v>4270</v>
      </c>
      <c r="W34" s="37">
        <f t="shared" si="27"/>
        <v>3230</v>
      </c>
      <c r="X34" s="37">
        <f t="shared" si="28"/>
        <v>4470</v>
      </c>
      <c r="Y34" s="37">
        <f t="shared" si="29"/>
        <v>4850</v>
      </c>
      <c r="Z34" s="37">
        <f t="shared" si="30"/>
        <v>2910</v>
      </c>
      <c r="AA34" s="37">
        <f t="shared" si="31"/>
        <v>3490</v>
      </c>
      <c r="AB34" s="37">
        <f t="shared" si="32"/>
        <v>7340</v>
      </c>
      <c r="AC34" s="37">
        <f t="shared" si="33"/>
        <v>11750</v>
      </c>
      <c r="AD34" s="35">
        <f t="shared" si="34"/>
        <v>65800</v>
      </c>
      <c r="AF34" s="20">
        <f>Q34*$D$39</f>
        <v>5.2</v>
      </c>
      <c r="AG34" s="20">
        <f t="shared" si="2"/>
        <v>62.6</v>
      </c>
      <c r="AH34" s="20">
        <f t="shared" si="3"/>
        <v>0.70000000000000007</v>
      </c>
      <c r="AI34" s="20">
        <f t="shared" si="4"/>
        <v>25.45</v>
      </c>
      <c r="AJ34" s="20">
        <f t="shared" si="5"/>
        <v>23.5</v>
      </c>
      <c r="AK34" s="20">
        <f t="shared" si="6"/>
        <v>21.35</v>
      </c>
      <c r="AL34" s="20">
        <f t="shared" si="7"/>
        <v>16.149999999999999</v>
      </c>
      <c r="AM34" s="20">
        <f t="shared" si="8"/>
        <v>22.35</v>
      </c>
      <c r="AN34" s="20">
        <f t="shared" si="9"/>
        <v>24.25</v>
      </c>
      <c r="AO34" s="20">
        <f t="shared" si="10"/>
        <v>14.55</v>
      </c>
      <c r="AP34" s="20">
        <f t="shared" si="11"/>
        <v>17.45</v>
      </c>
      <c r="AQ34" s="20">
        <f t="shared" si="12"/>
        <v>36.700000000000003</v>
      </c>
      <c r="AR34" s="20">
        <f t="shared" si="13"/>
        <v>58.75</v>
      </c>
      <c r="AS34" s="35">
        <f>SUM(AF34:AR34)</f>
        <v>329</v>
      </c>
      <c r="AT34" s="52"/>
      <c r="AV34" s="56">
        <v>0</v>
      </c>
      <c r="AW34" s="55">
        <f t="shared" si="14"/>
        <v>0</v>
      </c>
      <c r="AX34" s="57">
        <f t="shared" si="17"/>
        <v>0</v>
      </c>
      <c r="AY34" s="58">
        <f t="shared" si="18"/>
        <v>715893</v>
      </c>
      <c r="AZ34" s="37">
        <f t="shared" si="19"/>
        <v>187100</v>
      </c>
      <c r="BA34" s="37">
        <f t="shared" si="20"/>
        <v>510.78300000000002</v>
      </c>
      <c r="BB34" s="50">
        <f t="shared" si="21"/>
        <v>226.99196520000001</v>
      </c>
    </row>
    <row r="35" spans="1:54" x14ac:dyDescent="0.25">
      <c r="A35" s="23">
        <v>44710</v>
      </c>
      <c r="B35" s="40">
        <v>136</v>
      </c>
      <c r="C35" s="24">
        <v>8142670</v>
      </c>
      <c r="D35" s="24">
        <v>18862720</v>
      </c>
      <c r="E35" s="24">
        <v>3214960</v>
      </c>
      <c r="F35" s="24">
        <v>4066990</v>
      </c>
      <c r="G35" s="24">
        <v>12045380</v>
      </c>
      <c r="H35" s="24">
        <v>6905000</v>
      </c>
      <c r="I35" s="24">
        <v>6043990</v>
      </c>
      <c r="J35" s="24">
        <v>7459710</v>
      </c>
      <c r="K35" s="24">
        <v>11019090</v>
      </c>
      <c r="L35" s="24">
        <v>4753950</v>
      </c>
      <c r="M35" s="24">
        <v>9008970</v>
      </c>
      <c r="N35" s="24">
        <v>14575080</v>
      </c>
      <c r="O35" s="24">
        <v>20393920</v>
      </c>
      <c r="Q35" s="37">
        <f>IF((C35-C34&lt;0), "0",C35-C34)</f>
        <v>1000</v>
      </c>
      <c r="R35" s="37">
        <f t="shared" si="23"/>
        <v>11800</v>
      </c>
      <c r="S35" s="37">
        <f t="shared" si="16"/>
        <v>1180</v>
      </c>
      <c r="T35" s="37">
        <f t="shared" si="24"/>
        <v>3540</v>
      </c>
      <c r="U35" s="37">
        <f t="shared" si="25"/>
        <v>4340</v>
      </c>
      <c r="V35" s="37">
        <f t="shared" si="26"/>
        <v>3970</v>
      </c>
      <c r="W35" s="37">
        <f t="shared" si="27"/>
        <v>2800</v>
      </c>
      <c r="X35" s="37">
        <f t="shared" si="28"/>
        <v>4040</v>
      </c>
      <c r="Y35" s="37">
        <f t="shared" si="29"/>
        <v>4230</v>
      </c>
      <c r="Z35" s="37">
        <f t="shared" si="30"/>
        <v>2560</v>
      </c>
      <c r="AA35" s="37">
        <f t="shared" si="31"/>
        <v>3250</v>
      </c>
      <c r="AB35" s="37">
        <f t="shared" si="32"/>
        <v>6990</v>
      </c>
      <c r="AC35" s="37">
        <f t="shared" si="33"/>
        <v>9210</v>
      </c>
      <c r="AD35" s="35">
        <f t="shared" si="34"/>
        <v>58910</v>
      </c>
      <c r="AF35" s="20">
        <f t="shared" si="1"/>
        <v>5</v>
      </c>
      <c r="AG35" s="20">
        <f t="shared" si="2"/>
        <v>59</v>
      </c>
      <c r="AH35" s="20">
        <f t="shared" si="3"/>
        <v>5.9</v>
      </c>
      <c r="AI35" s="20">
        <f t="shared" si="4"/>
        <v>17.7</v>
      </c>
      <c r="AJ35" s="20">
        <f t="shared" si="5"/>
        <v>21.7</v>
      </c>
      <c r="AK35" s="20">
        <f t="shared" si="6"/>
        <v>19.850000000000001</v>
      </c>
      <c r="AL35" s="20">
        <f t="shared" si="7"/>
        <v>14</v>
      </c>
      <c r="AM35" s="20">
        <f t="shared" si="8"/>
        <v>20.2</v>
      </c>
      <c r="AN35" s="20">
        <f t="shared" si="9"/>
        <v>21.150000000000002</v>
      </c>
      <c r="AO35" s="20">
        <f t="shared" si="10"/>
        <v>12.8</v>
      </c>
      <c r="AP35" s="20">
        <f t="shared" si="11"/>
        <v>16.25</v>
      </c>
      <c r="AQ35" s="20">
        <f t="shared" si="12"/>
        <v>34.950000000000003</v>
      </c>
      <c r="AR35" s="20">
        <f t="shared" si="13"/>
        <v>46.050000000000004</v>
      </c>
      <c r="AS35" s="35">
        <f>SUM(AF35:AR35)</f>
        <v>294.55</v>
      </c>
      <c r="AT35" s="52"/>
      <c r="AV35" s="56">
        <v>0</v>
      </c>
      <c r="AW35" s="55">
        <f t="shared" si="14"/>
        <v>0</v>
      </c>
      <c r="AX35" s="57">
        <f t="shared" si="17"/>
        <v>0</v>
      </c>
      <c r="AY35" s="58">
        <f t="shared" si="18"/>
        <v>717764</v>
      </c>
      <c r="AZ35" s="37">
        <f t="shared" si="19"/>
        <v>187100</v>
      </c>
      <c r="BA35" s="37">
        <f t="shared" si="20"/>
        <v>510.78300000000002</v>
      </c>
      <c r="BB35" s="50">
        <f t="shared" si="21"/>
        <v>226.99196520000001</v>
      </c>
    </row>
    <row r="36" spans="1:54" x14ac:dyDescent="0.25">
      <c r="A36" s="23">
        <v>44711</v>
      </c>
      <c r="B36" s="40">
        <v>153</v>
      </c>
      <c r="C36" s="24">
        <v>8143720</v>
      </c>
      <c r="D36" s="24">
        <v>18875730</v>
      </c>
      <c r="E36" s="24">
        <v>3218190</v>
      </c>
      <c r="F36" s="24">
        <v>4068650</v>
      </c>
      <c r="G36" s="24">
        <v>12049850</v>
      </c>
      <c r="H36" s="24">
        <v>6909150</v>
      </c>
      <c r="I36" s="24">
        <v>6047360</v>
      </c>
      <c r="J36" s="61">
        <v>7464190</v>
      </c>
      <c r="K36" s="24">
        <v>11023660</v>
      </c>
      <c r="L36" s="24">
        <v>4756580</v>
      </c>
      <c r="M36" s="24">
        <v>9012210</v>
      </c>
      <c r="N36" s="24">
        <v>14582450</v>
      </c>
      <c r="O36" s="24">
        <v>20406530</v>
      </c>
      <c r="Q36" s="37">
        <f t="shared" ref="Q36:AA36" si="38">IF((C36-C35&lt;0), "0",C36-C35)</f>
        <v>1050</v>
      </c>
      <c r="R36" s="37">
        <f t="shared" si="23"/>
        <v>13010</v>
      </c>
      <c r="S36" s="37">
        <f t="shared" si="38"/>
        <v>3230</v>
      </c>
      <c r="T36" s="37">
        <f t="shared" si="38"/>
        <v>1660</v>
      </c>
      <c r="U36" s="37">
        <f t="shared" si="38"/>
        <v>4470</v>
      </c>
      <c r="V36" s="37">
        <f t="shared" si="38"/>
        <v>4150</v>
      </c>
      <c r="W36" s="37">
        <f t="shared" si="38"/>
        <v>3370</v>
      </c>
      <c r="X36" s="37">
        <f t="shared" si="28"/>
        <v>4480</v>
      </c>
      <c r="Y36" s="37">
        <f t="shared" si="38"/>
        <v>4570</v>
      </c>
      <c r="Z36" s="37">
        <f t="shared" si="38"/>
        <v>2630</v>
      </c>
      <c r="AA36" s="37">
        <f t="shared" si="38"/>
        <v>3240</v>
      </c>
      <c r="AB36" s="37">
        <f t="shared" si="32"/>
        <v>7370</v>
      </c>
      <c r="AC36" s="37">
        <f t="shared" si="33"/>
        <v>12610</v>
      </c>
      <c r="AD36" s="35">
        <f t="shared" si="34"/>
        <v>65840</v>
      </c>
      <c r="AF36" s="20">
        <f t="shared" si="1"/>
        <v>5.25</v>
      </c>
      <c r="AG36" s="20">
        <f t="shared" si="2"/>
        <v>65.05</v>
      </c>
      <c r="AH36" s="20">
        <f t="shared" si="3"/>
        <v>16.149999999999999</v>
      </c>
      <c r="AI36" s="20">
        <f t="shared" si="4"/>
        <v>8.3000000000000007</v>
      </c>
      <c r="AJ36" s="20">
        <f t="shared" si="5"/>
        <v>22.35</v>
      </c>
      <c r="AK36" s="20">
        <f t="shared" si="6"/>
        <v>20.75</v>
      </c>
      <c r="AL36" s="20">
        <f t="shared" si="7"/>
        <v>16.850000000000001</v>
      </c>
      <c r="AM36" s="20">
        <f t="shared" si="8"/>
        <v>22.400000000000002</v>
      </c>
      <c r="AN36" s="20">
        <f t="shared" si="9"/>
        <v>22.85</v>
      </c>
      <c r="AO36" s="20">
        <f t="shared" si="10"/>
        <v>13.15</v>
      </c>
      <c r="AP36" s="20">
        <f t="shared" si="11"/>
        <v>16.2</v>
      </c>
      <c r="AQ36" s="20">
        <f t="shared" si="12"/>
        <v>36.85</v>
      </c>
      <c r="AR36" s="20">
        <f t="shared" si="13"/>
        <v>63.050000000000004</v>
      </c>
      <c r="AS36" s="35">
        <f>SUM(AF36:AR36)</f>
        <v>329.2</v>
      </c>
      <c r="AT36" s="52"/>
      <c r="AV36" s="56">
        <v>0</v>
      </c>
      <c r="AW36" s="55">
        <f t="shared" si="14"/>
        <v>0</v>
      </c>
      <c r="AX36" s="57">
        <f t="shared" si="17"/>
        <v>0</v>
      </c>
      <c r="AY36" s="58">
        <f t="shared" si="18"/>
        <v>719635</v>
      </c>
      <c r="AZ36" s="37">
        <f t="shared" si="19"/>
        <v>187100</v>
      </c>
      <c r="BA36" s="37">
        <f t="shared" si="20"/>
        <v>510.78300000000002</v>
      </c>
      <c r="BB36" s="50">
        <f t="shared" si="21"/>
        <v>226.99196520000001</v>
      </c>
    </row>
    <row r="37" spans="1:54" x14ac:dyDescent="0.25">
      <c r="A37" s="23">
        <v>44712</v>
      </c>
      <c r="B37" s="40">
        <v>143</v>
      </c>
      <c r="C37" s="24">
        <v>8144740</v>
      </c>
      <c r="D37" s="24">
        <v>18888560</v>
      </c>
      <c r="E37" s="24">
        <v>3221420</v>
      </c>
      <c r="F37" s="24">
        <v>4070270</v>
      </c>
      <c r="G37" s="24">
        <v>12054400</v>
      </c>
      <c r="H37" s="24">
        <v>6913300</v>
      </c>
      <c r="I37" s="24">
        <v>6050660</v>
      </c>
      <c r="J37" s="24">
        <v>7468620</v>
      </c>
      <c r="K37" s="24">
        <v>11028290</v>
      </c>
      <c r="L37" s="24">
        <v>4759270</v>
      </c>
      <c r="M37" s="24">
        <v>9015480</v>
      </c>
      <c r="N37" s="24">
        <v>14589510</v>
      </c>
      <c r="O37" s="24">
        <v>20418950</v>
      </c>
      <c r="Q37" s="37">
        <f t="shared" ref="Q37" si="39">IF((C37-C36&lt;0), "0",C37-C36)</f>
        <v>1020</v>
      </c>
      <c r="R37" s="37">
        <f t="shared" si="23"/>
        <v>12830</v>
      </c>
      <c r="S37" s="37">
        <f t="shared" ref="S37" si="40">IF((E37-E36&lt;0), "0",E37-E36)</f>
        <v>3230</v>
      </c>
      <c r="T37" s="37">
        <f t="shared" ref="T37" si="41">IF((F37-F36&lt;0), "0",F37-F36)</f>
        <v>1620</v>
      </c>
      <c r="U37" s="37">
        <f t="shared" ref="U37" si="42">IF((G37-G36&lt;0), "0",G37-G36)</f>
        <v>4550</v>
      </c>
      <c r="V37" s="37">
        <f t="shared" ref="V37" si="43">IF((H37-H36&lt;0), "0",H37-H36)</f>
        <v>4150</v>
      </c>
      <c r="W37" s="37">
        <f t="shared" ref="W37" si="44">IF((I37-I36&lt;0), "0",I37-I36)</f>
        <v>3300</v>
      </c>
      <c r="X37" s="37">
        <f t="shared" si="28"/>
        <v>4430</v>
      </c>
      <c r="Y37" s="37">
        <f t="shared" ref="Y37" si="45">IF((K37-K36&lt;0), "0",K37-K36)</f>
        <v>4630</v>
      </c>
      <c r="Z37" s="37">
        <f t="shared" ref="Z37" si="46">IF((L37-L36&lt;0), "0",L37-L36)</f>
        <v>2690</v>
      </c>
      <c r="AA37" s="37">
        <f t="shared" ref="AA37" si="47">IF((M37-M36&lt;0), "0",M37-M36)</f>
        <v>3270</v>
      </c>
      <c r="AB37" s="37">
        <f t="shared" si="32"/>
        <v>7060</v>
      </c>
      <c r="AC37" s="37">
        <f t="shared" si="33"/>
        <v>12420</v>
      </c>
      <c r="AD37" s="35">
        <f t="shared" si="34"/>
        <v>65200</v>
      </c>
      <c r="AF37" s="20">
        <f t="shared" ref="AF37" si="48">Q37*$D$39</f>
        <v>5.1000000000000005</v>
      </c>
      <c r="AG37" s="20">
        <f t="shared" ref="AG37" si="49">R37*$D$39</f>
        <v>64.150000000000006</v>
      </c>
      <c r="AH37" s="20">
        <f t="shared" ref="AH37" si="50">S37*$D$39</f>
        <v>16.149999999999999</v>
      </c>
      <c r="AI37" s="20">
        <f t="shared" ref="AI37" si="51">T37*$D$39</f>
        <v>8.1</v>
      </c>
      <c r="AJ37" s="20">
        <f t="shared" ref="AJ37" si="52">U37*$D$39</f>
        <v>22.75</v>
      </c>
      <c r="AK37" s="20">
        <f t="shared" ref="AK37" si="53">V37*$D$39</f>
        <v>20.75</v>
      </c>
      <c r="AL37" s="20">
        <f t="shared" ref="AL37" si="54">W37*$D$39</f>
        <v>16.5</v>
      </c>
      <c r="AM37" s="20">
        <f t="shared" ref="AM37" si="55">X37*$D$39</f>
        <v>22.150000000000002</v>
      </c>
      <c r="AN37" s="20">
        <f t="shared" ref="AN37" si="56">Y37*$D$39</f>
        <v>23.150000000000002</v>
      </c>
      <c r="AO37" s="20">
        <f t="shared" ref="AO37" si="57">Z37*$D$39</f>
        <v>13.450000000000001</v>
      </c>
      <c r="AP37" s="20">
        <f t="shared" ref="AP37" si="58">AA37*$D$39</f>
        <v>16.350000000000001</v>
      </c>
      <c r="AQ37" s="20">
        <f t="shared" ref="AQ37" si="59">AB37*$D$39</f>
        <v>35.300000000000004</v>
      </c>
      <c r="AR37" s="20">
        <f t="shared" ref="AR37" si="60">AC37*$D$39</f>
        <v>62.1</v>
      </c>
      <c r="AS37" s="35">
        <f>SUM(AF37:AR37)</f>
        <v>326</v>
      </c>
      <c r="AT37" s="52"/>
      <c r="AV37" s="56">
        <v>0</v>
      </c>
      <c r="AW37" s="55">
        <f t="shared" si="14"/>
        <v>0</v>
      </c>
      <c r="AX37" s="57">
        <f t="shared" si="17"/>
        <v>0</v>
      </c>
      <c r="AY37" s="58">
        <f t="shared" si="18"/>
        <v>721506</v>
      </c>
      <c r="AZ37" s="37">
        <f t="shared" si="19"/>
        <v>187100</v>
      </c>
      <c r="BA37" s="37">
        <f t="shared" si="20"/>
        <v>510.78300000000002</v>
      </c>
      <c r="BB37" s="50">
        <f t="shared" si="21"/>
        <v>226.99196520000001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188710</v>
      </c>
      <c r="R38" s="38">
        <f t="shared" ref="R38:AD38" si="61">SUM(R7:R37)</f>
        <v>331880</v>
      </c>
      <c r="S38" s="38">
        <f t="shared" si="61"/>
        <v>19890</v>
      </c>
      <c r="T38" s="38">
        <f t="shared" si="61"/>
        <v>64240</v>
      </c>
      <c r="U38" s="38">
        <f t="shared" si="61"/>
        <v>141110</v>
      </c>
      <c r="V38" s="38">
        <f t="shared" si="61"/>
        <v>125430</v>
      </c>
      <c r="W38" s="38">
        <f t="shared" si="61"/>
        <v>99320</v>
      </c>
      <c r="X38" s="38">
        <f t="shared" si="61"/>
        <v>133120</v>
      </c>
      <c r="Y38" s="38">
        <f t="shared" si="61"/>
        <v>148700</v>
      </c>
      <c r="Z38" s="38">
        <f t="shared" si="61"/>
        <v>84510</v>
      </c>
      <c r="AA38" s="38">
        <f t="shared" si="61"/>
        <v>100090</v>
      </c>
      <c r="AB38" s="38">
        <f t="shared" si="61"/>
        <v>220460</v>
      </c>
      <c r="AC38" s="38">
        <f t="shared" si="61"/>
        <v>328550</v>
      </c>
      <c r="AD38" s="38">
        <f t="shared" si="61"/>
        <v>1986010</v>
      </c>
      <c r="AF38" s="35">
        <f>SUM(AF7:AF37)</f>
        <v>943.55</v>
      </c>
      <c r="AG38" s="35">
        <f t="shared" ref="AG38:AT38" si="62">SUM(AG7:AG37)</f>
        <v>1659.4</v>
      </c>
      <c r="AH38" s="35">
        <f t="shared" si="62"/>
        <v>99.450000000000017</v>
      </c>
      <c r="AI38" s="35">
        <f t="shared" si="62"/>
        <v>321.2000000000001</v>
      </c>
      <c r="AJ38" s="35">
        <f t="shared" si="62"/>
        <v>705.55000000000007</v>
      </c>
      <c r="AK38" s="35">
        <f t="shared" si="62"/>
        <v>627.15</v>
      </c>
      <c r="AL38" s="35">
        <f t="shared" si="62"/>
        <v>496.59999999999997</v>
      </c>
      <c r="AM38" s="35">
        <f t="shared" si="62"/>
        <v>665.6</v>
      </c>
      <c r="AN38" s="35">
        <f t="shared" si="62"/>
        <v>743.5</v>
      </c>
      <c r="AO38" s="35">
        <f t="shared" si="62"/>
        <v>422.55</v>
      </c>
      <c r="AP38" s="35">
        <f t="shared" si="62"/>
        <v>500.45000000000005</v>
      </c>
      <c r="AQ38" s="35">
        <f t="shared" si="62"/>
        <v>1102.2999999999997</v>
      </c>
      <c r="AR38" s="35">
        <f t="shared" si="62"/>
        <v>1642.75</v>
      </c>
      <c r="AS38" s="35">
        <f t="shared" si="62"/>
        <v>9930.0500000000011</v>
      </c>
      <c r="AT38" s="53">
        <f t="shared" si="62"/>
        <v>0</v>
      </c>
      <c r="AV38" s="56">
        <v>0</v>
      </c>
      <c r="AW38" s="55">
        <f t="shared" si="14"/>
        <v>0</v>
      </c>
      <c r="AX38" s="57">
        <f t="shared" si="17"/>
        <v>0</v>
      </c>
      <c r="AY38" s="46"/>
      <c r="AZ38" s="37">
        <f t="shared" si="19"/>
        <v>0</v>
      </c>
      <c r="BA38" s="37">
        <f>SUM(BA7:BA37)</f>
        <v>15834.272999999994</v>
      </c>
      <c r="BB38" s="50">
        <f t="shared" si="21"/>
        <v>7036.7509211999977</v>
      </c>
    </row>
    <row r="39" spans="1:54" x14ac:dyDescent="0.25">
      <c r="B39" s="39">
        <f>SUM(B7:B37)</f>
        <v>5202</v>
      </c>
      <c r="D39">
        <v>5.0000000000000001E-3</v>
      </c>
      <c r="AV39" s="56">
        <v>0</v>
      </c>
      <c r="AW39" s="55">
        <f t="shared" si="14"/>
        <v>0</v>
      </c>
      <c r="AX39" s="57">
        <f t="shared" si="17"/>
        <v>0</v>
      </c>
      <c r="AZ39" s="36"/>
      <c r="BA39" s="37">
        <f t="shared" si="20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4">
        <v>0.52800000000000002</v>
      </c>
      <c r="AX44" s="54">
        <v>3.79E-3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  <row r="48" spans="1:54" x14ac:dyDescent="0.25">
      <c r="AY48" s="45">
        <v>1871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2023-03-08T08:11:29Z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