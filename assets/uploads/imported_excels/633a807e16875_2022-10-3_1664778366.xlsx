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96" documentId="11_C6CB49589A6AEEA323ED615BAC1701928A2F9E95" xr6:coauthVersionLast="47" xr6:coauthVersionMax="47" xr10:uidLastSave="{7C40CE85-63A4-4451-B71A-04CF5685E68B}"/>
  <bookViews>
    <workbookView xWindow="0" yWindow="0" windowWidth="15696" windowHeight="805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<sst xmlns="http://schemas.openxmlformats.org/spreadsheetml/2006/main" count="898" uniqueCount="78">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</sst>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256" workbookViewId="0">
      <selection activeCell="K276" sqref="K276"/>
    </sheetView>
  </sheetViews>
  <sheetFormatPr defaultRowHeight="14.4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43.15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 t="s">
        <v>14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 t="s">
        <v>14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 t="s">
        <v>14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 t="s">
        <v>14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 t="s">
        <v>14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 t="s">
        <v>13</v>
      </c>
      <c r="G275" s="4">
        <f>'Gas Water'!M278</f>
        <v>1829</v>
      </c>
      <c r="H275" s="124">
        <v>20</v>
      </c>
      <c r="I275" s="2">
        <f>'Gas Water'!L278</f>
        <v>283</v>
      </c>
      <c r="J275" s="124" t="s">
        <v>14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 t="s">
        <v>13</v>
      </c>
      <c r="G276" s="4">
        <f>'Gas Water'!M279</f>
        <v>2320</v>
      </c>
      <c r="H276" s="124">
        <v>20</v>
      </c>
      <c r="I276" s="2">
        <f>'Gas Water'!L279</f>
        <v>335</v>
      </c>
      <c r="J276" s="124" t="s">
        <v>14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24" t="s">
        <v>13</v>
      </c>
      <c r="G277" s="4" t="str">
        <f>'Gas Water'!M280</f>
        <v/>
      </c>
      <c r="H277" s="124">
        <v>20</v>
      </c>
      <c r="I277" s="2" t="str">
        <f>'Gas Water'!L280</f>
        <v/>
      </c>
      <c r="J277" s="124" t="s">
        <v>14</v>
      </c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24" t="s">
        <v>13</v>
      </c>
      <c r="G278" s="4" t="str">
        <f>'Gas Water'!M281</f>
        <v/>
      </c>
      <c r="H278" s="124">
        <v>20</v>
      </c>
      <c r="I278" s="2" t="str">
        <f>'Gas Water'!L281</f>
        <v/>
      </c>
      <c r="J278" s="124" t="s">
        <v>14</v>
      </c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24" t="s">
        <v>13</v>
      </c>
      <c r="G279" s="4" t="str">
        <f>'Gas Water'!M282</f>
        <v/>
      </c>
      <c r="H279" s="124">
        <v>20</v>
      </c>
      <c r="I279" s="2" t="str">
        <f>'Gas Water'!L282</f>
        <v/>
      </c>
      <c r="J279" s="124" t="s">
        <v>14</v>
      </c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24" t="s">
        <v>13</v>
      </c>
      <c r="G280" s="4" t="str">
        <f>'Gas Water'!M283</f>
        <v/>
      </c>
      <c r="H280" s="124">
        <v>20</v>
      </c>
      <c r="I280" s="2" t="str">
        <f>'Gas Water'!L283</f>
        <v/>
      </c>
      <c r="J280" s="124" t="s">
        <v>14</v>
      </c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24" t="s">
        <v>13</v>
      </c>
      <c r="G281" s="4" t="str">
        <f>'Gas Water'!M284</f>
        <v/>
      </c>
      <c r="H281" s="124">
        <v>20</v>
      </c>
      <c r="I281" s="2" t="str">
        <f>'Gas Water'!L284</f>
        <v/>
      </c>
      <c r="J281" s="124" t="s">
        <v>14</v>
      </c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24" t="s">
        <v>13</v>
      </c>
      <c r="G282" s="4" t="str">
        <f>'Gas Water'!M285</f>
        <v/>
      </c>
      <c r="H282" s="124">
        <v>20</v>
      </c>
      <c r="I282" s="2" t="str">
        <f>'Gas Water'!L285</f>
        <v/>
      </c>
      <c r="J282" s="124" t="s">
        <v>14</v>
      </c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24" t="s">
        <v>13</v>
      </c>
      <c r="G283" s="4" t="str">
        <f>'Gas Water'!M286</f>
        <v/>
      </c>
      <c r="H283" s="124">
        <v>20</v>
      </c>
      <c r="I283" s="2" t="str">
        <f>'Gas Water'!L286</f>
        <v/>
      </c>
      <c r="J283" s="124" t="s">
        <v>14</v>
      </c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24" t="s">
        <v>13</v>
      </c>
      <c r="G284" s="4" t="str">
        <f>'Gas Water'!M287</f>
        <v/>
      </c>
      <c r="H284" s="124">
        <v>20</v>
      </c>
      <c r="I284" s="2" t="str">
        <f>'Gas Water'!L287</f>
        <v/>
      </c>
      <c r="J284" s="124" t="s">
        <v>14</v>
      </c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24" t="s">
        <v>13</v>
      </c>
      <c r="G285" s="4" t="str">
        <f>'Gas Water'!M288</f>
        <v/>
      </c>
      <c r="H285" s="124">
        <v>20</v>
      </c>
      <c r="I285" s="2" t="str">
        <f>'Gas Water'!L288</f>
        <v/>
      </c>
      <c r="J285" s="124" t="s">
        <v>14</v>
      </c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24" t="s">
        <v>13</v>
      </c>
      <c r="G286" s="4" t="str">
        <f>'Gas Water'!M289</f>
        <v/>
      </c>
      <c r="H286" s="124">
        <v>20</v>
      </c>
      <c r="I286" s="2" t="str">
        <f>'Gas Water'!L289</f>
        <v/>
      </c>
      <c r="J286" s="124" t="s">
        <v>14</v>
      </c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24" t="s">
        <v>13</v>
      </c>
      <c r="G287" s="4" t="str">
        <f>'Gas Water'!M290</f>
        <v/>
      </c>
      <c r="H287" s="124">
        <v>20</v>
      </c>
      <c r="I287" s="2" t="str">
        <f>'Gas Water'!L290</f>
        <v/>
      </c>
      <c r="J287" s="124" t="s">
        <v>14</v>
      </c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24" t="s">
        <v>13</v>
      </c>
      <c r="G288" s="4" t="str">
        <f>'Gas Water'!M291</f>
        <v/>
      </c>
      <c r="H288" s="124">
        <v>20</v>
      </c>
      <c r="I288" s="2" t="str">
        <f>'Gas Water'!L291</f>
        <v/>
      </c>
      <c r="J288" s="124" t="s">
        <v>14</v>
      </c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24" t="s">
        <v>13</v>
      </c>
      <c r="G289" s="4" t="str">
        <f>'Gas Water'!M292</f>
        <v/>
      </c>
      <c r="H289" s="124">
        <v>20</v>
      </c>
      <c r="I289" s="2" t="str">
        <f>'Gas Water'!L292</f>
        <v/>
      </c>
      <c r="J289" s="124" t="s">
        <v>14</v>
      </c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24" t="s">
        <v>13</v>
      </c>
      <c r="G290" s="4" t="str">
        <f>'Gas Water'!M293</f>
        <v/>
      </c>
      <c r="H290" s="124">
        <v>20</v>
      </c>
      <c r="I290" s="2" t="str">
        <f>'Gas Water'!L293</f>
        <v/>
      </c>
      <c r="J290" s="124" t="s">
        <v>14</v>
      </c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24" t="s">
        <v>13</v>
      </c>
      <c r="G291" s="4" t="str">
        <f>'Gas Water'!M294</f>
        <v/>
      </c>
      <c r="H291" s="124">
        <v>20</v>
      </c>
      <c r="I291" s="2" t="str">
        <f>'Gas Water'!L294</f>
        <v/>
      </c>
      <c r="J291" s="124" t="s">
        <v>14</v>
      </c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24" t="s">
        <v>13</v>
      </c>
      <c r="G292" s="4" t="str">
        <f>'Gas Water'!M295</f>
        <v/>
      </c>
      <c r="H292" s="124">
        <v>20</v>
      </c>
      <c r="I292" s="2" t="str">
        <f>'Gas Water'!L295</f>
        <v/>
      </c>
      <c r="J292" s="124" t="s">
        <v>14</v>
      </c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24" t="s">
        <v>13</v>
      </c>
      <c r="G293" s="4" t="str">
        <f>'Gas Water'!M296</f>
        <v/>
      </c>
      <c r="H293" s="124">
        <v>20</v>
      </c>
      <c r="I293" s="2" t="str">
        <f>'Gas Water'!L296</f>
        <v/>
      </c>
      <c r="J293" s="124" t="s">
        <v>14</v>
      </c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 t="s">
        <v>13</v>
      </c>
      <c r="G294" s="4" t="str">
        <f>'Gas Water'!M297</f>
        <v/>
      </c>
      <c r="H294" s="124">
        <v>20</v>
      </c>
      <c r="I294" s="2" t="str">
        <f>'Gas Water'!L297</f>
        <v/>
      </c>
      <c r="J294" s="124" t="s">
        <v>14</v>
      </c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 t="s">
        <v>13</v>
      </c>
      <c r="G295" s="4" t="str">
        <f>'Gas Water'!M298</f>
        <v/>
      </c>
      <c r="H295" s="124">
        <v>20</v>
      </c>
      <c r="I295" s="2" t="str">
        <f>'Gas Water'!L298</f>
        <v/>
      </c>
      <c r="J295" s="124" t="s">
        <v>14</v>
      </c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 t="s">
        <v>13</v>
      </c>
      <c r="G296" s="4" t="str">
        <f>'Gas Water'!M299</f>
        <v/>
      </c>
      <c r="H296" s="124">
        <v>20</v>
      </c>
      <c r="I296" s="2" t="str">
        <f>'Gas Water'!L299</f>
        <v/>
      </c>
      <c r="J296" s="124" t="s">
        <v>14</v>
      </c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 t="s">
        <v>13</v>
      </c>
      <c r="G297" s="4" t="str">
        <f>'Gas Water'!M300</f>
        <v/>
      </c>
      <c r="H297" s="124">
        <v>20</v>
      </c>
      <c r="I297" s="2" t="str">
        <f>'Gas Water'!L300</f>
        <v/>
      </c>
      <c r="J297" s="124" t="s">
        <v>14</v>
      </c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 t="s">
        <v>13</v>
      </c>
      <c r="G298" s="4" t="str">
        <f>'Gas Water'!M301</f>
        <v/>
      </c>
      <c r="H298" s="124">
        <v>20</v>
      </c>
      <c r="I298" s="2" t="str">
        <f>'Gas Water'!L301</f>
        <v/>
      </c>
      <c r="J298" s="124" t="s">
        <v>14</v>
      </c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 t="s">
        <v>13</v>
      </c>
      <c r="G299" s="4" t="str">
        <f>'Gas Water'!M302</f>
        <v/>
      </c>
      <c r="H299" s="124">
        <v>20</v>
      </c>
      <c r="I299" s="2" t="str">
        <f>'Gas Water'!L302</f>
        <v/>
      </c>
      <c r="J299" s="124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 t="s">
        <v>13</v>
      </c>
      <c r="G300" s="4" t="str">
        <f>'Gas Water'!M303</f>
        <v/>
      </c>
      <c r="H300" s="124">
        <v>20</v>
      </c>
      <c r="I300" s="2" t="str">
        <f>'Gas Water'!L303</f>
        <v/>
      </c>
      <c r="J300" s="124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 t="s">
        <v>13</v>
      </c>
      <c r="G301" s="4" t="str">
        <f>'Gas Water'!M304</f>
        <v/>
      </c>
      <c r="H301" s="124">
        <v>20</v>
      </c>
      <c r="I301" s="2" t="str">
        <f>'Gas Water'!L304</f>
        <v/>
      </c>
      <c r="J301" s="124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 t="s">
        <v>13</v>
      </c>
      <c r="G302" s="4" t="str">
        <f>'Gas Water'!M305</f>
        <v/>
      </c>
      <c r="H302" s="124">
        <v>20</v>
      </c>
      <c r="I302" s="2" t="str">
        <f>'Gas Water'!L305</f>
        <v/>
      </c>
      <c r="J302" s="124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 t="s">
        <v>13</v>
      </c>
      <c r="G303" s="4" t="str">
        <f>'Gas Water'!M306</f>
        <v/>
      </c>
      <c r="H303" s="124">
        <v>20</v>
      </c>
      <c r="I303" s="2" t="str">
        <f>'Gas Water'!L306</f>
        <v/>
      </c>
      <c r="J303" s="124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 t="s">
        <v>13</v>
      </c>
      <c r="G304" s="4" t="str">
        <f>'Gas Water'!M307</f>
        <v/>
      </c>
      <c r="H304" s="124">
        <v>20</v>
      </c>
      <c r="I304" s="2" t="str">
        <f>'Gas Water'!L307</f>
        <v/>
      </c>
      <c r="J304" s="124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 t="s">
        <v>13</v>
      </c>
      <c r="G305" s="4" t="str">
        <f>'Gas Water'!M308</f>
        <v/>
      </c>
      <c r="H305" s="124">
        <v>20</v>
      </c>
      <c r="I305" s="2" t="str">
        <f>'Gas Water'!L308</f>
        <v/>
      </c>
      <c r="J305" s="124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 t="s">
        <v>13</v>
      </c>
      <c r="G306" s="4" t="str">
        <f>'Gas Water'!M309</f>
        <v/>
      </c>
      <c r="H306" s="124">
        <v>20</v>
      </c>
      <c r="I306" s="2" t="str">
        <f>'Gas Water'!L309</f>
        <v/>
      </c>
      <c r="J306" s="124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 t="s">
        <v>13</v>
      </c>
      <c r="G307" s="4" t="str">
        <f>'Gas Water'!M310</f>
        <v/>
      </c>
      <c r="H307" s="124">
        <v>20</v>
      </c>
      <c r="I307" s="2" t="str">
        <f>'Gas Water'!L310</f>
        <v/>
      </c>
      <c r="J307" s="124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 t="s">
        <v>13</v>
      </c>
      <c r="G308" s="4" t="str">
        <f>'Gas Water'!M311</f>
        <v/>
      </c>
      <c r="H308" s="124">
        <v>20</v>
      </c>
      <c r="I308" s="2" t="str">
        <f>'Gas Water'!L311</f>
        <v/>
      </c>
      <c r="J308" s="124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 t="s">
        <v>13</v>
      </c>
      <c r="G309" s="4" t="str">
        <f>'Gas Water'!M312</f>
        <v/>
      </c>
      <c r="H309" s="124">
        <v>20</v>
      </c>
      <c r="I309" s="2" t="str">
        <f>'Gas Water'!L312</f>
        <v/>
      </c>
      <c r="J309" s="124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 t="s">
        <v>13</v>
      </c>
      <c r="G310" s="4" t="str">
        <f>'Gas Water'!M313</f>
        <v/>
      </c>
      <c r="H310" s="124">
        <v>20</v>
      </c>
      <c r="I310" s="2" t="str">
        <f>'Gas Water'!L313</f>
        <v/>
      </c>
      <c r="J310" s="124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 t="s">
        <v>13</v>
      </c>
      <c r="G311" s="4" t="str">
        <f>'Gas Water'!M314</f>
        <v/>
      </c>
      <c r="H311" s="124">
        <v>20</v>
      </c>
      <c r="I311" s="2" t="str">
        <f>'Gas Water'!L314</f>
        <v/>
      </c>
      <c r="J311" s="124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 t="s">
        <v>13</v>
      </c>
      <c r="G312" s="4" t="str">
        <f>'Gas Water'!M315</f>
        <v/>
      </c>
      <c r="H312" s="124">
        <v>20</v>
      </c>
      <c r="I312" s="2" t="str">
        <f>'Gas Water'!L315</f>
        <v/>
      </c>
      <c r="J312" s="124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 t="s">
        <v>13</v>
      </c>
      <c r="G313" s="4" t="str">
        <f>'Gas Water'!M316</f>
        <v/>
      </c>
      <c r="H313" s="124">
        <v>20</v>
      </c>
      <c r="I313" s="2" t="str">
        <f>'Gas Water'!L316</f>
        <v/>
      </c>
      <c r="J313" s="124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 t="s">
        <v>13</v>
      </c>
      <c r="G314" s="4" t="str">
        <f>'Gas Water'!M317</f>
        <v/>
      </c>
      <c r="H314" s="124">
        <v>20</v>
      </c>
      <c r="I314" s="2" t="str">
        <f>'Gas Water'!L317</f>
        <v/>
      </c>
      <c r="J314" s="124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 t="s">
        <v>13</v>
      </c>
      <c r="G315" s="4" t="str">
        <f>'Gas Water'!M318</f>
        <v/>
      </c>
      <c r="H315" s="124">
        <v>20</v>
      </c>
      <c r="I315" s="2" t="str">
        <f>'Gas Water'!L318</f>
        <v/>
      </c>
      <c r="J315" s="124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 t="s">
        <v>13</v>
      </c>
      <c r="G316" s="4" t="str">
        <f>'Gas Water'!M319</f>
        <v/>
      </c>
      <c r="H316" s="124">
        <v>20</v>
      </c>
      <c r="I316" s="2" t="str">
        <f>'Gas Water'!L319</f>
        <v/>
      </c>
      <c r="J316" s="124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 t="s">
        <v>13</v>
      </c>
      <c r="G317" s="4" t="str">
        <f>'Gas Water'!M320</f>
        <v/>
      </c>
      <c r="H317" s="124">
        <v>20</v>
      </c>
      <c r="I317" s="2" t="str">
        <f>'Gas Water'!L320</f>
        <v/>
      </c>
      <c r="J317" s="124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 t="s">
        <v>13</v>
      </c>
      <c r="G318" s="4" t="str">
        <f>'Gas Water'!M321</f>
        <v/>
      </c>
      <c r="H318" s="124">
        <v>20</v>
      </c>
      <c r="I318" s="2" t="str">
        <f>'Gas Water'!L321</f>
        <v/>
      </c>
      <c r="J318" s="124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 t="s">
        <v>13</v>
      </c>
      <c r="G319" s="4" t="str">
        <f>'Gas Water'!M322</f>
        <v/>
      </c>
      <c r="H319" s="124">
        <v>20</v>
      </c>
      <c r="I319" s="2" t="str">
        <f>'Gas Water'!L322</f>
        <v/>
      </c>
      <c r="J319" s="124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 t="s">
        <v>13</v>
      </c>
      <c r="G320" s="4" t="str">
        <f>'Gas Water'!M323</f>
        <v/>
      </c>
      <c r="H320" s="124">
        <v>20</v>
      </c>
      <c r="I320" s="2" t="str">
        <f>'Gas Water'!L323</f>
        <v/>
      </c>
      <c r="J320" s="124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 t="s">
        <v>13</v>
      </c>
      <c r="G321" s="4" t="str">
        <f>'Gas Water'!M324</f>
        <v/>
      </c>
      <c r="H321" s="124">
        <v>20</v>
      </c>
      <c r="I321" s="2" t="str">
        <f>'Gas Water'!L324</f>
        <v/>
      </c>
      <c r="J321" s="124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 t="s">
        <v>13</v>
      </c>
      <c r="G322" s="4" t="str">
        <f>'Gas Water'!M325</f>
        <v/>
      </c>
      <c r="H322" s="124">
        <v>20</v>
      </c>
      <c r="I322" s="2" t="str">
        <f>'Gas Water'!L325</f>
        <v/>
      </c>
      <c r="J322" s="124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 t="s">
        <v>13</v>
      </c>
      <c r="G323" s="4" t="str">
        <f>'Gas Water'!M326</f>
        <v/>
      </c>
      <c r="H323" s="124">
        <v>20</v>
      </c>
      <c r="I323" s="2" t="str">
        <f>'Gas Water'!L326</f>
        <v/>
      </c>
      <c r="J323" s="124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 t="s">
        <v>13</v>
      </c>
      <c r="G324" s="4" t="str">
        <f>'Gas Water'!M327</f>
        <v/>
      </c>
      <c r="H324" s="124">
        <v>20</v>
      </c>
      <c r="I324" s="2" t="str">
        <f>'Gas Water'!L327</f>
        <v/>
      </c>
      <c r="J324" s="124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 t="s">
        <v>13</v>
      </c>
      <c r="G325" s="4" t="str">
        <f>'Gas Water'!M328</f>
        <v/>
      </c>
      <c r="H325" s="124">
        <v>20</v>
      </c>
      <c r="I325" s="2" t="str">
        <f>'Gas Water'!L328</f>
        <v/>
      </c>
      <c r="J325" s="124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 t="s">
        <v>13</v>
      </c>
      <c r="G326" s="4" t="str">
        <f>'Gas Water'!M329</f>
        <v/>
      </c>
      <c r="H326" s="124">
        <v>20</v>
      </c>
      <c r="I326" s="2" t="str">
        <f>'Gas Water'!L329</f>
        <v/>
      </c>
      <c r="J326" s="124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 t="s">
        <v>13</v>
      </c>
      <c r="G327" s="4" t="str">
        <f>'Gas Water'!M330</f>
        <v/>
      </c>
      <c r="H327" s="124">
        <v>20</v>
      </c>
      <c r="I327" s="2" t="str">
        <f>'Gas Water'!L330</f>
        <v/>
      </c>
      <c r="J327" s="124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 t="s">
        <v>13</v>
      </c>
      <c r="G328" s="4" t="str">
        <f>'Gas Water'!M331</f>
        <v/>
      </c>
      <c r="H328" s="124">
        <v>20</v>
      </c>
      <c r="I328" s="2" t="str">
        <f>'Gas Water'!L331</f>
        <v/>
      </c>
      <c r="J328" s="124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 t="s">
        <v>13</v>
      </c>
      <c r="G329" s="4" t="str">
        <f>'Gas Water'!M332</f>
        <v/>
      </c>
      <c r="H329" s="124">
        <v>20</v>
      </c>
      <c r="I329" s="2" t="str">
        <f>'Gas Water'!L332</f>
        <v/>
      </c>
      <c r="J329" s="124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 t="s">
        <v>13</v>
      </c>
      <c r="G330" s="4" t="str">
        <f>'Gas Water'!M333</f>
        <v/>
      </c>
      <c r="H330" s="124">
        <v>20</v>
      </c>
      <c r="I330" s="2" t="str">
        <f>'Gas Water'!L333</f>
        <v/>
      </c>
      <c r="J330" s="124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 t="s">
        <v>13</v>
      </c>
      <c r="G331" s="4" t="str">
        <f>'Gas Water'!M334</f>
        <v/>
      </c>
      <c r="H331" s="124">
        <v>20</v>
      </c>
      <c r="I331" s="2" t="str">
        <f>'Gas Water'!L334</f>
        <v/>
      </c>
      <c r="J331" s="124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 t="s">
        <v>13</v>
      </c>
      <c r="G332" s="4" t="str">
        <f>'Gas Water'!M335</f>
        <v/>
      </c>
      <c r="H332" s="124">
        <v>20</v>
      </c>
      <c r="I332" s="2" t="str">
        <f>'Gas Water'!L335</f>
        <v/>
      </c>
      <c r="J332" s="124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 t="s">
        <v>13</v>
      </c>
      <c r="G333" s="4" t="str">
        <f>'Gas Water'!M336</f>
        <v/>
      </c>
      <c r="H333" s="124">
        <v>20</v>
      </c>
      <c r="I333" s="2" t="str">
        <f>'Gas Water'!L336</f>
        <v/>
      </c>
      <c r="J333" s="124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 t="s">
        <v>13</v>
      </c>
      <c r="G334" s="4" t="str">
        <f>'Gas Water'!M337</f>
        <v/>
      </c>
      <c r="H334" s="124">
        <v>20</v>
      </c>
      <c r="I334" s="2" t="str">
        <f>'Gas Water'!L337</f>
        <v/>
      </c>
      <c r="J334" s="124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 t="s">
        <v>13</v>
      </c>
      <c r="G335" s="4" t="str">
        <f>'Gas Water'!M338</f>
        <v/>
      </c>
      <c r="H335" s="124">
        <v>20</v>
      </c>
      <c r="I335" s="2" t="str">
        <f>'Gas Water'!L338</f>
        <v/>
      </c>
      <c r="J335" s="124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71" workbookViewId="0">
      <selection activeCell="N280" sqref="N280"/>
    </sheetView>
  </sheetViews>
  <sheetFormatPr defaultColWidth="9.140625" defaultRowHeight="14.4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N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ht="15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ht="15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>
      <c r="A279" s="50">
        <v>44837</v>
      </c>
      <c r="D279" s="128"/>
      <c r="E279" s="129"/>
      <c r="F279" s="130"/>
      <c r="G279" s="53"/>
      <c r="H279" s="53">
        <v>4140</v>
      </c>
      <c r="I279" s="53" t="str">
        <f t="shared" si="86"/>
        <v/>
      </c>
      <c r="J279" s="53" t="str">
        <f t="shared" si="87"/>
        <v/>
      </c>
      <c r="K279" s="54" t="str">
        <f t="shared" si="92"/>
        <v/>
      </c>
      <c r="L279" s="53" t="str">
        <f t="shared" si="89"/>
        <v/>
      </c>
      <c r="M279" s="54" t="str">
        <f t="shared" si="93"/>
        <v/>
      </c>
      <c r="N279" s="55"/>
      <c r="O279" s="55" t="str">
        <f t="shared" si="90"/>
        <v/>
      </c>
      <c r="P279" s="84"/>
      <c r="Q279" s="85"/>
      <c r="R279" s="19">
        <f t="shared" si="88"/>
        <v>0</v>
      </c>
      <c r="S279" s="19">
        <f t="shared" si="91"/>
        <v>1</v>
      </c>
      <c r="T279" s="145"/>
    </row>
    <row r="280" spans="1:23">
      <c r="A280" s="50">
        <v>44838</v>
      </c>
      <c r="D280" s="128"/>
      <c r="E280" s="129"/>
      <c r="F280" s="130"/>
      <c r="G280" s="53"/>
      <c r="H280" s="53">
        <v>4140</v>
      </c>
      <c r="I280" s="53" t="str">
        <f t="shared" si="86"/>
        <v/>
      </c>
      <c r="J280" s="53" t="str">
        <f t="shared" si="87"/>
        <v/>
      </c>
      <c r="K280" s="54" t="str">
        <f t="shared" si="92"/>
        <v/>
      </c>
      <c r="L280" s="53" t="str">
        <f t="shared" si="89"/>
        <v/>
      </c>
      <c r="M280" s="54" t="str">
        <f t="shared" si="93"/>
        <v/>
      </c>
      <c r="N280" s="55"/>
      <c r="O280" s="55" t="str">
        <f t="shared" si="90"/>
        <v/>
      </c>
      <c r="P280" s="86"/>
      <c r="Q280" s="87"/>
      <c r="R280" s="19">
        <f t="shared" si="88"/>
        <v>0</v>
      </c>
      <c r="S280" s="19">
        <f t="shared" si="91"/>
        <v>1</v>
      </c>
      <c r="T280" s="145"/>
    </row>
    <row r="281" spans="1:23">
      <c r="A281" s="50">
        <v>44839</v>
      </c>
      <c r="D281" s="128"/>
      <c r="E281" s="129"/>
      <c r="F281" s="130"/>
      <c r="G281" s="53"/>
      <c r="H281" s="53">
        <v>4140</v>
      </c>
      <c r="I281" s="53" t="str">
        <f t="shared" si="86"/>
        <v/>
      </c>
      <c r="J281" s="53" t="str">
        <f t="shared" si="87"/>
        <v/>
      </c>
      <c r="K281" s="54" t="str">
        <f t="shared" si="92"/>
        <v/>
      </c>
      <c r="L281" s="53" t="str">
        <f t="shared" si="89"/>
        <v/>
      </c>
      <c r="M281" s="54" t="str">
        <f t="shared" si="93"/>
        <v/>
      </c>
      <c r="N281" s="55"/>
      <c r="O281" s="55" t="str">
        <f t="shared" si="90"/>
        <v/>
      </c>
      <c r="P281" s="86"/>
      <c r="Q281" s="85"/>
      <c r="R281" s="19">
        <f t="shared" si="88"/>
        <v>0</v>
      </c>
      <c r="S281" s="19">
        <f t="shared" si="91"/>
        <v>1</v>
      </c>
      <c r="T281" s="144"/>
    </row>
    <row r="282" spans="1:23">
      <c r="A282" s="50">
        <v>44840</v>
      </c>
      <c r="D282" s="128"/>
      <c r="E282" s="129"/>
      <c r="F282" s="130"/>
      <c r="G282" s="53"/>
      <c r="H282" s="53">
        <v>4140</v>
      </c>
      <c r="I282" s="53" t="str">
        <f t="shared" si="86"/>
        <v/>
      </c>
      <c r="J282" s="53" t="str">
        <f t="shared" si="87"/>
        <v/>
      </c>
      <c r="K282" s="54" t="str">
        <f t="shared" si="92"/>
        <v/>
      </c>
      <c r="L282" s="53" t="str">
        <f t="shared" si="89"/>
        <v/>
      </c>
      <c r="M282" s="54" t="str">
        <f t="shared" si="93"/>
        <v/>
      </c>
      <c r="N282" s="55"/>
      <c r="O282" s="55" t="str">
        <f t="shared" si="90"/>
        <v/>
      </c>
      <c r="P282" s="56"/>
      <c r="Q282" s="57"/>
      <c r="R282" s="19">
        <f t="shared" si="88"/>
        <v>0</v>
      </c>
      <c r="S282" s="19">
        <f t="shared" si="91"/>
        <v>1</v>
      </c>
      <c r="T282" s="144"/>
    </row>
    <row r="283" spans="1:23">
      <c r="A283" s="50">
        <v>44841</v>
      </c>
      <c r="D283" s="128"/>
      <c r="E283" s="129"/>
      <c r="F283" s="130"/>
      <c r="G283" s="53"/>
      <c r="H283" s="53">
        <v>4140</v>
      </c>
      <c r="I283" s="53" t="str">
        <f t="shared" si="86"/>
        <v/>
      </c>
      <c r="J283" s="53" t="str">
        <f t="shared" si="87"/>
        <v/>
      </c>
      <c r="K283" s="54" t="str">
        <f t="shared" si="92"/>
        <v/>
      </c>
      <c r="L283" s="53" t="str">
        <f t="shared" si="89"/>
        <v/>
      </c>
      <c r="M283" s="54" t="str">
        <f t="shared" si="93"/>
        <v/>
      </c>
      <c r="N283" s="55"/>
      <c r="O283" s="55" t="str">
        <f t="shared" si="90"/>
        <v/>
      </c>
      <c r="P283" s="56"/>
      <c r="Q283" s="58"/>
      <c r="R283" s="19">
        <f t="shared" si="88"/>
        <v>0</v>
      </c>
      <c r="S283" s="19">
        <f t="shared" si="91"/>
        <v>1</v>
      </c>
      <c r="T283" s="144"/>
    </row>
    <row r="284" spans="1:23">
      <c r="A284" s="50">
        <v>44842</v>
      </c>
      <c r="D284" s="128"/>
      <c r="E284" s="129"/>
      <c r="F284" s="130"/>
      <c r="G284" s="53"/>
      <c r="H284" s="53">
        <v>4140</v>
      </c>
      <c r="I284" s="53" t="str">
        <f t="shared" si="86"/>
        <v/>
      </c>
      <c r="J284" s="53" t="str">
        <f t="shared" si="87"/>
        <v/>
      </c>
      <c r="K284" s="54" t="str">
        <f t="shared" si="92"/>
        <v/>
      </c>
      <c r="L284" s="53" t="str">
        <f t="shared" si="89"/>
        <v/>
      </c>
      <c r="M284" s="54" t="str">
        <f t="shared" si="93"/>
        <v/>
      </c>
      <c r="N284" s="55"/>
      <c r="O284" s="55" t="str">
        <f t="shared" si="90"/>
        <v/>
      </c>
      <c r="P284" s="56"/>
      <c r="Q284" s="58"/>
      <c r="R284" s="19">
        <f t="shared" si="88"/>
        <v>0</v>
      </c>
      <c r="S284" s="19">
        <f t="shared" si="91"/>
        <v>1</v>
      </c>
      <c r="T284" s="145"/>
    </row>
    <row r="285" spans="1:23">
      <c r="A285" s="50">
        <v>44843</v>
      </c>
      <c r="D285" s="128"/>
      <c r="E285" s="129"/>
      <c r="F285" s="130"/>
      <c r="G285" s="53"/>
      <c r="H285" s="53">
        <v>4140</v>
      </c>
      <c r="I285" s="53" t="str">
        <f t="shared" si="86"/>
        <v/>
      </c>
      <c r="J285" s="53" t="str">
        <f t="shared" si="87"/>
        <v/>
      </c>
      <c r="K285" s="54" t="str">
        <f t="shared" si="92"/>
        <v/>
      </c>
      <c r="L285" s="53" t="str">
        <f t="shared" si="89"/>
        <v/>
      </c>
      <c r="M285" s="54" t="str">
        <f t="shared" si="93"/>
        <v/>
      </c>
      <c r="N285" s="55"/>
      <c r="O285" s="55" t="str">
        <f t="shared" si="90"/>
        <v/>
      </c>
      <c r="P285" s="56"/>
      <c r="Q285" s="58"/>
      <c r="R285" s="19">
        <f t="shared" si="88"/>
        <v>0</v>
      </c>
      <c r="S285" s="19">
        <f t="shared" si="91"/>
        <v>1</v>
      </c>
      <c r="T285" s="145"/>
    </row>
    <row r="286" spans="1:23">
      <c r="A286" s="50">
        <v>44844</v>
      </c>
      <c r="D286" s="128"/>
      <c r="E286" s="129"/>
      <c r="F286" s="130"/>
      <c r="G286" s="53"/>
      <c r="H286" s="53">
        <v>4140</v>
      </c>
      <c r="I286" s="53" t="str">
        <f t="shared" si="86"/>
        <v/>
      </c>
      <c r="J286" s="53" t="str">
        <f t="shared" si="87"/>
        <v/>
      </c>
      <c r="K286" s="54" t="str">
        <f t="shared" si="92"/>
        <v/>
      </c>
      <c r="L286" s="53" t="str">
        <f t="shared" si="89"/>
        <v/>
      </c>
      <c r="M286" s="54" t="str">
        <f t="shared" si="93"/>
        <v/>
      </c>
      <c r="N286" s="55"/>
      <c r="O286" s="55" t="str">
        <f t="shared" si="90"/>
        <v/>
      </c>
      <c r="P286" s="56"/>
      <c r="Q286" s="57"/>
      <c r="R286" s="19">
        <f t="shared" si="88"/>
        <v>0</v>
      </c>
      <c r="S286" s="19">
        <f t="shared" si="91"/>
        <v>1</v>
      </c>
      <c r="T286" s="144"/>
    </row>
    <row r="287" spans="1:23">
      <c r="A287" s="50">
        <v>44845</v>
      </c>
      <c r="D287" s="128"/>
      <c r="E287" s="129"/>
      <c r="F287" s="130"/>
      <c r="G287" s="53"/>
      <c r="H287" s="53">
        <v>4140</v>
      </c>
      <c r="I287" s="53" t="str">
        <f t="shared" si="86"/>
        <v/>
      </c>
      <c r="J287" s="53" t="str">
        <f t="shared" si="87"/>
        <v/>
      </c>
      <c r="K287" s="54" t="str">
        <f t="shared" si="92"/>
        <v/>
      </c>
      <c r="L287" s="53" t="str">
        <f t="shared" si="89"/>
        <v/>
      </c>
      <c r="M287" s="54" t="str">
        <f t="shared" si="93"/>
        <v/>
      </c>
      <c r="N287" s="55"/>
      <c r="O287" s="55" t="str">
        <f t="shared" si="90"/>
        <v/>
      </c>
      <c r="P287" s="56"/>
      <c r="Q287" s="57"/>
      <c r="R287" s="19">
        <f t="shared" si="88"/>
        <v>0</v>
      </c>
      <c r="S287" s="19">
        <f t="shared" si="91"/>
        <v>1</v>
      </c>
      <c r="T287" s="144"/>
    </row>
    <row r="288" spans="1:23">
      <c r="A288" s="50">
        <v>44846</v>
      </c>
      <c r="D288" s="128"/>
      <c r="E288" s="129"/>
      <c r="F288" s="130"/>
      <c r="G288" s="53"/>
      <c r="H288" s="53">
        <v>4140</v>
      </c>
      <c r="I288" s="53" t="str">
        <f t="shared" si="86"/>
        <v/>
      </c>
      <c r="J288" s="53" t="str">
        <f t="shared" si="87"/>
        <v/>
      </c>
      <c r="K288" s="54" t="str">
        <f t="shared" si="92"/>
        <v/>
      </c>
      <c r="L288" s="53" t="str">
        <f t="shared" si="89"/>
        <v/>
      </c>
      <c r="M288" s="54" t="str">
        <f t="shared" si="93"/>
        <v/>
      </c>
      <c r="N288" s="55"/>
      <c r="O288" s="55" t="str">
        <f t="shared" si="90"/>
        <v/>
      </c>
      <c r="P288" s="56"/>
      <c r="Q288" s="58"/>
      <c r="R288" s="19">
        <f t="shared" si="88"/>
        <v>0</v>
      </c>
      <c r="S288" s="19">
        <f t="shared" si="91"/>
        <v>1</v>
      </c>
      <c r="T288" s="144"/>
    </row>
    <row r="289" spans="1:20">
      <c r="A289" s="50">
        <v>44847</v>
      </c>
      <c r="D289" s="128"/>
      <c r="E289" s="129"/>
      <c r="F289" s="130"/>
      <c r="G289" s="53"/>
      <c r="H289" s="53">
        <v>4140</v>
      </c>
      <c r="I289" s="53" t="str">
        <f t="shared" si="86"/>
        <v/>
      </c>
      <c r="J289" s="53" t="str">
        <f t="shared" si="87"/>
        <v/>
      </c>
      <c r="K289" s="54" t="str">
        <f t="shared" si="92"/>
        <v/>
      </c>
      <c r="L289" s="53" t="str">
        <f t="shared" si="89"/>
        <v/>
      </c>
      <c r="M289" s="54" t="str">
        <f t="shared" si="93"/>
        <v/>
      </c>
      <c r="N289" s="55"/>
      <c r="O289" s="55" t="str">
        <f t="shared" si="90"/>
        <v/>
      </c>
      <c r="P289" s="56"/>
      <c r="Q289" s="58"/>
      <c r="R289" s="19">
        <f t="shared" si="88"/>
        <v>0</v>
      </c>
      <c r="S289" s="19">
        <f t="shared" si="91"/>
        <v>1</v>
      </c>
      <c r="T289" s="145"/>
    </row>
    <row r="290" spans="1:20">
      <c r="A290" s="50">
        <v>44848</v>
      </c>
      <c r="D290" s="128"/>
      <c r="E290" s="129"/>
      <c r="F290" s="130"/>
      <c r="G290" s="53"/>
      <c r="H290" s="53">
        <v>4140</v>
      </c>
      <c r="I290" s="53" t="str">
        <f t="shared" si="86"/>
        <v/>
      </c>
      <c r="J290" s="53" t="str">
        <f t="shared" si="87"/>
        <v/>
      </c>
      <c r="K290" s="54" t="str">
        <f t="shared" si="92"/>
        <v/>
      </c>
      <c r="L290" s="53" t="str">
        <f t="shared" si="89"/>
        <v/>
      </c>
      <c r="M290" s="54" t="str">
        <f t="shared" si="93"/>
        <v/>
      </c>
      <c r="N290" s="55"/>
      <c r="O290" s="55" t="str">
        <f t="shared" si="90"/>
        <v/>
      </c>
      <c r="P290" s="56"/>
      <c r="Q290" s="57"/>
      <c r="R290" s="19">
        <f t="shared" si="88"/>
        <v>0</v>
      </c>
      <c r="S290" s="19">
        <f t="shared" si="91"/>
        <v>1</v>
      </c>
      <c r="T290" s="145"/>
    </row>
    <row r="291" spans="1:20">
      <c r="A291" s="50">
        <v>44849</v>
      </c>
      <c r="D291" s="128"/>
      <c r="E291" s="129"/>
      <c r="F291" s="130"/>
      <c r="G291" s="53"/>
      <c r="H291" s="53">
        <v>4140</v>
      </c>
      <c r="I291" s="53" t="str">
        <f t="shared" si="86"/>
        <v/>
      </c>
      <c r="J291" s="53" t="str">
        <f t="shared" si="87"/>
        <v/>
      </c>
      <c r="K291" s="54" t="str">
        <f t="shared" si="92"/>
        <v/>
      </c>
      <c r="L291" s="53" t="str">
        <f t="shared" si="89"/>
        <v/>
      </c>
      <c r="M291" s="54" t="str">
        <f t="shared" si="93"/>
        <v/>
      </c>
      <c r="N291" s="55"/>
      <c r="O291" s="55" t="str">
        <f t="shared" si="90"/>
        <v/>
      </c>
      <c r="P291" s="56"/>
      <c r="Q291" s="57"/>
      <c r="R291" s="19">
        <f t="shared" si="88"/>
        <v>0</v>
      </c>
      <c r="S291" s="19">
        <f t="shared" si="91"/>
        <v>1</v>
      </c>
      <c r="T291" s="144"/>
    </row>
    <row r="292" spans="1:20">
      <c r="A292" s="50">
        <v>44850</v>
      </c>
      <c r="D292" s="128"/>
      <c r="E292" s="129"/>
      <c r="F292" s="130"/>
      <c r="G292" s="53"/>
      <c r="H292" s="53">
        <v>4140</v>
      </c>
      <c r="I292" s="53" t="str">
        <f t="shared" si="86"/>
        <v/>
      </c>
      <c r="J292" s="53" t="str">
        <f t="shared" si="87"/>
        <v/>
      </c>
      <c r="K292" s="54" t="str">
        <f t="shared" si="92"/>
        <v/>
      </c>
      <c r="L292" s="53" t="str">
        <f t="shared" si="89"/>
        <v/>
      </c>
      <c r="M292" s="54" t="str">
        <f t="shared" si="93"/>
        <v/>
      </c>
      <c r="N292" s="55"/>
      <c r="O292" s="55" t="str">
        <f t="shared" si="90"/>
        <v/>
      </c>
      <c r="P292" s="56"/>
      <c r="Q292" s="57"/>
      <c r="R292" s="19">
        <f t="shared" si="88"/>
        <v>0</v>
      </c>
      <c r="S292" s="19">
        <f t="shared" si="91"/>
        <v>1</v>
      </c>
      <c r="T292" s="144"/>
    </row>
    <row r="293" spans="1:20">
      <c r="A293" s="50">
        <v>44851</v>
      </c>
      <c r="D293" s="128"/>
      <c r="E293" s="129"/>
      <c r="F293" s="130"/>
      <c r="G293" s="53"/>
      <c r="H293" s="53">
        <v>4140</v>
      </c>
      <c r="I293" s="53" t="str">
        <f t="shared" si="86"/>
        <v/>
      </c>
      <c r="J293" s="53" t="str">
        <f t="shared" si="87"/>
        <v/>
      </c>
      <c r="K293" s="54" t="str">
        <f t="shared" si="92"/>
        <v/>
      </c>
      <c r="L293" s="53" t="str">
        <f t="shared" si="89"/>
        <v/>
      </c>
      <c r="M293" s="54" t="str">
        <f t="shared" si="93"/>
        <v/>
      </c>
      <c r="N293" s="55"/>
      <c r="O293" s="55" t="str">
        <f>IF(N293="","",N293-N292)</f>
        <v/>
      </c>
      <c r="P293" s="56"/>
      <c r="Q293" s="88"/>
      <c r="R293" s="19">
        <f t="shared" si="88"/>
        <v>0</v>
      </c>
      <c r="S293" s="19">
        <f t="shared" si="91"/>
        <v>1</v>
      </c>
      <c r="T293" s="144"/>
    </row>
    <row r="294" spans="1:20">
      <c r="A294" s="50">
        <v>44852</v>
      </c>
      <c r="D294" s="128"/>
      <c r="E294" s="129"/>
      <c r="F294" s="130"/>
      <c r="G294" s="53"/>
      <c r="H294" s="53">
        <v>4140</v>
      </c>
      <c r="I294" s="53" t="str">
        <f t="shared" si="86"/>
        <v/>
      </c>
      <c r="J294" s="53" t="str">
        <f t="shared" si="87"/>
        <v/>
      </c>
      <c r="K294" s="54" t="str">
        <f t="shared" si="92"/>
        <v/>
      </c>
      <c r="L294" s="53" t="str">
        <f t="shared" si="89"/>
        <v/>
      </c>
      <c r="M294" s="54" t="str">
        <f t="shared" si="93"/>
        <v/>
      </c>
      <c r="N294" s="55"/>
      <c r="O294" s="55" t="str">
        <f>IF(N294="","",N294-N293)</f>
        <v/>
      </c>
      <c r="P294" s="56"/>
      <c r="Q294" s="88"/>
      <c r="R294" s="19">
        <f t="shared" si="88"/>
        <v>0</v>
      </c>
      <c r="S294" s="19">
        <f t="shared" si="91"/>
        <v>1</v>
      </c>
      <c r="T294" s="145"/>
    </row>
    <row r="295" spans="1:20">
      <c r="A295" s="50">
        <v>44853</v>
      </c>
      <c r="D295" s="128"/>
      <c r="E295" s="129"/>
      <c r="F295" s="130"/>
      <c r="G295" s="53"/>
      <c r="H295" s="53">
        <v>4140</v>
      </c>
      <c r="I295" s="53" t="str">
        <f t="shared" si="86"/>
        <v/>
      </c>
      <c r="J295" s="53" t="str">
        <f t="shared" si="87"/>
        <v/>
      </c>
      <c r="K295" s="54" t="str">
        <f t="shared" si="92"/>
        <v/>
      </c>
      <c r="L295" s="53" t="str">
        <f t="shared" si="89"/>
        <v/>
      </c>
      <c r="M295" s="54" t="str">
        <f t="shared" si="93"/>
        <v/>
      </c>
      <c r="N295" s="55"/>
      <c r="O295" s="55" t="str">
        <f t="shared" si="90"/>
        <v/>
      </c>
      <c r="P295" s="181" t="s">
        <v>54</v>
      </c>
      <c r="Q295" s="182"/>
      <c r="R295" s="19">
        <f t="shared" si="88"/>
        <v>0</v>
      </c>
      <c r="S295" s="19">
        <f t="shared" si="91"/>
        <v>1</v>
      </c>
      <c r="T295" s="145"/>
    </row>
    <row r="296" spans="1:20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31</v>
      </c>
      <c r="Q297" s="62" t="s">
        <v>32</v>
      </c>
      <c r="R297" s="19">
        <f t="shared" si="88"/>
        <v>0</v>
      </c>
      <c r="S297" s="19">
        <f t="shared" si="91"/>
        <v>1</v>
      </c>
      <c r="T297" s="144"/>
    </row>
    <row r="298" spans="1:20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4.7884615384615664E-2</v>
      </c>
      <c r="Q298" s="63">
        <f>IF(L277="",0,+SUM(L277:L307)/SUM(I277:I307))</f>
        <v>4.7884615384615664E-2</v>
      </c>
      <c r="R298" s="19">
        <f t="shared" si="88"/>
        <v>0</v>
      </c>
      <c r="S298" s="19">
        <f t="shared" si="91"/>
        <v>1</v>
      </c>
      <c r="T298" s="145"/>
    </row>
    <row r="299" spans="1:20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0</v>
      </c>
      <c r="S299" s="19">
        <f t="shared" si="91"/>
        <v>1</v>
      </c>
      <c r="T299" s="145"/>
    </row>
    <row r="300" spans="1:20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33</v>
      </c>
      <c r="Q300" s="66" t="s">
        <v>34</v>
      </c>
      <c r="R300" s="19">
        <f t="shared" si="88"/>
        <v>0</v>
      </c>
      <c r="S300" s="19">
        <f t="shared" si="91"/>
        <v>1</v>
      </c>
      <c r="T300" s="145"/>
    </row>
    <row r="301" spans="1:20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0</v>
      </c>
      <c r="Q301" s="68">
        <f>IF(P301="",0,+P301/SUM(R277:R307))</f>
        <v>0</v>
      </c>
      <c r="R301" s="19">
        <f t="shared" si="88"/>
        <v>0</v>
      </c>
      <c r="S301" s="19">
        <f t="shared" si="91"/>
        <v>1</v>
      </c>
      <c r="T301" s="145"/>
    </row>
    <row r="302" spans="1:20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35</v>
      </c>
      <c r="Q302" s="70" t="s">
        <v>43</v>
      </c>
      <c r="R302" s="19">
        <f t="shared" si="88"/>
        <v>0</v>
      </c>
      <c r="S302" s="19">
        <f t="shared" si="91"/>
        <v>1</v>
      </c>
      <c r="T302" s="144"/>
    </row>
    <row r="303" spans="1:20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0</v>
      </c>
      <c r="S303" s="19">
        <f t="shared" si="91"/>
        <v>1</v>
      </c>
      <c r="T303" s="144"/>
    </row>
    <row r="304" spans="1:20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37</v>
      </c>
      <c r="Q304" s="147" t="s">
        <v>44</v>
      </c>
      <c r="R304" s="19">
        <f t="shared" si="88"/>
        <v>0</v>
      </c>
      <c r="S304" s="19">
        <f t="shared" si="91"/>
        <v>1</v>
      </c>
      <c r="T304" s="144"/>
    </row>
    <row r="305" spans="1:20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 t="e">
        <f>P303*Q308</f>
        <v>#VALUE!</v>
      </c>
      <c r="Q305" s="74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44"/>
    </row>
    <row r="306" spans="1:20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39</v>
      </c>
      <c r="Q306" s="149" t="s">
        <v>40</v>
      </c>
      <c r="R306" s="19">
        <f t="shared" si="88"/>
        <v>0</v>
      </c>
      <c r="S306" s="19">
        <f t="shared" si="91"/>
        <v>1</v>
      </c>
      <c r="T306" s="144"/>
    </row>
    <row r="307" spans="1:20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0</v>
      </c>
      <c r="S307" s="19">
        <f t="shared" si="91"/>
        <v>1</v>
      </c>
      <c r="T307" s="144"/>
    </row>
    <row r="308" spans="1:20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41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63" workbookViewId="0">
      <selection activeCell="G280" sqref="G280"/>
    </sheetView>
  </sheetViews>
  <sheetFormatPr defaultColWidth="9.140625" defaultRowHeight="13.1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9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5" customHeight="1" thickBot="1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9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2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4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4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68</v>
      </c>
      <c r="O298" s="187" t="s">
        <v>69</v>
      </c>
      <c r="Q298" s="19">
        <f t="shared" si="104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4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4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618</v>
      </c>
      <c r="O301" s="30">
        <f>SUM(M278:M308)</f>
        <v>4149</v>
      </c>
      <c r="Q301" s="19">
        <f t="shared" si="104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70</v>
      </c>
      <c r="O302" s="187" t="s">
        <v>71</v>
      </c>
      <c r="Q302" s="19">
        <f t="shared" si="104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>
        <f>AVERAGE(L278:L308)</f>
        <v>309</v>
      </c>
      <c r="O304" s="30">
        <f>AVERAGE(M278:M308)</f>
        <v>2074.5</v>
      </c>
      <c r="Q304" s="19">
        <f t="shared" si="104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5" customHeight="1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ED28E-7EB1-4939-B257-E9DD061D19FE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2022-10-03T06:17:22Z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