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7"/>
  <workbookPr filterPrivacy="1"/>
  <xr:revisionPtr revIDLastSave="320" documentId="8_{570E39A5-4344-4CF9-9BBE-67993DB36049}" xr6:coauthVersionLast="36" xr6:coauthVersionMax="36" xr10:uidLastSave="{604876EA-A239-4FBE-A7B3-ABCE42166FA6}"/>
  <bookViews>
    <workbookView xWindow="-100" yWindow="-100" windowWidth="18190" windowHeight="11470" activeTab="1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<sst xmlns="http://schemas.openxmlformats.org/spreadsheetml/2006/main" count="186" uniqueCount="49">
  <si>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</si>
  <si>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</si>
  <si>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</si>
  <si>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</si>
  <si>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</si>
  <si>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</si>
  <si>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</si>
  <si>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</si>
  <si>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</si>
  <si>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</si>
  <si>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</si>
  <si>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</si>
  <si>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</si>
  <si>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</si>
  <si>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</si>
  <si>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</si>
  <si>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</si>
  <si>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</si>
  <si>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</si>
  <si>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</si>
  <si>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</si>
  <si>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</si>
  <si>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</si>
  <si>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</si>
  <si>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</si>
  <si>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</si>
  <si>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</si>
  <si>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</si>
  <si>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</si>
  <si>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</si>
  <si>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</si>
  <si>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</si>
  <si>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</si>
  <si>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</si>
  <si>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</si>
  <si>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</si>
  <si>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</si>
  <si>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</si>
  <si>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</si>
  <si>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</si>
  <si>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Venkat</t>
  </si>
  <si>
    <t>Ramu</t>
  </si>
  <si>
    <t>Veera</t>
  </si>
  <si>
    <t>Veera/Ramu</t>
  </si>
  <si>
    <t>Ramu/Sathis/Aung</t>
  </si>
  <si>
    <t>Ullah/Aung</t>
  </si>
  <si>
    <t>Aung</t>
  </si>
  <si>
    <t>Ramu/Sathis</t>
  </si>
  <si>
    <t>Veera/Aung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</si>
</sst>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B7" workbookViewId="0">
      <selection activeCell="L19" sqref="L19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3</v>
      </c>
      <c r="D2" s="9">
        <v>2024</v>
      </c>
      <c r="E2" s="43">
        <f>'Submetering '!E2+'Submetering '!F2+'Submetering '!G2</f>
        <v>13275</v>
      </c>
      <c r="F2" s="10">
        <v>0.2989</v>
      </c>
      <c r="G2" s="13">
        <f>-'Submetering '!J2+'Submetering '!K2</f>
        <v>751</v>
      </c>
      <c r="H2" s="10">
        <v>0.23150000000000001</v>
      </c>
      <c r="I2" s="13">
        <f>'Submetering '!L2+'Submetering '!M2</f>
        <v>171</v>
      </c>
      <c r="J2" s="10">
        <v>2.74</v>
      </c>
      <c r="K2" s="9">
        <v>283</v>
      </c>
      <c r="L2" s="9">
        <v>283</v>
      </c>
    </row>
    <row r="3" spans="1:12" s="12" customFormat="1" x14ac:dyDescent="0.35">
      <c r="A3" s="9" t="s">
        <v>39</v>
      </c>
      <c r="B3" s="12">
        <f>B2+1</f>
        <v>2</v>
      </c>
      <c r="C3" s="10">
        <v>3</v>
      </c>
      <c r="D3" s="9">
        <v>2024</v>
      </c>
      <c r="E3" s="43">
        <f>'Submetering '!E3+'Submetering '!F3+'Submetering '!G3</f>
        <v>13485</v>
      </c>
      <c r="F3" s="10">
        <v>0.2989</v>
      </c>
      <c r="G3" s="13">
        <f>-'Submetering '!J3+'Submetering '!K3</f>
        <v>808</v>
      </c>
      <c r="H3" s="10">
        <v>0.23150000000000001</v>
      </c>
      <c r="I3" s="13">
        <f>'Submetering '!L3+'Submetering '!M3</f>
        <v>156</v>
      </c>
      <c r="J3" s="10">
        <v>2.74</v>
      </c>
      <c r="K3" s="9">
        <v>288</v>
      </c>
      <c r="L3" s="9">
        <v>288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3</v>
      </c>
      <c r="D4" s="9">
        <v>2024</v>
      </c>
      <c r="E4" s="43">
        <f>'Submetering '!E4+'Submetering '!F4+'Submetering '!G4</f>
        <v>11955</v>
      </c>
      <c r="F4" s="10">
        <v>0.2989</v>
      </c>
      <c r="G4" s="13">
        <f>-'Submetering '!J4+'Submetering '!K4</f>
        <v>870</v>
      </c>
      <c r="H4" s="10">
        <v>0.23150000000000001</v>
      </c>
      <c r="I4" s="13">
        <f>'Submetering '!L4+'Submetering '!M4</f>
        <v>135</v>
      </c>
      <c r="J4" s="10">
        <v>2.74</v>
      </c>
      <c r="K4" s="9">
        <v>292</v>
      </c>
      <c r="L4" s="9">
        <v>292</v>
      </c>
    </row>
    <row r="5" spans="1:12" s="12" customFormat="1" x14ac:dyDescent="0.35">
      <c r="A5" s="9" t="s">
        <v>39</v>
      </c>
      <c r="B5" s="12">
        <f t="shared" si="0"/>
        <v>4</v>
      </c>
      <c r="C5" s="10">
        <v>3</v>
      </c>
      <c r="D5" s="9">
        <v>2024</v>
      </c>
      <c r="E5" s="43">
        <f>'Submetering '!E5+'Submetering '!F5+'Submetering '!G5</f>
        <v>12570</v>
      </c>
      <c r="F5" s="10">
        <v>0.2989</v>
      </c>
      <c r="G5" s="13">
        <f>-'Submetering '!J5+'Submetering '!K5</f>
        <v>755</v>
      </c>
      <c r="H5" s="10">
        <v>0.23150000000000001</v>
      </c>
      <c r="I5" s="13">
        <f>'Submetering '!L5+'Submetering '!M5</f>
        <v>148</v>
      </c>
      <c r="J5" s="10">
        <v>2.74</v>
      </c>
      <c r="K5" s="9">
        <v>291</v>
      </c>
      <c r="L5" s="9">
        <v>291</v>
      </c>
    </row>
    <row r="6" spans="1:12" s="12" customFormat="1" x14ac:dyDescent="0.35">
      <c r="A6" s="9" t="s">
        <v>39</v>
      </c>
      <c r="B6" s="12">
        <f t="shared" si="0"/>
        <v>5</v>
      </c>
      <c r="C6" s="10">
        <v>3</v>
      </c>
      <c r="D6" s="9">
        <v>2024</v>
      </c>
      <c r="E6" s="43">
        <f>'Submetering '!E6+'Submetering '!F6+'Submetering '!G6</f>
        <v>12720</v>
      </c>
      <c r="F6" s="10">
        <v>0.2989</v>
      </c>
      <c r="G6" s="13">
        <f>-'Submetering '!J6+'Submetering '!K6</f>
        <v>836</v>
      </c>
      <c r="H6" s="10">
        <v>0.23150000000000001</v>
      </c>
      <c r="I6" s="13">
        <f>'Submetering '!L6+'Submetering '!M6</f>
        <v>144</v>
      </c>
      <c r="J6" s="10">
        <v>2.74</v>
      </c>
      <c r="K6" s="9">
        <v>280</v>
      </c>
      <c r="L6" s="9">
        <v>280</v>
      </c>
    </row>
    <row r="7" spans="1:12" s="12" customFormat="1" x14ac:dyDescent="0.35">
      <c r="A7" s="9" t="s">
        <v>39</v>
      </c>
      <c r="B7" s="12">
        <f t="shared" si="0"/>
        <v>6</v>
      </c>
      <c r="C7" s="10">
        <v>3</v>
      </c>
      <c r="D7" s="9">
        <v>2024</v>
      </c>
      <c r="E7" s="43">
        <f>'Submetering '!E7+'Submetering '!F7+'Submetering '!G7</f>
        <v>13050</v>
      </c>
      <c r="F7" s="10">
        <v>0.2989</v>
      </c>
      <c r="G7" s="13">
        <f>-'Submetering '!J7+'Submetering '!K7</f>
        <v>849</v>
      </c>
      <c r="H7" s="10">
        <v>0.23150000000000001</v>
      </c>
      <c r="I7" s="13">
        <f>'Submetering '!L7+'Submetering '!M7</f>
        <v>130</v>
      </c>
      <c r="J7" s="10">
        <v>2.74</v>
      </c>
      <c r="K7" s="9">
        <v>283</v>
      </c>
      <c r="L7" s="9">
        <v>283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3</v>
      </c>
      <c r="D8" s="9">
        <v>2024</v>
      </c>
      <c r="E8" s="43">
        <f>'Submetering '!E8+'Submetering '!F8+'Submetering '!G8</f>
        <v>13230</v>
      </c>
      <c r="F8" s="10">
        <v>0.2989</v>
      </c>
      <c r="G8" s="13">
        <f>-'Submetering '!J8+'Submetering '!K8</f>
        <v>864</v>
      </c>
      <c r="H8" s="10">
        <v>0.23150000000000001</v>
      </c>
      <c r="I8" s="13">
        <f>'Submetering '!L8+'Submetering '!M8</f>
        <v>238</v>
      </c>
      <c r="J8" s="10">
        <v>2.74</v>
      </c>
      <c r="K8" s="9">
        <v>298</v>
      </c>
      <c r="L8" s="9">
        <v>298</v>
      </c>
    </row>
    <row r="9" spans="1:12" s="12" customFormat="1" x14ac:dyDescent="0.35">
      <c r="A9" s="9" t="s">
        <v>39</v>
      </c>
      <c r="B9" s="12">
        <f t="shared" si="0"/>
        <v>8</v>
      </c>
      <c r="C9" s="10">
        <v>3</v>
      </c>
      <c r="D9" s="9">
        <v>2024</v>
      </c>
      <c r="E9" s="43">
        <f>'Submetering '!E9+'Submetering '!F9+'Submetering '!G9</f>
        <v>13545</v>
      </c>
      <c r="F9" s="10">
        <v>0.2989</v>
      </c>
      <c r="G9" s="13">
        <f>-'Submetering '!J9+'Submetering '!K9</f>
        <v>809</v>
      </c>
      <c r="H9" s="10">
        <v>0.23150000000000001</v>
      </c>
      <c r="I9" s="13">
        <f>'Submetering '!L9+'Submetering '!M9</f>
        <v>97</v>
      </c>
      <c r="J9" s="10">
        <v>2.74</v>
      </c>
      <c r="K9" s="9">
        <v>298</v>
      </c>
      <c r="L9" s="9">
        <v>298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3</v>
      </c>
      <c r="D10" s="9">
        <v>2024</v>
      </c>
      <c r="E10" s="43">
        <f>'Submetering '!E10+'Submetering '!F10+'Submetering '!G10</f>
        <v>13065</v>
      </c>
      <c r="F10" s="10">
        <v>0.2989</v>
      </c>
      <c r="G10" s="13">
        <f>-'Submetering '!J10+'Submetering '!K10</f>
        <v>818</v>
      </c>
      <c r="H10" s="10">
        <v>0.23150000000000001</v>
      </c>
      <c r="I10" s="13">
        <f>'Submetering '!L10+'Submetering '!M10</f>
        <v>177</v>
      </c>
      <c r="J10" s="10">
        <v>2.74</v>
      </c>
      <c r="K10" s="9">
        <v>290</v>
      </c>
      <c r="L10" s="9">
        <v>290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3</v>
      </c>
      <c r="D11" s="9">
        <v>2024</v>
      </c>
      <c r="E11" s="43">
        <f>'Submetering '!E11+'Submetering '!F11+'Submetering '!G11</f>
        <v>11670</v>
      </c>
      <c r="F11" s="10">
        <v>0.2989</v>
      </c>
      <c r="G11" s="13">
        <f>-'Submetering '!J11+'Submetering '!K11</f>
        <v>817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235</v>
      </c>
      <c r="L11" s="9">
        <v>235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3</v>
      </c>
      <c r="D12" s="9">
        <v>2024</v>
      </c>
      <c r="E12" s="43">
        <f>'Submetering '!E12+'Submetering '!F12+'Submetering '!G12</f>
        <v>11895</v>
      </c>
      <c r="F12" s="10">
        <v>0.2989</v>
      </c>
      <c r="G12" s="13">
        <f>-'Submetering '!J12+'Submetering '!K12</f>
        <v>613</v>
      </c>
      <c r="H12" s="10">
        <v>0.23150000000000001</v>
      </c>
      <c r="I12" s="13">
        <f>'Submetering '!L12+'Submetering '!M12</f>
        <v>147</v>
      </c>
      <c r="J12" s="10">
        <v>2.74</v>
      </c>
      <c r="K12" s="9">
        <v>235</v>
      </c>
      <c r="L12" s="9">
        <v>235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3</v>
      </c>
      <c r="D13" s="9">
        <v>2024</v>
      </c>
      <c r="E13" s="43">
        <f>'Submetering '!E13+'Submetering '!F13+'Submetering '!G13</f>
        <v>12315</v>
      </c>
      <c r="F13" s="10">
        <v>0.2989</v>
      </c>
      <c r="G13" s="13">
        <f>-'Submetering '!J13+'Submetering '!K13</f>
        <v>583</v>
      </c>
      <c r="H13" s="10">
        <v>0.23150000000000001</v>
      </c>
      <c r="I13" s="13">
        <f>'Submetering '!L13+'Submetering '!M13</f>
        <v>137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3</v>
      </c>
      <c r="D14" s="9">
        <v>2024</v>
      </c>
      <c r="E14" s="43">
        <f>'Submetering '!E14+'Submetering '!F14+'Submetering '!G14</f>
        <v>12630</v>
      </c>
      <c r="F14" s="10">
        <v>0.2989</v>
      </c>
      <c r="G14" s="13">
        <f>-'Submetering '!J14+'Submetering '!K14</f>
        <v>723</v>
      </c>
      <c r="H14" s="10">
        <v>0.23150000000000001</v>
      </c>
      <c r="I14" s="13">
        <f>'Submetering '!L14+'Submetering '!M14</f>
        <v>153</v>
      </c>
      <c r="J14" s="10">
        <v>2.74</v>
      </c>
      <c r="K14" s="9">
        <v>236</v>
      </c>
      <c r="L14" s="9">
        <v>236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3</v>
      </c>
      <c r="D15" s="9">
        <v>2024</v>
      </c>
      <c r="E15" s="43">
        <f>'Submetering '!E15+'Submetering '!F15+'Submetering '!G15</f>
        <v>12690</v>
      </c>
      <c r="F15" s="10">
        <v>0.2989</v>
      </c>
      <c r="G15" s="13">
        <f>-'Submetering '!J15+'Submetering '!K15</f>
        <v>729</v>
      </c>
      <c r="H15" s="10">
        <v>0.23150000000000001</v>
      </c>
      <c r="I15" s="13">
        <f>'Submetering '!L15+'Submetering '!M15</f>
        <v>143</v>
      </c>
      <c r="J15" s="10">
        <v>2.74</v>
      </c>
      <c r="K15" s="9">
        <v>223</v>
      </c>
      <c r="L15" s="9">
        <v>223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3</v>
      </c>
      <c r="D16" s="9">
        <v>2024</v>
      </c>
      <c r="E16" s="43">
        <f>'Submetering '!E16+'Submetering '!F16+'Submetering '!G16</f>
        <v>12960</v>
      </c>
      <c r="F16" s="10">
        <v>0.2989</v>
      </c>
      <c r="G16" s="13">
        <f>-'Submetering '!J16+'Submetering '!K16</f>
        <v>683</v>
      </c>
      <c r="H16" s="10">
        <v>0.23150000000000001</v>
      </c>
      <c r="I16" s="13">
        <f>'Submetering '!L16+'Submetering '!M16</f>
        <v>178</v>
      </c>
      <c r="J16" s="10">
        <v>2.74</v>
      </c>
      <c r="K16" s="9">
        <v>211</v>
      </c>
      <c r="L16" s="9">
        <v>211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3</v>
      </c>
      <c r="D17" s="9">
        <v>2024</v>
      </c>
      <c r="E17" s="43">
        <f>'Submetering '!E17+'Submetering '!F17+'Submetering '!G17</f>
        <v>13230</v>
      </c>
      <c r="F17" s="10">
        <v>0.2989</v>
      </c>
      <c r="G17" s="13">
        <f>-'Submetering '!J17+'Submetering '!K17</f>
        <v>773</v>
      </c>
      <c r="H17" s="10">
        <v>0.23150000000000001</v>
      </c>
      <c r="I17" s="13">
        <f>'Submetering '!L17+'Submetering '!M17</f>
        <v>159</v>
      </c>
      <c r="J17" s="10">
        <v>2.74</v>
      </c>
      <c r="K17" s="9">
        <v>224</v>
      </c>
      <c r="L17" s="9">
        <v>224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3</v>
      </c>
      <c r="D18" s="9">
        <v>2024</v>
      </c>
      <c r="E18" s="43">
        <f>'Submetering '!E18+'Submetering '!F18+'Submetering '!G18</f>
        <v>12090</v>
      </c>
      <c r="F18" s="10">
        <v>0.2989</v>
      </c>
      <c r="G18" s="13">
        <f>-'Submetering '!J18+'Submetering '!K18</f>
        <v>717</v>
      </c>
      <c r="H18" s="10">
        <v>0.23150000000000001</v>
      </c>
      <c r="I18" s="13">
        <f>'Submetering '!L18+'Submetering '!M18</f>
        <v>129</v>
      </c>
      <c r="J18" s="10">
        <v>2.74</v>
      </c>
      <c r="K18" s="9">
        <v>201</v>
      </c>
      <c r="L18" s="9">
        <v>201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3</v>
      </c>
      <c r="D19" s="9">
        <v>2024</v>
      </c>
      <c r="E19" s="43">
        <f>'Submetering '!E19+'Submetering '!F19+'Submetering '!G19</f>
        <v>11580</v>
      </c>
      <c r="F19" s="10">
        <v>0.2989</v>
      </c>
      <c r="G19" s="13">
        <f>-'Submetering '!J19+'Submetering '!K19</f>
        <v>783</v>
      </c>
      <c r="H19" s="10">
        <v>0.23150000000000001</v>
      </c>
      <c r="I19" s="13">
        <f>'Submetering '!L19+'Submetering '!M19</f>
        <v>146</v>
      </c>
      <c r="J19" s="10">
        <v>2.74</v>
      </c>
      <c r="K19" s="9">
        <v>223</v>
      </c>
      <c r="L19" s="9">
        <v>223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3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3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3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3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3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3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3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3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3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3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3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3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3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abSelected="1" zoomScale="80" zoomScaleNormal="80" workbookViewId="0">
      <selection activeCell="Z25" sqref="Z25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3</v>
      </c>
      <c r="D2" s="9">
        <v>2024</v>
      </c>
      <c r="E2" s="33">
        <f>(IF((Electrical!B3-Electrical!B2)&lt;0,"0",(Electrical!B3-Electrical!B2)))*15</f>
        <v>5805</v>
      </c>
      <c r="F2" s="33">
        <f>(IF((Electrical!C3-Electrical!C2)&lt;0,"0",(Electrical!C3-Electrical!C2)))*15</f>
        <v>3780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4056</v>
      </c>
      <c r="I2" s="33">
        <f>IF((Electrical!F3-Electrical!F2)&lt;0,"0",(Electrical!F3-Electrical!F2))</f>
        <v>453</v>
      </c>
      <c r="J2" s="33">
        <f>IF((Gas!B3-Gas!B2)&lt;0,"0",(Gas!B3-Gas!B2))</f>
        <v>0</v>
      </c>
      <c r="K2" s="33">
        <f>IF((Gas!C3-Gas!C2)&lt;0,"0",(Gas!C3-Gas!C2))</f>
        <v>751</v>
      </c>
      <c r="L2" s="33">
        <f>(IF((Water!B3-Water!B2)&lt;0,"0",(Water!B3-Water!B2)))*10</f>
        <v>150</v>
      </c>
      <c r="M2" s="33">
        <f>IF((Water!C3-Water!C2)&lt;0,"0",(Water!C3-Water!C2))</f>
        <v>21</v>
      </c>
      <c r="N2" s="33">
        <f>IF((Water!D3-Water!D2)&lt;0,"0",(Water!D3-Water!D2))</f>
        <v>0</v>
      </c>
      <c r="O2" s="33">
        <f>IF((Water!E3-Water!E2)&lt;0,"0",(Water!E3-Water!E2))</f>
        <v>17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32</v>
      </c>
      <c r="Y2" s="9">
        <v>283</v>
      </c>
      <c r="Z2" s="9">
        <v>283</v>
      </c>
    </row>
    <row r="3" spans="1:26" s="9" customFormat="1" x14ac:dyDescent="0.35">
      <c r="A3" s="9" t="s">
        <v>36</v>
      </c>
      <c r="B3" s="12">
        <f>B2+1</f>
        <v>2</v>
      </c>
      <c r="C3" s="10">
        <v>3</v>
      </c>
      <c r="D3" s="9">
        <v>2024</v>
      </c>
      <c r="E3" s="33">
        <f>(IF((Electrical!B4-Electrical!B3)&lt;0,"0",(Electrical!B4-Electrical!B3)))*15</f>
        <v>5835</v>
      </c>
      <c r="F3" s="33">
        <f>(IF((Electrical!C4-Electrical!C3)&lt;0,"0",(Electrical!C4-Electrical!C3)))*15</f>
        <v>3840</v>
      </c>
      <c r="G3" s="33">
        <f>(IF((Electrical!D4-Electrical!D3)&lt;0,"0",(Electrical!D4-Electrical!D3)))*15</f>
        <v>3810</v>
      </c>
      <c r="H3" s="33">
        <f>IF((Electrical!E4-Electrical!E3)&lt;0,"0",(Electrical!E4-Electrical!E3))</f>
        <v>4108</v>
      </c>
      <c r="I3" s="33">
        <f>IF((Electrical!F4-Electrical!F3)&lt;0,"0",(Electrical!F4-Electrical!F3))</f>
        <v>477</v>
      </c>
      <c r="J3" s="33">
        <f>IF((Gas!B4-Gas!B3)&lt;0,"0",(Gas!B4-Gas!B3))</f>
        <v>0</v>
      </c>
      <c r="K3" s="33">
        <f>IF((Gas!C4-Gas!C3)&lt;0,"0",(Gas!C4-Gas!C3))</f>
        <v>808</v>
      </c>
      <c r="L3" s="33">
        <f>(IF((Water!B4-Water!B3)&lt;0,"0",(Water!B4-Water!B3)))*10</f>
        <v>140</v>
      </c>
      <c r="M3" s="33">
        <f>IF((Water!C4-Water!C3)&lt;0,"0",(Water!C4-Water!C3))</f>
        <v>16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1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288</v>
      </c>
      <c r="Z3" s="9">
        <v>288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3</v>
      </c>
      <c r="D4" s="9">
        <v>2024</v>
      </c>
      <c r="E4" s="33">
        <f>(IF((Electrical!B5-Electrical!B4)&lt;0,"0",(Electrical!B5-Electrical!B4)))*15</f>
        <v>4950</v>
      </c>
      <c r="F4" s="33">
        <f>(IF((Electrical!C5-Electrical!C4)&lt;0,"0",(Electrical!C5-Electrical!C4)))*15</f>
        <v>3315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3477</v>
      </c>
      <c r="I4" s="33">
        <f>IF((Electrical!F5-Electrical!F4)&lt;0,"0",(Electrical!F5-Electrical!F4))</f>
        <v>454</v>
      </c>
      <c r="J4" s="33">
        <f>IF((Gas!B5-Gas!B4)&lt;0,"0",(Gas!B5-Gas!B4))</f>
        <v>0</v>
      </c>
      <c r="K4" s="33">
        <f>IF((Gas!C5-Gas!C4)&lt;0,"0",(Gas!C5-Gas!C4))</f>
        <v>870</v>
      </c>
      <c r="L4" s="33">
        <f>(IF((Water!B5-Water!B4)&lt;0,"0",(Water!B5-Water!B4)))*10</f>
        <v>120</v>
      </c>
      <c r="M4" s="33">
        <f>IF((Water!C5-Water!C4)&lt;0,"0",(Water!C5-Water!C4))</f>
        <v>15</v>
      </c>
      <c r="N4" s="33">
        <f>IF((Water!D5-Water!D4)&lt;0,"0",(Water!D5-Water!D4))</f>
        <v>0</v>
      </c>
      <c r="O4" s="33">
        <f>IF((Water!E5-Water!E4)&lt;0,"0",(Water!E5-Water!E4))</f>
        <v>20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33</v>
      </c>
      <c r="Y4" s="9">
        <v>292</v>
      </c>
      <c r="Z4" s="9">
        <v>292</v>
      </c>
    </row>
    <row r="5" spans="1:26" s="12" customFormat="1" x14ac:dyDescent="0.35">
      <c r="A5" s="9" t="s">
        <v>36</v>
      </c>
      <c r="B5" s="12">
        <f t="shared" si="0"/>
        <v>4</v>
      </c>
      <c r="C5" s="10">
        <v>3</v>
      </c>
      <c r="D5" s="9">
        <v>2024</v>
      </c>
      <c r="E5" s="33">
        <f>(IF((Electrical!B6-Electrical!B5)&lt;0,"0",(Electrical!B6-Electrical!B5)))*15</f>
        <v>5295</v>
      </c>
      <c r="F5" s="33">
        <f>(IF((Electrical!C6-Electrical!C5)&lt;0,"0",(Electrical!C6-Electrical!C5)))*15</f>
        <v>3540</v>
      </c>
      <c r="G5" s="33">
        <f>(IF((Electrical!D6-Electrical!D5)&lt;0,"0",(Electrical!D6-Electrical!D5)))*15</f>
        <v>3735</v>
      </c>
      <c r="H5" s="33">
        <f>IF((Electrical!E6-Electrical!E5)&lt;0,"0",(Electrical!E6-Electrical!E5))</f>
        <v>3697</v>
      </c>
      <c r="I5" s="33">
        <f>IF((Electrical!F6-Electrical!F5)&lt;0,"0",(Electrical!F6-Electrical!F5))</f>
        <v>453</v>
      </c>
      <c r="J5" s="33">
        <f>IF((Gas!B6-Gas!B5)&lt;0,"0",(Gas!B6-Gas!B5))</f>
        <v>0</v>
      </c>
      <c r="K5" s="33">
        <f>IF((Gas!C6-Gas!C5)&lt;0,"0",(Gas!C6-Gas!C5))</f>
        <v>755</v>
      </c>
      <c r="L5" s="33">
        <f>(IF((Water!B6-Water!B5)&lt;0,"0",(Water!B6-Water!B5)))*10</f>
        <v>130</v>
      </c>
      <c r="M5" s="33">
        <f>IF((Water!C6-Water!C5)&lt;0,"0",(Water!C6-Water!C5))</f>
        <v>18</v>
      </c>
      <c r="N5" s="33">
        <f>IF((Water!D6-Water!D5)&lt;0,"0",(Water!D6-Water!D5))</f>
        <v>0</v>
      </c>
      <c r="O5" s="33">
        <f>IF((Water!E6-Water!E5)&lt;0,"0",(Water!E6-Water!E5))</f>
        <v>17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7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32</v>
      </c>
      <c r="Y5" s="9">
        <v>291</v>
      </c>
      <c r="Z5" s="9">
        <v>291</v>
      </c>
    </row>
    <row r="6" spans="1:26" s="12" customFormat="1" x14ac:dyDescent="0.35">
      <c r="A6" s="9" t="s">
        <v>36</v>
      </c>
      <c r="B6" s="12">
        <f t="shared" si="0"/>
        <v>5</v>
      </c>
      <c r="C6" s="10">
        <v>3</v>
      </c>
      <c r="D6" s="9">
        <v>2024</v>
      </c>
      <c r="E6" s="33">
        <f>(IF((Electrical!B7-Electrical!B6)&lt;0,"0",(Electrical!B7-Electrical!B6)))*15</f>
        <v>5655</v>
      </c>
      <c r="F6" s="33">
        <f>(IF((Electrical!C7-Electrical!C6)&lt;0,"0",(Electrical!C7-Electrical!C6)))*15</f>
        <v>3375</v>
      </c>
      <c r="G6" s="33">
        <f>(IF((Electrical!D7-Electrical!D6)&lt;0,"0",(Electrical!D7-Electrical!D6)))*15</f>
        <v>3690</v>
      </c>
      <c r="H6" s="33">
        <f>IF((Electrical!E7-Electrical!E6)&lt;0,"0",(Electrical!E7-Electrical!E6))</f>
        <v>3729</v>
      </c>
      <c r="I6" s="33">
        <f>IF((Electrical!F7-Electrical!F6)&lt;0,"0",(Electrical!F7-Electrical!F6))</f>
        <v>450</v>
      </c>
      <c r="J6" s="33">
        <f>IF((Gas!B7-Gas!B6)&lt;0,"0",(Gas!B7-Gas!B6))</f>
        <v>0</v>
      </c>
      <c r="K6" s="33">
        <f>IF((Gas!C7-Gas!C6)&lt;0,"0",(Gas!C7-Gas!C6))</f>
        <v>836</v>
      </c>
      <c r="L6" s="33">
        <f>(IF((Water!B7-Water!B6)&lt;0,"0",(Water!B7-Water!B6)))*10</f>
        <v>130</v>
      </c>
      <c r="M6" s="33">
        <f>IF((Water!C7-Water!C6)&lt;0,"0",(Water!C7-Water!C6))</f>
        <v>14</v>
      </c>
      <c r="N6" s="33">
        <f>IF((Water!D7-Water!D6)&lt;0,"0",(Water!D7-Water!D6))</f>
        <v>0</v>
      </c>
      <c r="O6" s="33">
        <f>IF((Water!E7-Water!E6)&lt;0,"0",(Water!E7-Water!E6))</f>
        <v>17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280</v>
      </c>
      <c r="Z6" s="9">
        <v>280</v>
      </c>
    </row>
    <row r="7" spans="1:26" s="12" customFormat="1" x14ac:dyDescent="0.35">
      <c r="A7" s="9" t="s">
        <v>36</v>
      </c>
      <c r="B7" s="12">
        <f t="shared" si="0"/>
        <v>6</v>
      </c>
      <c r="C7" s="10">
        <v>3</v>
      </c>
      <c r="D7" s="9">
        <v>2024</v>
      </c>
      <c r="E7" s="33">
        <f>(IF((Electrical!B8-Electrical!B7)&lt;0,"0",(Electrical!B8-Electrical!B7)))*15</f>
        <v>5790</v>
      </c>
      <c r="F7" s="33">
        <f>(IF((Electrical!C8-Electrical!C7)&lt;0,"0",(Electrical!C8-Electrical!C7)))*15</f>
        <v>3465</v>
      </c>
      <c r="G7" s="33">
        <f>(IF((Electrical!D8-Electrical!D7)&lt;0,"0",(Electrical!D8-Electrical!D7)))*15</f>
        <v>3795</v>
      </c>
      <c r="H7" s="33">
        <f>IF((Electrical!E8-Electrical!E7)&lt;0,"0",(Electrical!E8-Electrical!E7))</f>
        <v>3969</v>
      </c>
      <c r="I7" s="33">
        <f>IF((Electrical!F8-Electrical!F7)&lt;0,"0",(Electrical!F8-Electrical!F7))</f>
        <v>430</v>
      </c>
      <c r="J7" s="33">
        <f>IF((Gas!B8-Gas!B7)&lt;0,"0",(Gas!B8-Gas!B7))</f>
        <v>0</v>
      </c>
      <c r="K7" s="33">
        <f>IF((Gas!C8-Gas!C7)&lt;0,"0",(Gas!C8-Gas!C7))</f>
        <v>849</v>
      </c>
      <c r="L7" s="33">
        <f>(IF((Water!B8-Water!B7)&lt;0,"0",(Water!B8-Water!B7)))*10</f>
        <v>110</v>
      </c>
      <c r="M7" s="33">
        <f>IF((Water!C8-Water!C7)&lt;0,"0",(Water!C8-Water!C7))</f>
        <v>20</v>
      </c>
      <c r="N7" s="33">
        <f>IF((Water!D8-Water!D7)&lt;0,"0",(Water!D8-Water!D7))</f>
        <v>0</v>
      </c>
      <c r="O7" s="33">
        <f>IF((Water!E8-Water!E7)&lt;0,"0",(Water!E8-Water!E7))</f>
        <v>16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283</v>
      </c>
      <c r="Z7" s="9">
        <v>283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3</v>
      </c>
      <c r="D8" s="9">
        <v>2024</v>
      </c>
      <c r="E8" s="33">
        <f>(IF((Electrical!B9-Electrical!B8)&lt;0,"0",(Electrical!B9-Electrical!B8)))*15</f>
        <v>5670</v>
      </c>
      <c r="F8" s="33">
        <f>(IF((Electrical!C9-Electrical!C8)&lt;0,"0",(Electrical!C9-Electrical!C8)))*15</f>
        <v>3765</v>
      </c>
      <c r="G8" s="33">
        <f>(IF((Electrical!D9-Electrical!D8)&lt;0,"0",(Electrical!D9-Electrical!D8)))*15</f>
        <v>3795</v>
      </c>
      <c r="H8" s="33">
        <f>IF((Electrical!E9-Electrical!E8)&lt;0,"0",(Electrical!E9-Electrical!E8))</f>
        <v>4301</v>
      </c>
      <c r="I8" s="33">
        <f>IF((Electrical!F9-Electrical!F8)&lt;0,"0",(Electrical!F9-Electrical!F8))</f>
        <v>472</v>
      </c>
      <c r="J8" s="33">
        <f>IF((Gas!B9-Gas!B8)&lt;0,"0",(Gas!B9-Gas!B8))</f>
        <v>0</v>
      </c>
      <c r="K8" s="33">
        <f>IF((Gas!C9-Gas!C8)&lt;0,"0",(Gas!C9-Gas!C8))</f>
        <v>864</v>
      </c>
      <c r="L8" s="33">
        <f>(IF((Water!B9-Water!B8)&lt;0,"0",(Water!B9-Water!B8)))*10</f>
        <v>220</v>
      </c>
      <c r="M8" s="33">
        <f>IF((Water!C9-Water!C8)&lt;0,"0",(Water!C9-Water!C8))</f>
        <v>18</v>
      </c>
      <c r="N8" s="33">
        <f>IF((Water!D9-Water!D8)&lt;0,"0",(Water!D9-Water!D8))</f>
        <v>0</v>
      </c>
      <c r="O8" s="33">
        <f>IF((Water!E9-Water!E8)&lt;0,"0",(Water!E9-Water!E8))</f>
        <v>22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51</v>
      </c>
      <c r="Y8" s="9">
        <v>298</v>
      </c>
      <c r="Z8" s="9">
        <v>298</v>
      </c>
    </row>
    <row r="9" spans="1:26" s="12" customFormat="1" x14ac:dyDescent="0.35">
      <c r="A9" s="9" t="s">
        <v>36</v>
      </c>
      <c r="B9" s="12">
        <f t="shared" si="0"/>
        <v>8</v>
      </c>
      <c r="C9" s="10">
        <v>3</v>
      </c>
      <c r="D9" s="9">
        <v>2024</v>
      </c>
      <c r="E9" s="33">
        <f>(IF((Electrical!B10-Electrical!B9)&lt;0,"0",(Electrical!B10-Electrical!B9)))*15</f>
        <v>5895</v>
      </c>
      <c r="F9" s="33">
        <f>(IF((Electrical!C10-Electrical!C9)&lt;0,"0",(Electrical!C10-Electrical!C9)))*15</f>
        <v>3810</v>
      </c>
      <c r="G9" s="33">
        <f>(IF((Electrical!D10-Electrical!D9)&lt;0,"0",(Electrical!D10-Electrical!D9)))*15</f>
        <v>3840</v>
      </c>
      <c r="H9" s="33">
        <f>IF((Electrical!E10-Electrical!E9)&lt;0,"0",(Electrical!E10-Electrical!E9))</f>
        <v>5515</v>
      </c>
      <c r="I9" s="33">
        <f>IF((Electrical!F10-Electrical!F9)&lt;0,"0",(Electrical!F10-Electrical!F9))</f>
        <v>441</v>
      </c>
      <c r="J9" s="33">
        <f>IF((Gas!B10-Gas!B9)&lt;0,"0",(Gas!B10-Gas!B9))</f>
        <v>0</v>
      </c>
      <c r="K9" s="33">
        <f>IF((Gas!C10-Gas!C9)&lt;0,"0",(Gas!C10-Gas!C9))</f>
        <v>809</v>
      </c>
      <c r="L9" s="33">
        <f>(IF((Water!B10-Water!B9)&lt;0,"0",(Water!B10-Water!B9)))*10</f>
        <v>80</v>
      </c>
      <c r="M9" s="33">
        <f>IF((Water!C10-Water!C9)&lt;0,"0",(Water!C10-Water!C9))</f>
        <v>17</v>
      </c>
      <c r="N9" s="33">
        <f>IF((Water!D10-Water!D9)&lt;0,"0",(Water!D10-Water!D9))</f>
        <v>0</v>
      </c>
      <c r="O9" s="33">
        <f>IF((Water!E10-Water!E9)&lt;0,"0",(Water!E10-Water!E9))</f>
        <v>15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31</v>
      </c>
      <c r="Y9" s="9">
        <v>298</v>
      </c>
      <c r="Z9" s="9">
        <v>298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3</v>
      </c>
      <c r="D10" s="9">
        <v>2024</v>
      </c>
      <c r="E10" s="33">
        <f>(IF((Electrical!B11-Electrical!B10)&lt;0,"0",(Electrical!B11-Electrical!B10)))*15</f>
        <v>5940</v>
      </c>
      <c r="F10" s="33">
        <f>(IF((Electrical!C11-Electrical!C10)&lt;0,"0",(Electrical!C11-Electrical!C10)))*15</f>
        <v>3345</v>
      </c>
      <c r="G10" s="33">
        <f>(IF((Electrical!D11-Electrical!D10)&lt;0,"0",(Electrical!D11-Electrical!D10)))*15</f>
        <v>3780</v>
      </c>
      <c r="H10" s="33">
        <f>IF((Electrical!E11-Electrical!E10)&lt;0,"0",(Electrical!E11-Electrical!E10))</f>
        <v>2253</v>
      </c>
      <c r="I10" s="33">
        <f>IF((Electrical!F11-Electrical!F10)&lt;0,"0",(Electrical!F11-Electrical!F10))</f>
        <v>525</v>
      </c>
      <c r="J10" s="33">
        <f>IF((Gas!B11-Gas!B10)&lt;0,"0",(Gas!B11-Gas!B10))</f>
        <v>0</v>
      </c>
      <c r="K10" s="33">
        <f>IF((Gas!C11-Gas!C10)&lt;0,"0",(Gas!C11-Gas!C10))</f>
        <v>818</v>
      </c>
      <c r="L10" s="33">
        <f>(IF((Water!B11-Water!B10)&lt;0,"0",(Water!B11-Water!B10)))*10</f>
        <v>160</v>
      </c>
      <c r="M10" s="33">
        <f>IF((Water!C11-Water!C10)&lt;0,"0",(Water!C11-Water!C10))</f>
        <v>17</v>
      </c>
      <c r="N10" s="33">
        <f>IF((Water!D11-Water!D10)&lt;0,"0",(Water!D11-Water!D10))</f>
        <v>0</v>
      </c>
      <c r="O10" s="33">
        <f>IF((Water!E11-Water!E10)&lt;0,"0",(Water!E11-Water!E10))</f>
        <v>22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33</v>
      </c>
      <c r="Y10" s="9">
        <v>290</v>
      </c>
      <c r="Z10" s="9">
        <v>290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3</v>
      </c>
      <c r="D11" s="9">
        <v>2024</v>
      </c>
      <c r="E11" s="33">
        <f>(IF((Electrical!B12-Electrical!B11)&lt;0,"0",(Electrical!B12-Electrical!B11)))*15</f>
        <v>4725</v>
      </c>
      <c r="F11" s="33">
        <f>(IF((Electrical!C12-Electrical!C11)&lt;0,"0",(Electrical!C12-Electrical!C11)))*15</f>
        <v>3255</v>
      </c>
      <c r="G11" s="33">
        <f>(IF((Electrical!D12-Electrical!D11)&lt;0,"0",(Electrical!D12-Electrical!D11)))*15</f>
        <v>3690</v>
      </c>
      <c r="H11" s="33">
        <f>IF((Electrical!E12-Electrical!E11)&lt;0,"0",(Electrical!E12-Electrical!E11))</f>
        <v>3302</v>
      </c>
      <c r="I11" s="33">
        <f>IF((Electrical!F12-Electrical!F11)&lt;0,"0",(Electrical!F12-Electrical!F11))</f>
        <v>463</v>
      </c>
      <c r="J11" s="33">
        <f>IF((Gas!B12-Gas!B11)&lt;0,"0",(Gas!B12-Gas!B11))</f>
        <v>0</v>
      </c>
      <c r="K11" s="33">
        <f>IF((Gas!C12-Gas!C11)&lt;0,"0",(Gas!C12-Gas!C11))</f>
        <v>817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20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235</v>
      </c>
      <c r="Z11" s="9">
        <v>235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3</v>
      </c>
      <c r="D12" s="9">
        <v>2024</v>
      </c>
      <c r="E12" s="33">
        <f>(IF((Electrical!B13-Electrical!B12)&lt;0,"0",(Electrical!B13-Electrical!B12)))*15</f>
        <v>5265</v>
      </c>
      <c r="F12" s="33">
        <f>(IF((Electrical!C13-Electrical!C12)&lt;0,"0",(Electrical!C13-Electrical!C12)))*15</f>
        <v>2985</v>
      </c>
      <c r="G12" s="33">
        <f>(IF((Electrical!D13-Electrical!D12)&lt;0,"0",(Electrical!D13-Electrical!D12)))*15</f>
        <v>3645</v>
      </c>
      <c r="H12" s="33">
        <f>IF((Electrical!E13-Electrical!E12)&lt;0,"0",(Electrical!E13-Electrical!E12))</f>
        <v>3275</v>
      </c>
      <c r="I12" s="33">
        <f>IF((Electrical!F13-Electrical!F12)&lt;0,"0",(Electrical!F13-Electrical!F12))</f>
        <v>446</v>
      </c>
      <c r="J12" s="33">
        <f>IF((Gas!B13-Gas!B12)&lt;0,"0",(Gas!B13-Gas!B12))</f>
        <v>0</v>
      </c>
      <c r="K12" s="33">
        <f>IF((Gas!C13-Gas!C12)&lt;0,"0",(Gas!C13-Gas!C12))</f>
        <v>613</v>
      </c>
      <c r="L12" s="33">
        <f>(IF((Water!B13-Water!B12)&lt;0,"0",(Water!B13-Water!B12)))*10</f>
        <v>120</v>
      </c>
      <c r="M12" s="33">
        <f>IF((Water!C13-Water!C12)&lt;0,"0",(Water!C13-Water!C12))</f>
        <v>27</v>
      </c>
      <c r="N12" s="33">
        <f>IF((Water!D13-Water!D12)&lt;0,"0",(Water!D13-Water!D12))</f>
        <v>0</v>
      </c>
      <c r="O12" s="33">
        <f>IF((Water!E13-Water!E12)&lt;0,"0",(Water!E13-Water!E12))</f>
        <v>16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235</v>
      </c>
      <c r="Z12" s="9">
        <v>235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3</v>
      </c>
      <c r="D13" s="9">
        <v>2024</v>
      </c>
      <c r="E13" s="33">
        <f>(IF((Electrical!B14-Electrical!B13)&lt;0,"0",(Electrical!B14-Electrical!B13)))*15</f>
        <v>5445</v>
      </c>
      <c r="F13" s="33">
        <f>(IF((Electrical!C14-Electrical!C13)&lt;0,"0",(Electrical!C14-Electrical!C13)))*15</f>
        <v>3315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3574</v>
      </c>
      <c r="I13" s="33">
        <f>IF((Electrical!F14-Electrical!F13)&lt;0,"0",(Electrical!F14-Electrical!F13))</f>
        <v>410</v>
      </c>
      <c r="J13" s="33">
        <f>IF((Gas!B14-Gas!B13)&lt;0,"0",(Gas!B14-Gas!B13))</f>
        <v>0</v>
      </c>
      <c r="K13" s="33">
        <f>IF((Gas!C14-Gas!C13)&lt;0,"0",(Gas!C14-Gas!C13))</f>
        <v>583</v>
      </c>
      <c r="L13" s="33">
        <f>(IF((Water!B14-Water!B13)&lt;0,"0",(Water!B14-Water!B13)))*10</f>
        <v>120</v>
      </c>
      <c r="M13" s="33">
        <f>IF((Water!C14-Water!C13)&lt;0,"0",(Water!C14-Water!C13))</f>
        <v>17</v>
      </c>
      <c r="N13" s="33">
        <f>IF((Water!D14-Water!D13)&lt;0,"0",(Water!D14-Water!D13))</f>
        <v>0</v>
      </c>
      <c r="O13" s="33">
        <f>IF((Water!E14-Water!E13)&lt;0,"0",(Water!E14-Water!E13))</f>
        <v>14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33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3</v>
      </c>
      <c r="D14" s="9">
        <v>2024</v>
      </c>
      <c r="E14" s="33">
        <f>(IF((Electrical!B15-Electrical!B14)&lt;0,"0",(Electrical!B15-Electrical!B14)))*15</f>
        <v>5430</v>
      </c>
      <c r="F14" s="33">
        <f>(IF((Electrical!C15-Electrical!C14)&lt;0,"0",(Electrical!C15-Electrical!C14)))*15</f>
        <v>3525</v>
      </c>
      <c r="G14" s="33">
        <f>(IF((Electrical!D15-Electrical!D14)&lt;0,"0",(Electrical!D15-Electrical!D14)))*15</f>
        <v>3675</v>
      </c>
      <c r="H14" s="33">
        <f>IF((Electrical!E15-Electrical!E14)&lt;0,"0",(Electrical!E15-Electrical!E14))</f>
        <v>3618</v>
      </c>
      <c r="I14" s="33">
        <f>IF((Electrical!F15-Electrical!F14)&lt;0,"0",(Electrical!F15-Electrical!F14))</f>
        <v>419</v>
      </c>
      <c r="J14" s="33">
        <f>IF((Gas!B15-Gas!B14)&lt;0,"0",(Gas!B15-Gas!B14))</f>
        <v>0</v>
      </c>
      <c r="K14" s="33">
        <f>IF((Gas!C15-Gas!C14)&lt;0,"0",(Gas!C15-Gas!C14))</f>
        <v>723</v>
      </c>
      <c r="L14" s="33">
        <f>(IF((Water!B15-Water!B14)&lt;0,"0",(Water!B15-Water!B14)))*10</f>
        <v>130</v>
      </c>
      <c r="M14" s="33">
        <f>IF((Water!C15-Water!C14)&lt;0,"0",(Water!C15-Water!C14))</f>
        <v>23</v>
      </c>
      <c r="N14" s="33">
        <f>IF((Water!D15-Water!D14)&lt;0,"0",(Water!D15-Water!D14))</f>
        <v>0</v>
      </c>
      <c r="O14" s="33">
        <f>IF((Water!E15-Water!E14)&lt;0,"0",(Water!E15-Water!E14))</f>
        <v>14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48</v>
      </c>
      <c r="Y14" s="9">
        <v>236</v>
      </c>
      <c r="Z14" s="9">
        <v>236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3</v>
      </c>
      <c r="D15" s="9">
        <v>2024</v>
      </c>
      <c r="E15" s="33">
        <f>(IF((Electrical!B16-Electrical!B15)&lt;0,"0",(Electrical!B16-Electrical!B15)))*15</f>
        <v>5775</v>
      </c>
      <c r="F15" s="33">
        <f>(IF((Electrical!C16-Electrical!C15)&lt;0,"0",(Electrical!C16-Electrical!C15)))*15</f>
        <v>3255</v>
      </c>
      <c r="G15" s="33">
        <f>(IF((Electrical!D16-Electrical!D15)&lt;0,"0",(Electrical!D16-Electrical!D15)))*15</f>
        <v>3660</v>
      </c>
      <c r="H15" s="33">
        <f>IF((Electrical!E16-Electrical!E15)&lt;0,"0",(Electrical!E16-Electrical!E15))</f>
        <v>3773</v>
      </c>
      <c r="I15" s="33">
        <f>IF((Electrical!F16-Electrical!F15)&lt;0,"0",(Electrical!F16-Electrical!F15))</f>
        <v>433</v>
      </c>
      <c r="J15" s="33">
        <f>IF((Gas!B16-Gas!B15)&lt;0,"0",(Gas!B16-Gas!B15))</f>
        <v>0</v>
      </c>
      <c r="K15" s="33">
        <f>IF((Gas!C16-Gas!C15)&lt;0,"0",(Gas!C16-Gas!C15))</f>
        <v>729</v>
      </c>
      <c r="L15" s="33">
        <f>(IF((Water!B16-Water!B15)&lt;0,"0",(Water!B16-Water!B15)))*10</f>
        <v>120</v>
      </c>
      <c r="M15" s="33">
        <f>IF((Water!C16-Water!C15)&lt;0,"0",(Water!C16-Water!C15))</f>
        <v>23</v>
      </c>
      <c r="N15" s="33">
        <f>IF((Water!D16-Water!D15)&lt;0,"0",(Water!D16-Water!D15))</f>
        <v>0</v>
      </c>
      <c r="O15" s="33">
        <f>IF((Water!E16-Water!E15)&lt;0,"0",(Water!E16-Water!E15))</f>
        <v>15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1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36</v>
      </c>
      <c r="Y15" s="9">
        <v>223</v>
      </c>
      <c r="Z15" s="9">
        <v>223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3</v>
      </c>
      <c r="D16" s="9">
        <v>2024</v>
      </c>
      <c r="E16" s="33">
        <f>(IF((Electrical!B17-Electrical!B16)&lt;0,"0",(Electrical!B17-Electrical!B16)))*15</f>
        <v>4995</v>
      </c>
      <c r="F16" s="33">
        <f>(IF((Electrical!C17-Electrical!C16)&lt;0,"0",(Electrical!C17-Electrical!C16)))*15</f>
        <v>4200</v>
      </c>
      <c r="G16" s="33">
        <f>(IF((Electrical!D17-Electrical!D16)&lt;0,"0",(Electrical!D17-Electrical!D16)))*15</f>
        <v>3765</v>
      </c>
      <c r="H16" s="33">
        <f>IF((Electrical!E17-Electrical!E16)&lt;0,"0",(Electrical!E17-Electrical!E16))</f>
        <v>3892</v>
      </c>
      <c r="I16" s="33">
        <f>IF((Electrical!F17-Electrical!F16)&lt;0,"0",(Electrical!F17-Electrical!F16))</f>
        <v>422</v>
      </c>
      <c r="J16" s="33">
        <f>IF((Gas!B17-Gas!B16)&lt;0,"0",(Gas!B17-Gas!B16))</f>
        <v>0</v>
      </c>
      <c r="K16" s="33">
        <f>IF((Gas!C17-Gas!C16)&lt;0,"0",(Gas!C17-Gas!C16))</f>
        <v>683</v>
      </c>
      <c r="L16" s="33">
        <f>(IF((Water!B17-Water!B16)&lt;0,"0",(Water!B17-Water!B16)))*10</f>
        <v>150</v>
      </c>
      <c r="M16" s="33">
        <f>IF((Water!C17-Water!C16)&lt;0,"0",(Water!C17-Water!C16))</f>
        <v>28</v>
      </c>
      <c r="N16" s="33">
        <f>IF((Water!D17-Water!D16)&lt;0,"0",(Water!D17-Water!D16))</f>
        <v>0</v>
      </c>
      <c r="O16" s="33">
        <f>IF((Water!E17-Water!E16)&lt;0,"0",(Water!E17-Water!E16))</f>
        <v>15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7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31</v>
      </c>
      <c r="Y16" s="9">
        <v>211</v>
      </c>
      <c r="Z16" s="9">
        <v>211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3</v>
      </c>
      <c r="D17" s="9">
        <v>2024</v>
      </c>
      <c r="E17" s="33">
        <f>(IF((Electrical!B18-Electrical!B17)&lt;0,"0",(Electrical!B18-Electrical!B17)))*15</f>
        <v>5865</v>
      </c>
      <c r="F17" s="33">
        <f>(IF((Electrical!C18-Electrical!C17)&lt;0,"0",(Electrical!C18-Electrical!C17)))*15</f>
        <v>3630</v>
      </c>
      <c r="G17" s="33">
        <f>(IF((Electrical!D18-Electrical!D17)&lt;0,"0",(Electrical!D18-Electrical!D17)))*15</f>
        <v>3735</v>
      </c>
      <c r="H17" s="33">
        <f>IF((Electrical!E18-Electrical!E17)&lt;0,"0",(Electrical!E18-Electrical!E17))</f>
        <v>3996</v>
      </c>
      <c r="I17" s="33">
        <f>IF((Electrical!F18-Electrical!F17)&lt;0,"0",(Electrical!F18-Electrical!F17))</f>
        <v>433</v>
      </c>
      <c r="J17" s="33">
        <f>IF((Gas!B18-Gas!B17)&lt;0,"0",(Gas!B18-Gas!B17))</f>
        <v>0</v>
      </c>
      <c r="K17" s="33">
        <f>IF((Gas!C18-Gas!C17)&lt;0,"0",(Gas!C18-Gas!C17))</f>
        <v>773</v>
      </c>
      <c r="L17" s="33">
        <f>(IF((Water!B18-Water!B17)&lt;0,"0",(Water!B18-Water!B17)))*10</f>
        <v>140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15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224</v>
      </c>
      <c r="Z17" s="9">
        <v>224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3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3465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3652</v>
      </c>
      <c r="I18" s="33">
        <f>IF((Electrical!F19-Electrical!F18)&lt;0,"0",(Electrical!F19-Electrical!F18))</f>
        <v>436</v>
      </c>
      <c r="J18" s="33">
        <f>IF((Gas!B19-Gas!B18)&lt;0,"0",(Gas!B19-Gas!B18))</f>
        <v>0</v>
      </c>
      <c r="K18" s="33">
        <f>IF((Gas!C19-Gas!C18)&lt;0,"0",(Gas!C19-Gas!C18))</f>
        <v>717</v>
      </c>
      <c r="L18" s="33">
        <f>(IF((Water!B19-Water!B18)&lt;0,"0",(Water!B19-Water!B18)))*10</f>
        <v>110</v>
      </c>
      <c r="M18" s="33">
        <f>IF((Water!C19-Water!C18)&lt;0,"0",(Water!C19-Water!C18))</f>
        <v>19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201</v>
      </c>
      <c r="Z18" s="9">
        <v>201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3</v>
      </c>
      <c r="D19" s="9">
        <v>2024</v>
      </c>
      <c r="E19" s="33">
        <f>(IF((Electrical!B20-Electrical!B19)&lt;0,"0",(Electrical!B20-Electrical!B19)))*15</f>
        <v>4770</v>
      </c>
      <c r="F19" s="33">
        <f>(IF((Electrical!C20-Electrical!C19)&lt;0,"0",(Electrical!C20-Electrical!C19)))*15</f>
        <v>3345</v>
      </c>
      <c r="G19" s="33">
        <f>(IF((Electrical!D20-Electrical!D19)&lt;0,"0",(Electrical!D20-Electrical!D19)))*15</f>
        <v>3465</v>
      </c>
      <c r="H19" s="33">
        <f>IF((Electrical!E20-Electrical!E19)&lt;0,"0",(Electrical!E20-Electrical!E19))</f>
        <v>3547</v>
      </c>
      <c r="I19" s="33">
        <f>IF((Electrical!F20-Electrical!F19)&lt;0,"0",(Electrical!F20-Electrical!F19))</f>
        <v>366</v>
      </c>
      <c r="J19" s="33">
        <f>IF((Gas!B20-Gas!B19)&lt;0,"0",(Gas!B20-Gas!B19))</f>
        <v>0</v>
      </c>
      <c r="K19" s="33">
        <f>IF((Gas!C20-Gas!C19)&lt;0,"0",(Gas!C20-Gas!C19))</f>
        <v>783</v>
      </c>
      <c r="L19" s="33">
        <f>(IF((Water!B20-Water!B19)&lt;0,"0",(Water!B20-Water!B19)))*10</f>
        <v>120</v>
      </c>
      <c r="M19" s="33">
        <f>IF((Water!C20-Water!C19)&lt;0,"0",(Water!C20-Water!C19))</f>
        <v>26</v>
      </c>
      <c r="N19" s="33">
        <f>IF((Water!D20-Water!D19)&lt;0,"0",(Water!D20-Water!D19))</f>
        <v>0</v>
      </c>
      <c r="O19" s="33">
        <f>IF((Water!E20-Water!E19)&lt;0,"0",(Water!E20-Water!E19))</f>
        <v>11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9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48</v>
      </c>
      <c r="Y19" s="9">
        <v>223</v>
      </c>
      <c r="Z19" s="9">
        <v>223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3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 t="str">
        <f>IF((Electrical!E21-Electrical!E20)&lt;0,"0",(Electrical!E21-Electrical!E20))</f>
        <v>0</v>
      </c>
      <c r="I20" s="33" t="str">
        <f>IF((Electrical!F21-Electrical!F20)&lt;0,"0",(Electrical!F21-Electrical!F20))</f>
        <v>0</v>
      </c>
      <c r="J20" s="33">
        <f>IF((Gas!B21-Gas!B20)&lt;0,"0",(Gas!B21-Gas!B20))</f>
        <v>0</v>
      </c>
      <c r="K20" s="33" t="str">
        <f>IF((Gas!C21-Gas!C20)&lt;0,"0",(Gas!C21-Gas!C20))</f>
        <v>0</v>
      </c>
      <c r="L20" s="33">
        <f>(IF((Water!B21-Water!B20)&lt;0,"0",(Water!B21-Water!B20)))*10</f>
        <v>0</v>
      </c>
      <c r="M20" s="33" t="str">
        <f>IF((Water!C21-Water!C20)&lt;0,"0",(Water!C21-Water!C20))</f>
        <v>0</v>
      </c>
      <c r="N20" s="33">
        <f>IF((Water!D21-Water!D20)&lt;0,"0",(Water!D21-Water!D20))</f>
        <v>0</v>
      </c>
      <c r="O20" s="33" t="str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 t="str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 t="str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3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3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3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3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3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3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3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3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3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3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3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3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opLeftCell="A4" zoomScale="70" zoomScaleNormal="70" workbookViewId="0">
      <selection activeCell="K14" sqref="K14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29</v>
      </c>
      <c r="B2" s="28">
        <v>117982</v>
      </c>
      <c r="C2" s="28">
        <v>87169</v>
      </c>
      <c r="D2" s="46">
        <v>88620</v>
      </c>
      <c r="E2" s="46">
        <v>1221676</v>
      </c>
      <c r="F2" s="46">
        <v>138949</v>
      </c>
      <c r="G2" s="5" t="s">
        <v>40</v>
      </c>
    </row>
    <row r="3" spans="1:7" ht="15.75" customHeight="1" x14ac:dyDescent="0.35">
      <c r="A3" s="7">
        <v>1</v>
      </c>
      <c r="B3" s="47">
        <v>118369</v>
      </c>
      <c r="C3" s="47">
        <v>87421</v>
      </c>
      <c r="D3" s="45">
        <v>88866</v>
      </c>
      <c r="E3" s="45">
        <v>1225732</v>
      </c>
      <c r="F3" s="45">
        <v>139402</v>
      </c>
      <c r="G3" s="27" t="s">
        <v>40</v>
      </c>
    </row>
    <row r="4" spans="1:7" x14ac:dyDescent="0.35">
      <c r="A4" s="7">
        <v>2</v>
      </c>
      <c r="B4" s="28">
        <v>118758</v>
      </c>
      <c r="C4" s="28">
        <v>87677</v>
      </c>
      <c r="D4" s="46">
        <v>89120</v>
      </c>
      <c r="E4" s="45">
        <v>1229840</v>
      </c>
      <c r="F4" s="45">
        <v>139879</v>
      </c>
      <c r="G4" s="27" t="s">
        <v>41</v>
      </c>
    </row>
    <row r="5" spans="1:7" x14ac:dyDescent="0.35">
      <c r="A5" s="7">
        <v>3</v>
      </c>
      <c r="B5" s="28">
        <v>119088</v>
      </c>
      <c r="C5" s="28">
        <v>87898</v>
      </c>
      <c r="D5" s="45">
        <v>89366</v>
      </c>
      <c r="E5" s="45">
        <v>1233317</v>
      </c>
      <c r="F5" s="45">
        <v>140333</v>
      </c>
      <c r="G5" s="27" t="s">
        <v>42</v>
      </c>
    </row>
    <row r="6" spans="1:7" x14ac:dyDescent="0.35">
      <c r="A6" s="7">
        <v>4</v>
      </c>
      <c r="B6" s="28">
        <v>119441</v>
      </c>
      <c r="C6" s="28">
        <v>88134</v>
      </c>
      <c r="D6" s="45">
        <v>89615</v>
      </c>
      <c r="E6" s="45">
        <v>1237014</v>
      </c>
      <c r="F6" s="45">
        <v>140786</v>
      </c>
      <c r="G6" s="5" t="s">
        <v>42</v>
      </c>
    </row>
    <row r="7" spans="1:7" x14ac:dyDescent="0.35">
      <c r="A7" s="7">
        <v>5</v>
      </c>
      <c r="B7" s="28">
        <v>119818</v>
      </c>
      <c r="C7" s="28">
        <v>88359</v>
      </c>
      <c r="D7" s="45">
        <v>89861</v>
      </c>
      <c r="E7" s="45">
        <v>1240743</v>
      </c>
      <c r="F7" s="45">
        <v>141236</v>
      </c>
      <c r="G7" s="5" t="s">
        <v>42</v>
      </c>
    </row>
    <row r="8" spans="1:7" x14ac:dyDescent="0.35">
      <c r="A8" s="7">
        <v>6</v>
      </c>
      <c r="B8" s="28">
        <v>120204</v>
      </c>
      <c r="C8" s="28">
        <v>88590</v>
      </c>
      <c r="D8" s="45">
        <v>90114</v>
      </c>
      <c r="E8" s="45">
        <v>1244712</v>
      </c>
      <c r="F8" s="45">
        <v>141666</v>
      </c>
      <c r="G8" s="5" t="s">
        <v>42</v>
      </c>
    </row>
    <row r="9" spans="1:7" x14ac:dyDescent="0.35">
      <c r="A9" s="7">
        <v>7</v>
      </c>
      <c r="B9" s="28">
        <v>120582</v>
      </c>
      <c r="C9" s="28">
        <v>88841</v>
      </c>
      <c r="D9" s="45">
        <v>90367</v>
      </c>
      <c r="E9" s="45">
        <v>1249013</v>
      </c>
      <c r="F9" s="45">
        <v>142138</v>
      </c>
      <c r="G9" s="5" t="s">
        <v>42</v>
      </c>
    </row>
    <row r="10" spans="1:7" x14ac:dyDescent="0.35">
      <c r="A10" s="7">
        <v>8</v>
      </c>
      <c r="B10" s="28">
        <v>120975</v>
      </c>
      <c r="C10" s="28">
        <v>89095</v>
      </c>
      <c r="D10" s="45">
        <v>90623</v>
      </c>
      <c r="E10" s="45">
        <v>1254528</v>
      </c>
      <c r="F10" s="45">
        <v>142579</v>
      </c>
      <c r="G10" s="48" t="s">
        <v>43</v>
      </c>
    </row>
    <row r="11" spans="1:7" x14ac:dyDescent="0.35">
      <c r="A11" s="7">
        <v>9</v>
      </c>
      <c r="B11" s="28">
        <v>121371</v>
      </c>
      <c r="C11" s="28">
        <v>89318</v>
      </c>
      <c r="D11" s="45">
        <v>90875</v>
      </c>
      <c r="E11" s="45">
        <v>1256781</v>
      </c>
      <c r="F11" s="45">
        <v>143104</v>
      </c>
      <c r="G11" s="48" t="s">
        <v>44</v>
      </c>
    </row>
    <row r="12" spans="1:7" x14ac:dyDescent="0.35">
      <c r="A12" s="7">
        <v>10</v>
      </c>
      <c r="B12" s="28">
        <v>121686</v>
      </c>
      <c r="C12" s="28">
        <v>89535</v>
      </c>
      <c r="D12" s="45">
        <v>91121</v>
      </c>
      <c r="E12" s="45">
        <v>1260083</v>
      </c>
      <c r="F12" s="45">
        <v>143567</v>
      </c>
      <c r="G12" s="48" t="s">
        <v>45</v>
      </c>
    </row>
    <row r="13" spans="1:7" x14ac:dyDescent="0.35">
      <c r="A13" s="7">
        <v>11</v>
      </c>
      <c r="B13" s="28">
        <v>122037</v>
      </c>
      <c r="C13" s="28">
        <v>89734</v>
      </c>
      <c r="D13" s="45">
        <v>91364</v>
      </c>
      <c r="E13" s="45">
        <v>1263358</v>
      </c>
      <c r="F13" s="45">
        <v>144013</v>
      </c>
      <c r="G13" s="5" t="s">
        <v>40</v>
      </c>
    </row>
    <row r="14" spans="1:7" x14ac:dyDescent="0.35">
      <c r="A14" s="7">
        <v>12</v>
      </c>
      <c r="B14" s="28">
        <v>122400</v>
      </c>
      <c r="C14" s="28">
        <v>89955</v>
      </c>
      <c r="D14" s="45">
        <v>91601</v>
      </c>
      <c r="E14" s="45">
        <v>1266932</v>
      </c>
      <c r="F14" s="45">
        <v>144423</v>
      </c>
      <c r="G14" s="5" t="s">
        <v>46</v>
      </c>
    </row>
    <row r="15" spans="1:7" x14ac:dyDescent="0.35">
      <c r="A15" s="7">
        <v>13</v>
      </c>
      <c r="B15" s="28">
        <v>122762</v>
      </c>
      <c r="C15" s="28">
        <v>90190</v>
      </c>
      <c r="D15" s="45">
        <v>91846</v>
      </c>
      <c r="E15" s="45">
        <v>1270550</v>
      </c>
      <c r="F15" s="45">
        <v>144842</v>
      </c>
      <c r="G15" s="5" t="s">
        <v>40</v>
      </c>
    </row>
    <row r="16" spans="1:7" x14ac:dyDescent="0.35">
      <c r="A16" s="7">
        <v>14</v>
      </c>
      <c r="B16" s="28">
        <v>123147</v>
      </c>
      <c r="C16" s="28">
        <v>90407</v>
      </c>
      <c r="D16" s="45">
        <v>92090</v>
      </c>
      <c r="E16" s="45">
        <v>1274323</v>
      </c>
      <c r="F16" s="45">
        <v>145275</v>
      </c>
      <c r="G16" s="5" t="s">
        <v>40</v>
      </c>
    </row>
    <row r="17" spans="1:7" x14ac:dyDescent="0.35">
      <c r="A17" s="7">
        <v>15</v>
      </c>
      <c r="B17" s="28">
        <v>123480</v>
      </c>
      <c r="C17" s="28">
        <v>90687</v>
      </c>
      <c r="D17" s="45">
        <v>92341</v>
      </c>
      <c r="E17" s="45">
        <v>1278215</v>
      </c>
      <c r="F17" s="45">
        <v>145697</v>
      </c>
      <c r="G17" s="5" t="s">
        <v>40</v>
      </c>
    </row>
    <row r="18" spans="1:7" x14ac:dyDescent="0.35">
      <c r="A18" s="7">
        <v>16</v>
      </c>
      <c r="B18" s="28">
        <v>123871</v>
      </c>
      <c r="C18" s="28">
        <v>90929</v>
      </c>
      <c r="D18" s="45">
        <v>92590</v>
      </c>
      <c r="E18" s="45">
        <v>1282211</v>
      </c>
      <c r="F18" s="45">
        <v>146130</v>
      </c>
      <c r="G18" s="5" t="s">
        <v>46</v>
      </c>
    </row>
    <row r="19" spans="1:7" x14ac:dyDescent="0.35">
      <c r="A19" s="7">
        <v>17</v>
      </c>
      <c r="B19" s="28">
        <v>124201</v>
      </c>
      <c r="C19" s="28">
        <v>91160</v>
      </c>
      <c r="D19" s="45">
        <v>92835</v>
      </c>
      <c r="E19" s="45">
        <v>1285863</v>
      </c>
      <c r="F19" s="45">
        <v>146566</v>
      </c>
      <c r="G19" s="5" t="s">
        <v>47</v>
      </c>
    </row>
    <row r="20" spans="1:7" x14ac:dyDescent="0.35">
      <c r="A20" s="7">
        <v>18</v>
      </c>
      <c r="B20" s="28">
        <v>124519</v>
      </c>
      <c r="C20" s="28">
        <v>91383</v>
      </c>
      <c r="D20" s="45">
        <v>93066</v>
      </c>
      <c r="E20" s="45">
        <v>1289410</v>
      </c>
      <c r="F20" s="45">
        <v>146932</v>
      </c>
      <c r="G20" s="5" t="s">
        <v>48</v>
      </c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L10" sqref="L10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29</v>
      </c>
      <c r="B2" s="5">
        <v>0</v>
      </c>
      <c r="C2" s="5">
        <v>203139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203890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204698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205568</v>
      </c>
      <c r="D5" s="27" t="s">
        <v>42</v>
      </c>
    </row>
    <row r="6" spans="1:4" x14ac:dyDescent="0.35">
      <c r="A6" s="4">
        <v>4</v>
      </c>
      <c r="B6" s="5">
        <v>0</v>
      </c>
      <c r="C6" s="5">
        <v>206323</v>
      </c>
      <c r="D6" s="5" t="s">
        <v>42</v>
      </c>
    </row>
    <row r="7" spans="1:4" x14ac:dyDescent="0.35">
      <c r="A7" s="4">
        <v>5</v>
      </c>
      <c r="B7" s="5">
        <v>0</v>
      </c>
      <c r="C7" s="5">
        <v>207159</v>
      </c>
      <c r="D7" s="5" t="s">
        <v>42</v>
      </c>
    </row>
    <row r="8" spans="1:4" x14ac:dyDescent="0.35">
      <c r="A8" s="4">
        <v>6</v>
      </c>
      <c r="B8" s="5">
        <v>0</v>
      </c>
      <c r="C8" s="5">
        <v>208008</v>
      </c>
      <c r="D8" s="5" t="s">
        <v>42</v>
      </c>
    </row>
    <row r="9" spans="1:4" x14ac:dyDescent="0.35">
      <c r="A9" s="4">
        <v>7</v>
      </c>
      <c r="B9" s="5">
        <v>0</v>
      </c>
      <c r="C9" s="5">
        <v>208872</v>
      </c>
      <c r="D9" s="5" t="s">
        <v>42</v>
      </c>
    </row>
    <row r="10" spans="1:4" x14ac:dyDescent="0.35">
      <c r="A10" s="4">
        <v>8</v>
      </c>
      <c r="B10" s="5">
        <v>0</v>
      </c>
      <c r="C10" s="5">
        <v>209681</v>
      </c>
      <c r="D10" s="48" t="s">
        <v>43</v>
      </c>
    </row>
    <row r="11" spans="1:4" x14ac:dyDescent="0.35">
      <c r="A11" s="4">
        <v>9</v>
      </c>
      <c r="B11" s="5">
        <v>0</v>
      </c>
      <c r="C11" s="5">
        <v>210499</v>
      </c>
      <c r="D11" s="48" t="s">
        <v>44</v>
      </c>
    </row>
    <row r="12" spans="1:4" x14ac:dyDescent="0.35">
      <c r="A12" s="4">
        <v>10</v>
      </c>
      <c r="B12" s="5">
        <v>0</v>
      </c>
      <c r="C12" s="5">
        <v>211316</v>
      </c>
      <c r="D12" s="48" t="s">
        <v>45</v>
      </c>
    </row>
    <row r="13" spans="1:4" x14ac:dyDescent="0.35">
      <c r="A13" s="4">
        <v>11</v>
      </c>
      <c r="B13" s="5">
        <v>0</v>
      </c>
      <c r="C13" s="5">
        <v>211929</v>
      </c>
      <c r="D13" s="5" t="s">
        <v>40</v>
      </c>
    </row>
    <row r="14" spans="1:4" x14ac:dyDescent="0.35">
      <c r="A14" s="4">
        <v>12</v>
      </c>
      <c r="B14" s="5">
        <v>0</v>
      </c>
      <c r="C14" s="5">
        <v>212512</v>
      </c>
      <c r="D14" s="5" t="s">
        <v>46</v>
      </c>
    </row>
    <row r="15" spans="1:4" x14ac:dyDescent="0.35">
      <c r="A15" s="4">
        <v>13</v>
      </c>
      <c r="B15" s="5">
        <v>0</v>
      </c>
      <c r="C15" s="5">
        <v>213235</v>
      </c>
      <c r="D15" s="5" t="s">
        <v>40</v>
      </c>
    </row>
    <row r="16" spans="1:4" x14ac:dyDescent="0.35">
      <c r="A16" s="4">
        <v>14</v>
      </c>
      <c r="B16" s="5">
        <v>0</v>
      </c>
      <c r="C16" s="5">
        <v>213964</v>
      </c>
      <c r="D16" s="5" t="s">
        <v>40</v>
      </c>
    </row>
    <row r="17" spans="1:4" x14ac:dyDescent="0.35">
      <c r="A17" s="4">
        <v>15</v>
      </c>
      <c r="B17" s="5">
        <v>0</v>
      </c>
      <c r="C17" s="5">
        <v>214647</v>
      </c>
      <c r="D17" s="5" t="s">
        <v>40</v>
      </c>
    </row>
    <row r="18" spans="1:4" x14ac:dyDescent="0.35">
      <c r="A18" s="4">
        <v>16</v>
      </c>
      <c r="B18" s="5">
        <v>0</v>
      </c>
      <c r="C18" s="5">
        <v>215420</v>
      </c>
      <c r="D18" s="5" t="s">
        <v>46</v>
      </c>
    </row>
    <row r="19" spans="1:4" x14ac:dyDescent="0.35">
      <c r="A19" s="4">
        <v>17</v>
      </c>
      <c r="B19" s="5">
        <v>0</v>
      </c>
      <c r="C19" s="5">
        <v>216137</v>
      </c>
      <c r="D19" s="5" t="s">
        <v>47</v>
      </c>
    </row>
    <row r="20" spans="1:4" x14ac:dyDescent="0.35">
      <c r="A20" s="4">
        <v>18</v>
      </c>
      <c r="B20" s="5">
        <v>0</v>
      </c>
      <c r="C20" s="5">
        <v>216920</v>
      </c>
      <c r="D20" s="5" t="s">
        <v>48</v>
      </c>
    </row>
    <row r="21" spans="1:4" x14ac:dyDescent="0.35">
      <c r="A21" s="4">
        <v>19</v>
      </c>
      <c r="B21" s="5">
        <v>0</v>
      </c>
      <c r="C21" s="5"/>
      <c r="D21" s="5"/>
    </row>
    <row r="22" spans="1:4" ht="15.5" x14ac:dyDescent="0.35">
      <c r="A22" s="4">
        <v>20</v>
      </c>
      <c r="B22" s="5">
        <v>0</v>
      </c>
      <c r="C22" s="5"/>
      <c r="D22" s="27"/>
    </row>
    <row r="23" spans="1:4" ht="15.5" x14ac:dyDescent="0.35">
      <c r="A23" s="4">
        <v>21</v>
      </c>
      <c r="B23" s="5">
        <v>0</v>
      </c>
      <c r="C23" s="5"/>
      <c r="D23" s="27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E4" zoomScale="85" zoomScaleNormal="85" workbookViewId="0">
      <selection activeCell="P15" sqref="P15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29</v>
      </c>
      <c r="B2" s="5">
        <v>3268</v>
      </c>
      <c r="C2" s="5">
        <v>10320</v>
      </c>
      <c r="D2" s="5">
        <v>0</v>
      </c>
      <c r="E2" s="5">
        <v>2896</v>
      </c>
      <c r="F2" s="5">
        <v>0</v>
      </c>
      <c r="G2" s="5">
        <v>0</v>
      </c>
      <c r="H2" s="5">
        <v>0</v>
      </c>
      <c r="I2" s="5">
        <v>0</v>
      </c>
      <c r="J2" s="5">
        <v>372</v>
      </c>
      <c r="K2" s="5">
        <v>0</v>
      </c>
      <c r="L2" s="5">
        <v>0</v>
      </c>
      <c r="M2" s="5">
        <v>0</v>
      </c>
      <c r="N2" s="5">
        <v>12225</v>
      </c>
      <c r="O2" s="5" t="s">
        <v>40</v>
      </c>
    </row>
    <row r="3" spans="1:15" ht="15.5" x14ac:dyDescent="0.35">
      <c r="A3" s="4">
        <v>1</v>
      </c>
      <c r="B3" s="5">
        <v>3283</v>
      </c>
      <c r="C3" s="5">
        <v>10341</v>
      </c>
      <c r="D3" s="5">
        <v>0</v>
      </c>
      <c r="E3" s="5">
        <v>2913</v>
      </c>
      <c r="F3" s="5">
        <v>0</v>
      </c>
      <c r="G3" s="5">
        <v>0</v>
      </c>
      <c r="H3" s="5">
        <v>0</v>
      </c>
      <c r="I3" s="5">
        <v>0</v>
      </c>
      <c r="J3" s="5">
        <v>372</v>
      </c>
      <c r="K3" s="5">
        <v>0</v>
      </c>
      <c r="L3" s="5">
        <v>0</v>
      </c>
      <c r="M3" s="5">
        <v>0</v>
      </c>
      <c r="N3" s="5">
        <v>12257</v>
      </c>
      <c r="O3" s="27" t="s">
        <v>40</v>
      </c>
    </row>
    <row r="4" spans="1:15" ht="15.5" x14ac:dyDescent="0.35">
      <c r="A4" s="4">
        <v>2</v>
      </c>
      <c r="B4" s="5">
        <v>3297</v>
      </c>
      <c r="C4" s="5">
        <v>10357</v>
      </c>
      <c r="D4" s="5">
        <v>0</v>
      </c>
      <c r="E4" s="5">
        <v>2932</v>
      </c>
      <c r="F4" s="5">
        <v>0</v>
      </c>
      <c r="G4" s="5">
        <v>0</v>
      </c>
      <c r="H4" s="5">
        <v>0</v>
      </c>
      <c r="I4" s="5">
        <v>0</v>
      </c>
      <c r="J4" s="5">
        <v>373</v>
      </c>
      <c r="K4" s="5">
        <v>0</v>
      </c>
      <c r="L4" s="5">
        <v>0</v>
      </c>
      <c r="M4" s="5">
        <v>0</v>
      </c>
      <c r="N4" s="5">
        <v>12289</v>
      </c>
      <c r="O4" s="27" t="s">
        <v>41</v>
      </c>
    </row>
    <row r="5" spans="1:15" ht="15.5" x14ac:dyDescent="0.35">
      <c r="A5" s="4">
        <v>3</v>
      </c>
      <c r="B5" s="5">
        <v>3309</v>
      </c>
      <c r="C5" s="5">
        <v>10372</v>
      </c>
      <c r="D5" s="5">
        <v>0</v>
      </c>
      <c r="E5" s="5">
        <v>2952</v>
      </c>
      <c r="F5" s="5">
        <v>0</v>
      </c>
      <c r="G5" s="5">
        <v>0</v>
      </c>
      <c r="H5" s="5">
        <v>0</v>
      </c>
      <c r="I5" s="5">
        <v>0</v>
      </c>
      <c r="J5" s="5">
        <v>373</v>
      </c>
      <c r="K5" s="5">
        <v>0</v>
      </c>
      <c r="L5" s="5">
        <v>0</v>
      </c>
      <c r="M5" s="5">
        <v>0</v>
      </c>
      <c r="N5" s="5">
        <v>12322</v>
      </c>
      <c r="O5" s="27" t="s">
        <v>42</v>
      </c>
    </row>
    <row r="6" spans="1:15" x14ac:dyDescent="0.35">
      <c r="A6" s="4">
        <v>4</v>
      </c>
      <c r="B6" s="5">
        <v>3322</v>
      </c>
      <c r="C6" s="5">
        <v>10390</v>
      </c>
      <c r="D6" s="5">
        <v>0</v>
      </c>
      <c r="E6" s="5">
        <v>2969</v>
      </c>
      <c r="F6" s="5">
        <v>0</v>
      </c>
      <c r="G6" s="5">
        <v>0</v>
      </c>
      <c r="H6" s="5">
        <v>0</v>
      </c>
      <c r="I6" s="5">
        <v>0</v>
      </c>
      <c r="J6" s="5">
        <v>380</v>
      </c>
      <c r="K6" s="5">
        <v>0</v>
      </c>
      <c r="L6" s="5">
        <v>0</v>
      </c>
      <c r="M6" s="5">
        <v>0</v>
      </c>
      <c r="N6" s="5">
        <v>12354</v>
      </c>
      <c r="O6" s="5" t="s">
        <v>42</v>
      </c>
    </row>
    <row r="7" spans="1:15" x14ac:dyDescent="0.35">
      <c r="A7" s="4">
        <v>5</v>
      </c>
      <c r="B7" s="5">
        <v>3335</v>
      </c>
      <c r="C7" s="5">
        <v>10404</v>
      </c>
      <c r="D7" s="5">
        <v>0</v>
      </c>
      <c r="E7" s="5">
        <v>2986</v>
      </c>
      <c r="F7" s="5">
        <v>0</v>
      </c>
      <c r="G7" s="5">
        <v>0</v>
      </c>
      <c r="H7" s="5">
        <v>0</v>
      </c>
      <c r="I7" s="5">
        <v>0</v>
      </c>
      <c r="J7" s="5">
        <v>380</v>
      </c>
      <c r="K7" s="5">
        <v>0</v>
      </c>
      <c r="L7" s="5">
        <v>0</v>
      </c>
      <c r="M7" s="5">
        <v>0</v>
      </c>
      <c r="N7" s="5">
        <v>12386</v>
      </c>
      <c r="O7" s="5" t="s">
        <v>42</v>
      </c>
    </row>
    <row r="8" spans="1:15" x14ac:dyDescent="0.35">
      <c r="A8" s="4">
        <v>6</v>
      </c>
      <c r="B8" s="5">
        <v>3346</v>
      </c>
      <c r="C8" s="5">
        <v>10424</v>
      </c>
      <c r="D8" s="5">
        <v>0</v>
      </c>
      <c r="E8" s="5">
        <v>3002</v>
      </c>
      <c r="F8" s="5">
        <v>0</v>
      </c>
      <c r="G8" s="5">
        <v>0</v>
      </c>
      <c r="H8" s="5">
        <v>0</v>
      </c>
      <c r="I8" s="5">
        <v>0</v>
      </c>
      <c r="J8" s="5">
        <v>380</v>
      </c>
      <c r="K8" s="5">
        <v>0</v>
      </c>
      <c r="L8" s="5">
        <v>0</v>
      </c>
      <c r="M8" s="5">
        <v>0</v>
      </c>
      <c r="N8" s="5">
        <v>12418</v>
      </c>
      <c r="O8" s="5" t="s">
        <v>42</v>
      </c>
    </row>
    <row r="9" spans="1:15" x14ac:dyDescent="0.35">
      <c r="A9" s="4">
        <v>7</v>
      </c>
      <c r="B9" s="5">
        <v>3368</v>
      </c>
      <c r="C9" s="5">
        <v>10442</v>
      </c>
      <c r="D9" s="5">
        <v>0</v>
      </c>
      <c r="E9" s="5">
        <v>3024</v>
      </c>
      <c r="F9" s="5">
        <v>0</v>
      </c>
      <c r="G9" s="5">
        <v>0</v>
      </c>
      <c r="H9" s="5">
        <v>0</v>
      </c>
      <c r="I9" s="5">
        <v>0</v>
      </c>
      <c r="J9" s="5">
        <v>380</v>
      </c>
      <c r="K9" s="5">
        <v>0</v>
      </c>
      <c r="L9" s="5">
        <v>0</v>
      </c>
      <c r="M9" s="5">
        <v>0</v>
      </c>
      <c r="N9" s="5">
        <v>12469</v>
      </c>
      <c r="O9" s="5" t="s">
        <v>42</v>
      </c>
    </row>
    <row r="10" spans="1:15" x14ac:dyDescent="0.35">
      <c r="A10" s="4">
        <v>8</v>
      </c>
      <c r="B10" s="5">
        <v>3376</v>
      </c>
      <c r="C10" s="5">
        <v>10459</v>
      </c>
      <c r="D10" s="5">
        <v>0</v>
      </c>
      <c r="E10" s="5">
        <v>3039</v>
      </c>
      <c r="F10" s="5">
        <v>0</v>
      </c>
      <c r="G10" s="5">
        <v>0</v>
      </c>
      <c r="H10" s="5">
        <v>0</v>
      </c>
      <c r="I10" s="5">
        <v>0</v>
      </c>
      <c r="J10" s="5">
        <v>380</v>
      </c>
      <c r="K10" s="5">
        <v>0</v>
      </c>
      <c r="L10" s="5">
        <v>0</v>
      </c>
      <c r="M10" s="5">
        <v>0</v>
      </c>
      <c r="N10" s="5">
        <v>12500</v>
      </c>
      <c r="O10" s="48" t="s">
        <v>43</v>
      </c>
    </row>
    <row r="11" spans="1:15" x14ac:dyDescent="0.35">
      <c r="A11" s="4">
        <v>9</v>
      </c>
      <c r="B11" s="5">
        <v>3392</v>
      </c>
      <c r="C11" s="5">
        <v>10476</v>
      </c>
      <c r="D11" s="5">
        <v>0</v>
      </c>
      <c r="E11" s="5">
        <v>3061</v>
      </c>
      <c r="F11" s="5">
        <v>0</v>
      </c>
      <c r="G11" s="5">
        <v>0</v>
      </c>
      <c r="H11" s="5">
        <v>0</v>
      </c>
      <c r="I11" s="5">
        <v>0</v>
      </c>
      <c r="J11" s="5">
        <v>380</v>
      </c>
      <c r="K11" s="5">
        <v>0</v>
      </c>
      <c r="L11" s="5">
        <v>0</v>
      </c>
      <c r="M11" s="5">
        <v>0</v>
      </c>
      <c r="N11" s="5">
        <v>12533</v>
      </c>
      <c r="O11" s="48" t="s">
        <v>44</v>
      </c>
    </row>
    <row r="12" spans="1:15" x14ac:dyDescent="0.35">
      <c r="A12" s="4">
        <v>10</v>
      </c>
      <c r="B12" s="5">
        <v>3404</v>
      </c>
      <c r="C12" s="5">
        <v>10496</v>
      </c>
      <c r="D12" s="5">
        <v>0</v>
      </c>
      <c r="E12" s="5">
        <v>3081</v>
      </c>
      <c r="F12" s="5">
        <v>0</v>
      </c>
      <c r="G12" s="5">
        <v>0</v>
      </c>
      <c r="H12" s="5">
        <v>0</v>
      </c>
      <c r="I12" s="5">
        <v>0</v>
      </c>
      <c r="J12" s="5">
        <v>380</v>
      </c>
      <c r="K12" s="5">
        <v>0</v>
      </c>
      <c r="L12" s="5">
        <v>0</v>
      </c>
      <c r="M12" s="5">
        <v>0</v>
      </c>
      <c r="N12" s="5">
        <v>12564</v>
      </c>
      <c r="O12" s="48" t="s">
        <v>45</v>
      </c>
    </row>
    <row r="13" spans="1:15" x14ac:dyDescent="0.35">
      <c r="A13" s="4">
        <v>11</v>
      </c>
      <c r="B13" s="5">
        <v>3416</v>
      </c>
      <c r="C13" s="5">
        <v>10523</v>
      </c>
      <c r="D13" s="5">
        <v>0</v>
      </c>
      <c r="E13" s="5">
        <v>3097</v>
      </c>
      <c r="F13" s="5">
        <v>0</v>
      </c>
      <c r="G13" s="5">
        <v>0</v>
      </c>
      <c r="H13" s="5">
        <v>0</v>
      </c>
      <c r="I13" s="5">
        <v>0</v>
      </c>
      <c r="J13" s="5">
        <v>380</v>
      </c>
      <c r="K13" s="5">
        <v>0</v>
      </c>
      <c r="L13" s="5">
        <v>0</v>
      </c>
      <c r="M13" s="5">
        <v>0</v>
      </c>
      <c r="N13" s="5">
        <v>12596</v>
      </c>
      <c r="O13" s="5" t="s">
        <v>40</v>
      </c>
    </row>
    <row r="14" spans="1:15" x14ac:dyDescent="0.35">
      <c r="A14" s="4">
        <v>12</v>
      </c>
      <c r="B14" s="5">
        <v>3428</v>
      </c>
      <c r="C14" s="5">
        <v>10540</v>
      </c>
      <c r="D14" s="5">
        <v>0</v>
      </c>
      <c r="E14" s="5">
        <v>3111</v>
      </c>
      <c r="F14" s="5">
        <v>0</v>
      </c>
      <c r="G14" s="5">
        <v>0</v>
      </c>
      <c r="H14" s="5">
        <v>0</v>
      </c>
      <c r="I14" s="5">
        <v>0</v>
      </c>
      <c r="J14" s="5">
        <v>380</v>
      </c>
      <c r="K14" s="5">
        <v>0</v>
      </c>
      <c r="L14" s="5">
        <v>0</v>
      </c>
      <c r="M14" s="5">
        <v>0</v>
      </c>
      <c r="N14" s="5">
        <v>12629</v>
      </c>
      <c r="O14" s="5" t="s">
        <v>46</v>
      </c>
    </row>
    <row r="15" spans="1:15" x14ac:dyDescent="0.35">
      <c r="A15" s="4">
        <v>13</v>
      </c>
      <c r="B15" s="5">
        <v>3441</v>
      </c>
      <c r="C15" s="5">
        <v>10563</v>
      </c>
      <c r="D15" s="5">
        <v>0</v>
      </c>
      <c r="E15" s="5">
        <v>3125</v>
      </c>
      <c r="F15" s="5">
        <v>0</v>
      </c>
      <c r="G15" s="5">
        <v>0</v>
      </c>
      <c r="H15" s="5">
        <v>0</v>
      </c>
      <c r="I15" s="5">
        <v>0</v>
      </c>
      <c r="J15" s="5">
        <v>381</v>
      </c>
      <c r="K15" s="5">
        <v>0</v>
      </c>
      <c r="L15" s="5">
        <v>0</v>
      </c>
      <c r="M15" s="5">
        <v>0</v>
      </c>
      <c r="N15" s="5">
        <v>12677</v>
      </c>
      <c r="O15" s="5" t="s">
        <v>40</v>
      </c>
    </row>
    <row r="16" spans="1:15" x14ac:dyDescent="0.35">
      <c r="A16" s="4">
        <v>14</v>
      </c>
      <c r="B16" s="5">
        <v>3453</v>
      </c>
      <c r="C16" s="5">
        <v>10586</v>
      </c>
      <c r="D16" s="5">
        <v>0</v>
      </c>
      <c r="E16" s="5">
        <v>3140</v>
      </c>
      <c r="F16" s="5">
        <v>0</v>
      </c>
      <c r="G16" s="5">
        <v>0</v>
      </c>
      <c r="H16" s="5">
        <v>0</v>
      </c>
      <c r="I16" s="5">
        <v>0</v>
      </c>
      <c r="J16" s="5">
        <v>382</v>
      </c>
      <c r="K16" s="5">
        <v>0</v>
      </c>
      <c r="L16" s="5">
        <v>0</v>
      </c>
      <c r="M16" s="5">
        <v>0</v>
      </c>
      <c r="N16" s="5">
        <v>12713</v>
      </c>
      <c r="O16" s="5" t="s">
        <v>40</v>
      </c>
    </row>
    <row r="17" spans="1:15" x14ac:dyDescent="0.35">
      <c r="A17" s="4">
        <v>15</v>
      </c>
      <c r="B17" s="5">
        <v>3468</v>
      </c>
      <c r="C17" s="5">
        <v>10614</v>
      </c>
      <c r="D17" s="5">
        <v>0</v>
      </c>
      <c r="E17" s="5">
        <v>3155</v>
      </c>
      <c r="F17" s="5">
        <v>0</v>
      </c>
      <c r="G17" s="5">
        <v>0</v>
      </c>
      <c r="H17" s="5">
        <v>0</v>
      </c>
      <c r="I17" s="5">
        <v>0</v>
      </c>
      <c r="J17" s="5">
        <v>389</v>
      </c>
      <c r="K17" s="5">
        <v>0</v>
      </c>
      <c r="L17" s="5">
        <v>0</v>
      </c>
      <c r="M17" s="5">
        <v>0</v>
      </c>
      <c r="N17" s="5">
        <v>12744</v>
      </c>
      <c r="O17" s="5" t="s">
        <v>40</v>
      </c>
    </row>
    <row r="18" spans="1:15" x14ac:dyDescent="0.35">
      <c r="A18" s="4">
        <v>16</v>
      </c>
      <c r="B18" s="5">
        <v>3482</v>
      </c>
      <c r="C18" s="5">
        <v>10633</v>
      </c>
      <c r="D18" s="5">
        <v>0</v>
      </c>
      <c r="E18" s="5">
        <v>3170</v>
      </c>
      <c r="F18" s="5">
        <v>0</v>
      </c>
      <c r="G18" s="5">
        <v>0</v>
      </c>
      <c r="H18" s="5">
        <v>0</v>
      </c>
      <c r="I18" s="5">
        <v>0</v>
      </c>
      <c r="J18" s="5">
        <v>390</v>
      </c>
      <c r="K18" s="5">
        <v>0</v>
      </c>
      <c r="L18" s="5">
        <v>0</v>
      </c>
      <c r="M18" s="5">
        <v>0</v>
      </c>
      <c r="N18" s="5">
        <v>12775</v>
      </c>
      <c r="O18" s="5" t="s">
        <v>46</v>
      </c>
    </row>
    <row r="19" spans="1:15" x14ac:dyDescent="0.35">
      <c r="A19" s="4">
        <v>17</v>
      </c>
      <c r="B19" s="5">
        <v>3493</v>
      </c>
      <c r="C19" s="5">
        <v>10652</v>
      </c>
      <c r="D19" s="5">
        <v>0</v>
      </c>
      <c r="E19" s="5">
        <v>3186</v>
      </c>
      <c r="F19" s="5">
        <v>0</v>
      </c>
      <c r="G19" s="5">
        <v>0</v>
      </c>
      <c r="H19" s="5">
        <v>0</v>
      </c>
      <c r="I19" s="5">
        <v>0</v>
      </c>
      <c r="J19" s="5">
        <v>391</v>
      </c>
      <c r="K19" s="5">
        <v>0</v>
      </c>
      <c r="L19" s="5">
        <v>0</v>
      </c>
      <c r="M19" s="5">
        <v>0</v>
      </c>
      <c r="N19" s="5">
        <v>12808</v>
      </c>
      <c r="O19" s="5" t="s">
        <v>47</v>
      </c>
    </row>
    <row r="20" spans="1:15" x14ac:dyDescent="0.35">
      <c r="A20" s="4">
        <v>18</v>
      </c>
      <c r="B20" s="5">
        <v>3505</v>
      </c>
      <c r="C20" s="5">
        <v>10678</v>
      </c>
      <c r="D20" s="5">
        <v>0</v>
      </c>
      <c r="E20" s="5">
        <v>3197</v>
      </c>
      <c r="F20" s="5">
        <v>0</v>
      </c>
      <c r="G20" s="5">
        <v>0</v>
      </c>
      <c r="H20" s="5">
        <v>0</v>
      </c>
      <c r="I20" s="5">
        <v>0</v>
      </c>
      <c r="J20" s="5">
        <v>400</v>
      </c>
      <c r="K20" s="5">
        <v>0</v>
      </c>
      <c r="L20" s="5">
        <v>0</v>
      </c>
      <c r="M20" s="5">
        <v>0</v>
      </c>
      <c r="N20" s="5">
        <v>12856</v>
      </c>
      <c r="O20" s="5" t="s">
        <v>48</v>
      </c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ht="15.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27"/>
    </row>
    <row r="23" spans="1:15" ht="15.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27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6382F7-EBB6-48FB-A7A5-1C4A1067F65C}">
  <ds:schemaRefs>
    <ds:schemaRef ds:uri="c0c63084-832f-4b13-a501-c844d9f3bfed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2024-03-19T01:01:14Z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