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27" i="2" l="1"/>
  <c r="D26" i="73" l="1"/>
  <c r="D25" i="73"/>
  <c r="D24" i="73"/>
  <c r="D23" i="73"/>
  <c r="D22" i="73"/>
  <c r="F19" i="2" l="1"/>
  <c r="F20" i="2" s="1"/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9" i="5" s="1"/>
  <c r="AT20" i="5" s="1"/>
  <c r="AT21" i="5" s="1"/>
  <c r="AT22" i="5" s="1"/>
  <c r="AT28" i="5" s="1"/>
  <c r="AT29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1" i="3" s="1"/>
  <c r="B12" i="3" s="1"/>
  <c r="B18" i="3" s="1"/>
  <c r="B19" i="3" s="1"/>
  <c r="B25" i="3" s="1"/>
  <c r="B26" i="3" s="1"/>
  <c r="B32" i="3" s="1"/>
  <c r="B33" i="3" s="1"/>
  <c r="A2" i="3"/>
  <c r="AV7" i="5"/>
  <c r="AV8" i="5" s="1"/>
  <c r="AV9" i="5" s="1"/>
  <c r="AV14" i="5" s="1"/>
  <c r="AV15" i="5" s="1"/>
  <c r="AV20" i="5" s="1"/>
  <c r="AV21" i="5" s="1"/>
  <c r="AV22" i="5" s="1"/>
  <c r="AV24" i="5" s="1"/>
  <c r="AV27" i="5" s="1"/>
  <c r="AV28" i="5" s="1"/>
  <c r="AV29" i="5" s="1"/>
  <c r="AV35" i="5" s="1"/>
  <c r="AV36" i="5" s="1"/>
  <c r="AX7" i="5"/>
  <c r="AX8" i="5" s="1"/>
  <c r="AX14" i="5" s="1"/>
  <c r="AX15" i="5" s="1"/>
  <c r="AX20" i="5" s="1"/>
  <c r="AX21" i="5" s="1"/>
  <c r="AX22" i="5" s="1"/>
  <c r="AX24" i="5" s="1"/>
  <c r="AX28" i="5" s="1"/>
  <c r="AX29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9" i="1" s="1"/>
  <c r="Q20" i="1" s="1"/>
  <c r="Q21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3" i="1" s="1"/>
  <c r="C14" i="1" s="1"/>
  <c r="C20" i="1" s="1"/>
  <c r="C21" i="1" s="1"/>
  <c r="C27" i="1" s="1"/>
  <c r="C28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6" i="1" s="1"/>
  <c r="F27" i="1" s="1"/>
  <c r="F28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7" i="1" s="1"/>
  <c r="H28" i="1" s="1"/>
  <c r="H34" i="1" s="1"/>
  <c r="H35" i="1" s="1"/>
  <c r="K5" i="1"/>
  <c r="K6" i="1" s="1"/>
  <c r="K7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8" i="1" s="1"/>
  <c r="X19" i="1" s="1"/>
  <c r="X20" i="1" s="1"/>
  <c r="X21" i="1" s="1"/>
  <c r="X22" i="1" s="1"/>
  <c r="X23" i="1" s="1"/>
  <c r="X24" i="1" s="1"/>
  <c r="X25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8" i="1" s="1"/>
  <c r="Z19" i="1" s="1"/>
  <c r="Z20" i="1" s="1"/>
  <c r="Z21" i="1" s="1"/>
  <c r="Z22" i="1" s="1"/>
  <c r="Z23" i="1" s="1"/>
  <c r="Z24" i="1" s="1"/>
  <c r="Z25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3" i="1" s="1"/>
  <c r="B14" i="1" s="1"/>
  <c r="B20" i="1" s="1"/>
  <c r="B21" i="1" s="1"/>
  <c r="B27" i="1" s="1"/>
  <c r="B28" i="1" s="1"/>
  <c r="B34" i="1" s="1"/>
  <c r="B35" i="1" s="1"/>
  <c r="A4" i="1"/>
  <c r="J5" i="2"/>
  <c r="J6" i="2" s="1"/>
  <c r="J12" i="2" s="1"/>
  <c r="J13" i="2" s="1"/>
  <c r="J19" i="2" s="1"/>
  <c r="J20" i="2" s="1"/>
  <c r="J26" i="2" s="1"/>
  <c r="J27" i="2" s="1"/>
  <c r="J33" i="2" s="1"/>
  <c r="J34" i="2" s="1"/>
  <c r="L5" i="2"/>
  <c r="L6" i="2" s="1"/>
  <c r="L12" i="2" s="1"/>
  <c r="L13" i="2" s="1"/>
  <c r="L19" i="2" s="1"/>
  <c r="L20" i="2" s="1"/>
  <c r="L26" i="2" s="1"/>
  <c r="L27" i="2" s="1"/>
  <c r="L33" i="2" s="1"/>
  <c r="L34" i="2" s="1"/>
  <c r="D5" i="2"/>
  <c r="D6" i="2" s="1"/>
  <c r="D12" i="2" s="1"/>
  <c r="D13" i="2" s="1"/>
  <c r="D19" i="2" s="1"/>
  <c r="D20" i="2" s="1"/>
  <c r="D26" i="2" s="1"/>
  <c r="D33" i="2" s="1"/>
  <c r="D34" i="2" s="1"/>
  <c r="C3" i="2"/>
  <c r="P5" i="2"/>
  <c r="P6" i="2" s="1"/>
  <c r="P12" i="2" s="1"/>
  <c r="P13" i="2" s="1"/>
  <c r="P18" i="2" s="1"/>
  <c r="P19" i="2" s="1"/>
  <c r="P20" i="2" s="1"/>
  <c r="P26" i="2" s="1"/>
  <c r="P27" i="2" s="1"/>
  <c r="P33" i="2" s="1"/>
  <c r="P34" i="2" s="1"/>
  <c r="H5" i="2"/>
  <c r="H6" i="2" s="1"/>
  <c r="H12" i="2" s="1"/>
  <c r="H13" i="2" s="1"/>
  <c r="H19" i="2" s="1"/>
  <c r="H20" i="2" s="1"/>
  <c r="H26" i="2" s="1"/>
  <c r="H27" i="2" s="1"/>
  <c r="H33" i="2" s="1"/>
  <c r="H34" i="2" s="1"/>
  <c r="F5" i="2"/>
  <c r="F6" i="2" s="1"/>
  <c r="F12" i="2" s="1"/>
  <c r="F13" i="2" s="1"/>
  <c r="F26" i="2" s="1"/>
  <c r="F27" i="2" s="1"/>
  <c r="F33" i="2" s="1"/>
  <c r="F34" i="2" s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2" i="3" s="1"/>
  <c r="R15" i="3" s="1"/>
  <c r="R16" i="3" s="1"/>
  <c r="R17" i="3" s="1"/>
  <c r="R18" i="3" s="1"/>
  <c r="R19" i="3" s="1"/>
  <c r="R20" i="3" s="1"/>
  <c r="R21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BA25" i="7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D22" i="2" l="1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Z13" i="2" l="1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X22" i="2"/>
  <c r="AD14" i="5"/>
  <c r="Z23" i="2" l="1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l="1"/>
  <c r="AC22" i="3" s="1"/>
  <c r="AH22" i="3" s="1"/>
  <c r="F22" i="3"/>
  <c r="AB22" i="3" s="1"/>
  <c r="D23" i="3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AA26" i="3"/>
  <c r="AC26" i="3" s="1"/>
  <c r="AH26" i="3" s="1"/>
  <c r="F26" i="3"/>
  <c r="AB26" i="3" s="1"/>
  <c r="D27" i="3" l="1"/>
  <c r="E27" i="3" s="1"/>
  <c r="AA27" i="3" s="1"/>
  <c r="AC27" i="3" s="1"/>
  <c r="AH27" i="3" s="1"/>
  <c r="F27" i="3" l="1"/>
  <c r="AB27" i="3" s="1"/>
  <c r="D28" i="3"/>
  <c r="E28" i="3" s="1"/>
  <c r="AA28" i="3"/>
  <c r="AC28" i="3" s="1"/>
  <c r="AH28" i="3" s="1"/>
  <c r="F28" i="3"/>
  <c r="AB28" i="3" s="1"/>
  <c r="D29" i="3" l="1"/>
  <c r="E29" i="3" s="1"/>
  <c r="D30" i="3"/>
  <c r="E30" i="3" s="1"/>
  <c r="F30" i="3" s="1"/>
  <c r="AB30" i="3" s="1"/>
  <c r="AA29" i="3"/>
  <c r="AC29" i="3" s="1"/>
  <c r="AH29" i="3" s="1"/>
  <c r="F29" i="3"/>
  <c r="AB29" i="3" s="1"/>
  <c r="D31" i="3" l="1"/>
  <c r="E31" i="3" s="1"/>
  <c r="F31" i="3" s="1"/>
  <c r="AB31" i="3" s="1"/>
  <c r="AA30" i="3"/>
  <c r="AC30" i="3" s="1"/>
  <c r="AH30" i="3" s="1"/>
  <c r="D32" i="3" l="1"/>
  <c r="E32" i="3" s="1"/>
  <c r="AA32" i="3" s="1"/>
  <c r="AC32" i="3" s="1"/>
  <c r="AH32" i="3" s="1"/>
  <c r="AA31" i="3"/>
  <c r="AC31" i="3" s="1"/>
  <c r="AH31" i="3" s="1"/>
  <c r="D33" i="3" l="1"/>
  <c r="E33" i="3" s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<sst xmlns="http://schemas.openxmlformats.org/spreadsheetml/2006/main" count="666" uniqueCount="418">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</sst>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3135</c:v>
                </c:pt>
                <c:pt idx="26">
                  <c:v>2994</c:v>
                </c:pt>
                <c:pt idx="27">
                  <c:v>3601</c:v>
                </c:pt>
                <c:pt idx="28">
                  <c:v>2235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13720"/>
        <c:axId val="167757736"/>
      </c:lineChart>
      <c:catAx>
        <c:axId val="41213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7736"/>
        <c:crosses val="autoZero"/>
        <c:auto val="1"/>
        <c:lblAlgn val="ctr"/>
        <c:lblOffset val="100"/>
        <c:noMultiLvlLbl val="0"/>
      </c:catAx>
      <c:valAx>
        <c:axId val="1677577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13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55776"/>
        <c:axId val="167756168"/>
      </c:lineChart>
      <c:catAx>
        <c:axId val="1677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6168"/>
        <c:crosses val="autoZero"/>
        <c:auto val="1"/>
        <c:lblAlgn val="ctr"/>
        <c:lblOffset val="100"/>
        <c:noMultiLvlLbl val="0"/>
      </c:catAx>
      <c:valAx>
        <c:axId val="167756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58128"/>
        <c:axId val="167758520"/>
      </c:lineChart>
      <c:catAx>
        <c:axId val="16775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8520"/>
        <c:crosses val="autoZero"/>
        <c:auto val="1"/>
        <c:lblAlgn val="ctr"/>
        <c:lblOffset val="100"/>
        <c:noMultiLvlLbl val="0"/>
      </c:catAx>
      <c:valAx>
        <c:axId val="1677585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59696"/>
        <c:axId val="167760088"/>
      </c:lineChart>
      <c:catAx>
        <c:axId val="16775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0088"/>
        <c:crosses val="autoZero"/>
        <c:auto val="1"/>
        <c:lblAlgn val="ctr"/>
        <c:lblOffset val="100"/>
        <c:noMultiLvlLbl val="0"/>
      </c:catAx>
      <c:valAx>
        <c:axId val="167760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61264"/>
        <c:axId val="167761656"/>
      </c:lineChart>
      <c:catAx>
        <c:axId val="16776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1656"/>
        <c:crosses val="autoZero"/>
        <c:auto val="1"/>
        <c:lblAlgn val="ctr"/>
        <c:lblOffset val="100"/>
        <c:noMultiLvlLbl val="0"/>
      </c:catAx>
      <c:valAx>
        <c:axId val="167761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62832"/>
        <c:axId val="167763224"/>
      </c:lineChart>
      <c:catAx>
        <c:axId val="16776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3224"/>
        <c:crosses val="autoZero"/>
        <c:auto val="1"/>
        <c:lblAlgn val="ctr"/>
        <c:lblOffset val="100"/>
        <c:noMultiLvlLbl val="0"/>
      </c:catAx>
      <c:valAx>
        <c:axId val="167763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5216"/>
        <c:axId val="168188352"/>
      </c:lineChart>
      <c:catAx>
        <c:axId val="16818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8352"/>
        <c:crosses val="autoZero"/>
        <c:auto val="1"/>
        <c:lblAlgn val="ctr"/>
        <c:lblOffset val="100"/>
        <c:noMultiLvlLbl val="0"/>
      </c:catAx>
      <c:valAx>
        <c:axId val="16818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2080"/>
        <c:axId val="168187176"/>
      </c:lineChart>
      <c:catAx>
        <c:axId val="16818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7176"/>
        <c:crosses val="autoZero"/>
        <c:auto val="1"/>
        <c:lblAlgn val="ctr"/>
        <c:lblOffset val="100"/>
        <c:noMultiLvlLbl val="0"/>
      </c:catAx>
      <c:valAx>
        <c:axId val="168187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27.5</c:v>
                </c:pt>
                <c:pt idx="25">
                  <c:v>26.5</c:v>
                </c:pt>
                <c:pt idx="26">
                  <c:v>26</c:v>
                </c:pt>
                <c:pt idx="27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3648"/>
        <c:axId val="168181688"/>
      </c:lineChart>
      <c:catAx>
        <c:axId val="1681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1688"/>
        <c:crosses val="autoZero"/>
        <c:auto val="1"/>
        <c:lblAlgn val="ctr"/>
        <c:lblOffset val="100"/>
        <c:noMultiLvlLbl val="0"/>
      </c:catAx>
      <c:valAx>
        <c:axId val="168181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2472"/>
        <c:axId val="168183256"/>
      </c:lineChart>
      <c:catAx>
        <c:axId val="168182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3256"/>
        <c:crosses val="autoZero"/>
        <c:auto val="1"/>
        <c:lblAlgn val="ctr"/>
        <c:lblOffset val="100"/>
        <c:noMultiLvlLbl val="0"/>
      </c:catAx>
      <c:valAx>
        <c:axId val="168183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2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10</c:v>
                </c:pt>
                <c:pt idx="26">
                  <c:v>12</c:v>
                </c:pt>
                <c:pt idx="27">
                  <c:v>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9136"/>
        <c:axId val="168184040"/>
      </c:lineChart>
      <c:catAx>
        <c:axId val="16818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4040"/>
        <c:crosses val="autoZero"/>
        <c:auto val="1"/>
        <c:lblAlgn val="ctr"/>
        <c:lblOffset val="100"/>
        <c:noMultiLvlLbl val="0"/>
      </c:catAx>
      <c:valAx>
        <c:axId val="1681840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4432"/>
        <c:axId val="168184824"/>
      </c:lineChart>
      <c:catAx>
        <c:axId val="16818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4824"/>
        <c:crosses val="autoZero"/>
        <c:auto val="1"/>
        <c:lblAlgn val="ctr"/>
        <c:lblOffset val="100"/>
        <c:noMultiLvlLbl val="0"/>
      </c:catAx>
      <c:valAx>
        <c:axId val="168184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217</c:v>
                </c:pt>
                <c:pt idx="12">
                  <c:v>8</c:v>
                </c:pt>
                <c:pt idx="13">
                  <c:v>187</c:v>
                </c:pt>
                <c:pt idx="14">
                  <c:v>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113</c:v>
                </c:pt>
                <c:pt idx="19">
                  <c:v>113</c:v>
                </c:pt>
                <c:pt idx="20">
                  <c:v>31</c:v>
                </c:pt>
                <c:pt idx="21">
                  <c:v>119</c:v>
                </c:pt>
                <c:pt idx="22">
                  <c:v>101</c:v>
                </c:pt>
                <c:pt idx="23">
                  <c:v>0</c:v>
                </c:pt>
                <c:pt idx="24">
                  <c:v>0</c:v>
                </c:pt>
                <c:pt idx="25">
                  <c:v>197</c:v>
                </c:pt>
                <c:pt idx="26">
                  <c:v>59</c:v>
                </c:pt>
                <c:pt idx="27">
                  <c:v>109</c:v>
                </c:pt>
                <c:pt idx="28">
                  <c:v>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6784"/>
        <c:axId val="167756952"/>
      </c:lineChart>
      <c:catAx>
        <c:axId val="1681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6952"/>
        <c:crosses val="autoZero"/>
        <c:auto val="1"/>
        <c:lblAlgn val="ctr"/>
        <c:lblOffset val="100"/>
        <c:noMultiLvlLbl val="0"/>
      </c:catAx>
      <c:valAx>
        <c:axId val="167756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57344"/>
        <c:axId val="167759304"/>
      </c:lineChart>
      <c:catAx>
        <c:axId val="16775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9304"/>
        <c:crosses val="autoZero"/>
        <c:auto val="1"/>
        <c:lblAlgn val="ctr"/>
        <c:lblOffset val="100"/>
        <c:noMultiLvlLbl val="0"/>
      </c:catAx>
      <c:valAx>
        <c:axId val="167759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3135</c:v>
                </c:pt>
                <c:pt idx="26">
                  <c:v>2994</c:v>
                </c:pt>
                <c:pt idx="27">
                  <c:v>3601</c:v>
                </c:pt>
                <c:pt idx="28">
                  <c:v>2235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6760"/>
        <c:axId val="170076368"/>
      </c:lineChart>
      <c:catAx>
        <c:axId val="170076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6368"/>
        <c:crosses val="autoZero"/>
        <c:auto val="1"/>
        <c:lblAlgn val="ctr"/>
        <c:lblOffset val="100"/>
        <c:noMultiLvlLbl val="0"/>
      </c:catAx>
      <c:valAx>
        <c:axId val="170076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2448"/>
        <c:axId val="170071664"/>
      </c:lineChart>
      <c:catAx>
        <c:axId val="1700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1664"/>
        <c:crosses val="autoZero"/>
        <c:auto val="1"/>
        <c:lblAlgn val="ctr"/>
        <c:lblOffset val="100"/>
        <c:noMultiLvlLbl val="0"/>
      </c:catAx>
      <c:valAx>
        <c:axId val="17007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10</c:v>
                </c:pt>
                <c:pt idx="26">
                  <c:v>12</c:v>
                </c:pt>
                <c:pt idx="27">
                  <c:v>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5584"/>
        <c:axId val="170075192"/>
      </c:lineChart>
      <c:catAx>
        <c:axId val="17007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5192"/>
        <c:crosses val="autoZero"/>
        <c:auto val="1"/>
        <c:lblAlgn val="ctr"/>
        <c:lblOffset val="100"/>
        <c:noMultiLvlLbl val="0"/>
      </c:catAx>
      <c:valAx>
        <c:axId val="1700751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-1415.0483870967728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-990.03225806450064</c:v>
                </c:pt>
                <c:pt idx="8">
                  <c:v>0</c:v>
                </c:pt>
                <c:pt idx="9">
                  <c:v>0</c:v>
                </c:pt>
                <c:pt idx="10">
                  <c:v>-1345.0483870967655</c:v>
                </c:pt>
                <c:pt idx="11">
                  <c:v>1089.2096774193487</c:v>
                </c:pt>
                <c:pt idx="12">
                  <c:v>-1156.7096774193487</c:v>
                </c:pt>
                <c:pt idx="13">
                  <c:v>-990.03225806451519</c:v>
                </c:pt>
                <c:pt idx="14">
                  <c:v>-920.03225806452974</c:v>
                </c:pt>
                <c:pt idx="15">
                  <c:v>0</c:v>
                </c:pt>
                <c:pt idx="16">
                  <c:v>0</c:v>
                </c:pt>
                <c:pt idx="17">
                  <c:v>-123.1612903225905</c:v>
                </c:pt>
                <c:pt idx="18">
                  <c:v>-1226.7096774193487</c:v>
                </c:pt>
                <c:pt idx="19">
                  <c:v>-1226.7096774193487</c:v>
                </c:pt>
                <c:pt idx="20">
                  <c:v>-1226.7096774193487</c:v>
                </c:pt>
                <c:pt idx="21">
                  <c:v>630.87096774193924</c:v>
                </c:pt>
                <c:pt idx="22">
                  <c:v>0</c:v>
                </c:pt>
                <c:pt idx="23">
                  <c:v>0</c:v>
                </c:pt>
                <c:pt idx="24">
                  <c:v>-1700.0645161290304</c:v>
                </c:pt>
                <c:pt idx="25">
                  <c:v>-1226.7096774193778</c:v>
                </c:pt>
                <c:pt idx="26">
                  <c:v>-990.03225806450064</c:v>
                </c:pt>
                <c:pt idx="27">
                  <c:v>-1226.7096774193487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4016"/>
        <c:axId val="170074800"/>
      </c:lineChart>
      <c:catAx>
        <c:axId val="1700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4800"/>
        <c:crosses val="autoZero"/>
        <c:auto val="1"/>
        <c:lblAlgn val="ctr"/>
        <c:lblOffset val="100"/>
        <c:noMultiLvlLbl val="0"/>
      </c:catAx>
      <c:valAx>
        <c:axId val="1700748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0880"/>
        <c:axId val="170072056"/>
      </c:lineChart>
      <c:catAx>
        <c:axId val="17007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2056"/>
        <c:crosses val="autoZero"/>
        <c:auto val="1"/>
        <c:lblAlgn val="ctr"/>
        <c:lblOffset val="100"/>
        <c:noMultiLvlLbl val="0"/>
      </c:catAx>
      <c:valAx>
        <c:axId val="170072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3624"/>
        <c:axId val="170075976"/>
      </c:lineChart>
      <c:catAx>
        <c:axId val="170073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5976"/>
        <c:crosses val="autoZero"/>
        <c:auto val="1"/>
        <c:lblAlgn val="ctr"/>
        <c:lblOffset val="100"/>
        <c:noMultiLvlLbl val="0"/>
      </c:catAx>
      <c:valAx>
        <c:axId val="170075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3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0096"/>
        <c:axId val="469100880"/>
      </c:lineChart>
      <c:catAx>
        <c:axId val="17007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0880"/>
        <c:crosses val="autoZero"/>
        <c:auto val="1"/>
        <c:lblAlgn val="ctr"/>
        <c:lblOffset val="100"/>
        <c:noMultiLvlLbl val="0"/>
      </c:catAx>
      <c:valAx>
        <c:axId val="4691008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0096"/>
        <c:axId val="469102840"/>
      </c:lineChart>
      <c:catAx>
        <c:axId val="46910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2840"/>
        <c:crosses val="autoZero"/>
        <c:auto val="1"/>
        <c:lblAlgn val="ctr"/>
        <c:lblOffset val="100"/>
        <c:noMultiLvlLbl val="0"/>
      </c:catAx>
      <c:valAx>
        <c:axId val="469102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1272"/>
        <c:axId val="469098920"/>
      </c:lineChart>
      <c:catAx>
        <c:axId val="46910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098920"/>
        <c:crosses val="autoZero"/>
        <c:auto val="1"/>
        <c:lblAlgn val="ctr"/>
        <c:lblOffset val="100"/>
        <c:noMultiLvlLbl val="0"/>
      </c:catAx>
      <c:valAx>
        <c:axId val="469098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1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3">
                  <c:v>0</c:v>
                </c:pt>
                <c:pt idx="24">
                  <c:v>27.5</c:v>
                </c:pt>
                <c:pt idx="25">
                  <c:v>26.5</c:v>
                </c:pt>
                <c:pt idx="26">
                  <c:v>26</c:v>
                </c:pt>
                <c:pt idx="27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1664"/>
        <c:axId val="469104800"/>
      </c:lineChart>
      <c:catAx>
        <c:axId val="46910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4800"/>
        <c:crosses val="autoZero"/>
        <c:auto val="1"/>
        <c:lblAlgn val="ctr"/>
        <c:lblOffset val="100"/>
        <c:noMultiLvlLbl val="0"/>
      </c:catAx>
      <c:valAx>
        <c:axId val="469104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5192"/>
        <c:axId val="469104016"/>
      </c:lineChart>
      <c:catAx>
        <c:axId val="469105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4016"/>
        <c:crosses val="autoZero"/>
        <c:auto val="1"/>
        <c:lblAlgn val="ctr"/>
        <c:lblOffset val="100"/>
        <c:noMultiLvlLbl val="0"/>
      </c:catAx>
      <c:valAx>
        <c:axId val="46910401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5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5976"/>
        <c:axId val="469102056"/>
      </c:lineChart>
      <c:catAx>
        <c:axId val="46910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2056"/>
        <c:crosses val="autoZero"/>
        <c:auto val="1"/>
        <c:lblAlgn val="ctr"/>
        <c:lblOffset val="100"/>
        <c:noMultiLvlLbl val="0"/>
      </c:catAx>
      <c:valAx>
        <c:axId val="4691020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5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3">
                  <c:v>0</c:v>
                </c:pt>
                <c:pt idx="24">
                  <c:v>27.5</c:v>
                </c:pt>
                <c:pt idx="25">
                  <c:v>26.5</c:v>
                </c:pt>
                <c:pt idx="26">
                  <c:v>26</c:v>
                </c:pt>
                <c:pt idx="27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04408"/>
        <c:axId val="469098528"/>
      </c:lineChart>
      <c:catAx>
        <c:axId val="469104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098528"/>
        <c:crosses val="autoZero"/>
        <c:auto val="1"/>
        <c:lblAlgn val="ctr"/>
        <c:lblOffset val="100"/>
        <c:noMultiLvlLbl val="0"/>
      </c:catAx>
      <c:valAx>
        <c:axId val="4690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104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04848"/>
        <c:axId val="168309552"/>
      </c:lineChart>
      <c:catAx>
        <c:axId val="168304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9552"/>
        <c:crosses val="autoZero"/>
        <c:auto val="1"/>
        <c:lblAlgn val="ctr"/>
        <c:lblOffset val="100"/>
        <c:noMultiLvlLbl val="0"/>
      </c:catAx>
      <c:valAx>
        <c:axId val="16830955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G14" sqref="G14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0.41941108072882116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0.39187140545435539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0.38554764112218409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0.45306422532705243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0.44053689519033007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3693</v>
      </c>
      <c r="F9" s="315">
        <f>SUM('EDl log'!T11)</f>
        <v>0.32574116537428266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4209.3999999999069</v>
      </c>
      <c r="F12" s="315">
        <f>SUM('EDl log'!T14)</f>
        <v>0.32032168852158188</v>
      </c>
      <c r="G12" s="203">
        <f>-tanks!AW16</f>
        <v>217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97</v>
      </c>
      <c r="L12" s="316">
        <f>SUM(WATER!J16)</f>
        <v>2.5773195876288661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3162.6000000000931</v>
      </c>
      <c r="F13" s="315">
        <f>SUM('EDl log'!T15)</f>
        <v>-0.31491407554068818</v>
      </c>
      <c r="G13" s="203">
        <f>-tanks!AW17</f>
        <v>8</v>
      </c>
      <c r="H13" s="315">
        <f>tanks!AV17</f>
        <v>1.0629999999999999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2901</v>
      </c>
      <c r="F14" s="315">
        <f>SUM('EDl log'!T16)</f>
        <v>0.40729137711739338</v>
      </c>
      <c r="G14" s="203">
        <f>-tanks!AW18</f>
        <v>187</v>
      </c>
      <c r="H14" s="315">
        <f>tanks!AV18</f>
        <v>1.0629999999999999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2980.3999999999069</v>
      </c>
      <c r="F15" s="315">
        <f>SUM('EDl log'!T17)</f>
        <v>0.37499282771684195</v>
      </c>
      <c r="G15" s="203">
        <f>-tanks!AW19</f>
        <v>81</v>
      </c>
      <c r="H15" s="315">
        <f>tanks!AV19</f>
        <v>1.0629999999999999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2919.6000000000931</v>
      </c>
      <c r="F16" s="315">
        <f>SUM('EDl log'!T18)</f>
        <v>0.38677117541006317</v>
      </c>
      <c r="G16" s="203">
        <f>-tanks!AW20</f>
        <v>0</v>
      </c>
      <c r="H16" s="315">
        <f>tanks!AV20</f>
        <v>1.0629999999999999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1.0629999999999999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1.0629999999999999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3174</v>
      </c>
      <c r="F19" s="315">
        <f>SUM('EDl log'!T21)</f>
        <v>5.3770655075968267E-2</v>
      </c>
      <c r="G19" s="203">
        <f>-tanks!AW23</f>
        <v>113</v>
      </c>
      <c r="H19" s="315">
        <f>tanks!AV23</f>
        <v>1.01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2762</v>
      </c>
      <c r="F20" s="315">
        <f>SUM('EDl log'!T22)</f>
        <v>0.48271407857261339</v>
      </c>
      <c r="G20" s="203">
        <f>-tanks!AW24</f>
        <v>113</v>
      </c>
      <c r="H20" s="315">
        <f>tanks!AV24</f>
        <v>1.01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3770</v>
      </c>
      <c r="F21" s="315">
        <f>SUM('EDl log'!T23)</f>
        <v>0.3765632055749491</v>
      </c>
      <c r="G21" s="203">
        <f>-tanks!AW25</f>
        <v>31</v>
      </c>
      <c r="H21" s="315">
        <f>tanks!AV25</f>
        <v>1.01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2856</v>
      </c>
      <c r="F22" s="315">
        <f>SUM('EDl log'!T24)</f>
        <v>0.46461319503415904</v>
      </c>
      <c r="G22" s="203">
        <f>-tanks!AW26</f>
        <v>119</v>
      </c>
      <c r="H22" s="315">
        <f>tanks!AV26</f>
        <v>1.01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2510</v>
      </c>
      <c r="F23" s="315">
        <f>SUM('EDl log'!T25)</f>
        <v>-0.23732423114830553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3135</v>
      </c>
      <c r="F26" s="315">
        <f>SUM('EDl log'!T28)</f>
        <v>0.55612172491170908</v>
      </c>
      <c r="G26" s="203">
        <f>-tanks!AW30</f>
        <v>197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2994</v>
      </c>
      <c r="F27" s="315">
        <f>SUM('EDl log'!T29)</f>
        <v>0.46431038243740441</v>
      </c>
      <c r="G27" s="203">
        <f>-tanks!AW31</f>
        <v>59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3601</v>
      </c>
      <c r="F28" s="315">
        <f>SUM('EDl log'!T30)</f>
        <v>0.30217456921055974</v>
      </c>
      <c r="G28" s="203">
        <f>-tanks!AW32</f>
        <v>109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2235</v>
      </c>
      <c r="F29" s="315">
        <f>SUM('EDl log'!T31)</f>
        <v>0.63047350560069726</v>
      </c>
      <c r="G29" s="203">
        <f>-tanks!AW33</f>
        <v>41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3643</v>
      </c>
      <c r="F30" s="315">
        <f>SUM('EDl log'!T32)</f>
        <v>0.30216102764953084</v>
      </c>
      <c r="G30" s="203">
        <f>-tanks!AW34</f>
        <v>27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844</v>
      </c>
      <c r="F9" s="203">
        <f>ELEC!K11</f>
        <v>530</v>
      </c>
      <c r="G9" s="203">
        <f>ELEC!I11</f>
        <v>246</v>
      </c>
      <c r="H9" s="203">
        <f>ELEC!E11</f>
        <v>1570</v>
      </c>
      <c r="I9" s="203">
        <f>ELEC!G11</f>
        <v>503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892</v>
      </c>
      <c r="F12" s="203">
        <f>ELEC!K14</f>
        <v>882</v>
      </c>
      <c r="G12" s="203">
        <f>ELEC!I14</f>
        <v>262</v>
      </c>
      <c r="H12" s="203">
        <f>ELEC!E14</f>
        <v>1680</v>
      </c>
      <c r="I12" s="203">
        <f>ELEC!G14</f>
        <v>493.39999999990687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1050</v>
      </c>
      <c r="F13" s="203">
        <f>ELEC!K15</f>
        <v>480</v>
      </c>
      <c r="G13" s="203">
        <f>ELEC!I15</f>
        <v>316</v>
      </c>
      <c r="H13" s="203">
        <f>ELEC!E15</f>
        <v>820</v>
      </c>
      <c r="I13" s="203">
        <f>ELEC!G15</f>
        <v>496.60000000009313</v>
      </c>
      <c r="J13" s="203">
        <f>WATER!Y17</f>
        <v>123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990</v>
      </c>
      <c r="F14" s="203">
        <f>ELEC!K16</f>
        <v>464</v>
      </c>
      <c r="G14" s="203">
        <f>ELEC!I16</f>
        <v>282</v>
      </c>
      <c r="H14" s="203">
        <f>ELEC!E16</f>
        <v>730</v>
      </c>
      <c r="I14" s="203">
        <f>ELEC!G16</f>
        <v>435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1000</v>
      </c>
      <c r="F15" s="203">
        <f>ELEC!K17</f>
        <v>540</v>
      </c>
      <c r="G15" s="203">
        <f>ELEC!I17</f>
        <v>298</v>
      </c>
      <c r="H15" s="203">
        <f>ELEC!E17</f>
        <v>770</v>
      </c>
      <c r="I15" s="203">
        <f>ELEC!G17</f>
        <v>372.39999999990687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988</v>
      </c>
      <c r="F16" s="203">
        <f>ELEC!K18</f>
        <v>334</v>
      </c>
      <c r="G16" s="203">
        <f>ELEC!I18</f>
        <v>292</v>
      </c>
      <c r="H16" s="203">
        <f>ELEC!E18</f>
        <v>750</v>
      </c>
      <c r="I16" s="203">
        <f>ELEC!G18</f>
        <v>555.60000000009313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1048</v>
      </c>
      <c r="F19" s="203">
        <f>ELEC!K21</f>
        <v>502</v>
      </c>
      <c r="G19" s="203">
        <f>ELEC!I21</f>
        <v>332</v>
      </c>
      <c r="H19" s="203">
        <f>ELEC!E21</f>
        <v>800</v>
      </c>
      <c r="I19" s="203">
        <f>ELEC!G21</f>
        <v>492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824</v>
      </c>
      <c r="F20" s="203">
        <f>ELEC!K22</f>
        <v>480</v>
      </c>
      <c r="G20" s="203">
        <f>ELEC!I22</f>
        <v>286</v>
      </c>
      <c r="H20" s="203">
        <f>ELEC!E22</f>
        <v>730</v>
      </c>
      <c r="I20" s="203">
        <f>ELEC!G22</f>
        <v>442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936</v>
      </c>
      <c r="F21" s="203">
        <f>ELEC!K23</f>
        <v>778</v>
      </c>
      <c r="G21" s="203">
        <f>ELEC!I23</f>
        <v>288</v>
      </c>
      <c r="H21" s="203">
        <f>ELEC!E23</f>
        <v>1320</v>
      </c>
      <c r="I21" s="203">
        <f>ELEC!G23</f>
        <v>448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768</v>
      </c>
      <c r="F22" s="203">
        <f>ELEC!K24</f>
        <v>616</v>
      </c>
      <c r="G22" s="203">
        <f>ELEC!I24</f>
        <v>274</v>
      </c>
      <c r="H22" s="203">
        <f>ELEC!E24</f>
        <v>810</v>
      </c>
      <c r="I22" s="203">
        <f>ELEC!G24</f>
        <v>388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750</v>
      </c>
      <c r="F23" s="203">
        <f>ELEC!K25</f>
        <v>610</v>
      </c>
      <c r="G23" s="203">
        <f>ELEC!I25</f>
        <v>264</v>
      </c>
      <c r="H23" s="203">
        <f>ELEC!E25</f>
        <v>710</v>
      </c>
      <c r="I23" s="203">
        <f>ELEC!G25</f>
        <v>176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808</v>
      </c>
      <c r="F26" s="203">
        <f>ELEC!K28</f>
        <v>688</v>
      </c>
      <c r="G26" s="203">
        <f>ELEC!I28</f>
        <v>284</v>
      </c>
      <c r="H26" s="203">
        <f>ELEC!E28</f>
        <v>730</v>
      </c>
      <c r="I26" s="203">
        <f>ELEC!G28</f>
        <v>625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854</v>
      </c>
      <c r="F27" s="203">
        <f>ELEC!K29</f>
        <v>596</v>
      </c>
      <c r="G27" s="203">
        <f>ELEC!I29</f>
        <v>400</v>
      </c>
      <c r="H27" s="203">
        <f>ELEC!E29</f>
        <v>730</v>
      </c>
      <c r="I27" s="203">
        <f>ELEC!G29</f>
        <v>414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916</v>
      </c>
      <c r="F28" s="203">
        <f>ELEC!K30</f>
        <v>790</v>
      </c>
      <c r="G28" s="203">
        <f>ELEC!I30</f>
        <v>489</v>
      </c>
      <c r="H28" s="203">
        <f>ELEC!E30</f>
        <v>900</v>
      </c>
      <c r="I28" s="203">
        <f>ELEC!G30</f>
        <v>506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632</v>
      </c>
      <c r="F29" s="203">
        <f>ELEC!K31</f>
        <v>272</v>
      </c>
      <c r="G29" s="203">
        <f>ELEC!I31</f>
        <v>335</v>
      </c>
      <c r="H29" s="203">
        <f>ELEC!E31</f>
        <v>650</v>
      </c>
      <c r="I29" s="203">
        <f>ELEC!G31</f>
        <v>346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1080</v>
      </c>
      <c r="F30" s="203">
        <f>ELEC!K32</f>
        <v>484</v>
      </c>
      <c r="G30" s="203">
        <f>ELEC!I32</f>
        <v>560</v>
      </c>
      <c r="H30" s="203">
        <f>ELEC!E32</f>
        <v>970</v>
      </c>
      <c r="I30" s="203">
        <f>ELEC!G32</f>
        <v>549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Q28" sqref="Q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v>363530</v>
      </c>
      <c r="E11" s="575">
        <f t="shared" si="8"/>
        <v>1570</v>
      </c>
      <c r="F11" s="567">
        <v>4162027</v>
      </c>
      <c r="G11" s="449">
        <f t="shared" si="34"/>
        <v>503</v>
      </c>
      <c r="H11" s="426">
        <v>18077128</v>
      </c>
      <c r="I11" s="449">
        <f t="shared" si="35"/>
        <v>246</v>
      </c>
      <c r="J11" s="426">
        <v>29848632</v>
      </c>
      <c r="K11" s="449">
        <f t="shared" si="36"/>
        <v>530</v>
      </c>
      <c r="L11" s="426">
        <v>24657630</v>
      </c>
      <c r="M11" s="449">
        <f t="shared" si="37"/>
        <v>844</v>
      </c>
      <c r="N11" s="297">
        <f t="shared" si="38"/>
        <v>3693</v>
      </c>
      <c r="O11" s="445">
        <f t="shared" ref="O11:O31" si="40">IF(B11&gt;0,N11/B11,0)</f>
        <v>0</v>
      </c>
      <c r="P11" s="561">
        <v>19487.754000000001</v>
      </c>
      <c r="Q11" s="446">
        <f t="shared" si="1"/>
        <v>3789.0000000006694</v>
      </c>
      <c r="R11" s="428">
        <f t="shared" si="32"/>
        <v>-96.000000000669388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363530</v>
      </c>
      <c r="E12" s="575">
        <f>D12-D11</f>
        <v>0</v>
      </c>
      <c r="F12" s="567">
        <f t="shared" si="9"/>
        <v>4162027</v>
      </c>
      <c r="G12" s="449">
        <f t="shared" si="34"/>
        <v>0</v>
      </c>
      <c r="H12" s="426">
        <f t="shared" si="10"/>
        <v>18077128</v>
      </c>
      <c r="I12" s="449">
        <f t="shared" si="35"/>
        <v>0</v>
      </c>
      <c r="J12" s="426">
        <f t="shared" si="11"/>
        <v>29848632</v>
      </c>
      <c r="K12" s="449">
        <f t="shared" si="36"/>
        <v>0</v>
      </c>
      <c r="L12" s="426">
        <f t="shared" si="12"/>
        <v>24657630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19487.754000000001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363530</v>
      </c>
      <c r="E13" s="575">
        <f t="shared" si="8"/>
        <v>0</v>
      </c>
      <c r="F13" s="567">
        <f t="shared" si="9"/>
        <v>4162027</v>
      </c>
      <c r="G13" s="449">
        <f t="shared" si="34"/>
        <v>0</v>
      </c>
      <c r="H13" s="426">
        <f t="shared" si="10"/>
        <v>18077128</v>
      </c>
      <c r="I13" s="449">
        <f t="shared" si="35"/>
        <v>0</v>
      </c>
      <c r="J13" s="426">
        <f t="shared" si="11"/>
        <v>29848632</v>
      </c>
      <c r="K13" s="449">
        <f t="shared" si="36"/>
        <v>0</v>
      </c>
      <c r="L13" s="426">
        <f t="shared" si="12"/>
        <v>24657630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19487.754000000001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v>365210</v>
      </c>
      <c r="E14" s="575">
        <f t="shared" si="8"/>
        <v>1680</v>
      </c>
      <c r="F14" s="567">
        <v>4162520.4</v>
      </c>
      <c r="G14" s="449">
        <f t="shared" si="34"/>
        <v>493.39999999990687</v>
      </c>
      <c r="H14" s="426">
        <v>18077390</v>
      </c>
      <c r="I14" s="449">
        <f t="shared" si="35"/>
        <v>262</v>
      </c>
      <c r="J14" s="426">
        <v>29849514</v>
      </c>
      <c r="K14" s="449">
        <f t="shared" si="36"/>
        <v>882</v>
      </c>
      <c r="L14" s="426">
        <v>24658522</v>
      </c>
      <c r="M14" s="449">
        <f t="shared" si="37"/>
        <v>892</v>
      </c>
      <c r="N14" s="297">
        <f>M14+K14+I14+G14+E14</f>
        <v>4209.3999999999069</v>
      </c>
      <c r="O14" s="445">
        <f t="shared" si="40"/>
        <v>0</v>
      </c>
      <c r="P14" s="561">
        <v>19492.050999999999</v>
      </c>
      <c r="Q14" s="446">
        <f t="shared" si="1"/>
        <v>4296.9999999986612</v>
      </c>
      <c r="R14" s="428">
        <f t="shared" si="32"/>
        <v>-87.599999998754356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v>33495</v>
      </c>
      <c r="X14" s="428">
        <f t="shared" si="39"/>
        <v>2</v>
      </c>
      <c r="Y14" s="426">
        <v>999495</v>
      </c>
      <c r="Z14" s="428">
        <f t="shared" si="33"/>
        <v>384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2</v>
      </c>
      <c r="AF14" s="451">
        <f t="shared" si="4"/>
        <v>384</v>
      </c>
      <c r="AG14" s="443">
        <f t="shared" si="41"/>
        <v>192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v>366030</v>
      </c>
      <c r="E15" s="575">
        <f t="shared" si="8"/>
        <v>820</v>
      </c>
      <c r="F15" s="567">
        <v>4163017</v>
      </c>
      <c r="G15" s="449">
        <f t="shared" si="34"/>
        <v>496.60000000009313</v>
      </c>
      <c r="H15" s="426">
        <v>18077706</v>
      </c>
      <c r="I15" s="449">
        <f t="shared" si="35"/>
        <v>316</v>
      </c>
      <c r="J15" s="426">
        <v>29849994</v>
      </c>
      <c r="K15" s="449">
        <f t="shared" si="36"/>
        <v>480</v>
      </c>
      <c r="L15" s="426">
        <v>24659572</v>
      </c>
      <c r="M15" s="449">
        <f t="shared" si="37"/>
        <v>1050</v>
      </c>
      <c r="N15" s="297">
        <f t="shared" si="38"/>
        <v>3162.6000000000931</v>
      </c>
      <c r="O15" s="445">
        <f t="shared" si="40"/>
        <v>0</v>
      </c>
      <c r="P15" s="561">
        <v>19495.307000000001</v>
      </c>
      <c r="Q15" s="446">
        <f t="shared" si="1"/>
        <v>3256.0000000012224</v>
      </c>
      <c r="R15" s="588">
        <f>N15-Q15</f>
        <v>-93.400000001129229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33495</v>
      </c>
      <c r="X15" s="428">
        <f t="shared" si="39"/>
        <v>0</v>
      </c>
      <c r="Y15" s="426">
        <f t="shared" si="17"/>
        <v>999495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v>366760</v>
      </c>
      <c r="E16" s="575">
        <f t="shared" si="8"/>
        <v>730</v>
      </c>
      <c r="F16" s="567">
        <v>4163452</v>
      </c>
      <c r="G16" s="449">
        <f t="shared" si="34"/>
        <v>435</v>
      </c>
      <c r="H16" s="426">
        <v>18077988</v>
      </c>
      <c r="I16" s="449">
        <f t="shared" si="35"/>
        <v>282</v>
      </c>
      <c r="J16" s="426">
        <v>29850458</v>
      </c>
      <c r="K16" s="449">
        <f t="shared" si="36"/>
        <v>464</v>
      </c>
      <c r="L16" s="426">
        <v>24660562</v>
      </c>
      <c r="M16" s="449">
        <f t="shared" si="37"/>
        <v>990</v>
      </c>
      <c r="N16" s="297">
        <f t="shared" si="38"/>
        <v>2901</v>
      </c>
      <c r="O16" s="445">
        <f t="shared" si="40"/>
        <v>0</v>
      </c>
      <c r="P16" s="561">
        <v>19498.302</v>
      </c>
      <c r="Q16" s="446">
        <f t="shared" si="1"/>
        <v>2994.9999999989814</v>
      </c>
      <c r="R16" s="428">
        <f t="shared" si="32"/>
        <v>-93.999999998981366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33495</v>
      </c>
      <c r="X16" s="428">
        <f t="shared" si="39"/>
        <v>0</v>
      </c>
      <c r="Y16" s="426">
        <f t="shared" si="17"/>
        <v>999495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v>367530</v>
      </c>
      <c r="E17" s="575">
        <f t="shared" si="8"/>
        <v>770</v>
      </c>
      <c r="F17" s="567">
        <v>4163824.4</v>
      </c>
      <c r="G17" s="449">
        <f t="shared" si="34"/>
        <v>372.39999999990687</v>
      </c>
      <c r="H17" s="426">
        <v>18078286</v>
      </c>
      <c r="I17" s="449">
        <f t="shared" si="35"/>
        <v>298</v>
      </c>
      <c r="J17" s="426">
        <v>29850998</v>
      </c>
      <c r="K17" s="449">
        <f t="shared" si="36"/>
        <v>540</v>
      </c>
      <c r="L17" s="426">
        <v>24661562</v>
      </c>
      <c r="M17" s="449">
        <f t="shared" si="37"/>
        <v>1000</v>
      </c>
      <c r="N17" s="297">
        <f t="shared" si="38"/>
        <v>2980.3999999999069</v>
      </c>
      <c r="O17" s="445">
        <f t="shared" si="40"/>
        <v>0</v>
      </c>
      <c r="P17" s="561">
        <v>19501.460999999999</v>
      </c>
      <c r="Q17" s="446">
        <f t="shared" si="1"/>
        <v>3158.9999999996508</v>
      </c>
      <c r="R17" s="428">
        <f t="shared" si="32"/>
        <v>-178.59999999974389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33495</v>
      </c>
      <c r="X17" s="428">
        <f>W17-W16</f>
        <v>0</v>
      </c>
      <c r="Y17" s="426">
        <f t="shared" si="17"/>
        <v>999495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v>368280</v>
      </c>
      <c r="E18" s="575">
        <f t="shared" si="8"/>
        <v>750</v>
      </c>
      <c r="F18" s="567">
        <v>4164380</v>
      </c>
      <c r="G18" s="449">
        <f t="shared" si="34"/>
        <v>555.60000000009313</v>
      </c>
      <c r="H18" s="426">
        <v>18078578</v>
      </c>
      <c r="I18" s="449">
        <f t="shared" si="35"/>
        <v>292</v>
      </c>
      <c r="J18" s="426">
        <v>29851332</v>
      </c>
      <c r="K18" s="449">
        <f t="shared" si="36"/>
        <v>334</v>
      </c>
      <c r="L18" s="426">
        <v>24662550</v>
      </c>
      <c r="M18" s="449">
        <f t="shared" si="37"/>
        <v>988</v>
      </c>
      <c r="N18" s="297">
        <f>M18+K18+I18+G18+E18</f>
        <v>2919.6000000000931</v>
      </c>
      <c r="O18" s="445">
        <f t="shared" si="40"/>
        <v>0</v>
      </c>
      <c r="P18" s="561">
        <f t="shared" si="13"/>
        <v>19501.460999999999</v>
      </c>
      <c r="Q18" s="446">
        <f t="shared" si="1"/>
        <v>0</v>
      </c>
      <c r="R18" s="428">
        <f t="shared" si="32"/>
        <v>2919.6000000000931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33495</v>
      </c>
      <c r="X18" s="428">
        <f t="shared" si="39"/>
        <v>0</v>
      </c>
      <c r="Y18" s="426">
        <f t="shared" si="17"/>
        <v>999495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368280</v>
      </c>
      <c r="E19" s="575">
        <f t="shared" si="8"/>
        <v>0</v>
      </c>
      <c r="F19" s="567">
        <f t="shared" si="9"/>
        <v>4164380</v>
      </c>
      <c r="G19" s="449">
        <f t="shared" si="34"/>
        <v>0</v>
      </c>
      <c r="H19" s="426">
        <f t="shared" si="10"/>
        <v>18078578</v>
      </c>
      <c r="I19" s="449">
        <f t="shared" si="35"/>
        <v>0</v>
      </c>
      <c r="J19" s="426">
        <f t="shared" si="11"/>
        <v>29851332</v>
      </c>
      <c r="K19" s="449">
        <f t="shared" si="36"/>
        <v>0</v>
      </c>
      <c r="L19" s="426">
        <f t="shared" si="12"/>
        <v>24662550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19501.460999999999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33495</v>
      </c>
      <c r="X19" s="428">
        <f t="shared" si="39"/>
        <v>0</v>
      </c>
      <c r="Y19" s="426">
        <f t="shared" si="17"/>
        <v>999495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368280</v>
      </c>
      <c r="E20" s="575">
        <f t="shared" si="8"/>
        <v>0</v>
      </c>
      <c r="F20" s="567">
        <f t="shared" si="9"/>
        <v>4164380</v>
      </c>
      <c r="G20" s="449">
        <f t="shared" si="34"/>
        <v>0</v>
      </c>
      <c r="H20" s="426">
        <f t="shared" si="10"/>
        <v>18078578</v>
      </c>
      <c r="I20" s="449">
        <f t="shared" si="35"/>
        <v>0</v>
      </c>
      <c r="J20" s="426">
        <f t="shared" si="11"/>
        <v>29851332</v>
      </c>
      <c r="K20" s="449">
        <f t="shared" si="36"/>
        <v>0</v>
      </c>
      <c r="L20" s="426">
        <f t="shared" si="12"/>
        <v>24662550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19501.460999999999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33495</v>
      </c>
      <c r="X20" s="428">
        <f t="shared" si="39"/>
        <v>0</v>
      </c>
      <c r="Y20" s="426">
        <f t="shared" si="17"/>
        <v>999495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v>369080</v>
      </c>
      <c r="E21" s="575">
        <f t="shared" si="8"/>
        <v>800</v>
      </c>
      <c r="F21" s="567">
        <v>4164872</v>
      </c>
      <c r="G21" s="449">
        <f t="shared" si="34"/>
        <v>492</v>
      </c>
      <c r="H21" s="426">
        <v>18078910</v>
      </c>
      <c r="I21" s="449">
        <f t="shared" si="35"/>
        <v>332</v>
      </c>
      <c r="J21" s="426">
        <v>29851834</v>
      </c>
      <c r="K21" s="449">
        <f t="shared" si="36"/>
        <v>502</v>
      </c>
      <c r="L21" s="426">
        <v>24663598</v>
      </c>
      <c r="M21" s="449">
        <f t="shared" si="37"/>
        <v>1048</v>
      </c>
      <c r="N21" s="297">
        <f t="shared" si="38"/>
        <v>3174</v>
      </c>
      <c r="O21" s="445">
        <f t="shared" si="40"/>
        <v>0</v>
      </c>
      <c r="P21" s="561">
        <v>19507.623</v>
      </c>
      <c r="Q21" s="446">
        <f t="shared" si="1"/>
        <v>6162.0000000002619</v>
      </c>
      <c r="R21" s="588">
        <f t="shared" ref="R21:R31" si="43">N21-Q21</f>
        <v>-2988.0000000002619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33495</v>
      </c>
      <c r="X21" s="428">
        <f t="shared" si="39"/>
        <v>0</v>
      </c>
      <c r="Y21" s="426">
        <v>998162</v>
      </c>
      <c r="Z21" s="428">
        <f t="shared" si="33"/>
        <v>-1333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0</v>
      </c>
      <c r="AF21" s="451">
        <f t="shared" si="4"/>
        <v>-1333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v>369810</v>
      </c>
      <c r="E22" s="575">
        <f t="shared" ref="E22" si="44">D22-D21</f>
        <v>730</v>
      </c>
      <c r="F22" s="567">
        <v>4165314</v>
      </c>
      <c r="G22" s="449">
        <f t="shared" ref="G22" si="45">F22-F21</f>
        <v>442</v>
      </c>
      <c r="H22" s="426">
        <v>18079196</v>
      </c>
      <c r="I22" s="449">
        <f t="shared" si="35"/>
        <v>286</v>
      </c>
      <c r="J22" s="426">
        <v>29852314</v>
      </c>
      <c r="K22" s="449">
        <f t="shared" ref="K22" si="46">J22-J21</f>
        <v>480</v>
      </c>
      <c r="L22" s="426">
        <v>24664422</v>
      </c>
      <c r="M22" s="449">
        <f t="shared" ref="M22" si="47">L22-L21</f>
        <v>824</v>
      </c>
      <c r="N22" s="297">
        <f t="shared" ref="N22" si="48">M22+K22+I22+G22+E22</f>
        <v>2762</v>
      </c>
      <c r="O22" s="445">
        <f t="shared" ref="O22" si="49">IF(B22&gt;0,N22/B22,0)</f>
        <v>0</v>
      </c>
      <c r="P22" s="561">
        <v>19510.451000000001</v>
      </c>
      <c r="Q22" s="446">
        <f t="shared" ref="Q22" si="50">(P22-P21)*1000</f>
        <v>2828.0000000013388</v>
      </c>
      <c r="R22" s="588">
        <f t="shared" ref="R22" si="51">N22-Q22</f>
        <v>-66.000000001338776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33495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v>371130</v>
      </c>
      <c r="E23" s="575">
        <f t="shared" si="8"/>
        <v>1320</v>
      </c>
      <c r="F23" s="567">
        <v>4165762</v>
      </c>
      <c r="G23" s="449">
        <f t="shared" si="34"/>
        <v>448</v>
      </c>
      <c r="H23" s="426">
        <v>18079484</v>
      </c>
      <c r="I23" s="449">
        <f t="shared" si="35"/>
        <v>288</v>
      </c>
      <c r="J23" s="426">
        <v>29853092</v>
      </c>
      <c r="K23" s="449">
        <f t="shared" si="36"/>
        <v>778</v>
      </c>
      <c r="L23" s="426">
        <v>24665358</v>
      </c>
      <c r="M23" s="449">
        <f t="shared" si="37"/>
        <v>936</v>
      </c>
      <c r="N23" s="297">
        <f t="shared" si="38"/>
        <v>3770</v>
      </c>
      <c r="O23" s="445">
        <f t="shared" si="40"/>
        <v>0</v>
      </c>
      <c r="P23" s="561">
        <v>19514.300999999999</v>
      </c>
      <c r="Q23" s="446">
        <f t="shared" si="1"/>
        <v>3849.9999999985448</v>
      </c>
      <c r="R23" s="588">
        <f t="shared" si="43"/>
        <v>-79.999999998544808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v>33495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v>36801</v>
      </c>
      <c r="AB23" s="428">
        <f t="shared" si="30"/>
        <v>3</v>
      </c>
      <c r="AC23" s="426">
        <v>1171535</v>
      </c>
      <c r="AD23" s="428">
        <f t="shared" si="42"/>
        <v>475</v>
      </c>
      <c r="AE23" s="450">
        <f t="shared" si="20"/>
        <v>3</v>
      </c>
      <c r="AF23" s="451">
        <f t="shared" si="4"/>
        <v>475</v>
      </c>
      <c r="AG23" s="443">
        <f t="shared" si="41"/>
        <v>158.33333333333334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v>371940</v>
      </c>
      <c r="E24" s="575">
        <f t="shared" si="8"/>
        <v>810</v>
      </c>
      <c r="F24" s="567">
        <v>4166150</v>
      </c>
      <c r="G24" s="449">
        <f t="shared" si="34"/>
        <v>388</v>
      </c>
      <c r="H24" s="426">
        <v>18079758</v>
      </c>
      <c r="I24" s="591">
        <f t="shared" si="35"/>
        <v>274</v>
      </c>
      <c r="J24" s="426">
        <v>29853708</v>
      </c>
      <c r="K24" s="449">
        <f t="shared" si="36"/>
        <v>616</v>
      </c>
      <c r="L24" s="426">
        <v>24666126</v>
      </c>
      <c r="M24" s="449">
        <f t="shared" si="37"/>
        <v>768</v>
      </c>
      <c r="N24" s="297">
        <f t="shared" si="38"/>
        <v>2856</v>
      </c>
      <c r="O24" s="445">
        <f t="shared" si="40"/>
        <v>0</v>
      </c>
      <c r="P24" s="561">
        <v>19517.225999999999</v>
      </c>
      <c r="Q24" s="446">
        <f t="shared" si="1"/>
        <v>2924.9999999992724</v>
      </c>
      <c r="R24" s="588">
        <f t="shared" si="43"/>
        <v>-68.999999999272404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v>33498</v>
      </c>
      <c r="X24" s="428">
        <f t="shared" si="39"/>
        <v>3</v>
      </c>
      <c r="Y24" s="426">
        <v>999659</v>
      </c>
      <c r="Z24" s="428">
        <f t="shared" si="33"/>
        <v>1497</v>
      </c>
      <c r="AA24" s="426">
        <f t="shared" si="18"/>
        <v>36801</v>
      </c>
      <c r="AB24" s="428">
        <f t="shared" si="30"/>
        <v>0</v>
      </c>
      <c r="AC24" s="426">
        <f t="shared" si="19"/>
        <v>1171535</v>
      </c>
      <c r="AD24" s="428">
        <f t="shared" si="42"/>
        <v>0</v>
      </c>
      <c r="AE24" s="450">
        <f t="shared" si="20"/>
        <v>3</v>
      </c>
      <c r="AF24" s="451">
        <f t="shared" si="4"/>
        <v>1497</v>
      </c>
      <c r="AG24" s="443">
        <f t="shared" si="41"/>
        <v>499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v>372650</v>
      </c>
      <c r="E25" s="575">
        <f t="shared" si="8"/>
        <v>710</v>
      </c>
      <c r="F25" s="567">
        <v>4166326</v>
      </c>
      <c r="G25" s="449">
        <f t="shared" si="34"/>
        <v>176</v>
      </c>
      <c r="H25" s="426">
        <v>18080022</v>
      </c>
      <c r="I25" s="449">
        <f t="shared" si="35"/>
        <v>264</v>
      </c>
      <c r="J25" s="426">
        <v>29854318</v>
      </c>
      <c r="K25" s="449">
        <f t="shared" si="36"/>
        <v>610</v>
      </c>
      <c r="L25" s="426">
        <v>24666876</v>
      </c>
      <c r="M25" s="449">
        <f t="shared" si="37"/>
        <v>750</v>
      </c>
      <c r="N25" s="297">
        <f t="shared" si="38"/>
        <v>2510</v>
      </c>
      <c r="O25" s="445">
        <f t="shared" si="40"/>
        <v>0</v>
      </c>
      <c r="P25" s="561">
        <v>19520.006000000001</v>
      </c>
      <c r="Q25" s="446">
        <f t="shared" si="1"/>
        <v>2780.0000000024738</v>
      </c>
      <c r="R25" s="588">
        <f t="shared" si="43"/>
        <v>-270.00000000247383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33498</v>
      </c>
      <c r="X25" s="428">
        <f t="shared" si="39"/>
        <v>0</v>
      </c>
      <c r="Y25" s="426">
        <f t="shared" si="17"/>
        <v>999659</v>
      </c>
      <c r="Z25" s="428">
        <f t="shared" si="33"/>
        <v>0</v>
      </c>
      <c r="AA25" s="426">
        <f t="shared" si="18"/>
        <v>36801</v>
      </c>
      <c r="AB25" s="428">
        <f t="shared" si="30"/>
        <v>0</v>
      </c>
      <c r="AC25" s="426">
        <f t="shared" si="19"/>
        <v>1171535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372650</v>
      </c>
      <c r="E26" s="575">
        <f t="shared" si="8"/>
        <v>0</v>
      </c>
      <c r="F26" s="567">
        <f t="shared" si="9"/>
        <v>4166326</v>
      </c>
      <c r="G26" s="449">
        <f t="shared" si="34"/>
        <v>0</v>
      </c>
      <c r="H26" s="426">
        <f t="shared" si="10"/>
        <v>18080022</v>
      </c>
      <c r="I26" s="449">
        <f t="shared" si="35"/>
        <v>0</v>
      </c>
      <c r="J26" s="426">
        <f t="shared" si="11"/>
        <v>29854318</v>
      </c>
      <c r="K26" s="449">
        <f t="shared" si="36"/>
        <v>0</v>
      </c>
      <c r="L26" s="426">
        <f t="shared" si="12"/>
        <v>24666876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19520.006000000001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33498</v>
      </c>
      <c r="X26" s="428">
        <f t="shared" si="39"/>
        <v>0</v>
      </c>
      <c r="Y26" s="426">
        <f t="shared" si="17"/>
        <v>999659</v>
      </c>
      <c r="Z26" s="428">
        <f t="shared" si="33"/>
        <v>0</v>
      </c>
      <c r="AA26" s="426">
        <f t="shared" si="18"/>
        <v>36801</v>
      </c>
      <c r="AB26" s="428">
        <f t="shared" si="30"/>
        <v>0</v>
      </c>
      <c r="AC26" s="426">
        <f t="shared" si="19"/>
        <v>1171535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372650</v>
      </c>
      <c r="E27" s="575">
        <f t="shared" si="8"/>
        <v>0</v>
      </c>
      <c r="F27" s="567">
        <f t="shared" si="9"/>
        <v>4166326</v>
      </c>
      <c r="G27" s="449">
        <f t="shared" si="34"/>
        <v>0</v>
      </c>
      <c r="H27" s="426">
        <f t="shared" si="10"/>
        <v>18080022</v>
      </c>
      <c r="I27" s="449">
        <f t="shared" si="35"/>
        <v>0</v>
      </c>
      <c r="J27" s="426">
        <f t="shared" si="11"/>
        <v>29854318</v>
      </c>
      <c r="K27" s="449">
        <f t="shared" si="36"/>
        <v>0</v>
      </c>
      <c r="L27" s="426">
        <f t="shared" si="12"/>
        <v>24666876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19520.006000000001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33498</v>
      </c>
      <c r="X27" s="428">
        <f t="shared" si="39"/>
        <v>0</v>
      </c>
      <c r="Y27" s="426">
        <f t="shared" si="17"/>
        <v>999659</v>
      </c>
      <c r="Z27" s="428">
        <f t="shared" si="33"/>
        <v>0</v>
      </c>
      <c r="AA27" s="426">
        <f t="shared" si="18"/>
        <v>36801</v>
      </c>
      <c r="AB27" s="428">
        <f t="shared" si="30"/>
        <v>0</v>
      </c>
      <c r="AC27" s="426">
        <f t="shared" si="19"/>
        <v>1171535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v>373380</v>
      </c>
      <c r="E28" s="575">
        <f t="shared" si="8"/>
        <v>730</v>
      </c>
      <c r="F28" s="567">
        <v>4166951</v>
      </c>
      <c r="G28" s="449">
        <f>F28-F27</f>
        <v>625</v>
      </c>
      <c r="H28" s="426">
        <v>18080306</v>
      </c>
      <c r="I28" s="449">
        <f t="shared" si="35"/>
        <v>284</v>
      </c>
      <c r="J28" s="426">
        <v>29855006</v>
      </c>
      <c r="K28" s="449">
        <f t="shared" si="36"/>
        <v>688</v>
      </c>
      <c r="L28" s="426">
        <v>24667684</v>
      </c>
      <c r="M28" s="449">
        <f t="shared" si="37"/>
        <v>808</v>
      </c>
      <c r="N28" s="297">
        <f t="shared" si="38"/>
        <v>3135</v>
      </c>
      <c r="O28" s="445">
        <f t="shared" si="40"/>
        <v>0</v>
      </c>
      <c r="P28" s="561">
        <v>19522.791000000001</v>
      </c>
      <c r="Q28" s="446">
        <f t="shared" si="1"/>
        <v>2784.9999999998545</v>
      </c>
      <c r="R28" s="588">
        <f>N28-Q28</f>
        <v>350.00000000014552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33498</v>
      </c>
      <c r="X28" s="428">
        <f t="shared" si="39"/>
        <v>0</v>
      </c>
      <c r="Y28" s="426">
        <f t="shared" si="17"/>
        <v>999659</v>
      </c>
      <c r="Z28" s="428">
        <f t="shared" si="33"/>
        <v>0</v>
      </c>
      <c r="AA28" s="426">
        <f t="shared" si="18"/>
        <v>36801</v>
      </c>
      <c r="AB28" s="428">
        <f t="shared" si="30"/>
        <v>0</v>
      </c>
      <c r="AC28" s="426">
        <f t="shared" si="19"/>
        <v>1171535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v>374110</v>
      </c>
      <c r="E29" s="575">
        <f t="shared" si="8"/>
        <v>730</v>
      </c>
      <c r="F29" s="567">
        <v>4167365</v>
      </c>
      <c r="G29" s="449">
        <f>F29-F28</f>
        <v>414</v>
      </c>
      <c r="H29" s="426">
        <v>18080706</v>
      </c>
      <c r="I29" s="449">
        <f>H29-H28</f>
        <v>400</v>
      </c>
      <c r="J29" s="426">
        <v>29855602</v>
      </c>
      <c r="K29" s="449">
        <f>J29-J28</f>
        <v>596</v>
      </c>
      <c r="L29" s="426">
        <v>24668538</v>
      </c>
      <c r="M29" s="449">
        <f>L29-L28</f>
        <v>854</v>
      </c>
      <c r="N29" s="297">
        <f>M29+K29+I29+G29+E29</f>
        <v>2994</v>
      </c>
      <c r="O29" s="445">
        <f>IF(B29&gt;0,N29/B29,0)</f>
        <v>0</v>
      </c>
      <c r="P29" s="561">
        <v>19525.873</v>
      </c>
      <c r="Q29" s="446">
        <f>(P29-P28)*1000</f>
        <v>3081.9999999985157</v>
      </c>
      <c r="R29" s="588">
        <f t="shared" si="43"/>
        <v>-87.999999998515705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33498</v>
      </c>
      <c r="X29" s="428">
        <f>W29-W28</f>
        <v>0</v>
      </c>
      <c r="Y29" s="426">
        <f t="shared" si="17"/>
        <v>999659</v>
      </c>
      <c r="Z29" s="428">
        <f>Y29-Y28</f>
        <v>0</v>
      </c>
      <c r="AA29" s="426">
        <f t="shared" si="18"/>
        <v>36801</v>
      </c>
      <c r="AB29" s="428">
        <f>AA29-AA28</f>
        <v>0</v>
      </c>
      <c r="AC29" s="426">
        <f t="shared" si="19"/>
        <v>1171535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v>375010</v>
      </c>
      <c r="E30" s="575">
        <f t="shared" si="8"/>
        <v>900</v>
      </c>
      <c r="F30" s="567">
        <v>4167871</v>
      </c>
      <c r="G30" s="449">
        <f t="shared" si="34"/>
        <v>506</v>
      </c>
      <c r="H30" s="426">
        <v>18081195</v>
      </c>
      <c r="I30" s="449">
        <f t="shared" si="35"/>
        <v>489</v>
      </c>
      <c r="J30" s="426">
        <v>29856392</v>
      </c>
      <c r="K30" s="449">
        <f t="shared" si="36"/>
        <v>790</v>
      </c>
      <c r="L30" s="426">
        <v>24669454</v>
      </c>
      <c r="M30" s="449">
        <f t="shared" si="37"/>
        <v>916</v>
      </c>
      <c r="N30" s="297">
        <f>M30+K30+I30+G30+E30</f>
        <v>3601</v>
      </c>
      <c r="O30" s="445">
        <f t="shared" si="40"/>
        <v>0</v>
      </c>
      <c r="P30" s="561">
        <v>19529.548999999999</v>
      </c>
      <c r="Q30" s="446">
        <f t="shared" si="1"/>
        <v>3675.9999999994761</v>
      </c>
      <c r="R30" s="588">
        <f>N30-Q30</f>
        <v>-74.999999999476131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33498</v>
      </c>
      <c r="X30" s="428">
        <f t="shared" si="39"/>
        <v>0</v>
      </c>
      <c r="Y30" s="426">
        <f t="shared" si="17"/>
        <v>999659</v>
      </c>
      <c r="Z30" s="428">
        <f t="shared" si="33"/>
        <v>0</v>
      </c>
      <c r="AA30" s="426">
        <f t="shared" si="18"/>
        <v>36801</v>
      </c>
      <c r="AB30" s="428">
        <f t="shared" si="30"/>
        <v>0</v>
      </c>
      <c r="AC30" s="426">
        <f t="shared" si="19"/>
        <v>1171535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v>375660</v>
      </c>
      <c r="E31" s="575">
        <f t="shared" si="8"/>
        <v>650</v>
      </c>
      <c r="F31" s="567">
        <v>4168217</v>
      </c>
      <c r="G31" s="449">
        <f t="shared" si="34"/>
        <v>346</v>
      </c>
      <c r="H31" s="426">
        <v>18081530</v>
      </c>
      <c r="I31" s="449">
        <f t="shared" si="35"/>
        <v>335</v>
      </c>
      <c r="J31" s="426">
        <v>29856664</v>
      </c>
      <c r="K31" s="449">
        <f t="shared" si="36"/>
        <v>272</v>
      </c>
      <c r="L31" s="426">
        <v>24670086</v>
      </c>
      <c r="M31" s="449">
        <f t="shared" si="37"/>
        <v>632</v>
      </c>
      <c r="N31" s="297">
        <f t="shared" si="38"/>
        <v>2235</v>
      </c>
      <c r="O31" s="445">
        <f t="shared" si="40"/>
        <v>0</v>
      </c>
      <c r="P31" s="561">
        <v>19531.830999999998</v>
      </c>
      <c r="Q31" s="446">
        <f t="shared" si="1"/>
        <v>2281.9999999992433</v>
      </c>
      <c r="R31" s="588">
        <f t="shared" si="43"/>
        <v>-46.9999999992433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33498</v>
      </c>
      <c r="X31" s="448">
        <f t="shared" si="39"/>
        <v>0</v>
      </c>
      <c r="Y31" s="426">
        <f t="shared" si="17"/>
        <v>999659</v>
      </c>
      <c r="Z31" s="428">
        <f t="shared" si="33"/>
        <v>0</v>
      </c>
      <c r="AA31" s="426">
        <f t="shared" si="18"/>
        <v>36801</v>
      </c>
      <c r="AB31" s="428">
        <f t="shared" si="30"/>
        <v>0</v>
      </c>
      <c r="AC31" s="426">
        <f t="shared" si="19"/>
        <v>1171535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v>376630</v>
      </c>
      <c r="E32" s="575">
        <f t="shared" si="8"/>
        <v>970</v>
      </c>
      <c r="F32" s="567">
        <v>4168766</v>
      </c>
      <c r="G32" s="449">
        <f t="shared" si="34"/>
        <v>549</v>
      </c>
      <c r="H32" s="426">
        <v>18082090</v>
      </c>
      <c r="I32" s="449">
        <f t="shared" si="35"/>
        <v>560</v>
      </c>
      <c r="J32" s="426">
        <v>29857148</v>
      </c>
      <c r="K32" s="449">
        <f t="shared" si="36"/>
        <v>484</v>
      </c>
      <c r="L32" s="426">
        <v>24671166</v>
      </c>
      <c r="M32" s="449">
        <f t="shared" ref="M32:M34" si="53">L32-L31</f>
        <v>1080</v>
      </c>
      <c r="N32" s="297">
        <f t="shared" ref="N32:N34" si="54">M32+K32+I32+G32+E32</f>
        <v>3643</v>
      </c>
      <c r="O32" s="445">
        <f t="shared" ref="O32:O34" si="55">IF(B32&gt;0,N32/B32,0)</f>
        <v>0</v>
      </c>
      <c r="P32" s="561">
        <v>19535.339</v>
      </c>
      <c r="Q32" s="446">
        <f t="shared" ref="Q32:Q34" si="56">(P32-P31)*1000</f>
        <v>3508.0000000016298</v>
      </c>
      <c r="R32" s="588">
        <f t="shared" ref="R32:R34" si="57">N32-Q32</f>
        <v>134.99999999837019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33498</v>
      </c>
      <c r="X32" s="448">
        <f t="shared" ref="X32:X34" si="58">W32-W31</f>
        <v>0</v>
      </c>
      <c r="Y32" s="426">
        <f t="shared" si="17"/>
        <v>999659</v>
      </c>
      <c r="Z32" s="428">
        <f t="shared" ref="Z32:Z34" si="59">Y32-Y31</f>
        <v>0</v>
      </c>
      <c r="AA32" s="426">
        <f t="shared" si="18"/>
        <v>36801</v>
      </c>
      <c r="AB32" s="428">
        <f t="shared" ref="AB32:AB34" si="60">AA32-AA31</f>
        <v>0</v>
      </c>
      <c r="AC32" s="426">
        <f t="shared" si="19"/>
        <v>1171535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376630</v>
      </c>
      <c r="E33" s="575">
        <f t="shared" si="8"/>
        <v>0</v>
      </c>
      <c r="F33" s="567">
        <f t="shared" si="9"/>
        <v>4168766</v>
      </c>
      <c r="G33" s="449">
        <f t="shared" si="34"/>
        <v>0</v>
      </c>
      <c r="H33" s="426">
        <f t="shared" si="10"/>
        <v>18082090</v>
      </c>
      <c r="I33" s="449">
        <f t="shared" si="35"/>
        <v>0</v>
      </c>
      <c r="J33" s="426">
        <f t="shared" si="11"/>
        <v>29857148</v>
      </c>
      <c r="K33" s="449">
        <f t="shared" si="36"/>
        <v>0</v>
      </c>
      <c r="L33" s="426">
        <f t="shared" si="12"/>
        <v>24671166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19535.339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33498</v>
      </c>
      <c r="X33" s="448">
        <f t="shared" si="58"/>
        <v>0</v>
      </c>
      <c r="Y33" s="426">
        <f t="shared" si="17"/>
        <v>999659</v>
      </c>
      <c r="Z33" s="428">
        <f t="shared" si="59"/>
        <v>0</v>
      </c>
      <c r="AA33" s="426">
        <f t="shared" si="18"/>
        <v>36801</v>
      </c>
      <c r="AB33" s="428">
        <f t="shared" si="60"/>
        <v>0</v>
      </c>
      <c r="AC33" s="426">
        <f t="shared" si="19"/>
        <v>1171535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376630</v>
      </c>
      <c r="E34" s="575">
        <f t="shared" si="8"/>
        <v>0</v>
      </c>
      <c r="F34" s="567">
        <f t="shared" si="9"/>
        <v>4168766</v>
      </c>
      <c r="G34" s="449">
        <f t="shared" si="34"/>
        <v>0</v>
      </c>
      <c r="H34" s="426">
        <f t="shared" si="10"/>
        <v>18082090</v>
      </c>
      <c r="I34" s="449">
        <f t="shared" si="35"/>
        <v>0</v>
      </c>
      <c r="J34" s="426">
        <f t="shared" si="11"/>
        <v>29857148</v>
      </c>
      <c r="K34" s="449">
        <f t="shared" si="36"/>
        <v>0</v>
      </c>
      <c r="L34" s="426">
        <f t="shared" si="12"/>
        <v>24671166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19535.339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33498</v>
      </c>
      <c r="X34" s="448">
        <f t="shared" si="58"/>
        <v>0</v>
      </c>
      <c r="Y34" s="426">
        <f t="shared" si="17"/>
        <v>999659</v>
      </c>
      <c r="Z34" s="428">
        <f t="shared" si="59"/>
        <v>0</v>
      </c>
      <c r="AA34" s="426">
        <f t="shared" si="18"/>
        <v>36801</v>
      </c>
      <c r="AB34" s="428">
        <f t="shared" si="60"/>
        <v>0</v>
      </c>
      <c r="AC34" s="426">
        <f t="shared" si="19"/>
        <v>1171535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K33" sqref="K3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67.333333333333343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10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f t="shared" si="24"/>
        <v>1948</v>
      </c>
      <c r="AD7" s="45">
        <f t="shared" si="7"/>
        <v>0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1948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1948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1948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1948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v>187</v>
      </c>
      <c r="C12" s="535">
        <v>193</v>
      </c>
      <c r="D12" s="45">
        <f t="shared" si="36"/>
        <v>4</v>
      </c>
      <c r="E12" s="45">
        <f t="shared" si="11"/>
        <v>33.520000000000003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1948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187</v>
      </c>
      <c r="C13" s="535">
        <f t="shared" si="10"/>
        <v>193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1948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187</v>
      </c>
      <c r="C14" s="535">
        <f t="shared" si="10"/>
        <v>193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f t="shared" si="24"/>
        <v>1948</v>
      </c>
      <c r="AD14" s="45">
        <f t="shared" si="7"/>
        <v>0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v>182.5</v>
      </c>
      <c r="C15" s="535">
        <v>189</v>
      </c>
      <c r="D15" s="45">
        <f t="shared" si="36"/>
        <v>4</v>
      </c>
      <c r="E15" s="45">
        <f t="shared" si="11"/>
        <v>33.520000000000003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v>2459</v>
      </c>
      <c r="L15" s="52">
        <f t="shared" si="16"/>
        <v>1</v>
      </c>
      <c r="M15" s="535">
        <v>182937</v>
      </c>
      <c r="N15" s="380">
        <f t="shared" si="2"/>
        <v>82</v>
      </c>
      <c r="O15" s="64">
        <f t="shared" si="3"/>
        <v>1869</v>
      </c>
      <c r="P15" s="535">
        <v>2228</v>
      </c>
      <c r="Q15" s="535">
        <v>186184</v>
      </c>
      <c r="R15" s="379">
        <f t="shared" si="44"/>
        <v>135</v>
      </c>
      <c r="S15" s="52">
        <f t="shared" si="5"/>
        <v>2</v>
      </c>
      <c r="T15" s="67">
        <f t="shared" si="37"/>
        <v>0</v>
      </c>
      <c r="U15" s="386">
        <f t="shared" si="18"/>
        <v>3</v>
      </c>
      <c r="V15" s="62">
        <f t="shared" si="19"/>
        <v>217</v>
      </c>
      <c r="W15" s="384">
        <f t="shared" si="20"/>
        <v>72.333333333333329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217</v>
      </c>
      <c r="AJ15" s="303">
        <f>-tanks!AW16</f>
        <v>217</v>
      </c>
      <c r="AK15" s="303">
        <f t="shared" si="28"/>
        <v>0</v>
      </c>
      <c r="AL15" s="303">
        <f t="shared" si="8"/>
        <v>3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v>233</v>
      </c>
      <c r="C16" s="535">
        <v>239</v>
      </c>
      <c r="D16" s="45">
        <f t="shared" si="36"/>
        <v>-50</v>
      </c>
      <c r="E16" s="45">
        <f t="shared" si="11"/>
        <v>-419.00000000000006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2459</v>
      </c>
      <c r="L16" s="52">
        <f t="shared" si="16"/>
        <v>0</v>
      </c>
      <c r="M16" s="535">
        <f t="shared" si="17"/>
        <v>182937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v>186192</v>
      </c>
      <c r="R16" s="379">
        <f t="shared" si="44"/>
        <v>8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8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</v>
      </c>
      <c r="AJ16" s="303">
        <f>-tanks!AW17</f>
        <v>8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v>229</v>
      </c>
      <c r="C17" s="535">
        <v>236</v>
      </c>
      <c r="D17" s="45">
        <f t="shared" si="36"/>
        <v>3</v>
      </c>
      <c r="E17" s="45">
        <f t="shared" si="11"/>
        <v>25.14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2459</v>
      </c>
      <c r="L17" s="52">
        <f t="shared" si="16"/>
        <v>0</v>
      </c>
      <c r="M17" s="535">
        <f t="shared" si="17"/>
        <v>182937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v>186247</v>
      </c>
      <c r="R17" s="379">
        <f t="shared" si="44"/>
        <v>55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55</v>
      </c>
      <c r="W17" s="384"/>
      <c r="X17" s="535">
        <v>2493</v>
      </c>
      <c r="Y17" s="52">
        <f t="shared" si="22"/>
        <v>1</v>
      </c>
      <c r="Z17" s="535">
        <v>141018</v>
      </c>
      <c r="AA17" s="65">
        <f t="shared" si="6"/>
        <v>132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132</v>
      </c>
      <c r="AI17" s="303">
        <f t="shared" si="27"/>
        <v>187</v>
      </c>
      <c r="AJ17" s="303">
        <f>-tanks!AW18</f>
        <v>187</v>
      </c>
      <c r="AK17" s="303">
        <f t="shared" si="28"/>
        <v>0</v>
      </c>
      <c r="AL17" s="303">
        <f t="shared" si="8"/>
        <v>0</v>
      </c>
      <c r="AM17" s="303">
        <f t="shared" si="29"/>
        <v>1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v>226</v>
      </c>
      <c r="C18" s="535">
        <v>232</v>
      </c>
      <c r="D18" s="45">
        <f t="shared" si="36"/>
        <v>4</v>
      </c>
      <c r="E18" s="45">
        <f t="shared" si="11"/>
        <v>33.520000000000003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2459</v>
      </c>
      <c r="L18" s="52">
        <f t="shared" si="16"/>
        <v>0</v>
      </c>
      <c r="M18" s="535">
        <f t="shared" si="17"/>
        <v>182937</v>
      </c>
      <c r="N18" s="380">
        <f t="shared" si="2"/>
        <v>0</v>
      </c>
      <c r="O18" s="64">
        <v>1869</v>
      </c>
      <c r="P18" s="535">
        <v>2230</v>
      </c>
      <c r="Q18" s="535">
        <v>186328</v>
      </c>
      <c r="R18" s="379">
        <f t="shared" si="44"/>
        <v>81</v>
      </c>
      <c r="S18" s="52">
        <f t="shared" si="5"/>
        <v>2</v>
      </c>
      <c r="T18" s="67">
        <f t="shared" si="37"/>
        <v>0</v>
      </c>
      <c r="U18" s="386">
        <f t="shared" si="18"/>
        <v>2</v>
      </c>
      <c r="V18" s="62">
        <f t="shared" si="19"/>
        <v>81</v>
      </c>
      <c r="W18" s="384"/>
      <c r="X18" s="535">
        <f t="shared" si="21"/>
        <v>2493</v>
      </c>
      <c r="Y18" s="52">
        <f t="shared" si="22"/>
        <v>0</v>
      </c>
      <c r="Z18" s="535">
        <f t="shared" si="23"/>
        <v>141018</v>
      </c>
      <c r="AA18" s="65">
        <f t="shared" si="6"/>
        <v>0</v>
      </c>
      <c r="AB18" s="273">
        <f t="shared" ref="AB18:AB23" si="45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81</v>
      </c>
      <c r="AJ18" s="303">
        <f>-tanks!AW19</f>
        <v>81</v>
      </c>
      <c r="AK18" s="303">
        <f t="shared" si="28"/>
        <v>0</v>
      </c>
      <c r="AL18" s="303">
        <f t="shared" si="8"/>
        <v>2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v>223</v>
      </c>
      <c r="C19" s="535">
        <v>229</v>
      </c>
      <c r="D19" s="45">
        <f t="shared" si="36"/>
        <v>3</v>
      </c>
      <c r="E19" s="45">
        <f t="shared" si="11"/>
        <v>25.14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2459</v>
      </c>
      <c r="L19" s="52">
        <f t="shared" si="16"/>
        <v>0</v>
      </c>
      <c r="M19" s="535">
        <f t="shared" si="17"/>
        <v>182937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ref="Q19:Q35" si="48">Q18</f>
        <v>186328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2493</v>
      </c>
      <c r="Y19" s="52">
        <f t="shared" si="22"/>
        <v>0</v>
      </c>
      <c r="Z19" s="535">
        <f t="shared" si="23"/>
        <v>141018</v>
      </c>
      <c r="AA19" s="65">
        <f t="shared" si="6"/>
        <v>0</v>
      </c>
      <c r="AB19" s="273">
        <f t="shared" si="45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223</v>
      </c>
      <c r="C20" s="535">
        <f t="shared" si="10"/>
        <v>229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2459</v>
      </c>
      <c r="L20" s="52">
        <f t="shared" si="16"/>
        <v>0</v>
      </c>
      <c r="M20" s="535">
        <f t="shared" si="17"/>
        <v>182937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8"/>
        <v>186328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2493</v>
      </c>
      <c r="Y20" s="52">
        <f t="shared" si="22"/>
        <v>0</v>
      </c>
      <c r="Z20" s="535">
        <f t="shared" si="23"/>
        <v>141018</v>
      </c>
      <c r="AA20" s="65">
        <f t="shared" si="6"/>
        <v>0</v>
      </c>
      <c r="AB20" s="273">
        <f t="shared" si="45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223</v>
      </c>
      <c r="C21" s="535">
        <f t="shared" si="10"/>
        <v>229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2459</v>
      </c>
      <c r="L21" s="52">
        <f t="shared" si="16"/>
        <v>0</v>
      </c>
      <c r="M21" s="535">
        <f t="shared" si="17"/>
        <v>182937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8"/>
        <v>186328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2493</v>
      </c>
      <c r="Y21" s="52">
        <f t="shared" si="22"/>
        <v>0</v>
      </c>
      <c r="Z21" s="535">
        <f t="shared" si="23"/>
        <v>141018</v>
      </c>
      <c r="AA21" s="65">
        <f t="shared" si="6"/>
        <v>0</v>
      </c>
      <c r="AB21" s="273">
        <f t="shared" si="45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v>239</v>
      </c>
      <c r="C22" s="535">
        <v>245</v>
      </c>
      <c r="D22" s="45">
        <f t="shared" si="49"/>
        <v>-16</v>
      </c>
      <c r="E22" s="45">
        <f t="shared" si="11"/>
        <v>-134.08000000000001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2459</v>
      </c>
      <c r="L22" s="52">
        <f t="shared" si="16"/>
        <v>0</v>
      </c>
      <c r="M22" s="535">
        <f t="shared" si="17"/>
        <v>182937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v>186441</v>
      </c>
      <c r="R22" s="379">
        <f t="shared" si="44"/>
        <v>113</v>
      </c>
      <c r="S22" s="52">
        <f t="shared" si="5"/>
        <v>1</v>
      </c>
      <c r="T22" s="67">
        <f t="shared" si="37"/>
        <v>0</v>
      </c>
      <c r="U22" s="386">
        <f t="shared" si="18"/>
        <v>1</v>
      </c>
      <c r="V22" s="62">
        <f t="shared" si="19"/>
        <v>113</v>
      </c>
      <c r="W22" s="384"/>
      <c r="X22" s="535">
        <f t="shared" si="21"/>
        <v>2493</v>
      </c>
      <c r="Y22" s="52">
        <f t="shared" si="22"/>
        <v>0</v>
      </c>
      <c r="Z22" s="535">
        <f t="shared" si="23"/>
        <v>141018</v>
      </c>
      <c r="AA22" s="65">
        <f t="shared" si="6"/>
        <v>0</v>
      </c>
      <c r="AB22" s="273">
        <f t="shared" si="45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113</v>
      </c>
      <c r="AJ22" s="303">
        <f>-tanks!AW23</f>
        <v>113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v>235</v>
      </c>
      <c r="C23" s="535">
        <v>241</v>
      </c>
      <c r="D23" s="45">
        <f t="shared" si="49"/>
        <v>4</v>
      </c>
      <c r="E23" s="45">
        <f t="shared" si="11"/>
        <v>33.520000000000003</v>
      </c>
      <c r="F23" s="535">
        <v>2279</v>
      </c>
      <c r="G23" s="52">
        <f t="shared" si="0"/>
        <v>1</v>
      </c>
      <c r="H23" s="535">
        <v>46257</v>
      </c>
      <c r="I23" s="380">
        <f t="shared" si="1"/>
        <v>113</v>
      </c>
      <c r="J23" s="66">
        <f t="shared" si="14"/>
        <v>113</v>
      </c>
      <c r="K23" s="535">
        <f t="shared" si="15"/>
        <v>2459</v>
      </c>
      <c r="L23" s="52">
        <f t="shared" si="16"/>
        <v>0</v>
      </c>
      <c r="M23" s="535">
        <f t="shared" si="17"/>
        <v>182937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8"/>
        <v>186441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1</v>
      </c>
      <c r="V23" s="62">
        <f t="shared" si="19"/>
        <v>113</v>
      </c>
      <c r="W23" s="384"/>
      <c r="X23" s="535">
        <f t="shared" si="21"/>
        <v>2493</v>
      </c>
      <c r="Y23" s="52">
        <f t="shared" si="22"/>
        <v>0</v>
      </c>
      <c r="Z23" s="535">
        <f t="shared" si="23"/>
        <v>141018</v>
      </c>
      <c r="AA23" s="65">
        <f t="shared" si="6"/>
        <v>0</v>
      </c>
      <c r="AB23" s="273">
        <f t="shared" si="45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113</v>
      </c>
      <c r="AJ23" s="303">
        <f>-tanks!AW24</f>
        <v>113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v>231</v>
      </c>
      <c r="C24" s="535">
        <v>237</v>
      </c>
      <c r="D24" s="45">
        <f t="shared" si="49"/>
        <v>4</v>
      </c>
      <c r="E24" s="45">
        <f t="shared" si="11"/>
        <v>33.520000000000003</v>
      </c>
      <c r="F24" s="535">
        <v>2280</v>
      </c>
      <c r="G24" s="52">
        <f t="shared" si="0"/>
        <v>1</v>
      </c>
      <c r="H24" s="535">
        <v>46288</v>
      </c>
      <c r="I24" s="380">
        <f t="shared" si="1"/>
        <v>31</v>
      </c>
      <c r="J24" s="66">
        <f t="shared" si="14"/>
        <v>31</v>
      </c>
      <c r="K24" s="535">
        <f t="shared" si="15"/>
        <v>2459</v>
      </c>
      <c r="L24" s="52">
        <f t="shared" si="16"/>
        <v>0</v>
      </c>
      <c r="M24" s="535">
        <f t="shared" si="17"/>
        <v>182937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8"/>
        <v>186441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1</v>
      </c>
      <c r="V24" s="62">
        <f t="shared" si="19"/>
        <v>31</v>
      </c>
      <c r="W24" s="384"/>
      <c r="X24" s="535">
        <f t="shared" si="21"/>
        <v>2493</v>
      </c>
      <c r="Y24" s="52">
        <f t="shared" si="22"/>
        <v>0</v>
      </c>
      <c r="Z24" s="535">
        <f t="shared" si="23"/>
        <v>141018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31</v>
      </c>
      <c r="AJ24" s="303">
        <f>-tanks!AW25</f>
        <v>31</v>
      </c>
      <c r="AK24" s="303">
        <f t="shared" si="28"/>
        <v>0</v>
      </c>
      <c r="AL24" s="303">
        <f t="shared" si="8"/>
        <v>1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v>227</v>
      </c>
      <c r="C25" s="535">
        <v>233</v>
      </c>
      <c r="D25" s="45">
        <f t="shared" si="49"/>
        <v>4</v>
      </c>
      <c r="E25" s="45">
        <f t="shared" si="11"/>
        <v>33.520000000000003</v>
      </c>
      <c r="F25" s="535">
        <v>2281</v>
      </c>
      <c r="G25" s="52">
        <f t="shared" si="0"/>
        <v>1</v>
      </c>
      <c r="H25" s="535">
        <v>46407</v>
      </c>
      <c r="I25" s="380">
        <f t="shared" si="1"/>
        <v>119</v>
      </c>
      <c r="J25" s="66">
        <f t="shared" si="14"/>
        <v>119</v>
      </c>
      <c r="K25" s="535">
        <f t="shared" si="15"/>
        <v>2459</v>
      </c>
      <c r="L25" s="52">
        <f t="shared" si="16"/>
        <v>0</v>
      </c>
      <c r="M25" s="535">
        <f t="shared" si="17"/>
        <v>182937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8"/>
        <v>186441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119</v>
      </c>
      <c r="W25" s="384"/>
      <c r="X25" s="535">
        <f t="shared" si="21"/>
        <v>2493</v>
      </c>
      <c r="Y25" s="52">
        <f t="shared" si="22"/>
        <v>0</v>
      </c>
      <c r="Z25" s="535">
        <f t="shared" si="23"/>
        <v>141018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119</v>
      </c>
      <c r="AJ25" s="303">
        <f>-tanks!AW26</f>
        <v>119</v>
      </c>
      <c r="AK25" s="303">
        <f t="shared" si="28"/>
        <v>0</v>
      </c>
      <c r="AL25" s="303">
        <f t="shared" si="8"/>
        <v>1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v>246</v>
      </c>
      <c r="C26" s="535">
        <v>251</v>
      </c>
      <c r="D26" s="45">
        <f t="shared" si="49"/>
        <v>-18</v>
      </c>
      <c r="E26" s="45">
        <f t="shared" si="11"/>
        <v>-150.84</v>
      </c>
      <c r="F26" s="535">
        <f t="shared" si="12"/>
        <v>2281</v>
      </c>
      <c r="G26" s="52">
        <f t="shared" si="0"/>
        <v>0</v>
      </c>
      <c r="H26" s="535">
        <v>46415</v>
      </c>
      <c r="I26" s="380">
        <f t="shared" si="1"/>
        <v>8</v>
      </c>
      <c r="J26" s="66">
        <f t="shared" si="14"/>
        <v>0</v>
      </c>
      <c r="K26" s="535">
        <f t="shared" si="15"/>
        <v>2459</v>
      </c>
      <c r="L26" s="52">
        <f t="shared" si="16"/>
        <v>0</v>
      </c>
      <c r="M26" s="535">
        <f t="shared" si="17"/>
        <v>182937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8"/>
        <v>186441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8</v>
      </c>
      <c r="W26" s="384"/>
      <c r="X26" s="535">
        <v>2494</v>
      </c>
      <c r="Y26" s="52">
        <f t="shared" si="22"/>
        <v>1</v>
      </c>
      <c r="Z26" s="535">
        <v>141111</v>
      </c>
      <c r="AA26" s="65">
        <f t="shared" si="6"/>
        <v>93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93</v>
      </c>
      <c r="AI26" s="303">
        <f t="shared" si="27"/>
        <v>101</v>
      </c>
      <c r="AJ26" s="303">
        <f>-tanks!AW27</f>
        <v>101</v>
      </c>
      <c r="AK26" s="303">
        <f t="shared" si="28"/>
        <v>0</v>
      </c>
      <c r="AL26" s="303">
        <f t="shared" si="8"/>
        <v>0</v>
      </c>
      <c r="AM26" s="303">
        <f t="shared" si="29"/>
        <v>1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246</v>
      </c>
      <c r="C27" s="535">
        <f t="shared" si="10"/>
        <v>251</v>
      </c>
      <c r="D27" s="45">
        <f t="shared" si="49"/>
        <v>0</v>
      </c>
      <c r="E27" s="45">
        <f t="shared" si="11"/>
        <v>0</v>
      </c>
      <c r="F27" s="535">
        <f t="shared" si="12"/>
        <v>2281</v>
      </c>
      <c r="G27" s="52">
        <f t="shared" si="0"/>
        <v>0</v>
      </c>
      <c r="H27" s="535">
        <f t="shared" si="13"/>
        <v>46415</v>
      </c>
      <c r="I27" s="380">
        <f t="shared" si="1"/>
        <v>0</v>
      </c>
      <c r="J27" s="66">
        <f t="shared" si="14"/>
        <v>0</v>
      </c>
      <c r="K27" s="535">
        <f t="shared" si="15"/>
        <v>2459</v>
      </c>
      <c r="L27" s="52">
        <f t="shared" si="16"/>
        <v>0</v>
      </c>
      <c r="M27" s="535">
        <f t="shared" si="17"/>
        <v>182937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8"/>
        <v>186441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2494</v>
      </c>
      <c r="Y27" s="52">
        <f t="shared" si="22"/>
        <v>0</v>
      </c>
      <c r="Z27" s="535">
        <f t="shared" si="23"/>
        <v>141111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246</v>
      </c>
      <c r="C28" s="535">
        <f t="shared" si="10"/>
        <v>251</v>
      </c>
      <c r="D28" s="45">
        <f t="shared" si="49"/>
        <v>0</v>
      </c>
      <c r="E28" s="45">
        <f t="shared" si="11"/>
        <v>0</v>
      </c>
      <c r="F28" s="535">
        <f t="shared" si="12"/>
        <v>2281</v>
      </c>
      <c r="G28" s="52">
        <f t="shared" si="0"/>
        <v>0</v>
      </c>
      <c r="H28" s="535">
        <f t="shared" si="13"/>
        <v>46415</v>
      </c>
      <c r="I28" s="380">
        <f t="shared" si="1"/>
        <v>0</v>
      </c>
      <c r="J28" s="66">
        <f t="shared" si="14"/>
        <v>0</v>
      </c>
      <c r="K28" s="535">
        <f t="shared" si="15"/>
        <v>2459</v>
      </c>
      <c r="L28" s="52">
        <f t="shared" si="16"/>
        <v>0</v>
      </c>
      <c r="M28" s="535">
        <f t="shared" si="17"/>
        <v>182937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8"/>
        <v>186441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2494</v>
      </c>
      <c r="Y28" s="52">
        <f t="shared" si="22"/>
        <v>0</v>
      </c>
      <c r="Z28" s="535">
        <f t="shared" si="23"/>
        <v>141111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v>240</v>
      </c>
      <c r="C29" s="535">
        <v>247</v>
      </c>
      <c r="D29" s="45">
        <f t="shared" si="49"/>
        <v>4</v>
      </c>
      <c r="E29" s="45">
        <f t="shared" si="11"/>
        <v>33.520000000000003</v>
      </c>
      <c r="F29" s="535">
        <v>2284</v>
      </c>
      <c r="G29" s="52">
        <f t="shared" si="0"/>
        <v>3</v>
      </c>
      <c r="H29" s="535">
        <v>46612</v>
      </c>
      <c r="I29" s="380">
        <f t="shared" si="1"/>
        <v>197</v>
      </c>
      <c r="J29" s="66">
        <f t="shared" si="14"/>
        <v>65.666666666666671</v>
      </c>
      <c r="K29" s="535">
        <f t="shared" si="15"/>
        <v>2459</v>
      </c>
      <c r="L29" s="52">
        <f t="shared" si="16"/>
        <v>0</v>
      </c>
      <c r="M29" s="535">
        <f t="shared" si="17"/>
        <v>182937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8"/>
        <v>186441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3</v>
      </c>
      <c r="V29" s="62">
        <f t="shared" si="19"/>
        <v>197</v>
      </c>
      <c r="W29" s="384"/>
      <c r="X29" s="535">
        <f t="shared" si="21"/>
        <v>2494</v>
      </c>
      <c r="Y29" s="52">
        <f t="shared" si="22"/>
        <v>0</v>
      </c>
      <c r="Z29" s="535">
        <f t="shared" si="23"/>
        <v>141111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197</v>
      </c>
      <c r="AJ29" s="303">
        <f>-tanks!AW30</f>
        <v>197</v>
      </c>
      <c r="AK29" s="303">
        <f t="shared" si="28"/>
        <v>0</v>
      </c>
      <c r="AL29" s="303">
        <f t="shared" si="8"/>
        <v>3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v>236</v>
      </c>
      <c r="C30" s="535">
        <v>243</v>
      </c>
      <c r="D30" s="45">
        <f>C29-C30</f>
        <v>4</v>
      </c>
      <c r="E30" s="45">
        <f>D30*8.38</f>
        <v>33.520000000000003</v>
      </c>
      <c r="F30" s="535">
        <v>2285</v>
      </c>
      <c r="G30" s="52">
        <f>F30-F29</f>
        <v>1</v>
      </c>
      <c r="H30" s="535">
        <v>46671</v>
      </c>
      <c r="I30" s="380">
        <f>SUM(H30-H29)</f>
        <v>59</v>
      </c>
      <c r="J30" s="66">
        <f>IF(G30&gt;0,I30/G30,0)</f>
        <v>59</v>
      </c>
      <c r="K30" s="535">
        <f t="shared" si="15"/>
        <v>2459</v>
      </c>
      <c r="L30" s="52">
        <f>K30-K29</f>
        <v>0</v>
      </c>
      <c r="M30" s="535">
        <f t="shared" si="17"/>
        <v>182937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8"/>
        <v>186441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1</v>
      </c>
      <c r="V30" s="62">
        <f t="shared" si="19"/>
        <v>59</v>
      </c>
      <c r="W30" s="384"/>
      <c r="X30" s="535">
        <f t="shared" si="21"/>
        <v>2494</v>
      </c>
      <c r="Y30" s="52">
        <f>X30-X29</f>
        <v>0</v>
      </c>
      <c r="Z30" s="535">
        <f t="shared" si="23"/>
        <v>141111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59</v>
      </c>
      <c r="AJ30" s="303">
        <f>-tanks!AW31</f>
        <v>59</v>
      </c>
      <c r="AK30" s="303">
        <f t="shared" si="28"/>
        <v>0</v>
      </c>
      <c r="AL30" s="303">
        <f t="shared" si="8"/>
        <v>1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v>233</v>
      </c>
      <c r="C31" s="535">
        <v>239</v>
      </c>
      <c r="D31" s="45">
        <f t="shared" si="49"/>
        <v>4</v>
      </c>
      <c r="E31" s="45">
        <f t="shared" si="11"/>
        <v>33.520000000000003</v>
      </c>
      <c r="F31" s="535">
        <v>2286</v>
      </c>
      <c r="G31" s="52">
        <f t="shared" si="0"/>
        <v>1</v>
      </c>
      <c r="H31" s="535">
        <v>46780</v>
      </c>
      <c r="I31" s="380">
        <f t="shared" si="1"/>
        <v>109</v>
      </c>
      <c r="J31" s="66">
        <f t="shared" si="14"/>
        <v>109</v>
      </c>
      <c r="K31" s="535">
        <f t="shared" si="15"/>
        <v>2459</v>
      </c>
      <c r="L31" s="52">
        <f t="shared" si="16"/>
        <v>0</v>
      </c>
      <c r="M31" s="535">
        <f t="shared" si="17"/>
        <v>182937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8"/>
        <v>186441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1</v>
      </c>
      <c r="V31" s="62">
        <f t="shared" si="19"/>
        <v>109</v>
      </c>
      <c r="W31" s="384"/>
      <c r="X31" s="535">
        <f t="shared" si="21"/>
        <v>2494</v>
      </c>
      <c r="Y31" s="52">
        <f t="shared" si="22"/>
        <v>0</v>
      </c>
      <c r="Z31" s="535">
        <f t="shared" si="23"/>
        <v>141111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109</v>
      </c>
      <c r="AJ31" s="303">
        <f>-tanks!AW32</f>
        <v>109</v>
      </c>
      <c r="AK31" s="303">
        <f t="shared" si="28"/>
        <v>0</v>
      </c>
      <c r="AL31" s="303">
        <f t="shared" si="8"/>
        <v>1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v>229</v>
      </c>
      <c r="C32" s="535">
        <v>235</v>
      </c>
      <c r="D32" s="45">
        <f t="shared" si="49"/>
        <v>4</v>
      </c>
      <c r="E32" s="45">
        <f t="shared" si="11"/>
        <v>33.520000000000003</v>
      </c>
      <c r="F32" s="535">
        <v>2287</v>
      </c>
      <c r="G32" s="52">
        <f t="shared" si="0"/>
        <v>1</v>
      </c>
      <c r="H32" s="535">
        <v>46821</v>
      </c>
      <c r="I32" s="380">
        <f t="shared" si="1"/>
        <v>41</v>
      </c>
      <c r="J32" s="66">
        <f t="shared" si="14"/>
        <v>41</v>
      </c>
      <c r="K32" s="535">
        <f t="shared" si="15"/>
        <v>2459</v>
      </c>
      <c r="L32" s="52">
        <f t="shared" si="16"/>
        <v>0</v>
      </c>
      <c r="M32" s="535">
        <f t="shared" si="17"/>
        <v>182937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8"/>
        <v>186441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1</v>
      </c>
      <c r="V32" s="62">
        <f t="shared" si="19"/>
        <v>41</v>
      </c>
      <c r="W32" s="384"/>
      <c r="X32" s="535">
        <f t="shared" si="21"/>
        <v>2494</v>
      </c>
      <c r="Y32" s="52">
        <f t="shared" si="22"/>
        <v>0</v>
      </c>
      <c r="Z32" s="535">
        <f t="shared" si="23"/>
        <v>141111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41</v>
      </c>
      <c r="AJ32" s="303">
        <f>-tanks!AW33</f>
        <v>41</v>
      </c>
      <c r="AK32" s="303">
        <f t="shared" si="28"/>
        <v>0</v>
      </c>
      <c r="AL32" s="303">
        <f t="shared" si="8"/>
        <v>1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v>226</v>
      </c>
      <c r="C33" s="535">
        <v>232</v>
      </c>
      <c r="D33" s="45">
        <f t="shared" ref="D33:D35" si="53">C32-C33</f>
        <v>3</v>
      </c>
      <c r="E33" s="45">
        <f t="shared" ref="E33:E35" si="54">D33*8.38</f>
        <v>25.14</v>
      </c>
      <c r="F33" s="535">
        <v>2287</v>
      </c>
      <c r="G33" s="52">
        <f t="shared" ref="G33:G35" si="55">F33-F32</f>
        <v>0</v>
      </c>
      <c r="H33" s="535">
        <v>46848</v>
      </c>
      <c r="I33" s="380">
        <f t="shared" ref="I33:I35" si="56">SUM(H33-H32)</f>
        <v>27</v>
      </c>
      <c r="J33" s="66">
        <f t="shared" ref="J33:J35" si="57">IF(G33&gt;0,I33/G33,0)</f>
        <v>0</v>
      </c>
      <c r="K33" s="535">
        <f t="shared" si="15"/>
        <v>2459</v>
      </c>
      <c r="L33" s="52">
        <f t="shared" ref="L33:L35" si="58">K33-K32</f>
        <v>0</v>
      </c>
      <c r="M33" s="535">
        <f t="shared" si="17"/>
        <v>182937</v>
      </c>
      <c r="N33" s="380">
        <f t="shared" ref="N33:N35" si="59">M33-M32</f>
        <v>0</v>
      </c>
      <c r="O33" s="64">
        <f t="shared" si="46"/>
        <v>1869</v>
      </c>
      <c r="P33" s="535">
        <f t="shared" si="47"/>
        <v>2231</v>
      </c>
      <c r="Q33" s="535">
        <f t="shared" si="48"/>
        <v>186441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27</v>
      </c>
      <c r="W33" s="384"/>
      <c r="X33" s="535">
        <f t="shared" si="21"/>
        <v>2494</v>
      </c>
      <c r="Y33" s="52">
        <f t="shared" ref="Y33:Y35" si="65">X33-X32</f>
        <v>0</v>
      </c>
      <c r="Z33" s="535">
        <f t="shared" si="23"/>
        <v>141111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27</v>
      </c>
      <c r="AJ33" s="303">
        <f>-tanks!AW34</f>
        <v>27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226</v>
      </c>
      <c r="C34" s="535">
        <f t="shared" si="10"/>
        <v>232</v>
      </c>
      <c r="D34" s="45">
        <f t="shared" si="53"/>
        <v>0</v>
      </c>
      <c r="E34" s="45">
        <f t="shared" si="54"/>
        <v>0</v>
      </c>
      <c r="F34" s="535">
        <f t="shared" si="12"/>
        <v>2287</v>
      </c>
      <c r="G34" s="52">
        <f t="shared" si="55"/>
        <v>0</v>
      </c>
      <c r="H34" s="535">
        <f t="shared" si="13"/>
        <v>46848</v>
      </c>
      <c r="I34" s="380">
        <f t="shared" si="56"/>
        <v>0</v>
      </c>
      <c r="J34" s="66">
        <f t="shared" si="57"/>
        <v>0</v>
      </c>
      <c r="K34" s="535">
        <f t="shared" si="15"/>
        <v>2459</v>
      </c>
      <c r="L34" s="52">
        <f t="shared" si="58"/>
        <v>0</v>
      </c>
      <c r="M34" s="535">
        <f t="shared" si="17"/>
        <v>182937</v>
      </c>
      <c r="N34" s="380">
        <f t="shared" si="59"/>
        <v>0</v>
      </c>
      <c r="O34" s="64">
        <f t="shared" si="46"/>
        <v>1869</v>
      </c>
      <c r="P34" s="535">
        <f t="shared" si="47"/>
        <v>2231</v>
      </c>
      <c r="Q34" s="535">
        <f t="shared" si="48"/>
        <v>186441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2494</v>
      </c>
      <c r="Y34" s="52">
        <f t="shared" si="65"/>
        <v>0</v>
      </c>
      <c r="Z34" s="535">
        <f t="shared" si="23"/>
        <v>141111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226</v>
      </c>
      <c r="C35" s="535">
        <f t="shared" si="10"/>
        <v>232</v>
      </c>
      <c r="D35" s="45">
        <f t="shared" si="53"/>
        <v>0</v>
      </c>
      <c r="E35" s="45">
        <f t="shared" si="54"/>
        <v>0</v>
      </c>
      <c r="F35" s="535">
        <f t="shared" si="12"/>
        <v>2287</v>
      </c>
      <c r="G35" s="52">
        <f t="shared" si="55"/>
        <v>0</v>
      </c>
      <c r="H35" s="535">
        <f t="shared" si="13"/>
        <v>46848</v>
      </c>
      <c r="I35" s="380">
        <f t="shared" si="56"/>
        <v>0</v>
      </c>
      <c r="J35" s="66">
        <f t="shared" si="57"/>
        <v>0</v>
      </c>
      <c r="K35" s="535">
        <f t="shared" si="15"/>
        <v>2459</v>
      </c>
      <c r="L35" s="52">
        <f t="shared" si="58"/>
        <v>0</v>
      </c>
      <c r="M35" s="535">
        <f t="shared" si="17"/>
        <v>182937</v>
      </c>
      <c r="N35" s="380">
        <f t="shared" si="59"/>
        <v>0</v>
      </c>
      <c r="O35" s="64">
        <f t="shared" si="46"/>
        <v>1869</v>
      </c>
      <c r="P35" s="535">
        <f t="shared" si="47"/>
        <v>2231</v>
      </c>
      <c r="Q35" s="535">
        <f t="shared" si="48"/>
        <v>186441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2494</v>
      </c>
      <c r="Y35" s="52">
        <f t="shared" si="65"/>
        <v>0</v>
      </c>
      <c r="Z35" s="535">
        <f t="shared" si="23"/>
        <v>141111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67.333333333333343</v>
      </c>
      <c r="U36" s="70">
        <f>SUM(U5:U35)</f>
        <v>20</v>
      </c>
      <c r="V36" s="62">
        <f>SUM(V5:V35)</f>
        <v>1617</v>
      </c>
      <c r="AE36" s="71" t="s">
        <v>379</v>
      </c>
      <c r="AG36" s="329"/>
      <c r="AH36" s="62">
        <f>SUM(AH5:AH35)</f>
        <v>236</v>
      </c>
      <c r="AL36" s="62">
        <f>SUM(AL5:AL35)</f>
        <v>20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80.849999999999994</v>
      </c>
      <c r="AH37" s="62">
        <f>AF37+AA37</f>
        <v>0</v>
      </c>
      <c r="AI37" s="306">
        <f>SUM(AI5:AI35)</f>
        <v>1853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I1" zoomScaleNormal="100" workbookViewId="0">
      <pane ySplit="3" topLeftCell="A16" activePane="bottomLeft" state="frozen"/>
      <selection pane="bottomLeft" activeCell="AY34" sqref="AY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8197384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1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29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v>143</v>
      </c>
      <c r="AW13" s="5">
        <v>2.9</v>
      </c>
      <c r="AX13" s="201">
        <v>109</v>
      </c>
      <c r="AY13" s="409">
        <f t="shared" si="38"/>
        <v>131.4</v>
      </c>
      <c r="AZ13" s="409">
        <f t="shared" si="39"/>
        <v>157.30000000000001</v>
      </c>
      <c r="BA13" s="409">
        <f t="shared" si="40"/>
        <v>316.09999999999997</v>
      </c>
      <c r="BB13" s="21">
        <f t="shared" si="41"/>
        <v>0</v>
      </c>
      <c r="BC13" s="21">
        <f t="shared" si="33"/>
        <v>-1.0999999999999943</v>
      </c>
      <c r="BD13" s="21">
        <f t="shared" si="33"/>
        <v>14.5</v>
      </c>
      <c r="BE13" s="24">
        <f t="shared" si="34"/>
        <v>13.400000000000006</v>
      </c>
      <c r="BF13" s="96">
        <f t="shared" si="35"/>
        <v>-13.400000000000006</v>
      </c>
      <c r="BG13" s="82">
        <f t="shared" si="4"/>
        <v>13.400000000000006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5191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143</v>
      </c>
      <c r="AW14" s="5">
        <v>2.9</v>
      </c>
      <c r="AX14" s="201">
        <f t="shared" si="32"/>
        <v>109</v>
      </c>
      <c r="AY14" s="409">
        <f t="shared" si="38"/>
        <v>131.4</v>
      </c>
      <c r="AZ14" s="409">
        <f t="shared" si="39"/>
        <v>157.30000000000001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5191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143</v>
      </c>
      <c r="AW15" s="5">
        <v>2.9</v>
      </c>
      <c r="AX15" s="201">
        <f t="shared" si="32"/>
        <v>109</v>
      </c>
      <c r="AY15" s="409">
        <f t="shared" si="38"/>
        <v>131.4</v>
      </c>
      <c r="AZ15" s="409">
        <f t="shared" si="39"/>
        <v>157.30000000000001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v>630568</v>
      </c>
      <c r="H16" s="5">
        <f t="shared" si="9"/>
        <v>97</v>
      </c>
      <c r="I16" s="5">
        <f t="shared" si="10"/>
        <v>97</v>
      </c>
      <c r="J16" s="319">
        <f t="shared" si="0"/>
        <v>2.5773195876288661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5191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27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v>210</v>
      </c>
      <c r="AU16" s="408">
        <f t="shared" si="44"/>
        <v>1.1000000000000001</v>
      </c>
      <c r="AV16" s="201">
        <v>139</v>
      </c>
      <c r="AW16" s="5">
        <v>2.9</v>
      </c>
      <c r="AX16" s="201">
        <v>100</v>
      </c>
      <c r="AY16" s="409">
        <f t="shared" si="38"/>
        <v>189</v>
      </c>
      <c r="AZ16" s="409">
        <f t="shared" si="39"/>
        <v>152.9</v>
      </c>
      <c r="BA16" s="409">
        <f t="shared" si="40"/>
        <v>290</v>
      </c>
      <c r="BB16" s="21">
        <f t="shared" si="41"/>
        <v>57.599999999999994</v>
      </c>
      <c r="BC16" s="21">
        <f t="shared" si="33"/>
        <v>-4.4000000000000057</v>
      </c>
      <c r="BD16" s="21">
        <f t="shared" si="33"/>
        <v>-26.099999999999966</v>
      </c>
      <c r="BE16" s="24">
        <f t="shared" si="34"/>
        <v>27.100000000000023</v>
      </c>
      <c r="BF16" s="96">
        <f t="shared" si="35"/>
        <v>69.899999999999977</v>
      </c>
      <c r="BG16" s="82">
        <f t="shared" si="4"/>
        <v>27.100000000000023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630568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5191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v>155960</v>
      </c>
      <c r="Y17" s="309">
        <f t="shared" si="43"/>
        <v>123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123</v>
      </c>
      <c r="AL17" s="312">
        <f t="shared" si="28"/>
        <v>0</v>
      </c>
      <c r="AM17" s="312">
        <f>'General information '!D16</f>
        <v>27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v>105</v>
      </c>
      <c r="AU17" s="408">
        <f t="shared" si="44"/>
        <v>1.1000000000000001</v>
      </c>
      <c r="AV17" s="201">
        <v>138</v>
      </c>
      <c r="AW17" s="5">
        <v>2.9</v>
      </c>
      <c r="AX17" s="201">
        <v>120</v>
      </c>
      <c r="AY17" s="409">
        <f t="shared" si="38"/>
        <v>94.5</v>
      </c>
      <c r="AZ17" s="409">
        <f t="shared" si="39"/>
        <v>151.80000000000001</v>
      </c>
      <c r="BA17" s="409">
        <f t="shared" si="40"/>
        <v>348</v>
      </c>
      <c r="BB17" s="21">
        <f t="shared" si="41"/>
        <v>-94.5</v>
      </c>
      <c r="BC17" s="21">
        <f t="shared" si="33"/>
        <v>-1.0999999999999943</v>
      </c>
      <c r="BD17" s="21">
        <f t="shared" si="33"/>
        <v>58</v>
      </c>
      <c r="BE17" s="24">
        <f t="shared" si="34"/>
        <v>-37.599999999999994</v>
      </c>
      <c r="BF17" s="96">
        <f t="shared" si="35"/>
        <v>37.599999999999994</v>
      </c>
      <c r="BG17" s="82">
        <f t="shared" si="4"/>
        <v>-37.599999999999994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630568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5191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155960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26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v>91</v>
      </c>
      <c r="AU18" s="408">
        <f t="shared" si="44"/>
        <v>1.1000000000000001</v>
      </c>
      <c r="AV18" s="201">
        <v>136</v>
      </c>
      <c r="AW18" s="5">
        <v>2.9</v>
      </c>
      <c r="AX18" s="201">
        <v>119</v>
      </c>
      <c r="AY18" s="409">
        <f t="shared" si="38"/>
        <v>81.900000000000006</v>
      </c>
      <c r="AZ18" s="409">
        <f t="shared" si="39"/>
        <v>149.60000000000002</v>
      </c>
      <c r="BA18" s="409">
        <f t="shared" si="40"/>
        <v>345.09999999999997</v>
      </c>
      <c r="BB18" s="21">
        <f t="shared" si="41"/>
        <v>-12.599999999999994</v>
      </c>
      <c r="BC18" s="21">
        <f t="shared" si="33"/>
        <v>-2.1999999999999886</v>
      </c>
      <c r="BD18" s="21">
        <f t="shared" si="33"/>
        <v>-2.9000000000000341</v>
      </c>
      <c r="BE18" s="24">
        <f t="shared" si="34"/>
        <v>-17.700000000000017</v>
      </c>
      <c r="BF18" s="96">
        <f t="shared" si="35"/>
        <v>17.700000000000017</v>
      </c>
      <c r="BG18" s="82">
        <f t="shared" si="4"/>
        <v>-17.700000000000017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630568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5191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155960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28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91</v>
      </c>
      <c r="AU19" s="408">
        <f t="shared" si="44"/>
        <v>1.1000000000000001</v>
      </c>
      <c r="AV19" s="201">
        <v>132</v>
      </c>
      <c r="AW19" s="5">
        <v>2.9</v>
      </c>
      <c r="AX19" s="201">
        <v>117</v>
      </c>
      <c r="AY19" s="409">
        <f>AS19*AT19</f>
        <v>81.900000000000006</v>
      </c>
      <c r="AZ19" s="409">
        <f>AU19*AV19</f>
        <v>145.20000000000002</v>
      </c>
      <c r="BA19" s="409">
        <f>AW19*AX19</f>
        <v>339.3</v>
      </c>
      <c r="BB19" s="21">
        <f t="shared" si="41"/>
        <v>0</v>
      </c>
      <c r="BC19" s="21">
        <f t="shared" ref="BC19:BD20" si="48">AZ19-AZ18</f>
        <v>-4.4000000000000057</v>
      </c>
      <c r="BD19" s="21">
        <f t="shared" si="48"/>
        <v>-5.7999999999999545</v>
      </c>
      <c r="BE19" s="24">
        <f>SUM(BB19:BD19)</f>
        <v>-10.19999999999996</v>
      </c>
      <c r="BF19" s="96">
        <f t="shared" si="35"/>
        <v>10.19999999999996</v>
      </c>
      <c r="BG19" s="82">
        <f t="shared" si="4"/>
        <v>-10.19999999999996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630568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5191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155960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27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91</v>
      </c>
      <c r="AU20" s="408">
        <f t="shared" si="44"/>
        <v>1.1000000000000001</v>
      </c>
      <c r="AV20" s="201">
        <f t="shared" si="31"/>
        <v>132</v>
      </c>
      <c r="AW20" s="5">
        <v>2.9</v>
      </c>
      <c r="AX20" s="201">
        <f t="shared" si="32"/>
        <v>117</v>
      </c>
      <c r="AY20" s="409">
        <f>AS20*AT20</f>
        <v>81.900000000000006</v>
      </c>
      <c r="AZ20" s="409">
        <f>AU20*AV20</f>
        <v>145.20000000000002</v>
      </c>
      <c r="BA20" s="409">
        <f>AW20*AX20</f>
        <v>339.3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630568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5191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155960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91</v>
      </c>
      <c r="AU21" s="408">
        <f t="shared" si="44"/>
        <v>1.1000000000000001</v>
      </c>
      <c r="AV21" s="201">
        <f t="shared" si="31"/>
        <v>132</v>
      </c>
      <c r="AW21" s="5">
        <v>2.9</v>
      </c>
      <c r="AX21" s="201">
        <f t="shared" si="32"/>
        <v>117</v>
      </c>
      <c r="AY21" s="409">
        <f>AS21*AT21</f>
        <v>81.900000000000006</v>
      </c>
      <c r="AZ21" s="409">
        <f>AU21*AV21</f>
        <v>145.20000000000002</v>
      </c>
      <c r="BA21" s="409">
        <f>AW21*AX21</f>
        <v>339.3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630568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5191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155960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91</v>
      </c>
      <c r="AU22" s="408">
        <f t="shared" si="44"/>
        <v>1.1000000000000001</v>
      </c>
      <c r="AV22" s="201">
        <f t="shared" si="31"/>
        <v>132</v>
      </c>
      <c r="AW22" s="5">
        <v>2.9</v>
      </c>
      <c r="AX22" s="201">
        <f t="shared" si="32"/>
        <v>117</v>
      </c>
      <c r="AY22" s="409">
        <f t="shared" si="38"/>
        <v>81.900000000000006</v>
      </c>
      <c r="AZ22" s="409">
        <f t="shared" si="39"/>
        <v>145.20000000000002</v>
      </c>
      <c r="BA22" s="409">
        <f t="shared" si="40"/>
        <v>339.3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630568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5191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155960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v>90</v>
      </c>
      <c r="AU23" s="408">
        <f t="shared" si="44"/>
        <v>1.1000000000000001</v>
      </c>
      <c r="AV23" s="201">
        <v>130</v>
      </c>
      <c r="AW23" s="5">
        <v>2.9</v>
      </c>
      <c r="AX23" s="201">
        <v>113</v>
      </c>
      <c r="AY23" s="409">
        <f t="shared" si="38"/>
        <v>81</v>
      </c>
      <c r="AZ23" s="409">
        <f t="shared" si="39"/>
        <v>143</v>
      </c>
      <c r="BA23" s="409">
        <f t="shared" si="40"/>
        <v>327.7</v>
      </c>
      <c r="BB23" s="21">
        <f t="shared" si="41"/>
        <v>-0.90000000000000568</v>
      </c>
      <c r="BC23" s="21">
        <f t="shared" si="50"/>
        <v>-2.2000000000000171</v>
      </c>
      <c r="BD23" s="21">
        <f t="shared" si="50"/>
        <v>-11.600000000000023</v>
      </c>
      <c r="BE23" s="24">
        <f t="shared" si="34"/>
        <v>-14.700000000000045</v>
      </c>
      <c r="BF23" s="96">
        <f t="shared" si="35"/>
        <v>14.700000000000045</v>
      </c>
      <c r="BG23" s="82">
        <f t="shared" si="4"/>
        <v>-14.700000000000045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630568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5191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155960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26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v>135</v>
      </c>
      <c r="AU24" s="408">
        <f t="shared" si="44"/>
        <v>1.1000000000000001</v>
      </c>
      <c r="AV24" s="201">
        <f t="shared" si="31"/>
        <v>130</v>
      </c>
      <c r="AW24" s="5">
        <v>2.9</v>
      </c>
      <c r="AX24" s="201">
        <f t="shared" si="32"/>
        <v>113</v>
      </c>
      <c r="AY24" s="409">
        <f t="shared" si="38"/>
        <v>121.5</v>
      </c>
      <c r="AZ24" s="409">
        <f t="shared" si="39"/>
        <v>143</v>
      </c>
      <c r="BA24" s="409">
        <f t="shared" si="40"/>
        <v>327.7</v>
      </c>
      <c r="BB24" s="21">
        <f t="shared" si="41"/>
        <v>40.5</v>
      </c>
      <c r="BC24" s="21">
        <f t="shared" si="50"/>
        <v>0</v>
      </c>
      <c r="BD24" s="21">
        <f t="shared" si="50"/>
        <v>0</v>
      </c>
      <c r="BE24" s="24">
        <f t="shared" si="34"/>
        <v>40.5</v>
      </c>
      <c r="BF24" s="96">
        <f t="shared" si="35"/>
        <v>-40.5</v>
      </c>
      <c r="BG24" s="82">
        <f t="shared" si="4"/>
        <v>40.5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630568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5191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155960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25.5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v>135</v>
      </c>
      <c r="AU25" s="408">
        <f t="shared" si="44"/>
        <v>1.1000000000000001</v>
      </c>
      <c r="AV25" s="201">
        <v>129</v>
      </c>
      <c r="AW25" s="5">
        <v>2.9</v>
      </c>
      <c r="AX25" s="201">
        <v>110</v>
      </c>
      <c r="AY25" s="409">
        <f t="shared" si="38"/>
        <v>121.5</v>
      </c>
      <c r="AZ25" s="409">
        <f t="shared" si="39"/>
        <v>141.9</v>
      </c>
      <c r="BA25" s="409">
        <f t="shared" si="40"/>
        <v>319</v>
      </c>
      <c r="BB25" s="21">
        <f t="shared" si="41"/>
        <v>0</v>
      </c>
      <c r="BC25" s="21">
        <f t="shared" si="50"/>
        <v>-1.0999999999999943</v>
      </c>
      <c r="BD25" s="21">
        <f t="shared" si="50"/>
        <v>-8.6999999999999886</v>
      </c>
      <c r="BE25" s="24">
        <f t="shared" si="34"/>
        <v>-9.7999999999999829</v>
      </c>
      <c r="BF25" s="96">
        <f t="shared" si="35"/>
        <v>9.7999999999999829</v>
      </c>
      <c r="BG25" s="82">
        <f t="shared" si="4"/>
        <v>-9.7999999999999829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630568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5191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155960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v>190</v>
      </c>
      <c r="AU26" s="408">
        <f t="shared" si="44"/>
        <v>1.1000000000000001</v>
      </c>
      <c r="AV26" s="201">
        <v>122</v>
      </c>
      <c r="AW26" s="5">
        <v>2.9</v>
      </c>
      <c r="AX26" s="201">
        <v>106</v>
      </c>
      <c r="AY26" s="409">
        <f t="shared" si="38"/>
        <v>171</v>
      </c>
      <c r="AZ26" s="409">
        <f t="shared" si="39"/>
        <v>134.20000000000002</v>
      </c>
      <c r="BA26" s="409">
        <f t="shared" si="40"/>
        <v>307.39999999999998</v>
      </c>
      <c r="BB26" s="21">
        <f t="shared" si="41"/>
        <v>49.5</v>
      </c>
      <c r="BC26" s="21">
        <f t="shared" si="50"/>
        <v>-7.6999999999999886</v>
      </c>
      <c r="BD26" s="21">
        <f t="shared" si="50"/>
        <v>-11.600000000000023</v>
      </c>
      <c r="BE26" s="24">
        <f t="shared" si="34"/>
        <v>30.199999999999989</v>
      </c>
      <c r="BF26" s="96">
        <f t="shared" si="35"/>
        <v>-30.199999999999989</v>
      </c>
      <c r="BG26" s="82">
        <f t="shared" si="4"/>
        <v>30.199999999999989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630568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5191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155960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26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v>192</v>
      </c>
      <c r="AU27" s="408">
        <f t="shared" si="44"/>
        <v>1.1000000000000001</v>
      </c>
      <c r="AV27" s="201">
        <f t="shared" si="31"/>
        <v>122</v>
      </c>
      <c r="AW27" s="5">
        <v>2.9</v>
      </c>
      <c r="AX27" s="201">
        <v>105</v>
      </c>
      <c r="AY27" s="409">
        <f t="shared" si="38"/>
        <v>172.8</v>
      </c>
      <c r="AZ27" s="409">
        <f t="shared" si="39"/>
        <v>134.20000000000002</v>
      </c>
      <c r="BA27" s="409">
        <f t="shared" si="40"/>
        <v>304.5</v>
      </c>
      <c r="BB27" s="21">
        <f t="shared" si="41"/>
        <v>1.8000000000000114</v>
      </c>
      <c r="BC27" s="21">
        <f t="shared" si="50"/>
        <v>0</v>
      </c>
      <c r="BD27" s="21">
        <f t="shared" si="50"/>
        <v>-2.8999999999999773</v>
      </c>
      <c r="BE27" s="24">
        <f t="shared" si="34"/>
        <v>-1.0999999999999659</v>
      </c>
      <c r="BF27" s="96">
        <f t="shared" si="35"/>
        <v>1.0999999999999659</v>
      </c>
      <c r="BG27" s="82">
        <f t="shared" si="4"/>
        <v>-1.0999999999999659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630568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5191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155960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192</v>
      </c>
      <c r="AU28" s="408">
        <f t="shared" si="44"/>
        <v>1.1000000000000001</v>
      </c>
      <c r="AV28" s="201">
        <f t="shared" si="31"/>
        <v>122</v>
      </c>
      <c r="AW28" s="5">
        <v>2.9</v>
      </c>
      <c r="AX28" s="201">
        <f t="shared" si="32"/>
        <v>105</v>
      </c>
      <c r="AY28" s="409">
        <f t="shared" si="38"/>
        <v>172.8</v>
      </c>
      <c r="AZ28" s="409">
        <f t="shared" si="39"/>
        <v>134.20000000000002</v>
      </c>
      <c r="BA28" s="409">
        <f t="shared" si="40"/>
        <v>304.5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630568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5191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155960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192</v>
      </c>
      <c r="AU29" s="408">
        <f t="shared" si="44"/>
        <v>1.1000000000000001</v>
      </c>
      <c r="AV29" s="201">
        <f t="shared" si="31"/>
        <v>122</v>
      </c>
      <c r="AW29" s="5">
        <v>2.9</v>
      </c>
      <c r="AX29" s="201">
        <f t="shared" si="32"/>
        <v>105</v>
      </c>
      <c r="AY29" s="409">
        <f t="shared" si="38"/>
        <v>172.8</v>
      </c>
      <c r="AZ29" s="409">
        <f t="shared" si="39"/>
        <v>134.20000000000002</v>
      </c>
      <c r="BA29" s="409">
        <f t="shared" si="40"/>
        <v>304.5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630568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5191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155960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27.5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v>175</v>
      </c>
      <c r="AU30" s="408">
        <f t="shared" si="44"/>
        <v>1.1000000000000001</v>
      </c>
      <c r="AV30" s="201">
        <v>120</v>
      </c>
      <c r="AW30" s="5">
        <v>2.9</v>
      </c>
      <c r="AX30" s="201">
        <v>101</v>
      </c>
      <c r="AY30" s="409">
        <f t="shared" si="38"/>
        <v>157.5</v>
      </c>
      <c r="AZ30" s="409">
        <f t="shared" si="39"/>
        <v>132</v>
      </c>
      <c r="BA30" s="409">
        <f t="shared" si="40"/>
        <v>292.89999999999998</v>
      </c>
      <c r="BB30" s="21">
        <f t="shared" si="41"/>
        <v>-15.300000000000011</v>
      </c>
      <c r="BC30" s="21">
        <f t="shared" si="50"/>
        <v>-2.2000000000000171</v>
      </c>
      <c r="BD30" s="21">
        <f t="shared" si="50"/>
        <v>-11.600000000000023</v>
      </c>
      <c r="BE30" s="24">
        <f t="shared" si="34"/>
        <v>-29.100000000000051</v>
      </c>
      <c r="BF30" s="96">
        <f t="shared" si="35"/>
        <v>29.100000000000051</v>
      </c>
      <c r="BG30" s="82">
        <f t="shared" si="4"/>
        <v>-29.100000000000051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630568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5191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155960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26.5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v>175</v>
      </c>
      <c r="AU31" s="408">
        <f t="shared" si="44"/>
        <v>1.1000000000000001</v>
      </c>
      <c r="AV31" s="201">
        <v>119</v>
      </c>
      <c r="AW31" s="5">
        <v>2.9</v>
      </c>
      <c r="AX31" s="201">
        <v>100</v>
      </c>
      <c r="AY31" s="409">
        <f t="shared" si="38"/>
        <v>157.5</v>
      </c>
      <c r="AZ31" s="409">
        <f>AU31*AV31</f>
        <v>130.9</v>
      </c>
      <c r="BA31" s="409">
        <f t="shared" si="40"/>
        <v>290</v>
      </c>
      <c r="BB31" s="21">
        <f t="shared" si="41"/>
        <v>0</v>
      </c>
      <c r="BC31" s="21">
        <f t="shared" si="50"/>
        <v>-1.0999999999999943</v>
      </c>
      <c r="BD31" s="21">
        <f t="shared" si="50"/>
        <v>-2.8999999999999773</v>
      </c>
      <c r="BE31" s="24">
        <f t="shared" si="34"/>
        <v>-3.9999999999999716</v>
      </c>
      <c r="BF31" s="96">
        <f t="shared" si="35"/>
        <v>3.9999999999999716</v>
      </c>
      <c r="BG31" s="82">
        <f t="shared" si="4"/>
        <v>-3.9999999999999716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630568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5191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155960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26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v>164</v>
      </c>
      <c r="AU32" s="408">
        <f t="shared" si="44"/>
        <v>1.1000000000000001</v>
      </c>
      <c r="AV32" s="201">
        <v>118</v>
      </c>
      <c r="AW32" s="5">
        <v>2.9</v>
      </c>
      <c r="AX32" s="201">
        <v>98</v>
      </c>
      <c r="AY32" s="409">
        <f t="shared" si="38"/>
        <v>147.6</v>
      </c>
      <c r="AZ32" s="409">
        <f t="shared" si="39"/>
        <v>129.80000000000001</v>
      </c>
      <c r="BA32" s="409">
        <f t="shared" si="40"/>
        <v>284.2</v>
      </c>
      <c r="BB32" s="21">
        <f t="shared" si="41"/>
        <v>-9.9000000000000057</v>
      </c>
      <c r="BC32" s="21">
        <f t="shared" si="50"/>
        <v>-1.0999999999999943</v>
      </c>
      <c r="BD32" s="21">
        <f t="shared" si="50"/>
        <v>-5.8000000000000114</v>
      </c>
      <c r="BE32" s="24">
        <f t="shared" si="34"/>
        <v>-16.800000000000011</v>
      </c>
      <c r="BF32" s="96">
        <f t="shared" si="35"/>
        <v>16.800000000000011</v>
      </c>
      <c r="BG32" s="82">
        <f t="shared" si="4"/>
        <v>-16.800000000000011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630568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5191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155960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26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v>164</v>
      </c>
      <c r="AU33" s="408">
        <f t="shared" si="44"/>
        <v>1.1000000000000001</v>
      </c>
      <c r="AV33" s="201">
        <v>116</v>
      </c>
      <c r="AW33" s="5">
        <v>2.9</v>
      </c>
      <c r="AX33" s="201">
        <v>96</v>
      </c>
      <c r="AY33" s="409">
        <f t="shared" si="38"/>
        <v>147.6</v>
      </c>
      <c r="AZ33" s="409">
        <f t="shared" si="39"/>
        <v>127.60000000000001</v>
      </c>
      <c r="BA33" s="409">
        <f t="shared" si="40"/>
        <v>278.39999999999998</v>
      </c>
      <c r="BB33" s="21">
        <f t="shared" si="41"/>
        <v>0</v>
      </c>
      <c r="BC33" s="21">
        <f t="shared" si="50"/>
        <v>-2.2000000000000028</v>
      </c>
      <c r="BD33" s="21">
        <f t="shared" si="50"/>
        <v>-5.8000000000000114</v>
      </c>
      <c r="BE33" s="24">
        <f t="shared" si="34"/>
        <v>-8.0000000000000142</v>
      </c>
      <c r="BF33" s="96">
        <f t="shared" si="35"/>
        <v>8.0000000000000142</v>
      </c>
      <c r="BG33" s="82">
        <f t="shared" si="4"/>
        <v>-8.0000000000000142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630568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5191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155960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26.5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v>164</v>
      </c>
      <c r="AU34" s="408">
        <f t="shared" si="44"/>
        <v>1.1000000000000001</v>
      </c>
      <c r="AV34" s="201">
        <v>110</v>
      </c>
      <c r="AW34" s="5">
        <v>2.9</v>
      </c>
      <c r="AX34" s="201">
        <v>94</v>
      </c>
      <c r="AY34" s="409">
        <f t="shared" ref="AY34:AY36" si="72">AS34*AT34</f>
        <v>147.6</v>
      </c>
      <c r="AZ34" s="409">
        <f t="shared" ref="AZ34:AZ36" si="73">AU34*AV34</f>
        <v>121.00000000000001</v>
      </c>
      <c r="BA34" s="409">
        <f t="shared" ref="BA34:BA36" si="74">AW34*AX34</f>
        <v>272.59999999999997</v>
      </c>
      <c r="BB34" s="21">
        <f t="shared" si="41"/>
        <v>0</v>
      </c>
      <c r="BC34" s="21">
        <f t="shared" ref="BC34:BC36" si="75">AZ34-AZ33</f>
        <v>-6.5999999999999943</v>
      </c>
      <c r="BD34" s="21">
        <f t="shared" ref="BD34:BD36" si="76">BA34-BA33</f>
        <v>-5.8000000000000114</v>
      </c>
      <c r="BE34" s="24">
        <f t="shared" ref="BE34:BE36" si="77">SUM(BB34:BD34)</f>
        <v>-12.400000000000006</v>
      </c>
      <c r="BF34" s="96">
        <f t="shared" ref="BF34:BF36" si="78">SUM(I34-BE34)</f>
        <v>12.400000000000006</v>
      </c>
      <c r="BG34" s="82">
        <f t="shared" ref="BG34:BG36" si="79">SUM(I34-BF34)</f>
        <v>-12.400000000000006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630568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5191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155960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164</v>
      </c>
      <c r="AU35" s="408">
        <f t="shared" si="44"/>
        <v>1.1000000000000001</v>
      </c>
      <c r="AV35" s="201">
        <f t="shared" si="31"/>
        <v>110</v>
      </c>
      <c r="AW35" s="5">
        <v>2.9</v>
      </c>
      <c r="AX35" s="201">
        <f t="shared" si="32"/>
        <v>94</v>
      </c>
      <c r="AY35" s="409">
        <f t="shared" si="72"/>
        <v>147.6</v>
      </c>
      <c r="AZ35" s="409">
        <f t="shared" si="73"/>
        <v>121.00000000000001</v>
      </c>
      <c r="BA35" s="409">
        <f t="shared" si="74"/>
        <v>272.59999999999997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630568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5191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155960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164</v>
      </c>
      <c r="AU36" s="408">
        <f t="shared" si="44"/>
        <v>1.1000000000000001</v>
      </c>
      <c r="AV36" s="201">
        <f t="shared" si="31"/>
        <v>110</v>
      </c>
      <c r="AW36" s="5">
        <v>2.9</v>
      </c>
      <c r="AX36" s="201">
        <f t="shared" si="32"/>
        <v>94</v>
      </c>
      <c r="AY36" s="409">
        <f t="shared" si="72"/>
        <v>147.6</v>
      </c>
      <c r="AZ36" s="409">
        <f t="shared" si="73"/>
        <v>121.00000000000001</v>
      </c>
      <c r="BA36" s="409">
        <f t="shared" si="74"/>
        <v>272.59999999999997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343</v>
      </c>
      <c r="I37" s="395">
        <f>SUM(I6:I36)</f>
        <v>343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123</v>
      </c>
      <c r="AJ37" s="307">
        <f>SUM(AJ6:AJ36)</f>
        <v>0</v>
      </c>
      <c r="AK37" s="312">
        <f>SUM(Y37-L37)</f>
        <v>123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343</v>
      </c>
      <c r="Z38" s="307">
        <f>SUM(Y37:AJ37)</f>
        <v>123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343</v>
      </c>
      <c r="H39" s="1">
        <f>SUM(H38+C38)</f>
        <v>7500</v>
      </c>
      <c r="K39" s="1">
        <f>SUM(H39/G39)</f>
        <v>21.865889212827987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U27" sqref="U2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.75" thickBot="1">
      <c r="A10" s="4">
        <f>ELEC!C11</f>
        <v>44812</v>
      </c>
      <c r="B10" s="500">
        <v>898</v>
      </c>
      <c r="C10" s="276">
        <f t="shared" si="12"/>
        <v>11</v>
      </c>
      <c r="D10" s="501">
        <f t="shared" si="26"/>
        <v>751776</v>
      </c>
      <c r="E10" s="276">
        <f>SUM(D10-D9)</f>
        <v>935</v>
      </c>
      <c r="F10" s="276">
        <f t="shared" si="0"/>
        <v>85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11</v>
      </c>
      <c r="AA10" s="276">
        <f t="shared" si="21"/>
        <v>935</v>
      </c>
      <c r="AB10" s="276">
        <f t="shared" si="22"/>
        <v>585</v>
      </c>
      <c r="AC10" s="276">
        <f t="shared" si="23"/>
        <v>85</v>
      </c>
      <c r="AD10" s="73">
        <f>ELEC!Q11</f>
        <v>3789.0000000006694</v>
      </c>
      <c r="AE10" s="73">
        <f t="shared" si="27"/>
        <v>344.45454545460632</v>
      </c>
      <c r="AF10" s="387">
        <f t="shared" si="28"/>
        <v>0.21528409090912895</v>
      </c>
      <c r="AG10" s="387">
        <f t="shared" si="28"/>
        <v>1.3455255681820561E-4</v>
      </c>
      <c r="AH10" s="388">
        <f t="shared" si="24"/>
        <v>84.999865447443185</v>
      </c>
      <c r="AI10" s="73">
        <f t="shared" si="29"/>
        <v>975.22784810143821</v>
      </c>
      <c r="AJ10" s="278">
        <f t="shared" si="9"/>
        <v>0.25738396624472576</v>
      </c>
      <c r="AK10" s="278">
        <f t="shared" si="10"/>
        <v>88.657077100130749</v>
      </c>
      <c r="AL10">
        <f t="shared" si="25"/>
        <v>1</v>
      </c>
    </row>
    <row r="11" spans="1:38" ht="15.75" thickBot="1">
      <c r="A11" s="4">
        <f>ELEC!C12</f>
        <v>44813</v>
      </c>
      <c r="B11" s="500">
        <f t="shared" si="11"/>
        <v>898</v>
      </c>
      <c r="C11" s="276">
        <f t="shared" si="12"/>
        <v>0</v>
      </c>
      <c r="D11" s="501">
        <f t="shared" si="26"/>
        <v>751776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v>13909</v>
      </c>
      <c r="S11" s="276">
        <f t="shared" si="5"/>
        <v>1</v>
      </c>
      <c r="T11" s="501">
        <f t="shared" si="31"/>
        <v>416762</v>
      </c>
      <c r="U11" s="276">
        <f t="shared" si="32"/>
        <v>250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1</v>
      </c>
      <c r="AA11" s="276">
        <f t="shared" si="21"/>
        <v>250</v>
      </c>
      <c r="AB11" s="276">
        <f t="shared" si="22"/>
        <v>500</v>
      </c>
      <c r="AC11" s="276">
        <f t="shared" si="23"/>
        <v>250</v>
      </c>
      <c r="AD11" s="73">
        <f>ELEC!Q12</f>
        <v>0</v>
      </c>
      <c r="AE11" s="73">
        <f t="shared" si="27"/>
        <v>0</v>
      </c>
      <c r="AF11" s="387">
        <f t="shared" si="28"/>
        <v>0</v>
      </c>
      <c r="AG11" s="387">
        <f t="shared" si="28"/>
        <v>0</v>
      </c>
      <c r="AH11" s="388">
        <f t="shared" si="24"/>
        <v>250</v>
      </c>
      <c r="AI11" s="73">
        <f t="shared" si="29"/>
        <v>0</v>
      </c>
      <c r="AJ11" s="278">
        <f t="shared" si="9"/>
        <v>0.25738396624472576</v>
      </c>
      <c r="AK11" s="278">
        <f t="shared" si="10"/>
        <v>0</v>
      </c>
      <c r="AL11">
        <f t="shared" si="25"/>
        <v>1</v>
      </c>
    </row>
    <row r="12" spans="1:38" ht="15.75" thickBot="1">
      <c r="A12" s="4">
        <f>ELEC!C13</f>
        <v>44814</v>
      </c>
      <c r="B12" s="500">
        <f t="shared" si="11"/>
        <v>898</v>
      </c>
      <c r="C12" s="276">
        <f t="shared" si="12"/>
        <v>0</v>
      </c>
      <c r="D12" s="501">
        <f t="shared" si="26"/>
        <v>751776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13909</v>
      </c>
      <c r="S12" s="276">
        <f t="shared" si="5"/>
        <v>0</v>
      </c>
      <c r="T12" s="501">
        <f>T11+U12</f>
        <v>416762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v>908</v>
      </c>
      <c r="C13" s="276">
        <f t="shared" si="12"/>
        <v>10</v>
      </c>
      <c r="D13" s="501">
        <f t="shared" si="26"/>
        <v>752626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v>13910</v>
      </c>
      <c r="S13" s="276">
        <f t="shared" si="5"/>
        <v>1</v>
      </c>
      <c r="T13" s="501">
        <f t="shared" si="31"/>
        <v>417012</v>
      </c>
      <c r="U13" s="276">
        <f t="shared" si="32"/>
        <v>250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4296.9999999986612</v>
      </c>
      <c r="AE13" s="73">
        <f t="shared" si="27"/>
        <v>390.63636363624192</v>
      </c>
      <c r="AF13" s="387">
        <f t="shared" si="28"/>
        <v>0.24414772727265122</v>
      </c>
      <c r="AG13" s="387">
        <f t="shared" si="28"/>
        <v>1.52592329545407E-4</v>
      </c>
      <c r="AH13" s="388">
        <f t="shared" si="24"/>
        <v>99.999847407670458</v>
      </c>
      <c r="AI13" s="73">
        <f t="shared" si="29"/>
        <v>1105.9789029532419</v>
      </c>
      <c r="AJ13" s="278">
        <f t="shared" si="9"/>
        <v>0.25738396624472576</v>
      </c>
      <c r="AK13" s="278">
        <f t="shared" si="10"/>
        <v>100.5435366321129</v>
      </c>
      <c r="AL13">
        <f t="shared" si="25"/>
        <v>1</v>
      </c>
    </row>
    <row r="14" spans="1:38" ht="15.75" thickBot="1">
      <c r="A14" s="4">
        <f>ELEC!C15</f>
        <v>44816</v>
      </c>
      <c r="B14" s="500">
        <v>919</v>
      </c>
      <c r="C14" s="276">
        <f t="shared" si="12"/>
        <v>11</v>
      </c>
      <c r="D14" s="501">
        <f t="shared" si="26"/>
        <v>753561</v>
      </c>
      <c r="E14" s="276">
        <f t="shared" si="13"/>
        <v>935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v>13910</v>
      </c>
      <c r="S14" s="276">
        <f t="shared" si="5"/>
        <v>0</v>
      </c>
      <c r="T14" s="501">
        <f t="shared" si="31"/>
        <v>417012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11</v>
      </c>
      <c r="AA14" s="276">
        <f t="shared" si="21"/>
        <v>935</v>
      </c>
      <c r="AB14" s="276">
        <f t="shared" si="22"/>
        <v>585</v>
      </c>
      <c r="AC14" s="276">
        <f t="shared" si="23"/>
        <v>85</v>
      </c>
      <c r="AD14" s="73">
        <f>ELEC!Q15</f>
        <v>3256.0000000012224</v>
      </c>
      <c r="AE14" s="73">
        <f t="shared" si="27"/>
        <v>296.00000000011113</v>
      </c>
      <c r="AF14" s="387">
        <f t="shared" si="28"/>
        <v>0.18500000000006944</v>
      </c>
      <c r="AG14" s="387">
        <f t="shared" si="28"/>
        <v>1.156250000000434E-4</v>
      </c>
      <c r="AH14" s="388">
        <f t="shared" si="24"/>
        <v>84.999884374999993</v>
      </c>
      <c r="AI14" s="73">
        <f t="shared" si="29"/>
        <v>838.04219409314169</v>
      </c>
      <c r="AJ14" s="278">
        <f t="shared" si="9"/>
        <v>0.25738396624472576</v>
      </c>
      <c r="AK14" s="278">
        <f t="shared" si="10"/>
        <v>76.185654008467424</v>
      </c>
      <c r="AL14">
        <f t="shared" si="25"/>
        <v>1</v>
      </c>
    </row>
    <row r="15" spans="1:38" ht="15.75" thickBot="1">
      <c r="A15" s="4">
        <f>ELEC!C16</f>
        <v>44817</v>
      </c>
      <c r="B15" s="500">
        <v>929</v>
      </c>
      <c r="C15" s="276">
        <f t="shared" si="12"/>
        <v>10</v>
      </c>
      <c r="D15" s="501">
        <f t="shared" si="26"/>
        <v>754411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13910</v>
      </c>
      <c r="S15" s="276">
        <f t="shared" si="5"/>
        <v>0</v>
      </c>
      <c r="T15" s="501">
        <f t="shared" si="31"/>
        <v>417012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2994.9999999989814</v>
      </c>
      <c r="AE15" s="73">
        <f t="shared" si="27"/>
        <v>299.49999999989814</v>
      </c>
      <c r="AF15" s="387">
        <f t="shared" si="28"/>
        <v>0.18718749999993634</v>
      </c>
      <c r="AG15" s="387">
        <f t="shared" si="28"/>
        <v>1.1699218749996021E-4</v>
      </c>
      <c r="AH15" s="388">
        <f t="shared" si="24"/>
        <v>84.9998830078125</v>
      </c>
      <c r="AI15" s="73">
        <f t="shared" si="29"/>
        <v>770.86497890269152</v>
      </c>
      <c r="AJ15" s="278">
        <f t="shared" si="9"/>
        <v>0.25738396624472576</v>
      </c>
      <c r="AK15" s="278">
        <f t="shared" si="10"/>
        <v>77.086497890269158</v>
      </c>
      <c r="AL15">
        <f t="shared" si="25"/>
        <v>1</v>
      </c>
    </row>
    <row r="16" spans="1:38" ht="15.75" thickBot="1">
      <c r="A16" s="4">
        <f>ELEC!C17</f>
        <v>44818</v>
      </c>
      <c r="B16" s="500">
        <v>939</v>
      </c>
      <c r="C16" s="276">
        <f t="shared" si="12"/>
        <v>10</v>
      </c>
      <c r="D16" s="501">
        <f t="shared" si="26"/>
        <v>755261</v>
      </c>
      <c r="E16" s="276">
        <f t="shared" si="13"/>
        <v>850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133</v>
      </c>
      <c r="K16" s="276">
        <f t="shared" si="2"/>
        <v>1</v>
      </c>
      <c r="L16" s="501">
        <f t="shared" si="30"/>
        <v>390191</v>
      </c>
      <c r="M16" s="276">
        <f t="shared" si="3"/>
        <v>250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13910</v>
      </c>
      <c r="S16" s="276">
        <f t="shared" si="5"/>
        <v>0</v>
      </c>
      <c r="T16" s="501">
        <f t="shared" si="31"/>
        <v>417012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11</v>
      </c>
      <c r="AA16" s="276">
        <f t="shared" si="21"/>
        <v>1100</v>
      </c>
      <c r="AB16" s="276">
        <f t="shared" si="22"/>
        <v>585</v>
      </c>
      <c r="AC16" s="276">
        <f t="shared" si="23"/>
        <v>100</v>
      </c>
      <c r="AD16" s="73">
        <f>ELEC!Q17</f>
        <v>3158.9999999996508</v>
      </c>
      <c r="AE16" s="73">
        <f t="shared" si="27"/>
        <v>287.18181818178641</v>
      </c>
      <c r="AF16" s="387">
        <f t="shared" si="28"/>
        <v>0.1794886363636165</v>
      </c>
      <c r="AG16" s="387">
        <f t="shared" si="28"/>
        <v>1.1218039772726032E-4</v>
      </c>
      <c r="AH16" s="388">
        <f t="shared" si="24"/>
        <v>99.999887819602279</v>
      </c>
      <c r="AI16" s="73">
        <f t="shared" si="29"/>
        <v>813.07594936699877</v>
      </c>
      <c r="AJ16" s="278">
        <f t="shared" si="9"/>
        <v>0.25738396624472576</v>
      </c>
      <c r="AK16" s="278">
        <f t="shared" si="10"/>
        <v>73.91599539699989</v>
      </c>
      <c r="AL16">
        <f t="shared" si="25"/>
        <v>1</v>
      </c>
    </row>
    <row r="17" spans="1:38" ht="15.75" thickBot="1">
      <c r="A17" s="4">
        <f>ELEC!C18</f>
        <v>44819</v>
      </c>
      <c r="B17" s="500">
        <v>949</v>
      </c>
      <c r="C17" s="276">
        <f t="shared" si="12"/>
        <v>10</v>
      </c>
      <c r="D17" s="501">
        <f t="shared" si="26"/>
        <v>756111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133</v>
      </c>
      <c r="K17" s="276">
        <f t="shared" si="2"/>
        <v>0</v>
      </c>
      <c r="L17" s="501">
        <f t="shared" si="30"/>
        <v>390191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13910</v>
      </c>
      <c r="S17" s="276">
        <f t="shared" si="5"/>
        <v>0</v>
      </c>
      <c r="T17" s="501">
        <f t="shared" si="31"/>
        <v>417012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0</v>
      </c>
      <c r="AE17" s="73">
        <f t="shared" si="27"/>
        <v>0</v>
      </c>
      <c r="AF17" s="387">
        <f t="shared" si="28"/>
        <v>0</v>
      </c>
      <c r="AG17" s="387">
        <f t="shared" si="28"/>
        <v>0</v>
      </c>
      <c r="AH17" s="388">
        <f t="shared" si="24"/>
        <v>85</v>
      </c>
      <c r="AI17" s="73">
        <f t="shared" si="29"/>
        <v>0</v>
      </c>
      <c r="AJ17" s="278">
        <f t="shared" si="9"/>
        <v>0.25738396624472576</v>
      </c>
      <c r="AK17" s="278">
        <f t="shared" si="10"/>
        <v>0</v>
      </c>
      <c r="AL17">
        <f t="shared" si="25"/>
        <v>1</v>
      </c>
    </row>
    <row r="18" spans="1:38" ht="15.75" thickBot="1">
      <c r="A18" s="4">
        <f>ELEC!C19</f>
        <v>44820</v>
      </c>
      <c r="B18" s="500">
        <f t="shared" si="11"/>
        <v>949</v>
      </c>
      <c r="C18" s="276">
        <f t="shared" si="12"/>
        <v>0</v>
      </c>
      <c r="D18" s="501">
        <f t="shared" si="26"/>
        <v>756111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133</v>
      </c>
      <c r="K18" s="276">
        <f t="shared" si="2"/>
        <v>0</v>
      </c>
      <c r="L18" s="501">
        <f t="shared" si="30"/>
        <v>390191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13910</v>
      </c>
      <c r="S18" s="276">
        <f t="shared" si="5"/>
        <v>0</v>
      </c>
      <c r="T18" s="501">
        <f t="shared" si="31"/>
        <v>417012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949</v>
      </c>
      <c r="C19" s="276">
        <f t="shared" si="12"/>
        <v>0</v>
      </c>
      <c r="D19" s="501">
        <f t="shared" si="26"/>
        <v>756111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133</v>
      </c>
      <c r="K19" s="276">
        <f t="shared" si="2"/>
        <v>0</v>
      </c>
      <c r="L19" s="501">
        <f t="shared" si="30"/>
        <v>390191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13910</v>
      </c>
      <c r="S19" s="276">
        <f t="shared" si="5"/>
        <v>0</v>
      </c>
      <c r="T19" s="501">
        <f t="shared" si="31"/>
        <v>417012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v>961</v>
      </c>
      <c r="C20" s="276">
        <f>B20-B19</f>
        <v>12</v>
      </c>
      <c r="D20" s="501">
        <f t="shared" si="26"/>
        <v>757131</v>
      </c>
      <c r="E20" s="276">
        <f t="shared" si="13"/>
        <v>1020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133</v>
      </c>
      <c r="K20" s="276">
        <f t="shared" si="2"/>
        <v>0</v>
      </c>
      <c r="L20" s="501">
        <f t="shared" si="30"/>
        <v>390191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13910</v>
      </c>
      <c r="S20" s="276">
        <f t="shared" si="5"/>
        <v>0</v>
      </c>
      <c r="T20" s="501">
        <f t="shared" si="31"/>
        <v>417012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12</v>
      </c>
      <c r="AA20" s="276">
        <f t="shared" si="21"/>
        <v>1020</v>
      </c>
      <c r="AB20" s="276">
        <f t="shared" si="22"/>
        <v>585</v>
      </c>
      <c r="AC20" s="276">
        <f t="shared" si="23"/>
        <v>85</v>
      </c>
      <c r="AD20" s="73">
        <f>ELEC!Q21</f>
        <v>6162.0000000002619</v>
      </c>
      <c r="AE20" s="73">
        <f t="shared" si="27"/>
        <v>513.50000000002183</v>
      </c>
      <c r="AF20" s="387">
        <f t="shared" si="28"/>
        <v>0.32093750000001364</v>
      </c>
      <c r="AG20" s="387">
        <f t="shared" si="28"/>
        <v>2.0058593750000854E-4</v>
      </c>
      <c r="AH20" s="388">
        <f t="shared" si="24"/>
        <v>84.999799414062494</v>
      </c>
      <c r="AI20" s="73">
        <f>AD20*AJ20</f>
        <v>1586.0000000000675</v>
      </c>
      <c r="AJ20" s="278">
        <f t="shared" si="9"/>
        <v>0.25738396624472576</v>
      </c>
      <c r="AK20" s="278">
        <f t="shared" si="10"/>
        <v>132.16666666667228</v>
      </c>
      <c r="AL20">
        <f t="shared" si="25"/>
        <v>1</v>
      </c>
    </row>
    <row r="21" spans="1:38" ht="15.75" thickBot="1">
      <c r="A21" s="4">
        <f>ELEC!C22</f>
        <v>44823</v>
      </c>
      <c r="B21" s="500">
        <v>971</v>
      </c>
      <c r="C21" s="276">
        <f>B21-B20</f>
        <v>10</v>
      </c>
      <c r="D21" s="501">
        <f t="shared" si="26"/>
        <v>757981</v>
      </c>
      <c r="E21" s="276">
        <f t="shared" si="13"/>
        <v>850</v>
      </c>
      <c r="F21" s="276">
        <f t="shared" si="0"/>
        <v>85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133</v>
      </c>
      <c r="K21" s="276">
        <f t="shared" si="2"/>
        <v>0</v>
      </c>
      <c r="L21" s="501">
        <f t="shared" si="30"/>
        <v>390191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13910</v>
      </c>
      <c r="S21" s="276">
        <f t="shared" si="5"/>
        <v>0</v>
      </c>
      <c r="T21" s="501">
        <f t="shared" si="31"/>
        <v>417012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10</v>
      </c>
      <c r="AA21" s="276">
        <f t="shared" si="21"/>
        <v>850</v>
      </c>
      <c r="AB21" s="276">
        <f t="shared" si="22"/>
        <v>585</v>
      </c>
      <c r="AC21" s="276">
        <f t="shared" si="23"/>
        <v>85</v>
      </c>
      <c r="AD21" s="73">
        <f>ELEC!Q22</f>
        <v>2828.0000000013388</v>
      </c>
      <c r="AE21" s="73">
        <f t="shared" si="27"/>
        <v>282.80000000013388</v>
      </c>
      <c r="AF21" s="387">
        <f t="shared" si="28"/>
        <v>0.17675000000008367</v>
      </c>
      <c r="AG21" s="387">
        <f t="shared" si="28"/>
        <v>1.104687500000523E-4</v>
      </c>
      <c r="AH21" s="388">
        <f t="shared" si="24"/>
        <v>84.999889531250005</v>
      </c>
      <c r="AI21" s="73">
        <f t="shared" si="29"/>
        <v>727.881856540429</v>
      </c>
      <c r="AJ21" s="278">
        <f t="shared" si="9"/>
        <v>0.25738396624472576</v>
      </c>
      <c r="AK21" s="278">
        <f t="shared" si="10"/>
        <v>72.788185654042906</v>
      </c>
      <c r="AL21">
        <f t="shared" si="25"/>
        <v>1</v>
      </c>
    </row>
    <row r="22" spans="1:38" ht="15.75" thickBot="1">
      <c r="A22" s="4">
        <f>ELEC!C23</f>
        <v>44824</v>
      </c>
      <c r="B22" s="500">
        <v>981</v>
      </c>
      <c r="C22" s="276">
        <f t="shared" si="12"/>
        <v>10</v>
      </c>
      <c r="D22" s="501">
        <f t="shared" si="26"/>
        <v>758831</v>
      </c>
      <c r="E22" s="276">
        <f t="shared" si="13"/>
        <v>850</v>
      </c>
      <c r="F22" s="276">
        <f t="shared" si="0"/>
        <v>85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133</v>
      </c>
      <c r="K22" s="276">
        <f t="shared" si="2"/>
        <v>0</v>
      </c>
      <c r="L22" s="501">
        <f t="shared" si="30"/>
        <v>390191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v>13912</v>
      </c>
      <c r="S22" s="276">
        <f t="shared" si="5"/>
        <v>2</v>
      </c>
      <c r="T22" s="501">
        <f t="shared" si="31"/>
        <v>417512</v>
      </c>
      <c r="U22" s="276">
        <f t="shared" si="32"/>
        <v>500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12</v>
      </c>
      <c r="AA22" s="276">
        <f t="shared" si="21"/>
        <v>1350</v>
      </c>
      <c r="AB22" s="276">
        <f t="shared" si="22"/>
        <v>585</v>
      </c>
      <c r="AC22" s="276">
        <f t="shared" si="23"/>
        <v>112.5</v>
      </c>
      <c r="AD22" s="73">
        <f>ELEC!Q23</f>
        <v>3849.9999999985448</v>
      </c>
      <c r="AE22" s="73">
        <f t="shared" si="27"/>
        <v>320.83333333321207</v>
      </c>
      <c r="AF22" s="387">
        <f t="shared" si="28"/>
        <v>0.20052083333325754</v>
      </c>
      <c r="AG22" s="387">
        <f t="shared" si="28"/>
        <v>1.2532552083328597E-4</v>
      </c>
      <c r="AH22" s="388">
        <f t="shared" si="24"/>
        <v>112.49987467447917</v>
      </c>
      <c r="AI22" s="73">
        <f t="shared" si="29"/>
        <v>990.92827004181959</v>
      </c>
      <c r="AJ22" s="278">
        <f t="shared" si="9"/>
        <v>0.25738396624472576</v>
      </c>
      <c r="AK22" s="278">
        <f t="shared" si="10"/>
        <v>82.577355836818299</v>
      </c>
      <c r="AL22">
        <f t="shared" si="25"/>
        <v>1</v>
      </c>
    </row>
    <row r="23" spans="1:38" ht="15.75" thickBot="1">
      <c r="A23" s="4">
        <f>ELEC!C24</f>
        <v>44825</v>
      </c>
      <c r="B23" s="500">
        <v>991</v>
      </c>
      <c r="C23" s="276">
        <f t="shared" si="12"/>
        <v>10</v>
      </c>
      <c r="D23" s="501">
        <f t="shared" si="26"/>
        <v>759681</v>
      </c>
      <c r="E23" s="276">
        <f t="shared" si="13"/>
        <v>850</v>
      </c>
      <c r="F23" s="276">
        <f t="shared" si="0"/>
        <v>85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133</v>
      </c>
      <c r="K23" s="276">
        <f t="shared" si="2"/>
        <v>0</v>
      </c>
      <c r="L23" s="501">
        <f t="shared" si="30"/>
        <v>390191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13912</v>
      </c>
      <c r="S23" s="276">
        <f>R23-R22</f>
        <v>0</v>
      </c>
      <c r="T23" s="501">
        <f t="shared" si="31"/>
        <v>417512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10</v>
      </c>
      <c r="AA23" s="276">
        <f t="shared" si="21"/>
        <v>850</v>
      </c>
      <c r="AB23" s="276">
        <f t="shared" si="22"/>
        <v>585</v>
      </c>
      <c r="AC23" s="276">
        <f t="shared" si="23"/>
        <v>85</v>
      </c>
      <c r="AD23" s="73">
        <f>ELEC!Q24</f>
        <v>2924.9999999992724</v>
      </c>
      <c r="AE23" s="73">
        <f t="shared" si="27"/>
        <v>292.49999999992724</v>
      </c>
      <c r="AF23" s="387">
        <f t="shared" si="28"/>
        <v>0.18281249999995453</v>
      </c>
      <c r="AG23" s="387">
        <f t="shared" si="28"/>
        <v>1.1425781249997157E-4</v>
      </c>
      <c r="AH23" s="388">
        <f t="shared" si="24"/>
        <v>84.999885742187502</v>
      </c>
      <c r="AI23" s="73">
        <f t="shared" si="29"/>
        <v>752.84810126563559</v>
      </c>
      <c r="AJ23" s="278">
        <f t="shared" si="9"/>
        <v>0.25738396624472576</v>
      </c>
      <c r="AK23" s="278">
        <f t="shared" si="10"/>
        <v>75.284810126563556</v>
      </c>
      <c r="AL23">
        <f t="shared" si="25"/>
        <v>1</v>
      </c>
    </row>
    <row r="24" spans="1:38" ht="15.75" thickBot="1">
      <c r="A24" s="4">
        <f>ELEC!C25</f>
        <v>44826</v>
      </c>
      <c r="B24" s="500">
        <v>1001</v>
      </c>
      <c r="C24" s="276">
        <f t="shared" si="12"/>
        <v>10</v>
      </c>
      <c r="D24" s="501">
        <f t="shared" si="26"/>
        <v>760531</v>
      </c>
      <c r="E24" s="276">
        <f t="shared" si="13"/>
        <v>850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133</v>
      </c>
      <c r="K24" s="276">
        <f t="shared" si="2"/>
        <v>0</v>
      </c>
      <c r="L24" s="501">
        <f t="shared" si="30"/>
        <v>390191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13912</v>
      </c>
      <c r="S24" s="276">
        <f t="shared" si="5"/>
        <v>0</v>
      </c>
      <c r="T24" s="501">
        <f t="shared" si="31"/>
        <v>417512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10</v>
      </c>
      <c r="AA24" s="276">
        <f t="shared" si="21"/>
        <v>850</v>
      </c>
      <c r="AB24" s="276">
        <f t="shared" si="22"/>
        <v>585</v>
      </c>
      <c r="AC24" s="276">
        <f t="shared" si="23"/>
        <v>85</v>
      </c>
      <c r="AD24" s="73">
        <f>ELEC!Q25</f>
        <v>2780.0000000024738</v>
      </c>
      <c r="AE24" s="73">
        <f t="shared" si="27"/>
        <v>278.00000000024738</v>
      </c>
      <c r="AF24" s="387">
        <f t="shared" si="28"/>
        <v>0.17375000000015461</v>
      </c>
      <c r="AG24" s="387">
        <f t="shared" si="28"/>
        <v>1.0859375000009664E-4</v>
      </c>
      <c r="AH24" s="388">
        <f t="shared" si="24"/>
        <v>84.999891406250001</v>
      </c>
      <c r="AI24" s="73">
        <f t="shared" si="29"/>
        <v>715.5274261609743</v>
      </c>
      <c r="AJ24" s="278">
        <f t="shared" si="9"/>
        <v>0.25738396624472576</v>
      </c>
      <c r="AK24" s="278">
        <f t="shared" si="10"/>
        <v>71.552742616097433</v>
      </c>
      <c r="AL24">
        <f t="shared" si="25"/>
        <v>1</v>
      </c>
    </row>
    <row r="25" spans="1:38" ht="15.75" thickBot="1">
      <c r="A25" s="4">
        <f>ELEC!C26</f>
        <v>44827</v>
      </c>
      <c r="B25" s="500">
        <f t="shared" si="11"/>
        <v>1001</v>
      </c>
      <c r="C25" s="276">
        <f t="shared" si="12"/>
        <v>0</v>
      </c>
      <c r="D25" s="501">
        <f t="shared" si="26"/>
        <v>760531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133</v>
      </c>
      <c r="K25" s="276">
        <f t="shared" si="2"/>
        <v>0</v>
      </c>
      <c r="L25" s="501">
        <f t="shared" si="30"/>
        <v>390191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13912</v>
      </c>
      <c r="S25" s="276">
        <f t="shared" si="5"/>
        <v>0</v>
      </c>
      <c r="T25" s="501">
        <f t="shared" si="31"/>
        <v>417512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1001</v>
      </c>
      <c r="C26" s="276">
        <f>B26-B25</f>
        <v>0</v>
      </c>
      <c r="D26" s="501">
        <f t="shared" si="26"/>
        <v>760531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133</v>
      </c>
      <c r="K26" s="276">
        <f t="shared" si="2"/>
        <v>0</v>
      </c>
      <c r="L26" s="501">
        <f t="shared" si="30"/>
        <v>390191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13912</v>
      </c>
      <c r="S26" s="276">
        <f>R26-R25</f>
        <v>0</v>
      </c>
      <c r="T26" s="501">
        <f t="shared" si="31"/>
        <v>417512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v>1012</v>
      </c>
      <c r="C27" s="276">
        <f>B27-B26</f>
        <v>11</v>
      </c>
      <c r="D27" s="501">
        <f t="shared" si="26"/>
        <v>761466</v>
      </c>
      <c r="E27" s="276">
        <f t="shared" si="13"/>
        <v>935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133</v>
      </c>
      <c r="K27" s="276">
        <f t="shared" si="2"/>
        <v>0</v>
      </c>
      <c r="L27" s="501">
        <f t="shared" si="30"/>
        <v>390191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13912</v>
      </c>
      <c r="S27" s="276">
        <f t="shared" si="5"/>
        <v>0</v>
      </c>
      <c r="T27" s="501">
        <f t="shared" si="31"/>
        <v>417512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11</v>
      </c>
      <c r="AA27" s="276">
        <f t="shared" si="21"/>
        <v>935</v>
      </c>
      <c r="AB27" s="276">
        <f t="shared" si="22"/>
        <v>585</v>
      </c>
      <c r="AC27" s="276">
        <f t="shared" si="23"/>
        <v>85</v>
      </c>
      <c r="AD27" s="73">
        <f>ELEC!Q28</f>
        <v>2784.9999999998545</v>
      </c>
      <c r="AE27" s="73">
        <f t="shared" si="27"/>
        <v>253.18181818180494</v>
      </c>
      <c r="AF27" s="387">
        <f t="shared" si="28"/>
        <v>0.15823863636362809</v>
      </c>
      <c r="AG27" s="387">
        <f t="shared" si="28"/>
        <v>9.8899147727267556E-5</v>
      </c>
      <c r="AH27" s="388">
        <f t="shared" si="24"/>
        <v>84.99990110085227</v>
      </c>
      <c r="AI27" s="73">
        <f t="shared" si="29"/>
        <v>716.81434599152374</v>
      </c>
      <c r="AJ27" s="278">
        <f t="shared" si="9"/>
        <v>0.25738396624472576</v>
      </c>
      <c r="AK27" s="278">
        <f t="shared" si="10"/>
        <v>65.164940544683972</v>
      </c>
      <c r="AL27">
        <f t="shared" si="25"/>
        <v>1</v>
      </c>
    </row>
    <row r="28" spans="1:38" ht="15.75" thickBot="1">
      <c r="A28" s="4">
        <f>ELEC!C29</f>
        <v>44830</v>
      </c>
      <c r="B28" s="500">
        <v>1022</v>
      </c>
      <c r="C28" s="276">
        <f t="shared" si="12"/>
        <v>10</v>
      </c>
      <c r="D28" s="501">
        <f t="shared" si="26"/>
        <v>762316</v>
      </c>
      <c r="E28" s="276">
        <f t="shared" si="13"/>
        <v>850</v>
      </c>
      <c r="F28" s="276">
        <f t="shared" si="0"/>
        <v>85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133</v>
      </c>
      <c r="K28" s="276">
        <f t="shared" si="2"/>
        <v>0</v>
      </c>
      <c r="L28" s="501">
        <f t="shared" si="30"/>
        <v>390191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13912</v>
      </c>
      <c r="S28" s="276">
        <f t="shared" si="5"/>
        <v>0</v>
      </c>
      <c r="T28" s="501">
        <f t="shared" si="31"/>
        <v>417512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10</v>
      </c>
      <c r="AA28" s="276">
        <f t="shared" si="21"/>
        <v>850</v>
      </c>
      <c r="AB28" s="276">
        <f t="shared" si="22"/>
        <v>585</v>
      </c>
      <c r="AC28" s="276">
        <f t="shared" si="23"/>
        <v>85</v>
      </c>
      <c r="AD28" s="73">
        <f>ELEC!Q29</f>
        <v>3081.9999999985157</v>
      </c>
      <c r="AE28" s="73">
        <f t="shared" si="27"/>
        <v>308.19999999985157</v>
      </c>
      <c r="AF28" s="387">
        <f t="shared" si="28"/>
        <v>0.19262499999990723</v>
      </c>
      <c r="AG28" s="387">
        <f t="shared" si="28"/>
        <v>1.2039062499994202E-4</v>
      </c>
      <c r="AH28" s="388">
        <f t="shared" si="24"/>
        <v>84.999879609375</v>
      </c>
      <c r="AI28" s="73">
        <f t="shared" si="29"/>
        <v>793.2573839658628</v>
      </c>
      <c r="AJ28" s="278">
        <f t="shared" si="9"/>
        <v>0.25738396624472576</v>
      </c>
      <c r="AK28" s="278">
        <f t="shared" si="10"/>
        <v>79.325738396586274</v>
      </c>
      <c r="AL28">
        <f t="shared" si="25"/>
        <v>1</v>
      </c>
    </row>
    <row r="29" spans="1:38" ht="15.75" thickBot="1">
      <c r="A29" s="4">
        <f>ELEC!C30</f>
        <v>44831</v>
      </c>
      <c r="B29" s="500">
        <v>1034</v>
      </c>
      <c r="C29" s="276">
        <f t="shared" si="12"/>
        <v>12</v>
      </c>
      <c r="D29" s="501">
        <f t="shared" si="26"/>
        <v>763336</v>
      </c>
      <c r="E29" s="276">
        <f t="shared" si="13"/>
        <v>1020</v>
      </c>
      <c r="F29" s="276">
        <f t="shared" si="0"/>
        <v>85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133</v>
      </c>
      <c r="K29" s="276">
        <f t="shared" si="2"/>
        <v>0</v>
      </c>
      <c r="L29" s="501">
        <f t="shared" si="30"/>
        <v>390191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13912</v>
      </c>
      <c r="S29" s="276">
        <f t="shared" si="5"/>
        <v>0</v>
      </c>
      <c r="T29" s="501">
        <f t="shared" si="31"/>
        <v>417512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12</v>
      </c>
      <c r="AA29" s="276">
        <f t="shared" si="21"/>
        <v>1020</v>
      </c>
      <c r="AB29" s="276">
        <f t="shared" si="22"/>
        <v>585</v>
      </c>
      <c r="AC29" s="276">
        <f t="shared" si="23"/>
        <v>85</v>
      </c>
      <c r="AD29" s="73">
        <f>ELEC!Q30</f>
        <v>3675.9999999994761</v>
      </c>
      <c r="AE29" s="73">
        <f t="shared" si="27"/>
        <v>306.33333333328966</v>
      </c>
      <c r="AF29" s="387">
        <f t="shared" si="28"/>
        <v>0.19145833333330603</v>
      </c>
      <c r="AG29" s="387">
        <f t="shared" si="28"/>
        <v>1.1966145833331626E-4</v>
      </c>
      <c r="AH29" s="388">
        <f t="shared" si="24"/>
        <v>84.999880338541672</v>
      </c>
      <c r="AI29" s="73">
        <f t="shared" si="29"/>
        <v>946.14345991547702</v>
      </c>
      <c r="AJ29" s="278">
        <f t="shared" si="9"/>
        <v>0.25738396624472576</v>
      </c>
      <c r="AK29" s="278">
        <f t="shared" si="10"/>
        <v>78.845288326289747</v>
      </c>
      <c r="AL29">
        <f t="shared" si="25"/>
        <v>1</v>
      </c>
    </row>
    <row r="30" spans="1:38" ht="15.75" thickBot="1">
      <c r="A30" s="4">
        <f>ELEC!C31</f>
        <v>44832</v>
      </c>
      <c r="B30" s="500">
        <v>1043</v>
      </c>
      <c r="C30" s="276">
        <f t="shared" si="12"/>
        <v>9</v>
      </c>
      <c r="D30" s="501">
        <f t="shared" si="26"/>
        <v>764101</v>
      </c>
      <c r="E30" s="276">
        <f t="shared" si="13"/>
        <v>765</v>
      </c>
      <c r="F30" s="276">
        <f t="shared" si="0"/>
        <v>85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133</v>
      </c>
      <c r="K30" s="276">
        <f t="shared" si="2"/>
        <v>0</v>
      </c>
      <c r="L30" s="501">
        <f t="shared" si="30"/>
        <v>390191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13912</v>
      </c>
      <c r="S30" s="276">
        <f t="shared" si="5"/>
        <v>0</v>
      </c>
      <c r="T30" s="501">
        <f t="shared" si="31"/>
        <v>417512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9</v>
      </c>
      <c r="AA30" s="276">
        <f t="shared" si="21"/>
        <v>765</v>
      </c>
      <c r="AB30" s="276">
        <f t="shared" si="22"/>
        <v>585</v>
      </c>
      <c r="AC30" s="276">
        <f t="shared" si="23"/>
        <v>85</v>
      </c>
      <c r="AD30" s="73">
        <f>ELEC!Q31</f>
        <v>2281.9999999992433</v>
      </c>
      <c r="AE30" s="73">
        <f t="shared" si="27"/>
        <v>253.55555555547147</v>
      </c>
      <c r="AF30" s="387">
        <f t="shared" si="28"/>
        <v>0.15847222222216967</v>
      </c>
      <c r="AG30" s="387">
        <f t="shared" si="28"/>
        <v>9.9045138888856048E-5</v>
      </c>
      <c r="AH30" s="388">
        <f t="shared" si="24"/>
        <v>84.999900954861104</v>
      </c>
      <c r="AI30" s="73">
        <f t="shared" si="29"/>
        <v>587.35021097026947</v>
      </c>
      <c r="AJ30" s="278">
        <f t="shared" si="9"/>
        <v>0.25738396624472576</v>
      </c>
      <c r="AK30" s="278">
        <f t="shared" si="10"/>
        <v>65.261134552252159</v>
      </c>
      <c r="AL30">
        <f t="shared" si="25"/>
        <v>1</v>
      </c>
    </row>
    <row r="31" spans="1:38" ht="15.75" thickBot="1">
      <c r="A31" s="4">
        <f>ELEC!C32</f>
        <v>44833</v>
      </c>
      <c r="B31" s="500">
        <v>1058</v>
      </c>
      <c r="C31" s="276">
        <f t="shared" ref="C31:C33" si="34">B31-B30</f>
        <v>15</v>
      </c>
      <c r="D31" s="501">
        <f t="shared" si="26"/>
        <v>765376</v>
      </c>
      <c r="E31" s="276">
        <f t="shared" si="13"/>
        <v>1275</v>
      </c>
      <c r="F31" s="276">
        <f t="shared" ref="F31:F33" si="35">IF(C31&gt;0,E31/C31,0)</f>
        <v>85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133</v>
      </c>
      <c r="K31" s="276">
        <f t="shared" si="2"/>
        <v>0</v>
      </c>
      <c r="L31" s="501">
        <f t="shared" si="30"/>
        <v>390191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13912</v>
      </c>
      <c r="S31" s="276">
        <f t="shared" ref="S31:S33" si="38">R31-R30</f>
        <v>0</v>
      </c>
      <c r="T31" s="501">
        <f t="shared" si="31"/>
        <v>417512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15</v>
      </c>
      <c r="AA31" s="276">
        <f t="shared" ref="AA31:AA33" si="41">U31+M31+E31</f>
        <v>1275</v>
      </c>
      <c r="AB31" s="276">
        <f t="shared" ref="AB31:AB33" si="42">V31+N31+F31</f>
        <v>585</v>
      </c>
      <c r="AC31" s="276">
        <f t="shared" ref="AC31:AC33" si="43">IF(Z31&gt;0,AA31/Z31,0)</f>
        <v>85</v>
      </c>
      <c r="AD31" s="73">
        <f>ELEC!Q32</f>
        <v>3508.0000000016298</v>
      </c>
      <c r="AE31" s="73">
        <f t="shared" ref="AE31:AE33" si="44">SUM(AD31/Z31)</f>
        <v>233.86666666677533</v>
      </c>
      <c r="AF31" s="387">
        <f t="shared" ref="AF31:AF33" si="45">SUM(AE31/1600)</f>
        <v>0.14616666666673458</v>
      </c>
      <c r="AG31" s="387">
        <f t="shared" ref="AG31:AG33" si="46">SUM(AF31/1600)</f>
        <v>9.1354166666709113E-5</v>
      </c>
      <c r="AH31" s="475">
        <f t="shared" ref="AH31:AH33" si="47">SUM(AC31-AG31)</f>
        <v>84.99990864583333</v>
      </c>
      <c r="AI31" s="73">
        <f t="shared" ref="AI31:AI33" si="48">AD31*AJ31</f>
        <v>902.90295358691742</v>
      </c>
      <c r="AJ31" s="278">
        <f t="shared" si="9"/>
        <v>0.25738396624472576</v>
      </c>
      <c r="AK31" s="278">
        <f t="shared" ref="AK31:AK33" si="49">AI31/Z31</f>
        <v>60.193530239127831</v>
      </c>
      <c r="AL31">
        <f t="shared" ref="AL31:AL33" si="50">IF(Z31=0,0,1)</f>
        <v>1</v>
      </c>
    </row>
    <row r="32" spans="1:38" ht="15.75" thickBot="1">
      <c r="A32" s="4">
        <f>ELEC!C33</f>
        <v>44834</v>
      </c>
      <c r="B32" s="500">
        <f t="shared" si="11"/>
        <v>1058</v>
      </c>
      <c r="C32" s="276">
        <f t="shared" si="34"/>
        <v>0</v>
      </c>
      <c r="D32" s="501">
        <f t="shared" si="26"/>
        <v>765376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133</v>
      </c>
      <c r="K32" s="276">
        <f t="shared" si="2"/>
        <v>0</v>
      </c>
      <c r="L32" s="501">
        <f t="shared" si="30"/>
        <v>390191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13912</v>
      </c>
      <c r="S32" s="276">
        <f t="shared" si="38"/>
        <v>0</v>
      </c>
      <c r="T32" s="501">
        <f t="shared" si="31"/>
        <v>417512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1058</v>
      </c>
      <c r="C33" s="276">
        <f t="shared" si="34"/>
        <v>0</v>
      </c>
      <c r="D33" s="501">
        <f t="shared" si="26"/>
        <v>765376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133</v>
      </c>
      <c r="K33" s="276">
        <f t="shared" si="2"/>
        <v>0</v>
      </c>
      <c r="L33" s="501">
        <f t="shared" si="30"/>
        <v>390191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13912</v>
      </c>
      <c r="S33" s="276">
        <f t="shared" si="38"/>
        <v>0</v>
      </c>
      <c r="T33" s="501">
        <f t="shared" si="31"/>
        <v>417512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233</v>
      </c>
      <c r="V34" s="40"/>
      <c r="X34">
        <v>341</v>
      </c>
      <c r="Z34" s="404">
        <f>SUM(Z3:Z33)</f>
        <v>233</v>
      </c>
      <c r="AF34" s="387">
        <f>SUM(AE34/1600)</f>
        <v>0</v>
      </c>
      <c r="AL34">
        <f>SUM(AL3:AL33)</f>
        <v>22</v>
      </c>
    </row>
    <row r="35" spans="1:38">
      <c r="C35" s="40">
        <f>SUM(C3:C33)</f>
        <v>221</v>
      </c>
      <c r="K35" s="40">
        <f>SUM(K3:K33)</f>
        <v>8</v>
      </c>
      <c r="S35" s="40">
        <f>SUM(S3:S33)</f>
        <v>4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Z1" activePane="topRight" state="frozen"/>
      <selection pane="topRight" activeCell="A30" sqref="A30:XFD30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2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-1415.0483870967728</v>
      </c>
      <c r="AT6" s="340"/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-1390.0483870967728</v>
      </c>
      <c r="AY6" s="37">
        <f>SUM(AX6+AW6)</f>
        <v>-1415.0483870967728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-115.83736559139773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20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975.22784810143821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193</v>
      </c>
      <c r="AA13" s="203">
        <f t="shared" si="30"/>
        <v>1930</v>
      </c>
      <c r="AB13" s="203">
        <f t="shared" si="31"/>
        <v>193</v>
      </c>
      <c r="AC13" s="203">
        <f t="shared" si="30"/>
        <v>1930</v>
      </c>
      <c r="AD13" s="203">
        <f t="shared" si="32"/>
        <v>193</v>
      </c>
      <c r="AE13" s="203">
        <f t="shared" si="11"/>
        <v>1930</v>
      </c>
      <c r="AF13" s="203">
        <f t="shared" si="33"/>
        <v>193</v>
      </c>
      <c r="AG13" s="203">
        <f t="shared" si="12"/>
        <v>1930</v>
      </c>
      <c r="AH13" s="203">
        <f t="shared" si="34"/>
        <v>193</v>
      </c>
      <c r="AI13" s="203">
        <f t="shared" si="13"/>
        <v>1930</v>
      </c>
      <c r="AJ13" s="203">
        <f t="shared" si="35"/>
        <v>193</v>
      </c>
      <c r="AK13" s="203">
        <f t="shared" si="14"/>
        <v>1930</v>
      </c>
      <c r="AL13" s="203">
        <f t="shared" si="36"/>
        <v>193</v>
      </c>
      <c r="AM13" s="203">
        <f t="shared" si="15"/>
        <v>1930</v>
      </c>
      <c r="AN13" s="35">
        <f t="shared" si="16"/>
        <v>0.68928571428571428</v>
      </c>
      <c r="AO13" s="36">
        <f t="shared" si="39"/>
        <v>13510</v>
      </c>
      <c r="AP13" s="523"/>
      <c r="AQ13" s="223">
        <f t="shared" si="40"/>
        <v>0.62136901601973582</v>
      </c>
      <c r="AR13" s="38">
        <f>Y13+AO13</f>
        <v>57768.677419354841</v>
      </c>
      <c r="AS13" s="197">
        <f>SUM(AR13-AR12-AT13)</f>
        <v>-990.03225806450064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-990.03225806450064</v>
      </c>
      <c r="AY13" s="37">
        <f t="shared" si="37"/>
        <v>-990.03225806450064</v>
      </c>
      <c r="AZ13" s="100">
        <f>ELEC!A11</f>
        <v>0</v>
      </c>
      <c r="BA13" s="118">
        <f>'General information '!D12</f>
        <v>29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-198.00645161290012</v>
      </c>
      <c r="BK13" s="536">
        <f>GEN!AF10</f>
        <v>0.21528409090912895</v>
      </c>
    </row>
    <row r="14" spans="1:63">
      <c r="A14" s="425">
        <f>ELEC!C12</f>
        <v>44813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193</v>
      </c>
      <c r="AA14" s="203">
        <f t="shared" si="30"/>
        <v>1930</v>
      </c>
      <c r="AB14" s="203">
        <f t="shared" si="31"/>
        <v>193</v>
      </c>
      <c r="AC14" s="203">
        <f t="shared" si="30"/>
        <v>1930</v>
      </c>
      <c r="AD14" s="203">
        <f t="shared" si="32"/>
        <v>193</v>
      </c>
      <c r="AE14" s="203">
        <f t="shared" si="11"/>
        <v>1930</v>
      </c>
      <c r="AF14" s="203">
        <f t="shared" si="33"/>
        <v>193</v>
      </c>
      <c r="AG14" s="203">
        <f t="shared" si="12"/>
        <v>1930</v>
      </c>
      <c r="AH14" s="203">
        <f t="shared" si="34"/>
        <v>193</v>
      </c>
      <c r="AI14" s="203">
        <f t="shared" si="13"/>
        <v>1930</v>
      </c>
      <c r="AJ14" s="203">
        <f t="shared" si="35"/>
        <v>193</v>
      </c>
      <c r="AK14" s="203">
        <f t="shared" si="14"/>
        <v>1930</v>
      </c>
      <c r="AL14" s="203">
        <f t="shared" si="36"/>
        <v>193</v>
      </c>
      <c r="AM14" s="203">
        <f t="shared" si="15"/>
        <v>1930</v>
      </c>
      <c r="AN14" s="35">
        <f t="shared" si="16"/>
        <v>0.68928571428571428</v>
      </c>
      <c r="AO14" s="36">
        <f t="shared" si="39"/>
        <v>13510</v>
      </c>
      <c r="AQ14" s="223">
        <f t="shared" si="40"/>
        <v>0.62136901601973582</v>
      </c>
      <c r="AR14" s="38">
        <f t="shared" si="41"/>
        <v>57768.677419354841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>
        <f>GEN!AF11</f>
        <v>0</v>
      </c>
    </row>
    <row r="15" spans="1:63" ht="13.5" customHeight="1">
      <c r="A15" s="425">
        <f>ELEC!C13</f>
        <v>44814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193</v>
      </c>
      <c r="AA15" s="203">
        <f t="shared" si="30"/>
        <v>1930</v>
      </c>
      <c r="AB15" s="203">
        <f t="shared" si="31"/>
        <v>193</v>
      </c>
      <c r="AC15" s="203">
        <f t="shared" si="30"/>
        <v>1930</v>
      </c>
      <c r="AD15" s="203">
        <f t="shared" si="32"/>
        <v>193</v>
      </c>
      <c r="AE15" s="203">
        <f t="shared" si="11"/>
        <v>1930</v>
      </c>
      <c r="AF15" s="203">
        <f t="shared" si="33"/>
        <v>193</v>
      </c>
      <c r="AG15" s="203">
        <f t="shared" si="12"/>
        <v>1930</v>
      </c>
      <c r="AH15" s="203">
        <f t="shared" si="34"/>
        <v>193</v>
      </c>
      <c r="AI15" s="203">
        <f t="shared" si="13"/>
        <v>1930</v>
      </c>
      <c r="AJ15" s="203">
        <f t="shared" si="35"/>
        <v>193</v>
      </c>
      <c r="AK15" s="203">
        <f t="shared" si="14"/>
        <v>1930</v>
      </c>
      <c r="AL15" s="203">
        <f t="shared" si="36"/>
        <v>193</v>
      </c>
      <c r="AM15" s="203">
        <f t="shared" si="15"/>
        <v>1930</v>
      </c>
      <c r="AN15" s="35">
        <f t="shared" si="16"/>
        <v>0.68928571428571428</v>
      </c>
      <c r="AO15" s="36">
        <f t="shared" si="39"/>
        <v>13510</v>
      </c>
      <c r="AQ15" s="223">
        <f t="shared" si="40"/>
        <v>0.62136901601973582</v>
      </c>
      <c r="AR15" s="38">
        <f t="shared" si="41"/>
        <v>57768.677419354841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1105.9789029532419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182.5</v>
      </c>
      <c r="C16" s="203">
        <f t="shared" si="18"/>
        <v>3926.6935483870966</v>
      </c>
      <c r="D16">
        <f t="shared" si="19"/>
        <v>182.5</v>
      </c>
      <c r="E16" s="203">
        <f t="shared" si="18"/>
        <v>3926.6935483870966</v>
      </c>
      <c r="F16">
        <f t="shared" si="20"/>
        <v>182.5</v>
      </c>
      <c r="G16" s="203">
        <f t="shared" si="1"/>
        <v>3926.6935483870966</v>
      </c>
      <c r="H16" s="203">
        <f t="shared" si="21"/>
        <v>182.5</v>
      </c>
      <c r="I16" s="203">
        <f t="shared" si="2"/>
        <v>3926.6935483870966</v>
      </c>
      <c r="J16" s="203">
        <f t="shared" si="22"/>
        <v>182.5</v>
      </c>
      <c r="K16" s="203">
        <f t="shared" si="3"/>
        <v>3926.6935483870966</v>
      </c>
      <c r="L16" s="203">
        <f t="shared" si="23"/>
        <v>182.5</v>
      </c>
      <c r="M16" s="203">
        <f t="shared" si="4"/>
        <v>3926.6935483870966</v>
      </c>
      <c r="N16" s="203">
        <f t="shared" si="24"/>
        <v>182.5</v>
      </c>
      <c r="O16" s="203">
        <f t="shared" si="5"/>
        <v>3926.6935483870966</v>
      </c>
      <c r="P16" s="203">
        <f t="shared" si="25"/>
        <v>182.5</v>
      </c>
      <c r="Q16" s="203">
        <f t="shared" si="6"/>
        <v>3926.6935483870966</v>
      </c>
      <c r="R16" s="203">
        <f t="shared" si="26"/>
        <v>182.5</v>
      </c>
      <c r="S16" s="203">
        <f t="shared" si="7"/>
        <v>3926.6935483870966</v>
      </c>
      <c r="T16" s="203">
        <f t="shared" si="27"/>
        <v>182.5</v>
      </c>
      <c r="U16" s="203">
        <f t="shared" si="8"/>
        <v>3926.6935483870966</v>
      </c>
      <c r="V16" s="203">
        <f t="shared" si="28"/>
        <v>182.5</v>
      </c>
      <c r="W16" s="203">
        <f t="shared" si="9"/>
        <v>3926.6935483870966</v>
      </c>
      <c r="X16" s="35">
        <f t="shared" si="10"/>
        <v>0.58870967741935498</v>
      </c>
      <c r="Y16" s="36">
        <f t="shared" si="29"/>
        <v>43193.629032258075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39"/>
        <v>13230</v>
      </c>
      <c r="AQ16" s="223">
        <f t="shared" si="40"/>
        <v>0.60690146318444738</v>
      </c>
      <c r="AR16" s="38">
        <f>Y16+AO16</f>
        <v>56423.629032258075</v>
      </c>
      <c r="AS16" s="197">
        <f>SUM(AR16-AR15-AT16)</f>
        <v>-1345.0483870967655</v>
      </c>
      <c r="AT16" s="340"/>
      <c r="AU16" s="546"/>
      <c r="AV16" s="485">
        <f t="shared" ref="AV16:AV21" si="45">IF(AT16&gt;0,AU16,AV15)</f>
        <v>1.111</v>
      </c>
      <c r="AW16" s="279">
        <f>-SUM('B5'!AI15)</f>
        <v>-217</v>
      </c>
      <c r="AX16" s="279">
        <f t="shared" si="17"/>
        <v>-1128.0483870967655</v>
      </c>
      <c r="AY16" s="37">
        <f t="shared" si="37"/>
        <v>-1345.0483870967655</v>
      </c>
      <c r="AZ16" s="100">
        <f>ELEC!A14</f>
        <v>0</v>
      </c>
      <c r="BA16" s="118">
        <f>'General information '!D15</f>
        <v>27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838.04219409314169</v>
      </c>
      <c r="BF16" s="14"/>
      <c r="BG16" s="14" t="e">
        <f>#REF!-BE16</f>
        <v>#REF!</v>
      </c>
      <c r="BH16" s="11"/>
      <c r="BI16">
        <v>3</v>
      </c>
      <c r="BJ16">
        <f t="shared" si="38"/>
        <v>-376.01612903225515</v>
      </c>
      <c r="BK16" s="536">
        <f>GEN!AF13</f>
        <v>0.24414772727265122</v>
      </c>
    </row>
    <row r="17" spans="1:64">
      <c r="A17" s="425">
        <f>ELEC!C15</f>
        <v>44816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0.77310787038482764</v>
      </c>
      <c r="AR17" s="38">
        <f t="shared" si="41"/>
        <v>71875.838709677424</v>
      </c>
      <c r="AS17" s="197">
        <f t="shared" si="42"/>
        <v>1089.2096774193487</v>
      </c>
      <c r="AT17" s="610">
        <v>14363</v>
      </c>
      <c r="AU17" s="3">
        <v>1.0629999999999999</v>
      </c>
      <c r="AV17" s="485">
        <f t="shared" si="45"/>
        <v>1.0629999999999999</v>
      </c>
      <c r="AW17" s="279">
        <f>-SUM('B5'!AI16)</f>
        <v>-8</v>
      </c>
      <c r="AX17" s="279">
        <f t="shared" si="17"/>
        <v>1097.2096774193487</v>
      </c>
      <c r="AY17" s="37">
        <f t="shared" si="37"/>
        <v>1089.2096774193487</v>
      </c>
      <c r="AZ17" s="100">
        <f>ELEC!A15</f>
        <v>0</v>
      </c>
      <c r="BA17" s="118">
        <f>'General information '!D16</f>
        <v>27</v>
      </c>
      <c r="BB17" s="378">
        <f>SUM('General information '!E16)</f>
        <v>0.67</v>
      </c>
      <c r="BC17" s="3">
        <f t="shared" si="44"/>
        <v>1</v>
      </c>
      <c r="BD17" s="102">
        <v>19222</v>
      </c>
      <c r="BE17" s="14">
        <f>(305/1185)*ELEC!Q16</f>
        <v>770.86497890269152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274.30241935483718</v>
      </c>
      <c r="BK17" s="536">
        <f>GEN!AF14</f>
        <v>0.18500000000006944</v>
      </c>
    </row>
    <row r="18" spans="1:64">
      <c r="A18" s="425">
        <f>ELEC!C16</f>
        <v>44817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236</v>
      </c>
      <c r="AA18" s="203">
        <f t="shared" si="30"/>
        <v>2360</v>
      </c>
      <c r="AB18" s="203">
        <f t="shared" si="31"/>
        <v>236</v>
      </c>
      <c r="AC18" s="203">
        <f t="shared" si="30"/>
        <v>2360</v>
      </c>
      <c r="AD18" s="203">
        <f t="shared" si="32"/>
        <v>236</v>
      </c>
      <c r="AE18" s="203">
        <f t="shared" si="11"/>
        <v>2360</v>
      </c>
      <c r="AF18" s="203">
        <f t="shared" si="33"/>
        <v>236</v>
      </c>
      <c r="AG18" s="203">
        <f t="shared" si="12"/>
        <v>2360</v>
      </c>
      <c r="AH18" s="203">
        <f t="shared" si="34"/>
        <v>236</v>
      </c>
      <c r="AI18" s="203">
        <f t="shared" si="13"/>
        <v>2360</v>
      </c>
      <c r="AJ18" s="203">
        <f t="shared" si="35"/>
        <v>236</v>
      </c>
      <c r="AK18" s="203">
        <f t="shared" si="14"/>
        <v>2360</v>
      </c>
      <c r="AL18" s="203">
        <f t="shared" si="36"/>
        <v>236</v>
      </c>
      <c r="AM18" s="203">
        <f t="shared" si="15"/>
        <v>2360</v>
      </c>
      <c r="AN18" s="35">
        <f t="shared" si="16"/>
        <v>0.84285714285714286</v>
      </c>
      <c r="AO18" s="36">
        <f t="shared" si="39"/>
        <v>16520</v>
      </c>
      <c r="AQ18" s="223">
        <f t="shared" si="40"/>
        <v>0.76066611844958665</v>
      </c>
      <c r="AR18" s="38">
        <f t="shared" si="41"/>
        <v>70719.129032258075</v>
      </c>
      <c r="AS18" s="197">
        <f>SUM(AR18-AR17-AT18)</f>
        <v>-1156.7096774193487</v>
      </c>
      <c r="AT18" s="340"/>
      <c r="AU18" s="546"/>
      <c r="AV18" s="485">
        <f t="shared" si="45"/>
        <v>1.0629999999999999</v>
      </c>
      <c r="AW18" s="279">
        <f>-SUM('B5'!AI17)</f>
        <v>-187</v>
      </c>
      <c r="AX18" s="279">
        <f t="shared" si="17"/>
        <v>-969.70967741934874</v>
      </c>
      <c r="AY18" s="37">
        <f t="shared" si="37"/>
        <v>-1156.7096774193487</v>
      </c>
      <c r="AZ18" s="100">
        <f>ELEC!A16</f>
        <v>0</v>
      </c>
      <c r="BA18" s="118">
        <f>'General information '!D17</f>
        <v>26</v>
      </c>
      <c r="BB18" s="378">
        <f>SUM('General information '!E17)</f>
        <v>0.56999999999999995</v>
      </c>
      <c r="BC18" s="3">
        <f t="shared" si="44"/>
        <v>0</v>
      </c>
      <c r="BD18" s="102">
        <v>19222</v>
      </c>
      <c r="BE18" s="14">
        <f>(305/1185)*ELEC!Q17</f>
        <v>813.07594936699877</v>
      </c>
      <c r="BF18" s="14"/>
      <c r="BG18" s="14" t="e">
        <f>#REF!-BE18</f>
        <v>#REF!</v>
      </c>
      <c r="BH18" s="11"/>
      <c r="BI18">
        <v>5</v>
      </c>
      <c r="BJ18">
        <f t="shared" si="46"/>
        <v>-193.94193548386974</v>
      </c>
      <c r="BK18" s="536"/>
    </row>
    <row r="19" spans="1:64">
      <c r="A19" s="425">
        <f>ELEC!C17</f>
        <v>44818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si="42"/>
        <v>-990.03225806451519</v>
      </c>
      <c r="AT19" s="340"/>
      <c r="AU19" s="546"/>
      <c r="AV19" s="485">
        <f t="shared" si="45"/>
        <v>1.0629999999999999</v>
      </c>
      <c r="AW19" s="279">
        <f>-SUM('B5'!AI18)</f>
        <v>-81</v>
      </c>
      <c r="AX19" s="279">
        <f t="shared" si="17"/>
        <v>-909.03225806451519</v>
      </c>
      <c r="AY19" s="37">
        <f t="shared" si="37"/>
        <v>-990.03225806451519</v>
      </c>
      <c r="AZ19" s="100">
        <f>ELEC!A17</f>
        <v>0</v>
      </c>
      <c r="BA19" s="118">
        <f>'General information '!D18</f>
        <v>28</v>
      </c>
      <c r="BB19" s="378">
        <f>SUM('General information '!E18)</f>
        <v>0.57999999999999996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-151.50537634408587</v>
      </c>
      <c r="BK19" s="536"/>
    </row>
    <row r="20" spans="1:64">
      <c r="A20" s="425">
        <f>ELEC!C18</f>
        <v>44819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229</v>
      </c>
      <c r="AA20" s="203">
        <f t="shared" si="30"/>
        <v>2290</v>
      </c>
      <c r="AB20" s="203">
        <f t="shared" si="31"/>
        <v>229</v>
      </c>
      <c r="AC20" s="203">
        <f t="shared" si="30"/>
        <v>2290</v>
      </c>
      <c r="AD20" s="203">
        <f t="shared" si="32"/>
        <v>229</v>
      </c>
      <c r="AE20" s="203">
        <f t="shared" si="11"/>
        <v>2290</v>
      </c>
      <c r="AF20" s="203">
        <f t="shared" si="33"/>
        <v>229</v>
      </c>
      <c r="AG20" s="203">
        <f t="shared" si="12"/>
        <v>2290</v>
      </c>
      <c r="AH20" s="203">
        <f t="shared" si="34"/>
        <v>229</v>
      </c>
      <c r="AI20" s="203">
        <f t="shared" si="13"/>
        <v>2290</v>
      </c>
      <c r="AJ20" s="203">
        <f t="shared" si="35"/>
        <v>229</v>
      </c>
      <c r="AK20" s="203">
        <f t="shared" si="14"/>
        <v>2290</v>
      </c>
      <c r="AL20" s="203">
        <f t="shared" si="36"/>
        <v>229</v>
      </c>
      <c r="AM20" s="203">
        <f t="shared" si="15"/>
        <v>2290</v>
      </c>
      <c r="AN20" s="35">
        <f t="shared" si="16"/>
        <v>0.81785714285714284</v>
      </c>
      <c r="AO20" s="36">
        <f t="shared" si="39"/>
        <v>16030</v>
      </c>
      <c r="AQ20" s="223">
        <f t="shared" si="40"/>
        <v>0.74012116291415542</v>
      </c>
      <c r="AR20" s="38">
        <f t="shared" si="41"/>
        <v>68809.06451612903</v>
      </c>
      <c r="AS20" s="197">
        <f t="shared" si="42"/>
        <v>-920.03225806452974</v>
      </c>
      <c r="AT20" s="340"/>
      <c r="AU20" s="546"/>
      <c r="AV20" s="485">
        <f t="shared" si="45"/>
        <v>1.0629999999999999</v>
      </c>
      <c r="AW20" s="279">
        <f>-SUM('B5'!AI19)</f>
        <v>0</v>
      </c>
      <c r="AX20" s="279">
        <f>-SUM(AW20-AS20)</f>
        <v>-920.03225806452974</v>
      </c>
      <c r="AY20" s="37">
        <f t="shared" si="37"/>
        <v>-920.03225806452974</v>
      </c>
      <c r="AZ20" s="100">
        <f>ELEC!A18</f>
        <v>0</v>
      </c>
      <c r="BA20" s="118">
        <f>'General information '!D19</f>
        <v>27</v>
      </c>
      <c r="BB20" s="378">
        <f>SUM('General information '!E19)</f>
        <v>0.56999999999999995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-131.43317972350425</v>
      </c>
      <c r="BK20" s="536">
        <f>GEN!AF17</f>
        <v>0</v>
      </c>
      <c r="BL20" s="203"/>
    </row>
    <row r="21" spans="1:64">
      <c r="A21" s="425">
        <f>ELEC!C19</f>
        <v>44820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229</v>
      </c>
      <c r="AA21" s="203">
        <f t="shared" si="30"/>
        <v>2290</v>
      </c>
      <c r="AB21" s="203">
        <f t="shared" si="31"/>
        <v>229</v>
      </c>
      <c r="AC21" s="203">
        <f t="shared" si="30"/>
        <v>2290</v>
      </c>
      <c r="AD21" s="203">
        <f t="shared" si="32"/>
        <v>229</v>
      </c>
      <c r="AE21" s="203">
        <f t="shared" si="11"/>
        <v>2290</v>
      </c>
      <c r="AF21" s="203">
        <f t="shared" si="33"/>
        <v>229</v>
      </c>
      <c r="AG21" s="203">
        <f t="shared" si="12"/>
        <v>2290</v>
      </c>
      <c r="AH21" s="203">
        <f t="shared" si="34"/>
        <v>229</v>
      </c>
      <c r="AI21" s="203">
        <f t="shared" si="13"/>
        <v>2290</v>
      </c>
      <c r="AJ21" s="203">
        <f t="shared" si="35"/>
        <v>229</v>
      </c>
      <c r="AK21" s="203">
        <f t="shared" si="14"/>
        <v>2290</v>
      </c>
      <c r="AL21" s="203">
        <f t="shared" si="36"/>
        <v>229</v>
      </c>
      <c r="AM21" s="203">
        <f t="shared" si="15"/>
        <v>2290</v>
      </c>
      <c r="AN21" s="35">
        <f t="shared" si="16"/>
        <v>0.81785714285714284</v>
      </c>
      <c r="AO21" s="36">
        <f t="shared" si="39"/>
        <v>16030</v>
      </c>
      <c r="AQ21" s="223">
        <f t="shared" si="40"/>
        <v>0.74012116291415542</v>
      </c>
      <c r="AR21" s="38">
        <f t="shared" si="41"/>
        <v>68809.06451612903</v>
      </c>
      <c r="AS21" s="197">
        <f>SUM(AR21-AR20-AT21)</f>
        <v>0</v>
      </c>
      <c r="AT21" s="340"/>
      <c r="AU21" s="546"/>
      <c r="AV21" s="485">
        <f t="shared" si="45"/>
        <v>1.0629999999999999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229</v>
      </c>
      <c r="AA22" s="203">
        <f t="shared" si="30"/>
        <v>2290</v>
      </c>
      <c r="AB22" s="203">
        <f t="shared" si="31"/>
        <v>229</v>
      </c>
      <c r="AC22" s="203">
        <f t="shared" si="30"/>
        <v>2290</v>
      </c>
      <c r="AD22" s="203">
        <f t="shared" si="32"/>
        <v>229</v>
      </c>
      <c r="AE22" s="203">
        <f t="shared" si="11"/>
        <v>2290</v>
      </c>
      <c r="AF22" s="203">
        <f t="shared" si="33"/>
        <v>229</v>
      </c>
      <c r="AG22" s="203">
        <f t="shared" si="12"/>
        <v>2290</v>
      </c>
      <c r="AH22" s="203">
        <f t="shared" si="34"/>
        <v>229</v>
      </c>
      <c r="AI22" s="203">
        <f t="shared" si="13"/>
        <v>2290</v>
      </c>
      <c r="AJ22" s="203">
        <f t="shared" si="35"/>
        <v>229</v>
      </c>
      <c r="AK22" s="203">
        <f t="shared" si="14"/>
        <v>2290</v>
      </c>
      <c r="AL22" s="203">
        <f t="shared" si="36"/>
        <v>229</v>
      </c>
      <c r="AM22" s="203">
        <f t="shared" si="15"/>
        <v>2290</v>
      </c>
      <c r="AN22" s="35">
        <f t="shared" si="16"/>
        <v>0.81785714285714284</v>
      </c>
      <c r="AO22" s="36">
        <f t="shared" si="39"/>
        <v>16030</v>
      </c>
      <c r="AQ22" s="223">
        <f t="shared" si="40"/>
        <v>0.74012116291415542</v>
      </c>
      <c r="AR22" s="38">
        <f t="shared" si="41"/>
        <v>68809.06451612903</v>
      </c>
      <c r="AS22" s="197">
        <f t="shared" ref="AS22:AS32" si="47">SUM(AR22-AR21-AT22)</f>
        <v>0</v>
      </c>
      <c r="AT22" s="340"/>
      <c r="AU22" s="546"/>
      <c r="AV22" s="485">
        <f t="shared" si="43"/>
        <v>1.0629999999999999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1586.0000000000675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239</v>
      </c>
      <c r="C23" s="203">
        <f t="shared" si="18"/>
        <v>5142.3548387096771</v>
      </c>
      <c r="D23">
        <f t="shared" si="19"/>
        <v>239</v>
      </c>
      <c r="E23" s="203">
        <f t="shared" si="18"/>
        <v>5142.3548387096771</v>
      </c>
      <c r="F23">
        <f t="shared" si="20"/>
        <v>239</v>
      </c>
      <c r="G23" s="203">
        <f t="shared" si="1"/>
        <v>5142.3548387096771</v>
      </c>
      <c r="H23" s="203">
        <f t="shared" si="21"/>
        <v>239</v>
      </c>
      <c r="I23" s="203">
        <f t="shared" si="2"/>
        <v>5142.3548387096771</v>
      </c>
      <c r="J23" s="203">
        <f t="shared" si="22"/>
        <v>239</v>
      </c>
      <c r="K23" s="203">
        <f t="shared" si="3"/>
        <v>5142.3548387096771</v>
      </c>
      <c r="L23" s="203">
        <f t="shared" si="23"/>
        <v>239</v>
      </c>
      <c r="M23" s="203">
        <f t="shared" si="4"/>
        <v>5142.3548387096771</v>
      </c>
      <c r="N23" s="203">
        <f t="shared" si="24"/>
        <v>239</v>
      </c>
      <c r="O23" s="203">
        <f t="shared" si="5"/>
        <v>5142.3548387096771</v>
      </c>
      <c r="P23" s="203">
        <f t="shared" si="25"/>
        <v>239</v>
      </c>
      <c r="Q23" s="203">
        <f t="shared" si="6"/>
        <v>5142.3548387096771</v>
      </c>
      <c r="R23" s="203">
        <f t="shared" si="26"/>
        <v>239</v>
      </c>
      <c r="S23" s="203">
        <f t="shared" si="7"/>
        <v>5142.3548387096771</v>
      </c>
      <c r="T23" s="203">
        <f t="shared" si="27"/>
        <v>239</v>
      </c>
      <c r="U23" s="203">
        <f t="shared" si="8"/>
        <v>5142.3548387096771</v>
      </c>
      <c r="V23" s="203">
        <f t="shared" si="28"/>
        <v>239</v>
      </c>
      <c r="W23" s="203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0.79289989486723067</v>
      </c>
      <c r="AR23" s="38">
        <f t="shared" si="41"/>
        <v>73715.90322580644</v>
      </c>
      <c r="AS23" s="197">
        <f t="shared" si="47"/>
        <v>-123.1612903225905</v>
      </c>
      <c r="AT23" s="340">
        <v>5030</v>
      </c>
      <c r="AU23" s="546">
        <v>1.01</v>
      </c>
      <c r="AV23" s="485">
        <f t="shared" si="43"/>
        <v>1.01</v>
      </c>
      <c r="AW23" s="279">
        <f>-SUM('B5'!AI22)</f>
        <v>-113</v>
      </c>
      <c r="AX23" s="279">
        <f t="shared" si="17"/>
        <v>-10.161290322590503</v>
      </c>
      <c r="AY23" s="37">
        <f t="shared" si="37"/>
        <v>-123.1612903225905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0.7</v>
      </c>
      <c r="BC23" s="3">
        <f t="shared" si="44"/>
        <v>1</v>
      </c>
      <c r="BD23" s="102">
        <v>19222</v>
      </c>
      <c r="BE23" s="14">
        <f>(305/1185)*ELEC!Q22</f>
        <v>727.881856540429</v>
      </c>
      <c r="BF23" s="14"/>
      <c r="BG23" s="14" t="e">
        <f>#REF!-BE23</f>
        <v>#REF!</v>
      </c>
      <c r="BH23" s="11"/>
      <c r="BI23">
        <v>10</v>
      </c>
      <c r="BJ23">
        <f t="shared" si="46"/>
        <v>-1.0161290322590504</v>
      </c>
      <c r="BK23" s="536">
        <f>GEN!AF20</f>
        <v>0.32093750000001364</v>
      </c>
    </row>
    <row r="24" spans="1:64">
      <c r="A24" s="425">
        <f>ELEC!C22</f>
        <v>44823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0.77970521187896191</v>
      </c>
      <c r="AR24" s="38">
        <f t="shared" si="41"/>
        <v>72489.193548387091</v>
      </c>
      <c r="AS24" s="197">
        <f t="shared" si="47"/>
        <v>-1226.7096774193487</v>
      </c>
      <c r="AT24" s="340"/>
      <c r="AU24" s="546"/>
      <c r="AV24" s="485">
        <f t="shared" si="43"/>
        <v>1.01</v>
      </c>
      <c r="AW24" s="279">
        <f>-SUM('B5'!AI23)</f>
        <v>-113</v>
      </c>
      <c r="AX24" s="279">
        <f t="shared" si="17"/>
        <v>-1113.7096774193487</v>
      </c>
      <c r="AY24" s="37">
        <f t="shared" si="37"/>
        <v>-1226.7096774193487</v>
      </c>
      <c r="AZ24" s="100">
        <f>ELEC!A22</f>
        <v>0</v>
      </c>
      <c r="BA24" s="118">
        <f>'General information '!D23</f>
        <v>26</v>
      </c>
      <c r="BB24" s="378">
        <f>SUM('General information '!E23)</f>
        <v>0.6</v>
      </c>
      <c r="BC24" s="3">
        <f t="shared" si="44"/>
        <v>0</v>
      </c>
      <c r="BD24" s="102">
        <v>19222</v>
      </c>
      <c r="BE24" s="14">
        <f>(305/1185)*ELEC!Q23</f>
        <v>990.92827004181959</v>
      </c>
      <c r="BF24" s="14"/>
      <c r="BG24" s="14" t="e">
        <f>#REF!-BE24</f>
        <v>#REF!</v>
      </c>
      <c r="BH24" s="11"/>
      <c r="BI24">
        <v>11</v>
      </c>
      <c r="BJ24">
        <f t="shared" si="46"/>
        <v>-101.24633431084989</v>
      </c>
      <c r="BK24" s="536">
        <f>GEN!AF21</f>
        <v>0.17675000000008367</v>
      </c>
    </row>
    <row r="25" spans="1:64">
      <c r="A25" s="425">
        <f>ELEC!C23</f>
        <v>44824</v>
      </c>
      <c r="B25">
        <f>'B5'!B24</f>
        <v>231</v>
      </c>
      <c r="C25" s="203">
        <f t="shared" si="18"/>
        <v>4970.2258064516127</v>
      </c>
      <c r="D25">
        <f t="shared" si="19"/>
        <v>231</v>
      </c>
      <c r="E25" s="203">
        <f t="shared" si="18"/>
        <v>4970.2258064516127</v>
      </c>
      <c r="F25">
        <f t="shared" si="20"/>
        <v>231</v>
      </c>
      <c r="G25" s="203">
        <f t="shared" si="1"/>
        <v>4970.2258064516127</v>
      </c>
      <c r="H25" s="203">
        <f t="shared" si="21"/>
        <v>231</v>
      </c>
      <c r="I25" s="203">
        <f t="shared" si="2"/>
        <v>4970.2258064516127</v>
      </c>
      <c r="J25" s="203">
        <f t="shared" si="22"/>
        <v>231</v>
      </c>
      <c r="K25" s="203">
        <f t="shared" si="3"/>
        <v>4970.2258064516127</v>
      </c>
      <c r="L25" s="203">
        <f t="shared" si="23"/>
        <v>231</v>
      </c>
      <c r="M25" s="203">
        <f t="shared" si="4"/>
        <v>4970.2258064516127</v>
      </c>
      <c r="N25" s="203">
        <f t="shared" si="24"/>
        <v>231</v>
      </c>
      <c r="O25" s="203">
        <f t="shared" si="5"/>
        <v>4970.2258064516127</v>
      </c>
      <c r="P25" s="203">
        <f t="shared" si="25"/>
        <v>231</v>
      </c>
      <c r="Q25" s="203">
        <f t="shared" si="6"/>
        <v>4970.2258064516127</v>
      </c>
      <c r="R25" s="203">
        <f t="shared" si="26"/>
        <v>231</v>
      </c>
      <c r="S25" s="203">
        <f t="shared" si="7"/>
        <v>4970.2258064516127</v>
      </c>
      <c r="T25" s="203">
        <f t="shared" si="27"/>
        <v>231</v>
      </c>
      <c r="U25" s="203">
        <f t="shared" si="8"/>
        <v>4970.2258064516127</v>
      </c>
      <c r="V25" s="203">
        <f t="shared" si="28"/>
        <v>231</v>
      </c>
      <c r="W25" s="203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0.76651052889069315</v>
      </c>
      <c r="AR25" s="38">
        <f t="shared" si="41"/>
        <v>71262.483870967742</v>
      </c>
      <c r="AS25" s="197">
        <f t="shared" si="47"/>
        <v>-1226.7096774193487</v>
      </c>
      <c r="AT25" s="340"/>
      <c r="AU25" s="547"/>
      <c r="AV25" s="485">
        <f t="shared" si="43"/>
        <v>1.01</v>
      </c>
      <c r="AW25" s="279">
        <f>-SUM('B5'!AI24)</f>
        <v>-31</v>
      </c>
      <c r="AX25" s="279">
        <f t="shared" si="17"/>
        <v>-1195.7096774193487</v>
      </c>
      <c r="AY25" s="37">
        <f t="shared" si="37"/>
        <v>-1226.7096774193487</v>
      </c>
      <c r="AZ25" s="100">
        <f>ELEC!A23</f>
        <v>0</v>
      </c>
      <c r="BA25" s="118">
        <f>'General information '!D24</f>
        <v>25.5</v>
      </c>
      <c r="BB25" s="378">
        <f>SUM('General information '!E24)</f>
        <v>0.53</v>
      </c>
      <c r="BC25" s="3">
        <f t="shared" si="44"/>
        <v>0</v>
      </c>
      <c r="BD25" s="102">
        <v>19222</v>
      </c>
      <c r="BE25" s="14">
        <f>(305/1185)*ELEC!Q24</f>
        <v>752.84810126563559</v>
      </c>
      <c r="BF25" s="14"/>
      <c r="BG25" s="14" t="e">
        <f>#REF!-BE25</f>
        <v>#REF!</v>
      </c>
      <c r="BH25" s="11"/>
      <c r="BI25">
        <v>12</v>
      </c>
      <c r="BJ25">
        <f t="shared" si="46"/>
        <v>-99.642473118279057</v>
      </c>
      <c r="BK25" s="536"/>
    </row>
    <row r="26" spans="1:64">
      <c r="A26" s="425">
        <f>ELEC!C24</f>
        <v>44825</v>
      </c>
      <c r="B26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39"/>
        <v>16310</v>
      </c>
      <c r="AQ26" s="223">
        <f t="shared" si="40"/>
        <v>0.7533158459024244</v>
      </c>
      <c r="AR26" s="38">
        <f t="shared" si="41"/>
        <v>70035.774193548394</v>
      </c>
      <c r="AS26" s="197">
        <f t="shared" si="47"/>
        <v>-1226.7096774193487</v>
      </c>
      <c r="AT26" s="340"/>
      <c r="AU26" s="546"/>
      <c r="AV26" s="485">
        <f t="shared" si="43"/>
        <v>1.01</v>
      </c>
      <c r="AW26" s="279">
        <f>-SUM('B5'!AI25)</f>
        <v>-119</v>
      </c>
      <c r="AX26" s="279">
        <f t="shared" si="17"/>
        <v>-1107.7096774193487</v>
      </c>
      <c r="AY26" s="37">
        <f t="shared" si="37"/>
        <v>-1226.7096774193487</v>
      </c>
      <c r="AZ26" s="100">
        <f>ELEC!A24</f>
        <v>0</v>
      </c>
      <c r="BA26" s="118">
        <f>'General information '!D25</f>
        <v>26</v>
      </c>
      <c r="BB26" s="378">
        <f>SUM('General information '!E25)</f>
        <v>0.51</v>
      </c>
      <c r="BC26" s="3">
        <f t="shared" si="44"/>
        <v>0</v>
      </c>
      <c r="BD26" s="102">
        <v>19222</v>
      </c>
      <c r="BE26" s="14">
        <f>(305/1185)*ELEC!Q25</f>
        <v>715.5274261609743</v>
      </c>
      <c r="BF26" s="14"/>
      <c r="BG26" s="14" t="e">
        <f>#REF!-BE26</f>
        <v>#REF!</v>
      </c>
      <c r="BH26" s="11"/>
      <c r="BI26">
        <v>13</v>
      </c>
      <c r="BJ26">
        <f t="shared" si="46"/>
        <v>-85.208436724565289</v>
      </c>
      <c r="BK26" s="536"/>
    </row>
    <row r="27" spans="1:64">
      <c r="A27" s="425">
        <f>ELEC!C25</f>
        <v>44826</v>
      </c>
      <c r="B27">
        <f>'B5'!B26</f>
        <v>246</v>
      </c>
      <c r="C27" s="203">
        <f t="shared" si="18"/>
        <v>5292.9677419354839</v>
      </c>
      <c r="D27">
        <f t="shared" si="19"/>
        <v>246</v>
      </c>
      <c r="E27" s="203">
        <f t="shared" si="18"/>
        <v>5292.9677419354839</v>
      </c>
      <c r="F27">
        <f t="shared" si="20"/>
        <v>246</v>
      </c>
      <c r="G27" s="203">
        <f t="shared" si="1"/>
        <v>5292.9677419354839</v>
      </c>
      <c r="H27" s="203">
        <f t="shared" si="21"/>
        <v>246</v>
      </c>
      <c r="I27" s="203">
        <f t="shared" si="2"/>
        <v>5292.9677419354839</v>
      </c>
      <c r="J27" s="203">
        <f t="shared" si="22"/>
        <v>246</v>
      </c>
      <c r="K27" s="203">
        <f t="shared" si="3"/>
        <v>5292.9677419354839</v>
      </c>
      <c r="L27" s="203">
        <f t="shared" si="23"/>
        <v>246</v>
      </c>
      <c r="M27" s="203">
        <f t="shared" si="4"/>
        <v>5292.9677419354839</v>
      </c>
      <c r="N27" s="203">
        <f t="shared" si="24"/>
        <v>246</v>
      </c>
      <c r="O27" s="203">
        <f t="shared" si="5"/>
        <v>5292.9677419354839</v>
      </c>
      <c r="P27" s="203">
        <f t="shared" si="25"/>
        <v>246</v>
      </c>
      <c r="Q27" s="203">
        <f t="shared" si="6"/>
        <v>5292.9677419354839</v>
      </c>
      <c r="R27" s="203">
        <f t="shared" si="26"/>
        <v>246</v>
      </c>
      <c r="S27" s="203">
        <f t="shared" si="7"/>
        <v>5292.9677419354839</v>
      </c>
      <c r="T27" s="203">
        <f t="shared" si="27"/>
        <v>246</v>
      </c>
      <c r="U27" s="203">
        <f t="shared" si="8"/>
        <v>5292.9677419354839</v>
      </c>
      <c r="V27" s="203">
        <f t="shared" si="28"/>
        <v>246</v>
      </c>
      <c r="W27" s="203">
        <f t="shared" si="9"/>
        <v>5292.9677419354839</v>
      </c>
      <c r="X27" s="35">
        <f t="shared" si="10"/>
        <v>0.79354838709677422</v>
      </c>
      <c r="Y27" s="36">
        <f t="shared" si="29"/>
        <v>58222.645161290326</v>
      </c>
      <c r="Z27" s="203">
        <f>'B5'!C26</f>
        <v>251</v>
      </c>
      <c r="AA27" s="203">
        <f t="shared" si="30"/>
        <v>2510</v>
      </c>
      <c r="AB27" s="203">
        <f t="shared" si="31"/>
        <v>251</v>
      </c>
      <c r="AC27" s="203">
        <f t="shared" si="30"/>
        <v>2510</v>
      </c>
      <c r="AD27" s="203">
        <f t="shared" si="32"/>
        <v>251</v>
      </c>
      <c r="AE27" s="203">
        <f t="shared" si="11"/>
        <v>2510</v>
      </c>
      <c r="AF27" s="203">
        <f t="shared" si="33"/>
        <v>251</v>
      </c>
      <c r="AG27" s="203">
        <f t="shared" si="12"/>
        <v>2510</v>
      </c>
      <c r="AH27" s="203">
        <f t="shared" si="34"/>
        <v>251</v>
      </c>
      <c r="AI27" s="203">
        <f t="shared" si="13"/>
        <v>2510</v>
      </c>
      <c r="AJ27" s="203">
        <f t="shared" si="35"/>
        <v>251</v>
      </c>
      <c r="AK27" s="203">
        <f t="shared" si="14"/>
        <v>2510</v>
      </c>
      <c r="AL27" s="203">
        <f t="shared" si="36"/>
        <v>251</v>
      </c>
      <c r="AM27" s="203">
        <f t="shared" si="15"/>
        <v>2510</v>
      </c>
      <c r="AN27" s="35">
        <f t="shared" si="16"/>
        <v>0.89642857142857146</v>
      </c>
      <c r="AO27" s="36">
        <f t="shared" si="39"/>
        <v>17570</v>
      </c>
      <c r="AQ27" s="223">
        <f t="shared" si="40"/>
        <v>0.81523765904367362</v>
      </c>
      <c r="AR27" s="38">
        <f t="shared" si="41"/>
        <v>75792.645161290333</v>
      </c>
      <c r="AS27" s="197">
        <f t="shared" si="47"/>
        <v>630.87096774193924</v>
      </c>
      <c r="AT27" s="340">
        <v>5126</v>
      </c>
      <c r="AU27" s="546">
        <v>1.03</v>
      </c>
      <c r="AV27" s="485">
        <v>0</v>
      </c>
      <c r="AW27" s="279">
        <f>-SUM('B5'!AI26)</f>
        <v>-101</v>
      </c>
      <c r="AX27" s="279">
        <f t="shared" si="17"/>
        <v>731.87096774193924</v>
      </c>
      <c r="AY27" s="37">
        <f t="shared" si="37"/>
        <v>630.87096774193924</v>
      </c>
      <c r="AZ27" s="100">
        <f>ELEC!A25</f>
        <v>0</v>
      </c>
      <c r="BA27" s="118">
        <f>'General information '!D26</f>
        <v>26</v>
      </c>
      <c r="BB27" s="378">
        <f>SUM('General information '!E26)</f>
        <v>0.52</v>
      </c>
      <c r="BC27" s="3">
        <f t="shared" si="44"/>
        <v>1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52.276497695852804</v>
      </c>
      <c r="BK27" s="536">
        <f>GEN!AF24</f>
        <v>0.17375000000015461</v>
      </c>
    </row>
    <row r="28" spans="1:64">
      <c r="A28" s="425">
        <f>ELEC!C26</f>
        <v>44827</v>
      </c>
      <c r="B28">
        <f>'B5'!B27</f>
        <v>246</v>
      </c>
      <c r="C28" s="203">
        <f t="shared" si="18"/>
        <v>5292.9677419354839</v>
      </c>
      <c r="D28">
        <f t="shared" si="19"/>
        <v>246</v>
      </c>
      <c r="E28" s="203">
        <f t="shared" si="18"/>
        <v>5292.9677419354839</v>
      </c>
      <c r="F28">
        <f t="shared" si="20"/>
        <v>246</v>
      </c>
      <c r="G28" s="203">
        <f t="shared" si="1"/>
        <v>5292.9677419354839</v>
      </c>
      <c r="H28" s="203">
        <f t="shared" si="21"/>
        <v>246</v>
      </c>
      <c r="I28" s="203">
        <f t="shared" si="2"/>
        <v>5292.9677419354839</v>
      </c>
      <c r="J28" s="203">
        <f t="shared" si="22"/>
        <v>246</v>
      </c>
      <c r="K28" s="203">
        <f t="shared" si="3"/>
        <v>5292.9677419354839</v>
      </c>
      <c r="L28" s="203">
        <f t="shared" si="23"/>
        <v>246</v>
      </c>
      <c r="M28" s="203">
        <f t="shared" si="4"/>
        <v>5292.9677419354839</v>
      </c>
      <c r="N28" s="203">
        <f t="shared" si="24"/>
        <v>246</v>
      </c>
      <c r="O28" s="203">
        <f t="shared" si="5"/>
        <v>5292.9677419354839</v>
      </c>
      <c r="P28" s="203">
        <f t="shared" si="25"/>
        <v>246</v>
      </c>
      <c r="Q28" s="203">
        <f t="shared" si="6"/>
        <v>5292.9677419354839</v>
      </c>
      <c r="R28" s="203">
        <f t="shared" si="26"/>
        <v>246</v>
      </c>
      <c r="S28" s="203">
        <f t="shared" si="7"/>
        <v>5292.9677419354839</v>
      </c>
      <c r="T28" s="203">
        <f t="shared" si="27"/>
        <v>246</v>
      </c>
      <c r="U28" s="203">
        <f t="shared" si="8"/>
        <v>5292.9677419354839</v>
      </c>
      <c r="V28" s="203">
        <f t="shared" si="28"/>
        <v>246</v>
      </c>
      <c r="W28" s="203">
        <f t="shared" si="9"/>
        <v>5292.9677419354839</v>
      </c>
      <c r="X28" s="35">
        <f t="shared" si="10"/>
        <v>0.79354838709677422</v>
      </c>
      <c r="Y28" s="36">
        <f t="shared" si="29"/>
        <v>58222.645161290326</v>
      </c>
      <c r="Z28" s="203">
        <f>'B5'!C27</f>
        <v>251</v>
      </c>
      <c r="AA28" s="203">
        <f t="shared" si="30"/>
        <v>2510</v>
      </c>
      <c r="AB28" s="203">
        <f t="shared" si="31"/>
        <v>251</v>
      </c>
      <c r="AC28" s="203">
        <f t="shared" si="30"/>
        <v>2510</v>
      </c>
      <c r="AD28" s="203">
        <f t="shared" si="32"/>
        <v>251</v>
      </c>
      <c r="AE28" s="203">
        <f t="shared" si="11"/>
        <v>2510</v>
      </c>
      <c r="AF28" s="203">
        <f t="shared" si="33"/>
        <v>251</v>
      </c>
      <c r="AG28" s="203">
        <f t="shared" si="12"/>
        <v>2510</v>
      </c>
      <c r="AH28" s="203">
        <f t="shared" si="34"/>
        <v>251</v>
      </c>
      <c r="AI28" s="203">
        <f t="shared" si="13"/>
        <v>2510</v>
      </c>
      <c r="AJ28" s="203">
        <f t="shared" si="35"/>
        <v>251</v>
      </c>
      <c r="AK28" s="203">
        <f t="shared" si="14"/>
        <v>2510</v>
      </c>
      <c r="AL28" s="203">
        <f t="shared" si="36"/>
        <v>251</v>
      </c>
      <c r="AM28" s="203">
        <f t="shared" si="15"/>
        <v>2510</v>
      </c>
      <c r="AN28" s="35">
        <f t="shared" si="16"/>
        <v>0.89642857142857146</v>
      </c>
      <c r="AO28" s="36">
        <f t="shared" si="39"/>
        <v>17570</v>
      </c>
      <c r="AQ28" s="223">
        <f t="shared" si="40"/>
        <v>0.81523765904367362</v>
      </c>
      <c r="AR28" s="38">
        <f t="shared" si="41"/>
        <v>75792.645161290333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246</v>
      </c>
      <c r="C29" s="203">
        <f t="shared" si="18"/>
        <v>5292.9677419354839</v>
      </c>
      <c r="D29">
        <f t="shared" si="19"/>
        <v>246</v>
      </c>
      <c r="E29" s="203">
        <f t="shared" si="18"/>
        <v>5292.9677419354839</v>
      </c>
      <c r="F29">
        <f t="shared" si="20"/>
        <v>246</v>
      </c>
      <c r="G29" s="203">
        <f t="shared" si="1"/>
        <v>5292.9677419354839</v>
      </c>
      <c r="H29" s="203">
        <f t="shared" si="21"/>
        <v>246</v>
      </c>
      <c r="I29" s="203">
        <f t="shared" si="2"/>
        <v>5292.9677419354839</v>
      </c>
      <c r="J29" s="203">
        <f t="shared" si="22"/>
        <v>246</v>
      </c>
      <c r="K29" s="203">
        <f t="shared" si="3"/>
        <v>5292.9677419354839</v>
      </c>
      <c r="L29" s="203">
        <f t="shared" si="23"/>
        <v>246</v>
      </c>
      <c r="M29" s="203">
        <f t="shared" si="4"/>
        <v>5292.9677419354839</v>
      </c>
      <c r="N29" s="203">
        <f t="shared" si="24"/>
        <v>246</v>
      </c>
      <c r="O29" s="203">
        <f t="shared" si="5"/>
        <v>5292.9677419354839</v>
      </c>
      <c r="P29" s="203">
        <f t="shared" si="25"/>
        <v>246</v>
      </c>
      <c r="Q29" s="203">
        <f t="shared" si="6"/>
        <v>5292.9677419354839</v>
      </c>
      <c r="R29" s="203">
        <f t="shared" si="26"/>
        <v>246</v>
      </c>
      <c r="S29" s="203">
        <f t="shared" si="7"/>
        <v>5292.9677419354839</v>
      </c>
      <c r="T29" s="203">
        <f t="shared" si="27"/>
        <v>246</v>
      </c>
      <c r="U29" s="203">
        <f t="shared" si="8"/>
        <v>5292.9677419354839</v>
      </c>
      <c r="V29" s="203">
        <f t="shared" si="28"/>
        <v>246</v>
      </c>
      <c r="W29" s="203">
        <f t="shared" si="9"/>
        <v>5292.9677419354839</v>
      </c>
      <c r="X29" s="35">
        <f t="shared" si="10"/>
        <v>0.79354838709677422</v>
      </c>
      <c r="Y29" s="36">
        <f t="shared" si="29"/>
        <v>58222.645161290326</v>
      </c>
      <c r="Z29" s="203">
        <f>'B5'!C28</f>
        <v>251</v>
      </c>
      <c r="AA29" s="203">
        <f t="shared" si="30"/>
        <v>2510</v>
      </c>
      <c r="AB29" s="203">
        <f t="shared" si="31"/>
        <v>251</v>
      </c>
      <c r="AC29" s="203">
        <f t="shared" si="30"/>
        <v>2510</v>
      </c>
      <c r="AD29" s="203">
        <f t="shared" si="32"/>
        <v>251</v>
      </c>
      <c r="AE29" s="203">
        <f t="shared" si="11"/>
        <v>2510</v>
      </c>
      <c r="AF29" s="203">
        <f t="shared" si="33"/>
        <v>251</v>
      </c>
      <c r="AG29" s="203">
        <f t="shared" si="12"/>
        <v>2510</v>
      </c>
      <c r="AH29" s="203">
        <f t="shared" si="34"/>
        <v>251</v>
      </c>
      <c r="AI29" s="203">
        <f t="shared" si="13"/>
        <v>2510</v>
      </c>
      <c r="AJ29" s="203">
        <f t="shared" si="35"/>
        <v>251</v>
      </c>
      <c r="AK29" s="203">
        <f t="shared" si="14"/>
        <v>2510</v>
      </c>
      <c r="AL29" s="203">
        <f t="shared" si="36"/>
        <v>251</v>
      </c>
      <c r="AM29" s="203">
        <f t="shared" si="15"/>
        <v>2510</v>
      </c>
      <c r="AN29" s="35">
        <f t="shared" si="16"/>
        <v>0.89642857142857146</v>
      </c>
      <c r="AO29" s="36">
        <f t="shared" si="39"/>
        <v>17570</v>
      </c>
      <c r="AQ29" s="223">
        <f t="shared" si="40"/>
        <v>0.81523765904367362</v>
      </c>
      <c r="AR29" s="38">
        <f t="shared" si="41"/>
        <v>75792.645161290333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716.81434599152374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240</v>
      </c>
      <c r="C30" s="203">
        <f t="shared" si="18"/>
        <v>5163.8709677419356</v>
      </c>
      <c r="D30">
        <f>SUM(B30)</f>
        <v>240</v>
      </c>
      <c r="E30" s="203">
        <f t="shared" si="18"/>
        <v>5163.8709677419356</v>
      </c>
      <c r="F30">
        <f>SUM(D30)</f>
        <v>240</v>
      </c>
      <c r="G30" s="203">
        <f t="shared" si="1"/>
        <v>5163.8709677419356</v>
      </c>
      <c r="H30" s="203">
        <f>SUM(F30)</f>
        <v>240</v>
      </c>
      <c r="I30" s="203">
        <f t="shared" si="2"/>
        <v>5163.8709677419356</v>
      </c>
      <c r="J30" s="203">
        <f>SUM(H30)</f>
        <v>240</v>
      </c>
      <c r="K30" s="203">
        <f t="shared" si="3"/>
        <v>5163.8709677419356</v>
      </c>
      <c r="L30" s="203">
        <f>SUM(J30)</f>
        <v>240</v>
      </c>
      <c r="M30" s="203">
        <f t="shared" si="4"/>
        <v>5163.8709677419356</v>
      </c>
      <c r="N30" s="203">
        <f>SUM(L30)</f>
        <v>240</v>
      </c>
      <c r="O30" s="203">
        <f t="shared" si="5"/>
        <v>5163.8709677419356</v>
      </c>
      <c r="P30" s="203">
        <f>SUM(N30)</f>
        <v>240</v>
      </c>
      <c r="Q30" s="203">
        <f t="shared" si="6"/>
        <v>5163.8709677419356</v>
      </c>
      <c r="R30" s="203">
        <f>SUM(P30)</f>
        <v>240</v>
      </c>
      <c r="S30" s="203">
        <f t="shared" si="7"/>
        <v>5163.8709677419356</v>
      </c>
      <c r="T30" s="203">
        <f>SUM(R30)</f>
        <v>240</v>
      </c>
      <c r="U30" s="203">
        <f t="shared" si="8"/>
        <v>5163.8709677419356</v>
      </c>
      <c r="V30" s="203">
        <f>SUM(T30)</f>
        <v>240</v>
      </c>
      <c r="W30" s="203">
        <f t="shared" si="9"/>
        <v>5163.8709677419356</v>
      </c>
      <c r="X30" s="35">
        <f>SUM(Y30/73370)</f>
        <v>0.77419354838709697</v>
      </c>
      <c r="Y30" s="36">
        <f>SUM(C30+E30+G30+I30+K30+M30+O30+Q30+S30+U30+W30)</f>
        <v>56802.580645161303</v>
      </c>
      <c r="Z30" s="203">
        <f>'B5'!C29</f>
        <v>247</v>
      </c>
      <c r="AA30" s="203">
        <f t="shared" si="30"/>
        <v>2470</v>
      </c>
      <c r="AB30" s="203">
        <f>SUM(Z30)</f>
        <v>247</v>
      </c>
      <c r="AC30" s="203">
        <f t="shared" si="30"/>
        <v>2470</v>
      </c>
      <c r="AD30" s="203">
        <f>SUM(AB30)</f>
        <v>247</v>
      </c>
      <c r="AE30" s="203">
        <f t="shared" si="11"/>
        <v>2470</v>
      </c>
      <c r="AF30" s="203">
        <f>SUM(AD30)</f>
        <v>247</v>
      </c>
      <c r="AG30" s="203">
        <f t="shared" si="12"/>
        <v>2470</v>
      </c>
      <c r="AH30" s="203">
        <f>SUM(AF30)</f>
        <v>247</v>
      </c>
      <c r="AI30" s="203">
        <f t="shared" si="13"/>
        <v>2470</v>
      </c>
      <c r="AJ30" s="203">
        <f>SUM(AH30)</f>
        <v>247</v>
      </c>
      <c r="AK30" s="203">
        <f t="shared" si="14"/>
        <v>2470</v>
      </c>
      <c r="AL30" s="203">
        <f>SUM(AJ30)</f>
        <v>247</v>
      </c>
      <c r="AM30" s="203">
        <f t="shared" si="15"/>
        <v>2470</v>
      </c>
      <c r="AN30" s="35">
        <f>SUM(AO30/19600)</f>
        <v>0.88214285714285712</v>
      </c>
      <c r="AO30" s="36">
        <f>SUM(AA30+AC30+AE30+AG30+AI30+AK30+AM30)</f>
        <v>17290</v>
      </c>
      <c r="AQ30" s="223">
        <f t="shared" si="40"/>
        <v>0.79695149666732601</v>
      </c>
      <c r="AR30" s="38">
        <f t="shared" si="41"/>
        <v>74092.580645161303</v>
      </c>
      <c r="AS30" s="197">
        <f>SUM(AR30-AR29-AT30)</f>
        <v>-1700.0645161290304</v>
      </c>
      <c r="AT30" s="340"/>
      <c r="AU30" s="547"/>
      <c r="AV30" s="485">
        <f t="shared" si="43"/>
        <v>0</v>
      </c>
      <c r="AW30" s="279">
        <f>-SUM('B5'!AI29)</f>
        <v>-197</v>
      </c>
      <c r="AX30" s="279">
        <f t="shared" si="17"/>
        <v>-1503.0645161290304</v>
      </c>
      <c r="AY30" s="37">
        <f t="shared" si="37"/>
        <v>-1700.0645161290304</v>
      </c>
      <c r="AZ30" s="100">
        <f>ELEC!A28</f>
        <v>0</v>
      </c>
      <c r="BA30" s="118">
        <f>'General information '!D29</f>
        <v>27.5</v>
      </c>
      <c r="BB30" s="378">
        <f>SUM('General information '!E29)</f>
        <v>0.49</v>
      </c>
      <c r="BC30" s="3">
        <f t="shared" si="44"/>
        <v>0</v>
      </c>
      <c r="BD30" s="102">
        <v>19222</v>
      </c>
      <c r="BE30" s="14">
        <f>(305/1185)*ELEC!Q29</f>
        <v>793.2573839658628</v>
      </c>
      <c r="BF30" s="14"/>
      <c r="BG30" s="14" t="e">
        <f>#REF!-BE30</f>
        <v>#REF!</v>
      </c>
      <c r="BH30" s="11"/>
      <c r="BI30">
        <v>17</v>
      </c>
      <c r="BJ30">
        <f t="shared" si="46"/>
        <v>-88.415559772295907</v>
      </c>
      <c r="BK30" s="536">
        <f>GEN!AF27</f>
        <v>0.15823863636362809</v>
      </c>
    </row>
    <row r="31" spans="1:64">
      <c r="A31" s="425">
        <f>ELEC!C29</f>
        <v>44830</v>
      </c>
      <c r="B31">
        <f>'B5'!B30</f>
        <v>236</v>
      </c>
      <c r="C31" s="203">
        <f t="shared" si="18"/>
        <v>5077.8064516129034</v>
      </c>
      <c r="D31">
        <f>SUM(B31)</f>
        <v>236</v>
      </c>
      <c r="E31" s="203">
        <f t="shared" si="18"/>
        <v>5077.8064516129034</v>
      </c>
      <c r="F31">
        <f>SUM(D31)</f>
        <v>236</v>
      </c>
      <c r="G31" s="203">
        <f t="shared" si="1"/>
        <v>5077.8064516129034</v>
      </c>
      <c r="H31" s="203">
        <f>SUM(F31)</f>
        <v>236</v>
      </c>
      <c r="I31" s="203">
        <f t="shared" si="2"/>
        <v>5077.8064516129034</v>
      </c>
      <c r="J31" s="203">
        <f>SUM(H31)</f>
        <v>236</v>
      </c>
      <c r="K31" s="203">
        <f t="shared" si="3"/>
        <v>5077.8064516129034</v>
      </c>
      <c r="L31" s="203">
        <f>SUM(J31)</f>
        <v>236</v>
      </c>
      <c r="M31" s="203">
        <f t="shared" si="4"/>
        <v>5077.8064516129034</v>
      </c>
      <c r="N31" s="203">
        <f>SUM(L31)</f>
        <v>236</v>
      </c>
      <c r="O31" s="203">
        <f t="shared" si="5"/>
        <v>5077.8064516129034</v>
      </c>
      <c r="P31" s="203">
        <f>SUM(N31)</f>
        <v>236</v>
      </c>
      <c r="Q31" s="203">
        <f t="shared" si="6"/>
        <v>5077.8064516129034</v>
      </c>
      <c r="R31" s="203">
        <f>SUM(P31)</f>
        <v>236</v>
      </c>
      <c r="S31" s="203">
        <f t="shared" si="7"/>
        <v>5077.8064516129034</v>
      </c>
      <c r="T31" s="203">
        <f>SUM(R31)</f>
        <v>236</v>
      </c>
      <c r="U31" s="203">
        <f t="shared" si="8"/>
        <v>5077.8064516129034</v>
      </c>
      <c r="V31" s="203">
        <f>SUM(T31)</f>
        <v>236</v>
      </c>
      <c r="W31" s="203">
        <f t="shared" si="9"/>
        <v>5077.8064516129034</v>
      </c>
      <c r="X31" s="35">
        <f>SUM(Y31/73370)</f>
        <v>0.761290322580645</v>
      </c>
      <c r="Y31" s="36">
        <f>SUM(C31+E31+G31+I31+K31+M31+O31+Q31+S31+U31+W31)</f>
        <v>55855.870967741925</v>
      </c>
      <c r="Z31" s="203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0"/>
        <v>0.78375681367905692</v>
      </c>
      <c r="AR31" s="38">
        <f t="shared" si="41"/>
        <v>72865.870967741925</v>
      </c>
      <c r="AS31" s="197">
        <f t="shared" si="47"/>
        <v>-1226.7096774193778</v>
      </c>
      <c r="AT31" s="340"/>
      <c r="AU31" s="547"/>
      <c r="AV31" s="485">
        <f t="shared" si="43"/>
        <v>0</v>
      </c>
      <c r="AW31" s="279">
        <f>-SUM('B5'!AI30)</f>
        <v>-59</v>
      </c>
      <c r="AX31" s="279">
        <f t="shared" si="17"/>
        <v>-1167.7096774193778</v>
      </c>
      <c r="AY31" s="37">
        <f t="shared" si="37"/>
        <v>-1226.7096774193778</v>
      </c>
      <c r="AZ31" s="100">
        <f>ELEC!A29</f>
        <v>0</v>
      </c>
      <c r="BA31" s="118">
        <f>'General information '!D30</f>
        <v>26.5</v>
      </c>
      <c r="BB31" s="378">
        <f>SUM('General information '!E30)</f>
        <v>0.48</v>
      </c>
      <c r="BC31" s="3">
        <f t="shared" si="44"/>
        <v>0</v>
      </c>
      <c r="BD31" s="102">
        <v>19222</v>
      </c>
      <c r="BE31" s="14">
        <f>(305/1185)*ELEC!Q30</f>
        <v>946.14345991547702</v>
      </c>
      <c r="BF31" s="14"/>
      <c r="BG31" s="14" t="e">
        <f>#REF!-BE31</f>
        <v>#REF!</v>
      </c>
      <c r="BH31" s="11"/>
      <c r="BI31">
        <v>18</v>
      </c>
      <c r="BJ31">
        <f t="shared" si="46"/>
        <v>-64.872759856632101</v>
      </c>
      <c r="BK31" s="536">
        <f>GEN!AF28</f>
        <v>0.19262499999990723</v>
      </c>
    </row>
    <row r="32" spans="1:64">
      <c r="A32" s="425">
        <f>ELEC!C30</f>
        <v>44831</v>
      </c>
      <c r="B32">
        <f>'B5'!B31</f>
        <v>233</v>
      </c>
      <c r="C32" s="203">
        <f t="shared" si="18"/>
        <v>5013.2580645161288</v>
      </c>
      <c r="D32">
        <f>SUM(B32)</f>
        <v>233</v>
      </c>
      <c r="E32" s="203">
        <f t="shared" si="18"/>
        <v>5013.2580645161288</v>
      </c>
      <c r="F32">
        <f>SUM(D32)</f>
        <v>233</v>
      </c>
      <c r="G32" s="203">
        <f t="shared" si="1"/>
        <v>5013.2580645161288</v>
      </c>
      <c r="H32" s="203">
        <f>SUM(F32)</f>
        <v>233</v>
      </c>
      <c r="I32" s="203">
        <f t="shared" si="2"/>
        <v>5013.2580645161288</v>
      </c>
      <c r="J32" s="203">
        <f>SUM(H32)</f>
        <v>233</v>
      </c>
      <c r="K32" s="203">
        <f t="shared" si="3"/>
        <v>5013.2580645161288</v>
      </c>
      <c r="L32" s="203">
        <f>SUM(J32)</f>
        <v>233</v>
      </c>
      <c r="M32" s="203">
        <f t="shared" si="4"/>
        <v>5013.2580645161288</v>
      </c>
      <c r="N32" s="203">
        <f>SUM(L32)</f>
        <v>233</v>
      </c>
      <c r="O32" s="203">
        <f t="shared" si="5"/>
        <v>5013.2580645161288</v>
      </c>
      <c r="P32" s="203">
        <f>SUM(N32)</f>
        <v>233</v>
      </c>
      <c r="Q32" s="203">
        <f t="shared" si="6"/>
        <v>5013.2580645161288</v>
      </c>
      <c r="R32" s="203">
        <f>SUM(P32)</f>
        <v>233</v>
      </c>
      <c r="S32" s="203">
        <f t="shared" si="7"/>
        <v>5013.2580645161288</v>
      </c>
      <c r="T32" s="203">
        <f>SUM(R32)</f>
        <v>233</v>
      </c>
      <c r="U32" s="203">
        <f t="shared" si="8"/>
        <v>5013.2580645161288</v>
      </c>
      <c r="V32" s="203">
        <f>SUM(T32)</f>
        <v>233</v>
      </c>
      <c r="W32" s="203">
        <f t="shared" si="9"/>
        <v>5013.2580645161288</v>
      </c>
      <c r="X32" s="35">
        <f>SUM(Y32/73370)</f>
        <v>0.75161290322580643</v>
      </c>
      <c r="Y32" s="36">
        <f>SUM(C32+E32+G32+I32+K32+M32+O32+Q32+S32+U32+W32)</f>
        <v>55145.838709677417</v>
      </c>
      <c r="Z32" s="203">
        <f>'B5'!C31</f>
        <v>239</v>
      </c>
      <c r="AA32" s="203">
        <f t="shared" si="30"/>
        <v>2390</v>
      </c>
      <c r="AB32" s="203">
        <f>SUM(Z32)</f>
        <v>239</v>
      </c>
      <c r="AC32" s="203">
        <f t="shared" si="30"/>
        <v>2390</v>
      </c>
      <c r="AD32" s="203">
        <f>SUM(AB32)</f>
        <v>239</v>
      </c>
      <c r="AE32" s="203">
        <f t="shared" si="11"/>
        <v>2390</v>
      </c>
      <c r="AF32" s="203">
        <f>SUM(AD32)</f>
        <v>239</v>
      </c>
      <c r="AG32" s="203">
        <f t="shared" si="12"/>
        <v>2390</v>
      </c>
      <c r="AH32" s="203">
        <f>SUM(AF32)</f>
        <v>239</v>
      </c>
      <c r="AI32" s="203">
        <f t="shared" si="13"/>
        <v>2390</v>
      </c>
      <c r="AJ32" s="203">
        <f>SUM(AH32)</f>
        <v>239</v>
      </c>
      <c r="AK32" s="203">
        <f t="shared" si="14"/>
        <v>2390</v>
      </c>
      <c r="AL32" s="203">
        <f>SUM(AJ32)</f>
        <v>239</v>
      </c>
      <c r="AM32" s="203">
        <f t="shared" si="15"/>
        <v>2390</v>
      </c>
      <c r="AN32" s="35">
        <f>SUM(AO32/19600)</f>
        <v>0.85357142857142854</v>
      </c>
      <c r="AO32" s="36">
        <f>SUM(AA32+AC32+AE32+AG32+AI32+AK32+AM32)</f>
        <v>16730</v>
      </c>
      <c r="AQ32" s="223">
        <f t="shared" si="40"/>
        <v>0.77310787038482764</v>
      </c>
      <c r="AR32" s="38">
        <f t="shared" si="41"/>
        <v>71875.838709677424</v>
      </c>
      <c r="AS32" s="197">
        <f t="shared" si="47"/>
        <v>-990.03225806450064</v>
      </c>
      <c r="AT32" s="340"/>
      <c r="AU32" s="546"/>
      <c r="AV32" s="485">
        <f>IF(AT32&gt;0,AU32,AV31)</f>
        <v>0</v>
      </c>
      <c r="AW32" s="279">
        <f>-SUM('B5'!AI31)</f>
        <v>-109</v>
      </c>
      <c r="AX32" s="279">
        <f t="shared" si="17"/>
        <v>-881.03225806450064</v>
      </c>
      <c r="AY32" s="37">
        <f t="shared" si="37"/>
        <v>-990.03225806450064</v>
      </c>
      <c r="AZ32" s="100">
        <f>ELEC!A30</f>
        <v>0</v>
      </c>
      <c r="BA32" s="118">
        <f>'General information '!D31</f>
        <v>26</v>
      </c>
      <c r="BB32" s="378">
        <f>SUM('General information '!E31)</f>
        <v>0.55000000000000004</v>
      </c>
      <c r="BC32" s="3">
        <f t="shared" si="44"/>
        <v>0</v>
      </c>
      <c r="BD32" s="102">
        <v>19222</v>
      </c>
      <c r="BE32" s="14">
        <f>(305/1185)*ELEC!Q31</f>
        <v>587.35021097026947</v>
      </c>
      <c r="BF32" s="14"/>
      <c r="BG32" s="14" t="e">
        <f>#REF!-BE32</f>
        <v>#REF!</v>
      </c>
      <c r="BH32" s="11"/>
      <c r="BI32">
        <v>19</v>
      </c>
      <c r="BJ32">
        <f t="shared" si="46"/>
        <v>-46.370118845500031</v>
      </c>
      <c r="BK32" s="536">
        <f>GEN!AF29</f>
        <v>0.19145833333330603</v>
      </c>
    </row>
    <row r="33" spans="1:63">
      <c r="A33" s="425">
        <f>ELEC!C31</f>
        <v>44832</v>
      </c>
      <c r="B33">
        <f>'B5'!B32</f>
        <v>229</v>
      </c>
      <c r="C33" s="203">
        <f t="shared" si="18"/>
        <v>4927.1935483870966</v>
      </c>
      <c r="D33">
        <f>SUM(B33)</f>
        <v>229</v>
      </c>
      <c r="E33" s="203">
        <f t="shared" si="18"/>
        <v>4927.1935483870966</v>
      </c>
      <c r="F33">
        <f>SUM(D33)</f>
        <v>229</v>
      </c>
      <c r="G33" s="203">
        <f t="shared" si="1"/>
        <v>4927.1935483870966</v>
      </c>
      <c r="H33" s="203">
        <f>SUM(F33)</f>
        <v>229</v>
      </c>
      <c r="I33" s="203">
        <f t="shared" si="2"/>
        <v>4927.1935483870966</v>
      </c>
      <c r="J33" s="203">
        <f>SUM(H33)</f>
        <v>229</v>
      </c>
      <c r="K33" s="203">
        <f t="shared" si="3"/>
        <v>4927.1935483870966</v>
      </c>
      <c r="L33" s="203">
        <f>SUM(J33)</f>
        <v>229</v>
      </c>
      <c r="M33" s="203">
        <f t="shared" si="4"/>
        <v>4927.1935483870966</v>
      </c>
      <c r="N33" s="203">
        <f>SUM(L33)</f>
        <v>229</v>
      </c>
      <c r="O33" s="203">
        <f t="shared" si="5"/>
        <v>4927.1935483870966</v>
      </c>
      <c r="P33" s="203">
        <f>SUM(N33)</f>
        <v>229</v>
      </c>
      <c r="Q33" s="203">
        <f t="shared" si="6"/>
        <v>4927.1935483870966</v>
      </c>
      <c r="R33" s="203">
        <f>SUM(P33)</f>
        <v>229</v>
      </c>
      <c r="S33" s="203">
        <f t="shared" si="7"/>
        <v>4927.1935483870966</v>
      </c>
      <c r="T33" s="203">
        <f>SUM(R33)</f>
        <v>229</v>
      </c>
      <c r="U33" s="203">
        <f t="shared" si="8"/>
        <v>4927.1935483870966</v>
      </c>
      <c r="V33" s="203">
        <f>SUM(T33)</f>
        <v>229</v>
      </c>
      <c r="W33" s="203">
        <f t="shared" si="9"/>
        <v>4927.1935483870966</v>
      </c>
      <c r="X33" s="35">
        <f>SUM(Y33/73370)</f>
        <v>0.738709677419355</v>
      </c>
      <c r="Y33" s="36">
        <f>SUM(C33+E33+G33+I33+K33+M33+O33+Q33+S33+U33+W33)</f>
        <v>54199.129032258075</v>
      </c>
      <c r="Z33" s="203">
        <f>'B5'!C32</f>
        <v>235</v>
      </c>
      <c r="AA33" s="203">
        <f t="shared" si="30"/>
        <v>2350</v>
      </c>
      <c r="AB33" s="203">
        <f>SUM(Z33)</f>
        <v>235</v>
      </c>
      <c r="AC33" s="203">
        <f t="shared" si="30"/>
        <v>2350</v>
      </c>
      <c r="AD33" s="203">
        <f>SUM(AB33)</f>
        <v>235</v>
      </c>
      <c r="AE33" s="203">
        <f t="shared" si="11"/>
        <v>2350</v>
      </c>
      <c r="AF33" s="203">
        <f>SUM(AD33)</f>
        <v>235</v>
      </c>
      <c r="AG33" s="203">
        <f t="shared" si="12"/>
        <v>2350</v>
      </c>
      <c r="AH33" s="203">
        <f>SUM(AF33)</f>
        <v>235</v>
      </c>
      <c r="AI33" s="203">
        <f t="shared" si="13"/>
        <v>2350</v>
      </c>
      <c r="AJ33" s="203">
        <f>SUM(AH33)</f>
        <v>235</v>
      </c>
      <c r="AK33" s="203">
        <f t="shared" si="14"/>
        <v>2350</v>
      </c>
      <c r="AL33" s="203">
        <f>SUM(AJ33)</f>
        <v>235</v>
      </c>
      <c r="AM33" s="203">
        <f t="shared" si="15"/>
        <v>2350</v>
      </c>
      <c r="AN33" s="35">
        <f>SUM(AO33/19600)</f>
        <v>0.8392857142857143</v>
      </c>
      <c r="AO33" s="36">
        <f>SUM(AA33+AC33+AE33+AG33+AI33+AK33+AM33)</f>
        <v>16450</v>
      </c>
      <c r="AQ33" s="223">
        <f t="shared" si="40"/>
        <v>0.75991318739655889</v>
      </c>
      <c r="AR33" s="38">
        <f t="shared" si="41"/>
        <v>70649.129032258075</v>
      </c>
      <c r="AS33" s="197">
        <f>SUM(AR33-AR32-AT33)</f>
        <v>-1226.7096774193487</v>
      </c>
      <c r="AT33" s="340"/>
      <c r="AU33" s="546"/>
      <c r="AV33" s="485">
        <f>IF(AT33&gt;0,AU33,AV32)</f>
        <v>0</v>
      </c>
      <c r="AW33" s="279">
        <f>-SUM('B5'!AI32)</f>
        <v>-41</v>
      </c>
      <c r="AX33" s="279">
        <f t="shared" si="17"/>
        <v>-1185.7096774193487</v>
      </c>
      <c r="AY33" s="37">
        <f t="shared" si="37"/>
        <v>-1226.7096774193487</v>
      </c>
      <c r="AZ33" s="100">
        <f>ELEC!A31</f>
        <v>0</v>
      </c>
      <c r="BA33" s="118">
        <f>'General information '!D32</f>
        <v>26</v>
      </c>
      <c r="BB33" s="204">
        <f>SUM('General information '!E32)</f>
        <v>0.52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-59.28548387096744</v>
      </c>
      <c r="BK33" s="536">
        <f>GEN!AF30</f>
        <v>0.15847222222216967</v>
      </c>
    </row>
    <row r="34" spans="1:63">
      <c r="A34" s="425">
        <f>ELEC!C32</f>
        <v>44833</v>
      </c>
      <c r="B34">
        <f>'B5'!B33</f>
        <v>226</v>
      </c>
      <c r="C34" s="203">
        <f t="shared" ref="C34:C36" si="48">B34*$B$4</f>
        <v>4862.6451612903229</v>
      </c>
      <c r="D34">
        <f t="shared" ref="D34:D36" si="49">SUM(B34)</f>
        <v>226</v>
      </c>
      <c r="E34" s="203">
        <f t="shared" ref="E34:E36" si="50">D34*$B$4</f>
        <v>4862.6451612903229</v>
      </c>
      <c r="F34">
        <f t="shared" ref="F34:F36" si="51">SUM(D34)</f>
        <v>226</v>
      </c>
      <c r="G34" s="203">
        <f t="shared" ref="G34:G36" si="52">F34*$B$4</f>
        <v>4862.6451612903229</v>
      </c>
      <c r="H34" s="203">
        <f t="shared" ref="H34:H36" si="53">SUM(F34)</f>
        <v>226</v>
      </c>
      <c r="I34" s="203">
        <f t="shared" ref="I34:I36" si="54">H34*$B$4</f>
        <v>4862.6451612903229</v>
      </c>
      <c r="J34" s="203">
        <f t="shared" ref="J34:J36" si="55">SUM(H34)</f>
        <v>226</v>
      </c>
      <c r="K34" s="203">
        <f t="shared" ref="K34:K36" si="56">J34*$B$4</f>
        <v>4862.6451612903229</v>
      </c>
      <c r="L34" s="203">
        <f t="shared" ref="L34:L36" si="57">SUM(J34)</f>
        <v>226</v>
      </c>
      <c r="M34" s="203">
        <f t="shared" ref="M34:M36" si="58">L34*$B$4</f>
        <v>4862.6451612903229</v>
      </c>
      <c r="N34" s="203">
        <f t="shared" ref="N34:N36" si="59">SUM(L34)</f>
        <v>226</v>
      </c>
      <c r="O34" s="203">
        <f t="shared" ref="O34:O36" si="60">N34*$B$4</f>
        <v>4862.6451612903229</v>
      </c>
      <c r="P34" s="203">
        <f t="shared" ref="P34:P36" si="61">SUM(N34)</f>
        <v>226</v>
      </c>
      <c r="Q34" s="203">
        <f t="shared" ref="Q34:Q36" si="62">P34*$B$4</f>
        <v>4862.6451612903229</v>
      </c>
      <c r="R34" s="203">
        <f t="shared" ref="R34:R36" si="63">SUM(P34)</f>
        <v>226</v>
      </c>
      <c r="S34" s="203">
        <f t="shared" ref="S34:S36" si="64">R34*$B$4</f>
        <v>4862.6451612903229</v>
      </c>
      <c r="T34" s="203">
        <f t="shared" ref="T34:T36" si="65">SUM(R34)</f>
        <v>226</v>
      </c>
      <c r="U34" s="203">
        <f t="shared" ref="U34:U36" si="66">T34*$B$4</f>
        <v>4862.6451612903229</v>
      </c>
      <c r="V34" s="203">
        <f t="shared" ref="V34:V36" si="67">SUM(T34)</f>
        <v>226</v>
      </c>
      <c r="W34" s="203">
        <f t="shared" ref="W34:W36" si="68">V34*$B$4</f>
        <v>4862.6451612903229</v>
      </c>
      <c r="X34" s="35">
        <f t="shared" ref="X34:X36" si="69">SUM(Y34/73370)</f>
        <v>0.72903225806451633</v>
      </c>
      <c r="Y34" s="36">
        <f t="shared" ref="Y34:Y36" si="70">SUM(C34+E34+G34+I34+K34+M34+O34+Q34+S34+U34+W34)</f>
        <v>53489.09677419356</v>
      </c>
      <c r="Z34" s="203">
        <f>'B5'!C33</f>
        <v>232</v>
      </c>
      <c r="AA34" s="203">
        <f t="shared" ref="AA34:AA36" si="71">SUM(Z34*$Z$4)</f>
        <v>2320</v>
      </c>
      <c r="AB34" s="203">
        <f t="shared" ref="AB34:AB36" si="72">SUM(Z34)</f>
        <v>232</v>
      </c>
      <c r="AC34" s="203">
        <f t="shared" ref="AC34:AC36" si="73">SUM(AB34*$Z$4)</f>
        <v>2320</v>
      </c>
      <c r="AD34" s="203">
        <f t="shared" ref="AD34:AD36" si="74">SUM(AB34)</f>
        <v>232</v>
      </c>
      <c r="AE34" s="203">
        <f t="shared" ref="AE34:AE36" si="75">SUM(AD34*$Z$4)</f>
        <v>2320</v>
      </c>
      <c r="AF34" s="203">
        <f t="shared" ref="AF34:AF36" si="76">SUM(AD34)</f>
        <v>232</v>
      </c>
      <c r="AG34" s="203">
        <f t="shared" ref="AG34:AG36" si="77">SUM(AF34*$Z$4)</f>
        <v>2320</v>
      </c>
      <c r="AH34" s="203">
        <f t="shared" ref="AH34:AH36" si="78">SUM(AF34)</f>
        <v>232</v>
      </c>
      <c r="AI34" s="203">
        <f t="shared" ref="AI34:AI36" si="79">SUM(AH34*$Z$4)</f>
        <v>2320</v>
      </c>
      <c r="AJ34" s="203">
        <f t="shared" ref="AJ34:AJ36" si="80">SUM(AH34)</f>
        <v>232</v>
      </c>
      <c r="AK34" s="203">
        <f t="shared" ref="AK34:AK36" si="81">SUM(AJ34*$Z$4)</f>
        <v>2320</v>
      </c>
      <c r="AL34" s="203">
        <f t="shared" ref="AL34:AL36" si="82">SUM(AJ34)</f>
        <v>232</v>
      </c>
      <c r="AM34" s="203">
        <f t="shared" ref="AM34:AM36" si="83">SUM(AL34*$Z$4)</f>
        <v>2320</v>
      </c>
      <c r="AN34" s="35">
        <f t="shared" ref="AN34:AN36" si="84">SUM(AO34/19600)</f>
        <v>0.82857142857142863</v>
      </c>
      <c r="AO34" s="36">
        <f t="shared" ref="AO34:AO36" si="85">SUM(AA34+AC34+AE34+AG34+AI34+AK34+AM34)</f>
        <v>16240</v>
      </c>
      <c r="AQ34" s="223">
        <f t="shared" ref="AQ34:AQ36" si="86">SUM(AR34/92970)</f>
        <v>0.75001717515535726</v>
      </c>
      <c r="AR34" s="38">
        <f t="shared" si="41"/>
        <v>69729.09677419356</v>
      </c>
      <c r="AS34" s="197">
        <f t="shared" ref="AS34:AS36" si="87">SUM(AR34-AR33-AT34)</f>
        <v>-920.03225806451519</v>
      </c>
      <c r="AT34" s="340"/>
      <c r="AU34" s="546"/>
      <c r="AV34" s="485">
        <f t="shared" ref="AV34:AV36" si="88">IF(AT34&gt;0,AU34,AV33)</f>
        <v>0</v>
      </c>
      <c r="AW34" s="279">
        <f>-SUM('B5'!AI33)</f>
        <v>-27</v>
      </c>
      <c r="AX34" s="279">
        <f t="shared" ref="AX34:AX36" si="89">-SUM(AW34-AS34)</f>
        <v>-893.03225806451519</v>
      </c>
      <c r="AY34" s="37">
        <f t="shared" ref="AY34:AY36" si="90">SUM(AX34+AW34)</f>
        <v>-920.03225806451519</v>
      </c>
      <c r="AZ34" s="100">
        <f>ELEC!A32</f>
        <v>0</v>
      </c>
      <c r="BA34" s="118">
        <f>'General information '!D33</f>
        <v>26.5</v>
      </c>
      <c r="BB34" s="378">
        <f>SUM('General information '!E33)</f>
        <v>0.7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-42.525345622119772</v>
      </c>
      <c r="BK34" s="536">
        <f>GEN!AF31</f>
        <v>0.14616666666673458</v>
      </c>
    </row>
    <row r="35" spans="1:63">
      <c r="A35" s="425">
        <f>ELEC!C33</f>
        <v>44834</v>
      </c>
      <c r="B35">
        <f>'B5'!B34</f>
        <v>226</v>
      </c>
      <c r="C35" s="203">
        <f t="shared" si="48"/>
        <v>4862.6451612903229</v>
      </c>
      <c r="D35">
        <f t="shared" si="49"/>
        <v>226</v>
      </c>
      <c r="E35" s="203">
        <f t="shared" si="50"/>
        <v>4862.6451612903229</v>
      </c>
      <c r="F35">
        <f t="shared" si="51"/>
        <v>226</v>
      </c>
      <c r="G35" s="203">
        <f t="shared" si="52"/>
        <v>4862.6451612903229</v>
      </c>
      <c r="H35" s="203">
        <f t="shared" si="53"/>
        <v>226</v>
      </c>
      <c r="I35" s="203">
        <f t="shared" si="54"/>
        <v>4862.6451612903229</v>
      </c>
      <c r="J35" s="203">
        <f t="shared" si="55"/>
        <v>226</v>
      </c>
      <c r="K35" s="203">
        <f t="shared" si="56"/>
        <v>4862.6451612903229</v>
      </c>
      <c r="L35" s="203">
        <f t="shared" si="57"/>
        <v>226</v>
      </c>
      <c r="M35" s="203">
        <f t="shared" si="58"/>
        <v>4862.6451612903229</v>
      </c>
      <c r="N35" s="203">
        <f t="shared" si="59"/>
        <v>226</v>
      </c>
      <c r="O35" s="203">
        <f t="shared" si="60"/>
        <v>4862.6451612903229</v>
      </c>
      <c r="P35" s="203">
        <f t="shared" si="61"/>
        <v>226</v>
      </c>
      <c r="Q35" s="203">
        <f t="shared" si="62"/>
        <v>4862.6451612903229</v>
      </c>
      <c r="R35" s="203">
        <f t="shared" si="63"/>
        <v>226</v>
      </c>
      <c r="S35" s="203">
        <f t="shared" si="64"/>
        <v>4862.6451612903229</v>
      </c>
      <c r="T35" s="203">
        <f t="shared" si="65"/>
        <v>226</v>
      </c>
      <c r="U35" s="203">
        <f t="shared" si="66"/>
        <v>4862.6451612903229</v>
      </c>
      <c r="V35" s="203">
        <f t="shared" si="67"/>
        <v>226</v>
      </c>
      <c r="W35" s="203">
        <f t="shared" si="68"/>
        <v>4862.6451612903229</v>
      </c>
      <c r="X35" s="35">
        <f t="shared" si="69"/>
        <v>0.72903225806451633</v>
      </c>
      <c r="Y35" s="36">
        <f t="shared" si="70"/>
        <v>53489.09677419356</v>
      </c>
      <c r="Z35" s="203">
        <f>'B5'!C34</f>
        <v>232</v>
      </c>
      <c r="AA35" s="203">
        <f t="shared" si="71"/>
        <v>2320</v>
      </c>
      <c r="AB35" s="203">
        <f t="shared" si="72"/>
        <v>232</v>
      </c>
      <c r="AC35" s="203">
        <f t="shared" si="73"/>
        <v>2320</v>
      </c>
      <c r="AD35" s="203">
        <f t="shared" si="74"/>
        <v>232</v>
      </c>
      <c r="AE35" s="203">
        <f t="shared" si="75"/>
        <v>2320</v>
      </c>
      <c r="AF35" s="203">
        <f t="shared" si="76"/>
        <v>232</v>
      </c>
      <c r="AG35" s="203">
        <f t="shared" si="77"/>
        <v>2320</v>
      </c>
      <c r="AH35" s="203">
        <f t="shared" si="78"/>
        <v>232</v>
      </c>
      <c r="AI35" s="203">
        <f t="shared" si="79"/>
        <v>2320</v>
      </c>
      <c r="AJ35" s="203">
        <f t="shared" si="80"/>
        <v>232</v>
      </c>
      <c r="AK35" s="203">
        <f t="shared" si="81"/>
        <v>2320</v>
      </c>
      <c r="AL35" s="203">
        <f t="shared" si="82"/>
        <v>232</v>
      </c>
      <c r="AM35" s="203">
        <f t="shared" si="83"/>
        <v>2320</v>
      </c>
      <c r="AN35" s="35">
        <f t="shared" si="84"/>
        <v>0.82857142857142863</v>
      </c>
      <c r="AO35" s="36">
        <f t="shared" si="85"/>
        <v>16240</v>
      </c>
      <c r="AQ35" s="223">
        <f t="shared" si="86"/>
        <v>0.75001717515535726</v>
      </c>
      <c r="AR35" s="38">
        <f t="shared" si="41"/>
        <v>69729.09677419356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226</v>
      </c>
      <c r="C36" s="203">
        <f t="shared" si="48"/>
        <v>4862.6451612903229</v>
      </c>
      <c r="D36">
        <f t="shared" si="49"/>
        <v>226</v>
      </c>
      <c r="E36" s="203">
        <f t="shared" si="50"/>
        <v>4862.6451612903229</v>
      </c>
      <c r="F36">
        <f t="shared" si="51"/>
        <v>226</v>
      </c>
      <c r="G36" s="203">
        <f t="shared" si="52"/>
        <v>4862.6451612903229</v>
      </c>
      <c r="H36" s="203">
        <f t="shared" si="53"/>
        <v>226</v>
      </c>
      <c r="I36" s="203">
        <f t="shared" si="54"/>
        <v>4862.6451612903229</v>
      </c>
      <c r="J36" s="203">
        <f t="shared" si="55"/>
        <v>226</v>
      </c>
      <c r="K36" s="203">
        <f t="shared" si="56"/>
        <v>4862.6451612903229</v>
      </c>
      <c r="L36" s="203">
        <f t="shared" si="57"/>
        <v>226</v>
      </c>
      <c r="M36" s="203">
        <f t="shared" si="58"/>
        <v>4862.6451612903229</v>
      </c>
      <c r="N36" s="203">
        <f t="shared" si="59"/>
        <v>226</v>
      </c>
      <c r="O36" s="203">
        <f t="shared" si="60"/>
        <v>4862.6451612903229</v>
      </c>
      <c r="P36" s="203">
        <f t="shared" si="61"/>
        <v>226</v>
      </c>
      <c r="Q36" s="203">
        <f t="shared" si="62"/>
        <v>4862.6451612903229</v>
      </c>
      <c r="R36" s="203">
        <f t="shared" si="63"/>
        <v>226</v>
      </c>
      <c r="S36" s="203">
        <f t="shared" si="64"/>
        <v>4862.6451612903229</v>
      </c>
      <c r="T36" s="203">
        <f t="shared" si="65"/>
        <v>226</v>
      </c>
      <c r="U36" s="203">
        <f t="shared" si="66"/>
        <v>4862.6451612903229</v>
      </c>
      <c r="V36" s="203">
        <f t="shared" si="67"/>
        <v>226</v>
      </c>
      <c r="W36" s="203">
        <f t="shared" si="68"/>
        <v>4862.6451612903229</v>
      </c>
      <c r="X36" s="35">
        <f t="shared" si="69"/>
        <v>0.72903225806451633</v>
      </c>
      <c r="Y36" s="36">
        <f t="shared" si="70"/>
        <v>53489.09677419356</v>
      </c>
      <c r="Z36" s="203">
        <f>'B5'!C35</f>
        <v>232</v>
      </c>
      <c r="AA36" s="203">
        <f t="shared" si="71"/>
        <v>2320</v>
      </c>
      <c r="AB36" s="203">
        <f t="shared" si="72"/>
        <v>232</v>
      </c>
      <c r="AC36" s="203">
        <f t="shared" si="73"/>
        <v>2320</v>
      </c>
      <c r="AD36" s="203">
        <f t="shared" si="74"/>
        <v>232</v>
      </c>
      <c r="AE36" s="203">
        <f t="shared" si="75"/>
        <v>2320</v>
      </c>
      <c r="AF36" s="203">
        <f t="shared" si="76"/>
        <v>232</v>
      </c>
      <c r="AG36" s="203">
        <f t="shared" si="77"/>
        <v>2320</v>
      </c>
      <c r="AH36" s="203">
        <f t="shared" si="78"/>
        <v>232</v>
      </c>
      <c r="AI36" s="203">
        <f t="shared" si="79"/>
        <v>2320</v>
      </c>
      <c r="AJ36" s="203">
        <f t="shared" si="80"/>
        <v>232</v>
      </c>
      <c r="AK36" s="203">
        <f t="shared" si="81"/>
        <v>2320</v>
      </c>
      <c r="AL36" s="203">
        <f t="shared" si="82"/>
        <v>232</v>
      </c>
      <c r="AM36" s="203">
        <f t="shared" si="83"/>
        <v>2320</v>
      </c>
      <c r="AN36" s="35">
        <f t="shared" si="84"/>
        <v>0.82857142857142863</v>
      </c>
      <c r="AO36" s="36">
        <f t="shared" si="85"/>
        <v>16240</v>
      </c>
      <c r="AQ36" s="223">
        <f t="shared" si="86"/>
        <v>0.75001717515535726</v>
      </c>
      <c r="AR36" s="38">
        <f t="shared" si="41"/>
        <v>69729.09677419356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29519</v>
      </c>
      <c r="AU37" s="542">
        <f>SUM(AU6:AU36)/AS37</f>
        <v>1.0535000000000001</v>
      </c>
      <c r="AX37" s="203">
        <f>SUM(AX6:AX36)</f>
        <v>-19455.709677419349</v>
      </c>
      <c r="AY37" s="203">
        <f>SUM(AY6:AY36)</f>
        <v>-21308.709677419349</v>
      </c>
    </row>
    <row r="38" spans="1:63">
      <c r="AS38" s="206"/>
      <c r="AT38" s="82">
        <f>+AT37*AU37</f>
        <v>31098.266500000002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47729.09677419356</v>
      </c>
      <c r="AU42" s="203"/>
      <c r="AX42">
        <f>AX37/AX41</f>
        <v>-0.44923017565446788</v>
      </c>
    </row>
    <row r="43" spans="1:63">
      <c r="AR43">
        <f>AR42/5500</f>
        <v>8.6780175953079208</v>
      </c>
    </row>
    <row r="44" spans="1:63">
      <c r="AR44">
        <f>AR43*2</f>
        <v>17.356035190615842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A27" zoomScale="85" zoomScaleNormal="85" workbookViewId="0">
      <selection activeCell="J25" sqref="J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1464.4159758064502</v>
      </c>
      <c r="R4" s="285">
        <f>SUM(P4:Q4)</f>
        <v>1624.3791156627244</v>
      </c>
      <c r="S4" s="287">
        <f>SUM(ELEC!N4)</f>
        <v>3873</v>
      </c>
      <c r="T4" s="321">
        <f>IF(S4&gt;0,R4/S4,0)</f>
        <v>0.41941108072882116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1062.6756451613146</v>
      </c>
      <c r="R7" s="285">
        <f t="shared" si="13"/>
        <v>1222.6387850175888</v>
      </c>
      <c r="S7" s="287">
        <f>SUM(ELEC!N7)</f>
        <v>3120</v>
      </c>
      <c r="T7" s="321">
        <f t="shared" si="16"/>
        <v>0.39187140545435539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1122.3683145161101</v>
      </c>
      <c r="R8" s="285">
        <f t="shared" si="13"/>
        <v>1282.3314543723843</v>
      </c>
      <c r="S8" s="287">
        <f>SUM(ELEC!N8)</f>
        <v>3326</v>
      </c>
      <c r="T8" s="321">
        <f>IF(S8&gt;0,R8/S8,0)</f>
        <v>0.38554764112218409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2109.8886290322585</v>
      </c>
      <c r="R9" s="285">
        <f>SUM(P9:Q9)</f>
        <v>2269.8517688885327</v>
      </c>
      <c r="S9" s="287">
        <f>SUM(ELEC!N9)</f>
        <v>5010</v>
      </c>
      <c r="T9" s="321">
        <f t="shared" si="16"/>
        <v>0.45306422532705243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1941.8383870967905</v>
      </c>
      <c r="R10" s="285">
        <f t="shared" si="13"/>
        <v>2101.8015269530647</v>
      </c>
      <c r="S10" s="287">
        <f>SUM(ELEC!N10)</f>
        <v>4771</v>
      </c>
      <c r="T10" s="321">
        <f t="shared" si="16"/>
        <v>0.44053689519033007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1042.9989838709516</v>
      </c>
      <c r="R11" s="285">
        <f t="shared" si="13"/>
        <v>1202.9621237272258</v>
      </c>
      <c r="S11" s="287">
        <f>SUM(ELEC!N11)</f>
        <v>3693</v>
      </c>
      <c r="T11" s="321">
        <f t="shared" si="16"/>
        <v>0.32574116537428266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1188.3989758064426</v>
      </c>
      <c r="R14" s="285">
        <f>SUM(P14:Q14)</f>
        <v>1348.3621156627169</v>
      </c>
      <c r="S14" s="287">
        <f>SUM(ELEC!N14)</f>
        <v>4209.3999999999069</v>
      </c>
      <c r="T14" s="321">
        <f>IF(S14&gt;0,R14/S14,0)</f>
        <v>0.32032168852158188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-1155.910395161284</v>
      </c>
      <c r="R15" s="285">
        <f>SUM(P15:Q15)</f>
        <v>-995.94725530500978</v>
      </c>
      <c r="S15" s="287">
        <f>SUM(ELEC!N15)</f>
        <v>3162.6000000000931</v>
      </c>
      <c r="T15" s="321">
        <f>IF(S15&gt;0,R15/S15,0)</f>
        <v>-0.31491407554068818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1021.589145161284</v>
      </c>
      <c r="R16" s="285">
        <f>SUM(P16:Q16)</f>
        <v>1181.5522850175582</v>
      </c>
      <c r="S16" s="287">
        <f>SUM(ELEC!N16)</f>
        <v>2901</v>
      </c>
      <c r="T16" s="321">
        <f>IF(S16&gt;0,R16/S16,0)</f>
        <v>0.40729137711739338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957.6654838709668</v>
      </c>
      <c r="R17" s="285">
        <f>SUM(P17:Q17)</f>
        <v>1117.6286237272409</v>
      </c>
      <c r="S17" s="287">
        <f>SUM(ELEC!N17)</f>
        <v>2980.3999999999069</v>
      </c>
      <c r="T17" s="321">
        <f>IF(S17&gt;0,R17/S17,0)</f>
        <v>0.37499282771684195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969.25398387098221</v>
      </c>
      <c r="R18" s="285">
        <f t="shared" si="13"/>
        <v>1129.2171237272564</v>
      </c>
      <c r="S18" s="287">
        <f>SUM(ELEC!N18)</f>
        <v>2919.6000000000931</v>
      </c>
      <c r="T18" s="321">
        <f t="shared" si="16"/>
        <v>0.38677117541006317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10.704919354849096</v>
      </c>
      <c r="R21" s="285">
        <f t="shared" si="13"/>
        <v>170.66805921112328</v>
      </c>
      <c r="S21" s="287">
        <f>SUM(ELEC!N21)</f>
        <v>3174</v>
      </c>
      <c r="T21" s="321">
        <f t="shared" si="16"/>
        <v>5.3770655075968267E-2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1173.293145161284</v>
      </c>
      <c r="R22" s="285">
        <f t="shared" si="13"/>
        <v>1333.2562850175582</v>
      </c>
      <c r="S22" s="287">
        <f>SUM(ELEC!N22)</f>
        <v>2762</v>
      </c>
      <c r="T22" s="321">
        <f t="shared" si="16"/>
        <v>0.48271407857261339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1259.6801451612839</v>
      </c>
      <c r="R23" s="285">
        <f t="shared" si="13"/>
        <v>1419.6432850175581</v>
      </c>
      <c r="S23" s="287">
        <f>SUM(ELEC!N23)</f>
        <v>3770</v>
      </c>
      <c r="T23" s="321">
        <f t="shared" si="16"/>
        <v>0.3765632055749491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1166.9721451612841</v>
      </c>
      <c r="R24" s="285">
        <f t="shared" si="13"/>
        <v>1326.9352850175583</v>
      </c>
      <c r="S24" s="287">
        <f>SUM(ELEC!N24)</f>
        <v>2856</v>
      </c>
      <c r="T24" s="321">
        <f t="shared" si="16"/>
        <v>0.46461319503415904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44826</v>
      </c>
      <c r="B25" s="608">
        <v>1124527</v>
      </c>
      <c r="C25" s="254">
        <f t="shared" si="0"/>
        <v>117</v>
      </c>
      <c r="D25" s="295">
        <f t="shared" si="14"/>
        <v>116</v>
      </c>
      <c r="E25" s="295">
        <f t="shared" si="15"/>
        <v>1124526</v>
      </c>
      <c r="F25" s="608">
        <v>161459</v>
      </c>
      <c r="G25" s="160">
        <f t="shared" si="1"/>
        <v>49</v>
      </c>
      <c r="H25" s="608">
        <v>561164</v>
      </c>
      <c r="I25" s="161">
        <f t="shared" si="2"/>
        <v>67</v>
      </c>
      <c r="J25" s="606">
        <f t="shared" si="9"/>
        <v>401903</v>
      </c>
      <c r="K25" s="162">
        <f t="shared" si="10"/>
        <v>0</v>
      </c>
      <c r="L25" s="284">
        <f t="shared" si="17"/>
        <v>10.401326699834163</v>
      </c>
      <c r="M25" s="284">
        <f t="shared" si="18"/>
        <v>4.9777777777777779</v>
      </c>
      <c r="N25" s="284">
        <f t="shared" si="19"/>
        <v>0</v>
      </c>
      <c r="O25" s="284">
        <f t="shared" si="11"/>
        <v>159.96313985627418</v>
      </c>
      <c r="P25" s="285">
        <f t="shared" si="12"/>
        <v>175.34224433388613</v>
      </c>
      <c r="Q25" s="285">
        <f>SUM(-tanks!AX27*tanks!$AU$37)</f>
        <v>-771.02606451613303</v>
      </c>
      <c r="R25" s="285">
        <f t="shared" si="13"/>
        <v>-595.6838201822469</v>
      </c>
      <c r="S25" s="287">
        <f>SUM(ELEC!N25)</f>
        <v>2510</v>
      </c>
      <c r="T25" s="321">
        <f t="shared" si="16"/>
        <v>-0.23732423114830553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1124527</v>
      </c>
      <c r="C26" s="254">
        <f t="shared" si="0"/>
        <v>0</v>
      </c>
      <c r="D26" s="295">
        <f t="shared" si="14"/>
        <v>0</v>
      </c>
      <c r="E26" s="295">
        <f t="shared" si="15"/>
        <v>1124527</v>
      </c>
      <c r="F26" s="608">
        <f t="shared" si="7"/>
        <v>161459</v>
      </c>
      <c r="G26" s="160">
        <f t="shared" si="1"/>
        <v>0</v>
      </c>
      <c r="H26" s="608">
        <f t="shared" si="8"/>
        <v>561164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1124527</v>
      </c>
      <c r="C27" s="254">
        <f t="shared" si="0"/>
        <v>0</v>
      </c>
      <c r="D27" s="295">
        <f t="shared" si="14"/>
        <v>0</v>
      </c>
      <c r="E27" s="295">
        <f t="shared" si="15"/>
        <v>1124527</v>
      </c>
      <c r="F27" s="608">
        <f t="shared" si="7"/>
        <v>161459</v>
      </c>
      <c r="G27" s="160">
        <f t="shared" si="1"/>
        <v>0</v>
      </c>
      <c r="H27" s="608">
        <f t="shared" si="8"/>
        <v>561164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561164</v>
      </c>
      <c r="X27" s="172" t="s">
        <v>212</v>
      </c>
      <c r="Y27" s="172">
        <v>112</v>
      </c>
      <c r="Z27" s="172">
        <v>1</v>
      </c>
      <c r="AA27" s="323">
        <f>(W27-V27)*Z27</f>
        <v>67</v>
      </c>
      <c r="AB27" s="323">
        <f>SUM(AA27*Y27)</f>
        <v>7504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1124527</v>
      </c>
      <c r="C28" s="254">
        <f t="shared" si="0"/>
        <v>0</v>
      </c>
      <c r="D28" s="295">
        <f t="shared" si="14"/>
        <v>0</v>
      </c>
      <c r="E28" s="295">
        <f t="shared" si="15"/>
        <v>1124527</v>
      </c>
      <c r="F28" s="608">
        <f t="shared" si="7"/>
        <v>161459</v>
      </c>
      <c r="G28" s="160">
        <f t="shared" si="1"/>
        <v>0</v>
      </c>
      <c r="H28" s="608">
        <f t="shared" si="8"/>
        <v>561164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1583.4784677419336</v>
      </c>
      <c r="R28" s="285">
        <f t="shared" si="13"/>
        <v>1743.4416075982078</v>
      </c>
      <c r="S28" s="287">
        <f>SUM(ELEC!N28)</f>
        <v>3135</v>
      </c>
      <c r="T28" s="321">
        <f t="shared" si="16"/>
        <v>0.55612172491170908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3">
        <f>(W28-V28)*Z28</f>
        <v>49</v>
      </c>
      <c r="AB28" s="323">
        <f>SUM(AA28*Y28)</f>
        <v>15680</v>
      </c>
      <c r="AC28" s="244">
        <f>AC11</f>
        <v>1000</v>
      </c>
      <c r="AD28" s="476" t="e">
        <f>SUM(G36)</f>
        <v>#DIV/0!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44830</v>
      </c>
      <c r="B29" s="608">
        <f t="shared" si="6"/>
        <v>1124527</v>
      </c>
      <c r="C29" s="254">
        <f t="shared" si="0"/>
        <v>0</v>
      </c>
      <c r="D29" s="295">
        <f t="shared" si="14"/>
        <v>0</v>
      </c>
      <c r="E29" s="295">
        <f t="shared" si="15"/>
        <v>1124527</v>
      </c>
      <c r="F29" s="608">
        <f t="shared" si="7"/>
        <v>161459</v>
      </c>
      <c r="G29" s="160">
        <f t="shared" si="1"/>
        <v>0</v>
      </c>
      <c r="H29" s="608">
        <f t="shared" si="8"/>
        <v>561164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1230.1821451613146</v>
      </c>
      <c r="R29" s="285">
        <f t="shared" si="13"/>
        <v>1390.1452850175888</v>
      </c>
      <c r="S29" s="287">
        <f>SUM(ELEC!N29)</f>
        <v>2994</v>
      </c>
      <c r="T29" s="321">
        <f t="shared" si="16"/>
        <v>0.46431038243740441</v>
      </c>
      <c r="V29" s="213"/>
      <c r="W29" s="214"/>
      <c r="X29" s="214"/>
      <c r="Y29" s="215"/>
      <c r="Z29" s="3"/>
      <c r="AA29" s="323">
        <f>SUM(AA26:AA28)</f>
        <v>116</v>
      </c>
      <c r="AB29" s="323">
        <f>SUM(AB26:AB28)</f>
        <v>23184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1124527</v>
      </c>
      <c r="C30" s="254">
        <f t="shared" si="0"/>
        <v>0</v>
      </c>
      <c r="D30" s="295">
        <f t="shared" si="14"/>
        <v>0</v>
      </c>
      <c r="E30" s="295">
        <f t="shared" si="15"/>
        <v>1124527</v>
      </c>
      <c r="F30" s="608">
        <f t="shared" si="7"/>
        <v>161459</v>
      </c>
      <c r="G30" s="160">
        <f t="shared" si="1"/>
        <v>0</v>
      </c>
      <c r="H30" s="608">
        <f t="shared" si="8"/>
        <v>561164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928.16748387095151</v>
      </c>
      <c r="R30" s="285">
        <f t="shared" si="13"/>
        <v>1088.1306237272256</v>
      </c>
      <c r="S30" s="287">
        <f>SUM(ELEC!N30)</f>
        <v>3601</v>
      </c>
      <c r="T30" s="321">
        <f t="shared" si="16"/>
        <v>0.30217456921055974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7257517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1124527</v>
      </c>
      <c r="C31" s="254">
        <f>SUM(B31-B30)</f>
        <v>0</v>
      </c>
      <c r="D31" s="295">
        <f t="shared" si="14"/>
        <v>0</v>
      </c>
      <c r="E31" s="295">
        <f t="shared" si="15"/>
        <v>1124527</v>
      </c>
      <c r="F31" s="608">
        <f t="shared" si="7"/>
        <v>161459</v>
      </c>
      <c r="G31" s="160">
        <f>F31-F30</f>
        <v>0</v>
      </c>
      <c r="H31" s="608">
        <f t="shared" si="8"/>
        <v>561164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1249.1451451612841</v>
      </c>
      <c r="R31" s="285">
        <f>SUM(P31:Q31)</f>
        <v>1409.1082850175583</v>
      </c>
      <c r="S31" s="287">
        <f>SUM(ELEC!N31)</f>
        <v>2235</v>
      </c>
      <c r="T31" s="321">
        <f>IF(S31&gt;0,R31/S31,0)</f>
        <v>0.63047350560069726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1124527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1124527</v>
      </c>
      <c r="F32" s="608">
        <f t="shared" si="7"/>
        <v>161459</v>
      </c>
      <c r="G32" s="160">
        <f t="shared" ref="G32:G34" si="22">F32-F31</f>
        <v>0</v>
      </c>
      <c r="H32" s="608">
        <f t="shared" si="8"/>
        <v>561164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940.8094838709668</v>
      </c>
      <c r="R32" s="285">
        <f t="shared" ref="R32:R34" si="29">SUM(P32:Q32)</f>
        <v>1100.7726237272409</v>
      </c>
      <c r="S32" s="287">
        <f>SUM(ELEC!N32)</f>
        <v>3643</v>
      </c>
      <c r="T32" s="321">
        <f t="shared" ref="T32:T34" si="30">IF(S32&gt;0,R32/S32,0)</f>
        <v>0.30216102764953084</v>
      </c>
      <c r="V32" s="216" t="s">
        <v>315</v>
      </c>
      <c r="W32" s="538">
        <f>'Utility Cost '!B18</f>
        <v>233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1124527</v>
      </c>
      <c r="C33" s="254">
        <f t="shared" si="20"/>
        <v>0</v>
      </c>
      <c r="D33" s="295">
        <f t="shared" si="21"/>
        <v>0</v>
      </c>
      <c r="E33" s="295">
        <f t="shared" si="15"/>
        <v>1124527</v>
      </c>
      <c r="F33" s="608">
        <f t="shared" si="7"/>
        <v>161459</v>
      </c>
      <c r="G33" s="160">
        <f t="shared" si="22"/>
        <v>0</v>
      </c>
      <c r="H33" s="608">
        <f t="shared" si="8"/>
        <v>561164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798326.87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1124527</v>
      </c>
      <c r="C34" s="254">
        <f t="shared" si="20"/>
        <v>0</v>
      </c>
      <c r="D34" s="295">
        <f t="shared" si="21"/>
        <v>0</v>
      </c>
      <c r="E34" s="295">
        <f t="shared" si="15"/>
        <v>1124527</v>
      </c>
      <c r="F34" s="608">
        <f t="shared" si="7"/>
        <v>161459</v>
      </c>
      <c r="G34" s="160">
        <f t="shared" si="22"/>
        <v>0</v>
      </c>
      <c r="H34" s="608">
        <f t="shared" si="8"/>
        <v>561164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8055843.8700000001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4814.2733001658371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4814.2733001658371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C33" sqref="C3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27</v>
      </c>
      <c r="D12" s="26">
        <f>(C12+B12)/2</f>
        <v>29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>
        <v>30</v>
      </c>
      <c r="C15" s="37">
        <v>24</v>
      </c>
      <c r="D15" s="26">
        <f>(C15+B15)/2</f>
        <v>27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>
        <v>29</v>
      </c>
      <c r="C16" s="37">
        <v>25</v>
      </c>
      <c r="D16" s="26">
        <f t="shared" si="3"/>
        <v>27</v>
      </c>
      <c r="E16" s="607">
        <v>0.67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>
        <v>29</v>
      </c>
      <c r="C17" s="37">
        <v>23</v>
      </c>
      <c r="D17" s="26">
        <f t="shared" si="3"/>
        <v>26</v>
      </c>
      <c r="E17" s="410">
        <v>0.56999999999999995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>
        <v>30</v>
      </c>
      <c r="C18" s="37">
        <v>26</v>
      </c>
      <c r="D18" s="26">
        <f t="shared" si="3"/>
        <v>28</v>
      </c>
      <c r="E18" s="325">
        <v>0.57999999999999996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>
        <v>29</v>
      </c>
      <c r="C19" s="37">
        <v>25</v>
      </c>
      <c r="D19" s="26">
        <f t="shared" si="3"/>
        <v>27</v>
      </c>
      <c r="E19" s="325">
        <v>0.56999999999999995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>
        <v>29</v>
      </c>
      <c r="C22" s="37">
        <v>25</v>
      </c>
      <c r="D22" s="26">
        <f>(C22+B22)/2</f>
        <v>27</v>
      </c>
      <c r="E22" s="378">
        <v>0.7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>
        <v>28</v>
      </c>
      <c r="C23" s="37">
        <v>24</v>
      </c>
      <c r="D23" s="26">
        <f t="shared" ref="D23:D26" si="5">(C23+B23)/2</f>
        <v>26</v>
      </c>
      <c r="E23" s="378">
        <v>0.6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>
        <v>28</v>
      </c>
      <c r="C24" s="37">
        <v>23</v>
      </c>
      <c r="D24" s="26">
        <f t="shared" si="5"/>
        <v>25.5</v>
      </c>
      <c r="E24" s="378">
        <v>0.53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>
        <v>29</v>
      </c>
      <c r="C25" s="37">
        <v>23</v>
      </c>
      <c r="D25" s="26">
        <f t="shared" si="5"/>
        <v>26</v>
      </c>
      <c r="E25" s="378">
        <v>0.51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>
        <v>29</v>
      </c>
      <c r="C26" s="37">
        <v>23</v>
      </c>
      <c r="D26" s="26">
        <f t="shared" si="5"/>
        <v>26</v>
      </c>
      <c r="E26" s="378">
        <v>0.52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/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>
        <v>31</v>
      </c>
      <c r="C29" s="37">
        <v>24</v>
      </c>
      <c r="D29" s="26">
        <f t="shared" si="3"/>
        <v>27.5</v>
      </c>
      <c r="E29" s="325">
        <v>0.49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>
        <v>30</v>
      </c>
      <c r="C30" s="37">
        <v>23</v>
      </c>
      <c r="D30" s="26">
        <f t="shared" si="3"/>
        <v>26.5</v>
      </c>
      <c r="E30" s="327">
        <v>0.48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>
        <v>29</v>
      </c>
      <c r="C31" s="37">
        <v>23</v>
      </c>
      <c r="D31" s="268">
        <f>(C31+B31)/2</f>
        <v>26</v>
      </c>
      <c r="E31" s="326">
        <v>0.55000000000000004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>
        <v>29</v>
      </c>
      <c r="C32" s="37">
        <v>23</v>
      </c>
      <c r="D32" s="26">
        <f t="shared" si="3"/>
        <v>26</v>
      </c>
      <c r="E32" s="325">
        <v>0.52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>
        <v>29</v>
      </c>
      <c r="C33" s="37">
        <v>24</v>
      </c>
      <c r="D33" s="26">
        <f t="shared" ref="D33:D35" si="7">(C33+B33)/2</f>
        <v>26.5</v>
      </c>
      <c r="E33" s="378">
        <v>0.7</v>
      </c>
      <c r="F33" s="327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7"/>
        <v>0</v>
      </c>
      <c r="E34" s="378"/>
      <c r="F34" s="327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7"/>
        <v>0</v>
      </c>
      <c r="E35" s="378"/>
      <c r="F35" s="327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545.99999999752617</v>
      </c>
      <c r="E6" s="3">
        <f>ELEC!Q25</f>
        <v>2780.0000000024738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3693</v>
      </c>
      <c r="D9" s="3">
        <f t="shared" si="0"/>
        <v>-96.000000000669388</v>
      </c>
      <c r="E9" s="3">
        <f>ELEC!Q11</f>
        <v>3789.0000000006694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-116.4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13.400000000000006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2</v>
      </c>
      <c r="B12" s="3">
        <f>ELEC!AF14</f>
        <v>384</v>
      </c>
      <c r="C12" s="3">
        <f>ELEC!N14</f>
        <v>4209.3999999999069</v>
      </c>
      <c r="D12" s="3">
        <f t="shared" si="0"/>
        <v>-87.599999998754356</v>
      </c>
      <c r="E12" s="3">
        <f>ELEC!Q14</f>
        <v>4296.9999999986612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27.100000000000023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3162.6000000000931</v>
      </c>
      <c r="D13" s="3">
        <f t="shared" si="0"/>
        <v>-93.400000001129229</v>
      </c>
      <c r="E13" s="3">
        <f>ELEC!Q15</f>
        <v>3256.0000000012224</v>
      </c>
      <c r="F13" s="3">
        <f>GEN!Z13</f>
        <v>11</v>
      </c>
      <c r="G13" s="3">
        <f>WATER!C16+WATER!H16</f>
        <v>97</v>
      </c>
      <c r="H13" s="3">
        <f>WATER!L16</f>
        <v>0</v>
      </c>
      <c r="I13" s="15">
        <f>WATER!BC16+WATER!BD16+WATER!BE17-Sheet1!G13</f>
        <v>-165.09999999999997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2901</v>
      </c>
      <c r="D14" s="3">
        <f t="shared" si="0"/>
        <v>-93.999999998981366</v>
      </c>
      <c r="E14" s="3">
        <f>ELEC!Q16</f>
        <v>2994.9999999989814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39.199999999999989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2980.3999999999069</v>
      </c>
      <c r="D15" s="3">
        <f t="shared" si="0"/>
        <v>-178.59999999974389</v>
      </c>
      <c r="E15" s="3">
        <f>ELEC!Q17</f>
        <v>3158.9999999996508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-15.299999999999983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2919.6000000000931</v>
      </c>
      <c r="D16" s="3">
        <f t="shared" si="0"/>
        <v>2919.6000000000931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-10.19999999999996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0</v>
      </c>
      <c r="B19" s="3">
        <f>ELEC!AF21</f>
        <v>-1333</v>
      </c>
      <c r="C19" s="3">
        <f>ELEC!N21</f>
        <v>3174</v>
      </c>
      <c r="D19" s="3">
        <f t="shared" si="0"/>
        <v>-2988.0000000002619</v>
      </c>
      <c r="E19" s="3">
        <f>ELEC!Q21</f>
        <v>6162.0000000002619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-14.700000000000045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2762</v>
      </c>
      <c r="D20" s="3">
        <f t="shared" si="0"/>
        <v>-66.000000001338776</v>
      </c>
      <c r="E20" s="3">
        <f>ELEC!Q22</f>
        <v>2828.0000000013388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26.69999999999996</v>
      </c>
      <c r="J20" s="9">
        <f>'B5'!A22</f>
        <v>44822</v>
      </c>
    </row>
    <row r="21" spans="1:10">
      <c r="A21" s="3">
        <f>ELEC!T23+ELEC!X23+ELEC!AB23</f>
        <v>3</v>
      </c>
      <c r="B21" s="3">
        <f>ELEC!AF23</f>
        <v>475</v>
      </c>
      <c r="C21" s="3">
        <f>ELEC!N23</f>
        <v>3770</v>
      </c>
      <c r="D21" s="3">
        <f t="shared" si="0"/>
        <v>-79.999999998544808</v>
      </c>
      <c r="E21" s="3">
        <f>ELEC!Q23</f>
        <v>3849.9999999985448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-9.7999999999999829</v>
      </c>
      <c r="J21" s="9">
        <f>'B5'!A23</f>
        <v>44823</v>
      </c>
    </row>
    <row r="22" spans="1:10">
      <c r="A22" s="3">
        <f>ELEC!T24+ELEC!X24+ELEC!AB24</f>
        <v>3</v>
      </c>
      <c r="B22" s="3">
        <f>ELEC!AF24</f>
        <v>1497</v>
      </c>
      <c r="C22" s="3">
        <f>ELEC!N24</f>
        <v>2856</v>
      </c>
      <c r="D22" s="3">
        <f t="shared" si="0"/>
        <v>-68.999999999272404</v>
      </c>
      <c r="E22" s="3">
        <f>ELEC!Q24</f>
        <v>2924.9999999992724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20.400000000000006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2510</v>
      </c>
      <c r="D23" s="3">
        <f t="shared" si="0"/>
        <v>-270.00000000247383</v>
      </c>
      <c r="E23" s="3">
        <f>ELEC!Q25</f>
        <v>2780.0000000024738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-20.399999999999977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-2.8999999999999773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3135</v>
      </c>
      <c r="D26" s="3">
        <f t="shared" si="0"/>
        <v>350.00000000014552</v>
      </c>
      <c r="E26" s="3">
        <f>ELEC!Q28</f>
        <v>2784.9999999998545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-29.100000000000051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2994</v>
      </c>
      <c r="D27" s="3">
        <f t="shared" si="0"/>
        <v>-87.999999998515705</v>
      </c>
      <c r="E27" s="3">
        <f>ELEC!Q29</f>
        <v>3081.9999999985157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-17.800000000000011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3601</v>
      </c>
      <c r="D28" s="3">
        <f t="shared" si="0"/>
        <v>-74.999999999476131</v>
      </c>
      <c r="E28" s="3">
        <f>ELEC!Q30</f>
        <v>3675.9999999994761</v>
      </c>
      <c r="F28" s="3">
        <f>GEN!Z28</f>
        <v>10</v>
      </c>
      <c r="G28" s="3">
        <f>WATER!C31+WATER!H31</f>
        <v>0</v>
      </c>
      <c r="H28" s="3">
        <f>WATER!L31</f>
        <v>0</v>
      </c>
      <c r="I28" s="15">
        <f>WATER!BC31+WATER!BD31+WATER!BE32-Sheet1!G28</f>
        <v>-20.799999999999983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2235</v>
      </c>
      <c r="D29" s="3">
        <f t="shared" si="0"/>
        <v>-46.9999999992433</v>
      </c>
      <c r="E29" s="3">
        <f>ELEC!Q31</f>
        <v>2281.9999999992433</v>
      </c>
      <c r="F29" s="3">
        <f>GEN!Z29</f>
        <v>12</v>
      </c>
      <c r="G29" s="3">
        <f>WATER!C32+WATER!H32</f>
        <v>0</v>
      </c>
      <c r="H29" s="3">
        <f>WATER!L32</f>
        <v>0</v>
      </c>
      <c r="I29" s="15">
        <f>WATER!BC32+WATER!BD32+WATER!BE33-Sheet1!G29</f>
        <v>-14.90000000000002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9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975.22784810143821</v>
      </c>
      <c r="E12" s="239">
        <f t="shared" si="0"/>
        <v>975.22784810143821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3789.0000000006694</v>
      </c>
      <c r="J12" s="79">
        <f>ELEC!R11</f>
        <v>-96.000000000669388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13.400000000000006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217</v>
      </c>
      <c r="C15" s="76">
        <f>'B5'!AH15</f>
        <v>0</v>
      </c>
      <c r="D15" s="76">
        <f>GEN!AI13</f>
        <v>1105.9789029532419</v>
      </c>
      <c r="E15" s="239">
        <f t="shared" si="0"/>
        <v>1322.9789029532419</v>
      </c>
      <c r="F15" s="75">
        <f>WATER!L15</f>
        <v>0</v>
      </c>
      <c r="G15" s="78">
        <f>WATER!BG15</f>
        <v>0</v>
      </c>
      <c r="H15" s="79">
        <f>ELEC!AF14</f>
        <v>384</v>
      </c>
      <c r="I15" s="79">
        <f>ELEC!Q14</f>
        <v>4296.9999999986612</v>
      </c>
      <c r="J15" s="79">
        <f>ELEC!R14</f>
        <v>-87.599999998754356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8</v>
      </c>
      <c r="C16" s="76">
        <f>'B5'!AH16</f>
        <v>0</v>
      </c>
      <c r="D16" s="76">
        <f>GEN!AI14</f>
        <v>838.04219409314169</v>
      </c>
      <c r="E16" s="239">
        <f t="shared" si="0"/>
        <v>846.04219409314169</v>
      </c>
      <c r="F16" s="75">
        <f>WATER!L16</f>
        <v>0</v>
      </c>
      <c r="G16" s="78">
        <f>WATER!BG16</f>
        <v>27.100000000000023</v>
      </c>
      <c r="H16" s="79">
        <f>ELEC!AF15</f>
        <v>0</v>
      </c>
      <c r="I16" s="79">
        <f>ELEC!Q15</f>
        <v>3256.0000000012224</v>
      </c>
      <c r="J16" s="79">
        <f>ELEC!R15</f>
        <v>-93.400000001129229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55</v>
      </c>
      <c r="C17" s="76">
        <f>'B5'!AH17</f>
        <v>132</v>
      </c>
      <c r="D17" s="76">
        <f>GEN!AI15</f>
        <v>770.86497890269152</v>
      </c>
      <c r="E17" s="239">
        <f t="shared" si="0"/>
        <v>957.86497890269152</v>
      </c>
      <c r="F17" s="75">
        <f>WATER!L17</f>
        <v>0</v>
      </c>
      <c r="G17" s="78">
        <f>WATER!BG17</f>
        <v>-37.599999999999994</v>
      </c>
      <c r="H17" s="79">
        <f>ELEC!AF16</f>
        <v>0</v>
      </c>
      <c r="I17" s="79">
        <f>ELEC!Q16</f>
        <v>2994.9999999989814</v>
      </c>
      <c r="J17" s="79">
        <f>ELEC!R16</f>
        <v>-93.999999998981366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81</v>
      </c>
      <c r="C18" s="76">
        <f>'B5'!AH18</f>
        <v>0</v>
      </c>
      <c r="D18" s="76">
        <f>GEN!AI16</f>
        <v>813.07594936699877</v>
      </c>
      <c r="E18" s="239">
        <f t="shared" si="0"/>
        <v>894.07594936699877</v>
      </c>
      <c r="F18" s="75">
        <f>WATER!L18</f>
        <v>0</v>
      </c>
      <c r="G18" s="78">
        <f>WATER!BG18</f>
        <v>-17.700000000000017</v>
      </c>
      <c r="H18" s="79">
        <f>ELEC!AF17</f>
        <v>0</v>
      </c>
      <c r="I18" s="79">
        <f>ELEC!Q17</f>
        <v>3158.9999999996508</v>
      </c>
      <c r="J18" s="79">
        <f>ELEC!R17</f>
        <v>-178.59999999974389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-10.19999999999996</v>
      </c>
      <c r="H19" s="79">
        <f>ELEC!AF18</f>
        <v>0</v>
      </c>
      <c r="I19" s="79">
        <f>ELEC!Q18</f>
        <v>0</v>
      </c>
      <c r="J19" s="79">
        <f>ELEC!R18</f>
        <v>2919.6000000000931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113</v>
      </c>
      <c r="C22" s="76">
        <f>'B5'!AH22</f>
        <v>0</v>
      </c>
      <c r="D22" s="76">
        <f>GEN!AI20</f>
        <v>1586.0000000000675</v>
      </c>
      <c r="E22" s="239">
        <f t="shared" si="0"/>
        <v>1699.0000000000675</v>
      </c>
      <c r="F22" s="75">
        <f>WATER!L22</f>
        <v>0</v>
      </c>
      <c r="G22" s="78">
        <f>WATER!BG22</f>
        <v>0</v>
      </c>
      <c r="H22" s="79">
        <f>ELEC!AF21</f>
        <v>-1333</v>
      </c>
      <c r="I22" s="79">
        <f>ELEC!Q21</f>
        <v>6162.0000000002619</v>
      </c>
      <c r="J22" s="79">
        <f>ELEC!R21</f>
        <v>-2988.0000000002619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113</v>
      </c>
      <c r="C23" s="76">
        <f>'B5'!AH23</f>
        <v>0</v>
      </c>
      <c r="D23" s="76">
        <f>GEN!AI21</f>
        <v>727.881856540429</v>
      </c>
      <c r="E23" s="239">
        <f t="shared" si="0"/>
        <v>840.881856540429</v>
      </c>
      <c r="F23" s="75">
        <f>WATER!L23</f>
        <v>0</v>
      </c>
      <c r="G23" s="78">
        <f>WATER!BG23</f>
        <v>-14.700000000000045</v>
      </c>
      <c r="H23" s="79">
        <f>ELEC!AF22</f>
        <v>0</v>
      </c>
      <c r="I23" s="79">
        <f>ELEC!Q22</f>
        <v>2828.0000000013388</v>
      </c>
      <c r="J23" s="79">
        <f>ELEC!R22</f>
        <v>-66.000000001338776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31</v>
      </c>
      <c r="C24" s="76">
        <f>'B5'!AH24</f>
        <v>0</v>
      </c>
      <c r="D24" s="76">
        <f>GEN!AI22</f>
        <v>990.92827004181959</v>
      </c>
      <c r="E24" s="239">
        <f t="shared" si="0"/>
        <v>1021.9282700418196</v>
      </c>
      <c r="F24" s="75">
        <f>WATER!L24</f>
        <v>0</v>
      </c>
      <c r="G24" s="78">
        <f>WATER!BG24</f>
        <v>40.5</v>
      </c>
      <c r="H24" s="79">
        <f>ELEC!AF23</f>
        <v>475</v>
      </c>
      <c r="I24" s="79">
        <f>ELEC!Q23</f>
        <v>3849.9999999985448</v>
      </c>
      <c r="J24" s="79">
        <f>ELEC!R23</f>
        <v>-79.999999998544808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119</v>
      </c>
      <c r="C25" s="76">
        <f>'B5'!AH25</f>
        <v>0</v>
      </c>
      <c r="D25" s="76">
        <f>GEN!AI23</f>
        <v>752.84810126563559</v>
      </c>
      <c r="E25" s="239">
        <f t="shared" si="0"/>
        <v>871.84810126563559</v>
      </c>
      <c r="F25" s="75">
        <f>WATER!L25</f>
        <v>0</v>
      </c>
      <c r="G25" s="78">
        <f>WATER!BG25</f>
        <v>-9.7999999999999829</v>
      </c>
      <c r="H25" s="79">
        <f>ELEC!AF24</f>
        <v>1497</v>
      </c>
      <c r="I25" s="79">
        <f>ELEC!Q24</f>
        <v>2924.9999999992724</v>
      </c>
      <c r="J25" s="79">
        <f>ELEC!R24</f>
        <v>-68.999999999272404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8</v>
      </c>
      <c r="C26" s="76">
        <f>'B5'!AH26</f>
        <v>93</v>
      </c>
      <c r="D26" s="76">
        <f>GEN!AI24</f>
        <v>715.5274261609743</v>
      </c>
      <c r="E26" s="239">
        <f t="shared" si="0"/>
        <v>816.5274261609743</v>
      </c>
      <c r="F26" s="75">
        <f>WATER!L26</f>
        <v>0</v>
      </c>
      <c r="G26" s="78">
        <f>WATER!BG26</f>
        <v>30.199999999999989</v>
      </c>
      <c r="H26" s="79">
        <f>ELEC!AF25</f>
        <v>0</v>
      </c>
      <c r="I26" s="79">
        <f>ELEC!Q25</f>
        <v>2780.0000000024738</v>
      </c>
      <c r="J26" s="79">
        <f>ELEC!R25</f>
        <v>-270.00000000247383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-1.0999999999999659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197</v>
      </c>
      <c r="C29" s="76">
        <f>'B5'!AH29</f>
        <v>0</v>
      </c>
      <c r="D29" s="76">
        <f>GEN!AI27</f>
        <v>716.81434599152374</v>
      </c>
      <c r="E29" s="77">
        <f t="shared" si="0"/>
        <v>913.81434599152374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2784.9999999998545</v>
      </c>
      <c r="J29" s="79">
        <f>ELEC!R28</f>
        <v>350.00000000014552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59</v>
      </c>
      <c r="C30" s="76">
        <f>'B5'!AH30</f>
        <v>0</v>
      </c>
      <c r="D30" s="76">
        <f>GEN!AI28</f>
        <v>793.2573839658628</v>
      </c>
      <c r="E30" s="77">
        <f t="shared" si="0"/>
        <v>852.2573839658628</v>
      </c>
      <c r="F30" s="75">
        <f>WATER!L30</f>
        <v>0</v>
      </c>
      <c r="G30" s="78">
        <f>WATER!BG30</f>
        <v>-29.100000000000051</v>
      </c>
      <c r="H30" s="79">
        <f>ELEC!AF29</f>
        <v>0</v>
      </c>
      <c r="I30" s="79">
        <f>ELEC!Q29</f>
        <v>3081.9999999985157</v>
      </c>
      <c r="J30" s="79">
        <f>ELEC!R29</f>
        <v>-87.999999998515705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109</v>
      </c>
      <c r="C31" s="76">
        <f>'B5'!AH31</f>
        <v>0</v>
      </c>
      <c r="D31" s="76">
        <f>GEN!AI29</f>
        <v>946.14345991547702</v>
      </c>
      <c r="E31" s="77">
        <f t="shared" si="0"/>
        <v>1055.143459915477</v>
      </c>
      <c r="F31" s="75">
        <f>WATER!L31</f>
        <v>0</v>
      </c>
      <c r="G31" s="78">
        <f>WATER!BG31</f>
        <v>-3.9999999999999716</v>
      </c>
      <c r="H31" s="79">
        <f>ELEC!AF30</f>
        <v>0</v>
      </c>
      <c r="I31" s="79">
        <f>ELEC!Q30</f>
        <v>3675.9999999994761</v>
      </c>
      <c r="J31" s="79">
        <f>ELEC!R30</f>
        <v>-74.999999999476131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41</v>
      </c>
      <c r="C32" s="76">
        <f>'B5'!AH32</f>
        <v>0</v>
      </c>
      <c r="D32" s="76">
        <f>GEN!AI30</f>
        <v>587.35021097026947</v>
      </c>
      <c r="E32" s="77">
        <f t="shared" si="0"/>
        <v>628.35021097026947</v>
      </c>
      <c r="F32" s="75">
        <f>WATER!L32</f>
        <v>0</v>
      </c>
      <c r="G32" s="78">
        <f>WATER!BG32</f>
        <v>-16.800000000000011</v>
      </c>
      <c r="H32" s="79">
        <f>ELEC!AF31</f>
        <v>0</v>
      </c>
      <c r="I32" s="79">
        <f>ELEC!Q31</f>
        <v>2281.9999999992433</v>
      </c>
      <c r="J32" s="79">
        <f>ELEC!R31</f>
        <v>-46.9999999992433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-8.0000000000000142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1</v>
      </c>
      <c r="G27">
        <f t="shared" si="1"/>
        <v>107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1</v>
      </c>
      <c r="E32">
        <f t="shared" si="0"/>
        <v>90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5" t="s">
        <v>417</v>
      </c>
      <c r="C5" s="676"/>
      <c r="D5" s="676"/>
      <c r="E5" s="676"/>
      <c r="F5" s="676"/>
      <c r="G5" s="677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8"/>
      <c r="C6" s="679"/>
      <c r="D6" s="679"/>
      <c r="E6" s="679"/>
      <c r="F6" s="679"/>
      <c r="G6" s="680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8"/>
      <c r="C7" s="679"/>
      <c r="D7" s="679"/>
      <c r="E7" s="679"/>
      <c r="F7" s="679"/>
      <c r="G7" s="680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8"/>
      <c r="C8" s="679"/>
      <c r="D8" s="679"/>
      <c r="E8" s="679"/>
      <c r="F8" s="679"/>
      <c r="G8" s="680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8"/>
      <c r="C9" s="679"/>
      <c r="D9" s="679"/>
      <c r="E9" s="679"/>
      <c r="F9" s="679"/>
      <c r="G9" s="680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8"/>
      <c r="C10" s="679"/>
      <c r="D10" s="679"/>
      <c r="E10" s="679"/>
      <c r="F10" s="679"/>
      <c r="G10" s="680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8"/>
      <c r="C11" s="679"/>
      <c r="D11" s="679"/>
      <c r="E11" s="679"/>
      <c r="F11" s="679"/>
      <c r="G11" s="680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8"/>
      <c r="C12" s="679"/>
      <c r="D12" s="679"/>
      <c r="E12" s="679"/>
      <c r="F12" s="679"/>
      <c r="G12" s="680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8"/>
      <c r="C13" s="679"/>
      <c r="D13" s="679"/>
      <c r="E13" s="679"/>
      <c r="F13" s="679"/>
      <c r="G13" s="680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8"/>
      <c r="C14" s="679"/>
      <c r="D14" s="679"/>
      <c r="E14" s="679"/>
      <c r="F14" s="679"/>
      <c r="G14" s="680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8"/>
      <c r="C15" s="679"/>
      <c r="D15" s="679"/>
      <c r="E15" s="679"/>
      <c r="F15" s="679"/>
      <c r="G15" s="680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8"/>
      <c r="C16" s="679"/>
      <c r="D16" s="679"/>
      <c r="E16" s="679"/>
      <c r="F16" s="679"/>
      <c r="G16" s="680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8"/>
      <c r="C17" s="679"/>
      <c r="D17" s="679"/>
      <c r="E17" s="679"/>
      <c r="F17" s="679"/>
      <c r="G17" s="680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8"/>
      <c r="C18" s="679"/>
      <c r="D18" s="679"/>
      <c r="E18" s="679"/>
      <c r="F18" s="679"/>
      <c r="G18" s="680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8"/>
      <c r="C19" s="679"/>
      <c r="D19" s="679"/>
      <c r="E19" s="679"/>
      <c r="F19" s="679"/>
      <c r="G19" s="680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8"/>
      <c r="C20" s="679"/>
      <c r="D20" s="679"/>
      <c r="E20" s="679"/>
      <c r="F20" s="679"/>
      <c r="G20" s="680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8"/>
      <c r="C21" s="679"/>
      <c r="D21" s="679"/>
      <c r="E21" s="679"/>
      <c r="F21" s="679"/>
      <c r="G21" s="680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8"/>
      <c r="C22" s="679"/>
      <c r="D22" s="679"/>
      <c r="E22" s="679"/>
      <c r="F22" s="679"/>
      <c r="G22" s="680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8"/>
      <c r="C23" s="679"/>
      <c r="D23" s="679"/>
      <c r="E23" s="679"/>
      <c r="F23" s="679"/>
      <c r="G23" s="680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8"/>
      <c r="C24" s="679"/>
      <c r="D24" s="679"/>
      <c r="E24" s="679"/>
      <c r="F24" s="679"/>
      <c r="G24" s="680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8"/>
      <c r="C25" s="679"/>
      <c r="D25" s="679"/>
      <c r="E25" s="679"/>
      <c r="F25" s="679"/>
      <c r="G25" s="680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8"/>
      <c r="C26" s="679"/>
      <c r="D26" s="679"/>
      <c r="E26" s="679"/>
      <c r="F26" s="679"/>
      <c r="G26" s="680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8"/>
      <c r="C27" s="679"/>
      <c r="D27" s="679"/>
      <c r="E27" s="679"/>
      <c r="F27" s="679"/>
      <c r="G27" s="680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8"/>
      <c r="C28" s="679"/>
      <c r="D28" s="679"/>
      <c r="E28" s="679"/>
      <c r="F28" s="679"/>
      <c r="G28" s="680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8"/>
      <c r="C29" s="679"/>
      <c r="D29" s="679"/>
      <c r="E29" s="679"/>
      <c r="F29" s="679"/>
      <c r="G29" s="680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8"/>
      <c r="C30" s="679"/>
      <c r="D30" s="679"/>
      <c r="E30" s="679"/>
      <c r="F30" s="679"/>
      <c r="G30" s="680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8"/>
      <c r="C31" s="679"/>
      <c r="D31" s="679"/>
      <c r="E31" s="679"/>
      <c r="F31" s="679"/>
      <c r="G31" s="680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8"/>
      <c r="C32" s="679"/>
      <c r="D32" s="679"/>
      <c r="E32" s="679"/>
      <c r="F32" s="679"/>
      <c r="G32" s="680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8"/>
      <c r="C33" s="679"/>
      <c r="D33" s="679"/>
      <c r="E33" s="679"/>
      <c r="F33" s="679"/>
      <c r="G33" s="680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8"/>
      <c r="C34" s="679"/>
      <c r="D34" s="679"/>
      <c r="E34" s="679"/>
      <c r="F34" s="679"/>
      <c r="G34" s="680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8"/>
      <c r="C35" s="679"/>
      <c r="D35" s="679"/>
      <c r="E35" s="679"/>
      <c r="F35" s="679"/>
      <c r="G35" s="680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1"/>
      <c r="C36" s="682"/>
      <c r="D36" s="682"/>
      <c r="E36" s="682"/>
      <c r="F36" s="682"/>
      <c r="G36" s="683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27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24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25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23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26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25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25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24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23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23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23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24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23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23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23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24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27</v>
      </c>
      <c r="L55" s="119">
        <f t="shared" si="6"/>
        <v>10.7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30</v>
      </c>
      <c r="K58" s="261">
        <f>'General information '!C15</f>
        <v>24</v>
      </c>
      <c r="L58" s="119">
        <f t="shared" si="6"/>
        <v>8.6999999999999993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29</v>
      </c>
      <c r="K59" s="261">
        <f>'General information '!C16</f>
        <v>25</v>
      </c>
      <c r="L59" s="119">
        <f t="shared" si="6"/>
        <v>8.6999999999999993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29</v>
      </c>
      <c r="K60" s="261">
        <f>'General information '!C17</f>
        <v>23</v>
      </c>
      <c r="L60" s="119">
        <f t="shared" si="6"/>
        <v>7.6999999999999993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30</v>
      </c>
      <c r="K61" s="261">
        <f>'General information '!C18</f>
        <v>26</v>
      </c>
      <c r="L61" s="119">
        <f t="shared" si="6"/>
        <v>9.6999999999999993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29</v>
      </c>
      <c r="K62" s="261">
        <f>'General information '!C19</f>
        <v>25</v>
      </c>
      <c r="L62" s="119">
        <f t="shared" si="6"/>
        <v>8.6999999999999993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29</v>
      </c>
      <c r="K65" s="261">
        <f>'General information '!C22</f>
        <v>25</v>
      </c>
      <c r="L65" s="119">
        <f t="shared" si="6"/>
        <v>8.6999999999999993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28</v>
      </c>
      <c r="K66" s="261">
        <f>'General information '!C23</f>
        <v>24</v>
      </c>
      <c r="L66" s="119">
        <f t="shared" si="6"/>
        <v>7.6999999999999993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28</v>
      </c>
      <c r="K67" s="261">
        <f>'General information '!C24</f>
        <v>23</v>
      </c>
      <c r="L67" s="119">
        <f t="shared" si="6"/>
        <v>7.1999999999999993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29</v>
      </c>
      <c r="K68" s="261">
        <f>'General information '!C25</f>
        <v>23</v>
      </c>
      <c r="L68" s="119">
        <f t="shared" si="6"/>
        <v>7.6999999999999993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29</v>
      </c>
      <c r="K69" s="261">
        <f>'General information '!C26</f>
        <v>23</v>
      </c>
      <c r="L69" s="119">
        <f t="shared" si="6"/>
        <v>7.6999999999999993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31</v>
      </c>
      <c r="K72" s="261">
        <f>'General information '!C29</f>
        <v>24</v>
      </c>
      <c r="L72" s="119">
        <f t="shared" si="6"/>
        <v>9.1999999999999993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30</v>
      </c>
      <c r="K73" s="261">
        <f>'General information '!C30</f>
        <v>23</v>
      </c>
      <c r="L73" s="119">
        <f t="shared" si="6"/>
        <v>8.1999999999999993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29</v>
      </c>
      <c r="K74" s="261">
        <f>'General information '!C31</f>
        <v>23</v>
      </c>
      <c r="L74" s="119">
        <f t="shared" si="6"/>
        <v>7.6999999999999993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29</v>
      </c>
      <c r="K75" s="261">
        <f>'General information '!C32</f>
        <v>23</v>
      </c>
      <c r="L75" s="119">
        <f t="shared" si="6"/>
        <v>7.6999999999999993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29</v>
      </c>
      <c r="K76" s="261">
        <f>'General information '!C33</f>
        <v>24</v>
      </c>
      <c r="L76" s="119">
        <f t="shared" si="6"/>
        <v>8.1999999999999993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-164.70000000000002</v>
      </c>
      <c r="K81" s="119">
        <f>SUMIF(L48:L78,"&gt;0")</f>
        <v>183.19999999999996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-3211.6000000000004</v>
      </c>
      <c r="O86" s="142">
        <f>C43+G43+K43+O43+S43+W43+C81+G81+K81+O81+S81+W81</f>
        <v>719.49999999999989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343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29519</v>
      </c>
      <c r="C8" s="466">
        <f>SUM(tanks!AU37)</f>
        <v>1.0535000000000001</v>
      </c>
      <c r="D8" s="191">
        <f>SUM(B8*C8)*D4</f>
        <v>46880636.748750001</v>
      </c>
      <c r="E8" s="192">
        <f>SUM(D8/D4/F4)</f>
        <v>1036.6088833333333</v>
      </c>
      <c r="F8" s="192">
        <f>SUM(E8*F4)</f>
        <v>31098.266499999998</v>
      </c>
      <c r="G8" s="568">
        <f>E8*$G$4</f>
        <v>30061.657616666667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116</v>
      </c>
      <c r="C10" s="181"/>
      <c r="D10" s="183">
        <f>'EDl log'!AB30</f>
        <v>7257517</v>
      </c>
      <c r="E10" s="182">
        <f>SUM(D10/D4/F4)</f>
        <v>160.47577667219457</v>
      </c>
      <c r="F10" s="182">
        <f>SUM(E10*F4)</f>
        <v>4814.2733001658371</v>
      </c>
      <c r="G10" s="478">
        <f>E10*$G$4</f>
        <v>4653.7975234936421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1470.4179933388612</v>
      </c>
      <c r="F12" s="180">
        <f>SUM(F6:F10)</f>
        <v>44112.539800165832</v>
      </c>
      <c r="G12" s="179">
        <f>SUM(G6:G10)</f>
        <v>42915.455140160309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183.19999999999996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-37213.444859839685</v>
      </c>
      <c r="I14" s="406">
        <f>SUM(G12-I12)</f>
        <v>-8328.4645802697996</v>
      </c>
    </row>
    <row r="15" spans="1:11">
      <c r="A15" s="428" t="s">
        <v>301</v>
      </c>
      <c r="B15" s="97">
        <f>'Degree Days 2022'!J81</f>
        <v>-164.70000000000002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233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30.333333333333343</v>
      </c>
    </row>
    <row r="19" spans="1:10">
      <c r="A19" s="489" t="s">
        <v>412</v>
      </c>
      <c r="B19" s="491">
        <f>GEN!AL34</f>
        <v>22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10.590909090909092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2022-09-30T13:10:41Z</dcterms:modified>
</cp:coreProperties>
</file>