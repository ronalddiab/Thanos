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Lotus Notes - Do Not Delete\Engr Admin\Utilities\HEP\2022\"/>
    </mc:Choice>
  </mc:AlternateContent>
  <xr:revisionPtr revIDLastSave="0" documentId="8_{E1A02FB5-44DD-4171-84ED-DFFDBD7CEE63}" xr6:coauthVersionLast="46" xr6:coauthVersionMax="46" xr10:uidLastSave="{00000000-0000-0000-0000-000000000000}"/>
  <bookViews>
    <workbookView xWindow="-120" yWindow="-120" windowWidth="29040" windowHeight="15840" activeTab="2" xr2:uid="{00000000-000D-0000-FFFF-FFFF00000000}"/>
  </bookViews>
  <sheets>
    <sheet name="Submetering" sheetId="3" r:id="rId1"/>
    <sheet name="TOTAL" sheetId="1" r:id="rId2"/>
    <sheet name="Hampshire Dail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J32" i="3" s="1"/>
  <c r="I10" i="2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H32" i="3" s="1"/>
  <c r="K9" i="2"/>
  <c r="I9" i="2"/>
  <c r="L7" i="2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K32" i="3" s="1"/>
  <c r="K7" i="2"/>
  <c r="K6" i="2" s="1"/>
  <c r="K5" i="2" s="1"/>
  <c r="K4" i="2" s="1"/>
  <c r="I7" i="2"/>
  <c r="I6" i="2" s="1"/>
  <c r="I5" i="2" s="1"/>
  <c r="I4" i="2" s="1"/>
  <c r="L5" i="2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E32" i="3"/>
  <c r="F32" i="3"/>
  <c r="G32" i="3"/>
  <c r="I32" i="3"/>
  <c r="L32" i="3"/>
  <c r="M32" i="3"/>
  <c r="G32" i="1" s="1"/>
  <c r="N32" i="3"/>
  <c r="I32" i="1" s="1"/>
  <c r="O32" i="3"/>
  <c r="P32" i="3"/>
  <c r="Q32" i="3"/>
  <c r="R32" i="3"/>
  <c r="S32" i="3"/>
  <c r="T32" i="3"/>
  <c r="U32" i="3"/>
  <c r="V32" i="3"/>
  <c r="W32" i="3"/>
  <c r="X32" i="3"/>
  <c r="Y32" i="3"/>
  <c r="Z32" i="3"/>
  <c r="K31" i="1"/>
  <c r="L31" i="1"/>
  <c r="E32" i="1"/>
  <c r="K32" i="1"/>
  <c r="L32" i="1"/>
  <c r="K29" i="1" l="1"/>
  <c r="L29" i="1"/>
  <c r="K30" i="1"/>
  <c r="L30" i="1"/>
  <c r="F7" i="3"/>
  <c r="F8" i="3"/>
  <c r="F9" i="3"/>
  <c r="Z3" i="3" l="1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V2" i="3"/>
  <c r="W2" i="3"/>
  <c r="V3" i="3"/>
  <c r="W3" i="3"/>
  <c r="V4" i="3"/>
  <c r="W4" i="3"/>
  <c r="V5" i="3"/>
  <c r="W5" i="3"/>
  <c r="V6" i="3"/>
  <c r="W6" i="3"/>
  <c r="V7" i="3"/>
  <c r="W7" i="3"/>
  <c r="V8" i="3"/>
  <c r="W8" i="3"/>
  <c r="V9" i="3"/>
  <c r="W9" i="3"/>
  <c r="V10" i="3"/>
  <c r="W10" i="3"/>
  <c r="V11" i="3"/>
  <c r="W11" i="3"/>
  <c r="V12" i="3"/>
  <c r="W12" i="3"/>
  <c r="V13" i="3"/>
  <c r="W13" i="3"/>
  <c r="V14" i="3"/>
  <c r="W14" i="3"/>
  <c r="V15" i="3"/>
  <c r="W15" i="3"/>
  <c r="V16" i="3"/>
  <c r="W16" i="3"/>
  <c r="V17" i="3"/>
  <c r="W17" i="3"/>
  <c r="V18" i="3"/>
  <c r="W18" i="3"/>
  <c r="V19" i="3"/>
  <c r="W19" i="3"/>
  <c r="V20" i="3"/>
  <c r="W20" i="3"/>
  <c r="V21" i="3"/>
  <c r="W21" i="3"/>
  <c r="V22" i="3"/>
  <c r="W22" i="3"/>
  <c r="X22" i="3"/>
  <c r="V23" i="3"/>
  <c r="W23" i="3"/>
  <c r="X23" i="3"/>
  <c r="V24" i="3"/>
  <c r="W24" i="3"/>
  <c r="X24" i="3"/>
  <c r="V25" i="3"/>
  <c r="W25" i="3"/>
  <c r="X25" i="3"/>
  <c r="V26" i="3"/>
  <c r="W26" i="3"/>
  <c r="X26" i="3"/>
  <c r="V27" i="3"/>
  <c r="W27" i="3"/>
  <c r="X27" i="3"/>
  <c r="V28" i="3"/>
  <c r="W28" i="3"/>
  <c r="X28" i="3"/>
  <c r="V29" i="3"/>
  <c r="W29" i="3"/>
  <c r="X29" i="3"/>
  <c r="V30" i="3"/>
  <c r="W30" i="3"/>
  <c r="X30" i="3"/>
  <c r="V31" i="3"/>
  <c r="W31" i="3"/>
  <c r="X3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E30" i="3"/>
  <c r="F30" i="3"/>
  <c r="G30" i="3"/>
  <c r="H30" i="3"/>
  <c r="I30" i="3"/>
  <c r="J30" i="3"/>
  <c r="K30" i="3"/>
  <c r="L30" i="3"/>
  <c r="M30" i="3"/>
  <c r="G30" i="1" s="1"/>
  <c r="N30" i="3"/>
  <c r="I30" i="1" s="1"/>
  <c r="O30" i="3"/>
  <c r="P30" i="3"/>
  <c r="Q30" i="3"/>
  <c r="R30" i="3"/>
  <c r="S30" i="3"/>
  <c r="E31" i="3"/>
  <c r="F31" i="3"/>
  <c r="G31" i="3"/>
  <c r="H31" i="3"/>
  <c r="I31" i="3"/>
  <c r="J31" i="3"/>
  <c r="K31" i="3"/>
  <c r="L31" i="3"/>
  <c r="M31" i="3"/>
  <c r="G31" i="1" s="1"/>
  <c r="N31" i="3"/>
  <c r="I31" i="1" s="1"/>
  <c r="O31" i="3"/>
  <c r="P31" i="3"/>
  <c r="Q31" i="3"/>
  <c r="R31" i="3"/>
  <c r="S31" i="3"/>
  <c r="E31" i="1" l="1"/>
  <c r="E30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L2" i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2" i="3"/>
  <c r="L2" i="3"/>
  <c r="M2" i="3"/>
  <c r="N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N22" i="3"/>
  <c r="O22" i="3"/>
  <c r="P22" i="3"/>
  <c r="Q22" i="3"/>
  <c r="L23" i="3"/>
  <c r="M23" i="3"/>
  <c r="N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G29" i="1" s="1"/>
  <c r="N29" i="3"/>
  <c r="I29" i="1" s="1"/>
  <c r="O29" i="3"/>
  <c r="P29" i="3"/>
  <c r="Q2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H2" i="3"/>
  <c r="G22" i="3"/>
  <c r="G23" i="3"/>
  <c r="G24" i="3"/>
  <c r="G25" i="3"/>
  <c r="G26" i="3"/>
  <c r="G27" i="3"/>
  <c r="G28" i="3"/>
  <c r="G29" i="3"/>
  <c r="F3" i="3"/>
  <c r="F4" i="3"/>
  <c r="F5" i="3"/>
  <c r="F6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9" i="1" s="1"/>
  <c r="E2" i="3"/>
  <c r="J3" i="3" l="1"/>
  <c r="H3" i="3"/>
  <c r="H4" i="3" l="1"/>
  <c r="J4" i="3"/>
  <c r="J5" i="3" l="1"/>
  <c r="H5" i="3"/>
  <c r="H6" i="3" l="1"/>
  <c r="J6" i="3"/>
  <c r="J7" i="3" l="1"/>
  <c r="H7" i="3"/>
  <c r="H8" i="3" l="1"/>
  <c r="J8" i="3"/>
  <c r="J9" i="3" l="1"/>
  <c r="H9" i="3"/>
  <c r="H10" i="3" l="1"/>
  <c r="J10" i="3"/>
  <c r="J11" i="3" l="1"/>
  <c r="H11" i="3"/>
  <c r="H12" i="3" l="1"/>
  <c r="J12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J13" i="3" l="1"/>
  <c r="H13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H14" i="3" l="1"/>
  <c r="J14" i="3"/>
  <c r="J15" i="3" l="1"/>
  <c r="H15" i="3"/>
  <c r="H16" i="3" l="1"/>
  <c r="J16" i="3"/>
  <c r="J17" i="3" l="1"/>
  <c r="H17" i="3"/>
  <c r="H18" i="3" l="1"/>
  <c r="J18" i="3"/>
  <c r="J19" i="3" l="1"/>
  <c r="H19" i="3"/>
  <c r="H20" i="3" l="1"/>
  <c r="J20" i="3"/>
  <c r="J21" i="3" l="1"/>
  <c r="H21" i="3"/>
  <c r="H22" i="3" l="1"/>
  <c r="J22" i="3"/>
  <c r="J23" i="3" l="1"/>
  <c r="H23" i="3"/>
  <c r="H24" i="3" l="1"/>
  <c r="J24" i="3"/>
  <c r="J25" i="3" l="1"/>
  <c r="H25" i="3"/>
  <c r="H26" i="3" l="1"/>
  <c r="J26" i="3"/>
  <c r="J27" i="3" l="1"/>
  <c r="H27" i="3"/>
  <c r="H28" i="3" l="1"/>
  <c r="H29" i="3"/>
  <c r="J28" i="3"/>
  <c r="J29" i="3"/>
</calcChain>
</file>

<file path=xl/sharedStrings.xml><?xml version="1.0" encoding="utf-8"?>
<sst xmlns="http://schemas.openxmlformats.org/spreadsheetml/2006/main" count="133" uniqueCount="59">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</sst>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2" xfId="0" applyBorder="1"/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2" fillId="3" borderId="2" xfId="1" applyFont="1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0" fillId="0" borderId="11" xfId="0" applyBorder="1"/>
    <xf numFmtId="0" fontId="0" fillId="0" borderId="7" xfId="0" applyBorder="1"/>
    <xf numFmtId="1" fontId="0" fillId="0" borderId="7" xfId="0" applyNumberFormat="1" applyBorder="1"/>
    <xf numFmtId="0" fontId="0" fillId="0" borderId="7" xfId="0" applyBorder="1" applyAlignment="1">
      <alignment horizontal="center"/>
    </xf>
    <xf numFmtId="0" fontId="8" fillId="0" borderId="2" xfId="0" applyFont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D32"/>
  <sheetViews>
    <sheetView zoomScale="85" zoomScaleNormal="85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Q40" sqref="Q40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10</v>
      </c>
      <c r="D2" s="1">
        <v>2021</v>
      </c>
      <c r="E2" s="4">
        <f>IF(('Hampshire Daily'!E5-'Hampshire Daily'!D4&lt;0),"0",('Hampshire Daily'!E5-'Hampshire Daily'!D4))</f>
        <v>4055</v>
      </c>
      <c r="F2" s="4">
        <f>IF(('Hampshire Daily'!G5-'Hampshire Daily'!F4&lt;0),"0",('Hampshire Daily'!G5-'Hampshire Daily'!F4))</f>
        <v>2198</v>
      </c>
      <c r="G2" s="4">
        <f>IF(('Hampshire Daily'!H5-'Hampshire Daily'!H4&lt;0),"0",('Hampshire Daily'!H5-'Hampshire Daily'!H4))</f>
        <v>0</v>
      </c>
      <c r="H2" s="4">
        <f>IF(('Hampshire Daily'!I5-'Hampshire Daily'!I4&lt;0),"0",('Hampshire Daily'!I5-'Hampshire Daily'!I4))</f>
        <v>2006.4000000003725</v>
      </c>
      <c r="I2" s="4">
        <f>IF(('Hampshire Daily'!J5-'Hampshire Daily'!J4&lt;0),"0",('Hampshire Daily'!J5-'Hampshire Daily'!J4))</f>
        <v>0</v>
      </c>
      <c r="J2" s="4" t="str">
        <f>IF(('Hampshire Daily'!L5-'Hampshire Daily'!K4&lt;0),"0",('Hampshire Daily'!L5-'Hampshire Daily'!K4))</f>
        <v>0</v>
      </c>
      <c r="K2" s="4">
        <f>IF(('Hampshire Daily'!M5-'Hampshire Daily'!L4&lt;0),"0",('Hampshire Daily'!M5-'Hampshire Daily'!L4))</f>
        <v>1717577</v>
      </c>
      <c r="L2" s="4" t="str">
        <f>IF(('Hampshire Daily'!N5-'Hampshire Daily'!M4&lt;0),"0",('Hampshire Daily'!N5-'Hampshire Daily'!M4))</f>
        <v>0</v>
      </c>
      <c r="M2" s="4" t="str">
        <f>IF(('Hampshire Daily'!O5-'Hampshire Daily'!N4&lt;0),"0",('Hampshire Daily'!O5-'Hampshire Daily'!N4))</f>
        <v>0</v>
      </c>
      <c r="N2" s="4">
        <f>IF(('Hampshire Daily'!P5-'Hampshire Daily'!O4&lt;0),"0",('Hampshire Daily'!P5-'Hampshire Daily'!O4))</f>
        <v>1151613</v>
      </c>
      <c r="O2" s="4" t="str">
        <f>IF(('Hampshire Daily'!Q5-'Hampshire Daily'!P4&lt;0),"0",('Hampshire Daily'!Q5-'Hampshire Daily'!P4))</f>
        <v>0</v>
      </c>
      <c r="P2" s="4">
        <f>IF(('Hampshire Daily'!R5-'Hampshire Daily'!Q4&lt;0),"0",('Hampshire Daily'!R5-'Hampshire Daily'!Q4))</f>
        <v>600388</v>
      </c>
      <c r="Q2" s="4" t="str">
        <f>IF(('Hampshire Daily'!S5-'Hampshire Daily'!R4&lt;0),"0",('Hampshire Daily'!S5-'Hampshire Daily'!R4))</f>
        <v>0</v>
      </c>
      <c r="R2" s="4" t="str">
        <f>IF(('Hampshire Daily'!V5-'Hampshire Daily'!U4&lt;0),"0",('Hampshire Daily'!V5-'Hampshire Daily'!U4))</f>
        <v>0</v>
      </c>
      <c r="S2" s="4" t="str">
        <f>IF(('Hampshire Daily'!W5-'Hampshire Daily'!V4&lt;0),"0",('Hampshire Daily'!W5-'Hampshire Daily'!V4))</f>
        <v>0</v>
      </c>
      <c r="T2" s="4">
        <f>IF(('Hampshire Daily'!X5-'Hampshire Daily'!W4&lt;0),"0",('Hampshire Daily'!X5-'Hampshire Daily'!W4))</f>
        <v>471.03</v>
      </c>
      <c r="U2" s="4">
        <f>IF(('Hampshire Daily'!Y5-'Hampshire Daily'!X4&lt;0),"0",('Hampshire Daily'!Y5-'Hampshire Daily'!X4))</f>
        <v>2928.6190000000001</v>
      </c>
      <c r="V2" s="4" t="str">
        <f>IF(('Hampshire Daily'!Z5-'Hampshire Daily'!Y4&lt;0),"0",('Hampshire Daily'!Z5-'Hampshire Daily'!Y4))</f>
        <v>0</v>
      </c>
      <c r="W2" s="4">
        <f>IF(('Hampshire Daily'!AA5-'Hampshire Daily'!Z4&lt;0),"0",('Hampshire Daily'!AA5-'Hampshire Daily'!Z4))</f>
        <v>2801</v>
      </c>
      <c r="X2" s="4">
        <f>IF(('Hampshire Daily'!AA5-'Hampshire Daily'!AA4&lt;0),"0",('Hampshire Daily'!AA5-'Hampshire Daily'!AA4))</f>
        <v>0</v>
      </c>
      <c r="Y2" s="4">
        <f>'Hampshire Daily'!B5</f>
        <v>0</v>
      </c>
      <c r="Z2" s="4">
        <f>'Hampshire Daily'!D5</f>
        <v>1114528</v>
      </c>
    </row>
    <row r="3" spans="1:30" x14ac:dyDescent="0.25">
      <c r="A3" s="3" t="s">
        <v>40</v>
      </c>
      <c r="B3" s="1">
        <f>B2+1</f>
        <v>2</v>
      </c>
      <c r="C3" s="17">
        <v>10</v>
      </c>
      <c r="D3" s="1">
        <v>2021</v>
      </c>
      <c r="E3" s="4">
        <f>IF(('Hampshire Daily'!E6-'Hampshire Daily'!E5&lt;0),"0",('Hampshire Daily'!E6-'Hampshire Daily'!E5))</f>
        <v>1851</v>
      </c>
      <c r="F3" s="4">
        <f>IF(('Hampshire Daily'!G6-'Hampshire Daily'!G5&lt;0),"0",('Hampshire Daily'!G6-'Hampshire Daily'!G5))</f>
        <v>3574</v>
      </c>
      <c r="G3" s="4">
        <f>IF(('Hampshire Daily'!H6-'Hampshire Daily'!H5&lt;0),"0",('Hampshire Daily'!H6-'Hampshire Daily'!H5))</f>
        <v>86</v>
      </c>
      <c r="H3" s="4">
        <f>IF(('Hampshire Daily'!I6-'Hampshire Daily'!I5&lt;0),"0",('Hampshire Daily'!I6-'Hampshire Daily'!I5))</f>
        <v>2006.4000000003725</v>
      </c>
      <c r="I3" s="4">
        <f>IF(('Hampshire Daily'!J6-'Hampshire Daily'!J5&lt;0),"0",('Hampshire Daily'!J6-'Hampshire Daily'!J5))</f>
        <v>0</v>
      </c>
      <c r="J3" s="4">
        <f>IF(('Hampshire Daily'!L6-'Hampshire Daily'!L5&lt;0),"0",('Hampshire Daily'!L6-'Hampshire Daily'!L5))</f>
        <v>1081</v>
      </c>
      <c r="K3" s="4">
        <f>IF(('Hampshire Daily'!M6-'Hampshire Daily'!M5&lt;0),"0",('Hampshire Daily'!M6-'Hampshire Daily'!M5))</f>
        <v>1</v>
      </c>
      <c r="L3" s="4">
        <f>IF(('Hampshire Daily'!N6-'Hampshire Daily'!N5&lt;0),"0",('Hampshire Daily'!N6-'Hampshire Daily'!N5))</f>
        <v>2368</v>
      </c>
      <c r="M3" s="4">
        <f>IF(('Hampshire Daily'!O6-'Hampshire Daily'!O5&lt;0),"0",('Hampshire Daily'!O6-'Hampshire Daily'!O5))</f>
        <v>127</v>
      </c>
      <c r="N3" s="4" t="str">
        <f>IF(('Hampshire Daily'!P6-'Hampshire Daily'!P5&lt;0),"0",('Hampshire Daily'!P6-'Hampshire Daily'!P5))</f>
        <v>0</v>
      </c>
      <c r="O3" s="4">
        <f>IF(('Hampshire Daily'!Q6-'Hampshire Daily'!Q5&lt;0),"0",('Hampshire Daily'!Q6-'Hampshire Daily'!Q5))</f>
        <v>0</v>
      </c>
      <c r="P3" s="4">
        <f>IF(('Hampshire Daily'!R6-'Hampshire Daily'!R5&lt;0),"0",('Hampshire Daily'!R6-'Hampshire Daily'!R5))</f>
        <v>0</v>
      </c>
      <c r="Q3" s="4">
        <f>IF(('Hampshire Daily'!S6-'Hampshire Daily'!S5&lt;0),"0",('Hampshire Daily'!S6-'Hampshire Daily'!S5))</f>
        <v>97</v>
      </c>
      <c r="R3" s="4">
        <f>IF(('Hampshire Daily'!V6-'Hampshire Daily'!V5&lt;0),"0",('Hampshire Daily'!V6-'Hampshire Daily'!V5))</f>
        <v>0</v>
      </c>
      <c r="S3" s="4">
        <f>IF(('Hampshire Daily'!W6-'Hampshire Daily'!W5&lt;0),"0",('Hampshire Daily'!W6-'Hampshire Daily'!W5))</f>
        <v>0</v>
      </c>
      <c r="T3" s="4">
        <f>IF(('Hampshire Daily'!X6-'Hampshire Daily'!X5&lt;0),"0",('Hampshire Daily'!X6-'Hampshire Daily'!X5))</f>
        <v>0.12400000000002365</v>
      </c>
      <c r="U3" s="4">
        <f>IF(('Hampshire Daily'!Y6-'Hampshire Daily'!Y5&lt;0),"0",('Hampshire Daily'!Y6-'Hampshire Daily'!Y5))</f>
        <v>1.0999999999967258E-2</v>
      </c>
      <c r="V3" s="4">
        <f>IF(('Hampshire Daily'!Z6-'Hampshire Daily'!Z5&lt;0),"0",('Hampshire Daily'!Z6-'Hampshire Daily'!Z5))</f>
        <v>0</v>
      </c>
      <c r="W3" s="4">
        <f>IF(('Hampshire Daily'!AA6-'Hampshire Daily'!AA5&lt;0),"0",('Hampshire Daily'!AA6-'Hampshire Daily'!AA5))</f>
        <v>7</v>
      </c>
      <c r="X3" s="4">
        <f>IF(('Hampshire Daily'!AA6-'Hampshire Daily'!AA5&lt;0),"0",('Hampshire Daily'!AA6-'Hampshire Daily'!AA5))</f>
        <v>7</v>
      </c>
      <c r="Y3" s="4">
        <f>'Hampshire Daily'!B6</f>
        <v>0</v>
      </c>
      <c r="Z3" s="4">
        <f>'Hampshire Daily'!D6</f>
        <v>1116376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1" si="0">B3+1</f>
        <v>3</v>
      </c>
      <c r="C4" s="17">
        <v>10</v>
      </c>
      <c r="D4" s="1">
        <v>2021</v>
      </c>
      <c r="E4" s="4">
        <f>IF(('Hampshire Daily'!E7-'Hampshire Daily'!E6&lt;0),"0",('Hampshire Daily'!E7-'Hampshire Daily'!E6))</f>
        <v>2102</v>
      </c>
      <c r="F4" s="4">
        <f>IF(('Hampshire Daily'!G7-'Hampshire Daily'!G6&lt;0),"0",('Hampshire Daily'!G7-'Hampshire Daily'!G6))</f>
        <v>6723</v>
      </c>
      <c r="G4" s="4">
        <f>IF(('Hampshire Daily'!H7-'Hampshire Daily'!H6&lt;0),"0",('Hampshire Daily'!H7-'Hampshire Daily'!H6))</f>
        <v>795</v>
      </c>
      <c r="H4" s="4">
        <f>IF(('Hampshire Daily'!I7-'Hampshire Daily'!I6&lt;0),"0",('Hampshire Daily'!I7-'Hampshire Daily'!I6))</f>
        <v>2006.4000000003725</v>
      </c>
      <c r="I4" s="4">
        <f>IF(('Hampshire Daily'!J7-'Hampshire Daily'!J6&lt;0),"0",('Hampshire Daily'!J7-'Hampshire Daily'!J6))</f>
        <v>0</v>
      </c>
      <c r="J4" s="4">
        <f>IF(('Hampshire Daily'!L7-'Hampshire Daily'!L6&lt;0),"0",('Hampshire Daily'!L7-'Hampshire Daily'!L6))</f>
        <v>1051</v>
      </c>
      <c r="K4" s="4">
        <f>IF(('Hampshire Daily'!M7-'Hampshire Daily'!M6&lt;0),"0",('Hampshire Daily'!M7-'Hampshire Daily'!M6))</f>
        <v>2</v>
      </c>
      <c r="L4" s="4">
        <f>IF(('Hampshire Daily'!N7-'Hampshire Daily'!N6&lt;0),"0",('Hampshire Daily'!N7-'Hampshire Daily'!N6))</f>
        <v>2359</v>
      </c>
      <c r="M4" s="4">
        <f>IF(('Hampshire Daily'!O7-'Hampshire Daily'!O6&lt;0),"0",('Hampshire Daily'!O7-'Hampshire Daily'!O6))</f>
        <v>154</v>
      </c>
      <c r="N4" s="4">
        <f>IF(('Hampshire Daily'!P7-'Hampshire Daily'!P6&lt;0),"0",('Hampshire Daily'!P7-'Hampshire Daily'!P6))</f>
        <v>1381662</v>
      </c>
      <c r="O4" s="4">
        <f>IF(('Hampshire Daily'!Q7-'Hampshire Daily'!Q6&lt;0),"0",('Hampshire Daily'!Q7-'Hampshire Daily'!Q6))</f>
        <v>0</v>
      </c>
      <c r="P4" s="4">
        <f>IF(('Hampshire Daily'!R7-'Hampshire Daily'!R6&lt;0),"0",('Hampshire Daily'!R7-'Hampshire Daily'!R6))</f>
        <v>0</v>
      </c>
      <c r="Q4" s="4">
        <f>IF(('Hampshire Daily'!S7-'Hampshire Daily'!S6&lt;0),"0",('Hampshire Daily'!S7-'Hampshire Daily'!S6))</f>
        <v>101</v>
      </c>
      <c r="R4" s="4">
        <f>IF(('Hampshire Daily'!V7-'Hampshire Daily'!V6&lt;0),"0",('Hampshire Daily'!V7-'Hampshire Daily'!V6))</f>
        <v>12</v>
      </c>
      <c r="S4" s="4">
        <f>IF(('Hampshire Daily'!W7-'Hampshire Daily'!W6&lt;0),"0",('Hampshire Daily'!W7-'Hampshire Daily'!W6))</f>
        <v>0</v>
      </c>
      <c r="T4" s="4">
        <f>IF(('Hampshire Daily'!X7-'Hampshire Daily'!X6&lt;0),"0",('Hampshire Daily'!X7-'Hampshire Daily'!X6))</f>
        <v>0.33600000000001273</v>
      </c>
      <c r="U4" s="4">
        <f>IF(('Hampshire Daily'!Y7-'Hampshire Daily'!Y6&lt;0),"0",('Hampshire Daily'!Y7-'Hampshire Daily'!Y6))</f>
        <v>1.4000000000123691E-2</v>
      </c>
      <c r="V4" s="4">
        <f>IF(('Hampshire Daily'!Z7-'Hampshire Daily'!Z6&lt;0),"0",('Hampshire Daily'!Z7-'Hampshire Daily'!Z6))</f>
        <v>0</v>
      </c>
      <c r="W4" s="4">
        <f>IF(('Hampshire Daily'!AA7-'Hampshire Daily'!AA6&lt;0),"0",('Hampshire Daily'!AA7-'Hampshire Daily'!AA6))</f>
        <v>6</v>
      </c>
      <c r="X4" s="4">
        <f>IF(('Hampshire Daily'!AA7-'Hampshire Daily'!AA6&lt;0),"0",('Hampshire Daily'!AA7-'Hampshire Daily'!AA6))</f>
        <v>6</v>
      </c>
      <c r="Y4" s="4">
        <f>'Hampshire Daily'!B7</f>
        <v>0</v>
      </c>
      <c r="Z4" s="4">
        <f>'Hampshire Daily'!D7</f>
        <v>1118474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10</v>
      </c>
      <c r="D5" s="1">
        <v>2021</v>
      </c>
      <c r="E5" s="4">
        <f>IF(('Hampshire Daily'!E8-'Hampshire Daily'!E7&lt;0),"0",('Hampshire Daily'!E8-'Hampshire Daily'!E7))</f>
        <v>2725</v>
      </c>
      <c r="F5" s="4">
        <f>IF(('Hampshire Daily'!G8-'Hampshire Daily'!G7&lt;0),"0",('Hampshire Daily'!G8-'Hampshire Daily'!G7))</f>
        <v>3536</v>
      </c>
      <c r="G5" s="4">
        <f>IF(('Hampshire Daily'!H8-'Hampshire Daily'!H7&lt;0),"0",('Hampshire Daily'!H8-'Hampshire Daily'!H7))</f>
        <v>85</v>
      </c>
      <c r="H5" s="4">
        <f>IF(('Hampshire Daily'!I8-'Hampshire Daily'!I7&lt;0),"0",('Hampshire Daily'!I8-'Hampshire Daily'!I7))</f>
        <v>2006.4000000003725</v>
      </c>
      <c r="I5" s="4">
        <f>IF(('Hampshire Daily'!J8-'Hampshire Daily'!J7&lt;0),"0",('Hampshire Daily'!J8-'Hampshire Daily'!J7))</f>
        <v>0</v>
      </c>
      <c r="J5" s="4">
        <f>IF(('Hampshire Daily'!L8-'Hampshire Daily'!L7&lt;0),"0",('Hampshire Daily'!L8-'Hampshire Daily'!L7))</f>
        <v>1051</v>
      </c>
      <c r="K5" s="4">
        <f>IF(('Hampshire Daily'!M8-'Hampshire Daily'!M7&lt;0),"0",('Hampshire Daily'!M8-'Hampshire Daily'!M7))</f>
        <v>163</v>
      </c>
      <c r="L5" s="4">
        <f>IF(('Hampshire Daily'!N8-'Hampshire Daily'!N7&lt;0),"0",('Hampshire Daily'!N8-'Hampshire Daily'!N7))</f>
        <v>2514</v>
      </c>
      <c r="M5" s="4">
        <f>IF(('Hampshire Daily'!O8-'Hampshire Daily'!O7&lt;0),"0",('Hampshire Daily'!O8-'Hampshire Daily'!O7))</f>
        <v>117.5</v>
      </c>
      <c r="N5" s="4">
        <f>IF(('Hampshire Daily'!P8-'Hampshire Daily'!P7&lt;0),"0",('Hampshire Daily'!P8-'Hampshire Daily'!P7))</f>
        <v>736</v>
      </c>
      <c r="O5" s="4">
        <f>IF(('Hampshire Daily'!Q8-'Hampshire Daily'!Q7&lt;0),"0",('Hampshire Daily'!Q8-'Hampshire Daily'!Q7))</f>
        <v>0</v>
      </c>
      <c r="P5" s="4">
        <f>IF(('Hampshire Daily'!R8-'Hampshire Daily'!R7&lt;0),"0",('Hampshire Daily'!R8-'Hampshire Daily'!R7))</f>
        <v>0</v>
      </c>
      <c r="Q5" s="4">
        <f>IF(('Hampshire Daily'!S8-'Hampshire Daily'!S7&lt;0),"0",('Hampshire Daily'!S8-'Hampshire Daily'!S7))</f>
        <v>104</v>
      </c>
      <c r="R5" s="4">
        <f>IF(('Hampshire Daily'!V8-'Hampshire Daily'!V7&lt;0),"0",('Hampshire Daily'!V8-'Hampshire Daily'!V7))</f>
        <v>0</v>
      </c>
      <c r="S5" s="4">
        <f>IF(('Hampshire Daily'!W8-'Hampshire Daily'!W7&lt;0),"0",('Hampshire Daily'!W8-'Hampshire Daily'!W7))</f>
        <v>0</v>
      </c>
      <c r="T5" s="4">
        <f>IF(('Hampshire Daily'!X8-'Hampshire Daily'!X7&lt;0),"0",('Hampshire Daily'!X8-'Hampshire Daily'!X7))</f>
        <v>0.16399999999998727</v>
      </c>
      <c r="U5" s="4">
        <f>IF(('Hampshire Daily'!Y8-'Hampshire Daily'!Y7&lt;0),"0",('Hampshire Daily'!Y8-'Hampshire Daily'!Y7))</f>
        <v>1.3999999999668944E-2</v>
      </c>
      <c r="V5" s="4">
        <f>IF(('Hampshire Daily'!Z8-'Hampshire Daily'!Z7&lt;0),"0",('Hampshire Daily'!Z8-'Hampshire Daily'!Z7))</f>
        <v>0</v>
      </c>
      <c r="W5" s="4">
        <f>IF(('Hampshire Daily'!AA8-'Hampshire Daily'!AA7&lt;0),"0",('Hampshire Daily'!AA8-'Hampshire Daily'!AA7))</f>
        <v>4</v>
      </c>
      <c r="X5" s="4">
        <f>IF(('Hampshire Daily'!AA8-'Hampshire Daily'!AA7&lt;0),"0",('Hampshire Daily'!AA8-'Hampshire Daily'!AA7))</f>
        <v>4</v>
      </c>
      <c r="Y5" s="4">
        <f>'Hampshire Daily'!B8</f>
        <v>0</v>
      </c>
      <c r="Z5" s="4">
        <f>'Hampshire Daily'!D8</f>
        <v>1121194</v>
      </c>
    </row>
    <row r="6" spans="1:30" x14ac:dyDescent="0.25">
      <c r="A6" s="3" t="s">
        <v>40</v>
      </c>
      <c r="B6" s="1">
        <f t="shared" si="0"/>
        <v>5</v>
      </c>
      <c r="C6" s="17">
        <v>10</v>
      </c>
      <c r="D6" s="1">
        <v>2021</v>
      </c>
      <c r="E6" s="4">
        <f>IF(('Hampshire Daily'!E9-'Hampshire Daily'!E8&lt;0),"0",('Hampshire Daily'!E9-'Hampshire Daily'!E8))</f>
        <v>3730</v>
      </c>
      <c r="F6" s="4">
        <f>IF(('Hampshire Daily'!G9-'Hampshire Daily'!G8&lt;0),"0",('Hampshire Daily'!G9-'Hampshire Daily'!G8))</f>
        <v>5349</v>
      </c>
      <c r="G6" s="4">
        <f>IF(('Hampshire Daily'!H9-'Hampshire Daily'!H8&lt;0),"0",('Hampshire Daily'!H9-'Hampshire Daily'!H8))</f>
        <v>614</v>
      </c>
      <c r="H6" s="4">
        <f>IF(('Hampshire Daily'!I9-'Hampshire Daily'!I8&lt;0),"0",('Hampshire Daily'!I9-'Hampshire Daily'!I8))</f>
        <v>2006.4000000003725</v>
      </c>
      <c r="I6" s="4">
        <f>IF(('Hampshire Daily'!J9-'Hampshire Daily'!J8&lt;0),"0",('Hampshire Daily'!J9-'Hampshire Daily'!J8))</f>
        <v>0</v>
      </c>
      <c r="J6" s="4">
        <f>IF(('Hampshire Daily'!L9-'Hampshire Daily'!L8&lt;0),"0",('Hampshire Daily'!L9-'Hampshire Daily'!L8))</f>
        <v>1051</v>
      </c>
      <c r="K6" s="4">
        <f>IF(('Hampshire Daily'!M9-'Hampshire Daily'!M8&lt;0),"0",('Hampshire Daily'!M9-'Hampshire Daily'!M8))</f>
        <v>350</v>
      </c>
      <c r="L6" s="4">
        <f>IF(('Hampshire Daily'!N9-'Hampshire Daily'!N8&lt;0),"0",('Hampshire Daily'!N9-'Hampshire Daily'!N8))</f>
        <v>2953</v>
      </c>
      <c r="M6" s="4">
        <f>IF(('Hampshire Daily'!O9-'Hampshire Daily'!O8&lt;0),"0",('Hampshire Daily'!O9-'Hampshire Daily'!O8))</f>
        <v>117.5</v>
      </c>
      <c r="N6" s="4">
        <f>IF(('Hampshire Daily'!P9-'Hampshire Daily'!P8&lt;0),"0",('Hampshire Daily'!P9-'Hampshire Daily'!P8))</f>
        <v>323</v>
      </c>
      <c r="O6" s="4">
        <f>IF(('Hampshire Daily'!Q9-'Hampshire Daily'!Q8&lt;0),"0",('Hampshire Daily'!Q9-'Hampshire Daily'!Q8))</f>
        <v>0</v>
      </c>
      <c r="P6" s="4">
        <f>IF(('Hampshire Daily'!R9-'Hampshire Daily'!R8&lt;0),"0",('Hampshire Daily'!R9-'Hampshire Daily'!R8))</f>
        <v>322</v>
      </c>
      <c r="Q6" s="4">
        <f>IF(('Hampshire Daily'!S9-'Hampshire Daily'!S8&lt;0),"0",('Hampshire Daily'!S9-'Hampshire Daily'!S8))</f>
        <v>103</v>
      </c>
      <c r="R6" s="4">
        <f>IF(('Hampshire Daily'!V9-'Hampshire Daily'!V8&lt;0),"0",('Hampshire Daily'!V9-'Hampshire Daily'!V8))</f>
        <v>2</v>
      </c>
      <c r="S6" s="4">
        <f>IF(('Hampshire Daily'!W9-'Hampshire Daily'!W8&lt;0),"0",('Hampshire Daily'!W9-'Hampshire Daily'!W8))</f>
        <v>0</v>
      </c>
      <c r="T6" s="4">
        <f>IF(('Hampshire Daily'!X9-'Hampshire Daily'!X8&lt;0),"0",('Hampshire Daily'!X9-'Hampshire Daily'!X8))</f>
        <v>0.29499999999995907</v>
      </c>
      <c r="U6" s="4">
        <f>IF(('Hampshire Daily'!Y9-'Hampshire Daily'!Y8&lt;0),"0",('Hampshire Daily'!Y9-'Hampshire Daily'!Y8))</f>
        <v>1.5000000000327418E-2</v>
      </c>
      <c r="V6" s="4">
        <f>IF(('Hampshire Daily'!Z9-'Hampshire Daily'!Z8&lt;0),"0",('Hampshire Daily'!Z9-'Hampshire Daily'!Z8))</f>
        <v>0</v>
      </c>
      <c r="W6" s="4">
        <f>IF(('Hampshire Daily'!AA9-'Hampshire Daily'!AA8&lt;0),"0",('Hampshire Daily'!AA9-'Hampshire Daily'!AA8))</f>
        <v>5</v>
      </c>
      <c r="X6" s="4">
        <f>IF(('Hampshire Daily'!AA9-'Hampshire Daily'!AA8&lt;0),"0",('Hampshire Daily'!AA9-'Hampshire Daily'!AA8))</f>
        <v>5</v>
      </c>
      <c r="Y6" s="4">
        <f>'Hampshire Daily'!B9</f>
        <v>0</v>
      </c>
      <c r="Z6" s="4">
        <f>'Hampshire Daily'!D9</f>
        <v>1124918</v>
      </c>
    </row>
    <row r="7" spans="1:30" x14ac:dyDescent="0.25">
      <c r="A7" s="3" t="s">
        <v>40</v>
      </c>
      <c r="B7" s="1">
        <f t="shared" si="0"/>
        <v>6</v>
      </c>
      <c r="C7" s="17">
        <v>10</v>
      </c>
      <c r="D7" s="1">
        <v>2021</v>
      </c>
      <c r="E7" s="4">
        <f>IF(('Hampshire Daily'!E10-'Hampshire Daily'!E9&lt;0),"0",('Hampshire Daily'!E10-'Hampshire Daily'!E9))</f>
        <v>4368</v>
      </c>
      <c r="F7" s="4">
        <f>IF(('Hampshire Daily'!G10-'Hampshire Daily'!G9&lt;0),"0",('Hampshire Daily'!G10-'Hampshire Daily'!G9))</f>
        <v>2395</v>
      </c>
      <c r="G7" s="4">
        <f>IF(('Hampshire Daily'!H10-'Hampshire Daily'!H9&lt;0),"0",('Hampshire Daily'!H10-'Hampshire Daily'!H9))</f>
        <v>53</v>
      </c>
      <c r="H7" s="4">
        <f>IF(('Hampshire Daily'!I10-'Hampshire Daily'!I9&lt;0),"0",('Hampshire Daily'!I10-'Hampshire Daily'!I9))</f>
        <v>2006.4000000003725</v>
      </c>
      <c r="I7" s="4">
        <f>IF(('Hampshire Daily'!J10-'Hampshire Daily'!J9&lt;0),"0",('Hampshire Daily'!J10-'Hampshire Daily'!J9))</f>
        <v>0</v>
      </c>
      <c r="J7" s="4">
        <f>IF(('Hampshire Daily'!L10-'Hampshire Daily'!L9&lt;0),"0",('Hampshire Daily'!L10-'Hampshire Daily'!L9))</f>
        <v>1051</v>
      </c>
      <c r="K7" s="4">
        <f>IF(('Hampshire Daily'!M10-'Hampshire Daily'!M9&lt;0),"0",('Hampshire Daily'!M10-'Hampshire Daily'!M9))</f>
        <v>373</v>
      </c>
      <c r="L7" s="4">
        <f>IF(('Hampshire Daily'!N10-'Hampshire Daily'!N9&lt;0),"0",('Hampshire Daily'!N10-'Hampshire Daily'!N9))</f>
        <v>3216</v>
      </c>
      <c r="M7" s="4">
        <f>IF(('Hampshire Daily'!O10-'Hampshire Daily'!O9&lt;0),"0",('Hampshire Daily'!O10-'Hampshire Daily'!O9))</f>
        <v>117</v>
      </c>
      <c r="N7" s="4">
        <f>IF(('Hampshire Daily'!P10-'Hampshire Daily'!P9&lt;0),"0",('Hampshire Daily'!P10-'Hampshire Daily'!P9))</f>
        <v>0</v>
      </c>
      <c r="O7" s="4">
        <f>IF(('Hampshire Daily'!Q10-'Hampshire Daily'!Q9&lt;0),"0",('Hampshire Daily'!Q10-'Hampshire Daily'!Q9))</f>
        <v>0</v>
      </c>
      <c r="P7" s="4">
        <f>IF(('Hampshire Daily'!R10-'Hampshire Daily'!R9&lt;0),"0",('Hampshire Daily'!R10-'Hampshire Daily'!R9))</f>
        <v>568</v>
      </c>
      <c r="Q7" s="4">
        <f>IF(('Hampshire Daily'!S10-'Hampshire Daily'!S9&lt;0),"0",('Hampshire Daily'!S10-'Hampshire Daily'!S9))</f>
        <v>88</v>
      </c>
      <c r="R7" s="4">
        <f>IF(('Hampshire Daily'!V10-'Hampshire Daily'!V9&lt;0),"0",('Hampshire Daily'!V10-'Hampshire Daily'!V9))</f>
        <v>1</v>
      </c>
      <c r="S7" s="4">
        <f>IF(('Hampshire Daily'!W10-'Hampshire Daily'!W9&lt;0),"0",('Hampshire Daily'!W10-'Hampshire Daily'!W9))</f>
        <v>0</v>
      </c>
      <c r="T7" s="4">
        <f>IF(('Hampshire Daily'!X10-'Hampshire Daily'!X9&lt;0),"0",('Hampshire Daily'!X10-'Hampshire Daily'!X9))</f>
        <v>0.27700000000004366</v>
      </c>
      <c r="U7" s="4">
        <f>IF(('Hampshire Daily'!Y10-'Hampshire Daily'!Y9&lt;0),"0",('Hampshire Daily'!Y10-'Hampshire Daily'!Y9))</f>
        <v>1.3999999999668944E-2</v>
      </c>
      <c r="V7" s="4">
        <f>IF(('Hampshire Daily'!Z10-'Hampshire Daily'!Z9&lt;0),"0",('Hampshire Daily'!Z10-'Hampshire Daily'!Z9))</f>
        <v>0</v>
      </c>
      <c r="W7" s="4">
        <f>IF(('Hampshire Daily'!AA10-'Hampshire Daily'!AA9&lt;0),"0",('Hampshire Daily'!AA10-'Hampshire Daily'!AA9))</f>
        <v>3</v>
      </c>
      <c r="X7" s="4">
        <f>IF(('Hampshire Daily'!AA10-'Hampshire Daily'!AA9&lt;0),"0",('Hampshire Daily'!AA10-'Hampshire Daily'!AA9))</f>
        <v>3</v>
      </c>
      <c r="Y7" s="4">
        <f>'Hampshire Daily'!B10</f>
        <v>0</v>
      </c>
      <c r="Z7" s="4">
        <f>'Hampshire Daily'!D10</f>
        <v>1129278</v>
      </c>
    </row>
    <row r="8" spans="1:30" x14ac:dyDescent="0.25">
      <c r="A8" s="3" t="s">
        <v>40</v>
      </c>
      <c r="B8" s="1">
        <f t="shared" si="0"/>
        <v>7</v>
      </c>
      <c r="C8" s="17">
        <v>10</v>
      </c>
      <c r="D8" s="1">
        <v>2021</v>
      </c>
      <c r="E8" s="4">
        <f>IF(('Hampshire Daily'!E11-'Hampshire Daily'!E10&lt;0),"0",('Hampshire Daily'!E11-'Hampshire Daily'!E10))</f>
        <v>3130</v>
      </c>
      <c r="F8" s="4">
        <f>IF(('Hampshire Daily'!G11-'Hampshire Daily'!G10&lt;0),"0",('Hampshire Daily'!G11-'Hampshire Daily'!G10))</f>
        <v>2022</v>
      </c>
      <c r="G8" s="4" t="str">
        <f>IF(('Hampshire Daily'!H11-'Hampshire Daily'!H10&lt;0),"0",('Hampshire Daily'!H11-'Hampshire Daily'!H10))</f>
        <v>0</v>
      </c>
      <c r="H8" s="4">
        <f>IF(('Hampshire Daily'!I11-'Hampshire Daily'!I10&lt;0),"0",('Hampshire Daily'!I11-'Hampshire Daily'!I10))</f>
        <v>2006.4000000003725</v>
      </c>
      <c r="I8" s="4">
        <f>IF(('Hampshire Daily'!J11-'Hampshire Daily'!J10&lt;0),"0",('Hampshire Daily'!J11-'Hampshire Daily'!J10))</f>
        <v>0</v>
      </c>
      <c r="J8" s="4">
        <f>IF(('Hampshire Daily'!L11-'Hampshire Daily'!L10&lt;0),"0",('Hampshire Daily'!L11-'Hampshire Daily'!L10))</f>
        <v>1051</v>
      </c>
      <c r="K8" s="4">
        <f>IF(('Hampshire Daily'!M11-'Hampshire Daily'!M10&lt;0),"0",('Hampshire Daily'!M11-'Hampshire Daily'!M10))</f>
        <v>44</v>
      </c>
      <c r="L8" s="4">
        <f>IF(('Hampshire Daily'!N11-'Hampshire Daily'!N10&lt;0),"0",('Hampshire Daily'!N11-'Hampshire Daily'!N10))</f>
        <v>3496</v>
      </c>
      <c r="M8" s="4">
        <f>IF(('Hampshire Daily'!O11-'Hampshire Daily'!O10&lt;0),"0",('Hampshire Daily'!O11-'Hampshire Daily'!O10))</f>
        <v>114</v>
      </c>
      <c r="N8" s="4">
        <f>IF(('Hampshire Daily'!P11-'Hampshire Daily'!P10&lt;0),"0",('Hampshire Daily'!P11-'Hampshire Daily'!P10))</f>
        <v>0</v>
      </c>
      <c r="O8" s="4">
        <f>IF(('Hampshire Daily'!Q11-'Hampshire Daily'!Q10&lt;0),"0",('Hampshire Daily'!Q11-'Hampshire Daily'!Q10))</f>
        <v>0</v>
      </c>
      <c r="P8" s="4">
        <f>IF(('Hampshire Daily'!R11-'Hampshire Daily'!R10&lt;0),"0",('Hampshire Daily'!R11-'Hampshire Daily'!R10))</f>
        <v>445</v>
      </c>
      <c r="Q8" s="4">
        <f>IF(('Hampshire Daily'!S11-'Hampshire Daily'!S10&lt;0),"0",('Hampshire Daily'!S11-'Hampshire Daily'!S10))</f>
        <v>86</v>
      </c>
      <c r="R8" s="4">
        <f>IF(('Hampshire Daily'!V11-'Hampshire Daily'!V10&lt;0),"0",('Hampshire Daily'!V11-'Hampshire Daily'!V10))</f>
        <v>1</v>
      </c>
      <c r="S8" s="4">
        <f>IF(('Hampshire Daily'!W11-'Hampshire Daily'!W10&lt;0),"0",('Hampshire Daily'!W11-'Hampshire Daily'!W10))</f>
        <v>0</v>
      </c>
      <c r="T8" s="4">
        <f>IF(('Hampshire Daily'!X11-'Hampshire Daily'!X10&lt;0),"0",('Hampshire Daily'!X11-'Hampshire Daily'!X10))</f>
        <v>0.23599999999999</v>
      </c>
      <c r="U8" s="4">
        <f>IF(('Hampshire Daily'!Y11-'Hampshire Daily'!Y10&lt;0),"0",('Hampshire Daily'!Y11-'Hampshire Daily'!Y10))</f>
        <v>1.0000000002037268E-3</v>
      </c>
      <c r="V8" s="4">
        <f>IF(('Hampshire Daily'!Z11-'Hampshire Daily'!Z10&lt;0),"0",('Hampshire Daily'!Z11-'Hampshire Daily'!Z10))</f>
        <v>0</v>
      </c>
      <c r="W8" s="4">
        <f>IF(('Hampshire Daily'!AA11-'Hampshire Daily'!AA10&lt;0),"0",('Hampshire Daily'!AA11-'Hampshire Daily'!AA10))</f>
        <v>3</v>
      </c>
      <c r="X8" s="4">
        <f>IF(('Hampshire Daily'!AA11-'Hampshire Daily'!AA10&lt;0),"0",('Hampshire Daily'!AA11-'Hampshire Daily'!AA10))</f>
        <v>3</v>
      </c>
      <c r="Y8" s="4">
        <f>'Hampshire Daily'!B11</f>
        <v>0</v>
      </c>
      <c r="Z8" s="4">
        <f>'Hampshire Daily'!D11</f>
        <v>1132405</v>
      </c>
    </row>
    <row r="9" spans="1:30" x14ac:dyDescent="0.25">
      <c r="A9" s="3" t="s">
        <v>40</v>
      </c>
      <c r="B9" s="1">
        <f t="shared" si="0"/>
        <v>8</v>
      </c>
      <c r="C9" s="17">
        <v>10</v>
      </c>
      <c r="D9" s="1">
        <v>2021</v>
      </c>
      <c r="E9" s="4">
        <f>IF(('Hampshire Daily'!E12-'Hampshire Daily'!E11&lt;0),"0",('Hampshire Daily'!E12-'Hampshire Daily'!E11))</f>
        <v>2519</v>
      </c>
      <c r="F9" s="4">
        <f>IF(('Hampshire Daily'!G12-'Hampshire Daily'!G11&lt;0),"0",('Hampshire Daily'!G12-'Hampshire Daily'!G11))</f>
        <v>2493</v>
      </c>
      <c r="G9" s="4">
        <f>IF(('Hampshire Daily'!H12-'Hampshire Daily'!H11&lt;0),"0",('Hampshire Daily'!H12-'Hampshire Daily'!H11))</f>
        <v>30000</v>
      </c>
      <c r="H9" s="4">
        <f>IF(('Hampshire Daily'!I12-'Hampshire Daily'!I11&lt;0),"0",('Hampshire Daily'!I12-'Hampshire Daily'!I11))</f>
        <v>2006.4000000003725</v>
      </c>
      <c r="I9" s="4">
        <f>IF(('Hampshire Daily'!J12-'Hampshire Daily'!J11&lt;0),"0",('Hampshire Daily'!J12-'Hampshire Daily'!J11))</f>
        <v>0</v>
      </c>
      <c r="J9" s="4">
        <f>IF(('Hampshire Daily'!L12-'Hampshire Daily'!L11&lt;0),"0",('Hampshire Daily'!L12-'Hampshire Daily'!L11))</f>
        <v>1051</v>
      </c>
      <c r="K9" s="4">
        <f>IF(('Hampshire Daily'!M12-'Hampshire Daily'!M11&lt;0),"0",('Hampshire Daily'!M12-'Hampshire Daily'!M11))</f>
        <v>4</v>
      </c>
      <c r="L9" s="4">
        <f>IF(('Hampshire Daily'!N12-'Hampshire Daily'!N11&lt;0),"0",('Hampshire Daily'!N12-'Hampshire Daily'!N11))</f>
        <v>3460</v>
      </c>
      <c r="M9" s="4">
        <f>IF(('Hampshire Daily'!O12-'Hampshire Daily'!O11&lt;0),"0",('Hampshire Daily'!O12-'Hampshire Daily'!O11))</f>
        <v>112</v>
      </c>
      <c r="N9" s="4">
        <f>IF(('Hampshire Daily'!P12-'Hampshire Daily'!P11&lt;0),"0",('Hampshire Daily'!P12-'Hampshire Daily'!P11))</f>
        <v>247</v>
      </c>
      <c r="O9" s="4">
        <f>IF(('Hampshire Daily'!Q12-'Hampshire Daily'!Q11&lt;0),"0",('Hampshire Daily'!Q12-'Hampshire Daily'!Q11))</f>
        <v>0</v>
      </c>
      <c r="P9" s="4">
        <f>IF(('Hampshire Daily'!R12-'Hampshire Daily'!R11&lt;0),"0",('Hampshire Daily'!R12-'Hampshire Daily'!R11))</f>
        <v>0</v>
      </c>
      <c r="Q9" s="4">
        <f>IF(('Hampshire Daily'!S12-'Hampshire Daily'!S11&lt;0),"0",('Hampshire Daily'!S12-'Hampshire Daily'!S11))</f>
        <v>85</v>
      </c>
      <c r="R9" s="4">
        <f>IF(('Hampshire Daily'!V12-'Hampshire Daily'!V11&lt;0),"0",('Hampshire Daily'!V12-'Hampshire Daily'!V11))</f>
        <v>1</v>
      </c>
      <c r="S9" s="4">
        <f>IF(('Hampshire Daily'!W12-'Hampshire Daily'!W11&lt;0),"0",('Hampshire Daily'!W12-'Hampshire Daily'!W11))</f>
        <v>0</v>
      </c>
      <c r="T9" s="4">
        <f>IF(('Hampshire Daily'!X12-'Hampshire Daily'!X11&lt;0),"0",('Hampshire Daily'!X12-'Hampshire Daily'!X11))</f>
        <v>0.2459999999999809</v>
      </c>
      <c r="U9" s="4">
        <f>IF(('Hampshire Daily'!Y12-'Hampshire Daily'!Y11&lt;0),"0",('Hampshire Daily'!Y12-'Hampshire Daily'!Y11))</f>
        <v>0</v>
      </c>
      <c r="V9" s="4">
        <f>IF(('Hampshire Daily'!Z12-'Hampshire Daily'!Z11&lt;0),"0",('Hampshire Daily'!Z12-'Hampshire Daily'!Z11))</f>
        <v>0</v>
      </c>
      <c r="W9" s="4">
        <f>IF(('Hampshire Daily'!AA12-'Hampshire Daily'!AA11&lt;0),"0",('Hampshire Daily'!AA12-'Hampshire Daily'!AA11))</f>
        <v>5</v>
      </c>
      <c r="X9" s="4">
        <f>IF(('Hampshire Daily'!AA12-'Hampshire Daily'!AA11&lt;0),"0",('Hampshire Daily'!AA12-'Hampshire Daily'!AA11))</f>
        <v>5</v>
      </c>
      <c r="Y9" s="4">
        <f>'Hampshire Daily'!B12</f>
        <v>0</v>
      </c>
      <c r="Z9" s="4">
        <f>'Hampshire Daily'!D12</f>
        <v>1134919</v>
      </c>
    </row>
    <row r="10" spans="1:30" x14ac:dyDescent="0.25">
      <c r="A10" s="3" t="s">
        <v>40</v>
      </c>
      <c r="B10" s="1">
        <f t="shared" si="0"/>
        <v>9</v>
      </c>
      <c r="C10" s="17">
        <v>10</v>
      </c>
      <c r="D10" s="1">
        <v>2021</v>
      </c>
      <c r="E10" s="4">
        <f>IF(('Hampshire Daily'!E13-'Hampshire Daily'!E12&lt;0),"0",('Hampshire Daily'!E13-'Hampshire Daily'!E12))</f>
        <v>2478</v>
      </c>
      <c r="F10" s="4">
        <f>IF(('Hampshire Daily'!G13-'Hampshire Daily'!G12&lt;0),"0",('Hampshire Daily'!G13-'Hampshire Daily'!G12))</f>
        <v>2164</v>
      </c>
      <c r="G10" s="4">
        <f>IF(('Hampshire Daily'!H13-'Hampshire Daily'!H12&lt;0),"0",('Hampshire Daily'!H13-'Hampshire Daily'!H12))</f>
        <v>0</v>
      </c>
      <c r="H10" s="4">
        <f>IF(('Hampshire Daily'!I13-'Hampshire Daily'!I12&lt;0),"0",('Hampshire Daily'!I13-'Hampshire Daily'!I12))</f>
        <v>2006.4000000003725</v>
      </c>
      <c r="I10" s="4">
        <f>IF(('Hampshire Daily'!J13-'Hampshire Daily'!J12&lt;0),"0",('Hampshire Daily'!J13-'Hampshire Daily'!J12))</f>
        <v>0</v>
      </c>
      <c r="J10" s="4">
        <f>IF(('Hampshire Daily'!L13-'Hampshire Daily'!L12&lt;0),"0",('Hampshire Daily'!L13-'Hampshire Daily'!L12))</f>
        <v>1051</v>
      </c>
      <c r="K10" s="4">
        <f>IF(('Hampshire Daily'!M13-'Hampshire Daily'!M12&lt;0),"0",('Hampshire Daily'!M13-'Hampshire Daily'!M12))</f>
        <v>9</v>
      </c>
      <c r="L10" s="4">
        <f>IF(('Hampshire Daily'!N13-'Hampshire Daily'!N12&lt;0),"0",('Hampshire Daily'!N13-'Hampshire Daily'!N12))</f>
        <v>3069</v>
      </c>
      <c r="M10" s="4">
        <f>IF(('Hampshire Daily'!O13-'Hampshire Daily'!O12&lt;0),"0",('Hampshire Daily'!O13-'Hampshire Daily'!O12))</f>
        <v>115</v>
      </c>
      <c r="N10" s="4">
        <f>IF(('Hampshire Daily'!P13-'Hampshire Daily'!P12&lt;0),"0",('Hampshire Daily'!P13-'Hampshire Daily'!P12))</f>
        <v>0</v>
      </c>
      <c r="O10" s="4">
        <f>IF(('Hampshire Daily'!Q13-'Hampshire Daily'!Q12&lt;0),"0",('Hampshire Daily'!Q13-'Hampshire Daily'!Q12))</f>
        <v>0</v>
      </c>
      <c r="P10" s="4">
        <f>IF(('Hampshire Daily'!R13-'Hampshire Daily'!R12&lt;0),"0",('Hampshire Daily'!R13-'Hampshire Daily'!R12))</f>
        <v>0</v>
      </c>
      <c r="Q10" s="4">
        <f>IF(('Hampshire Daily'!S13-'Hampshire Daily'!S12&lt;0),"0",('Hampshire Daily'!S13-'Hampshire Daily'!S12))</f>
        <v>83</v>
      </c>
      <c r="R10" s="4">
        <f>IF(('Hampshire Daily'!V13-'Hampshire Daily'!V12&lt;0),"0",('Hampshire Daily'!V13-'Hampshire Daily'!V12))</f>
        <v>1</v>
      </c>
      <c r="S10" s="4">
        <f>IF(('Hampshire Daily'!W13-'Hampshire Daily'!W12&lt;0),"0",('Hampshire Daily'!W13-'Hampshire Daily'!W12))</f>
        <v>0</v>
      </c>
      <c r="T10" s="4">
        <f>IF(('Hampshire Daily'!X13-'Hampshire Daily'!X12&lt;0),"0",('Hampshire Daily'!X13-'Hampshire Daily'!X12))</f>
        <v>0.17200000000002547</v>
      </c>
      <c r="U10" s="4">
        <f>IF(('Hampshire Daily'!Y13-'Hampshire Daily'!Y12&lt;0),"0",('Hampshire Daily'!Y13-'Hampshire Daily'!Y12))</f>
        <v>0</v>
      </c>
      <c r="V10" s="4">
        <f>IF(('Hampshire Daily'!Z13-'Hampshire Daily'!Z12&lt;0),"0",('Hampshire Daily'!Z13-'Hampshire Daily'!Z12))</f>
        <v>0</v>
      </c>
      <c r="W10" s="4">
        <f>IF(('Hampshire Daily'!AA13-'Hampshire Daily'!AA12&lt;0),"0",('Hampshire Daily'!AA13-'Hampshire Daily'!AA12))</f>
        <v>6</v>
      </c>
      <c r="X10" s="4">
        <f>IF(('Hampshire Daily'!AA13-'Hampshire Daily'!AA12&lt;0),"0",('Hampshire Daily'!AA13-'Hampshire Daily'!AA12))</f>
        <v>6</v>
      </c>
      <c r="Y10" s="4">
        <f>'Hampshire Daily'!B13</f>
        <v>0</v>
      </c>
      <c r="Z10" s="4">
        <f>'Hampshire Daily'!D13</f>
        <v>1137393</v>
      </c>
    </row>
    <row r="11" spans="1:30" x14ac:dyDescent="0.25">
      <c r="A11" s="3" t="s">
        <v>40</v>
      </c>
      <c r="B11" s="1">
        <f t="shared" si="0"/>
        <v>10</v>
      </c>
      <c r="C11" s="17">
        <v>10</v>
      </c>
      <c r="D11" s="1">
        <v>2021</v>
      </c>
      <c r="E11" s="4">
        <f>IF(('Hampshire Daily'!E14-'Hampshire Daily'!E13&lt;0),"0",('Hampshire Daily'!E14-'Hampshire Daily'!E13))</f>
        <v>2355</v>
      </c>
      <c r="F11" s="4">
        <f>IF(('Hampshire Daily'!G14-'Hampshire Daily'!G13&lt;0),"0",('Hampshire Daily'!G14-'Hampshire Daily'!G13))</f>
        <v>1422</v>
      </c>
      <c r="G11" s="4">
        <f>IF(('Hampshire Daily'!H14-'Hampshire Daily'!H13&lt;0),"0",('Hampshire Daily'!H14-'Hampshire Daily'!H13))</f>
        <v>0</v>
      </c>
      <c r="H11" s="4">
        <f>IF(('Hampshire Daily'!I14-'Hampshire Daily'!I13&lt;0),"0",('Hampshire Daily'!I14-'Hampshire Daily'!I13))</f>
        <v>2006.4000000003725</v>
      </c>
      <c r="I11" s="4">
        <f>IF(('Hampshire Daily'!J14-'Hampshire Daily'!J13&lt;0),"0",('Hampshire Daily'!J14-'Hampshire Daily'!J13))</f>
        <v>0</v>
      </c>
      <c r="J11" s="4">
        <f>IF(('Hampshire Daily'!L14-'Hampshire Daily'!L13&lt;0),"0",('Hampshire Daily'!L14-'Hampshire Daily'!L13))</f>
        <v>1051</v>
      </c>
      <c r="K11" s="4">
        <f>IF(('Hampshire Daily'!M14-'Hampshire Daily'!M13&lt;0),"0",('Hampshire Daily'!M14-'Hampshire Daily'!M13))</f>
        <v>1</v>
      </c>
      <c r="L11" s="4">
        <f>IF(('Hampshire Daily'!N14-'Hampshire Daily'!N13&lt;0),"0",('Hampshire Daily'!N14-'Hampshire Daily'!N13))</f>
        <v>3159</v>
      </c>
      <c r="M11" s="4">
        <f>IF(('Hampshire Daily'!O14-'Hampshire Daily'!O13&lt;0),"0",('Hampshire Daily'!O14-'Hampshire Daily'!O13))</f>
        <v>136</v>
      </c>
      <c r="N11" s="4">
        <f>IF(('Hampshire Daily'!P14-'Hampshire Daily'!P13&lt;0),"0",('Hampshire Daily'!P14-'Hampshire Daily'!P13))</f>
        <v>0</v>
      </c>
      <c r="O11" s="4">
        <f>IF(('Hampshire Daily'!Q14-'Hampshire Daily'!Q13&lt;0),"0",('Hampshire Daily'!Q14-'Hampshire Daily'!Q13))</f>
        <v>0</v>
      </c>
      <c r="P11" s="4">
        <f>IF(('Hampshire Daily'!R14-'Hampshire Daily'!R13&lt;0),"0",('Hampshire Daily'!R14-'Hampshire Daily'!R13))</f>
        <v>463</v>
      </c>
      <c r="Q11" s="4">
        <f>IF(('Hampshire Daily'!S14-'Hampshire Daily'!S13&lt;0),"0",('Hampshire Daily'!S14-'Hampshire Daily'!S13))</f>
        <v>80</v>
      </c>
      <c r="R11" s="4">
        <f>IF(('Hampshire Daily'!V14-'Hampshire Daily'!V13&lt;0),"0",('Hampshire Daily'!V14-'Hampshire Daily'!V13))</f>
        <v>13</v>
      </c>
      <c r="S11" s="4">
        <f>IF(('Hampshire Daily'!W14-'Hampshire Daily'!W13&lt;0),"0",('Hampshire Daily'!W14-'Hampshire Daily'!W13))</f>
        <v>0</v>
      </c>
      <c r="T11" s="4">
        <f>IF(('Hampshire Daily'!X14-'Hampshire Daily'!X13&lt;0),"0",('Hampshire Daily'!X14-'Hampshire Daily'!X13))</f>
        <v>0.19499999999993634</v>
      </c>
      <c r="U11" s="4">
        <f>IF(('Hampshire Daily'!Y14-'Hampshire Daily'!Y13&lt;0),"0",('Hampshire Daily'!Y14-'Hampshire Daily'!Y13))</f>
        <v>0</v>
      </c>
      <c r="V11" s="4">
        <f>IF(('Hampshire Daily'!Z14-'Hampshire Daily'!Z13&lt;0),"0",('Hampshire Daily'!Z14-'Hampshire Daily'!Z13))</f>
        <v>0</v>
      </c>
      <c r="W11" s="4">
        <f>IF(('Hampshire Daily'!AA14-'Hampshire Daily'!AA13&lt;0),"0",('Hampshire Daily'!AA14-'Hampshire Daily'!AA13))</f>
        <v>7</v>
      </c>
      <c r="X11" s="4">
        <f>IF(('Hampshire Daily'!AA14-'Hampshire Daily'!AA13&lt;0),"0",('Hampshire Daily'!AA14-'Hampshire Daily'!AA13))</f>
        <v>7</v>
      </c>
      <c r="Y11" s="4">
        <f>'Hampshire Daily'!B14</f>
        <v>0</v>
      </c>
      <c r="Z11" s="4">
        <f>'Hampshire Daily'!D14</f>
        <v>1139745</v>
      </c>
    </row>
    <row r="12" spans="1:30" x14ac:dyDescent="0.25">
      <c r="A12" s="3" t="s">
        <v>40</v>
      </c>
      <c r="B12" s="1">
        <f t="shared" si="0"/>
        <v>11</v>
      </c>
      <c r="C12" s="17">
        <v>10</v>
      </c>
      <c r="D12" s="1">
        <v>2021</v>
      </c>
      <c r="E12" s="4">
        <f>IF(('Hampshire Daily'!E15-'Hampshire Daily'!E14&lt;0),"0",('Hampshire Daily'!E15-'Hampshire Daily'!E14))</f>
        <v>2833</v>
      </c>
      <c r="F12" s="4">
        <f>IF(('Hampshire Daily'!G15-'Hampshire Daily'!G14&lt;0),"0",('Hampshire Daily'!G15-'Hampshire Daily'!G14))</f>
        <v>2488</v>
      </c>
      <c r="G12" s="4">
        <f>IF(('Hampshire Daily'!H15-'Hampshire Daily'!H14&lt;0),"0",('Hampshire Daily'!H15-'Hampshire Daily'!H14))</f>
        <v>0</v>
      </c>
      <c r="H12" s="4">
        <f>IF(('Hampshire Daily'!I15-'Hampshire Daily'!I14&lt;0),"0",('Hampshire Daily'!I15-'Hampshire Daily'!I14))</f>
        <v>2006.4000000003725</v>
      </c>
      <c r="I12" s="4">
        <f>IF(('Hampshire Daily'!J15-'Hampshire Daily'!J14&lt;0),"0",('Hampshire Daily'!J15-'Hampshire Daily'!J14))</f>
        <v>0</v>
      </c>
      <c r="J12" s="4">
        <f>IF(('Hampshire Daily'!L15-'Hampshire Daily'!L14&lt;0),"0",('Hampshire Daily'!L15-'Hampshire Daily'!L14))</f>
        <v>1051</v>
      </c>
      <c r="K12" s="4">
        <f>IF(('Hampshire Daily'!M15-'Hampshire Daily'!M14&lt;0),"0",('Hampshire Daily'!M15-'Hampshire Daily'!M14))</f>
        <v>3</v>
      </c>
      <c r="L12" s="4">
        <f>IF(('Hampshire Daily'!N15-'Hampshire Daily'!N14&lt;0),"0",('Hampshire Daily'!N15-'Hampshire Daily'!N14))</f>
        <v>3022</v>
      </c>
      <c r="M12" s="4">
        <f>IF(('Hampshire Daily'!O15-'Hampshire Daily'!O14&lt;0),"0",('Hampshire Daily'!O15-'Hampshire Daily'!O14))</f>
        <v>79</v>
      </c>
      <c r="N12" s="4">
        <f>IF(('Hampshire Daily'!P15-'Hampshire Daily'!P14&lt;0),"0",('Hampshire Daily'!P15-'Hampshire Daily'!P14))</f>
        <v>0</v>
      </c>
      <c r="O12" s="4">
        <f>IF(('Hampshire Daily'!Q15-'Hampshire Daily'!Q14&lt;0),"0",('Hampshire Daily'!Q15-'Hampshire Daily'!Q14))</f>
        <v>0</v>
      </c>
      <c r="P12" s="4">
        <f>IF(('Hampshire Daily'!R15-'Hampshire Daily'!R14&lt;0),"0",('Hampshire Daily'!R15-'Hampshire Daily'!R14))</f>
        <v>731</v>
      </c>
      <c r="Q12" s="4">
        <f>IF(('Hampshire Daily'!S15-'Hampshire Daily'!S14&lt;0),"0",('Hampshire Daily'!S15-'Hampshire Daily'!S14))</f>
        <v>57</v>
      </c>
      <c r="R12" s="4">
        <f>IF(('Hampshire Daily'!V15-'Hampshire Daily'!V14&lt;0),"0",('Hampshire Daily'!V15-'Hampshire Daily'!V14))</f>
        <v>1</v>
      </c>
      <c r="S12" s="4">
        <f>IF(('Hampshire Daily'!W15-'Hampshire Daily'!W14&lt;0),"0",('Hampshire Daily'!W15-'Hampshire Daily'!W14))</f>
        <v>0</v>
      </c>
      <c r="T12" s="4">
        <f>IF(('Hampshire Daily'!X15-'Hampshire Daily'!X14&lt;0),"0",('Hampshire Daily'!X15-'Hampshire Daily'!X14))</f>
        <v>0.19300000000009732</v>
      </c>
      <c r="U12" s="4">
        <f>IF(('Hampshire Daily'!Y15-'Hampshire Daily'!Y14&lt;0),"0",('Hampshire Daily'!Y15-'Hampshire Daily'!Y14))</f>
        <v>0</v>
      </c>
      <c r="V12" s="4">
        <f>IF(('Hampshire Daily'!Z15-'Hampshire Daily'!Z14&lt;0),"0",('Hampshire Daily'!Z15-'Hampshire Daily'!Z14))</f>
        <v>0</v>
      </c>
      <c r="W12" s="4">
        <f>IF(('Hampshire Daily'!AA15-'Hampshire Daily'!AA14&lt;0),"0",('Hampshire Daily'!AA15-'Hampshire Daily'!AA14))</f>
        <v>6</v>
      </c>
      <c r="X12" s="4">
        <f>IF(('Hampshire Daily'!AA15-'Hampshire Daily'!AA14&lt;0),"0",('Hampshire Daily'!AA15-'Hampshire Daily'!AA14))</f>
        <v>6</v>
      </c>
      <c r="Y12" s="4">
        <f>'Hampshire Daily'!B15</f>
        <v>0</v>
      </c>
      <c r="Z12" s="4">
        <f>'Hampshire Daily'!D15</f>
        <v>1142574</v>
      </c>
    </row>
    <row r="13" spans="1:30" x14ac:dyDescent="0.25">
      <c r="A13" s="3" t="s">
        <v>40</v>
      </c>
      <c r="B13" s="1">
        <f t="shared" si="0"/>
        <v>12</v>
      </c>
      <c r="C13" s="17">
        <v>10</v>
      </c>
      <c r="D13" s="1">
        <v>2021</v>
      </c>
      <c r="E13" s="4">
        <f>IF(('Hampshire Daily'!E16-'Hampshire Daily'!E15&lt;0),"0",('Hampshire Daily'!E16-'Hampshire Daily'!E15))</f>
        <v>2958</v>
      </c>
      <c r="F13" s="4">
        <f>IF(('Hampshire Daily'!G16-'Hampshire Daily'!G15&lt;0),"0",('Hampshire Daily'!G16-'Hampshire Daily'!G15))</f>
        <v>1731</v>
      </c>
      <c r="G13" s="4">
        <f>IF(('Hampshire Daily'!H16-'Hampshire Daily'!H15&lt;0),"0",('Hampshire Daily'!H16-'Hampshire Daily'!H15))</f>
        <v>0</v>
      </c>
      <c r="H13" s="4">
        <f>IF(('Hampshire Daily'!I16-'Hampshire Daily'!I15&lt;0),"0",('Hampshire Daily'!I16-'Hampshire Daily'!I15))</f>
        <v>2006.4000000003725</v>
      </c>
      <c r="I13" s="4">
        <f>IF(('Hampshire Daily'!J16-'Hampshire Daily'!J15&lt;0),"0",('Hampshire Daily'!J16-'Hampshire Daily'!J15))</f>
        <v>0</v>
      </c>
      <c r="J13" s="4">
        <f>IF(('Hampshire Daily'!L16-'Hampshire Daily'!L15&lt;0),"0",('Hampshire Daily'!L16-'Hampshire Daily'!L15))</f>
        <v>1051</v>
      </c>
      <c r="K13" s="4">
        <f>IF(('Hampshire Daily'!M16-'Hampshire Daily'!M15&lt;0),"0",('Hampshire Daily'!M16-'Hampshire Daily'!M15))</f>
        <v>1</v>
      </c>
      <c r="L13" s="4">
        <f>IF(('Hampshire Daily'!N16-'Hampshire Daily'!N15&lt;0),"0",('Hampshire Daily'!N16-'Hampshire Daily'!N15))</f>
        <v>2999</v>
      </c>
      <c r="M13" s="4">
        <f>IF(('Hampshire Daily'!O16-'Hampshire Daily'!O15&lt;0),"0",('Hampshire Daily'!O16-'Hampshire Daily'!O15))</f>
        <v>54</v>
      </c>
      <c r="N13" s="4">
        <f>IF(('Hampshire Daily'!P16-'Hampshire Daily'!P15&lt;0),"0",('Hampshire Daily'!P16-'Hampshire Daily'!P15))</f>
        <v>0</v>
      </c>
      <c r="O13" s="4">
        <f>IF(('Hampshire Daily'!Q16-'Hampshire Daily'!Q15&lt;0),"0",('Hampshire Daily'!Q16-'Hampshire Daily'!Q15))</f>
        <v>0</v>
      </c>
      <c r="P13" s="4">
        <f>IF(('Hampshire Daily'!R16-'Hampshire Daily'!R15&lt;0),"0",('Hampshire Daily'!R16-'Hampshire Daily'!R15))</f>
        <v>658</v>
      </c>
      <c r="Q13" s="4">
        <f>IF(('Hampshire Daily'!S16-'Hampshire Daily'!S15&lt;0),"0",('Hampshire Daily'!S16-'Hampshire Daily'!S15))</f>
        <v>19</v>
      </c>
      <c r="R13" s="4">
        <f>IF(('Hampshire Daily'!V16-'Hampshire Daily'!V15&lt;0),"0",('Hampshire Daily'!V16-'Hampshire Daily'!V15))</f>
        <v>1</v>
      </c>
      <c r="S13" s="4">
        <f>IF(('Hampshire Daily'!W16-'Hampshire Daily'!W15&lt;0),"0",('Hampshire Daily'!W16-'Hampshire Daily'!W15))</f>
        <v>0</v>
      </c>
      <c r="T13" s="4">
        <f>IF(('Hampshire Daily'!X16-'Hampshire Daily'!X15&lt;0),"0",('Hampshire Daily'!X16-'Hampshire Daily'!X15))</f>
        <v>0.20299999999997453</v>
      </c>
      <c r="U13" s="4">
        <f>IF(('Hampshire Daily'!Y16-'Hampshire Daily'!Y15&lt;0),"0",('Hampshire Daily'!Y16-'Hampshire Daily'!Y15))</f>
        <v>0</v>
      </c>
      <c r="V13" s="4">
        <f>IF(('Hampshire Daily'!Z16-'Hampshire Daily'!Z15&lt;0),"0",('Hampshire Daily'!Z16-'Hampshire Daily'!Z15))</f>
        <v>0</v>
      </c>
      <c r="W13" s="4">
        <f>IF(('Hampshire Daily'!AA16-'Hampshire Daily'!AA15&lt;0),"0",('Hampshire Daily'!AA16-'Hampshire Daily'!AA15))</f>
        <v>5</v>
      </c>
      <c r="X13" s="4">
        <f>IF(('Hampshire Daily'!AA16-'Hampshire Daily'!AA15&lt;0),"0",('Hampshire Daily'!AA16-'Hampshire Daily'!AA15))</f>
        <v>5</v>
      </c>
      <c r="Y13" s="4">
        <f>'Hampshire Daily'!B16</f>
        <v>0</v>
      </c>
      <c r="Z13" s="4">
        <f>'Hampshire Daily'!D16</f>
        <v>1145527</v>
      </c>
    </row>
    <row r="14" spans="1:30" x14ac:dyDescent="0.25">
      <c r="A14" s="3" t="s">
        <v>40</v>
      </c>
      <c r="B14" s="1">
        <f t="shared" si="0"/>
        <v>13</v>
      </c>
      <c r="C14" s="17">
        <v>10</v>
      </c>
      <c r="D14" s="1">
        <v>2021</v>
      </c>
      <c r="E14" s="4">
        <f>IF(('Hampshire Daily'!E17-'Hampshire Daily'!E16&lt;0),"0",('Hampshire Daily'!E17-'Hampshire Daily'!E16))</f>
        <v>2814</v>
      </c>
      <c r="F14" s="4">
        <f>IF(('Hampshire Daily'!G17-'Hampshire Daily'!G16&lt;0),"0",('Hampshire Daily'!G17-'Hampshire Daily'!G16))</f>
        <v>5528</v>
      </c>
      <c r="G14" s="4">
        <f>IF(('Hampshire Daily'!H17-'Hampshire Daily'!H16&lt;0),"0",('Hampshire Daily'!H17-'Hampshire Daily'!H16))</f>
        <v>814</v>
      </c>
      <c r="H14" s="4">
        <f>IF(('Hampshire Daily'!I17-'Hampshire Daily'!I16&lt;0),"0",('Hampshire Daily'!I17-'Hampshire Daily'!I16))</f>
        <v>2006.4000000003725</v>
      </c>
      <c r="I14" s="4">
        <f>IF(('Hampshire Daily'!J17-'Hampshire Daily'!J16&lt;0),"0",('Hampshire Daily'!J17-'Hampshire Daily'!J16))</f>
        <v>0</v>
      </c>
      <c r="J14" s="4">
        <f>IF(('Hampshire Daily'!L17-'Hampshire Daily'!L16&lt;0),"0",('Hampshire Daily'!L17-'Hampshire Daily'!L16))</f>
        <v>1051</v>
      </c>
      <c r="K14" s="4">
        <f>IF(('Hampshire Daily'!M17-'Hampshire Daily'!M16&lt;0),"0",('Hampshire Daily'!M17-'Hampshire Daily'!M16))</f>
        <v>1</v>
      </c>
      <c r="L14" s="4">
        <f>IF(('Hampshire Daily'!N17-'Hampshire Daily'!N16&lt;0),"0",('Hampshire Daily'!N17-'Hampshire Daily'!N16))</f>
        <v>3075</v>
      </c>
      <c r="M14" s="4">
        <f>IF(('Hampshire Daily'!O17-'Hampshire Daily'!O16&lt;0),"0",('Hampshire Daily'!O17-'Hampshire Daily'!O16))</f>
        <v>62</v>
      </c>
      <c r="N14" s="4">
        <f>IF(('Hampshire Daily'!P17-'Hampshire Daily'!P16&lt;0),"0",('Hampshire Daily'!P17-'Hampshire Daily'!P16))</f>
        <v>236</v>
      </c>
      <c r="O14" s="4">
        <f>IF(('Hampshire Daily'!Q17-'Hampshire Daily'!Q16&lt;0),"0",('Hampshire Daily'!Q17-'Hampshire Daily'!Q16))</f>
        <v>0</v>
      </c>
      <c r="P14" s="4">
        <f>IF(('Hampshire Daily'!R17-'Hampshire Daily'!R16&lt;0),"0",('Hampshire Daily'!R17-'Hampshire Daily'!R16))</f>
        <v>496</v>
      </c>
      <c r="Q14" s="4">
        <f>IF(('Hampshire Daily'!S17-'Hampshire Daily'!S16&lt;0),"0",('Hampshire Daily'!S17-'Hampshire Daily'!S16))</f>
        <v>29</v>
      </c>
      <c r="R14" s="4">
        <f>IF(('Hampshire Daily'!V17-'Hampshire Daily'!V16&lt;0),"0",('Hampshire Daily'!V17-'Hampshire Daily'!V16))</f>
        <v>1</v>
      </c>
      <c r="S14" s="4">
        <f>IF(('Hampshire Daily'!W17-'Hampshire Daily'!W16&lt;0),"0",('Hampshire Daily'!W17-'Hampshire Daily'!W16))</f>
        <v>0</v>
      </c>
      <c r="T14" s="4">
        <f>IF(('Hampshire Daily'!X17-'Hampshire Daily'!X16&lt;0),"0",('Hampshire Daily'!X17-'Hampshire Daily'!X16))</f>
        <v>0.16399999999998727</v>
      </c>
      <c r="U14" s="4">
        <f>IF(('Hampshire Daily'!Y17-'Hampshire Daily'!Y16&lt;0),"0",('Hampshire Daily'!Y17-'Hampshire Daily'!Y16))</f>
        <v>0</v>
      </c>
      <c r="V14" s="4">
        <f>IF(('Hampshire Daily'!Z17-'Hampshire Daily'!Z16&lt;0),"0",('Hampshire Daily'!Z17-'Hampshire Daily'!Z16))</f>
        <v>0</v>
      </c>
      <c r="W14" s="4">
        <f>IF(('Hampshire Daily'!AA17-'Hampshire Daily'!AA16&lt;0),"0",('Hampshire Daily'!AA17-'Hampshire Daily'!AA16))</f>
        <v>4</v>
      </c>
      <c r="X14" s="4">
        <f>IF(('Hampshire Daily'!AA17-'Hampshire Daily'!AA16&lt;0),"0",('Hampshire Daily'!AA17-'Hampshire Daily'!AA16))</f>
        <v>4</v>
      </c>
      <c r="Y14" s="4">
        <f>'Hampshire Daily'!B17</f>
        <v>0</v>
      </c>
      <c r="Z14" s="4">
        <f>'Hampshire Daily'!D17</f>
        <v>1148337</v>
      </c>
    </row>
    <row r="15" spans="1:30" x14ac:dyDescent="0.25">
      <c r="A15" s="3" t="s">
        <v>40</v>
      </c>
      <c r="B15" s="1">
        <f t="shared" si="0"/>
        <v>14</v>
      </c>
      <c r="C15" s="17">
        <v>10</v>
      </c>
      <c r="D15" s="1">
        <v>2021</v>
      </c>
      <c r="E15" s="4">
        <f>IF(('Hampshire Daily'!E18-'Hampshire Daily'!E17&lt;0),"0",('Hampshire Daily'!E18-'Hampshire Daily'!E17))</f>
        <v>2810</v>
      </c>
      <c r="F15" s="4">
        <f>IF(('Hampshire Daily'!G18-'Hampshire Daily'!G17&lt;0),"0",('Hampshire Daily'!G18-'Hampshire Daily'!G17))</f>
        <v>2583</v>
      </c>
      <c r="G15" s="4">
        <f>IF(('Hampshire Daily'!H18-'Hampshire Daily'!H17&lt;0),"0",('Hampshire Daily'!H18-'Hampshire Daily'!H17))</f>
        <v>140</v>
      </c>
      <c r="H15" s="4">
        <f>IF(('Hampshire Daily'!I18-'Hampshire Daily'!I17&lt;0),"0",('Hampshire Daily'!I18-'Hampshire Daily'!I17))</f>
        <v>2006.4000000003725</v>
      </c>
      <c r="I15" s="4">
        <f>IF(('Hampshire Daily'!J18-'Hampshire Daily'!J17&lt;0),"0",('Hampshire Daily'!J18-'Hampshire Daily'!J17))</f>
        <v>0</v>
      </c>
      <c r="J15" s="4">
        <f>IF(('Hampshire Daily'!L18-'Hampshire Daily'!L17&lt;0),"0",('Hampshire Daily'!L18-'Hampshire Daily'!L17))</f>
        <v>1051</v>
      </c>
      <c r="K15" s="4">
        <f>IF(('Hampshire Daily'!M18-'Hampshire Daily'!M17&lt;0),"0",('Hampshire Daily'!M18-'Hampshire Daily'!M17))</f>
        <v>3</v>
      </c>
      <c r="L15" s="4">
        <f>IF(('Hampshire Daily'!N18-'Hampshire Daily'!N17&lt;0),"0",('Hampshire Daily'!N18-'Hampshire Daily'!N17))</f>
        <v>2872</v>
      </c>
      <c r="M15" s="4">
        <f>IF(('Hampshire Daily'!O18-'Hampshire Daily'!O17&lt;0),"0",('Hampshire Daily'!O18-'Hampshire Daily'!O17))</f>
        <v>63.700000000011642</v>
      </c>
      <c r="N15" s="4">
        <f>IF(('Hampshire Daily'!P18-'Hampshire Daily'!P17&lt;0),"0",('Hampshire Daily'!P18-'Hampshire Daily'!P17))</f>
        <v>0</v>
      </c>
      <c r="O15" s="4">
        <f>IF(('Hampshire Daily'!Q18-'Hampshire Daily'!Q17&lt;0),"0",('Hampshire Daily'!Q18-'Hampshire Daily'!Q17))</f>
        <v>0</v>
      </c>
      <c r="P15" s="4">
        <f>IF(('Hampshire Daily'!R18-'Hampshire Daily'!R17&lt;0),"0",('Hampshire Daily'!R18-'Hampshire Daily'!R17))</f>
        <v>662</v>
      </c>
      <c r="Q15" s="4">
        <f>IF(('Hampshire Daily'!S18-'Hampshire Daily'!S17&lt;0),"0",('Hampshire Daily'!S18-'Hampshire Daily'!S17))</f>
        <v>22</v>
      </c>
      <c r="R15" s="4">
        <f>IF(('Hampshire Daily'!V18-'Hampshire Daily'!V17&lt;0),"0",('Hampshire Daily'!V18-'Hampshire Daily'!V17))</f>
        <v>2</v>
      </c>
      <c r="S15" s="4">
        <f>IF(('Hampshire Daily'!W18-'Hampshire Daily'!W17&lt;0),"0",('Hampshire Daily'!W18-'Hampshire Daily'!W17))</f>
        <v>0</v>
      </c>
      <c r="T15" s="4">
        <f>IF(('Hampshire Daily'!X18-'Hampshire Daily'!X17&lt;0),"0",('Hampshire Daily'!X18-'Hampshire Daily'!X17))</f>
        <v>0.17600000000004457</v>
      </c>
      <c r="U15" s="4">
        <f>IF(('Hampshire Daily'!Y18-'Hampshire Daily'!Y17&lt;0),"0",('Hampshire Daily'!Y18-'Hampshire Daily'!Y17))</f>
        <v>0</v>
      </c>
      <c r="V15" s="4">
        <f>IF(('Hampshire Daily'!Z18-'Hampshire Daily'!Z17&lt;0),"0",('Hampshire Daily'!Z18-'Hampshire Daily'!Z17))</f>
        <v>0</v>
      </c>
      <c r="W15" s="4">
        <f>IF(('Hampshire Daily'!AA18-'Hampshire Daily'!AA17&lt;0),"0",('Hampshire Daily'!AA18-'Hampshire Daily'!AA17))</f>
        <v>3</v>
      </c>
      <c r="X15" s="4">
        <f>IF(('Hampshire Daily'!AA18-'Hampshire Daily'!AA17&lt;0),"0",('Hampshire Daily'!AA18-'Hampshire Daily'!AA17))</f>
        <v>3</v>
      </c>
      <c r="Y15" s="4">
        <f>'Hampshire Daily'!B18</f>
        <v>0</v>
      </c>
      <c r="Z15" s="4">
        <f>'Hampshire Daily'!D18</f>
        <v>1151141</v>
      </c>
    </row>
    <row r="16" spans="1:30" x14ac:dyDescent="0.25">
      <c r="A16" s="3" t="s">
        <v>40</v>
      </c>
      <c r="B16" s="1">
        <f t="shared" si="0"/>
        <v>15</v>
      </c>
      <c r="C16" s="17">
        <v>10</v>
      </c>
      <c r="D16" s="1">
        <v>2021</v>
      </c>
      <c r="E16" s="4">
        <f>IF(('Hampshire Daily'!E19-'Hampshire Daily'!E18&lt;0),"0",('Hampshire Daily'!E19-'Hampshire Daily'!E18))</f>
        <v>3079</v>
      </c>
      <c r="F16" s="4">
        <f>IF(('Hampshire Daily'!G19-'Hampshire Daily'!G18&lt;0),"0",('Hampshire Daily'!G19-'Hampshire Daily'!G18))</f>
        <v>2604</v>
      </c>
      <c r="G16" s="4">
        <f>IF(('Hampshire Daily'!H19-'Hampshire Daily'!H18&lt;0),"0",('Hampshire Daily'!H19-'Hampshire Daily'!H18))</f>
        <v>0</v>
      </c>
      <c r="H16" s="4">
        <f>IF(('Hampshire Daily'!I19-'Hampshire Daily'!I18&lt;0),"0",('Hampshire Daily'!I19-'Hampshire Daily'!I18))</f>
        <v>2006.4000000003725</v>
      </c>
      <c r="I16" s="4">
        <f>IF(('Hampshire Daily'!J19-'Hampshire Daily'!J18&lt;0),"0",('Hampshire Daily'!J19-'Hampshire Daily'!J18))</f>
        <v>0</v>
      </c>
      <c r="J16" s="4">
        <f>IF(('Hampshire Daily'!L19-'Hampshire Daily'!L18&lt;0),"0",('Hampshire Daily'!L19-'Hampshire Daily'!L18))</f>
        <v>1051</v>
      </c>
      <c r="K16" s="4">
        <f>IF(('Hampshire Daily'!M19-'Hampshire Daily'!M18&lt;0),"0",('Hampshire Daily'!M19-'Hampshire Daily'!M18))</f>
        <v>4</v>
      </c>
      <c r="L16" s="4">
        <f>IF(('Hampshire Daily'!N19-'Hampshire Daily'!N18&lt;0),"0",('Hampshire Daily'!N19-'Hampshire Daily'!N18))</f>
        <v>3391</v>
      </c>
      <c r="M16" s="4">
        <f>IF(('Hampshire Daily'!O19-'Hampshire Daily'!O18&lt;0),"0",('Hampshire Daily'!O19-'Hampshire Daily'!O18))</f>
        <v>63.299999999988358</v>
      </c>
      <c r="N16" s="4">
        <f>IF(('Hampshire Daily'!P19-'Hampshire Daily'!P18&lt;0),"0",('Hampshire Daily'!P19-'Hampshire Daily'!P18))</f>
        <v>0</v>
      </c>
      <c r="O16" s="4">
        <f>IF(('Hampshire Daily'!Q19-'Hampshire Daily'!Q18&lt;0),"0",('Hampshire Daily'!Q19-'Hampshire Daily'!Q18))</f>
        <v>0</v>
      </c>
      <c r="P16" s="4">
        <f>IF(('Hampshire Daily'!R19-'Hampshire Daily'!R18&lt;0),"0",('Hampshire Daily'!R19-'Hampshire Daily'!R18))</f>
        <v>715</v>
      </c>
      <c r="Q16" s="4">
        <f>IF(('Hampshire Daily'!S19-'Hampshire Daily'!S18&lt;0),"0",('Hampshire Daily'!S19-'Hampshire Daily'!S18))</f>
        <v>38</v>
      </c>
      <c r="R16" s="4">
        <f>IF(('Hampshire Daily'!V19-'Hampshire Daily'!V18&lt;0),"0",('Hampshire Daily'!V19-'Hampshire Daily'!V18))</f>
        <v>1</v>
      </c>
      <c r="S16" s="4">
        <f>IF(('Hampshire Daily'!W19-'Hampshire Daily'!W18&lt;0),"0",('Hampshire Daily'!W19-'Hampshire Daily'!W18))</f>
        <v>0</v>
      </c>
      <c r="T16" s="4">
        <f>IF(('Hampshire Daily'!X19-'Hampshire Daily'!X18&lt;0),"0",('Hampshire Daily'!X19-'Hampshire Daily'!X18))</f>
        <v>0.24099999999998545</v>
      </c>
      <c r="U16" s="4">
        <f>IF(('Hampshire Daily'!Y19-'Hampshire Daily'!Y18&lt;0),"0",('Hampshire Daily'!Y19-'Hampshire Daily'!Y18))</f>
        <v>0</v>
      </c>
      <c r="V16" s="4">
        <f>IF(('Hampshire Daily'!Z19-'Hampshire Daily'!Z18&lt;0),"0",('Hampshire Daily'!Z19-'Hampshire Daily'!Z18))</f>
        <v>0</v>
      </c>
      <c r="W16" s="4">
        <f>IF(('Hampshire Daily'!AA19-'Hampshire Daily'!AA18&lt;0),"0",('Hampshire Daily'!AA19-'Hampshire Daily'!AA18))</f>
        <v>4</v>
      </c>
      <c r="X16" s="4">
        <f>IF(('Hampshire Daily'!AA19-'Hampshire Daily'!AA18&lt;0),"0",('Hampshire Daily'!AA19-'Hampshire Daily'!AA18))</f>
        <v>4</v>
      </c>
      <c r="Y16" s="4">
        <f>'Hampshire Daily'!B19</f>
        <v>0</v>
      </c>
      <c r="Z16" s="4">
        <f>'Hampshire Daily'!D19</f>
        <v>1154216</v>
      </c>
    </row>
    <row r="17" spans="1:26" x14ac:dyDescent="0.25">
      <c r="A17" s="3" t="s">
        <v>40</v>
      </c>
      <c r="B17" s="1">
        <f t="shared" si="0"/>
        <v>16</v>
      </c>
      <c r="C17" s="17">
        <v>10</v>
      </c>
      <c r="D17" s="1">
        <v>2021</v>
      </c>
      <c r="E17" s="4">
        <f>IF(('Hampshire Daily'!E20-'Hampshire Daily'!E19&lt;0),"0",('Hampshire Daily'!E20-'Hampshire Daily'!E19))</f>
        <v>2875</v>
      </c>
      <c r="F17" s="4">
        <f>IF(('Hampshire Daily'!G20-'Hampshire Daily'!G19&lt;0),"0",('Hampshire Daily'!G20-'Hampshire Daily'!G19))</f>
        <v>2584</v>
      </c>
      <c r="G17" s="4">
        <f>IF(('Hampshire Daily'!H20-'Hampshire Daily'!H19&lt;0),"0",('Hampshire Daily'!H20-'Hampshire Daily'!H19))</f>
        <v>0</v>
      </c>
      <c r="H17" s="4">
        <f>IF(('Hampshire Daily'!I20-'Hampshire Daily'!I19&lt;0),"0",('Hampshire Daily'!I20-'Hampshire Daily'!I19))</f>
        <v>2006.4000000003725</v>
      </c>
      <c r="I17" s="4">
        <f>IF(('Hampshire Daily'!J20-'Hampshire Daily'!J19&lt;0),"0",('Hampshire Daily'!J20-'Hampshire Daily'!J19))</f>
        <v>0</v>
      </c>
      <c r="J17" s="4">
        <f>IF(('Hampshire Daily'!L20-'Hampshire Daily'!L19&lt;0),"0",('Hampshire Daily'!L20-'Hampshire Daily'!L19))</f>
        <v>1051</v>
      </c>
      <c r="K17" s="4">
        <f>IF(('Hampshire Daily'!M20-'Hampshire Daily'!M19&lt;0),"0",('Hampshire Daily'!M20-'Hampshire Daily'!M19))</f>
        <v>7</v>
      </c>
      <c r="L17" s="4">
        <f>IF(('Hampshire Daily'!N20-'Hampshire Daily'!N19&lt;0),"0",('Hampshire Daily'!N20-'Hampshire Daily'!N19))</f>
        <v>3088</v>
      </c>
      <c r="M17" s="4">
        <f>IF(('Hampshire Daily'!O20-'Hampshire Daily'!O19&lt;0),"0",('Hampshire Daily'!O20-'Hampshire Daily'!O19))</f>
        <v>64</v>
      </c>
      <c r="N17" s="4">
        <f>IF(('Hampshire Daily'!P20-'Hampshire Daily'!P19&lt;0),"0",('Hampshire Daily'!P20-'Hampshire Daily'!P19))</f>
        <v>0</v>
      </c>
      <c r="O17" s="4">
        <f>IF(('Hampshire Daily'!Q20-'Hampshire Daily'!Q19&lt;0),"0",('Hampshire Daily'!Q20-'Hampshire Daily'!Q19))</f>
        <v>0</v>
      </c>
      <c r="P17" s="4">
        <f>IF(('Hampshire Daily'!R20-'Hampshire Daily'!R19&lt;0),"0",('Hampshire Daily'!R20-'Hampshire Daily'!R19))</f>
        <v>720</v>
      </c>
      <c r="Q17" s="4">
        <f>IF(('Hampshire Daily'!S20-'Hampshire Daily'!S19&lt;0),"0",('Hampshire Daily'!S20-'Hampshire Daily'!S19))</f>
        <v>23</v>
      </c>
      <c r="R17" s="4">
        <f>IF(('Hampshire Daily'!V20-'Hampshire Daily'!V19&lt;0),"0",('Hampshire Daily'!V20-'Hampshire Daily'!V19))</f>
        <v>1</v>
      </c>
      <c r="S17" s="4">
        <f>IF(('Hampshire Daily'!W20-'Hampshire Daily'!W19&lt;0),"0",('Hampshire Daily'!W20-'Hampshire Daily'!W19))</f>
        <v>0</v>
      </c>
      <c r="T17" s="4">
        <f>IF(('Hampshire Daily'!X20-'Hampshire Daily'!X19&lt;0),"0",('Hampshire Daily'!X20-'Hampshire Daily'!X19))</f>
        <v>0.19799999999997908</v>
      </c>
      <c r="U17" s="4">
        <f>IF(('Hampshire Daily'!Y20-'Hampshire Daily'!Y19&lt;0),"0",('Hampshire Daily'!Y20-'Hampshire Daily'!Y19))</f>
        <v>0</v>
      </c>
      <c r="V17" s="4">
        <f>IF(('Hampshire Daily'!Z20-'Hampshire Daily'!Z19&lt;0),"0",('Hampshire Daily'!Z20-'Hampshire Daily'!Z19))</f>
        <v>0</v>
      </c>
      <c r="W17" s="4">
        <f>IF(('Hampshire Daily'!AA20-'Hampshire Daily'!AA19&lt;0),"0",('Hampshire Daily'!AA20-'Hampshire Daily'!AA19))</f>
        <v>5</v>
      </c>
      <c r="X17" s="4">
        <f>IF(('Hampshire Daily'!AA20-'Hampshire Daily'!AA19&lt;0),"0",('Hampshire Daily'!AA20-'Hampshire Daily'!AA19))</f>
        <v>5</v>
      </c>
      <c r="Y17" s="4">
        <f>'Hampshire Daily'!B20</f>
        <v>0</v>
      </c>
      <c r="Z17" s="4">
        <f>'Hampshire Daily'!D20</f>
        <v>1157086</v>
      </c>
    </row>
    <row r="18" spans="1:26" x14ac:dyDescent="0.25">
      <c r="A18" s="3" t="s">
        <v>40</v>
      </c>
      <c r="B18" s="1">
        <f t="shared" si="0"/>
        <v>17</v>
      </c>
      <c r="C18" s="17">
        <v>10</v>
      </c>
      <c r="D18" s="1">
        <v>2021</v>
      </c>
      <c r="E18" s="4">
        <f>IF(('Hampshire Daily'!E21-'Hampshire Daily'!E20&lt;0),"0",('Hampshire Daily'!E21-'Hampshire Daily'!E20))</f>
        <v>2782</v>
      </c>
      <c r="F18" s="4">
        <f>IF(('Hampshire Daily'!G21-'Hampshire Daily'!G20&lt;0),"0",('Hampshire Daily'!G21-'Hampshire Daily'!G20))</f>
        <v>2514</v>
      </c>
      <c r="G18" s="4">
        <f>IF(('Hampshire Daily'!H21-'Hampshire Daily'!H20&lt;0),"0",('Hampshire Daily'!H21-'Hampshire Daily'!H20))</f>
        <v>0</v>
      </c>
      <c r="H18" s="4">
        <f>IF(('Hampshire Daily'!I21-'Hampshire Daily'!I20&lt;0),"0",('Hampshire Daily'!I21-'Hampshire Daily'!I20))</f>
        <v>2006.4000000003725</v>
      </c>
      <c r="I18" s="4">
        <f>IF(('Hampshire Daily'!J21-'Hampshire Daily'!J20&lt;0),"0",('Hampshire Daily'!J21-'Hampshire Daily'!J20))</f>
        <v>0</v>
      </c>
      <c r="J18" s="4">
        <f>IF(('Hampshire Daily'!L21-'Hampshire Daily'!L20&lt;0),"0",('Hampshire Daily'!L21-'Hampshire Daily'!L20))</f>
        <v>1051</v>
      </c>
      <c r="K18" s="4">
        <f>IF(('Hampshire Daily'!M21-'Hampshire Daily'!M20&lt;0),"0",('Hampshire Daily'!M21-'Hampshire Daily'!M20))</f>
        <v>3</v>
      </c>
      <c r="L18" s="4">
        <f>IF(('Hampshire Daily'!N21-'Hampshire Daily'!N20&lt;0),"0",('Hampshire Daily'!N21-'Hampshire Daily'!N20))</f>
        <v>3090</v>
      </c>
      <c r="M18" s="4">
        <f>IF(('Hampshire Daily'!O21-'Hampshire Daily'!O20&lt;0),"0",('Hampshire Daily'!O21-'Hampshire Daily'!O20))</f>
        <v>63</v>
      </c>
      <c r="N18" s="4">
        <f>IF(('Hampshire Daily'!P21-'Hampshire Daily'!P20&lt;0),"0",('Hampshire Daily'!P21-'Hampshire Daily'!P20))</f>
        <v>0</v>
      </c>
      <c r="O18" s="4">
        <f>IF(('Hampshire Daily'!Q21-'Hampshire Daily'!Q20&lt;0),"0",('Hampshire Daily'!Q21-'Hampshire Daily'!Q20))</f>
        <v>0</v>
      </c>
      <c r="P18" s="4">
        <f>IF(('Hampshire Daily'!R21-'Hampshire Daily'!R20&lt;0),"0",('Hampshire Daily'!R21-'Hampshire Daily'!R20))</f>
        <v>732</v>
      </c>
      <c r="Q18" s="4">
        <f>IF(('Hampshire Daily'!S21-'Hampshire Daily'!S20&lt;0),"0",('Hampshire Daily'!S21-'Hampshire Daily'!S20))</f>
        <v>29</v>
      </c>
      <c r="R18" s="4">
        <f>IF(('Hampshire Daily'!V21-'Hampshire Daily'!V20&lt;0),"0",('Hampshire Daily'!V21-'Hampshire Daily'!V20))</f>
        <v>1</v>
      </c>
      <c r="S18" s="4">
        <f>IF(('Hampshire Daily'!W21-'Hampshire Daily'!W20&lt;0),"0",('Hampshire Daily'!W21-'Hampshire Daily'!W20))</f>
        <v>0</v>
      </c>
      <c r="T18" s="4">
        <f>IF(('Hampshire Daily'!X21-'Hampshire Daily'!X20&lt;0),"0",('Hampshire Daily'!X21-'Hampshire Daily'!X20))</f>
        <v>0.21100000000001273</v>
      </c>
      <c r="U18" s="4">
        <f>IF(('Hampshire Daily'!Y21-'Hampshire Daily'!Y20&lt;0),"0",('Hampshire Daily'!Y21-'Hampshire Daily'!Y20))</f>
        <v>0</v>
      </c>
      <c r="V18" s="4">
        <f>IF(('Hampshire Daily'!Z21-'Hampshire Daily'!Z20&lt;0),"0",('Hampshire Daily'!Z21-'Hampshire Daily'!Z20))</f>
        <v>0</v>
      </c>
      <c r="W18" s="4">
        <f>IF(('Hampshire Daily'!AA21-'Hampshire Daily'!AA20&lt;0),"0",('Hampshire Daily'!AA21-'Hampshire Daily'!AA20))</f>
        <v>5</v>
      </c>
      <c r="X18" s="4">
        <f>IF(('Hampshire Daily'!AA21-'Hampshire Daily'!AA20&lt;0),"0",('Hampshire Daily'!AA21-'Hampshire Daily'!AA20))</f>
        <v>5</v>
      </c>
      <c r="Y18" s="4">
        <f>'Hampshire Daily'!B21</f>
        <v>0</v>
      </c>
      <c r="Z18" s="4">
        <f>'Hampshire Daily'!D21</f>
        <v>1159864</v>
      </c>
    </row>
    <row r="19" spans="1:26" x14ac:dyDescent="0.25">
      <c r="A19" s="3" t="s">
        <v>40</v>
      </c>
      <c r="B19" s="1">
        <f t="shared" si="0"/>
        <v>18</v>
      </c>
      <c r="C19" s="17">
        <v>10</v>
      </c>
      <c r="D19" s="1">
        <v>2021</v>
      </c>
      <c r="E19" s="4">
        <f>IF(('Hampshire Daily'!E22-'Hampshire Daily'!E21&lt;0),"0",('Hampshire Daily'!E22-'Hampshire Daily'!E21))</f>
        <v>2845</v>
      </c>
      <c r="F19" s="4">
        <f>IF(('Hampshire Daily'!G22-'Hampshire Daily'!G21&lt;0),"0",('Hampshire Daily'!G22-'Hampshire Daily'!G21))</f>
        <v>2454</v>
      </c>
      <c r="G19" s="4">
        <f>IF(('Hampshire Daily'!H22-'Hampshire Daily'!H21&lt;0),"0",('Hampshire Daily'!H22-'Hampshire Daily'!H21))</f>
        <v>0</v>
      </c>
      <c r="H19" s="4">
        <f>IF(('Hampshire Daily'!I22-'Hampshire Daily'!I21&lt;0),"0",('Hampshire Daily'!I22-'Hampshire Daily'!I21))</f>
        <v>2006.4000000003725</v>
      </c>
      <c r="I19" s="4">
        <f>IF(('Hampshire Daily'!J22-'Hampshire Daily'!J21&lt;0),"0",('Hampshire Daily'!J22-'Hampshire Daily'!J21))</f>
        <v>0</v>
      </c>
      <c r="J19" s="4">
        <f>IF(('Hampshire Daily'!L22-'Hampshire Daily'!L21&lt;0),"0",('Hampshire Daily'!L22-'Hampshire Daily'!L21))</f>
        <v>1051</v>
      </c>
      <c r="K19" s="4">
        <f>IF(('Hampshire Daily'!M22-'Hampshire Daily'!M21&lt;0),"0",('Hampshire Daily'!M22-'Hampshire Daily'!M21))</f>
        <v>3</v>
      </c>
      <c r="L19" s="4">
        <f>IF(('Hampshire Daily'!N22-'Hampshire Daily'!N21&lt;0),"0",('Hampshire Daily'!N22-'Hampshire Daily'!N21))</f>
        <v>3287</v>
      </c>
      <c r="M19" s="4">
        <f>IF(('Hampshire Daily'!O22-'Hampshire Daily'!O21&lt;0),"0",('Hampshire Daily'!O22-'Hampshire Daily'!O21))</f>
        <v>64</v>
      </c>
      <c r="N19" s="4">
        <f>IF(('Hampshire Daily'!P22-'Hampshire Daily'!P21&lt;0),"0",('Hampshire Daily'!P22-'Hampshire Daily'!P21))</f>
        <v>0</v>
      </c>
      <c r="O19" s="4">
        <f>IF(('Hampshire Daily'!Q22-'Hampshire Daily'!Q21&lt;0),"0",('Hampshire Daily'!Q22-'Hampshire Daily'!Q21))</f>
        <v>0</v>
      </c>
      <c r="P19" s="4">
        <f>IF(('Hampshire Daily'!R22-'Hampshire Daily'!R21&lt;0),"0",('Hampshire Daily'!R22-'Hampshire Daily'!R21))</f>
        <v>723</v>
      </c>
      <c r="Q19" s="4">
        <f>IF(('Hampshire Daily'!S22-'Hampshire Daily'!S21&lt;0),"0",('Hampshire Daily'!S22-'Hampshire Daily'!S21))</f>
        <v>26</v>
      </c>
      <c r="R19" s="4">
        <f>IF(('Hampshire Daily'!V22-'Hampshire Daily'!V21&lt;0),"0",('Hampshire Daily'!V22-'Hampshire Daily'!V21))</f>
        <v>1</v>
      </c>
      <c r="S19" s="4">
        <f>IF(('Hampshire Daily'!W22-'Hampshire Daily'!W21&lt;0),"0",('Hampshire Daily'!W22-'Hampshire Daily'!W21))</f>
        <v>0</v>
      </c>
      <c r="T19" s="4">
        <f>IF(('Hampshire Daily'!X22-'Hampshire Daily'!X21&lt;0),"0",('Hampshire Daily'!X22-'Hampshire Daily'!X21))</f>
        <v>0.24099999999998545</v>
      </c>
      <c r="U19" s="4">
        <f>IF(('Hampshire Daily'!Y22-'Hampshire Daily'!Y21&lt;0),"0",('Hampshire Daily'!Y22-'Hampshire Daily'!Y21))</f>
        <v>0</v>
      </c>
      <c r="V19" s="4">
        <f>IF(('Hampshire Daily'!Z22-'Hampshire Daily'!Z21&lt;0),"0",('Hampshire Daily'!Z22-'Hampshire Daily'!Z21))</f>
        <v>0</v>
      </c>
      <c r="W19" s="4">
        <f>IF(('Hampshire Daily'!AA22-'Hampshire Daily'!AA21&lt;0),"0",('Hampshire Daily'!AA22-'Hampshire Daily'!AA21))</f>
        <v>5</v>
      </c>
      <c r="X19" s="4">
        <f>IF(('Hampshire Daily'!AA22-'Hampshire Daily'!AA21&lt;0),"0",('Hampshire Daily'!AA22-'Hampshire Daily'!AA21))</f>
        <v>5</v>
      </c>
      <c r="Y19" s="4">
        <f>'Hampshire Daily'!B22</f>
        <v>0</v>
      </c>
      <c r="Z19" s="4">
        <f>'Hampshire Daily'!D22</f>
        <v>1162704</v>
      </c>
    </row>
    <row r="20" spans="1:26" x14ac:dyDescent="0.25">
      <c r="A20" s="3" t="s">
        <v>40</v>
      </c>
      <c r="B20" s="1">
        <f t="shared" si="0"/>
        <v>19</v>
      </c>
      <c r="C20" s="17">
        <v>10</v>
      </c>
      <c r="D20" s="1">
        <v>2021</v>
      </c>
      <c r="E20" s="4">
        <f>IF(('Hampshire Daily'!E23-'Hampshire Daily'!E22&lt;0),"0",('Hampshire Daily'!E23-'Hampshire Daily'!E22))</f>
        <v>3195</v>
      </c>
      <c r="F20" s="4">
        <f>IF(('Hampshire Daily'!G23-'Hampshire Daily'!G22&lt;0),"0",('Hampshire Daily'!G23-'Hampshire Daily'!G22))</f>
        <v>1988</v>
      </c>
      <c r="G20" s="4">
        <f>IF(('Hampshire Daily'!H23-'Hampshire Daily'!H22&lt;0),"0",('Hampshire Daily'!H23-'Hampshire Daily'!H22))</f>
        <v>54</v>
      </c>
      <c r="H20" s="4">
        <f>IF(('Hampshire Daily'!I23-'Hampshire Daily'!I22&lt;0),"0",('Hampshire Daily'!I23-'Hampshire Daily'!I22))</f>
        <v>2006.4000000003725</v>
      </c>
      <c r="I20" s="4">
        <f>IF(('Hampshire Daily'!J23-'Hampshire Daily'!J22&lt;0),"0",('Hampshire Daily'!J23-'Hampshire Daily'!J22))</f>
        <v>0</v>
      </c>
      <c r="J20" s="4">
        <f>IF(('Hampshire Daily'!L23-'Hampshire Daily'!L22&lt;0),"0",('Hampshire Daily'!L23-'Hampshire Daily'!L22))</f>
        <v>1051</v>
      </c>
      <c r="K20" s="4">
        <f>IF(('Hampshire Daily'!M23-'Hampshire Daily'!M22&lt;0),"0",('Hampshire Daily'!M23-'Hampshire Daily'!M22))</f>
        <v>78</v>
      </c>
      <c r="L20" s="4">
        <f>IF(('Hampshire Daily'!N23-'Hampshire Daily'!N22&lt;0),"0",('Hampshire Daily'!N23-'Hampshire Daily'!N22))</f>
        <v>3126</v>
      </c>
      <c r="M20" s="4">
        <f>IF(('Hampshire Daily'!O23-'Hampshire Daily'!O22&lt;0),"0",('Hampshire Daily'!O23-'Hampshire Daily'!O22))</f>
        <v>52</v>
      </c>
      <c r="N20" s="4">
        <f>IF(('Hampshire Daily'!P23-'Hampshire Daily'!P22&lt;0),"0",('Hampshire Daily'!P23-'Hampshire Daily'!P22))</f>
        <v>0</v>
      </c>
      <c r="O20" s="4">
        <f>IF(('Hampshire Daily'!Q23-'Hampshire Daily'!Q22&lt;0),"0",('Hampshire Daily'!Q23-'Hampshire Daily'!Q22))</f>
        <v>0</v>
      </c>
      <c r="P20" s="4">
        <f>IF(('Hampshire Daily'!R23-'Hampshire Daily'!R22&lt;0),"0",('Hampshire Daily'!R23-'Hampshire Daily'!R22))</f>
        <v>663</v>
      </c>
      <c r="Q20" s="4">
        <f>IF(('Hampshire Daily'!S23-'Hampshire Daily'!S22&lt;0),"0",('Hampshire Daily'!S23-'Hampshire Daily'!S22))</f>
        <v>25</v>
      </c>
      <c r="R20" s="4">
        <f>IF(('Hampshire Daily'!V23-'Hampshire Daily'!V22&lt;0),"0",('Hampshire Daily'!V23-'Hampshire Daily'!V22))</f>
        <v>2</v>
      </c>
      <c r="S20" s="4">
        <f>IF(('Hampshire Daily'!W23-'Hampshire Daily'!W22&lt;0),"0",('Hampshire Daily'!W23-'Hampshire Daily'!W22))</f>
        <v>0</v>
      </c>
      <c r="T20" s="4">
        <f>IF(('Hampshire Daily'!X23-'Hampshire Daily'!X22&lt;0),"0",('Hampshire Daily'!X23-'Hampshire Daily'!X22))</f>
        <v>0.21500000000003183</v>
      </c>
      <c r="U20" s="4">
        <f>IF(('Hampshire Daily'!Y23-'Hampshire Daily'!Y22&lt;0),"0",('Hampshire Daily'!Y23-'Hampshire Daily'!Y22))</f>
        <v>0</v>
      </c>
      <c r="V20" s="4">
        <f>IF(('Hampshire Daily'!Z23-'Hampshire Daily'!Z22&lt;0),"0",('Hampshire Daily'!Z23-'Hampshire Daily'!Z22))</f>
        <v>0</v>
      </c>
      <c r="W20" s="4">
        <f>IF(('Hampshire Daily'!AA23-'Hampshire Daily'!AA22&lt;0),"0",('Hampshire Daily'!AA23-'Hampshire Daily'!AA22))</f>
        <v>5</v>
      </c>
      <c r="X20" s="4">
        <f>IF(('Hampshire Daily'!AA23-'Hampshire Daily'!AA22&lt;0),"0",('Hampshire Daily'!AA23-'Hampshire Daily'!AA22))</f>
        <v>5</v>
      </c>
      <c r="Y20" s="4">
        <f>'Hampshire Daily'!B23</f>
        <v>0</v>
      </c>
      <c r="Z20" s="4">
        <f>'Hampshire Daily'!D23</f>
        <v>1165894</v>
      </c>
    </row>
    <row r="21" spans="1:26" x14ac:dyDescent="0.25">
      <c r="A21" s="3" t="s">
        <v>40</v>
      </c>
      <c r="B21" s="1">
        <f t="shared" si="0"/>
        <v>20</v>
      </c>
      <c r="C21" s="17">
        <v>10</v>
      </c>
      <c r="D21" s="1">
        <v>2021</v>
      </c>
      <c r="E21" s="4">
        <f>IF(('Hampshire Daily'!D24-'Hampshire Daily'!E23&lt;0),"0",('Hampshire Daily'!D24-'Hampshire Daily'!E23))</f>
        <v>1056</v>
      </c>
      <c r="F21" s="4">
        <f>IF(('Hampshire Daily'!F24-'Hampshire Daily'!G23&lt;0),"0",('Hampshire Daily'!F24-'Hampshire Daily'!G23))</f>
        <v>2773</v>
      </c>
      <c r="G21" s="4">
        <f>IF(('Hampshire Daily'!H24-'Hampshire Daily'!H23&lt;0),"0",('Hampshire Daily'!H24-'Hampshire Daily'!H23))</f>
        <v>0</v>
      </c>
      <c r="H21" s="4">
        <f>IF(('Hampshire Daily'!I24-'Hampshire Daily'!I23&lt;0),"0",('Hampshire Daily'!I24-'Hampshire Daily'!I23))</f>
        <v>2006.4000000003725</v>
      </c>
      <c r="I21" s="4">
        <f>IF(('Hampshire Daily'!J24-'Hampshire Daily'!J23&lt;0),"0",('Hampshire Daily'!J24-'Hampshire Daily'!J23))</f>
        <v>0</v>
      </c>
      <c r="J21" s="4">
        <f>IF(('Hampshire Daily'!K24-'Hampshire Daily'!L23&lt;0),"0",('Hampshire Daily'!K24-'Hampshire Daily'!L23))</f>
        <v>4672970.400000006</v>
      </c>
      <c r="K21" s="4" t="str">
        <f>IF(('Hampshire Daily'!L24-'Hampshire Daily'!M23&lt;0),"0",('Hampshire Daily'!L24-'Hampshire Daily'!M23))</f>
        <v>0</v>
      </c>
      <c r="L21" s="4">
        <f>IF(('Hampshire Daily'!M24-'Hampshire Daily'!N23&lt;0),"0",('Hampshire Daily'!M24-'Hampshire Daily'!N23))</f>
        <v>1125020</v>
      </c>
      <c r="M21" s="4">
        <f>IF(('Hampshire Daily'!N24-'Hampshire Daily'!O23&lt;0),"0",('Hampshire Daily'!N24-'Hampshire Daily'!O23))</f>
        <v>1139851</v>
      </c>
      <c r="N21" s="4" t="str">
        <f>IF(('Hampshire Daily'!O24-'Hampshire Daily'!P23&lt;0),"0",('Hampshire Daily'!O24-'Hampshire Daily'!P23))</f>
        <v>0</v>
      </c>
      <c r="O21" s="4">
        <f>IF(('Hampshire Daily'!P24-'Hampshire Daily'!Q23&lt;0),"0",('Hampshire Daily'!P24-'Hampshire Daily'!Q23))</f>
        <v>1535473</v>
      </c>
      <c r="P21" s="4" t="str">
        <f>IF(('Hampshire Daily'!Q24-'Hampshire Daily'!R23&lt;0),"0",('Hampshire Daily'!Q24-'Hampshire Daily'!R23))</f>
        <v>0</v>
      </c>
      <c r="Q21" s="4">
        <f>IF(('Hampshire Daily'!R24-'Hampshire Daily'!S23&lt;0),"0",('Hampshire Daily'!R24-'Hampshire Daily'!S23))</f>
        <v>262134</v>
      </c>
      <c r="R21" s="4">
        <f>IF(('Hampshire Daily'!U24-'Hampshire Daily'!V23&lt;0),"0",('Hampshire Daily'!U24-'Hampshire Daily'!V23))</f>
        <v>22001</v>
      </c>
      <c r="S21" s="4">
        <f>IF(('Hampshire Daily'!V24-'Hampshire Daily'!W23&lt;0),"0",('Hampshire Daily'!V24-'Hampshire Daily'!W23))</f>
        <v>30613.669000000002</v>
      </c>
      <c r="T21" s="4" t="str">
        <f>IF(('Hampshire Daily'!W24-'Hampshire Daily'!X23&lt;0),"0",('Hampshire Daily'!W24-'Hampshire Daily'!X23))</f>
        <v>0</v>
      </c>
      <c r="U21" s="4" t="str">
        <f>IF(('Hampshire Daily'!X24-'Hampshire Daily'!Y23&lt;0),"0",('Hampshire Daily'!X24-'Hampshire Daily'!Y23))</f>
        <v>0</v>
      </c>
      <c r="V21" s="4">
        <f>IF(('Hampshire Daily'!Y24-'Hampshire Daily'!Z23&lt;0),"0",('Hampshire Daily'!Y24-'Hampshire Daily'!Z23))</f>
        <v>3890.049</v>
      </c>
      <c r="W21" s="4" t="str">
        <f>IF(('Hampshire Daily'!Z24-'Hampshire Daily'!AA23&lt;0),"0",('Hampshire Daily'!Z24-'Hampshire Daily'!AA23))</f>
        <v>0</v>
      </c>
      <c r="X21" s="4">
        <f>IF(('Hampshire Daily'!AA24-'Hampshire Daily'!AA23&lt;0),"0",('Hampshire Daily'!AA24-'Hampshire Daily'!AA23))</f>
        <v>5</v>
      </c>
      <c r="Y21" s="4">
        <f>'Hampshire Daily'!B24</f>
        <v>0</v>
      </c>
      <c r="Z21" s="4">
        <f>'Hampshire Daily'!C24</f>
        <v>34</v>
      </c>
    </row>
    <row r="22" spans="1:26" x14ac:dyDescent="0.25">
      <c r="A22" s="3" t="s">
        <v>40</v>
      </c>
      <c r="B22" s="1">
        <f t="shared" si="0"/>
        <v>21</v>
      </c>
      <c r="C22" s="17">
        <v>10</v>
      </c>
      <c r="D22" s="1">
        <v>2021</v>
      </c>
      <c r="E22" s="4">
        <f>IF(('Hampshire Daily'!D25-'Hampshire Daily'!D24&lt;0),"0",('Hampshire Daily'!D25-'Hampshire Daily'!D24))</f>
        <v>3106</v>
      </c>
      <c r="F22" s="4">
        <f>IF(('Hampshire Daily'!F25-'Hampshire Daily'!F24&lt;0),"0",('Hampshire Daily'!F25-'Hampshire Daily'!F24))</f>
        <v>1719</v>
      </c>
      <c r="G22" s="4">
        <f>IF(('Hampshire Daily'!H25-'Hampshire Daily'!H24&lt;0),"0",('Hampshire Daily'!H25-'Hampshire Daily'!H24))</f>
        <v>0</v>
      </c>
      <c r="H22" s="4">
        <f>IF(('Hampshire Daily'!I25-'Hampshire Daily'!I24&lt;0),"0",('Hampshire Daily'!I25-'Hampshire Daily'!I24))</f>
        <v>2006.4000000003725</v>
      </c>
      <c r="I22" s="4">
        <f>IF(('Hampshire Daily'!J25-'Hampshire Daily'!J24&lt;0),"0",('Hampshire Daily'!J25-'Hampshire Daily'!J24))</f>
        <v>0</v>
      </c>
      <c r="J22" s="4">
        <f>IF(('Hampshire Daily'!K25-'Hampshire Daily'!K24&lt;0),"0",('Hampshire Daily'!K25-'Hampshire Daily'!K24))</f>
        <v>2429.4000000003725</v>
      </c>
      <c r="K22" s="4">
        <f>IF(('Hampshire Daily'!L25-'Hampshire Daily'!L24&lt;0),"0",('Hampshire Daily'!L25-'Hampshire Daily'!L24))</f>
        <v>1051</v>
      </c>
      <c r="L22" s="4">
        <f>IF(('Hampshire Daily'!M25-'Hampshire Daily'!M24&lt;0),"0",('Hampshire Daily'!M25-'Hampshire Daily'!M24))</f>
        <v>3</v>
      </c>
      <c r="M22" s="4">
        <f>IF(('Hampshire Daily'!N25-'Hampshire Daily'!N24&lt;0),"0",('Hampshire Daily'!N25-'Hampshire Daily'!N24))</f>
        <v>5994</v>
      </c>
      <c r="N22" s="4">
        <f>IF(('Hampshire Daily'!O25-'Hampshire Daily'!O24&lt;0),"0",('Hampshire Daily'!O25-'Hampshire Daily'!O24))</f>
        <v>54</v>
      </c>
      <c r="O22" s="4">
        <f>IF(('Hampshire Daily'!P25-'Hampshire Daily'!P24&lt;0),"0",('Hampshire Daily'!P25-'Hampshire Daily'!P24))</f>
        <v>0</v>
      </c>
      <c r="P22" s="4">
        <f>IF(('Hampshire Daily'!Q25-'Hampshire Daily'!Q24&lt;0),"0",('Hampshire Daily'!Q25-'Hampshire Daily'!Q24))</f>
        <v>0</v>
      </c>
      <c r="Q22" s="4">
        <f>IF(('Hampshire Daily'!R25-'Hampshire Daily'!R24&lt;0),"0",('Hampshire Daily'!R25-'Hampshire Daily'!R24))</f>
        <v>530</v>
      </c>
      <c r="R22" s="4">
        <f>IF(('Hampshire Daily'!U25-'Hampshire Daily'!U24&lt;0),"0",('Hampshire Daily'!U25-'Hampshire Daily'!U24))</f>
        <v>9</v>
      </c>
      <c r="S22" s="4">
        <f>IF(('Hampshire Daily'!V25-'Hampshire Daily'!V24&lt;0),"0",('Hampshire Daily'!V25-'Hampshire Daily'!V24))</f>
        <v>2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0.29600000000004911</v>
      </c>
      <c r="V22" s="4">
        <f>IF(('Hampshire Daily'!Y25-'Hampshire Daily'!Y24&lt;0),"0",('Hampshire Daily'!Y25-'Hampshire Daily'!Y24))</f>
        <v>0</v>
      </c>
      <c r="W22" s="4">
        <f>IF(('Hampshire Daily'!Z25-'Hampshire Daily'!Z24&lt;0),"0",('Hampshire Daily'!Z25-'Hampshire Daily'!Z24))</f>
        <v>0</v>
      </c>
      <c r="X22" s="4">
        <f>IF(('Hampshire Daily'!AA25-'Hampshire Daily'!AA24&lt;0),"0",('Hampshire Daily'!AA25-'Hampshire Daily'!AA24))</f>
        <v>4</v>
      </c>
      <c r="Y22" s="4">
        <f>'Hampshire Daily'!B25</f>
        <v>0</v>
      </c>
      <c r="Z22" s="4">
        <f>'Hampshire Daily'!C25</f>
        <v>148</v>
      </c>
    </row>
    <row r="23" spans="1:26" x14ac:dyDescent="0.25">
      <c r="A23" s="3" t="s">
        <v>40</v>
      </c>
      <c r="B23" s="1">
        <f t="shared" si="0"/>
        <v>22</v>
      </c>
      <c r="C23" s="17">
        <v>10</v>
      </c>
      <c r="D23" s="1">
        <v>2021</v>
      </c>
      <c r="E23" s="4">
        <f>IF(('Hampshire Daily'!D26-'Hampshire Daily'!D25&lt;0),"0",('Hampshire Daily'!D26-'Hampshire Daily'!D25))</f>
        <v>2718</v>
      </c>
      <c r="F23" s="4">
        <f>IF(('Hampshire Daily'!F26-'Hampshire Daily'!F25&lt;0),"0",('Hampshire Daily'!F26-'Hampshire Daily'!F25))</f>
        <v>1819</v>
      </c>
      <c r="G23" s="4">
        <f>IF(('Hampshire Daily'!H26-'Hampshire Daily'!H25&lt;0),"0",('Hampshire Daily'!H26-'Hampshire Daily'!H25))</f>
        <v>1</v>
      </c>
      <c r="H23" s="4">
        <f>IF(('Hampshire Daily'!I26-'Hampshire Daily'!I25&lt;0),"0",('Hampshire Daily'!I26-'Hampshire Daily'!I25))</f>
        <v>2006.4000000003725</v>
      </c>
      <c r="I23" s="4">
        <f>IF(('Hampshire Daily'!J26-'Hampshire Daily'!J25&lt;0),"0",('Hampshire Daily'!J26-'Hampshire Daily'!J25))</f>
        <v>0</v>
      </c>
      <c r="J23" s="4">
        <f>IF(('Hampshire Daily'!K26-'Hampshire Daily'!K25&lt;0),"0",('Hampshire Daily'!K26-'Hampshire Daily'!K25))</f>
        <v>2429.4000000003725</v>
      </c>
      <c r="K23" s="4">
        <f>IF(('Hampshire Daily'!L26-'Hampshire Daily'!L25&lt;0),"0",('Hampshire Daily'!L26-'Hampshire Daily'!L25))</f>
        <v>1051</v>
      </c>
      <c r="L23" s="4">
        <f>IF(('Hampshire Daily'!M26-'Hampshire Daily'!M25&lt;0),"0",('Hampshire Daily'!M26-'Hampshire Daily'!M25))</f>
        <v>10</v>
      </c>
      <c r="M23" s="4">
        <f>IF(('Hampshire Daily'!N26-'Hampshire Daily'!N25&lt;0),"0",('Hampshire Daily'!N26-'Hampshire Daily'!N25))</f>
        <v>3361</v>
      </c>
      <c r="N23" s="4">
        <f>IF(('Hampshire Daily'!O26-'Hampshire Daily'!O25&lt;0),"0",('Hampshire Daily'!O26-'Hampshire Daily'!O25))</f>
        <v>75</v>
      </c>
      <c r="O23" s="4">
        <f>IF(('Hampshire Daily'!P26-'Hampshire Daily'!P25&lt;0),"0",('Hampshire Daily'!P26-'Hampshire Daily'!P25))</f>
        <v>0</v>
      </c>
      <c r="P23" s="4">
        <f>IF(('Hampshire Daily'!Q26-'Hampshire Daily'!Q25&lt;0),"0",('Hampshire Daily'!Q26-'Hampshire Daily'!Q25))</f>
        <v>0</v>
      </c>
      <c r="Q23" s="4">
        <f>IF(('Hampshire Daily'!R26-'Hampshire Daily'!R25&lt;0),"0",('Hampshire Daily'!R26-'Hampshire Daily'!R25))</f>
        <v>56</v>
      </c>
      <c r="R23" s="4">
        <f>IF(('Hampshire Daily'!U26-'Hampshire Daily'!U25&lt;0),"0",('Hampshire Daily'!U26-'Hampshire Daily'!U25))</f>
        <v>11</v>
      </c>
      <c r="S23" s="4">
        <f>IF(('Hampshire Daily'!V26-'Hampshire Daily'!V25&lt;0),"0",('Hampshire Daily'!V26-'Hampshire Daily'!V25))</f>
        <v>1</v>
      </c>
      <c r="T23" s="4">
        <f>IF(('Hampshire Daily'!W26-'Hampshire Daily'!W25&lt;0),"0",('Hampshire Daily'!W26-'Hampshire Daily'!W25))</f>
        <v>0</v>
      </c>
      <c r="U23" s="4">
        <f>IF(('Hampshire Daily'!X26-'Hampshire Daily'!X25&lt;0),"0",('Hampshire Daily'!X26-'Hampshire Daily'!X25))</f>
        <v>0.22699999999997544</v>
      </c>
      <c r="V23" s="4">
        <f>IF(('Hampshire Daily'!Y26-'Hampshire Daily'!Y25&lt;0),"0",('Hampshire Daily'!Y26-'Hampshire Daily'!Y25))</f>
        <v>0</v>
      </c>
      <c r="W23" s="4">
        <f>IF(('Hampshire Daily'!Z26-'Hampshire Daily'!Z25&lt;0),"0",('Hampshire Daily'!Z26-'Hampshire Daily'!Z25))</f>
        <v>0</v>
      </c>
      <c r="X23" s="4">
        <f>IF(('Hampshire Daily'!AA26-'Hampshire Daily'!AA25&lt;0),"0",('Hampshire Daily'!AA26-'Hampshire Daily'!AA25))</f>
        <v>5</v>
      </c>
      <c r="Y23" s="4">
        <f>'Hampshire Daily'!B26</f>
        <v>0</v>
      </c>
      <c r="Z23" s="4">
        <f>'Hampshire Daily'!C26</f>
        <v>146</v>
      </c>
    </row>
    <row r="24" spans="1:26" x14ac:dyDescent="0.25">
      <c r="A24" s="3" t="s">
        <v>40</v>
      </c>
      <c r="B24" s="1">
        <f t="shared" si="0"/>
        <v>23</v>
      </c>
      <c r="C24" s="17">
        <v>10</v>
      </c>
      <c r="D24" s="1">
        <v>2021</v>
      </c>
      <c r="E24" s="4">
        <f>IF(('Hampshire Daily'!D27-'Hampshire Daily'!D26&lt;0),"0",('Hampshire Daily'!D27-'Hampshire Daily'!D26))</f>
        <v>2454</v>
      </c>
      <c r="F24" s="4">
        <f>IF(('Hampshire Daily'!F27-'Hampshire Daily'!F26&lt;0),"0",('Hampshire Daily'!F27-'Hampshire Daily'!F26))</f>
        <v>2730</v>
      </c>
      <c r="G24" s="4">
        <f>IF(('Hampshire Daily'!H27-'Hampshire Daily'!H26&lt;0),"0",('Hampshire Daily'!H27-'Hampshire Daily'!H26))</f>
        <v>211</v>
      </c>
      <c r="H24" s="4">
        <f>IF(('Hampshire Daily'!I27-'Hampshire Daily'!I26&lt;0),"0",('Hampshire Daily'!I27-'Hampshire Daily'!I26))</f>
        <v>2006.4000000003725</v>
      </c>
      <c r="I24" s="4">
        <f>IF(('Hampshire Daily'!J27-'Hampshire Daily'!J26&lt;0),"0",('Hampshire Daily'!J27-'Hampshire Daily'!J26))</f>
        <v>0</v>
      </c>
      <c r="J24" s="4">
        <f>IF(('Hampshire Daily'!K27-'Hampshire Daily'!K26&lt;0),"0",('Hampshire Daily'!K27-'Hampshire Daily'!K26))</f>
        <v>2429.4000000003725</v>
      </c>
      <c r="K24" s="4">
        <f>IF(('Hampshire Daily'!L27-'Hampshire Daily'!L26&lt;0),"0",('Hampshire Daily'!L27-'Hampshire Daily'!L26))</f>
        <v>1051</v>
      </c>
      <c r="L24" s="4">
        <f>IF(('Hampshire Daily'!M27-'Hampshire Daily'!M26&lt;0),"0",('Hampshire Daily'!M27-'Hampshire Daily'!M26))</f>
        <v>9</v>
      </c>
      <c r="M24" s="4">
        <f>IF(('Hampshire Daily'!N27-'Hampshire Daily'!N26&lt;0),"0",('Hampshire Daily'!N27-'Hampshire Daily'!N26))</f>
        <v>2984</v>
      </c>
      <c r="N24" s="4">
        <f>IF(('Hampshire Daily'!O27-'Hampshire Daily'!O26&lt;0),"0",('Hampshire Daily'!O27-'Hampshire Daily'!O26))</f>
        <v>74</v>
      </c>
      <c r="O24" s="4">
        <f>IF(('Hampshire Daily'!P27-'Hampshire Daily'!P26&lt;0),"0",('Hampshire Daily'!P27-'Hampshire Daily'!P26))</f>
        <v>0</v>
      </c>
      <c r="P24" s="4">
        <f>IF(('Hampshire Daily'!Q27-'Hampshire Daily'!Q26&lt;0),"0",('Hampshire Daily'!Q27-'Hampshire Daily'!Q26))</f>
        <v>0</v>
      </c>
      <c r="Q24" s="4">
        <f>IF(('Hampshire Daily'!R27-'Hampshire Daily'!R26&lt;0),"0",('Hampshire Daily'!R27-'Hampshire Daily'!R26))</f>
        <v>251</v>
      </c>
      <c r="R24" s="4">
        <f>IF(('Hampshire Daily'!U27-'Hampshire Daily'!U26&lt;0),"0",('Hampshire Daily'!U27-'Hampshire Daily'!U26))</f>
        <v>11</v>
      </c>
      <c r="S24" s="4">
        <f>IF(('Hampshire Daily'!V27-'Hampshire Daily'!V26&lt;0),"0",('Hampshire Daily'!V27-'Hampshire Daily'!V26))</f>
        <v>1</v>
      </c>
      <c r="T24" s="4">
        <f>IF(('Hampshire Daily'!W27-'Hampshire Daily'!W26&lt;0),"0",('Hampshire Daily'!W27-'Hampshire Daily'!W26))</f>
        <v>0</v>
      </c>
      <c r="U24" s="4">
        <f>IF(('Hampshire Daily'!X27-'Hampshire Daily'!X26&lt;0),"0",('Hampshire Daily'!X27-'Hampshire Daily'!X26))</f>
        <v>0.24500000000000455</v>
      </c>
      <c r="V24" s="4">
        <f>IF(('Hampshire Daily'!Y27-'Hampshire Daily'!Y26&lt;0),"0",('Hampshire Daily'!Y27-'Hampshire Daily'!Y26))</f>
        <v>0</v>
      </c>
      <c r="W24" s="4">
        <f>IF(('Hampshire Daily'!Z27-'Hampshire Daily'!Z26&lt;0),"0",('Hampshire Daily'!Z27-'Hampshire Daily'!Z26))</f>
        <v>0</v>
      </c>
      <c r="X24" s="4">
        <f>IF(('Hampshire Daily'!AA27-'Hampshire Daily'!AA26&lt;0),"0",('Hampshire Daily'!AA27-'Hampshire Daily'!AA26))</f>
        <v>7</v>
      </c>
      <c r="Y24" s="4">
        <f>'Hampshire Daily'!B27</f>
        <v>0</v>
      </c>
      <c r="Z24" s="4">
        <f>'Hampshire Daily'!C27</f>
        <v>34</v>
      </c>
    </row>
    <row r="25" spans="1:26" x14ac:dyDescent="0.25">
      <c r="A25" s="3" t="s">
        <v>40</v>
      </c>
      <c r="B25" s="1">
        <f t="shared" si="0"/>
        <v>24</v>
      </c>
      <c r="C25" s="17">
        <v>10</v>
      </c>
      <c r="D25" s="1">
        <v>2021</v>
      </c>
      <c r="E25" s="4">
        <f>IF(('Hampshire Daily'!D28-'Hampshire Daily'!D27&lt;0),"0",('Hampshire Daily'!D28-'Hampshire Daily'!D27))</f>
        <v>2098</v>
      </c>
      <c r="F25" s="4">
        <f>IF(('Hampshire Daily'!F28-'Hampshire Daily'!F27&lt;0),"0",('Hampshire Daily'!F28-'Hampshire Daily'!F27))</f>
        <v>2134</v>
      </c>
      <c r="G25" s="4">
        <f>IF(('Hampshire Daily'!H28-'Hampshire Daily'!H27&lt;0),"0",('Hampshire Daily'!H28-'Hampshire Daily'!H27))</f>
        <v>36</v>
      </c>
      <c r="H25" s="4">
        <f>IF(('Hampshire Daily'!I28-'Hampshire Daily'!I27&lt;0),"0",('Hampshire Daily'!I28-'Hampshire Daily'!I27))</f>
        <v>2006.4000000003725</v>
      </c>
      <c r="I25" s="4">
        <f>IF(('Hampshire Daily'!J28-'Hampshire Daily'!J27&lt;0),"0",('Hampshire Daily'!J28-'Hampshire Daily'!J27))</f>
        <v>0</v>
      </c>
      <c r="J25" s="4">
        <f>IF(('Hampshire Daily'!K28-'Hampshire Daily'!K27&lt;0),"0",('Hampshire Daily'!K28-'Hampshire Daily'!K27))</f>
        <v>2429.4000000003725</v>
      </c>
      <c r="K25" s="4">
        <f>IF(('Hampshire Daily'!L28-'Hampshire Daily'!L27&lt;0),"0",('Hampshire Daily'!L28-'Hampshire Daily'!L27))</f>
        <v>1051</v>
      </c>
      <c r="L25" s="4">
        <f>IF(('Hampshire Daily'!M28-'Hampshire Daily'!M27&lt;0),"0",('Hampshire Daily'!M28-'Hampshire Daily'!M27))</f>
        <v>11</v>
      </c>
      <c r="M25" s="4">
        <f>IF(('Hampshire Daily'!N28-'Hampshire Daily'!N27&lt;0),"0",('Hampshire Daily'!N28-'Hampshire Daily'!N27))</f>
        <v>649</v>
      </c>
      <c r="N25" s="4">
        <f>IF(('Hampshire Daily'!O28-'Hampshire Daily'!O27&lt;0),"0",('Hampshire Daily'!O28-'Hampshire Daily'!O27))</f>
        <v>77</v>
      </c>
      <c r="O25" s="4">
        <f>IF(('Hampshire Daily'!P28-'Hampshire Daily'!P27&lt;0),"0",('Hampshire Daily'!P28-'Hampshire Daily'!P27))</f>
        <v>11</v>
      </c>
      <c r="P25" s="4">
        <f>IF(('Hampshire Daily'!Q28-'Hampshire Daily'!Q27&lt;0),"0",('Hampshire Daily'!Q28-'Hampshire Daily'!Q27))</f>
        <v>0</v>
      </c>
      <c r="Q25" s="4">
        <f>IF(('Hampshire Daily'!R28-'Hampshire Daily'!R27&lt;0),"0",('Hampshire Daily'!R28-'Hampshire Daily'!R27))</f>
        <v>64</v>
      </c>
      <c r="R25" s="4">
        <f>IF(('Hampshire Daily'!U28-'Hampshire Daily'!U27&lt;0),"0",('Hampshire Daily'!U28-'Hampshire Daily'!U27))</f>
        <v>10</v>
      </c>
      <c r="S25" s="4">
        <f>IF(('Hampshire Daily'!V28-'Hampshire Daily'!V27&lt;0),"0",('Hampshire Daily'!V28-'Hampshire Daily'!V27))</f>
        <v>5</v>
      </c>
      <c r="T25" s="4">
        <f>IF(('Hampshire Daily'!W28-'Hampshire Daily'!W27&lt;0),"0",('Hampshire Daily'!W28-'Hampshire Daily'!W27))</f>
        <v>0</v>
      </c>
      <c r="U25" s="4">
        <f>IF(('Hampshire Daily'!X28-'Hampshire Daily'!X27&lt;0),"0",('Hampshire Daily'!X28-'Hampshire Daily'!X27))</f>
        <v>0.18799999999998818</v>
      </c>
      <c r="V25" s="4">
        <f>IF(('Hampshire Daily'!Y28-'Hampshire Daily'!Y27&lt;0),"0",('Hampshire Daily'!Y28-'Hampshire Daily'!Y27))</f>
        <v>0</v>
      </c>
      <c r="W25" s="4">
        <f>IF(('Hampshire Daily'!Z28-'Hampshire Daily'!Z27&lt;0),"0",('Hampshire Daily'!Z28-'Hampshire Daily'!Z27))</f>
        <v>0</v>
      </c>
      <c r="X25" s="4">
        <f>IF(('Hampshire Daily'!AA28-'Hampshire Daily'!AA27&lt;0),"0",('Hampshire Daily'!AA28-'Hampshire Daily'!AA27))</f>
        <v>7</v>
      </c>
      <c r="Y25" s="4">
        <f>'Hampshire Daily'!B28</f>
        <v>0</v>
      </c>
      <c r="Z25" s="4">
        <f>'Hampshire Daily'!C28</f>
        <v>60</v>
      </c>
    </row>
    <row r="26" spans="1:26" x14ac:dyDescent="0.25">
      <c r="A26" s="3" t="s">
        <v>40</v>
      </c>
      <c r="B26" s="28">
        <f>B25+1</f>
        <v>25</v>
      </c>
      <c r="C26" s="17">
        <v>10</v>
      </c>
      <c r="D26" s="1">
        <v>2021</v>
      </c>
      <c r="E26" s="4">
        <f>IF(('Hampshire Daily'!D29-'Hampshire Daily'!D28&lt;0),"0",('Hampshire Daily'!D29-'Hampshire Daily'!D28))</f>
        <v>2206</v>
      </c>
      <c r="F26" s="4">
        <f>IF(('Hampshire Daily'!F29-'Hampshire Daily'!F28&lt;0),"0",('Hampshire Daily'!F29-'Hampshire Daily'!F28))</f>
        <v>1559</v>
      </c>
      <c r="G26" s="4">
        <f>IF(('Hampshire Daily'!H29-'Hampshire Daily'!H28&lt;0),"0",('Hampshire Daily'!H29-'Hampshire Daily'!H28))</f>
        <v>36</v>
      </c>
      <c r="H26" s="4">
        <f>IF(('Hampshire Daily'!I29-'Hampshire Daily'!I28&lt;0),"0",('Hampshire Daily'!I29-'Hampshire Daily'!I28))</f>
        <v>2006.4000000003725</v>
      </c>
      <c r="I26" s="4">
        <f>IF(('Hampshire Daily'!J29-'Hampshire Daily'!J28&lt;0),"0",('Hampshire Daily'!J29-'Hampshire Daily'!J28))</f>
        <v>0</v>
      </c>
      <c r="J26" s="4">
        <f>IF(('Hampshire Daily'!K29-'Hampshire Daily'!K28&lt;0),"0",('Hampshire Daily'!K29-'Hampshire Daily'!K28))</f>
        <v>2429.4000000003725</v>
      </c>
      <c r="K26" s="4">
        <f>IF(('Hampshire Daily'!L29-'Hampshire Daily'!L28&lt;0),"0",('Hampshire Daily'!L29-'Hampshire Daily'!L28))</f>
        <v>1051</v>
      </c>
      <c r="L26" s="4">
        <f>IF(('Hampshire Daily'!M29-'Hampshire Daily'!M28&lt;0),"0",('Hampshire Daily'!M29-'Hampshire Daily'!M28))</f>
        <v>10</v>
      </c>
      <c r="M26" s="4">
        <f>IF(('Hampshire Daily'!N29-'Hampshire Daily'!N28&lt;0),"0",('Hampshire Daily'!N29-'Hampshire Daily'!N28))</f>
        <v>5735</v>
      </c>
      <c r="N26" s="4">
        <f>IF(('Hampshire Daily'!O29-'Hampshire Daily'!O28&lt;0),"0",('Hampshire Daily'!O29-'Hampshire Daily'!O28))</f>
        <v>60</v>
      </c>
      <c r="O26" s="4">
        <f>IF(('Hampshire Daily'!P29-'Hampshire Daily'!P28&lt;0),"0",('Hampshire Daily'!P29-'Hampshire Daily'!P28))</f>
        <v>0</v>
      </c>
      <c r="P26" s="4">
        <f>IF(('Hampshire Daily'!Q29-'Hampshire Daily'!Q28&lt;0),"0",('Hampshire Daily'!Q29-'Hampshire Daily'!Q28))</f>
        <v>0</v>
      </c>
      <c r="Q26" s="4">
        <f>IF(('Hampshire Daily'!R29-'Hampshire Daily'!R28&lt;0),"0",('Hampshire Daily'!R29-'Hampshire Daily'!R28))</f>
        <v>0</v>
      </c>
      <c r="R26" s="4">
        <f>IF(('Hampshire Daily'!U29-'Hampshire Daily'!U28&lt;0),"0",('Hampshire Daily'!U29-'Hampshire Daily'!U28))</f>
        <v>10</v>
      </c>
      <c r="S26" s="4">
        <f>IF(('Hampshire Daily'!V29-'Hampshire Daily'!V28&lt;0),"0",('Hampshire Daily'!V29-'Hampshire Daily'!V28))</f>
        <v>4</v>
      </c>
      <c r="T26" s="4">
        <f>IF(('Hampshire Daily'!W29-'Hampshire Daily'!W28&lt;0),"0",('Hampshire Daily'!W29-'Hampshire Daily'!W28))</f>
        <v>0</v>
      </c>
      <c r="U26" s="4">
        <f>IF(('Hampshire Daily'!X29-'Hampshire Daily'!X28&lt;0),"0",('Hampshire Daily'!X29-'Hampshire Daily'!X28))</f>
        <v>0.18700000000001182</v>
      </c>
      <c r="V26" s="4">
        <f>IF(('Hampshire Daily'!Y29-'Hampshire Daily'!Y28&lt;0),"0",('Hampshire Daily'!Y29-'Hampshire Daily'!Y28))</f>
        <v>0</v>
      </c>
      <c r="W26" s="4">
        <f>IF(('Hampshire Daily'!Z29-'Hampshire Daily'!Z28&lt;0),"0",('Hampshire Daily'!Z29-'Hampshire Daily'!Z28))</f>
        <v>0</v>
      </c>
      <c r="X26" s="4">
        <f>IF(('Hampshire Daily'!AA29-'Hampshire Daily'!AA28&lt;0),"0",('Hampshire Daily'!AA29-'Hampshire Daily'!AA28))</f>
        <v>4</v>
      </c>
      <c r="Y26" s="4">
        <f>'Hampshire Daily'!B29</f>
        <v>0</v>
      </c>
      <c r="Z26" s="4">
        <f>'Hampshire Daily'!C29</f>
        <v>68</v>
      </c>
    </row>
    <row r="27" spans="1:26" x14ac:dyDescent="0.25">
      <c r="A27" s="3" t="s">
        <v>40</v>
      </c>
      <c r="B27" s="1">
        <f t="shared" si="0"/>
        <v>26</v>
      </c>
      <c r="C27" s="17">
        <v>10</v>
      </c>
      <c r="D27" s="1">
        <v>2021</v>
      </c>
      <c r="E27" s="4">
        <f>IF(('Hampshire Daily'!D30-'Hampshire Daily'!D29&lt;0),"0",('Hampshire Daily'!D30-'Hampshire Daily'!D29))</f>
        <v>2256</v>
      </c>
      <c r="F27" s="4">
        <f>IF(('Hampshire Daily'!F30-'Hampshire Daily'!F29&lt;0),"0",('Hampshire Daily'!F30-'Hampshire Daily'!F29))</f>
        <v>2078</v>
      </c>
      <c r="G27" s="4" t="str">
        <f>IF(('Hampshire Daily'!H30-'Hampshire Daily'!H29&lt;0),"0",('Hampshire Daily'!H30-'Hampshire Daily'!H29))</f>
        <v>0</v>
      </c>
      <c r="H27" s="4">
        <f>IF(('Hampshire Daily'!I30-'Hampshire Daily'!I29&lt;0),"0",('Hampshire Daily'!I30-'Hampshire Daily'!I29))</f>
        <v>2006.4000000003725</v>
      </c>
      <c r="I27" s="4">
        <f>IF(('Hampshire Daily'!J30-'Hampshire Daily'!J29&lt;0),"0",('Hampshire Daily'!J30-'Hampshire Daily'!J29))</f>
        <v>0</v>
      </c>
      <c r="J27" s="4">
        <f>IF(('Hampshire Daily'!K30-'Hampshire Daily'!K29&lt;0),"0",('Hampshire Daily'!K30-'Hampshire Daily'!K29))</f>
        <v>2429.4000000003725</v>
      </c>
      <c r="K27" s="4">
        <f>IF(('Hampshire Daily'!L30-'Hampshire Daily'!L29&lt;0),"0",('Hampshire Daily'!L30-'Hampshire Daily'!L29))</f>
        <v>1051</v>
      </c>
      <c r="L27" s="4">
        <f>IF(('Hampshire Daily'!M30-'Hampshire Daily'!M29&lt;0),"0",('Hampshire Daily'!M30-'Hampshire Daily'!M29))</f>
        <v>36</v>
      </c>
      <c r="M27" s="4">
        <f>IF(('Hampshire Daily'!N30-'Hampshire Daily'!N29&lt;0),"0",('Hampshire Daily'!N30-'Hampshire Daily'!N29))</f>
        <v>3197</v>
      </c>
      <c r="N27" s="4">
        <f>IF(('Hampshire Daily'!O30-'Hampshire Daily'!O29&lt;0),"0",('Hampshire Daily'!O30-'Hampshire Daily'!O29))</f>
        <v>59</v>
      </c>
      <c r="O27" s="4">
        <f>IF(('Hampshire Daily'!P30-'Hampshire Daily'!P29&lt;0),"0",('Hampshire Daily'!P30-'Hampshire Daily'!P29))</f>
        <v>92</v>
      </c>
      <c r="P27" s="4">
        <f>IF(('Hampshire Daily'!Q30-'Hampshire Daily'!Q29&lt;0),"0",('Hampshire Daily'!Q30-'Hampshire Daily'!Q29))</f>
        <v>0</v>
      </c>
      <c r="Q27" s="4">
        <f>IF(('Hampshire Daily'!R30-'Hampshire Daily'!R29&lt;0),"0",('Hampshire Daily'!R30-'Hampshire Daily'!R29))</f>
        <v>0</v>
      </c>
      <c r="R27" s="4">
        <f>IF(('Hampshire Daily'!U30-'Hampshire Daily'!U29&lt;0),"0",('Hampshire Daily'!U30-'Hampshire Daily'!U29))</f>
        <v>9</v>
      </c>
      <c r="S27" s="4">
        <f>IF(('Hampshire Daily'!V30-'Hampshire Daily'!V29&lt;0),"0",('Hampshire Daily'!V30-'Hampshire Daily'!V29))</f>
        <v>1</v>
      </c>
      <c r="T27" s="4">
        <f>IF(('Hampshire Daily'!W30-'Hampshire Daily'!W29&lt;0),"0",('Hampshire Daily'!W30-'Hampshire Daily'!W29))</f>
        <v>0</v>
      </c>
      <c r="U27" s="4">
        <f>IF(('Hampshire Daily'!X30-'Hampshire Daily'!X29&lt;0),"0",('Hampshire Daily'!X30-'Hampshire Daily'!X29))</f>
        <v>0.19899999999995543</v>
      </c>
      <c r="V27" s="4">
        <f>IF(('Hampshire Daily'!Y30-'Hampshire Daily'!Y29&lt;0),"0",('Hampshire Daily'!Y30-'Hampshire Daily'!Y29))</f>
        <v>9.9999999999909051E-2</v>
      </c>
      <c r="W27" s="4">
        <f>IF(('Hampshire Daily'!Z30-'Hampshire Daily'!Z29&lt;0),"0",('Hampshire Daily'!Z30-'Hampshire Daily'!Z29))</f>
        <v>0</v>
      </c>
      <c r="X27" s="4">
        <f>IF(('Hampshire Daily'!AA30-'Hampshire Daily'!AA29&lt;0),"0",('Hampshire Daily'!AA30-'Hampshire Daily'!AA29))</f>
        <v>4</v>
      </c>
      <c r="Y27" s="4">
        <f>'Hampshire Daily'!B30</f>
        <v>0</v>
      </c>
      <c r="Z27" s="4">
        <f>'Hampshire Daily'!C30</f>
        <v>52</v>
      </c>
    </row>
    <row r="28" spans="1:26" x14ac:dyDescent="0.25">
      <c r="A28" s="3" t="s">
        <v>40</v>
      </c>
      <c r="B28" s="1">
        <f t="shared" si="0"/>
        <v>27</v>
      </c>
      <c r="C28" s="17">
        <v>10</v>
      </c>
      <c r="D28" s="1">
        <v>2021</v>
      </c>
      <c r="E28" s="4">
        <f>IF(('Hampshire Daily'!D31-'Hampshire Daily'!D30&lt;0),"0",('Hampshire Daily'!D31-'Hampshire Daily'!D30))</f>
        <v>1926</v>
      </c>
      <c r="F28" s="4">
        <f>IF(('Hampshire Daily'!F31-'Hampshire Daily'!F30&lt;0),"0",('Hampshire Daily'!F31-'Hampshire Daily'!F30))</f>
        <v>2179</v>
      </c>
      <c r="G28" s="4">
        <f>IF(('Hampshire Daily'!H31-'Hampshire Daily'!H30&lt;0),"0",('Hampshire Daily'!H31-'Hampshire Daily'!H30))</f>
        <v>1157</v>
      </c>
      <c r="H28" s="4">
        <f>IF(('Hampshire Daily'!I31-'Hampshire Daily'!I30&lt;0),"0",('Hampshire Daily'!I31-'Hampshire Daily'!I30))</f>
        <v>2006.4000000003725</v>
      </c>
      <c r="I28" s="4">
        <f>IF(('Hampshire Daily'!J31-'Hampshire Daily'!J30&lt;0),"0",('Hampshire Daily'!J31-'Hampshire Daily'!J30))</f>
        <v>0</v>
      </c>
      <c r="J28" s="4">
        <f>IF(('Hampshire Daily'!K31-'Hampshire Daily'!K30&lt;0),"0",('Hampshire Daily'!K31-'Hampshire Daily'!K30))</f>
        <v>2429.4000000003725</v>
      </c>
      <c r="K28" s="4">
        <f>IF(('Hampshire Daily'!L31-'Hampshire Daily'!L30&lt;0),"0",('Hampshire Daily'!L31-'Hampshire Daily'!L30))</f>
        <v>1051</v>
      </c>
      <c r="L28" s="4">
        <f>IF(('Hampshire Daily'!M31-'Hampshire Daily'!M30&lt;0),"0",('Hampshire Daily'!M31-'Hampshire Daily'!M30))</f>
        <v>1</v>
      </c>
      <c r="M28" s="4">
        <f>IF(('Hampshire Daily'!N31-'Hampshire Daily'!N30&lt;0),"0",('Hampshire Daily'!N31-'Hampshire Daily'!N30))</f>
        <v>2793</v>
      </c>
      <c r="N28" s="4">
        <f>IF(('Hampshire Daily'!O31-'Hampshire Daily'!O30&lt;0),"0",('Hampshire Daily'!O31-'Hampshire Daily'!O30))</f>
        <v>61</v>
      </c>
      <c r="O28" s="4">
        <f>IF(('Hampshire Daily'!P31-'Hampshire Daily'!P30&lt;0),"0",('Hampshire Daily'!P31-'Hampshire Daily'!P30))</f>
        <v>0</v>
      </c>
      <c r="P28" s="4">
        <f>IF(('Hampshire Daily'!Q31-'Hampshire Daily'!Q30&lt;0),"0",('Hampshire Daily'!Q31-'Hampshire Daily'!Q30))</f>
        <v>0</v>
      </c>
      <c r="Q28" s="4">
        <f>IF(('Hampshire Daily'!R31-'Hampshire Daily'!R30&lt;0),"0",('Hampshire Daily'!R31-'Hampshire Daily'!R30))</f>
        <v>16</v>
      </c>
      <c r="R28" s="4">
        <f>IF(('Hampshire Daily'!U31-'Hampshire Daily'!U30&lt;0),"0",('Hampshire Daily'!U31-'Hampshire Daily'!U30))</f>
        <v>10</v>
      </c>
      <c r="S28" s="4">
        <f>IF(('Hampshire Daily'!V31-'Hampshire Daily'!V30&lt;0),"0",('Hampshire Daily'!V31-'Hampshire Daily'!V30))</f>
        <v>1</v>
      </c>
      <c r="T28" s="4">
        <f>IF(('Hampshire Daily'!W31-'Hampshire Daily'!W30&lt;0),"0",('Hampshire Daily'!W31-'Hampshire Daily'!W30))</f>
        <v>0</v>
      </c>
      <c r="U28" s="4">
        <f>IF(('Hampshire Daily'!X31-'Hampshire Daily'!X30&lt;0),"0",('Hampshire Daily'!X31-'Hampshire Daily'!X30))</f>
        <v>0.18000000000006366</v>
      </c>
      <c r="V28" s="4">
        <f>IF(('Hampshire Daily'!Y31-'Hampshire Daily'!Y30&lt;0),"0",('Hampshire Daily'!Y31-'Hampshire Daily'!Y30))</f>
        <v>0</v>
      </c>
      <c r="W28" s="4">
        <f>IF(('Hampshire Daily'!Z31-'Hampshire Daily'!Z30&lt;0),"0",('Hampshire Daily'!Z31-'Hampshire Daily'!Z30))</f>
        <v>0</v>
      </c>
      <c r="X28" s="4">
        <f>IF(('Hampshire Daily'!AA31-'Hampshire Daily'!AA30&lt;0),"0",('Hampshire Daily'!AA31-'Hampshire Daily'!AA30))</f>
        <v>6</v>
      </c>
      <c r="Y28" s="4">
        <f>'Hampshire Daily'!B31</f>
        <v>0</v>
      </c>
      <c r="Z28" s="4">
        <f>'Hampshire Daily'!C31</f>
        <v>75</v>
      </c>
    </row>
    <row r="29" spans="1:26" x14ac:dyDescent="0.25">
      <c r="A29" s="3" t="s">
        <v>40</v>
      </c>
      <c r="B29" s="1">
        <f t="shared" si="0"/>
        <v>28</v>
      </c>
      <c r="C29" s="17">
        <v>10</v>
      </c>
      <c r="D29" s="1">
        <v>2021</v>
      </c>
      <c r="E29" s="4">
        <f>IF(('Hampshire Daily'!D32-'Hampshire Daily'!D31&lt;0),"0",('Hampshire Daily'!D32-'Hampshire Daily'!D31))</f>
        <v>2422</v>
      </c>
      <c r="F29" s="4">
        <f>IF(('Hampshire Daily'!F32-'Hampshire Daily'!F31&lt;0),"0",('Hampshire Daily'!F32-'Hampshire Daily'!F31))</f>
        <v>1449</v>
      </c>
      <c r="G29" s="4">
        <f>IF(('Hampshire Daily'!H32-'Hampshire Daily'!H31&lt;0),"0",('Hampshire Daily'!H32-'Hampshire Daily'!H31))</f>
        <v>5</v>
      </c>
      <c r="H29" s="4">
        <f>IF(('Hampshire Daily'!I32-'Hampshire Daily'!I31&lt;0),"0",('Hampshire Daily'!I32-'Hampshire Daily'!I31))</f>
        <v>2006.4000000003725</v>
      </c>
      <c r="I29" s="4">
        <f>IF(('Hampshire Daily'!J32-'Hampshire Daily'!J31&lt;0),"0",('Hampshire Daily'!J32-'Hampshire Daily'!J31))</f>
        <v>0</v>
      </c>
      <c r="J29" s="4">
        <f>IF(('Hampshire Daily'!K32-'Hampshire Daily'!K31&lt;0),"0",('Hampshire Daily'!K32-'Hampshire Daily'!K31))</f>
        <v>2429.4000000003725</v>
      </c>
      <c r="K29" s="4">
        <f>IF(('Hampshire Daily'!L32-'Hampshire Daily'!L31&lt;0),"0",('Hampshire Daily'!L32-'Hampshire Daily'!L31))</f>
        <v>1051</v>
      </c>
      <c r="L29" s="4">
        <f>IF(('Hampshire Daily'!M32-'Hampshire Daily'!M31&lt;0),"0",('Hampshire Daily'!M32-'Hampshire Daily'!M31))</f>
        <v>1</v>
      </c>
      <c r="M29" s="4">
        <f>IF(('Hampshire Daily'!N32-'Hampshire Daily'!N31&lt;0),"0",('Hampshire Daily'!N32-'Hampshire Daily'!N31))</f>
        <v>2815</v>
      </c>
      <c r="N29" s="4">
        <f>IF(('Hampshire Daily'!O32-'Hampshire Daily'!O31&lt;0),"0",('Hampshire Daily'!O32-'Hampshire Daily'!O31))</f>
        <v>74</v>
      </c>
      <c r="O29" s="4">
        <f>IF(('Hampshire Daily'!P32-'Hampshire Daily'!P31&lt;0),"0",('Hampshire Daily'!P32-'Hampshire Daily'!P31))</f>
        <v>3</v>
      </c>
      <c r="P29" s="4">
        <f>IF(('Hampshire Daily'!Q32-'Hampshire Daily'!Q31&lt;0),"0",('Hampshire Daily'!Q32-'Hampshire Daily'!Q31))</f>
        <v>0</v>
      </c>
      <c r="Q29" s="4">
        <f>IF(('Hampshire Daily'!R32-'Hampshire Daily'!R31&lt;0),"0",('Hampshire Daily'!R32-'Hampshire Daily'!R31))</f>
        <v>290</v>
      </c>
      <c r="R29" s="4">
        <f>IF(('Hampshire Daily'!U32-'Hampshire Daily'!U31&lt;0),"0",('Hampshire Daily'!U32-'Hampshire Daily'!U31))</f>
        <v>9</v>
      </c>
      <c r="S29" s="4">
        <f>IF(('Hampshire Daily'!V32-'Hampshire Daily'!V31&lt;0),"0",('Hampshire Daily'!V32-'Hampshire Daily'!V31))</f>
        <v>2</v>
      </c>
      <c r="T29" s="4">
        <f>IF(('Hampshire Daily'!W32-'Hampshire Daily'!W31&lt;0),"0",('Hampshire Daily'!W32-'Hampshire Daily'!W31))</f>
        <v>0</v>
      </c>
      <c r="U29" s="4">
        <f>IF(('Hampshire Daily'!X32-'Hampshire Daily'!X31&lt;0),"0",('Hampshire Daily'!X32-'Hampshire Daily'!X31))</f>
        <v>0.11000000000001364</v>
      </c>
      <c r="V29" s="4" t="str">
        <f>IF(('Hampshire Daily'!Y32-'Hampshire Daily'!Y31&lt;0),"0",('Hampshire Daily'!Y32-'Hampshire Daily'!Y31))</f>
        <v>0</v>
      </c>
      <c r="W29" s="4">
        <f>IF(('Hampshire Daily'!Z32-'Hampshire Daily'!Z31&lt;0),"0",('Hampshire Daily'!Z32-'Hampshire Daily'!Z31))</f>
        <v>0</v>
      </c>
      <c r="X29" s="4">
        <f>IF(('Hampshire Daily'!AA32-'Hampshire Daily'!AA31&lt;0),"0",('Hampshire Daily'!AA32-'Hampshire Daily'!AA31))</f>
        <v>4</v>
      </c>
      <c r="Y29" s="4">
        <f>'Hampshire Daily'!B32</f>
        <v>0</v>
      </c>
      <c r="Z29" s="4">
        <f>'Hampshire Daily'!C32</f>
        <v>90</v>
      </c>
    </row>
    <row r="30" spans="1:26" x14ac:dyDescent="0.25">
      <c r="A30" s="3" t="s">
        <v>40</v>
      </c>
      <c r="B30" s="1">
        <f t="shared" si="0"/>
        <v>29</v>
      </c>
      <c r="C30" s="17">
        <v>10</v>
      </c>
      <c r="D30" s="1">
        <v>2021</v>
      </c>
      <c r="E30" s="4">
        <f>IF(('Hampshire Daily'!D33-'Hampshire Daily'!D32&lt;0),"0",('Hampshire Daily'!D33-'Hampshire Daily'!D32))</f>
        <v>2205</v>
      </c>
      <c r="F30" s="4">
        <f>IF(('Hampshire Daily'!F33-'Hampshire Daily'!F32&lt;0),"0",('Hampshire Daily'!F33-'Hampshire Daily'!F32))</f>
        <v>4509</v>
      </c>
      <c r="G30" s="4">
        <f>IF(('Hampshire Daily'!H33-'Hampshire Daily'!H32&lt;0),"0",('Hampshire Daily'!H33-'Hampshire Daily'!H32))</f>
        <v>316</v>
      </c>
      <c r="H30" s="4">
        <f>IF(('Hampshire Daily'!I33-'Hampshire Daily'!I32&lt;0),"0",('Hampshire Daily'!I33-'Hampshire Daily'!I32))</f>
        <v>2006.4000000003725</v>
      </c>
      <c r="I30" s="4">
        <f>IF(('Hampshire Daily'!J33-'Hampshire Daily'!J32&lt;0),"0",('Hampshire Daily'!J33-'Hampshire Daily'!J32))</f>
        <v>0</v>
      </c>
      <c r="J30" s="4">
        <f>IF(('Hampshire Daily'!K33-'Hampshire Daily'!K32&lt;0),"0",('Hampshire Daily'!K33-'Hampshire Daily'!K32))</f>
        <v>2429.4000000003725</v>
      </c>
      <c r="K30" s="4">
        <f>IF(('Hampshire Daily'!L33-'Hampshire Daily'!L32&lt;0),"0",('Hampshire Daily'!L33-'Hampshire Daily'!L32))</f>
        <v>1051</v>
      </c>
      <c r="L30" s="4">
        <f>IF(('Hampshire Daily'!M33-'Hampshire Daily'!M32&lt;0),"0",('Hampshire Daily'!M33-'Hampshire Daily'!M32))</f>
        <v>1</v>
      </c>
      <c r="M30" s="4">
        <f>IF(('Hampshire Daily'!N33-'Hampshire Daily'!N32&lt;0),"0",('Hampshire Daily'!N33-'Hampshire Daily'!N32))</f>
        <v>2663</v>
      </c>
      <c r="N30" s="4">
        <f>IF(('Hampshire Daily'!O33-'Hampshire Daily'!O32&lt;0),"0",('Hampshire Daily'!O33-'Hampshire Daily'!O32))</f>
        <v>62</v>
      </c>
      <c r="O30" s="4">
        <f>IF(('Hampshire Daily'!P33-'Hampshire Daily'!P32&lt;0),"0",('Hampshire Daily'!P33-'Hampshire Daily'!P32))</f>
        <v>689</v>
      </c>
      <c r="P30" s="4">
        <f>IF(('Hampshire Daily'!Q33-'Hampshire Daily'!Q32&lt;0),"0",('Hampshire Daily'!Q33-'Hampshire Daily'!Q32))</f>
        <v>0</v>
      </c>
      <c r="Q30" s="4">
        <f>IF(('Hampshire Daily'!R33-'Hampshire Daily'!R32&lt;0),"0",('Hampshire Daily'!R33-'Hampshire Daily'!R32))</f>
        <v>18</v>
      </c>
      <c r="R30" s="4">
        <f>IF(('Hampshire Daily'!U33-'Hampshire Daily'!U32&lt;0),"0",('Hampshire Daily'!U33-'Hampshire Daily'!U32))</f>
        <v>9</v>
      </c>
      <c r="S30" s="4">
        <f>IF(('Hampshire Daily'!V33-'Hampshire Daily'!V32&lt;0),"0",('Hampshire Daily'!V33-'Hampshire Daily'!V32))</f>
        <v>1</v>
      </c>
      <c r="T30" s="4">
        <f>IF(('Hampshire Daily'!W33-'Hampshire Daily'!W32&lt;0),"0",('Hampshire Daily'!W33-'Hampshire Daily'!W32))</f>
        <v>0</v>
      </c>
      <c r="U30" s="4">
        <f>IF(('Hampshire Daily'!X33-'Hampshire Daily'!X32&lt;0),"0",('Hampshire Daily'!X33-'Hampshire Daily'!X32))</f>
        <v>0.18799999999998818</v>
      </c>
      <c r="V30" s="4">
        <f>IF(('Hampshire Daily'!Y33-'Hampshire Daily'!Y32&lt;0),"0",('Hampshire Daily'!Y33-'Hampshire Daily'!Y32))</f>
        <v>0</v>
      </c>
      <c r="W30" s="4">
        <f>IF(('Hampshire Daily'!Z33-'Hampshire Daily'!Z32&lt;0),"0",('Hampshire Daily'!Z33-'Hampshire Daily'!Z32))</f>
        <v>0</v>
      </c>
      <c r="X30" s="4">
        <f>IF(('Hampshire Daily'!AA33-'Hampshire Daily'!AA32&lt;0),"0",('Hampshire Daily'!AA33-'Hampshire Daily'!AA32))</f>
        <v>4</v>
      </c>
      <c r="Y30" s="4">
        <f>'Hampshire Daily'!B33</f>
        <v>0</v>
      </c>
      <c r="Z30" s="4">
        <f>'Hampshire Daily'!C33</f>
        <v>148</v>
      </c>
    </row>
    <row r="31" spans="1:26" x14ac:dyDescent="0.25">
      <c r="A31" s="3" t="s">
        <v>40</v>
      </c>
      <c r="B31" s="1">
        <f t="shared" si="0"/>
        <v>30</v>
      </c>
      <c r="C31" s="17">
        <v>10</v>
      </c>
      <c r="D31" s="1">
        <v>2021</v>
      </c>
      <c r="E31" s="4">
        <f>IF(('Hampshire Daily'!D34-'Hampshire Daily'!D33&lt;0),"0",('Hampshire Daily'!D34-'Hampshire Daily'!D33))</f>
        <v>2338</v>
      </c>
      <c r="F31" s="4">
        <f>IF(('Hampshire Daily'!F34-'Hampshire Daily'!F33&lt;0),"0",('Hampshire Daily'!F34-'Hampshire Daily'!F33))</f>
        <v>5903</v>
      </c>
      <c r="G31" s="4">
        <f>IF(('Hampshire Daily'!H34-'Hampshire Daily'!H33&lt;0),"0",('Hampshire Daily'!H34-'Hampshire Daily'!H33))</f>
        <v>788</v>
      </c>
      <c r="H31" s="4">
        <f>IF(('Hampshire Daily'!I34-'Hampshire Daily'!I33&lt;0),"0",('Hampshire Daily'!I34-'Hampshire Daily'!I33))</f>
        <v>2006.4000000003725</v>
      </c>
      <c r="I31" s="4">
        <f>IF(('Hampshire Daily'!J34-'Hampshire Daily'!J33&lt;0),"0",('Hampshire Daily'!J34-'Hampshire Daily'!J33))</f>
        <v>0</v>
      </c>
      <c r="J31" s="4">
        <f>IF(('Hampshire Daily'!K34-'Hampshire Daily'!K33&lt;0),"0",('Hampshire Daily'!K34-'Hampshire Daily'!K33))</f>
        <v>2429.4000000003725</v>
      </c>
      <c r="K31" s="4">
        <f>IF(('Hampshire Daily'!L34-'Hampshire Daily'!L33&lt;0),"0",('Hampshire Daily'!L34-'Hampshire Daily'!L33))</f>
        <v>1051</v>
      </c>
      <c r="L31" s="4">
        <f>IF(('Hampshire Daily'!M34-'Hampshire Daily'!M33&lt;0),"0",('Hampshire Daily'!M34-'Hampshire Daily'!M33))</f>
        <v>2</v>
      </c>
      <c r="M31" s="4">
        <f>IF(('Hampshire Daily'!N34-'Hampshire Daily'!N33&lt;0),"0",('Hampshire Daily'!N34-'Hampshire Daily'!N33))</f>
        <v>2641</v>
      </c>
      <c r="N31" s="4">
        <f>IF(('Hampshire Daily'!O34-'Hampshire Daily'!O33&lt;0),"0",('Hampshire Daily'!O34-'Hampshire Daily'!O33))</f>
        <v>65</v>
      </c>
      <c r="O31" s="4">
        <f>IF(('Hampshire Daily'!P34-'Hampshire Daily'!P33&lt;0),"0",('Hampshire Daily'!P34-'Hampshire Daily'!P33))</f>
        <v>268</v>
      </c>
      <c r="P31" s="4">
        <f>IF(('Hampshire Daily'!Q34-'Hampshire Daily'!Q33&lt;0),"0",('Hampshire Daily'!Q34-'Hampshire Daily'!Q33))</f>
        <v>0</v>
      </c>
      <c r="Q31" s="4">
        <f>IF(('Hampshire Daily'!R34-'Hampshire Daily'!R33&lt;0),"0",('Hampshire Daily'!R34-'Hampshire Daily'!R33))</f>
        <v>327</v>
      </c>
      <c r="R31" s="4">
        <f>IF(('Hampshire Daily'!U34-'Hampshire Daily'!U33&lt;0),"0",('Hampshire Daily'!U34-'Hampshire Daily'!U33))</f>
        <v>11</v>
      </c>
      <c r="S31" s="4">
        <f>IF(('Hampshire Daily'!V34-'Hampshire Daily'!V33&lt;0),"0",('Hampshire Daily'!V34-'Hampshire Daily'!V33))</f>
        <v>14</v>
      </c>
      <c r="T31" s="4">
        <f>IF(('Hampshire Daily'!W34-'Hampshire Daily'!W33&lt;0),"0",('Hampshire Daily'!W34-'Hampshire Daily'!W33))</f>
        <v>0</v>
      </c>
      <c r="U31" s="4">
        <f>IF(('Hampshire Daily'!X34-'Hampshire Daily'!X33&lt;0),"0",('Hampshire Daily'!X34-'Hampshire Daily'!X33))</f>
        <v>0.20899999999994634</v>
      </c>
      <c r="V31" s="4">
        <f>IF(('Hampshire Daily'!Y34-'Hampshire Daily'!Y33&lt;0),"0",('Hampshire Daily'!Y34-'Hampshire Daily'!Y33))</f>
        <v>0</v>
      </c>
      <c r="W31" s="4">
        <f>IF(('Hampshire Daily'!Z34-'Hampshire Daily'!Z33&lt;0),"0",('Hampshire Daily'!Z34-'Hampshire Daily'!Z33))</f>
        <v>0</v>
      </c>
      <c r="X31" s="4">
        <f>IF(('Hampshire Daily'!AA34-'Hampshire Daily'!AA33&lt;0),"0",('Hampshire Daily'!AA34-'Hampshire Daily'!AA33))</f>
        <v>5</v>
      </c>
      <c r="Y31" s="4">
        <f>'Hampshire Daily'!B34</f>
        <v>0</v>
      </c>
      <c r="Z31" s="4">
        <f>'Hampshire Daily'!C34</f>
        <v>50</v>
      </c>
    </row>
    <row r="32" spans="1:26" x14ac:dyDescent="0.25">
      <c r="A32" s="3" t="s">
        <v>40</v>
      </c>
      <c r="B32" s="1">
        <v>31</v>
      </c>
      <c r="C32" s="17">
        <v>10</v>
      </c>
      <c r="D32" s="1">
        <v>2022</v>
      </c>
      <c r="E32" s="4">
        <f>IF(('Hampshire Daily'!D35-'Hampshire Daily'!D34&lt;0),"0",('Hampshire Daily'!D35-'Hampshire Daily'!D34))</f>
        <v>2570</v>
      </c>
      <c r="F32" s="4">
        <f>IF(('Hampshire Daily'!F35-'Hampshire Daily'!F34&lt;0),"0",('Hampshire Daily'!F35-'Hampshire Daily'!F34))</f>
        <v>5213</v>
      </c>
      <c r="G32" s="4">
        <f>IF(('Hampshire Daily'!H35-'Hampshire Daily'!H34&lt;0),"0",('Hampshire Daily'!H35-'Hampshire Daily'!H34))</f>
        <v>809</v>
      </c>
      <c r="H32" s="4">
        <f>IF(('Hampshire Daily'!I35-'Hampshire Daily'!I34&lt;0),"0",('Hampshire Daily'!I35-'Hampshire Daily'!I34))</f>
        <v>2007.5999999903142</v>
      </c>
      <c r="I32" s="4">
        <f>IF(('Hampshire Daily'!J35-'Hampshire Daily'!J34&lt;0),"0",('Hampshire Daily'!J35-'Hampshire Daily'!J34))</f>
        <v>0</v>
      </c>
      <c r="J32" s="4">
        <f>IF(('Hampshire Daily'!K35-'Hampshire Daily'!K34&lt;0),"0",('Hampshire Daily'!K35-'Hampshire Daily'!K34))</f>
        <v>2428.5999999903142</v>
      </c>
      <c r="K32" s="4">
        <f>IF(('Hampshire Daily'!L35-'Hampshire Daily'!L34&lt;0),"0",('Hampshire Daily'!L35-'Hampshire Daily'!L34))</f>
        <v>2947</v>
      </c>
      <c r="L32" s="4">
        <f>IF(('Hampshire Daily'!M35-'Hampshire Daily'!M34&lt;0),"0",('Hampshire Daily'!M35-'Hampshire Daily'!M34))</f>
        <v>1</v>
      </c>
      <c r="M32" s="4">
        <f>IF(('Hampshire Daily'!N35-'Hampshire Daily'!N34&lt;0),"0",('Hampshire Daily'!N35-'Hampshire Daily'!N34))</f>
        <v>2638</v>
      </c>
      <c r="N32" s="4">
        <f>IF(('Hampshire Daily'!O35-'Hampshire Daily'!O34&lt;0),"0",('Hampshire Daily'!O35-'Hampshire Daily'!O34))</f>
        <v>93</v>
      </c>
      <c r="O32" s="4">
        <f>IF(('Hampshire Daily'!P35-'Hampshire Daily'!P34&lt;0),"0",('Hampshire Daily'!P35-'Hampshire Daily'!P34))</f>
        <v>94</v>
      </c>
      <c r="P32" s="4">
        <f>IF(('Hampshire Daily'!Q35-'Hampshire Daily'!Q34&lt;0),"0",('Hampshire Daily'!Q35-'Hampshire Daily'!Q34))</f>
        <v>0</v>
      </c>
      <c r="Q32" s="4">
        <f>IF(('Hampshire Daily'!R35-'Hampshire Daily'!R34&lt;0),"0",('Hampshire Daily'!R35-'Hampshire Daily'!R34))</f>
        <v>665</v>
      </c>
      <c r="R32" s="4">
        <f>IF(('Hampshire Daily'!U35-'Hampshire Daily'!U34&lt;0),"0",('Hampshire Daily'!U35-'Hampshire Daily'!U34))</f>
        <v>11</v>
      </c>
      <c r="S32" s="4">
        <f>IF(('Hampshire Daily'!V35-'Hampshire Daily'!V34&lt;0),"0",('Hampshire Daily'!V35-'Hampshire Daily'!V34))</f>
        <v>0</v>
      </c>
      <c r="T32" s="4">
        <f>IF(('Hampshire Daily'!W35-'Hampshire Daily'!W34&lt;0),"0",('Hampshire Daily'!W35-'Hampshire Daily'!W34))</f>
        <v>0</v>
      </c>
      <c r="U32" s="4">
        <f>IF(('Hampshire Daily'!X35-'Hampshire Daily'!X34&lt;0),"0",('Hampshire Daily'!X35-'Hampshire Daily'!X34))</f>
        <v>0.21100000000001273</v>
      </c>
      <c r="V32" s="4">
        <f>IF(('Hampshire Daily'!Y35-'Hampshire Daily'!Y34&lt;0),"0",('Hampshire Daily'!Y35-'Hampshire Daily'!Y34))</f>
        <v>0</v>
      </c>
      <c r="W32" s="4">
        <f>IF(('Hampshire Daily'!Z35-'Hampshire Daily'!Z34&lt;0),"0",('Hampshire Daily'!Z35-'Hampshire Daily'!Z34))</f>
        <v>0</v>
      </c>
      <c r="X32" s="4">
        <f>IF(('Hampshire Daily'!AA35-'Hampshire Daily'!AA34&lt;0),"0",('Hampshire Daily'!AA35-'Hampshire Daily'!AA34))</f>
        <v>9</v>
      </c>
      <c r="Y32" s="4">
        <f>'Hampshire Daily'!B35</f>
        <v>0</v>
      </c>
      <c r="Z32" s="4">
        <f>'Hampshire Daily'!C35</f>
        <v>50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workbookViewId="0">
      <selection activeCell="O16" sqref="O16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40</v>
      </c>
      <c r="B2" s="2">
        <v>1</v>
      </c>
      <c r="C2" s="2">
        <v>10</v>
      </c>
      <c r="D2" s="2">
        <v>2021</v>
      </c>
      <c r="E2" s="4">
        <f>(Submetering!E2+Submetering!F2)</f>
        <v>6253</v>
      </c>
      <c r="F2" s="12">
        <v>0.14000000000000001</v>
      </c>
      <c r="G2" s="4" t="str">
        <f>Submetering!M2</f>
        <v>0</v>
      </c>
      <c r="H2" s="12">
        <v>0.25</v>
      </c>
      <c r="I2" s="4">
        <f>Submetering!N2</f>
        <v>1151613</v>
      </c>
      <c r="J2" s="13">
        <v>2.06</v>
      </c>
      <c r="K2" s="4">
        <f>'Hampshire Daily'!B5</f>
        <v>0</v>
      </c>
      <c r="L2" s="4">
        <f>'Hampshire Daily'!D5</f>
        <v>1114528</v>
      </c>
    </row>
    <row r="3" spans="1:24" x14ac:dyDescent="0.25">
      <c r="A3" s="3" t="s">
        <v>40</v>
      </c>
      <c r="B3" s="2">
        <f>B2+1</f>
        <v>2</v>
      </c>
      <c r="C3" s="2">
        <v>10</v>
      </c>
      <c r="D3" s="2">
        <v>2021</v>
      </c>
      <c r="E3" s="4">
        <f>Submetering!E3+Submetering!F3</f>
        <v>5425</v>
      </c>
      <c r="F3" s="12">
        <v>0.14000000000000001</v>
      </c>
      <c r="G3" s="4">
        <f>Submetering!M3</f>
        <v>127</v>
      </c>
      <c r="H3" s="12">
        <v>0.25</v>
      </c>
      <c r="I3" s="4" t="str">
        <f>Submetering!N3</f>
        <v>0</v>
      </c>
      <c r="J3" s="13">
        <v>2.06</v>
      </c>
      <c r="K3" s="4">
        <f>'Hampshire Daily'!B6</f>
        <v>0</v>
      </c>
      <c r="L3" s="4">
        <f>'Hampshire Daily'!D6</f>
        <v>1116376</v>
      </c>
    </row>
    <row r="4" spans="1:24" x14ac:dyDescent="0.25">
      <c r="A4" s="3" t="s">
        <v>40</v>
      </c>
      <c r="B4" s="2">
        <f t="shared" ref="B4:B31" si="0">B3+1</f>
        <v>3</v>
      </c>
      <c r="C4" s="2">
        <v>10</v>
      </c>
      <c r="D4" s="2">
        <v>2021</v>
      </c>
      <c r="E4" s="4">
        <f>Submetering!E4+Submetering!F4</f>
        <v>8825</v>
      </c>
      <c r="F4" s="12">
        <v>0.14000000000000001</v>
      </c>
      <c r="G4" s="4">
        <f>Submetering!M4</f>
        <v>154</v>
      </c>
      <c r="H4" s="12">
        <v>0.25</v>
      </c>
      <c r="I4" s="4">
        <f>Submetering!N4</f>
        <v>1381662</v>
      </c>
      <c r="J4" s="13">
        <v>2.06</v>
      </c>
      <c r="K4" s="4">
        <f>'Hampshire Daily'!B7</f>
        <v>0</v>
      </c>
      <c r="L4" s="4">
        <f>'Hampshire Daily'!D7</f>
        <v>1118474</v>
      </c>
    </row>
    <row r="5" spans="1:24" x14ac:dyDescent="0.25">
      <c r="A5" s="3" t="s">
        <v>40</v>
      </c>
      <c r="B5" s="2">
        <f t="shared" si="0"/>
        <v>4</v>
      </c>
      <c r="C5" s="2">
        <v>10</v>
      </c>
      <c r="D5" s="2">
        <v>2021</v>
      </c>
      <c r="E5" s="4">
        <f>Submetering!E5+Submetering!F5</f>
        <v>6261</v>
      </c>
      <c r="F5" s="12">
        <v>0.14000000000000001</v>
      </c>
      <c r="G5" s="4">
        <f>Submetering!M5</f>
        <v>117.5</v>
      </c>
      <c r="H5" s="12">
        <v>0.25</v>
      </c>
      <c r="I5" s="4">
        <f>Submetering!N5</f>
        <v>736</v>
      </c>
      <c r="J5" s="13">
        <v>2.06</v>
      </c>
      <c r="K5" s="4">
        <f>'Hampshire Daily'!B8</f>
        <v>0</v>
      </c>
      <c r="L5" s="4">
        <f>'Hampshire Daily'!D8</f>
        <v>1121194</v>
      </c>
    </row>
    <row r="6" spans="1:24" x14ac:dyDescent="0.25">
      <c r="A6" s="3" t="s">
        <v>40</v>
      </c>
      <c r="B6" s="2">
        <f t="shared" si="0"/>
        <v>5</v>
      </c>
      <c r="C6" s="2">
        <v>10</v>
      </c>
      <c r="D6" s="2">
        <v>2021</v>
      </c>
      <c r="E6" s="4">
        <f>Submetering!E6+Submetering!F6</f>
        <v>9079</v>
      </c>
      <c r="F6" s="12">
        <v>0.14000000000000001</v>
      </c>
      <c r="G6" s="4">
        <f>Submetering!M6</f>
        <v>117.5</v>
      </c>
      <c r="H6" s="12">
        <v>0.25</v>
      </c>
      <c r="I6" s="4">
        <f>Submetering!N6</f>
        <v>323</v>
      </c>
      <c r="J6" s="13">
        <v>2.06</v>
      </c>
      <c r="K6" s="4">
        <f>'Hampshire Daily'!B9</f>
        <v>0</v>
      </c>
      <c r="L6" s="4">
        <f>'Hampshire Daily'!D9</f>
        <v>1124918</v>
      </c>
    </row>
    <row r="7" spans="1:24" x14ac:dyDescent="0.25">
      <c r="A7" s="3" t="s">
        <v>40</v>
      </c>
      <c r="B7" s="2">
        <f t="shared" si="0"/>
        <v>6</v>
      </c>
      <c r="C7" s="2">
        <v>10</v>
      </c>
      <c r="D7" s="2">
        <v>2021</v>
      </c>
      <c r="E7" s="4">
        <f>Submetering!E7+Submetering!F7</f>
        <v>6763</v>
      </c>
      <c r="F7" s="12">
        <v>0.14000000000000001</v>
      </c>
      <c r="G7" s="4">
        <f>Submetering!M7</f>
        <v>117</v>
      </c>
      <c r="H7" s="12">
        <v>0.25</v>
      </c>
      <c r="I7" s="4">
        <f>Submetering!N7</f>
        <v>0</v>
      </c>
      <c r="J7" s="13">
        <v>2.06</v>
      </c>
      <c r="K7" s="4">
        <f>'Hampshire Daily'!B10</f>
        <v>0</v>
      </c>
      <c r="L7" s="4">
        <f>'Hampshire Daily'!D10</f>
        <v>1129278</v>
      </c>
    </row>
    <row r="8" spans="1:24" x14ac:dyDescent="0.25">
      <c r="A8" s="3" t="s">
        <v>40</v>
      </c>
      <c r="B8" s="2">
        <f t="shared" si="0"/>
        <v>7</v>
      </c>
      <c r="C8" s="2">
        <v>10</v>
      </c>
      <c r="D8" s="2">
        <v>2021</v>
      </c>
      <c r="E8" s="4">
        <f>Submetering!E8+Submetering!F8</f>
        <v>5152</v>
      </c>
      <c r="F8" s="12">
        <v>0.14000000000000001</v>
      </c>
      <c r="G8" s="4">
        <f>Submetering!M8</f>
        <v>114</v>
      </c>
      <c r="H8" s="12">
        <v>0.25</v>
      </c>
      <c r="I8" s="4">
        <f>Submetering!N8</f>
        <v>0</v>
      </c>
      <c r="J8" s="13">
        <v>2.06</v>
      </c>
      <c r="K8" s="4">
        <f>'Hampshire Daily'!B11</f>
        <v>0</v>
      </c>
      <c r="L8" s="4">
        <f>'Hampshire Daily'!D11</f>
        <v>1132405</v>
      </c>
    </row>
    <row r="9" spans="1:24" x14ac:dyDescent="0.25">
      <c r="A9" s="3" t="s">
        <v>40</v>
      </c>
      <c r="B9" s="2">
        <f t="shared" si="0"/>
        <v>8</v>
      </c>
      <c r="C9" s="2">
        <v>10</v>
      </c>
      <c r="D9" s="2">
        <v>2021</v>
      </c>
      <c r="E9" s="4">
        <f>Submetering!E9+Submetering!F9</f>
        <v>5012</v>
      </c>
      <c r="F9" s="12">
        <v>0.14000000000000001</v>
      </c>
      <c r="G9" s="4">
        <f>Submetering!M9</f>
        <v>112</v>
      </c>
      <c r="H9" s="12">
        <v>0.25</v>
      </c>
      <c r="I9" s="4">
        <f>Submetering!N9</f>
        <v>247</v>
      </c>
      <c r="J9" s="13">
        <v>2.06</v>
      </c>
      <c r="K9" s="4">
        <f>'Hampshire Daily'!B12</f>
        <v>0</v>
      </c>
      <c r="L9" s="4">
        <f>'Hampshire Daily'!D12</f>
        <v>1134919</v>
      </c>
    </row>
    <row r="10" spans="1:24" x14ac:dyDescent="0.25">
      <c r="A10" s="3" t="s">
        <v>40</v>
      </c>
      <c r="B10" s="2">
        <f t="shared" si="0"/>
        <v>9</v>
      </c>
      <c r="C10" s="2">
        <v>10</v>
      </c>
      <c r="D10" s="2">
        <v>2021</v>
      </c>
      <c r="E10" s="4">
        <f>Submetering!E10+Submetering!F10</f>
        <v>4642</v>
      </c>
      <c r="F10" s="12">
        <v>0.14000000000000001</v>
      </c>
      <c r="G10" s="4">
        <f>Submetering!M10</f>
        <v>115</v>
      </c>
      <c r="H10" s="12">
        <v>0.25</v>
      </c>
      <c r="I10" s="4">
        <f>Submetering!N10</f>
        <v>0</v>
      </c>
      <c r="J10" s="13">
        <v>2.06</v>
      </c>
      <c r="K10" s="4">
        <f>'Hampshire Daily'!B13</f>
        <v>0</v>
      </c>
      <c r="L10" s="4">
        <f>'Hampshire Daily'!D13</f>
        <v>1137393</v>
      </c>
    </row>
    <row r="11" spans="1:24" x14ac:dyDescent="0.25">
      <c r="A11" s="3" t="s">
        <v>40</v>
      </c>
      <c r="B11" s="2">
        <f t="shared" si="0"/>
        <v>10</v>
      </c>
      <c r="C11" s="2">
        <v>10</v>
      </c>
      <c r="D11" s="2">
        <v>2021</v>
      </c>
      <c r="E11" s="4">
        <f>Submetering!E11+Submetering!F11</f>
        <v>3777</v>
      </c>
      <c r="F11" s="12">
        <v>0.14000000000000001</v>
      </c>
      <c r="G11" s="4">
        <f>Submetering!M11</f>
        <v>136</v>
      </c>
      <c r="H11" s="12">
        <v>0.25</v>
      </c>
      <c r="I11" s="4">
        <f>Submetering!N11</f>
        <v>0</v>
      </c>
      <c r="J11" s="13">
        <v>2.06</v>
      </c>
      <c r="K11" s="4">
        <f>'Hampshire Daily'!B14</f>
        <v>0</v>
      </c>
      <c r="L11" s="4">
        <f>'Hampshire Daily'!D14</f>
        <v>1139745</v>
      </c>
    </row>
    <row r="12" spans="1:24" x14ac:dyDescent="0.25">
      <c r="A12" s="3" t="s">
        <v>40</v>
      </c>
      <c r="B12" s="2">
        <f t="shared" si="0"/>
        <v>11</v>
      </c>
      <c r="C12" s="2">
        <v>10</v>
      </c>
      <c r="D12" s="2">
        <v>2021</v>
      </c>
      <c r="E12" s="4">
        <f>Submetering!E12+Submetering!F12</f>
        <v>5321</v>
      </c>
      <c r="F12" s="12">
        <v>0.14000000000000001</v>
      </c>
      <c r="G12" s="4">
        <f>Submetering!M12</f>
        <v>79</v>
      </c>
      <c r="H12" s="12">
        <v>0.25</v>
      </c>
      <c r="I12" s="4">
        <f>Submetering!N12</f>
        <v>0</v>
      </c>
      <c r="J12" s="13">
        <v>2.06</v>
      </c>
      <c r="K12" s="4">
        <f>'Hampshire Daily'!B15</f>
        <v>0</v>
      </c>
      <c r="L12" s="4">
        <f>'Hampshire Daily'!D15</f>
        <v>1142574</v>
      </c>
    </row>
    <row r="13" spans="1:24" x14ac:dyDescent="0.25">
      <c r="A13" s="3" t="s">
        <v>40</v>
      </c>
      <c r="B13" s="2">
        <f t="shared" si="0"/>
        <v>12</v>
      </c>
      <c r="C13" s="2">
        <v>10</v>
      </c>
      <c r="D13" s="2">
        <v>2021</v>
      </c>
      <c r="E13" s="4">
        <f>Submetering!E13+Submetering!F13</f>
        <v>4689</v>
      </c>
      <c r="F13" s="12">
        <v>0.14000000000000001</v>
      </c>
      <c r="G13" s="4">
        <f>Submetering!M13</f>
        <v>54</v>
      </c>
      <c r="H13" s="12">
        <v>0.25</v>
      </c>
      <c r="I13" s="4">
        <f>Submetering!N13</f>
        <v>0</v>
      </c>
      <c r="J13" s="13">
        <v>2.06</v>
      </c>
      <c r="K13" s="4">
        <f>'Hampshire Daily'!B16</f>
        <v>0</v>
      </c>
      <c r="L13" s="4">
        <f>'Hampshire Daily'!D16</f>
        <v>1145527</v>
      </c>
    </row>
    <row r="14" spans="1:24" x14ac:dyDescent="0.25">
      <c r="A14" s="3" t="s">
        <v>40</v>
      </c>
      <c r="B14" s="2">
        <f t="shared" si="0"/>
        <v>13</v>
      </c>
      <c r="C14" s="2">
        <v>10</v>
      </c>
      <c r="D14" s="2">
        <v>2021</v>
      </c>
      <c r="E14" s="4">
        <f>Submetering!E14+Submetering!F14</f>
        <v>8342</v>
      </c>
      <c r="F14" s="12">
        <v>0.14000000000000001</v>
      </c>
      <c r="G14" s="4">
        <f>Submetering!M14</f>
        <v>62</v>
      </c>
      <c r="H14" s="12">
        <v>0.25</v>
      </c>
      <c r="I14" s="4">
        <f>Submetering!N14</f>
        <v>236</v>
      </c>
      <c r="J14" s="13">
        <v>2.06</v>
      </c>
      <c r="K14" s="4">
        <f>'Hampshire Daily'!B17</f>
        <v>0</v>
      </c>
      <c r="L14" s="4">
        <f>'Hampshire Daily'!D17</f>
        <v>1148337</v>
      </c>
    </row>
    <row r="15" spans="1:24" x14ac:dyDescent="0.25">
      <c r="A15" s="3" t="s">
        <v>40</v>
      </c>
      <c r="B15" s="2">
        <f t="shared" si="0"/>
        <v>14</v>
      </c>
      <c r="C15" s="2">
        <v>10</v>
      </c>
      <c r="D15" s="2">
        <v>2021</v>
      </c>
      <c r="E15" s="4">
        <f>Submetering!E15+Submetering!F15</f>
        <v>5393</v>
      </c>
      <c r="F15" s="12">
        <v>0.14000000000000001</v>
      </c>
      <c r="G15" s="4">
        <f>Submetering!M15</f>
        <v>63.700000000011642</v>
      </c>
      <c r="H15" s="12">
        <v>0.25</v>
      </c>
      <c r="I15" s="4">
        <f>Submetering!N15</f>
        <v>0</v>
      </c>
      <c r="J15" s="13">
        <v>2.06</v>
      </c>
      <c r="K15" s="4">
        <f>'Hampshire Daily'!B18</f>
        <v>0</v>
      </c>
      <c r="L15" s="4">
        <f>'Hampshire Daily'!D18</f>
        <v>1151141</v>
      </c>
    </row>
    <row r="16" spans="1:24" x14ac:dyDescent="0.25">
      <c r="A16" s="3" t="s">
        <v>40</v>
      </c>
      <c r="B16" s="2">
        <f t="shared" si="0"/>
        <v>15</v>
      </c>
      <c r="C16" s="2">
        <v>10</v>
      </c>
      <c r="D16" s="2">
        <v>2021</v>
      </c>
      <c r="E16" s="4">
        <f>Submetering!E16+Submetering!F16</f>
        <v>5683</v>
      </c>
      <c r="F16" s="12">
        <v>0.14000000000000001</v>
      </c>
      <c r="G16" s="4">
        <f>Submetering!M16</f>
        <v>63.299999999988358</v>
      </c>
      <c r="H16" s="12">
        <v>0.25</v>
      </c>
      <c r="I16" s="4">
        <f>Submetering!N16</f>
        <v>0</v>
      </c>
      <c r="J16" s="13">
        <v>2.06</v>
      </c>
      <c r="K16" s="4">
        <f>'Hampshire Daily'!B19</f>
        <v>0</v>
      </c>
      <c r="L16" s="4">
        <f>'Hampshire Daily'!D19</f>
        <v>1154216</v>
      </c>
    </row>
    <row r="17" spans="1:12" x14ac:dyDescent="0.25">
      <c r="A17" s="3" t="s">
        <v>40</v>
      </c>
      <c r="B17" s="2">
        <f t="shared" si="0"/>
        <v>16</v>
      </c>
      <c r="C17" s="2">
        <v>10</v>
      </c>
      <c r="D17" s="2">
        <v>2021</v>
      </c>
      <c r="E17" s="4">
        <f>Submetering!E17+Submetering!F17</f>
        <v>5459</v>
      </c>
      <c r="F17" s="12">
        <v>0.14000000000000001</v>
      </c>
      <c r="G17" s="4">
        <f>Submetering!M17</f>
        <v>64</v>
      </c>
      <c r="H17" s="12">
        <v>0.25</v>
      </c>
      <c r="I17" s="4">
        <f>Submetering!N17</f>
        <v>0</v>
      </c>
      <c r="J17" s="13">
        <v>2.06</v>
      </c>
      <c r="K17" s="4">
        <f>'Hampshire Daily'!B20</f>
        <v>0</v>
      </c>
      <c r="L17" s="4">
        <f>'Hampshire Daily'!D20</f>
        <v>1157086</v>
      </c>
    </row>
    <row r="18" spans="1:12" x14ac:dyDescent="0.25">
      <c r="A18" s="3" t="s">
        <v>40</v>
      </c>
      <c r="B18" s="2">
        <f t="shared" si="0"/>
        <v>17</v>
      </c>
      <c r="C18" s="2">
        <v>10</v>
      </c>
      <c r="D18" s="2">
        <v>2021</v>
      </c>
      <c r="E18" s="4">
        <f>Submetering!E18+Submetering!F18</f>
        <v>5296</v>
      </c>
      <c r="F18" s="12">
        <v>0.14000000000000001</v>
      </c>
      <c r="G18" s="4">
        <f>Submetering!M18</f>
        <v>63</v>
      </c>
      <c r="H18" s="12">
        <v>0.25</v>
      </c>
      <c r="I18" s="4">
        <f>Submetering!N18</f>
        <v>0</v>
      </c>
      <c r="J18" s="13">
        <v>2.06</v>
      </c>
      <c r="K18" s="4">
        <f>'Hampshire Daily'!B21</f>
        <v>0</v>
      </c>
      <c r="L18" s="4">
        <f>'Hampshire Daily'!D21</f>
        <v>1159864</v>
      </c>
    </row>
    <row r="19" spans="1:12" x14ac:dyDescent="0.25">
      <c r="A19" s="3" t="s">
        <v>40</v>
      </c>
      <c r="B19" s="2">
        <f t="shared" si="0"/>
        <v>18</v>
      </c>
      <c r="C19" s="2">
        <v>10</v>
      </c>
      <c r="D19" s="2">
        <v>2021</v>
      </c>
      <c r="E19" s="4">
        <f>Submetering!E19+Submetering!F19</f>
        <v>5299</v>
      </c>
      <c r="F19" s="12">
        <v>0.14000000000000001</v>
      </c>
      <c r="G19" s="4">
        <f>Submetering!M19</f>
        <v>64</v>
      </c>
      <c r="H19" s="12">
        <v>0.25</v>
      </c>
      <c r="I19" s="4">
        <f>Submetering!N19</f>
        <v>0</v>
      </c>
      <c r="J19" s="13">
        <v>2.06</v>
      </c>
      <c r="K19" s="4">
        <f>'Hampshire Daily'!B22</f>
        <v>0</v>
      </c>
      <c r="L19" s="4">
        <f>'Hampshire Daily'!D22</f>
        <v>1162704</v>
      </c>
    </row>
    <row r="20" spans="1:12" x14ac:dyDescent="0.25">
      <c r="A20" s="3" t="s">
        <v>40</v>
      </c>
      <c r="B20" s="2">
        <f t="shared" si="0"/>
        <v>19</v>
      </c>
      <c r="C20" s="2">
        <v>10</v>
      </c>
      <c r="D20" s="2">
        <v>2021</v>
      </c>
      <c r="E20" s="4">
        <f>Submetering!E20+Submetering!F20</f>
        <v>5183</v>
      </c>
      <c r="F20" s="12">
        <v>0.14000000000000001</v>
      </c>
      <c r="G20" s="4">
        <f>Submetering!M20</f>
        <v>52</v>
      </c>
      <c r="H20" s="12">
        <v>0.25</v>
      </c>
      <c r="I20" s="4">
        <f>Submetering!N20</f>
        <v>0</v>
      </c>
      <c r="J20" s="13">
        <v>2.06</v>
      </c>
      <c r="K20" s="4">
        <f>'Hampshire Daily'!B23</f>
        <v>0</v>
      </c>
      <c r="L20" s="4">
        <f>'Hampshire Daily'!D23</f>
        <v>1165894</v>
      </c>
    </row>
    <row r="21" spans="1:12" x14ac:dyDescent="0.25">
      <c r="A21" s="3" t="s">
        <v>40</v>
      </c>
      <c r="B21" s="2">
        <f t="shared" si="0"/>
        <v>20</v>
      </c>
      <c r="C21" s="2">
        <v>10</v>
      </c>
      <c r="D21" s="2">
        <v>2021</v>
      </c>
      <c r="E21" s="4">
        <f>Submetering!E21+Submetering!F21</f>
        <v>3829</v>
      </c>
      <c r="F21" s="12">
        <v>0.14000000000000001</v>
      </c>
      <c r="G21" s="4">
        <f>Submetering!M21</f>
        <v>1139851</v>
      </c>
      <c r="H21" s="12">
        <v>0.25</v>
      </c>
      <c r="I21" s="4" t="str">
        <f>Submetering!N21</f>
        <v>0</v>
      </c>
      <c r="J21" s="13">
        <v>2.06</v>
      </c>
      <c r="K21" s="4">
        <f>'Hampshire Daily'!B24</f>
        <v>0</v>
      </c>
      <c r="L21" s="4">
        <f>'Hampshire Daily'!C24</f>
        <v>34</v>
      </c>
    </row>
    <row r="22" spans="1:12" x14ac:dyDescent="0.25">
      <c r="A22" s="3" t="s">
        <v>40</v>
      </c>
      <c r="B22" s="2">
        <f t="shared" si="0"/>
        <v>21</v>
      </c>
      <c r="C22" s="2">
        <v>10</v>
      </c>
      <c r="D22" s="2">
        <v>2021</v>
      </c>
      <c r="E22" s="4">
        <f>Submetering!E22+Submetering!F22</f>
        <v>4825</v>
      </c>
      <c r="F22" s="12">
        <v>0.14000000000000001</v>
      </c>
      <c r="G22" s="4">
        <f>Submetering!M22</f>
        <v>5994</v>
      </c>
      <c r="H22" s="12">
        <v>0.25</v>
      </c>
      <c r="I22" s="4">
        <f>Submetering!N22</f>
        <v>54</v>
      </c>
      <c r="J22" s="13">
        <v>2.06</v>
      </c>
      <c r="K22" s="4">
        <f>'Hampshire Daily'!B25</f>
        <v>0</v>
      </c>
      <c r="L22" s="4">
        <f>'Hampshire Daily'!C25</f>
        <v>148</v>
      </c>
    </row>
    <row r="23" spans="1:12" x14ac:dyDescent="0.25">
      <c r="A23" s="3" t="s">
        <v>40</v>
      </c>
      <c r="B23" s="2">
        <f t="shared" si="0"/>
        <v>22</v>
      </c>
      <c r="C23" s="2">
        <v>10</v>
      </c>
      <c r="D23" s="2">
        <v>2021</v>
      </c>
      <c r="E23" s="4">
        <f>Submetering!E23+Submetering!F23</f>
        <v>4537</v>
      </c>
      <c r="F23" s="12">
        <v>0.14000000000000001</v>
      </c>
      <c r="G23" s="4">
        <f>Submetering!M23</f>
        <v>3361</v>
      </c>
      <c r="H23" s="12">
        <v>0.25</v>
      </c>
      <c r="I23" s="4">
        <f>Submetering!N23</f>
        <v>75</v>
      </c>
      <c r="J23" s="13">
        <v>2.06</v>
      </c>
      <c r="K23" s="4">
        <f>'Hampshire Daily'!B26</f>
        <v>0</v>
      </c>
      <c r="L23" s="4">
        <f>'Hampshire Daily'!C26</f>
        <v>146</v>
      </c>
    </row>
    <row r="24" spans="1:12" x14ac:dyDescent="0.25">
      <c r="A24" s="3" t="s">
        <v>40</v>
      </c>
      <c r="B24" s="2">
        <f t="shared" si="0"/>
        <v>23</v>
      </c>
      <c r="C24" s="2">
        <v>10</v>
      </c>
      <c r="D24" s="2">
        <v>2021</v>
      </c>
      <c r="E24" s="4">
        <f>Submetering!E24+Submetering!F24</f>
        <v>5184</v>
      </c>
      <c r="F24" s="12">
        <v>0.14000000000000001</v>
      </c>
      <c r="G24" s="4">
        <f>Submetering!M24</f>
        <v>2984</v>
      </c>
      <c r="H24" s="12">
        <v>0.25</v>
      </c>
      <c r="I24" s="4">
        <f>Submetering!N24</f>
        <v>74</v>
      </c>
      <c r="J24" s="13">
        <v>2.06</v>
      </c>
      <c r="K24" s="4">
        <f>'Hampshire Daily'!B27</f>
        <v>0</v>
      </c>
      <c r="L24" s="4">
        <f>'Hampshire Daily'!C27</f>
        <v>34</v>
      </c>
    </row>
    <row r="25" spans="1:12" x14ac:dyDescent="0.25">
      <c r="A25" s="3" t="s">
        <v>40</v>
      </c>
      <c r="B25" s="2">
        <f t="shared" si="0"/>
        <v>24</v>
      </c>
      <c r="C25" s="2">
        <v>10</v>
      </c>
      <c r="D25" s="2">
        <v>2021</v>
      </c>
      <c r="E25" s="4">
        <f>Submetering!E25+Submetering!F25</f>
        <v>4232</v>
      </c>
      <c r="F25" s="12">
        <v>0.14000000000000001</v>
      </c>
      <c r="G25" s="4">
        <f>Submetering!M25</f>
        <v>649</v>
      </c>
      <c r="H25" s="12">
        <v>0.25</v>
      </c>
      <c r="I25" s="4">
        <f>Submetering!N25</f>
        <v>77</v>
      </c>
      <c r="J25" s="13">
        <v>2.06</v>
      </c>
      <c r="K25" s="4">
        <f>'Hampshire Daily'!B28</f>
        <v>0</v>
      </c>
      <c r="L25" s="4">
        <f>'Hampshire Daily'!C28</f>
        <v>60</v>
      </c>
    </row>
    <row r="26" spans="1:12" x14ac:dyDescent="0.25">
      <c r="A26" s="3" t="s">
        <v>40</v>
      </c>
      <c r="B26" s="2">
        <f>B25+1</f>
        <v>25</v>
      </c>
      <c r="C26" s="2">
        <v>10</v>
      </c>
      <c r="D26" s="2">
        <v>2021</v>
      </c>
      <c r="E26" s="4">
        <f>Submetering!E26+Submetering!F26</f>
        <v>3765</v>
      </c>
      <c r="F26" s="12">
        <v>0.14000000000000001</v>
      </c>
      <c r="G26" s="4">
        <f>Submetering!M26</f>
        <v>5735</v>
      </c>
      <c r="H26" s="12">
        <v>0.25</v>
      </c>
      <c r="I26" s="4">
        <f>Submetering!N26</f>
        <v>60</v>
      </c>
      <c r="J26" s="13">
        <v>2.06</v>
      </c>
      <c r="K26" s="4">
        <f>'Hampshire Daily'!B29</f>
        <v>0</v>
      </c>
      <c r="L26" s="4">
        <f>'Hampshire Daily'!C29</f>
        <v>68</v>
      </c>
    </row>
    <row r="27" spans="1:12" x14ac:dyDescent="0.25">
      <c r="A27" s="3" t="s">
        <v>40</v>
      </c>
      <c r="B27" s="2">
        <f t="shared" si="0"/>
        <v>26</v>
      </c>
      <c r="C27" s="2">
        <v>10</v>
      </c>
      <c r="D27" s="2">
        <v>2021</v>
      </c>
      <c r="E27" s="4">
        <f>Submetering!E27+Submetering!F27</f>
        <v>4334</v>
      </c>
      <c r="F27" s="12">
        <v>0.14000000000000001</v>
      </c>
      <c r="G27" s="4">
        <f>Submetering!M27</f>
        <v>3197</v>
      </c>
      <c r="H27" s="12">
        <v>0.25</v>
      </c>
      <c r="I27" s="4">
        <f>Submetering!N27</f>
        <v>59</v>
      </c>
      <c r="J27" s="13">
        <v>2.06</v>
      </c>
      <c r="K27" s="4">
        <f>'Hampshire Daily'!B30</f>
        <v>0</v>
      </c>
      <c r="L27" s="4">
        <f>'Hampshire Daily'!C30</f>
        <v>52</v>
      </c>
    </row>
    <row r="28" spans="1:12" x14ac:dyDescent="0.25">
      <c r="A28" s="3" t="s">
        <v>40</v>
      </c>
      <c r="B28" s="2">
        <f t="shared" si="0"/>
        <v>27</v>
      </c>
      <c r="C28" s="2">
        <v>10</v>
      </c>
      <c r="D28" s="2">
        <v>2021</v>
      </c>
      <c r="E28" s="4">
        <f>Submetering!E28+Submetering!F28</f>
        <v>4105</v>
      </c>
      <c r="F28" s="12">
        <v>0.14000000000000001</v>
      </c>
      <c r="G28" s="4">
        <f>Submetering!M28</f>
        <v>2793</v>
      </c>
      <c r="H28" s="12">
        <v>0.25</v>
      </c>
      <c r="I28" s="4">
        <f>Submetering!N28</f>
        <v>61</v>
      </c>
      <c r="J28" s="13">
        <v>2.06</v>
      </c>
      <c r="K28" s="4">
        <f>'Hampshire Daily'!B31</f>
        <v>0</v>
      </c>
      <c r="L28" s="4">
        <f>'Hampshire Daily'!C31</f>
        <v>75</v>
      </c>
    </row>
    <row r="29" spans="1:12" x14ac:dyDescent="0.25">
      <c r="A29" s="3" t="s">
        <v>40</v>
      </c>
      <c r="B29" s="2">
        <f t="shared" si="0"/>
        <v>28</v>
      </c>
      <c r="C29" s="2">
        <v>10</v>
      </c>
      <c r="D29" s="2">
        <v>2021</v>
      </c>
      <c r="E29" s="4">
        <f>Submetering!E29+Submetering!F29</f>
        <v>3871</v>
      </c>
      <c r="F29" s="12">
        <v>0.14000000000000001</v>
      </c>
      <c r="G29" s="4">
        <f>Submetering!M29</f>
        <v>2815</v>
      </c>
      <c r="H29" s="12">
        <v>0.25</v>
      </c>
      <c r="I29" s="4">
        <f>Submetering!N29</f>
        <v>74</v>
      </c>
      <c r="J29" s="13">
        <v>2.06</v>
      </c>
      <c r="K29" s="4">
        <f>'Hampshire Daily'!B32</f>
        <v>0</v>
      </c>
      <c r="L29" s="4">
        <f>'Hampshire Daily'!C32</f>
        <v>90</v>
      </c>
    </row>
    <row r="30" spans="1:12" x14ac:dyDescent="0.25">
      <c r="A30" s="3" t="s">
        <v>40</v>
      </c>
      <c r="B30" s="2">
        <f t="shared" si="0"/>
        <v>29</v>
      </c>
      <c r="C30" s="2">
        <v>10</v>
      </c>
      <c r="D30" s="2">
        <v>2021</v>
      </c>
      <c r="E30" s="4">
        <f>Submetering!E30+Submetering!F30</f>
        <v>6714</v>
      </c>
      <c r="F30" s="12">
        <v>0.14000000000000001</v>
      </c>
      <c r="G30" s="4">
        <f>Submetering!M30</f>
        <v>2663</v>
      </c>
      <c r="H30" s="12">
        <v>0.25</v>
      </c>
      <c r="I30" s="4">
        <f>Submetering!N30</f>
        <v>62</v>
      </c>
      <c r="J30" s="13">
        <v>2.06</v>
      </c>
      <c r="K30" s="4">
        <f>'Hampshire Daily'!B33</f>
        <v>0</v>
      </c>
      <c r="L30" s="4">
        <f>'Hampshire Daily'!C33</f>
        <v>148</v>
      </c>
    </row>
    <row r="31" spans="1:12" x14ac:dyDescent="0.25">
      <c r="A31" s="3" t="s">
        <v>40</v>
      </c>
      <c r="B31" s="2">
        <f t="shared" si="0"/>
        <v>30</v>
      </c>
      <c r="C31" s="2">
        <v>10</v>
      </c>
      <c r="D31" s="2">
        <v>2021</v>
      </c>
      <c r="E31" s="4">
        <f>Submetering!E31+Submetering!F31</f>
        <v>8241</v>
      </c>
      <c r="F31" s="12">
        <v>0.14000000000000001</v>
      </c>
      <c r="G31" s="4">
        <f>Submetering!M31</f>
        <v>2641</v>
      </c>
      <c r="H31" s="12">
        <v>0.25</v>
      </c>
      <c r="I31" s="4">
        <f>Submetering!N31</f>
        <v>65</v>
      </c>
      <c r="J31" s="13">
        <v>2.06</v>
      </c>
      <c r="K31" s="4">
        <f>'Hampshire Daily'!B34</f>
        <v>0</v>
      </c>
      <c r="L31" s="4">
        <f>'Hampshire Daily'!C34</f>
        <v>50</v>
      </c>
    </row>
    <row r="32" spans="1:12" x14ac:dyDescent="0.25">
      <c r="A32" s="3" t="s">
        <v>40</v>
      </c>
      <c r="B32" s="2">
        <v>31</v>
      </c>
      <c r="C32" s="2">
        <v>10</v>
      </c>
      <c r="D32" s="2">
        <v>2021</v>
      </c>
      <c r="E32" s="4">
        <f>Submetering!E32+Submetering!F32</f>
        <v>7783</v>
      </c>
      <c r="F32" s="12">
        <v>0.14000000000000001</v>
      </c>
      <c r="G32" s="4">
        <f>Submetering!M32</f>
        <v>2638</v>
      </c>
      <c r="H32" s="12">
        <v>0.25</v>
      </c>
      <c r="I32" s="4">
        <f>Submetering!N32</f>
        <v>93</v>
      </c>
      <c r="J32" s="13">
        <v>2.06</v>
      </c>
      <c r="K32" s="4">
        <f>'Hampshire Daily'!B35</f>
        <v>0</v>
      </c>
      <c r="L32" s="4">
        <f>'Hampshire Daily'!C35</f>
        <v>50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36"/>
  <sheetViews>
    <sheetView tabSelected="1" zoomScaleNormal="100" workbookViewId="0">
      <pane xSplit="1" topLeftCell="B1" activePane="topRight" state="frozen"/>
      <selection pane="topRight" activeCell="C35" sqref="C35"/>
    </sheetView>
  </sheetViews>
  <sheetFormatPr defaultRowHeight="15" x14ac:dyDescent="0.25"/>
  <cols>
    <col min="1" max="1" width="8.7109375" style="16" customWidth="1"/>
    <col min="2" max="3" width="8.7109375" style="22" customWidth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42"/>
      <c r="B1" s="21"/>
      <c r="C1" s="21"/>
      <c r="D1" s="45" t="s">
        <v>12</v>
      </c>
      <c r="E1" s="45"/>
      <c r="F1" s="45"/>
      <c r="G1" s="45"/>
      <c r="H1" s="45"/>
      <c r="I1" s="45"/>
      <c r="J1" s="45"/>
      <c r="K1" s="45"/>
      <c r="L1" s="45"/>
      <c r="M1" s="45"/>
      <c r="N1" s="36" t="s">
        <v>13</v>
      </c>
      <c r="O1" s="34" t="s">
        <v>14</v>
      </c>
      <c r="P1" s="23"/>
      <c r="Q1" s="23"/>
      <c r="R1" s="23"/>
      <c r="S1" s="34" t="s">
        <v>15</v>
      </c>
      <c r="T1" s="39"/>
      <c r="U1" s="34" t="s">
        <v>16</v>
      </c>
      <c r="V1" s="40" t="s">
        <v>17</v>
      </c>
      <c r="W1" s="34" t="s">
        <v>18</v>
      </c>
      <c r="X1" s="34" t="s">
        <v>19</v>
      </c>
      <c r="Y1" s="35" t="s">
        <v>20</v>
      </c>
      <c r="Z1" s="34" t="s">
        <v>54</v>
      </c>
      <c r="AA1" s="30" t="s">
        <v>55</v>
      </c>
      <c r="AB1" s="1">
        <v>42</v>
      </c>
      <c r="AC1" s="1">
        <v>41</v>
      </c>
    </row>
    <row r="2" spans="1:29" ht="15" customHeight="1" x14ac:dyDescent="0.25">
      <c r="A2" s="43"/>
      <c r="B2" s="48" t="s">
        <v>52</v>
      </c>
      <c r="C2" s="48" t="s">
        <v>53</v>
      </c>
      <c r="D2" s="46" t="s">
        <v>21</v>
      </c>
      <c r="E2" s="46" t="s">
        <v>22</v>
      </c>
      <c r="F2" s="46" t="s">
        <v>23</v>
      </c>
      <c r="G2" s="46" t="s">
        <v>24</v>
      </c>
      <c r="H2" s="46" t="s">
        <v>25</v>
      </c>
      <c r="I2" s="46" t="s">
        <v>26</v>
      </c>
      <c r="J2" s="46" t="s">
        <v>27</v>
      </c>
      <c r="K2" s="46" t="s">
        <v>28</v>
      </c>
      <c r="L2" s="46" t="s">
        <v>29</v>
      </c>
      <c r="M2" s="46" t="s">
        <v>30</v>
      </c>
      <c r="N2" s="37"/>
      <c r="O2" s="34"/>
      <c r="P2" s="23" t="s">
        <v>31</v>
      </c>
      <c r="Q2" s="23" t="s">
        <v>31</v>
      </c>
      <c r="R2" s="23" t="s">
        <v>31</v>
      </c>
      <c r="S2" s="34"/>
      <c r="T2" s="39"/>
      <c r="U2" s="34"/>
      <c r="V2" s="40"/>
      <c r="W2" s="34"/>
      <c r="X2" s="34"/>
      <c r="Y2" s="35"/>
      <c r="Z2" s="34"/>
      <c r="AA2" s="31"/>
      <c r="AB2" s="33" t="s">
        <v>57</v>
      </c>
      <c r="AC2" s="33" t="s">
        <v>58</v>
      </c>
    </row>
    <row r="3" spans="1:29" ht="27" customHeight="1" thickBot="1" x14ac:dyDescent="0.3">
      <c r="A3" s="44"/>
      <c r="B3" s="49"/>
      <c r="C3" s="49"/>
      <c r="D3" s="50"/>
      <c r="E3" s="50"/>
      <c r="F3" s="50"/>
      <c r="G3" s="50"/>
      <c r="H3" s="46"/>
      <c r="I3" s="46"/>
      <c r="J3" s="46"/>
      <c r="K3" s="46"/>
      <c r="L3" s="46"/>
      <c r="M3" s="47"/>
      <c r="N3" s="37"/>
      <c r="O3" s="38"/>
      <c r="P3" s="24">
        <v>2</v>
      </c>
      <c r="Q3" s="24">
        <v>3</v>
      </c>
      <c r="R3" s="24">
        <v>4</v>
      </c>
      <c r="S3" s="39"/>
      <c r="T3" s="39"/>
      <c r="U3" s="38"/>
      <c r="V3" s="41"/>
      <c r="W3" s="34"/>
      <c r="X3" s="34"/>
      <c r="Y3" s="35"/>
      <c r="Z3" s="34"/>
      <c r="AA3" s="32"/>
      <c r="AB3" s="33"/>
      <c r="AC3" s="33"/>
    </row>
    <row r="4" spans="1:29" s="18" customFormat="1" ht="19.899999999999999" customHeight="1" x14ac:dyDescent="0.25">
      <c r="A4" s="20">
        <v>44561</v>
      </c>
      <c r="B4" s="27"/>
      <c r="C4" s="29">
        <v>143</v>
      </c>
      <c r="D4" s="51">
        <v>1112230</v>
      </c>
      <c r="E4" s="52">
        <v>1113985</v>
      </c>
      <c r="F4" s="52">
        <v>1150440</v>
      </c>
      <c r="G4" s="52">
        <v>1149269</v>
      </c>
      <c r="H4" s="52">
        <v>292042</v>
      </c>
      <c r="I4" s="52">
        <f t="shared" ref="I4:I6" si="0">I5-2006.4</f>
        <v>7498991.3999999985</v>
      </c>
      <c r="J4" s="52">
        <v>32807</v>
      </c>
      <c r="K4" s="52">
        <f t="shared" ref="K4:K6" si="1">K5-2429.4</f>
        <v>5573566.3999999985</v>
      </c>
      <c r="L4" s="52">
        <v>929252</v>
      </c>
      <c r="M4" s="52">
        <v>2646828</v>
      </c>
      <c r="N4" s="52">
        <v>1465728</v>
      </c>
      <c r="O4" s="52">
        <v>381963</v>
      </c>
      <c r="P4" s="52">
        <v>1532808</v>
      </c>
      <c r="Q4" s="52">
        <v>1163</v>
      </c>
      <c r="R4" s="53">
        <v>601551</v>
      </c>
      <c r="S4" s="52">
        <v>346669</v>
      </c>
      <c r="T4" s="52">
        <v>49652</v>
      </c>
      <c r="U4" s="52">
        <v>52900</v>
      </c>
      <c r="V4" s="52">
        <v>31061</v>
      </c>
      <c r="W4" s="52">
        <v>490.33100000000002</v>
      </c>
      <c r="X4" s="52">
        <v>961.36099999999999</v>
      </c>
      <c r="Y4" s="52">
        <v>3889.98</v>
      </c>
      <c r="Z4" s="25"/>
      <c r="AA4" s="52">
        <v>2801</v>
      </c>
      <c r="AB4" s="54">
        <v>2920</v>
      </c>
      <c r="AC4" s="54">
        <v>3549</v>
      </c>
    </row>
    <row r="5" spans="1:29" x14ac:dyDescent="0.25">
      <c r="A5" s="20">
        <v>44562</v>
      </c>
      <c r="B5" s="27"/>
      <c r="C5" s="29">
        <v>190</v>
      </c>
      <c r="D5" s="51">
        <v>1114528</v>
      </c>
      <c r="E5" s="52">
        <v>1116285</v>
      </c>
      <c r="F5" s="52">
        <v>1153813</v>
      </c>
      <c r="G5" s="52">
        <v>1152638</v>
      </c>
      <c r="H5" s="52">
        <v>292042</v>
      </c>
      <c r="I5" s="52">
        <f t="shared" si="0"/>
        <v>7500997.7999999989</v>
      </c>
      <c r="J5" s="52">
        <v>32807</v>
      </c>
      <c r="K5" s="52">
        <f t="shared" si="1"/>
        <v>5575995.7999999989</v>
      </c>
      <c r="L5" s="52">
        <f>L6-1081</f>
        <v>930236</v>
      </c>
      <c r="M5" s="52">
        <v>2646829</v>
      </c>
      <c r="N5" s="52">
        <v>1468318</v>
      </c>
      <c r="O5" s="52">
        <v>382133</v>
      </c>
      <c r="P5" s="52">
        <v>1533576</v>
      </c>
      <c r="Q5" s="52">
        <v>1163</v>
      </c>
      <c r="R5" s="52">
        <v>601551</v>
      </c>
      <c r="S5" s="52">
        <v>346774</v>
      </c>
      <c r="T5" s="52">
        <v>49759</v>
      </c>
      <c r="U5" s="52">
        <v>52921</v>
      </c>
      <c r="V5" s="52">
        <v>31061</v>
      </c>
      <c r="W5" s="52">
        <v>490.33100000000002</v>
      </c>
      <c r="X5" s="52">
        <v>961.36099999999999</v>
      </c>
      <c r="Y5" s="52">
        <v>3889.98</v>
      </c>
      <c r="Z5" s="25"/>
      <c r="AA5" s="52">
        <v>2801</v>
      </c>
      <c r="AB5" s="26">
        <v>2899</v>
      </c>
      <c r="AC5" s="26">
        <v>2954</v>
      </c>
    </row>
    <row r="6" spans="1:29" x14ac:dyDescent="0.25">
      <c r="A6" s="20">
        <v>44563</v>
      </c>
      <c r="B6" s="27"/>
      <c r="C6" s="29">
        <v>229</v>
      </c>
      <c r="D6" s="51">
        <v>1116376</v>
      </c>
      <c r="E6" s="52">
        <v>1118136</v>
      </c>
      <c r="F6" s="52">
        <v>1157390</v>
      </c>
      <c r="G6" s="52">
        <v>1156212</v>
      </c>
      <c r="H6" s="52">
        <v>292128</v>
      </c>
      <c r="I6" s="52">
        <f t="shared" si="0"/>
        <v>7503004.1999999993</v>
      </c>
      <c r="J6" s="52">
        <v>32807</v>
      </c>
      <c r="K6" s="52">
        <f t="shared" si="1"/>
        <v>5578425.1999999993</v>
      </c>
      <c r="L6" s="52">
        <v>931317</v>
      </c>
      <c r="M6" s="52">
        <v>2646830</v>
      </c>
      <c r="N6" s="52">
        <v>1470686</v>
      </c>
      <c r="O6" s="52">
        <v>382260</v>
      </c>
      <c r="P6" s="52">
        <v>153432</v>
      </c>
      <c r="Q6" s="52">
        <v>1163</v>
      </c>
      <c r="R6" s="52">
        <v>601551</v>
      </c>
      <c r="S6" s="52">
        <v>346871</v>
      </c>
      <c r="T6" s="52">
        <v>49858</v>
      </c>
      <c r="U6" s="52">
        <v>52932</v>
      </c>
      <c r="V6" s="52">
        <v>31061</v>
      </c>
      <c r="W6" s="52">
        <v>490.33100000000002</v>
      </c>
      <c r="X6" s="52">
        <v>961.48500000000001</v>
      </c>
      <c r="Y6" s="52">
        <v>3889.991</v>
      </c>
      <c r="Z6" s="25"/>
      <c r="AA6" s="52">
        <v>2808</v>
      </c>
      <c r="AB6" s="26">
        <v>2909</v>
      </c>
      <c r="AC6" s="26">
        <v>661</v>
      </c>
    </row>
    <row r="7" spans="1:29" x14ac:dyDescent="0.25">
      <c r="A7" s="20">
        <v>44564</v>
      </c>
      <c r="B7" s="27"/>
      <c r="C7" s="29">
        <v>213</v>
      </c>
      <c r="D7" s="51">
        <v>1118474</v>
      </c>
      <c r="E7" s="52">
        <v>1120238</v>
      </c>
      <c r="F7" s="52">
        <v>1164119</v>
      </c>
      <c r="G7" s="52">
        <v>1162935</v>
      </c>
      <c r="H7" s="52">
        <v>292923</v>
      </c>
      <c r="I7" s="52">
        <f>I8-2006.4</f>
        <v>7505010.5999999996</v>
      </c>
      <c r="J7" s="52">
        <v>32807</v>
      </c>
      <c r="K7" s="52">
        <f>K8-2429.4</f>
        <v>5580854.5999999996</v>
      </c>
      <c r="L7" s="52">
        <f>L6+1051</f>
        <v>932368</v>
      </c>
      <c r="M7" s="52">
        <v>2646832</v>
      </c>
      <c r="N7" s="52">
        <v>1473045</v>
      </c>
      <c r="O7" s="52">
        <v>382414</v>
      </c>
      <c r="P7" s="52">
        <v>1535094</v>
      </c>
      <c r="Q7" s="52">
        <v>1163</v>
      </c>
      <c r="R7" s="52">
        <v>601551</v>
      </c>
      <c r="S7" s="52">
        <v>346972</v>
      </c>
      <c r="T7" s="52">
        <v>49960</v>
      </c>
      <c r="U7" s="52">
        <v>52943</v>
      </c>
      <c r="V7" s="52">
        <v>31073</v>
      </c>
      <c r="W7" s="52">
        <v>490.33100000000002</v>
      </c>
      <c r="X7" s="52">
        <v>961.82100000000003</v>
      </c>
      <c r="Y7" s="52">
        <v>3890.0050000000001</v>
      </c>
      <c r="Z7" s="25"/>
      <c r="AA7" s="52">
        <v>2814</v>
      </c>
      <c r="AB7" s="26">
        <v>2924</v>
      </c>
      <c r="AC7" s="26">
        <v>1740</v>
      </c>
    </row>
    <row r="8" spans="1:29" x14ac:dyDescent="0.25">
      <c r="A8" s="20">
        <v>44565</v>
      </c>
      <c r="B8" s="27"/>
      <c r="C8" s="29">
        <v>157</v>
      </c>
      <c r="D8" s="51">
        <v>1121194</v>
      </c>
      <c r="E8" s="52">
        <v>1122963</v>
      </c>
      <c r="F8" s="52">
        <v>1167660</v>
      </c>
      <c r="G8" s="52">
        <v>1166471</v>
      </c>
      <c r="H8" s="52">
        <v>293008</v>
      </c>
      <c r="I8" s="52">
        <v>7507017</v>
      </c>
      <c r="J8" s="52">
        <v>32807</v>
      </c>
      <c r="K8" s="52">
        <v>5583284</v>
      </c>
      <c r="L8" s="52">
        <f t="shared" ref="L8:L34" si="2">L7+1051</f>
        <v>933419</v>
      </c>
      <c r="M8" s="52">
        <v>2646995</v>
      </c>
      <c r="N8" s="52">
        <v>1475559</v>
      </c>
      <c r="O8" s="53">
        <v>382531.5</v>
      </c>
      <c r="P8" s="52">
        <v>1535830</v>
      </c>
      <c r="Q8" s="52">
        <v>1163</v>
      </c>
      <c r="R8" s="52">
        <v>601551</v>
      </c>
      <c r="S8" s="52">
        <v>347076</v>
      </c>
      <c r="T8" s="52">
        <v>50065</v>
      </c>
      <c r="U8" s="52">
        <v>52956</v>
      </c>
      <c r="V8" s="52">
        <v>31073</v>
      </c>
      <c r="W8" s="52">
        <v>490.33100000000002</v>
      </c>
      <c r="X8" s="52">
        <v>961.98500000000001</v>
      </c>
      <c r="Y8" s="52">
        <v>3890.0189999999998</v>
      </c>
      <c r="Z8" s="25"/>
      <c r="AA8" s="52">
        <v>2818</v>
      </c>
      <c r="AB8" s="26">
        <v>1197</v>
      </c>
      <c r="AC8" s="26">
        <v>0</v>
      </c>
    </row>
    <row r="9" spans="1:29" x14ac:dyDescent="0.25">
      <c r="A9" s="20">
        <v>44566</v>
      </c>
      <c r="B9" s="27"/>
      <c r="C9" s="29">
        <v>101</v>
      </c>
      <c r="D9" s="51">
        <v>1124918</v>
      </c>
      <c r="E9" s="52">
        <v>1126693</v>
      </c>
      <c r="F9" s="52">
        <v>1173015</v>
      </c>
      <c r="G9" s="52">
        <v>1171820</v>
      </c>
      <c r="H9" s="52">
        <v>293622</v>
      </c>
      <c r="I9" s="52">
        <f>I8+2006.4</f>
        <v>7509023.4000000004</v>
      </c>
      <c r="J9" s="52">
        <v>32807</v>
      </c>
      <c r="K9" s="52">
        <f>K8+2429.4</f>
        <v>5585713.4000000004</v>
      </c>
      <c r="L9" s="52">
        <f t="shared" si="2"/>
        <v>934470</v>
      </c>
      <c r="M9" s="52">
        <v>2647345</v>
      </c>
      <c r="N9" s="52">
        <v>1478512</v>
      </c>
      <c r="O9" s="52">
        <v>382649</v>
      </c>
      <c r="P9" s="52">
        <v>1536153</v>
      </c>
      <c r="Q9" s="52">
        <v>1163</v>
      </c>
      <c r="R9" s="52">
        <v>601873</v>
      </c>
      <c r="S9" s="52">
        <v>347179</v>
      </c>
      <c r="T9" s="52">
        <v>50170</v>
      </c>
      <c r="U9" s="52">
        <v>52967</v>
      </c>
      <c r="V9" s="52">
        <v>31075</v>
      </c>
      <c r="W9" s="52">
        <v>490.33100000000002</v>
      </c>
      <c r="X9" s="52">
        <v>962.28</v>
      </c>
      <c r="Y9" s="52">
        <v>3890.0340000000001</v>
      </c>
      <c r="Z9" s="25"/>
      <c r="AA9" s="52">
        <v>2823</v>
      </c>
      <c r="AB9" s="26">
        <v>2479</v>
      </c>
      <c r="AC9" s="26">
        <v>2228</v>
      </c>
    </row>
    <row r="10" spans="1:29" x14ac:dyDescent="0.25">
      <c r="A10" s="20">
        <v>44567</v>
      </c>
      <c r="B10" s="27"/>
      <c r="C10" s="29">
        <v>104</v>
      </c>
      <c r="D10" s="51">
        <v>1129278</v>
      </c>
      <c r="E10" s="52">
        <v>1131061</v>
      </c>
      <c r="F10" s="52">
        <v>1175412</v>
      </c>
      <c r="G10" s="52">
        <v>1174215</v>
      </c>
      <c r="H10" s="52">
        <v>293675</v>
      </c>
      <c r="I10" s="52">
        <f t="shared" ref="I10:I34" si="3">I9+2006.4</f>
        <v>7511029.8000000007</v>
      </c>
      <c r="J10" s="52">
        <v>32807</v>
      </c>
      <c r="K10" s="52">
        <f t="shared" ref="K10:K34" si="4">K9+2429.4</f>
        <v>5588142.8000000007</v>
      </c>
      <c r="L10" s="52">
        <f t="shared" si="2"/>
        <v>935521</v>
      </c>
      <c r="M10" s="52">
        <v>2647718</v>
      </c>
      <c r="N10" s="52">
        <v>1481728</v>
      </c>
      <c r="O10" s="52">
        <v>382766</v>
      </c>
      <c r="P10" s="52">
        <v>1536153</v>
      </c>
      <c r="Q10" s="52">
        <v>1163</v>
      </c>
      <c r="R10" s="52">
        <v>602441</v>
      </c>
      <c r="S10" s="52">
        <v>347267</v>
      </c>
      <c r="T10" s="52">
        <v>50257</v>
      </c>
      <c r="U10" s="52">
        <v>52977</v>
      </c>
      <c r="V10" s="52">
        <v>31076</v>
      </c>
      <c r="W10" s="52">
        <v>490.33100000000002</v>
      </c>
      <c r="X10" s="52">
        <v>962.55700000000002</v>
      </c>
      <c r="Y10" s="52">
        <v>3890.0479999999998</v>
      </c>
      <c r="Z10" s="25"/>
      <c r="AA10" s="52">
        <v>2826</v>
      </c>
      <c r="AB10" s="26">
        <v>1878</v>
      </c>
      <c r="AC10" s="26">
        <v>2035</v>
      </c>
    </row>
    <row r="11" spans="1:29" x14ac:dyDescent="0.25">
      <c r="A11" s="20">
        <v>44568</v>
      </c>
      <c r="B11" s="27"/>
      <c r="C11" s="29">
        <v>115</v>
      </c>
      <c r="D11" s="51">
        <v>1132405</v>
      </c>
      <c r="E11" s="52">
        <v>1134191</v>
      </c>
      <c r="F11" s="52">
        <v>117437</v>
      </c>
      <c r="G11" s="52">
        <v>1176237</v>
      </c>
      <c r="H11" s="52">
        <v>263675</v>
      </c>
      <c r="I11" s="52">
        <f t="shared" si="3"/>
        <v>7513036.2000000011</v>
      </c>
      <c r="J11" s="52">
        <v>32807</v>
      </c>
      <c r="K11" s="52">
        <f t="shared" si="4"/>
        <v>5590572.2000000011</v>
      </c>
      <c r="L11" s="52">
        <f t="shared" si="2"/>
        <v>936572</v>
      </c>
      <c r="M11" s="52">
        <v>2647762</v>
      </c>
      <c r="N11" s="52">
        <v>1485224</v>
      </c>
      <c r="O11" s="52">
        <v>382880</v>
      </c>
      <c r="P11" s="52">
        <v>1536153</v>
      </c>
      <c r="Q11" s="52">
        <v>1163</v>
      </c>
      <c r="R11" s="52">
        <v>602886</v>
      </c>
      <c r="S11" s="52">
        <v>347353</v>
      </c>
      <c r="T11" s="52">
        <v>50346</v>
      </c>
      <c r="U11" s="52">
        <v>52986</v>
      </c>
      <c r="V11" s="52">
        <v>31077</v>
      </c>
      <c r="W11" s="52">
        <v>490.33100000000002</v>
      </c>
      <c r="X11" s="52">
        <v>962.79300000000001</v>
      </c>
      <c r="Y11" s="52">
        <v>3890.049</v>
      </c>
      <c r="Z11" s="25"/>
      <c r="AA11" s="52">
        <v>2829</v>
      </c>
      <c r="AB11" s="26">
        <v>2923</v>
      </c>
      <c r="AC11" s="26">
        <v>1505</v>
      </c>
    </row>
    <row r="12" spans="1:29" x14ac:dyDescent="0.25">
      <c r="A12" s="20">
        <v>44569</v>
      </c>
      <c r="B12" s="27"/>
      <c r="C12" s="29">
        <v>133</v>
      </c>
      <c r="D12" s="51">
        <v>1134919</v>
      </c>
      <c r="E12" s="52">
        <v>1136710</v>
      </c>
      <c r="F12" s="52">
        <v>1179933</v>
      </c>
      <c r="G12" s="52">
        <v>1178730</v>
      </c>
      <c r="H12" s="52">
        <v>293675</v>
      </c>
      <c r="I12" s="52">
        <f t="shared" si="3"/>
        <v>7515042.6000000015</v>
      </c>
      <c r="J12" s="52">
        <v>32807</v>
      </c>
      <c r="K12" s="52">
        <f t="shared" si="4"/>
        <v>5593001.6000000015</v>
      </c>
      <c r="L12" s="52">
        <f t="shared" si="2"/>
        <v>937623</v>
      </c>
      <c r="M12" s="52">
        <v>2647766</v>
      </c>
      <c r="N12" s="52">
        <v>1488684</v>
      </c>
      <c r="O12" s="52">
        <v>382992</v>
      </c>
      <c r="P12" s="52">
        <v>1536400</v>
      </c>
      <c r="Q12" s="52">
        <v>1163</v>
      </c>
      <c r="R12" s="52">
        <v>602886</v>
      </c>
      <c r="S12" s="52">
        <v>347438</v>
      </c>
      <c r="T12" s="52">
        <v>50431</v>
      </c>
      <c r="U12" s="52">
        <v>52996</v>
      </c>
      <c r="V12" s="52">
        <v>31078</v>
      </c>
      <c r="W12" s="52">
        <v>490.33100000000002</v>
      </c>
      <c r="X12" s="52">
        <v>963.03899999999999</v>
      </c>
      <c r="Y12" s="52">
        <v>3890.049</v>
      </c>
      <c r="Z12" s="25"/>
      <c r="AA12" s="52">
        <v>2834</v>
      </c>
      <c r="AB12" s="26">
        <v>2925</v>
      </c>
      <c r="AC12" s="26">
        <v>619</v>
      </c>
    </row>
    <row r="13" spans="1:29" x14ac:dyDescent="0.25">
      <c r="A13" s="20">
        <v>44570</v>
      </c>
      <c r="B13" s="27"/>
      <c r="C13" s="29">
        <v>48</v>
      </c>
      <c r="D13" s="51">
        <v>1137393</v>
      </c>
      <c r="E13" s="52">
        <v>1139188</v>
      </c>
      <c r="F13" s="52">
        <v>1182099</v>
      </c>
      <c r="G13" s="52">
        <v>1180894</v>
      </c>
      <c r="H13" s="52">
        <v>293675</v>
      </c>
      <c r="I13" s="52">
        <f t="shared" si="3"/>
        <v>7517049.0000000019</v>
      </c>
      <c r="J13" s="52">
        <v>32807</v>
      </c>
      <c r="K13" s="52">
        <f t="shared" si="4"/>
        <v>5595431.0000000019</v>
      </c>
      <c r="L13" s="52">
        <f t="shared" si="2"/>
        <v>938674</v>
      </c>
      <c r="M13" s="52">
        <v>2647775</v>
      </c>
      <c r="N13" s="52">
        <v>1491753</v>
      </c>
      <c r="O13" s="52">
        <v>383107</v>
      </c>
      <c r="P13" s="52">
        <v>1536400</v>
      </c>
      <c r="Q13" s="52">
        <v>1163</v>
      </c>
      <c r="R13" s="52">
        <v>602886</v>
      </c>
      <c r="S13" s="52">
        <v>347521</v>
      </c>
      <c r="T13" s="52">
        <v>50516</v>
      </c>
      <c r="U13" s="52">
        <v>53005</v>
      </c>
      <c r="V13" s="52">
        <v>31079</v>
      </c>
      <c r="W13" s="52">
        <v>490.33100000000002</v>
      </c>
      <c r="X13" s="52">
        <v>963.21100000000001</v>
      </c>
      <c r="Y13" s="52">
        <v>3890.049</v>
      </c>
      <c r="Z13" s="25"/>
      <c r="AA13" s="52">
        <v>2840</v>
      </c>
      <c r="AB13" s="26">
        <v>2921</v>
      </c>
      <c r="AC13" s="26">
        <v>3524</v>
      </c>
    </row>
    <row r="14" spans="1:29" x14ac:dyDescent="0.25">
      <c r="A14" s="20">
        <v>44571</v>
      </c>
      <c r="B14" s="27"/>
      <c r="C14" s="29">
        <v>37</v>
      </c>
      <c r="D14" s="51">
        <v>1139745</v>
      </c>
      <c r="E14" s="52">
        <v>1141543</v>
      </c>
      <c r="F14" s="52">
        <v>1184123</v>
      </c>
      <c r="G14" s="52">
        <v>1182316</v>
      </c>
      <c r="H14" s="52">
        <v>293675</v>
      </c>
      <c r="I14" s="52">
        <f t="shared" si="3"/>
        <v>7519055.4000000022</v>
      </c>
      <c r="J14" s="52">
        <v>32807</v>
      </c>
      <c r="K14" s="52">
        <f t="shared" si="4"/>
        <v>5597860.4000000022</v>
      </c>
      <c r="L14" s="52">
        <f t="shared" si="2"/>
        <v>939725</v>
      </c>
      <c r="M14" s="52">
        <v>2647776</v>
      </c>
      <c r="N14" s="52">
        <v>1494912</v>
      </c>
      <c r="O14" s="52">
        <v>383243</v>
      </c>
      <c r="P14" s="52">
        <v>1536400</v>
      </c>
      <c r="Q14" s="52">
        <v>1163</v>
      </c>
      <c r="R14" s="52">
        <v>603349</v>
      </c>
      <c r="S14" s="52">
        <v>347601</v>
      </c>
      <c r="T14" s="52">
        <v>50582</v>
      </c>
      <c r="U14" s="52">
        <v>53014</v>
      </c>
      <c r="V14" s="52">
        <v>31092</v>
      </c>
      <c r="W14" s="52">
        <v>490.33100000000002</v>
      </c>
      <c r="X14" s="52">
        <v>963.40599999999995</v>
      </c>
      <c r="Y14" s="52">
        <v>3890.049</v>
      </c>
      <c r="Z14" s="25"/>
      <c r="AA14" s="52">
        <v>2847</v>
      </c>
      <c r="AB14" s="54">
        <v>2927</v>
      </c>
      <c r="AC14" s="54">
        <v>0</v>
      </c>
    </row>
    <row r="15" spans="1:29" x14ac:dyDescent="0.25">
      <c r="A15" s="20">
        <v>44572</v>
      </c>
      <c r="B15" s="27"/>
      <c r="C15" s="29">
        <v>27</v>
      </c>
      <c r="D15" s="51">
        <v>1142574</v>
      </c>
      <c r="E15" s="52">
        <v>1144376</v>
      </c>
      <c r="F15" s="52">
        <v>1186013</v>
      </c>
      <c r="G15" s="52">
        <v>1184804</v>
      </c>
      <c r="H15" s="52">
        <v>293675</v>
      </c>
      <c r="I15" s="52">
        <f t="shared" si="3"/>
        <v>7521061.8000000026</v>
      </c>
      <c r="J15" s="52">
        <v>32807</v>
      </c>
      <c r="K15" s="52">
        <f t="shared" si="4"/>
        <v>5600289.8000000026</v>
      </c>
      <c r="L15" s="52">
        <f t="shared" si="2"/>
        <v>940776</v>
      </c>
      <c r="M15" s="52">
        <v>2647779</v>
      </c>
      <c r="N15" s="52">
        <v>1497934</v>
      </c>
      <c r="O15" s="52">
        <v>383322</v>
      </c>
      <c r="P15" s="52">
        <v>1536400</v>
      </c>
      <c r="Q15" s="52">
        <v>1163</v>
      </c>
      <c r="R15" s="52">
        <v>604080</v>
      </c>
      <c r="S15" s="52">
        <v>347658</v>
      </c>
      <c r="T15" s="52">
        <v>50657</v>
      </c>
      <c r="U15" s="52">
        <v>53023</v>
      </c>
      <c r="V15" s="52">
        <v>31093</v>
      </c>
      <c r="W15" s="52">
        <v>490.33100000000002</v>
      </c>
      <c r="X15" s="52">
        <v>963.59900000000005</v>
      </c>
      <c r="Y15" s="52">
        <v>3890.049</v>
      </c>
      <c r="Z15" s="25"/>
      <c r="AA15" s="52">
        <v>2853</v>
      </c>
      <c r="AB15" s="54">
        <v>2924</v>
      </c>
      <c r="AC15" s="54">
        <v>2773</v>
      </c>
    </row>
    <row r="16" spans="1:29" x14ac:dyDescent="0.25">
      <c r="A16" s="20">
        <v>44573</v>
      </c>
      <c r="B16" s="27"/>
      <c r="C16" s="29">
        <v>43</v>
      </c>
      <c r="D16" s="51">
        <v>1145527</v>
      </c>
      <c r="E16" s="52">
        <v>1147334</v>
      </c>
      <c r="F16" s="52">
        <v>1187746</v>
      </c>
      <c r="G16" s="52">
        <v>1186535</v>
      </c>
      <c r="H16" s="52">
        <v>293675</v>
      </c>
      <c r="I16" s="52">
        <f t="shared" si="3"/>
        <v>7523068.200000003</v>
      </c>
      <c r="J16" s="52">
        <v>32807</v>
      </c>
      <c r="K16" s="52">
        <f t="shared" si="4"/>
        <v>5602719.200000003</v>
      </c>
      <c r="L16" s="52">
        <f t="shared" si="2"/>
        <v>941827</v>
      </c>
      <c r="M16" s="52">
        <v>2647780</v>
      </c>
      <c r="N16" s="52">
        <v>1500933</v>
      </c>
      <c r="O16" s="52">
        <v>383376</v>
      </c>
      <c r="P16" s="52">
        <v>1536400</v>
      </c>
      <c r="Q16" s="52">
        <v>1163</v>
      </c>
      <c r="R16" s="52">
        <v>604738</v>
      </c>
      <c r="S16" s="52">
        <v>347677</v>
      </c>
      <c r="T16" s="52">
        <v>50683</v>
      </c>
      <c r="U16" s="52">
        <v>53031</v>
      </c>
      <c r="V16" s="52">
        <v>31094</v>
      </c>
      <c r="W16" s="52">
        <v>490.33100000000002</v>
      </c>
      <c r="X16" s="52">
        <v>963.80200000000002</v>
      </c>
      <c r="Y16" s="52">
        <v>3890.049</v>
      </c>
      <c r="Z16" s="25"/>
      <c r="AA16" s="52">
        <v>2858</v>
      </c>
      <c r="AB16" s="54">
        <v>2925</v>
      </c>
      <c r="AC16" s="54">
        <v>1020</v>
      </c>
    </row>
    <row r="17" spans="1:29" x14ac:dyDescent="0.25">
      <c r="A17" s="20">
        <v>44574</v>
      </c>
      <c r="B17" s="27"/>
      <c r="C17" s="29">
        <v>45</v>
      </c>
      <c r="D17" s="51">
        <v>1148337</v>
      </c>
      <c r="E17" s="52">
        <v>1150148</v>
      </c>
      <c r="F17" s="52">
        <v>1193280</v>
      </c>
      <c r="G17" s="52">
        <v>1192063</v>
      </c>
      <c r="H17" s="52">
        <v>294489</v>
      </c>
      <c r="I17" s="52">
        <f t="shared" si="3"/>
        <v>7525074.6000000034</v>
      </c>
      <c r="J17" s="52">
        <v>32807</v>
      </c>
      <c r="K17" s="52">
        <f t="shared" si="4"/>
        <v>5605148.6000000034</v>
      </c>
      <c r="L17" s="52">
        <f t="shared" si="2"/>
        <v>942878</v>
      </c>
      <c r="M17" s="52">
        <v>2647781</v>
      </c>
      <c r="N17" s="52">
        <v>1504008</v>
      </c>
      <c r="O17" s="52">
        <v>383438</v>
      </c>
      <c r="P17" s="52">
        <v>1536636</v>
      </c>
      <c r="Q17" s="52">
        <v>1163</v>
      </c>
      <c r="R17" s="52">
        <v>605234</v>
      </c>
      <c r="S17" s="52">
        <v>347706</v>
      </c>
      <c r="T17" s="52">
        <v>50719</v>
      </c>
      <c r="U17" s="52">
        <v>53040</v>
      </c>
      <c r="V17" s="52">
        <v>31095</v>
      </c>
      <c r="W17" s="52">
        <v>490.33100000000002</v>
      </c>
      <c r="X17" s="52">
        <v>963.96600000000001</v>
      </c>
      <c r="Y17" s="52">
        <v>3890.049</v>
      </c>
      <c r="Z17" s="25"/>
      <c r="AA17" s="52">
        <v>2862</v>
      </c>
      <c r="AB17" s="54">
        <v>2927</v>
      </c>
      <c r="AC17" s="54">
        <v>133</v>
      </c>
    </row>
    <row r="18" spans="1:29" x14ac:dyDescent="0.25">
      <c r="A18" s="20">
        <v>44575</v>
      </c>
      <c r="B18" s="27"/>
      <c r="C18" s="29">
        <v>69</v>
      </c>
      <c r="D18" s="51">
        <v>1151141</v>
      </c>
      <c r="E18" s="52">
        <v>1152958</v>
      </c>
      <c r="F18" s="52">
        <v>1195866</v>
      </c>
      <c r="G18" s="52">
        <v>1194646</v>
      </c>
      <c r="H18" s="52">
        <v>294629</v>
      </c>
      <c r="I18" s="52">
        <f t="shared" si="3"/>
        <v>7527081.0000000037</v>
      </c>
      <c r="J18" s="52">
        <v>32807</v>
      </c>
      <c r="K18" s="52">
        <f t="shared" si="4"/>
        <v>5607578.0000000037</v>
      </c>
      <c r="L18" s="52">
        <f t="shared" si="2"/>
        <v>943929</v>
      </c>
      <c r="M18" s="52">
        <v>2647784</v>
      </c>
      <c r="N18" s="52">
        <v>1506880</v>
      </c>
      <c r="O18" s="53">
        <v>383501.7</v>
      </c>
      <c r="P18" s="52">
        <v>1536636</v>
      </c>
      <c r="Q18" s="52">
        <v>1163</v>
      </c>
      <c r="R18" s="52">
        <v>605896</v>
      </c>
      <c r="S18" s="52">
        <v>347728</v>
      </c>
      <c r="T18" s="52">
        <v>50747</v>
      </c>
      <c r="U18" s="52">
        <v>53048</v>
      </c>
      <c r="V18" s="52">
        <v>31097</v>
      </c>
      <c r="W18" s="52">
        <v>490.33100000000002</v>
      </c>
      <c r="X18" s="52">
        <v>964.14200000000005</v>
      </c>
      <c r="Y18" s="52">
        <v>3890.049</v>
      </c>
      <c r="Z18" s="25"/>
      <c r="AA18" s="52">
        <v>2865</v>
      </c>
      <c r="AB18" s="54">
        <v>2928</v>
      </c>
      <c r="AC18" s="54">
        <v>0</v>
      </c>
    </row>
    <row r="19" spans="1:29" x14ac:dyDescent="0.25">
      <c r="A19" s="20">
        <v>44576</v>
      </c>
      <c r="B19" s="27"/>
      <c r="C19" s="29">
        <v>128</v>
      </c>
      <c r="D19" s="51">
        <v>1154216</v>
      </c>
      <c r="E19" s="52">
        <v>1156037</v>
      </c>
      <c r="F19" s="52">
        <v>1198473</v>
      </c>
      <c r="G19" s="52">
        <v>1197250</v>
      </c>
      <c r="H19" s="52">
        <v>294629</v>
      </c>
      <c r="I19" s="52">
        <f t="shared" si="3"/>
        <v>7529087.4000000041</v>
      </c>
      <c r="J19" s="52">
        <v>32807</v>
      </c>
      <c r="K19" s="52">
        <f t="shared" si="4"/>
        <v>5610007.4000000041</v>
      </c>
      <c r="L19" s="52">
        <f t="shared" si="2"/>
        <v>944980</v>
      </c>
      <c r="M19" s="52">
        <v>2647788</v>
      </c>
      <c r="N19" s="52">
        <v>1510271</v>
      </c>
      <c r="O19" s="52">
        <v>383565</v>
      </c>
      <c r="P19" s="52">
        <v>1536636</v>
      </c>
      <c r="Q19" s="52">
        <v>1163</v>
      </c>
      <c r="R19" s="52">
        <v>606611</v>
      </c>
      <c r="S19" s="52">
        <v>347766</v>
      </c>
      <c r="T19" s="52">
        <v>50793</v>
      </c>
      <c r="U19" s="52">
        <v>53058</v>
      </c>
      <c r="V19" s="52">
        <v>31098</v>
      </c>
      <c r="W19" s="52">
        <v>490.33100000000002</v>
      </c>
      <c r="X19" s="52">
        <v>964.38300000000004</v>
      </c>
      <c r="Y19" s="52">
        <v>3890.049</v>
      </c>
      <c r="Z19" s="25"/>
      <c r="AA19" s="52">
        <v>2869</v>
      </c>
      <c r="AB19" s="54">
        <v>2928</v>
      </c>
      <c r="AC19" s="54">
        <v>0</v>
      </c>
    </row>
    <row r="20" spans="1:29" x14ac:dyDescent="0.25">
      <c r="A20" s="20">
        <v>44577</v>
      </c>
      <c r="B20" s="27"/>
      <c r="C20" s="29">
        <v>54</v>
      </c>
      <c r="D20" s="51">
        <v>1157086</v>
      </c>
      <c r="E20" s="52">
        <v>1158912</v>
      </c>
      <c r="F20" s="52">
        <v>1201060</v>
      </c>
      <c r="G20" s="52">
        <v>1199834</v>
      </c>
      <c r="H20" s="52">
        <v>294629</v>
      </c>
      <c r="I20" s="52">
        <f t="shared" si="3"/>
        <v>7531093.8000000045</v>
      </c>
      <c r="J20" s="52">
        <v>32807</v>
      </c>
      <c r="K20" s="52">
        <f t="shared" si="4"/>
        <v>5612436.8000000045</v>
      </c>
      <c r="L20" s="52">
        <f t="shared" si="2"/>
        <v>946031</v>
      </c>
      <c r="M20" s="52">
        <v>2647795</v>
      </c>
      <c r="N20" s="52">
        <v>1513359</v>
      </c>
      <c r="O20" s="52">
        <v>383629</v>
      </c>
      <c r="P20" s="52">
        <v>1536636</v>
      </c>
      <c r="Q20" s="52">
        <v>1163</v>
      </c>
      <c r="R20" s="52">
        <v>607331</v>
      </c>
      <c r="S20" s="52">
        <v>347789</v>
      </c>
      <c r="T20" s="52">
        <v>50833</v>
      </c>
      <c r="U20" s="52">
        <v>53068</v>
      </c>
      <c r="V20" s="52">
        <v>31099</v>
      </c>
      <c r="W20" s="52">
        <v>490.33100000000002</v>
      </c>
      <c r="X20" s="52">
        <v>964.58100000000002</v>
      </c>
      <c r="Y20" s="52">
        <v>3890.049</v>
      </c>
      <c r="Z20" s="25"/>
      <c r="AA20" s="52">
        <v>2874</v>
      </c>
      <c r="AB20" s="54">
        <v>2927</v>
      </c>
      <c r="AC20" s="54">
        <v>0</v>
      </c>
    </row>
    <row r="21" spans="1:29" x14ac:dyDescent="0.25">
      <c r="A21" s="20">
        <v>44578</v>
      </c>
      <c r="B21" s="27"/>
      <c r="C21" s="29">
        <v>42</v>
      </c>
      <c r="D21" s="51">
        <v>1159864</v>
      </c>
      <c r="E21" s="52">
        <v>1161694</v>
      </c>
      <c r="F21" s="52">
        <v>1203578</v>
      </c>
      <c r="G21" s="52">
        <v>1202348</v>
      </c>
      <c r="H21" s="52">
        <v>294629</v>
      </c>
      <c r="I21" s="52">
        <f t="shared" si="3"/>
        <v>7533100.2000000048</v>
      </c>
      <c r="J21" s="52">
        <v>32807</v>
      </c>
      <c r="K21" s="52">
        <f t="shared" si="4"/>
        <v>5614866.2000000048</v>
      </c>
      <c r="L21" s="52">
        <f t="shared" si="2"/>
        <v>947082</v>
      </c>
      <c r="M21" s="52">
        <v>2647798</v>
      </c>
      <c r="N21" s="52">
        <v>1516449</v>
      </c>
      <c r="O21" s="52">
        <v>383692</v>
      </c>
      <c r="P21" s="52">
        <v>1536636</v>
      </c>
      <c r="Q21" s="52">
        <v>1163</v>
      </c>
      <c r="R21" s="52">
        <v>608063</v>
      </c>
      <c r="S21" s="52">
        <v>347818</v>
      </c>
      <c r="T21" s="52">
        <v>50872</v>
      </c>
      <c r="U21" s="52">
        <v>53076</v>
      </c>
      <c r="V21" s="52">
        <v>31100</v>
      </c>
      <c r="W21" s="52">
        <v>490.33100000000002</v>
      </c>
      <c r="X21" s="52">
        <v>964.79200000000003</v>
      </c>
      <c r="Y21" s="52">
        <v>3890.049</v>
      </c>
      <c r="Z21" s="25"/>
      <c r="AA21" s="52">
        <v>2879</v>
      </c>
      <c r="AB21" s="54">
        <v>2927</v>
      </c>
      <c r="AC21" s="54">
        <v>1650</v>
      </c>
    </row>
    <row r="22" spans="1:29" x14ac:dyDescent="0.25">
      <c r="A22" s="20">
        <v>44579</v>
      </c>
      <c r="B22" s="27"/>
      <c r="C22" s="29">
        <v>31</v>
      </c>
      <c r="D22" s="51">
        <v>1162704</v>
      </c>
      <c r="E22" s="52">
        <v>1164539</v>
      </c>
      <c r="F22" s="52">
        <v>1206034</v>
      </c>
      <c r="G22" s="52">
        <v>1204802</v>
      </c>
      <c r="H22" s="52">
        <v>294629</v>
      </c>
      <c r="I22" s="52">
        <f t="shared" si="3"/>
        <v>7535106.6000000052</v>
      </c>
      <c r="J22" s="52">
        <v>32807</v>
      </c>
      <c r="K22" s="52">
        <f t="shared" si="4"/>
        <v>5617295.6000000052</v>
      </c>
      <c r="L22" s="52">
        <f t="shared" si="2"/>
        <v>948133</v>
      </c>
      <c r="M22" s="52">
        <v>2647801</v>
      </c>
      <c r="N22" s="52">
        <v>1519736</v>
      </c>
      <c r="O22" s="52">
        <v>383756</v>
      </c>
      <c r="P22" s="52">
        <v>1536636</v>
      </c>
      <c r="Q22" s="52">
        <v>1163</v>
      </c>
      <c r="R22" s="52">
        <v>608786</v>
      </c>
      <c r="S22" s="52">
        <v>347844</v>
      </c>
      <c r="T22" s="52">
        <v>50903</v>
      </c>
      <c r="U22" s="52">
        <v>53086</v>
      </c>
      <c r="V22" s="52">
        <v>31101</v>
      </c>
      <c r="W22" s="52">
        <v>490.33100000000002</v>
      </c>
      <c r="X22" s="52">
        <v>965.03300000000002</v>
      </c>
      <c r="Y22" s="52">
        <v>3890.049</v>
      </c>
      <c r="Z22" s="25"/>
      <c r="AA22" s="52">
        <v>2884</v>
      </c>
      <c r="AB22" s="54">
        <v>2701</v>
      </c>
      <c r="AC22" s="54">
        <v>2968</v>
      </c>
    </row>
    <row r="23" spans="1:29" x14ac:dyDescent="0.25">
      <c r="A23" s="20">
        <v>44580</v>
      </c>
      <c r="B23" s="27"/>
      <c r="C23" s="29">
        <v>23</v>
      </c>
      <c r="D23" s="51">
        <v>1165894</v>
      </c>
      <c r="E23" s="52">
        <v>1167734</v>
      </c>
      <c r="F23" s="52">
        <v>1208024</v>
      </c>
      <c r="G23" s="52">
        <v>1206790</v>
      </c>
      <c r="H23" s="52">
        <v>294683</v>
      </c>
      <c r="I23" s="52">
        <f t="shared" si="3"/>
        <v>7537113.0000000056</v>
      </c>
      <c r="J23" s="52">
        <v>32807</v>
      </c>
      <c r="K23" s="52">
        <f t="shared" si="4"/>
        <v>5619725.0000000056</v>
      </c>
      <c r="L23" s="52">
        <f t="shared" si="2"/>
        <v>949184</v>
      </c>
      <c r="M23" s="52">
        <v>2647879</v>
      </c>
      <c r="N23" s="52">
        <v>1522862</v>
      </c>
      <c r="O23" s="52">
        <v>383808</v>
      </c>
      <c r="P23" s="52">
        <v>1536636</v>
      </c>
      <c r="Q23" s="52">
        <v>1163</v>
      </c>
      <c r="R23" s="52">
        <v>609449</v>
      </c>
      <c r="S23" s="52">
        <v>347869</v>
      </c>
      <c r="T23" s="52">
        <v>50934</v>
      </c>
      <c r="U23" s="52">
        <v>53096</v>
      </c>
      <c r="V23" s="52">
        <v>31103</v>
      </c>
      <c r="W23" s="52">
        <v>490.33100000000002</v>
      </c>
      <c r="X23" s="52">
        <v>965.24800000000005</v>
      </c>
      <c r="Y23" s="52">
        <v>3890.049</v>
      </c>
      <c r="Z23" s="25"/>
      <c r="AA23" s="52">
        <v>2889</v>
      </c>
      <c r="AB23" s="54">
        <v>2927</v>
      </c>
      <c r="AC23" s="54">
        <v>3559</v>
      </c>
    </row>
    <row r="24" spans="1:29" x14ac:dyDescent="0.25">
      <c r="A24" s="20">
        <v>44581</v>
      </c>
      <c r="B24" s="27"/>
      <c r="C24" s="29">
        <v>34</v>
      </c>
      <c r="D24" s="51">
        <v>1168790</v>
      </c>
      <c r="E24" s="52">
        <v>1170634</v>
      </c>
      <c r="F24" s="52">
        <v>1209563</v>
      </c>
      <c r="G24" s="52">
        <v>1208327</v>
      </c>
      <c r="H24" s="52">
        <v>294683</v>
      </c>
      <c r="I24" s="52">
        <f t="shared" si="3"/>
        <v>7539119.400000006</v>
      </c>
      <c r="J24" s="52">
        <v>32807</v>
      </c>
      <c r="K24" s="52">
        <f t="shared" si="4"/>
        <v>5622154.400000006</v>
      </c>
      <c r="L24" s="52">
        <f t="shared" si="2"/>
        <v>950235</v>
      </c>
      <c r="M24" s="52">
        <v>2647882</v>
      </c>
      <c r="N24" s="52">
        <v>1523659</v>
      </c>
      <c r="O24" s="52">
        <v>383862</v>
      </c>
      <c r="P24" s="52">
        <v>1536636</v>
      </c>
      <c r="Q24" s="52">
        <v>1163</v>
      </c>
      <c r="R24" s="52">
        <v>610003</v>
      </c>
      <c r="S24" s="52">
        <v>347880</v>
      </c>
      <c r="T24" s="52">
        <v>50961</v>
      </c>
      <c r="U24" s="52">
        <v>53104</v>
      </c>
      <c r="V24" s="52">
        <v>31104</v>
      </c>
      <c r="W24" s="52">
        <v>490.33100000000002</v>
      </c>
      <c r="X24" s="52">
        <v>965.53899999999999</v>
      </c>
      <c r="Y24" s="52">
        <v>3890.049</v>
      </c>
      <c r="Z24" s="25"/>
      <c r="AA24" s="52">
        <v>2894</v>
      </c>
      <c r="AB24" s="54">
        <v>2923</v>
      </c>
      <c r="AC24" s="54">
        <v>3586</v>
      </c>
    </row>
    <row r="25" spans="1:29" x14ac:dyDescent="0.25">
      <c r="A25" s="20">
        <v>44582</v>
      </c>
      <c r="B25" s="27"/>
      <c r="C25" s="29">
        <v>148</v>
      </c>
      <c r="D25" s="51">
        <v>1171896</v>
      </c>
      <c r="E25" s="52">
        <v>1173745</v>
      </c>
      <c r="F25" s="52">
        <v>1211282</v>
      </c>
      <c r="G25" s="52">
        <v>1210044</v>
      </c>
      <c r="H25" s="52">
        <v>294683</v>
      </c>
      <c r="I25" s="52">
        <f t="shared" si="3"/>
        <v>7541125.8000000063</v>
      </c>
      <c r="J25" s="52">
        <v>32807</v>
      </c>
      <c r="K25" s="52">
        <f t="shared" si="4"/>
        <v>5624583.8000000063</v>
      </c>
      <c r="L25" s="52">
        <f t="shared" si="2"/>
        <v>951286</v>
      </c>
      <c r="M25" s="52">
        <v>2647885</v>
      </c>
      <c r="N25" s="52">
        <v>1529653</v>
      </c>
      <c r="O25" s="52">
        <v>383916</v>
      </c>
      <c r="P25" s="52">
        <v>1536636</v>
      </c>
      <c r="Q25" s="52">
        <v>1163</v>
      </c>
      <c r="R25" s="52">
        <v>610533</v>
      </c>
      <c r="S25" s="52">
        <v>347896</v>
      </c>
      <c r="T25" s="52">
        <v>50990</v>
      </c>
      <c r="U25" s="52">
        <v>53113</v>
      </c>
      <c r="V25" s="52">
        <v>31106</v>
      </c>
      <c r="W25" s="52">
        <v>490.33100000000002</v>
      </c>
      <c r="X25" s="52">
        <v>965.83500000000004</v>
      </c>
      <c r="Y25" s="52">
        <v>3890.049</v>
      </c>
      <c r="Z25" s="25"/>
      <c r="AA25" s="52">
        <v>2898</v>
      </c>
      <c r="AB25" s="54">
        <v>2928</v>
      </c>
      <c r="AC25" s="54">
        <v>3569</v>
      </c>
    </row>
    <row r="26" spans="1:29" x14ac:dyDescent="0.25">
      <c r="A26" s="20">
        <v>44583</v>
      </c>
      <c r="B26" s="27"/>
      <c r="C26" s="29">
        <v>146</v>
      </c>
      <c r="D26" s="51">
        <v>1174614</v>
      </c>
      <c r="E26" s="52">
        <v>1176467</v>
      </c>
      <c r="F26" s="52">
        <v>1213101</v>
      </c>
      <c r="G26" s="52">
        <v>1211860</v>
      </c>
      <c r="H26" s="52">
        <v>294684</v>
      </c>
      <c r="I26" s="52">
        <f t="shared" si="3"/>
        <v>7543132.2000000067</v>
      </c>
      <c r="J26" s="52">
        <v>32807</v>
      </c>
      <c r="K26" s="52">
        <f t="shared" si="4"/>
        <v>5627013.2000000067</v>
      </c>
      <c r="L26" s="52">
        <f t="shared" si="2"/>
        <v>952337</v>
      </c>
      <c r="M26" s="52">
        <v>2647895</v>
      </c>
      <c r="N26" s="52">
        <v>1533014</v>
      </c>
      <c r="O26" s="52">
        <v>383991</v>
      </c>
      <c r="P26" s="52">
        <v>1536636</v>
      </c>
      <c r="Q26" s="52">
        <v>1163</v>
      </c>
      <c r="R26" s="52">
        <v>610589</v>
      </c>
      <c r="S26" s="52">
        <v>347933</v>
      </c>
      <c r="T26" s="52">
        <v>51035</v>
      </c>
      <c r="U26" s="52">
        <v>53124</v>
      </c>
      <c r="V26" s="52">
        <v>31107</v>
      </c>
      <c r="W26" s="52">
        <v>490.33100000000002</v>
      </c>
      <c r="X26" s="52">
        <v>966.06200000000001</v>
      </c>
      <c r="Y26" s="52">
        <v>3890.049</v>
      </c>
      <c r="Z26" s="25"/>
      <c r="AA26" s="52">
        <v>2903</v>
      </c>
      <c r="AB26" s="54">
        <v>2910</v>
      </c>
      <c r="AC26" s="54">
        <v>3558</v>
      </c>
    </row>
    <row r="27" spans="1:29" x14ac:dyDescent="0.25">
      <c r="A27" s="20">
        <v>44584</v>
      </c>
      <c r="B27" s="27"/>
      <c r="C27" s="29">
        <v>34</v>
      </c>
      <c r="D27" s="51">
        <v>1177068</v>
      </c>
      <c r="E27" s="52">
        <v>1178925</v>
      </c>
      <c r="F27" s="52">
        <v>1215831</v>
      </c>
      <c r="G27" s="52">
        <v>1214588</v>
      </c>
      <c r="H27" s="52">
        <v>294895</v>
      </c>
      <c r="I27" s="52">
        <f t="shared" si="3"/>
        <v>7545138.6000000071</v>
      </c>
      <c r="J27" s="52">
        <v>32807</v>
      </c>
      <c r="K27" s="52">
        <f t="shared" si="4"/>
        <v>5629442.6000000071</v>
      </c>
      <c r="L27" s="52">
        <f t="shared" si="2"/>
        <v>953388</v>
      </c>
      <c r="M27" s="52">
        <v>2647904</v>
      </c>
      <c r="N27" s="52">
        <v>1535998</v>
      </c>
      <c r="O27" s="52">
        <v>384065</v>
      </c>
      <c r="P27" s="52">
        <v>1536636</v>
      </c>
      <c r="Q27" s="52">
        <v>1163</v>
      </c>
      <c r="R27" s="52">
        <v>610840</v>
      </c>
      <c r="S27" s="52">
        <v>347979</v>
      </c>
      <c r="T27" s="52">
        <v>51088</v>
      </c>
      <c r="U27" s="52">
        <v>53135</v>
      </c>
      <c r="V27" s="52">
        <v>31108</v>
      </c>
      <c r="W27" s="52">
        <v>490.33100000000002</v>
      </c>
      <c r="X27" s="52">
        <v>966.30700000000002</v>
      </c>
      <c r="Y27" s="52">
        <v>3890.049</v>
      </c>
      <c r="Z27" s="25"/>
      <c r="AA27" s="52">
        <v>2910</v>
      </c>
      <c r="AB27" s="54">
        <v>2921</v>
      </c>
      <c r="AC27" s="54">
        <v>2070</v>
      </c>
    </row>
    <row r="28" spans="1:29" x14ac:dyDescent="0.25">
      <c r="A28" s="20">
        <v>44585</v>
      </c>
      <c r="B28" s="27"/>
      <c r="C28" s="29">
        <v>60</v>
      </c>
      <c r="D28" s="51">
        <v>1179166</v>
      </c>
      <c r="E28" s="52">
        <v>1181026</v>
      </c>
      <c r="F28" s="52">
        <v>1217965</v>
      </c>
      <c r="G28" s="52">
        <v>1216719</v>
      </c>
      <c r="H28" s="52">
        <v>294931</v>
      </c>
      <c r="I28" s="52">
        <f t="shared" si="3"/>
        <v>7547145.0000000075</v>
      </c>
      <c r="J28" s="52">
        <v>32807</v>
      </c>
      <c r="K28" s="52">
        <f t="shared" si="4"/>
        <v>5631872.0000000075</v>
      </c>
      <c r="L28" s="52">
        <f t="shared" si="2"/>
        <v>954439</v>
      </c>
      <c r="M28" s="52">
        <v>2647915</v>
      </c>
      <c r="N28" s="52">
        <v>1536647</v>
      </c>
      <c r="O28" s="52">
        <v>384142</v>
      </c>
      <c r="P28" s="52">
        <v>1536647</v>
      </c>
      <c r="Q28" s="52">
        <v>1163</v>
      </c>
      <c r="R28" s="52">
        <v>610904</v>
      </c>
      <c r="S28" s="52">
        <v>347999</v>
      </c>
      <c r="T28" s="52">
        <v>51126</v>
      </c>
      <c r="U28" s="52">
        <v>53145</v>
      </c>
      <c r="V28" s="52">
        <v>31113</v>
      </c>
      <c r="W28" s="52">
        <v>490.33100000000002</v>
      </c>
      <c r="X28" s="52">
        <v>966.495</v>
      </c>
      <c r="Y28" s="52">
        <v>3890.049</v>
      </c>
      <c r="Z28" s="25"/>
      <c r="AA28" s="52">
        <v>2917</v>
      </c>
      <c r="AB28" s="54">
        <v>2899</v>
      </c>
      <c r="AC28" s="54">
        <v>3572</v>
      </c>
    </row>
    <row r="29" spans="1:29" x14ac:dyDescent="0.25">
      <c r="A29" s="20">
        <v>44586</v>
      </c>
      <c r="B29" s="27"/>
      <c r="C29" s="29">
        <v>68</v>
      </c>
      <c r="D29" s="51">
        <v>1181372</v>
      </c>
      <c r="E29" s="52">
        <v>1183236</v>
      </c>
      <c r="F29" s="52">
        <v>1219524</v>
      </c>
      <c r="G29" s="52">
        <v>1218277</v>
      </c>
      <c r="H29" s="52">
        <v>294967</v>
      </c>
      <c r="I29" s="52">
        <f t="shared" si="3"/>
        <v>7549151.4000000078</v>
      </c>
      <c r="J29" s="52">
        <v>32807</v>
      </c>
      <c r="K29" s="52">
        <f t="shared" si="4"/>
        <v>5634301.4000000078</v>
      </c>
      <c r="L29" s="52">
        <f t="shared" si="2"/>
        <v>955490</v>
      </c>
      <c r="M29" s="52">
        <v>2647925</v>
      </c>
      <c r="N29" s="52">
        <v>1542382</v>
      </c>
      <c r="O29" s="52">
        <v>384202</v>
      </c>
      <c r="P29" s="52">
        <v>1536647</v>
      </c>
      <c r="Q29" s="52">
        <v>1163</v>
      </c>
      <c r="R29" s="52">
        <v>610904</v>
      </c>
      <c r="S29" s="52">
        <v>348018</v>
      </c>
      <c r="T29" s="52">
        <v>51163</v>
      </c>
      <c r="U29" s="52">
        <v>53155</v>
      </c>
      <c r="V29" s="52">
        <v>31117</v>
      </c>
      <c r="W29" s="52">
        <v>490.33100000000002</v>
      </c>
      <c r="X29" s="52">
        <v>966.68200000000002</v>
      </c>
      <c r="Y29" s="52">
        <v>3890.049</v>
      </c>
      <c r="Z29" s="25"/>
      <c r="AA29" s="52">
        <v>2921</v>
      </c>
      <c r="AB29" s="54">
        <v>2792</v>
      </c>
      <c r="AC29" s="54">
        <v>2968</v>
      </c>
    </row>
    <row r="30" spans="1:29" x14ac:dyDescent="0.25">
      <c r="A30" s="20">
        <v>44587</v>
      </c>
      <c r="B30" s="27"/>
      <c r="C30" s="29">
        <v>52</v>
      </c>
      <c r="D30" s="51">
        <v>1183628</v>
      </c>
      <c r="E30" s="52">
        <v>1185496</v>
      </c>
      <c r="F30" s="52">
        <v>1221602</v>
      </c>
      <c r="G30" s="52">
        <v>122052</v>
      </c>
      <c r="H30" s="52">
        <v>294077</v>
      </c>
      <c r="I30" s="52">
        <f t="shared" si="3"/>
        <v>7551157.8000000082</v>
      </c>
      <c r="J30" s="52">
        <v>32807</v>
      </c>
      <c r="K30" s="52">
        <f t="shared" si="4"/>
        <v>5636730.8000000082</v>
      </c>
      <c r="L30" s="52">
        <f t="shared" si="2"/>
        <v>956541</v>
      </c>
      <c r="M30" s="52">
        <v>2647961</v>
      </c>
      <c r="N30" s="52">
        <v>1545579</v>
      </c>
      <c r="O30" s="52">
        <v>384261</v>
      </c>
      <c r="P30" s="52">
        <v>1536739</v>
      </c>
      <c r="Q30" s="52">
        <v>1163</v>
      </c>
      <c r="R30" s="52">
        <v>610904</v>
      </c>
      <c r="S30" s="52">
        <v>348056</v>
      </c>
      <c r="T30" s="52">
        <v>51196</v>
      </c>
      <c r="U30" s="52">
        <v>53164</v>
      </c>
      <c r="V30" s="52">
        <v>31118</v>
      </c>
      <c r="W30" s="52">
        <v>490.33100000000002</v>
      </c>
      <c r="X30" s="52">
        <v>966.88099999999997</v>
      </c>
      <c r="Y30" s="52">
        <v>3890.1489999999999</v>
      </c>
      <c r="Z30" s="25"/>
      <c r="AA30" s="52">
        <v>2925</v>
      </c>
      <c r="AB30" s="54">
        <v>2916</v>
      </c>
      <c r="AC30" s="54">
        <v>3520</v>
      </c>
    </row>
    <row r="31" spans="1:29" x14ac:dyDescent="0.25">
      <c r="A31" s="20">
        <v>44588</v>
      </c>
      <c r="B31" s="27"/>
      <c r="C31" s="29">
        <v>75</v>
      </c>
      <c r="D31" s="51">
        <v>1185554</v>
      </c>
      <c r="E31" s="52">
        <v>1187425</v>
      </c>
      <c r="F31" s="52">
        <v>1223781</v>
      </c>
      <c r="G31" s="52">
        <v>1222529</v>
      </c>
      <c r="H31" s="52">
        <v>295234</v>
      </c>
      <c r="I31" s="52">
        <f t="shared" si="3"/>
        <v>7553164.2000000086</v>
      </c>
      <c r="J31" s="52">
        <v>32807</v>
      </c>
      <c r="K31" s="52">
        <f t="shared" si="4"/>
        <v>5639160.2000000086</v>
      </c>
      <c r="L31" s="52">
        <f t="shared" si="2"/>
        <v>957592</v>
      </c>
      <c r="M31" s="52">
        <v>2647962</v>
      </c>
      <c r="N31" s="52">
        <v>1548372</v>
      </c>
      <c r="O31" s="52">
        <v>384322</v>
      </c>
      <c r="P31" s="52">
        <v>1536739</v>
      </c>
      <c r="Q31" s="52">
        <v>1163</v>
      </c>
      <c r="R31" s="52">
        <v>610920</v>
      </c>
      <c r="S31" s="52">
        <v>348082</v>
      </c>
      <c r="T31" s="52">
        <v>51229</v>
      </c>
      <c r="U31" s="52">
        <v>53174</v>
      </c>
      <c r="V31" s="52">
        <v>31119</v>
      </c>
      <c r="W31" s="52">
        <v>490.33100000000002</v>
      </c>
      <c r="X31" s="52">
        <v>967.06100000000004</v>
      </c>
      <c r="Y31" s="52">
        <v>3890.1489999999999</v>
      </c>
      <c r="Z31" s="25"/>
      <c r="AA31" s="52">
        <v>2931</v>
      </c>
      <c r="AB31" s="54">
        <v>2894</v>
      </c>
      <c r="AC31" s="54">
        <v>2633</v>
      </c>
    </row>
    <row r="32" spans="1:29" x14ac:dyDescent="0.25">
      <c r="A32" s="20">
        <v>44589</v>
      </c>
      <c r="B32" s="27"/>
      <c r="C32" s="29">
        <v>90</v>
      </c>
      <c r="D32" s="51">
        <v>1187976</v>
      </c>
      <c r="E32" s="52">
        <v>1189850</v>
      </c>
      <c r="F32" s="52">
        <v>1225230</v>
      </c>
      <c r="G32" s="52">
        <v>1223976</v>
      </c>
      <c r="H32" s="52">
        <v>295239</v>
      </c>
      <c r="I32" s="52">
        <f t="shared" si="3"/>
        <v>7555170.6000000089</v>
      </c>
      <c r="J32" s="52">
        <v>32807</v>
      </c>
      <c r="K32" s="52">
        <f t="shared" si="4"/>
        <v>5641589.6000000089</v>
      </c>
      <c r="L32" s="52">
        <f t="shared" si="2"/>
        <v>958643</v>
      </c>
      <c r="M32" s="52">
        <v>2647963</v>
      </c>
      <c r="N32" s="52">
        <v>1551187</v>
      </c>
      <c r="O32" s="52">
        <v>384396</v>
      </c>
      <c r="P32" s="52">
        <v>1536742</v>
      </c>
      <c r="Q32" s="52">
        <v>1163</v>
      </c>
      <c r="R32" s="52">
        <v>611210</v>
      </c>
      <c r="S32" s="52">
        <v>348111</v>
      </c>
      <c r="T32" s="52">
        <v>51270</v>
      </c>
      <c r="U32" s="52">
        <v>53183</v>
      </c>
      <c r="V32" s="52">
        <v>31121</v>
      </c>
      <c r="W32" s="52">
        <v>490.33100000000002</v>
      </c>
      <c r="X32" s="52">
        <v>967.17100000000005</v>
      </c>
      <c r="Y32" s="52">
        <v>3890.049</v>
      </c>
      <c r="Z32" s="25"/>
      <c r="AA32" s="52">
        <v>2935</v>
      </c>
      <c r="AB32" s="54">
        <v>2927</v>
      </c>
      <c r="AC32" s="54">
        <v>2992</v>
      </c>
    </row>
    <row r="33" spans="1:29" x14ac:dyDescent="0.25">
      <c r="A33" s="20">
        <v>44590</v>
      </c>
      <c r="B33" s="27"/>
      <c r="C33" s="29">
        <v>148</v>
      </c>
      <c r="D33" s="51">
        <v>1190181</v>
      </c>
      <c r="E33" s="52">
        <v>1192059</v>
      </c>
      <c r="F33" s="52">
        <v>1229739</v>
      </c>
      <c r="G33" s="52">
        <v>1228481</v>
      </c>
      <c r="H33" s="52">
        <v>295555</v>
      </c>
      <c r="I33" s="52">
        <f t="shared" si="3"/>
        <v>7557177.0000000093</v>
      </c>
      <c r="J33" s="52">
        <v>32807</v>
      </c>
      <c r="K33" s="52">
        <f t="shared" si="4"/>
        <v>5644019.0000000093</v>
      </c>
      <c r="L33" s="52">
        <f t="shared" si="2"/>
        <v>959694</v>
      </c>
      <c r="M33" s="52">
        <v>2647964</v>
      </c>
      <c r="N33" s="52">
        <v>1553850</v>
      </c>
      <c r="O33" s="52">
        <v>384458</v>
      </c>
      <c r="P33" s="52">
        <v>1537431</v>
      </c>
      <c r="Q33" s="52">
        <v>1163</v>
      </c>
      <c r="R33" s="52">
        <v>611228</v>
      </c>
      <c r="S33" s="52">
        <v>348144</v>
      </c>
      <c r="T33" s="52">
        <v>51308</v>
      </c>
      <c r="U33" s="52">
        <v>53192</v>
      </c>
      <c r="V33" s="52">
        <v>31122</v>
      </c>
      <c r="W33" s="52">
        <v>490.33100000000002</v>
      </c>
      <c r="X33" s="52">
        <v>967.35900000000004</v>
      </c>
      <c r="Y33" s="52">
        <v>3890.049</v>
      </c>
      <c r="Z33" s="25"/>
      <c r="AA33" s="52">
        <v>2939</v>
      </c>
      <c r="AB33" s="54">
        <v>2927</v>
      </c>
      <c r="AC33" s="54">
        <v>0</v>
      </c>
    </row>
    <row r="34" spans="1:29" x14ac:dyDescent="0.25">
      <c r="A34" s="20">
        <v>44591</v>
      </c>
      <c r="B34" s="27"/>
      <c r="C34" s="29">
        <v>50</v>
      </c>
      <c r="D34" s="51">
        <v>1192519</v>
      </c>
      <c r="E34" s="52">
        <v>1194401</v>
      </c>
      <c r="F34" s="52">
        <v>1235642</v>
      </c>
      <c r="G34" s="52">
        <v>1234378</v>
      </c>
      <c r="H34" s="52">
        <v>296343</v>
      </c>
      <c r="I34" s="52">
        <f t="shared" si="3"/>
        <v>7559183.4000000097</v>
      </c>
      <c r="J34" s="52">
        <v>32807</v>
      </c>
      <c r="K34" s="52">
        <f t="shared" si="4"/>
        <v>5646448.4000000097</v>
      </c>
      <c r="L34" s="52">
        <f t="shared" si="2"/>
        <v>960745</v>
      </c>
      <c r="M34" s="52">
        <v>2647966</v>
      </c>
      <c r="N34" s="52">
        <v>1556491</v>
      </c>
      <c r="O34" s="52">
        <v>384523</v>
      </c>
      <c r="P34" s="52">
        <v>1537699</v>
      </c>
      <c r="Q34" s="52">
        <v>1163</v>
      </c>
      <c r="R34" s="52">
        <v>611555</v>
      </c>
      <c r="S34" s="52">
        <v>348183</v>
      </c>
      <c r="T34" s="52">
        <v>51355</v>
      </c>
      <c r="U34" s="52">
        <v>53203</v>
      </c>
      <c r="V34" s="52">
        <v>31136</v>
      </c>
      <c r="W34" s="52">
        <v>490.33100000000002</v>
      </c>
      <c r="X34" s="52">
        <v>967.56799999999998</v>
      </c>
      <c r="Y34" s="52">
        <v>3890.049</v>
      </c>
      <c r="Z34" s="25"/>
      <c r="AA34" s="52">
        <v>2944</v>
      </c>
      <c r="AB34" s="54">
        <v>2910</v>
      </c>
      <c r="AC34" s="54">
        <v>0</v>
      </c>
    </row>
    <row r="35" spans="1:29" x14ac:dyDescent="0.25">
      <c r="A35" s="20">
        <v>44592</v>
      </c>
      <c r="B35" s="27"/>
      <c r="C35" s="55">
        <v>50</v>
      </c>
      <c r="D35" s="51">
        <v>1195089</v>
      </c>
      <c r="E35" s="52">
        <v>1196976</v>
      </c>
      <c r="F35" s="52">
        <v>1240855</v>
      </c>
      <c r="G35" s="52">
        <v>1239585</v>
      </c>
      <c r="H35" s="52">
        <v>297152</v>
      </c>
      <c r="I35" s="52">
        <v>7561191</v>
      </c>
      <c r="J35" s="52">
        <v>32807</v>
      </c>
      <c r="K35" s="52">
        <v>5648877</v>
      </c>
      <c r="L35" s="52">
        <v>963692</v>
      </c>
      <c r="M35" s="52">
        <v>2647967</v>
      </c>
      <c r="N35" s="52">
        <v>1559129</v>
      </c>
      <c r="O35" s="52">
        <v>384616</v>
      </c>
      <c r="P35" s="52">
        <v>1537793</v>
      </c>
      <c r="Q35" s="52">
        <v>1163</v>
      </c>
      <c r="R35" s="52">
        <v>612220</v>
      </c>
      <c r="S35" s="52">
        <v>348216</v>
      </c>
      <c r="T35" s="52">
        <v>51395</v>
      </c>
      <c r="U35" s="52">
        <v>53214</v>
      </c>
      <c r="V35" s="52">
        <v>31136</v>
      </c>
      <c r="W35" s="52">
        <v>490.33100000000002</v>
      </c>
      <c r="X35" s="52">
        <v>967.779</v>
      </c>
      <c r="Y35" s="52">
        <v>3890.049</v>
      </c>
      <c r="Z35" s="25"/>
      <c r="AA35" s="52">
        <v>2953</v>
      </c>
      <c r="AB35" s="54">
        <v>2910</v>
      </c>
      <c r="AC35" s="54">
        <v>0</v>
      </c>
    </row>
    <row r="36" spans="1:29" x14ac:dyDescent="0.25">
      <c r="B36" s="16"/>
      <c r="C36" s="16"/>
    </row>
  </sheetData>
  <mergeCells count="26"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N1:N3"/>
    <mergeCell ref="O1:O3"/>
    <mergeCell ref="S1:T3"/>
    <mergeCell ref="U1:U3"/>
    <mergeCell ref="V1:V3"/>
    <mergeCell ref="AA1:AA3"/>
    <mergeCell ref="AB2:AB3"/>
    <mergeCell ref="AC2:AC3"/>
    <mergeCell ref="W1:W3"/>
    <mergeCell ref="X1:X3"/>
    <mergeCell ref="Y1:Y3"/>
    <mergeCell ref="Z1:Z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Submetering</vt:lpstr>
      <vt:lpstr>TOTAL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Andrew Meacham</cp:lastModifiedBy>
  <cp:lastPrinted>2019-08-19T07:32:13Z</cp:lastPrinted>
  <dcterms:created xsi:type="dcterms:W3CDTF">2017-05-03T09:23:30Z</dcterms:created>
  <dcterms:modified xsi:type="dcterms:W3CDTF">2022-02-01T08:38:17Z</dcterms:modified>
</cp:coreProperties>
</file>