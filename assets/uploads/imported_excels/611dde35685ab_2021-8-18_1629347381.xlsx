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<sst xmlns="http://schemas.openxmlformats.org/spreadsheetml/2006/main" count="128" uniqueCount="49">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</sst>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Submetering!R12</f>
        <v>925.53274499999998</v>
      </c>
      <c r="H12" s="11">
        <v>0.52800000000000002</v>
      </c>
      <c r="I12" s="12">
        <f>Hotel!B17</f>
        <v>69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Submetering!R13</f>
        <v>1046.2873240000001</v>
      </c>
      <c r="H13" s="11">
        <v>0.52800000000000002</v>
      </c>
      <c r="I13" s="12">
        <f>Hotel!B18</f>
        <v>98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Submetering!R14</f>
        <v>1157.1998369999999</v>
      </c>
      <c r="H14" s="11">
        <v>0.52800000000000002</v>
      </c>
      <c r="I14" s="12">
        <f>Hotel!B19</f>
        <v>111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Submetering!R15</f>
        <v>945.59541799999988</v>
      </c>
      <c r="H15" s="11">
        <v>0.52800000000000002</v>
      </c>
      <c r="I15" s="12">
        <f>Hotel!B20</f>
        <v>78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Submetering!R16</f>
        <v>929.31815499999993</v>
      </c>
      <c r="H16" s="11">
        <v>0.52800000000000002</v>
      </c>
      <c r="I16" s="12">
        <f>Hotel!B21</f>
        <v>58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Submetering!R17</f>
        <v>1003.13365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Submetering!R18</f>
        <v>1013.354257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Submetering!R19</f>
        <v>890.32843199999991</v>
      </c>
      <c r="H19" s="11">
        <v>0.52800000000000002</v>
      </c>
      <c r="I19" s="12">
        <f>Hotel!B24</f>
        <v>61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Hotel!AV17*0.00378541*100</f>
        <v>925.53274499999998</v>
      </c>
      <c r="S12" s="4">
        <f>Hotel!B17</f>
        <v>69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Hotel!AV18*0.00378541*100</f>
        <v>1046.2873240000001</v>
      </c>
      <c r="S13" s="4">
        <f>Hotel!B18</f>
        <v>98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Hotel!AV19*0.00378541*100</f>
        <v>1157.1998369999999</v>
      </c>
      <c r="S14" s="4">
        <f>Hotel!B19</f>
        <v>111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Hotel!AV20*0.00378541*100</f>
        <v>945.59541799999988</v>
      </c>
      <c r="S15" s="4">
        <f>Hotel!B20</f>
        <v>78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Hotel!AV21*0.00378541*100</f>
        <v>929.31815499999993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Hotel!AV22*0.00378541*100</f>
        <v>1003.13365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Hotel!AV23*0.00378541*100</f>
        <v>1013.354257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Hotel!AV24*0.00378541*100</f>
        <v>890.32843199999991</v>
      </c>
      <c r="S19" s="4">
        <f>Hotel!B24</f>
        <v>61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M33" sqref="AM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17"/>
        <v>880</v>
      </c>
      <c r="R17" s="37">
        <f t="shared" si="18"/>
        <v>12410</v>
      </c>
      <c r="S17" s="37">
        <f t="shared" si="16"/>
        <v>3380</v>
      </c>
      <c r="T17" s="37">
        <f t="shared" si="19"/>
        <v>1470</v>
      </c>
      <c r="U17" s="37">
        <f t="shared" si="20"/>
        <v>3580</v>
      </c>
      <c r="V17" s="37">
        <f t="shared" si="21"/>
        <v>3120</v>
      </c>
      <c r="W17" s="37">
        <f t="shared" si="22"/>
        <v>2090</v>
      </c>
      <c r="X17" s="37">
        <f t="shared" si="23"/>
        <v>3720</v>
      </c>
      <c r="Y17" s="37">
        <f t="shared" si="24"/>
        <v>4850</v>
      </c>
      <c r="Z17" s="37">
        <f t="shared" si="25"/>
        <v>2240</v>
      </c>
      <c r="AA17" s="37">
        <f t="shared" si="26"/>
        <v>2610</v>
      </c>
      <c r="AB17" s="37">
        <f t="shared" si="27"/>
        <v>6750</v>
      </c>
      <c r="AC17" s="37">
        <f t="shared" si="28"/>
        <v>7900</v>
      </c>
      <c r="AD17" s="35">
        <f t="shared" si="29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0"/>
        <v>275</v>
      </c>
      <c r="AU17" s="47">
        <v>141547</v>
      </c>
      <c r="AV17" s="37">
        <f t="shared" si="31"/>
        <v>2445</v>
      </c>
      <c r="AW17" s="35">
        <f t="shared" si="14"/>
        <v>4.8899999999999997</v>
      </c>
    </row>
    <row r="18" spans="1:49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17"/>
        <v>970</v>
      </c>
      <c r="R18" s="37">
        <f t="shared" si="18"/>
        <v>13630</v>
      </c>
      <c r="S18" s="37">
        <f t="shared" si="16"/>
        <v>3730</v>
      </c>
      <c r="T18" s="37">
        <f t="shared" si="19"/>
        <v>1630</v>
      </c>
      <c r="U18" s="37">
        <f t="shared" si="20"/>
        <v>3980</v>
      </c>
      <c r="V18" s="37">
        <f t="shared" si="21"/>
        <v>3450</v>
      </c>
      <c r="W18" s="37">
        <f t="shared" si="22"/>
        <v>2280</v>
      </c>
      <c r="X18" s="37">
        <f t="shared" si="23"/>
        <v>4230</v>
      </c>
      <c r="Y18" s="37">
        <f t="shared" si="24"/>
        <v>5200</v>
      </c>
      <c r="Z18" s="37">
        <f t="shared" si="25"/>
        <v>2510</v>
      </c>
      <c r="AA18" s="37">
        <f t="shared" si="26"/>
        <v>3130</v>
      </c>
      <c r="AB18" s="37">
        <f t="shared" si="27"/>
        <v>7450</v>
      </c>
      <c r="AC18" s="37">
        <f t="shared" si="28"/>
        <v>8400</v>
      </c>
      <c r="AD18" s="35">
        <f t="shared" si="29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0"/>
        <v>302.95000000000005</v>
      </c>
      <c r="AU18" s="47">
        <v>144311</v>
      </c>
      <c r="AV18" s="37">
        <f t="shared" si="31"/>
        <v>2764</v>
      </c>
      <c r="AW18" s="35">
        <f t="shared" si="14"/>
        <v>5.5280000000000005</v>
      </c>
    </row>
    <row r="19" spans="1:49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17"/>
        <v>1000</v>
      </c>
      <c r="R19" s="37">
        <f t="shared" si="18"/>
        <v>14070</v>
      </c>
      <c r="S19" s="37">
        <f t="shared" si="16"/>
        <v>3830</v>
      </c>
      <c r="T19" s="37">
        <f t="shared" si="19"/>
        <v>1680</v>
      </c>
      <c r="U19" s="37">
        <f t="shared" si="20"/>
        <v>3950</v>
      </c>
      <c r="V19" s="37">
        <f t="shared" si="21"/>
        <v>3540</v>
      </c>
      <c r="W19" s="37">
        <f t="shared" si="22"/>
        <v>2340</v>
      </c>
      <c r="X19" s="37">
        <f t="shared" si="23"/>
        <v>4480</v>
      </c>
      <c r="Y19" s="37">
        <f t="shared" si="24"/>
        <v>5650</v>
      </c>
      <c r="Z19" s="37">
        <f t="shared" si="25"/>
        <v>2630</v>
      </c>
      <c r="AA19" s="37">
        <f t="shared" si="26"/>
        <v>3170</v>
      </c>
      <c r="AB19" s="37">
        <f t="shared" si="27"/>
        <v>7780</v>
      </c>
      <c r="AC19" s="37">
        <f t="shared" si="28"/>
        <v>8590</v>
      </c>
      <c r="AD19" s="35">
        <f t="shared" si="29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0"/>
        <v>313.55</v>
      </c>
      <c r="AU19" s="47">
        <v>147368</v>
      </c>
      <c r="AV19" s="37">
        <f t="shared" si="31"/>
        <v>3057</v>
      </c>
      <c r="AW19" s="35">
        <f t="shared" si="14"/>
        <v>6.1139999999999999</v>
      </c>
    </row>
    <row r="20" spans="1:49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17"/>
        <v>1070</v>
      </c>
      <c r="R20" s="37">
        <f t="shared" si="18"/>
        <v>15280</v>
      </c>
      <c r="S20" s="37">
        <f t="shared" si="16"/>
        <v>4160</v>
      </c>
      <c r="T20" s="37">
        <f t="shared" si="19"/>
        <v>1800</v>
      </c>
      <c r="U20" s="37">
        <f t="shared" si="20"/>
        <v>4260</v>
      </c>
      <c r="V20" s="37">
        <f t="shared" si="21"/>
        <v>3700</v>
      </c>
      <c r="W20" s="37">
        <f t="shared" si="22"/>
        <v>2500</v>
      </c>
      <c r="X20" s="37">
        <f t="shared" si="23"/>
        <v>4530</v>
      </c>
      <c r="Y20" s="37">
        <f t="shared" si="24"/>
        <v>6130</v>
      </c>
      <c r="Z20" s="37">
        <f t="shared" si="25"/>
        <v>2820</v>
      </c>
      <c r="AA20" s="37">
        <f t="shared" si="26"/>
        <v>3260</v>
      </c>
      <c r="AB20" s="37">
        <f t="shared" si="27"/>
        <v>8160</v>
      </c>
      <c r="AC20" s="37">
        <f t="shared" si="28"/>
        <v>10510</v>
      </c>
      <c r="AD20" s="35">
        <f t="shared" si="29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0"/>
        <v>340.90000000000003</v>
      </c>
      <c r="AU20" s="47">
        <v>149866</v>
      </c>
      <c r="AV20" s="37">
        <f t="shared" si="31"/>
        <v>2498</v>
      </c>
      <c r="AW20" s="35">
        <f t="shared" si="14"/>
        <v>4.9960000000000004</v>
      </c>
    </row>
    <row r="21" spans="1:49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17"/>
        <v>1010</v>
      </c>
      <c r="R21" s="37">
        <f t="shared" si="18"/>
        <v>14160</v>
      </c>
      <c r="S21" s="37">
        <f t="shared" si="16"/>
        <v>3840</v>
      </c>
      <c r="T21" s="37">
        <f t="shared" si="19"/>
        <v>1690</v>
      </c>
      <c r="U21" s="37">
        <f t="shared" si="20"/>
        <v>3980</v>
      </c>
      <c r="V21" s="37">
        <f t="shared" si="21"/>
        <v>3360</v>
      </c>
      <c r="W21" s="37">
        <f t="shared" si="22"/>
        <v>2340</v>
      </c>
      <c r="X21" s="37">
        <f t="shared" si="23"/>
        <v>4230</v>
      </c>
      <c r="Y21" s="37">
        <f t="shared" si="24"/>
        <v>5620</v>
      </c>
      <c r="Z21" s="37">
        <f t="shared" si="25"/>
        <v>2520</v>
      </c>
      <c r="AA21" s="37">
        <f t="shared" si="26"/>
        <v>2930</v>
      </c>
      <c r="AB21" s="37">
        <f t="shared" si="27"/>
        <v>7630</v>
      </c>
      <c r="AC21" s="37">
        <f t="shared" si="28"/>
        <v>10810</v>
      </c>
      <c r="AD21" s="35">
        <f t="shared" si="29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0"/>
        <v>320.60000000000002</v>
      </c>
      <c r="AU21" s="47">
        <v>152321</v>
      </c>
      <c r="AV21" s="37">
        <f t="shared" si="31"/>
        <v>2455</v>
      </c>
      <c r="AW21" s="35">
        <f t="shared" si="14"/>
        <v>4.91</v>
      </c>
    </row>
    <row r="22" spans="1:49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44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44">
        <v>17264110</v>
      </c>
      <c r="Q22" s="37">
        <f t="shared" si="17"/>
        <v>1010</v>
      </c>
      <c r="R22" s="37">
        <f t="shared" si="18"/>
        <v>14130</v>
      </c>
      <c r="S22" s="37">
        <f t="shared" si="16"/>
        <v>3800</v>
      </c>
      <c r="T22" s="37">
        <f t="shared" si="19"/>
        <v>1690</v>
      </c>
      <c r="U22" s="37">
        <f t="shared" si="20"/>
        <v>3750</v>
      </c>
      <c r="V22" s="37">
        <f t="shared" si="21"/>
        <v>3360</v>
      </c>
      <c r="W22" s="37">
        <f t="shared" si="22"/>
        <v>2360</v>
      </c>
      <c r="X22" s="37">
        <f t="shared" si="23"/>
        <v>4060</v>
      </c>
      <c r="Y22" s="37">
        <f t="shared" si="24"/>
        <v>5870</v>
      </c>
      <c r="Z22" s="37">
        <f t="shared" si="25"/>
        <v>2270</v>
      </c>
      <c r="AA22" s="37">
        <f t="shared" si="26"/>
        <v>2960</v>
      </c>
      <c r="AB22" s="37">
        <f t="shared" si="27"/>
        <v>7780</v>
      </c>
      <c r="AC22" s="37">
        <f t="shared" si="28"/>
        <v>10550</v>
      </c>
      <c r="AD22" s="35">
        <f t="shared" si="29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0"/>
        <v>317.95000000000005</v>
      </c>
      <c r="AU22" s="47">
        <v>154971</v>
      </c>
      <c r="AV22" s="37">
        <f t="shared" si="31"/>
        <v>2650</v>
      </c>
      <c r="AW22" s="35">
        <f t="shared" si="14"/>
        <v>5.3</v>
      </c>
    </row>
    <row r="23" spans="1:49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17"/>
        <v>980</v>
      </c>
      <c r="R23" s="37">
        <f t="shared" si="18"/>
        <v>13410</v>
      </c>
      <c r="S23" s="37">
        <f t="shared" si="16"/>
        <v>3630</v>
      </c>
      <c r="T23" s="37">
        <f t="shared" si="19"/>
        <v>1650</v>
      </c>
      <c r="U23" s="37">
        <f t="shared" si="20"/>
        <v>3740</v>
      </c>
      <c r="V23" s="37">
        <f t="shared" si="21"/>
        <v>3250</v>
      </c>
      <c r="W23" s="37">
        <f t="shared" si="22"/>
        <v>2310</v>
      </c>
      <c r="X23" s="37">
        <f t="shared" si="23"/>
        <v>5020</v>
      </c>
      <c r="Y23" s="37">
        <f t="shared" si="24"/>
        <v>5050</v>
      </c>
      <c r="Z23" s="37">
        <f t="shared" si="25"/>
        <v>2240</v>
      </c>
      <c r="AA23" s="37">
        <f t="shared" si="26"/>
        <v>2940</v>
      </c>
      <c r="AB23" s="37">
        <f t="shared" si="27"/>
        <v>7560</v>
      </c>
      <c r="AC23" s="37">
        <f t="shared" si="28"/>
        <v>9880</v>
      </c>
      <c r="AD23" s="35">
        <f t="shared" si="29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0"/>
        <v>308.29999999999995</v>
      </c>
      <c r="AU23" s="47">
        <v>157648</v>
      </c>
      <c r="AV23" s="37">
        <f t="shared" si="31"/>
        <v>2677</v>
      </c>
      <c r="AW23" s="35">
        <f t="shared" si="14"/>
        <v>5.3540000000000001</v>
      </c>
    </row>
    <row r="24" spans="1:49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17"/>
        <v>1030</v>
      </c>
      <c r="R24" s="37">
        <f t="shared" si="18"/>
        <v>13780</v>
      </c>
      <c r="S24" s="37">
        <f t="shared" si="16"/>
        <v>3670</v>
      </c>
      <c r="T24" s="37">
        <f t="shared" si="19"/>
        <v>1700</v>
      </c>
      <c r="U24" s="37">
        <f t="shared" si="20"/>
        <v>3890</v>
      </c>
      <c r="V24" s="37">
        <f t="shared" si="21"/>
        <v>3410</v>
      </c>
      <c r="W24" s="37">
        <f t="shared" si="22"/>
        <v>2390</v>
      </c>
      <c r="X24" s="37">
        <f t="shared" si="23"/>
        <v>5200</v>
      </c>
      <c r="Y24" s="37">
        <f t="shared" si="24"/>
        <v>5690</v>
      </c>
      <c r="Z24" s="37">
        <f t="shared" si="25"/>
        <v>2440</v>
      </c>
      <c r="AA24" s="37">
        <f t="shared" si="26"/>
        <v>2920</v>
      </c>
      <c r="AB24" s="37">
        <f t="shared" si="27"/>
        <v>7490</v>
      </c>
      <c r="AC24" s="37">
        <f t="shared" si="28"/>
        <v>9350</v>
      </c>
      <c r="AD24" s="35">
        <f t="shared" si="29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0"/>
        <v>314.79999999999995</v>
      </c>
      <c r="AU24" s="47">
        <v>160000</v>
      </c>
      <c r="AV24" s="37">
        <f t="shared" si="31"/>
        <v>2352</v>
      </c>
      <c r="AW24" s="35">
        <f t="shared" si="14"/>
        <v>4.7039999999999997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 t="str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17760</v>
      </c>
      <c r="R38" s="38">
        <f t="shared" ref="R38:AD38" si="62">SUM(R7:R37)</f>
        <v>250200</v>
      </c>
      <c r="S38" s="38">
        <f t="shared" si="62"/>
        <v>68150</v>
      </c>
      <c r="T38" s="38">
        <f t="shared" si="62"/>
        <v>29790</v>
      </c>
      <c r="U38" s="38">
        <f t="shared" si="62"/>
        <v>73120</v>
      </c>
      <c r="V38" s="38">
        <f t="shared" si="62"/>
        <v>61250</v>
      </c>
      <c r="W38" s="38">
        <f t="shared" si="62"/>
        <v>41610</v>
      </c>
      <c r="X38" s="38">
        <f t="shared" si="62"/>
        <v>74690</v>
      </c>
      <c r="Y38" s="38">
        <f t="shared" si="62"/>
        <v>98480</v>
      </c>
      <c r="Z38" s="38">
        <f t="shared" si="62"/>
        <v>45860</v>
      </c>
      <c r="AA38" s="38">
        <f t="shared" si="62"/>
        <v>53920</v>
      </c>
      <c r="AB38" s="38">
        <f t="shared" si="62"/>
        <v>136900</v>
      </c>
      <c r="AC38" s="38">
        <f t="shared" si="62"/>
        <v>162800</v>
      </c>
      <c r="AD38" s="38">
        <f t="shared" si="62"/>
        <v>1114530</v>
      </c>
      <c r="AF38" s="35">
        <f>SUM(AF7:AF37)</f>
        <v>88.8</v>
      </c>
      <c r="AG38" s="35">
        <f t="shared" ref="AG38:AS38" si="63">SUM(AG7:AG37)</f>
        <v>1251.0000000000002</v>
      </c>
      <c r="AH38" s="35">
        <f t="shared" si="63"/>
        <v>340.75</v>
      </c>
      <c r="AI38" s="35">
        <f t="shared" si="63"/>
        <v>148.94999999999999</v>
      </c>
      <c r="AJ38" s="35">
        <f t="shared" si="63"/>
        <v>365.59999999999997</v>
      </c>
      <c r="AK38" s="35">
        <f t="shared" si="63"/>
        <v>306.25</v>
      </c>
      <c r="AL38" s="35">
        <f t="shared" si="63"/>
        <v>208.04999999999998</v>
      </c>
      <c r="AM38" s="35">
        <f t="shared" si="63"/>
        <v>373.45</v>
      </c>
      <c r="AN38" s="35">
        <f t="shared" si="63"/>
        <v>492.40000000000003</v>
      </c>
      <c r="AO38" s="35">
        <f t="shared" si="63"/>
        <v>229.29999999999995</v>
      </c>
      <c r="AP38" s="35">
        <f t="shared" si="63"/>
        <v>269.60000000000002</v>
      </c>
      <c r="AQ38" s="35">
        <f t="shared" si="63"/>
        <v>684.49999999999989</v>
      </c>
      <c r="AR38" s="35">
        <f t="shared" si="63"/>
        <v>813.99999999999989</v>
      </c>
      <c r="AS38" s="35">
        <f t="shared" si="63"/>
        <v>5572.6500000000005</v>
      </c>
      <c r="AU38" s="48"/>
      <c r="AV38" s="35">
        <f>SUM(AV7:AV34)</f>
        <v>47883</v>
      </c>
      <c r="AW38" s="35">
        <f>SUM(AW7:AW34)</f>
        <v>95.765999999999991</v>
      </c>
    </row>
    <row r="39" spans="1:49" x14ac:dyDescent="0.25">
      <c r="D39">
        <v>5.0000000000000001E-3</v>
      </c>
      <c r="AV39" s="36">
        <f>AV38*0.00378541*1000</f>
        <v>181256.78703000001</v>
      </c>
    </row>
    <row r="40" spans="1:49" x14ac:dyDescent="0.25">
      <c r="D40">
        <v>2E-3</v>
      </c>
      <c r="AV40">
        <f>AV39/31</f>
        <v>5846.9931299999998</v>
      </c>
    </row>
    <row r="41" spans="1:49" x14ac:dyDescent="0.25">
      <c r="AV41">
        <f>AV38*0.00378541</f>
        <v>181.25678703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2021-08-19T04:29:03Z</dcterms:modified>
</cp:coreProperties>
</file>