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<sst xmlns="http://schemas.openxmlformats.org/spreadsheetml/2006/main" count="315" uniqueCount="148">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</sst>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e">
        <f>'FS Desroches Daily'!T13</f>
        <v>#VALUE!</v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14299.999999999978</v>
      </c>
      <c r="F33" s="17">
        <f t="shared" ref="F33:BC33" si="0">SUM(F2:F32)</f>
        <v>26099.999999999563</v>
      </c>
      <c r="G33" s="17">
        <f t="shared" si="0"/>
        <v>30299.999999999549</v>
      </c>
      <c r="H33" s="17">
        <f t="shared" si="0"/>
        <v>14699.999999999935</v>
      </c>
      <c r="I33" s="17">
        <f t="shared" si="0"/>
        <v>18600.000000000175</v>
      </c>
      <c r="J33" s="17">
        <f t="shared" si="0"/>
        <v>11100.000000000331</v>
      </c>
      <c r="K33" s="17">
        <f t="shared" si="0"/>
        <v>269</v>
      </c>
      <c r="L33" s="17">
        <f t="shared" si="0"/>
        <v>37</v>
      </c>
      <c r="M33" s="17" t="e">
        <f t="shared" si="0"/>
        <v>#VALUE!</v>
      </c>
      <c r="N33" s="17">
        <f t="shared" si="0"/>
        <v>3722</v>
      </c>
      <c r="O33" s="17">
        <f t="shared" si="0"/>
        <v>2649.9999999999773</v>
      </c>
      <c r="P33" s="17">
        <f t="shared" si="0"/>
        <v>23900.000000000251</v>
      </c>
      <c r="Q33" s="17">
        <f t="shared" si="0"/>
        <v>2890.0000000001</v>
      </c>
      <c r="R33" s="17">
        <f t="shared" si="0"/>
        <v>3620.0000000000045</v>
      </c>
      <c r="S33" s="17">
        <f t="shared" si="0"/>
        <v>3840.0000000000318</v>
      </c>
      <c r="T33" s="17">
        <f t="shared" si="0"/>
        <v>315</v>
      </c>
      <c r="U33" s="35">
        <f t="shared" si="0"/>
        <v>4600.0000000001592</v>
      </c>
      <c r="V33" s="35">
        <f t="shared" si="0"/>
        <v>950.00000000004547</v>
      </c>
      <c r="W33" s="35">
        <f t="shared" si="0"/>
        <v>2040.0000000000205</v>
      </c>
      <c r="X33" s="35">
        <f t="shared" si="0"/>
        <v>620.00000000000455</v>
      </c>
      <c r="Y33" s="35">
        <f t="shared" si="0"/>
        <v>589.99999999997499</v>
      </c>
      <c r="Z33" s="35">
        <f t="shared" si="0"/>
        <v>610.00000000001364</v>
      </c>
      <c r="AA33" s="35">
        <f t="shared" si="0"/>
        <v>610.00000000001364</v>
      </c>
      <c r="AB33" s="35">
        <f t="shared" si="0"/>
        <v>419.99999999995907</v>
      </c>
      <c r="AC33" s="35">
        <f t="shared" si="0"/>
        <v>589.99999999997499</v>
      </c>
      <c r="AD33" s="35">
        <f t="shared" si="0"/>
        <v>650.00000000003411</v>
      </c>
      <c r="AE33" s="35">
        <f t="shared" si="0"/>
        <v>650.00000000003411</v>
      </c>
      <c r="AF33" s="17">
        <f t="shared" si="0"/>
        <v>440</v>
      </c>
      <c r="AG33" s="32">
        <f t="shared" si="0"/>
        <v>459.99999999997954</v>
      </c>
      <c r="AH33" s="32">
        <f t="shared" si="0"/>
        <v>349.99999999996589</v>
      </c>
      <c r="AI33" s="32">
        <f t="shared" si="0"/>
        <v>439.99999999999773</v>
      </c>
      <c r="AJ33" s="32">
        <f t="shared" si="0"/>
        <v>410.00000000002501</v>
      </c>
      <c r="AK33" s="32">
        <f t="shared" si="0"/>
        <v>330.00000000004093</v>
      </c>
      <c r="AL33" s="32">
        <f t="shared" si="0"/>
        <v>384</v>
      </c>
      <c r="AM33" s="32">
        <f t="shared" si="0"/>
        <v>479.99999999998977</v>
      </c>
      <c r="AN33" s="32">
        <f t="shared" si="0"/>
        <v>315</v>
      </c>
      <c r="AO33" s="32">
        <f t="shared" si="0"/>
        <v>490.00000000000909</v>
      </c>
      <c r="AP33" s="32">
        <f t="shared" si="0"/>
        <v>450</v>
      </c>
      <c r="AQ33" s="17">
        <f t="shared" si="0"/>
        <v>604.19999999999709</v>
      </c>
      <c r="AR33" s="17">
        <f t="shared" si="0"/>
        <v>125</v>
      </c>
      <c r="AS33" s="17">
        <f t="shared" si="0"/>
        <v>25.899999999999636</v>
      </c>
      <c r="AT33" s="17">
        <f t="shared" si="0"/>
        <v>338.10000000000582</v>
      </c>
      <c r="AU33" s="17">
        <f t="shared" si="0"/>
        <v>2912</v>
      </c>
      <c r="AV33" s="17">
        <f t="shared" si="0"/>
        <v>7699.9999999998181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43.956000000000003</v>
      </c>
      <c r="BC33" s="17">
        <f t="shared" si="0"/>
        <v>147</v>
      </c>
    </row>
    <row r="35" spans="5:55" x14ac:dyDescent="0.25">
      <c r="E35" s="38">
        <f>E33/E37</f>
        <v>0.16317122709327095</v>
      </c>
      <c r="G35" s="29" t="e">
        <f>G33-M36</f>
        <v>#VALUE!</v>
      </c>
      <c r="AE35" s="35">
        <f>SUM(U33:AE33)</f>
        <v>12330.000000000236</v>
      </c>
      <c r="AG35" s="32">
        <f>SUM(AG33:AP33)</f>
        <v>4109.0000000000082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87637.999999999374</v>
      </c>
      <c r="G37" s="37" t="e">
        <f>M36/E37</f>
        <v>#VALUE!</v>
      </c>
      <c r="M37" s="35">
        <f>AE35</f>
        <v>12330.000000000236</v>
      </c>
    </row>
    <row r="38" spans="5:55" x14ac:dyDescent="0.25">
      <c r="L38" s="27">
        <f>M38/E37</f>
        <v>4.6886053994842851E-2</v>
      </c>
      <c r="M38" s="29">
        <f>AG35</f>
        <v>4109.0000000000082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Y1" zoomScale="82" zoomScaleNormal="82" workbookViewId="0">
      <pane ySplit="1" topLeftCell="A2" activePane="bottomLeft" state="frozen"/>
      <selection pane="bottomLeft" activeCell="BM19" sqref="BM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/>
      <c r="D13" s="64" t="str">
        <f t="shared" si="1"/>
        <v>0</v>
      </c>
      <c r="E13" s="58"/>
      <c r="F13" s="64" t="str">
        <f t="shared" si="2"/>
        <v>0</v>
      </c>
      <c r="G13" s="58"/>
      <c r="H13" s="64" t="str">
        <f t="shared" si="3"/>
        <v>0</v>
      </c>
      <c r="I13" s="58"/>
      <c r="J13" s="64" t="str">
        <f t="shared" si="4"/>
        <v>0</v>
      </c>
      <c r="K13" s="58"/>
      <c r="L13" s="64" t="str">
        <f t="shared" si="5"/>
        <v>0</v>
      </c>
      <c r="M13" s="58"/>
      <c r="N13" s="64" t="str">
        <f t="shared" si="6"/>
        <v/>
      </c>
      <c r="O13" s="58"/>
      <c r="P13" s="67" t="str">
        <f t="shared" si="7"/>
        <v/>
      </c>
      <c r="Q13" s="58"/>
      <c r="R13" s="67" t="str">
        <f t="shared" si="8"/>
        <v/>
      </c>
      <c r="S13" s="58"/>
      <c r="T13" s="67" t="e">
        <f t="shared" si="50"/>
        <v>#VALUE!</v>
      </c>
      <c r="U13" s="58"/>
      <c r="V13" s="67" t="str">
        <f t="shared" si="9"/>
        <v/>
      </c>
      <c r="W13" s="58"/>
      <c r="X13" s="65" t="str">
        <f t="shared" si="10"/>
        <v/>
      </c>
      <c r="Y13" s="58"/>
      <c r="Z13" s="65" t="str">
        <f t="shared" si="11"/>
        <v/>
      </c>
      <c r="AA13" s="58"/>
      <c r="AB13" s="65" t="str">
        <f t="shared" si="12"/>
        <v/>
      </c>
      <c r="AC13" s="58"/>
      <c r="AD13" s="65" t="str">
        <f t="shared" si="13"/>
        <v/>
      </c>
      <c r="AE13" s="58"/>
      <c r="AF13" s="65" t="str">
        <f t="shared" si="14"/>
        <v/>
      </c>
      <c r="AG13" s="58"/>
      <c r="AH13" s="67" t="str">
        <f t="shared" si="15"/>
        <v/>
      </c>
      <c r="AI13" s="58"/>
      <c r="AJ13" s="65" t="str">
        <f t="shared" si="16"/>
        <v/>
      </c>
      <c r="AK13" s="58"/>
      <c r="AL13" s="65" t="str">
        <f t="shared" si="17"/>
        <v/>
      </c>
      <c r="AM13" s="58"/>
      <c r="AN13" s="65" t="str">
        <f t="shared" si="18"/>
        <v/>
      </c>
      <c r="AO13" s="58"/>
      <c r="AP13" s="65" t="str">
        <f t="shared" si="19"/>
        <v/>
      </c>
      <c r="AQ13" s="58"/>
      <c r="AR13" s="65" t="str">
        <f t="shared" si="20"/>
        <v/>
      </c>
      <c r="AS13" s="58"/>
      <c r="AT13" s="65" t="str">
        <f t="shared" si="21"/>
        <v/>
      </c>
      <c r="AU13" s="58"/>
      <c r="AV13" s="65" t="str">
        <f t="shared" si="22"/>
        <v/>
      </c>
      <c r="AW13" s="58"/>
      <c r="AX13" s="65" t="str">
        <f t="shared" si="23"/>
        <v/>
      </c>
      <c r="AY13" s="58"/>
      <c r="AZ13" s="65" t="str">
        <f t="shared" si="24"/>
        <v/>
      </c>
      <c r="BA13" s="58"/>
      <c r="BB13" s="65" t="str">
        <f t="shared" si="25"/>
        <v/>
      </c>
      <c r="BC13" s="58"/>
      <c r="BD13" s="65" t="str">
        <f t="shared" si="26"/>
        <v/>
      </c>
      <c r="BE13" s="59"/>
      <c r="BF13" s="67" t="str">
        <f t="shared" si="27"/>
        <v/>
      </c>
      <c r="BG13" s="60"/>
      <c r="BH13" s="65" t="str">
        <f t="shared" si="28"/>
        <v/>
      </c>
      <c r="BI13" s="60"/>
      <c r="BJ13" s="65" t="str">
        <f t="shared" si="29"/>
        <v/>
      </c>
      <c r="BK13" s="60"/>
      <c r="BL13" s="65" t="str">
        <f t="shared" si="30"/>
        <v/>
      </c>
      <c r="BM13" s="60"/>
      <c r="BN13" s="65" t="str">
        <f t="shared" si="31"/>
        <v/>
      </c>
      <c r="BO13" s="60"/>
      <c r="BP13" s="65" t="str">
        <f t="shared" si="32"/>
        <v/>
      </c>
      <c r="BQ13" s="60"/>
      <c r="BR13" s="65" t="str">
        <f t="shared" si="33"/>
        <v/>
      </c>
      <c r="BS13" s="60"/>
      <c r="BT13" s="65" t="str">
        <f t="shared" si="34"/>
        <v/>
      </c>
      <c r="BU13" s="60"/>
      <c r="BV13" s="65" t="str">
        <f t="shared" si="35"/>
        <v/>
      </c>
      <c r="BW13" s="60"/>
      <c r="BX13" s="65" t="str">
        <f t="shared" si="36"/>
        <v/>
      </c>
      <c r="BY13" s="60"/>
      <c r="BZ13" s="67" t="str">
        <f t="shared" si="37"/>
        <v/>
      </c>
      <c r="CA13" s="60"/>
      <c r="CB13" s="67" t="str">
        <f t="shared" si="38"/>
        <v/>
      </c>
      <c r="CC13" s="60"/>
      <c r="CD13" s="67" t="str">
        <f t="shared" si="39"/>
        <v/>
      </c>
      <c r="CE13" s="60"/>
      <c r="CF13" s="67" t="str">
        <f t="shared" si="40"/>
        <v/>
      </c>
      <c r="CG13" s="60"/>
      <c r="CH13" s="67" t="str">
        <f t="shared" si="41"/>
        <v/>
      </c>
      <c r="CI13" s="60"/>
      <c r="CJ13" s="67" t="str">
        <f t="shared" si="42"/>
        <v/>
      </c>
      <c r="CK13" s="60"/>
      <c r="CL13" s="64" t="str">
        <f t="shared" si="43"/>
        <v/>
      </c>
      <c r="CM13" s="65" t="e">
        <f t="shared" si="44"/>
        <v>#VALUE!</v>
      </c>
      <c r="CN13" s="62"/>
      <c r="CO13" s="62"/>
      <c r="CP13" s="68"/>
      <c r="CQ13" s="67" t="str">
        <f t="shared" si="45"/>
        <v/>
      </c>
      <c r="CR13" s="68"/>
      <c r="CS13" s="67" t="str">
        <f t="shared" si="46"/>
        <v/>
      </c>
      <c r="CT13" s="75"/>
      <c r="CU13" s="67" t="str">
        <f t="shared" si="47"/>
        <v/>
      </c>
      <c r="CV13" s="68"/>
      <c r="CW13" s="67" t="str">
        <f t="shared" si="48"/>
        <v/>
      </c>
      <c r="CX13" s="58"/>
      <c r="CY13" s="67" t="str">
        <f t="shared" si="49"/>
        <v/>
      </c>
    </row>
    <row r="14" spans="1:103" ht="25.5" customHeight="1" thickBot="1" x14ac:dyDescent="0.45">
      <c r="A14" s="63">
        <v>44968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50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4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6"/>
        <v>0</v>
      </c>
      <c r="CT14" s="75"/>
      <c r="CU14" s="67">
        <f t="shared" si="47"/>
        <v>0</v>
      </c>
      <c r="CV14" s="68"/>
      <c r="CW14" s="67">
        <f t="shared" si="48"/>
        <v>0</v>
      </c>
      <c r="CX14" s="58"/>
      <c r="CY14" s="67">
        <f t="shared" si="49"/>
        <v>0</v>
      </c>
    </row>
    <row r="15" spans="1:103" ht="25.5" customHeight="1" thickBot="1" x14ac:dyDescent="0.45">
      <c r="A15" s="63">
        <v>44969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50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  <c r="CX15" s="58"/>
      <c r="CY15" s="67">
        <f t="shared" si="49"/>
        <v>0</v>
      </c>
    </row>
    <row r="16" spans="1:103" ht="25.5" customHeight="1" thickBot="1" x14ac:dyDescent="0.45">
      <c r="A16" s="63">
        <v>44970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50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  <c r="CX16" s="58"/>
      <c r="CY16" s="67">
        <f t="shared" si="49"/>
        <v>0</v>
      </c>
    </row>
    <row r="17" spans="1:103" ht="25.5" customHeight="1" thickBot="1" x14ac:dyDescent="0.45">
      <c r="A17" s="63">
        <v>44971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44972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20" sqref="C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-233</v>
      </c>
    </row>
    <row r="18" spans="1:20" x14ac:dyDescent="0.25">
      <c r="A18" s="73">
        <v>44968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44969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44970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44971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2023-02-10T18:23:08Z</dcterms:modified>
</cp:coreProperties>
</file>