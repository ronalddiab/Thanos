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233" documentId="8_{570E39A5-4344-4CF9-9BBE-67993DB36049}" xr6:coauthVersionLast="36" xr6:coauthVersionMax="36" xr10:uidLastSave="{4CDDBE36-EA6A-4F85-AFC3-1BAF61CB643B}"/>
  <bookViews>
    <workbookView xWindow="-100" yWindow="-100" windowWidth="18190" windowHeight="11470" activeTab="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<sst xmlns="http://schemas.openxmlformats.org/spreadsheetml/2006/main" count="170" uniqueCount="47">
  <si>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</si>
  <si>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</si>
  <si>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</si>
  <si>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</si>
  <si>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</si>
  <si>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</si>
  <si>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</si>
  <si>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</si>
  <si>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</si>
  <si>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</si>
  <si>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</si>
  <si>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</si>
  <si>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</si>
  <si>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</si>
  <si>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</si>
  <si>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</si>
  <si>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</si>
  <si>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</si>
  <si>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</si>
  <si>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</si>
  <si>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</si>
  <si>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</si>
  <si>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</si>
  <si>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</si>
  <si>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</si>
  <si>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</si>
  <si>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</si>
  <si>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</si>
  <si>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</si>
  <si>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</si>
  <si>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</si>
  <si>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</si>
  <si>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</si>
  <si>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</si>
  <si>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</si>
  <si>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</si>
  <si>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</si>
  <si>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</si>
  <si>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</si>
  <si>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</si>
  <si>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</si>
  <si>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</si>
  <si>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</si>
  <si>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</si>
  <si>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</si>
  <si>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</si>
  <si>
    <t>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</si>
</sst>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workbookViewId="0">
      <selection activeCell="C20" sqref="C20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12315</v>
      </c>
      <c r="F13" s="10">
        <v>0.2989</v>
      </c>
      <c r="G13" s="13">
        <f>-'Submetering '!J13+'Submetering '!K13</f>
        <v>583</v>
      </c>
      <c r="H13" s="10">
        <v>0.23150000000000001</v>
      </c>
      <c r="I13" s="13">
        <f>'Submetering '!L13+'Submetering '!M13</f>
        <v>137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12630</v>
      </c>
      <c r="F14" s="10">
        <v>0.2989</v>
      </c>
      <c r="G14" s="13">
        <f>-'Submetering '!J14+'Submetering '!K14</f>
        <v>723</v>
      </c>
      <c r="H14" s="10">
        <v>0.23150000000000001</v>
      </c>
      <c r="I14" s="13">
        <f>'Submetering '!L14+'Submetering '!M14</f>
        <v>153</v>
      </c>
      <c r="J14" s="10">
        <v>2.74</v>
      </c>
      <c r="K14" s="9">
        <v>236</v>
      </c>
      <c r="L14" s="9">
        <v>236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0</v>
      </c>
      <c r="F15" s="10">
        <v>0.2989</v>
      </c>
      <c r="G15" s="13">
        <f>-'Submetering '!J15+'Submetering '!K15</f>
        <v>0</v>
      </c>
      <c r="H15" s="10">
        <v>0.23150000000000001</v>
      </c>
      <c r="I15" s="13">
        <f>'Submetering '!L15+'Submetering '!M15</f>
        <v>0</v>
      </c>
      <c r="J15" s="10">
        <v>2.74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0</v>
      </c>
      <c r="F16" s="10">
        <v>0.2989</v>
      </c>
      <c r="G16" s="13">
        <f>-'Submetering '!J16+'Submetering '!K16</f>
        <v>0</v>
      </c>
      <c r="H16" s="10">
        <v>0.23150000000000001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0</v>
      </c>
      <c r="F17" s="10">
        <v>0.2989</v>
      </c>
      <c r="G17" s="13">
        <f>-'Submetering '!J17+'Submetering '!K17</f>
        <v>0</v>
      </c>
      <c r="H17" s="10">
        <v>0.23150000000000001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0</v>
      </c>
      <c r="F18" s="10">
        <v>0.2989</v>
      </c>
      <c r="G18" s="13">
        <f>-'Submetering '!J18+'Submetering '!K18</f>
        <v>0</v>
      </c>
      <c r="H18" s="10">
        <v>0.23150000000000001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zoomScale="80" zoomScaleNormal="80" workbookViewId="0">
      <selection activeCell="AA16" sqref="AA16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>
        <v>29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5445</v>
      </c>
      <c r="F13" s="33">
        <f>(IF((Electrical!C14-Electrical!C13)&lt;0,"0",(Electrical!C14-Electrical!C13)))*15</f>
        <v>3315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3574</v>
      </c>
      <c r="I13" s="33">
        <f>IF((Electrical!F14-Electrical!F13)&lt;0,"0",(Electrical!F14-Electrical!F13))</f>
        <v>410</v>
      </c>
      <c r="J13" s="33">
        <f>IF((Gas!B14-Gas!B13)&lt;0,"0",(Gas!B14-Gas!B13))</f>
        <v>0</v>
      </c>
      <c r="K13" s="33">
        <f>IF((Gas!C14-Gas!C13)&lt;0,"0",(Gas!C14-Gas!C13))</f>
        <v>583</v>
      </c>
      <c r="L13" s="33">
        <f>(IF((Water!B14-Water!B13)&lt;0,"0",(Water!B14-Water!B13)))*10</f>
        <v>120</v>
      </c>
      <c r="M13" s="33">
        <f>IF((Water!C14-Water!C13)&lt;0,"0",(Water!C14-Water!C13))</f>
        <v>17</v>
      </c>
      <c r="N13" s="33">
        <f>IF((Water!D14-Water!D13)&lt;0,"0",(Water!D14-Water!D13))</f>
        <v>0</v>
      </c>
      <c r="O13" s="33">
        <f>IF((Water!E14-Water!E13)&lt;0,"0",(Water!E14-Water!E13))</f>
        <v>14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33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5430</v>
      </c>
      <c r="F14" s="33">
        <f>(IF((Electrical!C15-Electrical!C14)&lt;0,"0",(Electrical!C15-Electrical!C14)))*15</f>
        <v>3525</v>
      </c>
      <c r="G14" s="33">
        <f>(IF((Electrical!D15-Electrical!D14)&lt;0,"0",(Electrical!D15-Electrical!D14)))*15</f>
        <v>3675</v>
      </c>
      <c r="H14" s="33">
        <f>IF((Electrical!E15-Electrical!E14)&lt;0,"0",(Electrical!E15-Electrical!E14))</f>
        <v>3618</v>
      </c>
      <c r="I14" s="33">
        <f>IF((Electrical!F15-Electrical!F14)&lt;0,"0",(Electrical!F15-Electrical!F14))</f>
        <v>419</v>
      </c>
      <c r="J14" s="33">
        <f>IF((Gas!B15-Gas!B14)&lt;0,"0",(Gas!B15-Gas!B14))</f>
        <v>0</v>
      </c>
      <c r="K14" s="33">
        <f>IF((Gas!C15-Gas!C14)&lt;0,"0",(Gas!C15-Gas!C14))</f>
        <v>723</v>
      </c>
      <c r="L14" s="33">
        <f>(IF((Water!B15-Water!B14)&lt;0,"0",(Water!B15-Water!B14)))*10</f>
        <v>130</v>
      </c>
      <c r="M14" s="33">
        <f>IF((Water!C15-Water!C14)&lt;0,"0",(Water!C15-Water!C14))</f>
        <v>23</v>
      </c>
      <c r="N14" s="33">
        <f>IF((Water!D15-Water!D14)&lt;0,"0",(Water!D15-Water!D14))</f>
        <v>0</v>
      </c>
      <c r="O14" s="33">
        <f>IF((Water!E15-Water!E14)&lt;0,"0",(Water!E15-Water!E14))</f>
        <v>14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48</v>
      </c>
      <c r="Y14" s="9">
        <v>236</v>
      </c>
      <c r="Z14" s="9">
        <v>236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 t="str">
        <f>IF((Electrical!E16-Electrical!E15)&lt;0,"0",(Electrical!E16-Electrical!E15))</f>
        <v>0</v>
      </c>
      <c r="I15" s="33" t="str">
        <f>IF((Electrical!F16-Electrical!F15)&lt;0,"0",(Electrical!F16-Electrical!F15))</f>
        <v>0</v>
      </c>
      <c r="J15" s="33">
        <f>IF((Gas!B16-Gas!B15)&lt;0,"0",(Gas!B16-Gas!B15))</f>
        <v>0</v>
      </c>
      <c r="K15" s="33" t="str">
        <f>IF((Gas!C16-Gas!C15)&lt;0,"0",(Gas!C16-Gas!C15))</f>
        <v>0</v>
      </c>
      <c r="L15" s="33">
        <f>(IF((Water!B16-Water!B15)&lt;0,"0",(Water!B16-Water!B15)))*10</f>
        <v>0</v>
      </c>
      <c r="M15" s="33" t="str">
        <f>IF((Water!C16-Water!C15)&lt;0,"0",(Water!C16-Water!C15))</f>
        <v>0</v>
      </c>
      <c r="N15" s="33">
        <f>IF((Water!D16-Water!D15)&lt;0,"0",(Water!D16-Water!D15))</f>
        <v>0</v>
      </c>
      <c r="O15" s="33" t="str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 t="str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 t="str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abSelected="1" zoomScale="70" zoomScaleNormal="70" workbookViewId="0">
      <selection activeCell="L6" sqref="L6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>
        <v>122400</v>
      </c>
      <c r="C14" s="28">
        <v>89955</v>
      </c>
      <c r="D14" s="45">
        <v>91601</v>
      </c>
      <c r="E14" s="45">
        <v>1266932</v>
      </c>
      <c r="F14" s="45">
        <v>144423</v>
      </c>
      <c r="G14" s="5" t="s">
        <v>46</v>
      </c>
    </row>
    <row r="15" spans="1:7" x14ac:dyDescent="0.35">
      <c r="A15" s="7">
        <v>13</v>
      </c>
      <c r="B15" s="28">
        <v>122762</v>
      </c>
      <c r="C15" s="28">
        <v>90190</v>
      </c>
      <c r="D15" s="45">
        <v>91846</v>
      </c>
      <c r="E15" s="45">
        <v>1270550</v>
      </c>
      <c r="F15" s="45">
        <v>144842</v>
      </c>
      <c r="G15" s="5" t="s">
        <v>40</v>
      </c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L11" sqref="L11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>
        <v>212512</v>
      </c>
      <c r="D14" s="5" t="s">
        <v>46</v>
      </c>
    </row>
    <row r="15" spans="1:4" x14ac:dyDescent="0.35">
      <c r="A15" s="4">
        <v>13</v>
      </c>
      <c r="B15" s="5">
        <v>0</v>
      </c>
      <c r="C15" s="5">
        <v>213235</v>
      </c>
      <c r="D15" s="5" t="s">
        <v>40</v>
      </c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ht="15.5" x14ac:dyDescent="0.35">
      <c r="A22" s="4">
        <v>20</v>
      </c>
      <c r="B22" s="5">
        <v>0</v>
      </c>
      <c r="C22" s="5"/>
      <c r="D22" s="27"/>
    </row>
    <row r="23" spans="1:4" ht="15.5" x14ac:dyDescent="0.35">
      <c r="A23" s="4">
        <v>21</v>
      </c>
      <c r="B23" s="5">
        <v>0</v>
      </c>
      <c r="C23" s="5"/>
      <c r="D23" s="27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E1" zoomScale="85" zoomScaleNormal="85" workbookViewId="0">
      <selection activeCell="P15" sqref="P15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>
        <v>3428</v>
      </c>
      <c r="C14" s="5">
        <v>10540</v>
      </c>
      <c r="D14" s="5">
        <v>0</v>
      </c>
      <c r="E14" s="5">
        <v>3111</v>
      </c>
      <c r="F14" s="5">
        <v>0</v>
      </c>
      <c r="G14" s="5">
        <v>0</v>
      </c>
      <c r="H14" s="5">
        <v>0</v>
      </c>
      <c r="I14" s="5">
        <v>0</v>
      </c>
      <c r="J14" s="5">
        <v>380</v>
      </c>
      <c r="K14" s="5">
        <v>0</v>
      </c>
      <c r="L14" s="5">
        <v>0</v>
      </c>
      <c r="M14" s="5">
        <v>0</v>
      </c>
      <c r="N14" s="5">
        <v>12629</v>
      </c>
      <c r="O14" s="5" t="s">
        <v>46</v>
      </c>
    </row>
    <row r="15" spans="1:15" x14ac:dyDescent="0.35">
      <c r="A15" s="4">
        <v>13</v>
      </c>
      <c r="B15" s="5">
        <v>3441</v>
      </c>
      <c r="C15" s="5">
        <v>10563</v>
      </c>
      <c r="D15" s="5">
        <v>0</v>
      </c>
      <c r="E15" s="5">
        <v>3125</v>
      </c>
      <c r="F15" s="5">
        <v>0</v>
      </c>
      <c r="G15" s="5">
        <v>0</v>
      </c>
      <c r="H15" s="5">
        <v>0</v>
      </c>
      <c r="I15" s="5">
        <v>0</v>
      </c>
      <c r="J15" s="5">
        <v>381</v>
      </c>
      <c r="K15" s="5">
        <v>0</v>
      </c>
      <c r="L15" s="5">
        <v>0</v>
      </c>
      <c r="M15" s="5">
        <v>0</v>
      </c>
      <c r="N15" s="5">
        <v>12677</v>
      </c>
      <c r="O15" s="5" t="s">
        <v>40</v>
      </c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ht="15.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27"/>
    </row>
    <row r="23" spans="1:15" ht="15.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27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dcmitype/"/>
    <ds:schemaRef ds:uri="c0c63084-832f-4b13-a501-c844d9f3bfed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2024-03-14T00:22:54Z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