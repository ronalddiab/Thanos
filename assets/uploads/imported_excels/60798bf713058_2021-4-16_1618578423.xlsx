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5" i="1"/>
  <c r="S25"/>
  <c r="E20" i="3" l="1"/>
  <c r="E21"/>
  <c r="M19" i="12"/>
  <c r="M20"/>
  <c r="M22"/>
  <c r="M23"/>
  <c r="S26" i="1"/>
  <c r="S27"/>
  <c r="S28"/>
  <c r="S29"/>
  <c r="S30"/>
  <c r="S31"/>
  <c r="S32"/>
  <c r="S33"/>
  <c r="S34"/>
  <c r="S35"/>
  <c r="S36"/>
  <c r="S37"/>
  <c r="S38"/>
  <c r="S39"/>
  <c r="S40"/>
  <c r="S41"/>
  <c r="S42"/>
  <c r="T26"/>
  <c r="T27"/>
  <c r="T28"/>
  <c r="T29"/>
  <c r="T30"/>
  <c r="T31"/>
  <c r="T32"/>
  <c r="T33"/>
  <c r="T34"/>
  <c r="T35"/>
  <c r="T36"/>
  <c r="T37"/>
  <c r="T38"/>
  <c r="T39"/>
  <c r="T40"/>
  <c r="T41"/>
  <c r="T42"/>
  <c r="AJ24"/>
  <c r="AJ25"/>
  <c r="AJ26"/>
  <c r="AJ27"/>
  <c r="AJ28"/>
  <c r="AJ29"/>
  <c r="AJ30"/>
  <c r="AJ31"/>
  <c r="AJ32"/>
  <c r="AJ33"/>
  <c r="AJ34"/>
  <c r="AJ35"/>
  <c r="AJ36"/>
  <c r="AJ37"/>
  <c r="AJ38"/>
  <c r="S43"/>
  <c r="S44"/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24" l="1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/>
  <c r="F18"/>
  <c r="F19"/>
  <c r="F20"/>
  <c r="F21"/>
  <c r="F22"/>
  <c r="F23"/>
  <c r="F24"/>
  <c r="F25"/>
  <c r="F26"/>
  <c r="F27"/>
  <c r="F28"/>
  <c r="F29"/>
  <c r="F30"/>
  <c r="F31"/>
  <c r="F32"/>
  <c r="F33"/>
  <c r="T43" i="1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AJ43"/>
  <c r="B43"/>
  <c r="AJ42"/>
  <c r="E34" i="24"/>
  <c r="AJ41" i="1"/>
  <c r="AJ40"/>
  <c r="AJ39"/>
  <c r="E30" i="24"/>
  <c r="E29"/>
  <c r="E26"/>
  <c r="E25"/>
  <c r="E22"/>
  <c r="E21"/>
  <c r="E18"/>
  <c r="S24" i="1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S45" l="1"/>
  <c r="C32" i="23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T47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K21"/>
  <c r="M21" s="1"/>
  <c r="K22"/>
  <c r="K23"/>
  <c r="K24"/>
  <c r="M24" s="1"/>
  <c r="K25"/>
  <c r="M25" s="1"/>
  <c r="K26"/>
  <c r="M26" s="1"/>
  <c r="K27"/>
  <c r="M27" s="1"/>
  <c r="K16"/>
  <c r="M16" s="1"/>
  <c r="K17"/>
  <c r="M17" s="1"/>
  <c r="K18"/>
  <c r="M18" s="1"/>
  <c r="K19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F19"/>
  <c r="F20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S37" i="14" l="1"/>
  <c r="R21"/>
  <c r="T31" i="18"/>
  <c r="Y31" s="1"/>
  <c r="T27"/>
  <c r="Y27" s="1"/>
  <c r="Y23"/>
  <c r="T23"/>
  <c r="T19"/>
  <c r="Y19" s="1"/>
  <c r="Y15"/>
  <c r="T15"/>
  <c r="T11"/>
  <c r="Y11" s="1"/>
  <c r="Y7"/>
  <c r="T7"/>
  <c r="T12"/>
  <c r="Y12" s="1"/>
  <c r="Y32"/>
  <c r="T32"/>
  <c r="T28"/>
  <c r="Y28" s="1"/>
  <c r="Y20"/>
  <c r="T20"/>
  <c r="T16"/>
  <c r="Y16" s="1"/>
  <c r="Y8"/>
  <c r="T8"/>
  <c r="T33"/>
  <c r="Y33" s="1"/>
  <c r="Y29"/>
  <c r="T29"/>
  <c r="T25"/>
  <c r="Y25" s="1"/>
  <c r="Y21"/>
  <c r="T21"/>
  <c r="T17"/>
  <c r="Y17" s="1"/>
  <c r="Y13"/>
  <c r="T13"/>
  <c r="T9"/>
  <c r="Y9" s="1"/>
  <c r="Y5"/>
  <c r="T5"/>
  <c r="T34"/>
  <c r="Y34" s="1"/>
  <c r="Y30"/>
  <c r="T30"/>
  <c r="T26"/>
  <c r="Y26" s="1"/>
  <c r="Y22"/>
  <c r="T22"/>
  <c r="T18"/>
  <c r="Y18" s="1"/>
  <c r="Y14"/>
  <c r="T14"/>
  <c r="T10"/>
  <c r="Y10" s="1"/>
  <c r="Y6"/>
  <c r="T6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9" i="1" l="1"/>
  <c r="C11" s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AT41"/>
  <c r="E35" i="23"/>
  <c r="J35" i="11"/>
  <c r="H36" i="13"/>
  <c r="C43" i="1" l="1"/>
  <c r="AT43" s="1"/>
  <c r="AT42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S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Albahi vehicle 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<sst xmlns="http://schemas.openxmlformats.org/spreadsheetml/2006/main" count="575" uniqueCount="343">
  <si>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</si>
  <si>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</si>
  <si>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</si>
  <si>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</si>
  <si>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</si>
  <si>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</si>
  <si>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</si>
  <si>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</si>
  <si>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</si>
  <si>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</si>
  <si>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</si>
  <si>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</si>
  <si>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</si>
  <si>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</si>
  <si>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</si>
  <si>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</si>
  <si>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</si>
  <si>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</si>
  <si>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</si>
  <si>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</si>
  <si>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</si>
  <si>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</si>
  <si>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</si>
  <si>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</si>
  <si>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</si>
  <si>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</si>
  <si>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</si>
  <si>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</si>
  <si>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</si>
  <si>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</si>
  <si>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</si>
  <si>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</si>
  <si>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</si>
  <si>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</si>
  <si>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</si>
  <si>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</si>
  <si>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</si>
  <si>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</si>
  <si>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</si>
  <si>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</si>
  <si>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</si>
  <si>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</si>
  <si>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</si>
  <si>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</si>
  <si>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</si>
  <si>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</si>
  <si>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</si>
  <si>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</si>
  <si>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</si>
  <si>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</si>
  <si>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</si>
  <si>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</si>
  <si>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</si>
  <si>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</si>
  <si>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</si>
  <si>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</si>
  <si>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</si>
  <si>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</si>
  <si>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</si>
  <si>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</si>
  <si>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</si>
  <si>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</si>
  <si>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</si>
  <si>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</si>
  <si>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</si>
  <si>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</si>
  <si>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</si>
  <si>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</si>
  <si>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</si>
  <si>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</si>
  <si>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</si>
  <si>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</si>
  <si>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</si>
  <si>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</si>
  <si>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</si>
  <si>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</si>
  <si>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</si>
  <si>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</si>
  <si>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</si>
  <si>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</si>
  <si>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</si>
  <si>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</si>
  <si>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</si>
  <si>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</si>
  <si>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</si>
  <si>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</si>
  <si>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</si>
  <si>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</si>
  <si>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</si>
  <si>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</si>
  <si>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</si>
  <si>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</si>
  <si>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</si>
  <si>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</si>
  <si>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</si>
  <si>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</si>
  <si>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</si>
  <si>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</si>
  <si>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</si>
  <si>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</si>
  <si>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</si>
  <si>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</si>
  <si>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</si>
  <si>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</si>
  <si>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</si>
  <si>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</si>
  <si>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</si>
  <si>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</si>
  <si>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</si>
  <si>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</si>
  <si>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</si>
  <si>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</si>
  <si>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</si>
  <si>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</si>
  <si>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</si>
  <si>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</si>
  <si>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</si>
  <si>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</si>
  <si>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</si>
  <si>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</si>
  <si>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</si>
  <si>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</si>
  <si>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</si>
  <si>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</si>
  <si>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</si>
  <si>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</si>
  <si>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</si>
  <si>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</si>
  <si>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</si>
  <si>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</si>
  <si>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</si>
  <si>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</si>
  <si>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</si>
  <si>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</si>
  <si>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</si>
  <si>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</si>
  <si>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</si>
  <si>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</si>
  <si>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</si>
  <si>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</si>
  <si>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</si>
  <si>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</si>
  <si>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</si>
  <si>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</si>
  <si>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</si>
  <si>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</si>
  <si>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</si>
  <si>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</si>
  <si>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</si>
  <si>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</si>
  <si>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</si>
  <si>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</si>
  <si>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</si>
  <si>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</si>
  <si>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</si>
  <si>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</si>
  <si>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</si>
  <si>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</si>
  <si>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</si>
  <si>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</si>
  <si>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</si>
  <si>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</si>
  <si>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</si>
  <si>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</si>
  <si>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</si>
  <si>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</si>
  <si>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</si>
  <si>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</si>
  <si>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</si>
  <si>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</si>
  <si>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</si>
  <si>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</si>
  <si>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</si>
  <si>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</si>
  <si>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</si>
  <si>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</si>
  <si>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</si>
  <si>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</si>
  <si>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</si>
  <si>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</si>
  <si>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</si>
  <si>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</si>
  <si>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</si>
  <si>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</si>
  <si>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</si>
  <si>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</si>
  <si>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</si>
  <si>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</si>
  <si>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</si>
  <si>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</si>
  <si>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</si>
  <si>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</si>
  <si>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</si>
  <si>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</si>
  <si>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</si>
  <si>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</si>
  <si>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</si>
  <si>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</si>
  <si>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</si>
  <si>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</si>
  <si>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</si>
  <si>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</si>
  <si>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</si>
  <si>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</si>
  <si>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</si>
  <si>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</si>
  <si>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</si>
  <si>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</si>
  <si>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</si>
  <si>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</si>
  <si>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</si>
  <si>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</si>
  <si>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</si>
  <si>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</si>
  <si>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</si>
  <si>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</si>
  <si>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</si>
  <si>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</si>
  <si>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</si>
  <si>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</si>
  <si>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</si>
  <si>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</si>
  <si>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</si>
  <si>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</si>
  <si>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</si>
  <si>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</si>
  <si>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</si>
  <si>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</si>
  <si>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</si>
  <si>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</si>
  <si>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</si>
  <si>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</si>
  <si>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</si>
  <si>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</si>
  <si>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</si>
  <si>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</si>
  <si>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</si>
  <si>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</si>
  <si>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</si>
  <si>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</si>
  <si>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</si>
  <si>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</si>
  <si>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</si>
  <si>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</si>
  <si>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</si>
  <si>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</si>
  <si>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</si>
  <si>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</si>
  <si>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</si>
  <si>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</si>
  <si>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</si>
  <si>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</si>
  <si>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</si>
  <si>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</si>
  <si>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</si>
  <si>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</si>
  <si>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</si>
  <si>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</si>
  <si>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</si>
  <si>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</si>
  <si>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</si>
  <si>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</si>
  <si>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</si>
  <si>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</si>
  <si>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</si>
  <si>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</si>
  <si>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</si>
  <si>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</si>
  <si>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</si>
  <si>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</si>
  <si>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</si>
  <si>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</si>
  <si>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</si>
  <si>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</si>
  <si>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</si>
  <si>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</si>
  <si>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</si>
  <si>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</si>
  <si>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</si>
  <si>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</si>
  <si>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</si>
  <si>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</si>
  <si>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</si>
  <si>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</si>
  <si>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</si>
  <si>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</si>
  <si>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</si>
  <si>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</si>
  <si>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</si>
  <si>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</si>
  <si>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</si>
  <si>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</si>
  <si>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</si>
  <si>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</si>
  <si>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</si>
  <si>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</si>
  <si>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</si>
  <si>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</si>
  <si>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</si>
  <si>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</si>
  <si>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</si>
  <si>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</si>
  <si>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</si>
  <si>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</si>
  <si>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</si>
  <si>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</si>
  <si>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</si>
  <si>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</si>
  <si>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</si>
  <si>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</si>
  <si>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</si>
  <si>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</si>
  <si>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</si>
  <si>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</si>
  <si>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</si>
  <si>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</si>
  <si>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</si>
  <si>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</si>
  <si>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</si>
  <si>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</si>
  <si>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T880DKQ</t>
  </si>
  <si>
    <t>Gurisha</t>
  </si>
  <si>
    <t>T165DKR</t>
  </si>
  <si>
    <t>Chande</t>
  </si>
  <si>
    <t>T899DUQ</t>
  </si>
  <si>
    <t>Abdul</t>
  </si>
  <si>
    <t>Noel</t>
  </si>
  <si>
    <t>paid</t>
  </si>
  <si>
    <t>T248AUV</t>
  </si>
  <si>
    <t>Deo</t>
  </si>
  <si>
    <t>T111CWQ</t>
  </si>
  <si>
    <t>Wolfgang</t>
  </si>
  <si>
    <t>T106CWQ</t>
  </si>
  <si>
    <t>Kessi</t>
  </si>
  <si>
    <t>Hassan</t>
  </si>
  <si>
    <t>T364AHF</t>
  </si>
  <si>
    <t>T132CWQ</t>
  </si>
  <si>
    <t>Othuman</t>
  </si>
  <si>
    <t>T882DKQ</t>
  </si>
  <si>
    <t>Gudlack</t>
  </si>
  <si>
    <t>T391DKR</t>
  </si>
  <si>
    <t>Kaswa</t>
  </si>
  <si>
    <t>`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</si>
</sst>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2" fontId="0" fillId="0" borderId="0" xfId="0" applyNumberFormat="1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3187</c:v>
                </c:pt>
                <c:pt idx="1">
                  <c:v>3546</c:v>
                </c:pt>
                <c:pt idx="2">
                  <c:v>3328</c:v>
                </c:pt>
                <c:pt idx="3">
                  <c:v>3250</c:v>
                </c:pt>
                <c:pt idx="4">
                  <c:v>3070</c:v>
                </c:pt>
                <c:pt idx="5">
                  <c:v>3363</c:v>
                </c:pt>
                <c:pt idx="6">
                  <c:v>3146</c:v>
                </c:pt>
                <c:pt idx="7">
                  <c:v>3314</c:v>
                </c:pt>
                <c:pt idx="8">
                  <c:v>3168</c:v>
                </c:pt>
                <c:pt idx="9">
                  <c:v>3237</c:v>
                </c:pt>
                <c:pt idx="10">
                  <c:v>3269</c:v>
                </c:pt>
                <c:pt idx="11">
                  <c:v>2665</c:v>
                </c:pt>
                <c:pt idx="12">
                  <c:v>2643</c:v>
                </c:pt>
                <c:pt idx="13">
                  <c:v>2618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6269184"/>
        <c:axId val="13627507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6276608"/>
        <c:axId val="136294784"/>
      </c:lineChart>
      <c:catAx>
        <c:axId val="136269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75072"/>
        <c:crosses val="autoZero"/>
        <c:auto val="1"/>
        <c:lblAlgn val="ctr"/>
        <c:lblOffset val="100"/>
      </c:catAx>
      <c:valAx>
        <c:axId val="13627507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69184"/>
        <c:crosses val="autoZero"/>
        <c:crossBetween val="between"/>
        <c:majorUnit val="200"/>
      </c:valAx>
      <c:catAx>
        <c:axId val="136276608"/>
        <c:scaling>
          <c:orientation val="minMax"/>
        </c:scaling>
        <c:delete val="1"/>
        <c:axPos val="b"/>
        <c:tickLblPos val="none"/>
        <c:crossAx val="136294784"/>
        <c:crosses val="autoZero"/>
        <c:auto val="1"/>
        <c:lblAlgn val="ctr"/>
        <c:lblOffset val="100"/>
      </c:catAx>
      <c:valAx>
        <c:axId val="1362947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766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96482816"/>
        <c:axId val="9648435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96486144"/>
        <c:axId val="96487680"/>
      </c:lineChart>
      <c:catAx>
        <c:axId val="9648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84352"/>
        <c:crosses val="autoZero"/>
        <c:auto val="1"/>
        <c:lblAlgn val="ctr"/>
        <c:lblOffset val="100"/>
      </c:catAx>
      <c:valAx>
        <c:axId val="96484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82816"/>
        <c:crosses val="autoZero"/>
        <c:crossBetween val="between"/>
        <c:majorUnit val="200"/>
      </c:valAx>
      <c:catAx>
        <c:axId val="96486144"/>
        <c:scaling>
          <c:orientation val="minMax"/>
        </c:scaling>
        <c:delete val="1"/>
        <c:axPos val="b"/>
        <c:tickLblPos val="none"/>
        <c:crossAx val="96487680"/>
        <c:crosses val="autoZero"/>
        <c:auto val="1"/>
        <c:lblAlgn val="ctr"/>
        <c:lblOffset val="100"/>
      </c:catAx>
      <c:valAx>
        <c:axId val="964876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861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6856704"/>
        <c:axId val="96862592"/>
      </c:lineChart>
      <c:catAx>
        <c:axId val="9685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62592"/>
        <c:crosses val="autoZero"/>
        <c:auto val="1"/>
        <c:lblAlgn val="ctr"/>
        <c:lblOffset val="200"/>
        <c:tickLblSkip val="1"/>
      </c:catAx>
      <c:valAx>
        <c:axId val="968625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5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6899456"/>
        <c:axId val="96900992"/>
      </c:lineChart>
      <c:catAx>
        <c:axId val="9689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00992"/>
        <c:crosses val="autoZero"/>
        <c:auto val="1"/>
        <c:lblAlgn val="ctr"/>
        <c:lblOffset val="100"/>
      </c:catAx>
      <c:valAx>
        <c:axId val="9690099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9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7089408"/>
        <c:axId val="97800192"/>
      </c:lineChart>
      <c:catAx>
        <c:axId val="97089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00192"/>
        <c:crosses val="autoZero"/>
        <c:auto val="1"/>
        <c:lblAlgn val="ctr"/>
        <c:lblOffset val="100"/>
      </c:catAx>
      <c:valAx>
        <c:axId val="978001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894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7988992"/>
        <c:axId val="97990912"/>
      </c:lineChart>
      <c:catAx>
        <c:axId val="97988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90912"/>
        <c:crosses val="autoZero"/>
        <c:auto val="1"/>
        <c:lblAlgn val="ctr"/>
        <c:lblOffset val="100"/>
      </c:catAx>
      <c:valAx>
        <c:axId val="979909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89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74.18400000000257</c:v>
                </c:pt>
                <c:pt idx="10">
                  <c:v>64.328000000043545</c:v>
                </c:pt>
                <c:pt idx="11">
                  <c:v>63.227999999979517</c:v>
                </c:pt>
                <c:pt idx="12">
                  <c:v>59.708000000030736</c:v>
                </c:pt>
                <c:pt idx="13">
                  <c:v>59.091999999969268</c:v>
                </c:pt>
                <c:pt idx="14">
                  <c:v>-334510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7843840"/>
        <c:axId val="98021760"/>
      </c:lineChart>
      <c:catAx>
        <c:axId val="9784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21760"/>
        <c:crosses val="autoZero"/>
        <c:auto val="1"/>
        <c:lblAlgn val="ctr"/>
        <c:lblOffset val="100"/>
      </c:catAx>
      <c:valAx>
        <c:axId val="980217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4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8841728"/>
        <c:axId val="98843264"/>
      </c:lineChart>
      <c:catAx>
        <c:axId val="98841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43264"/>
        <c:crosses val="autoZero"/>
        <c:auto val="1"/>
        <c:lblAlgn val="ctr"/>
        <c:lblOffset val="100"/>
      </c:catAx>
      <c:valAx>
        <c:axId val="98843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4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8887936"/>
        <c:axId val="136183808"/>
      </c:lineChart>
      <c:catAx>
        <c:axId val="98887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83808"/>
        <c:crosses val="autoZero"/>
        <c:auto val="1"/>
        <c:lblAlgn val="ctr"/>
        <c:lblOffset val="100"/>
      </c:catAx>
      <c:valAx>
        <c:axId val="136183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8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612"/>
          <c:y val="7.471324705112150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36220672"/>
        <c:axId val="136222208"/>
      </c:lineChart>
      <c:catAx>
        <c:axId val="13622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22208"/>
        <c:crosses val="autoZero"/>
        <c:auto val="1"/>
        <c:lblAlgn val="ctr"/>
        <c:lblOffset val="200"/>
        <c:tickLblSkip val="1"/>
      </c:catAx>
      <c:valAx>
        <c:axId val="1362222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2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9362688"/>
        <c:axId val="99364224"/>
      </c:lineChart>
      <c:catAx>
        <c:axId val="9936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64224"/>
        <c:crosses val="autoZero"/>
        <c:auto val="1"/>
        <c:lblAlgn val="ctr"/>
        <c:lblOffset val="100"/>
      </c:catAx>
      <c:valAx>
        <c:axId val="99364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6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9376512"/>
        <c:axId val="99165696"/>
      </c:lineChart>
      <c:catAx>
        <c:axId val="99376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65696"/>
        <c:crosses val="autoZero"/>
        <c:auto val="1"/>
        <c:lblAlgn val="ctr"/>
        <c:lblOffset val="100"/>
      </c:catAx>
      <c:valAx>
        <c:axId val="991656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765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9211136"/>
        <c:axId val="99823616"/>
      </c:lineChart>
      <c:catAx>
        <c:axId val="992111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23616"/>
        <c:crosses val="autoZero"/>
        <c:auto val="1"/>
        <c:lblAlgn val="ctr"/>
        <c:lblOffset val="100"/>
      </c:catAx>
      <c:valAx>
        <c:axId val="998236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111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9844480"/>
        <c:axId val="99846016"/>
      </c:lineChart>
      <c:catAx>
        <c:axId val="9984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46016"/>
        <c:crosses val="autoZero"/>
        <c:auto val="1"/>
        <c:lblAlgn val="ctr"/>
        <c:lblOffset val="100"/>
      </c:catAx>
      <c:valAx>
        <c:axId val="99846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4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9875456"/>
        <c:axId val="99766656"/>
      </c:lineChart>
      <c:catAx>
        <c:axId val="9987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66656"/>
        <c:crosses val="autoZero"/>
        <c:auto val="1"/>
        <c:lblAlgn val="ctr"/>
        <c:lblOffset val="100"/>
      </c:catAx>
      <c:valAx>
        <c:axId val="99766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7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9786752"/>
        <c:axId val="99788288"/>
      </c:lineChart>
      <c:catAx>
        <c:axId val="9978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88288"/>
        <c:crosses val="autoZero"/>
        <c:auto val="1"/>
        <c:lblAlgn val="ctr"/>
        <c:lblOffset val="100"/>
      </c:catAx>
      <c:valAx>
        <c:axId val="99788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8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99"/>
          <c:y val="7.471324705112193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00739712"/>
        <c:axId val="10074969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00751232"/>
        <c:axId val="100752768"/>
      </c:lineChart>
      <c:catAx>
        <c:axId val="1007397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49696"/>
        <c:crosses val="autoZero"/>
        <c:lblAlgn val="ctr"/>
        <c:lblOffset val="100"/>
        <c:tickMarkSkip val="1"/>
      </c:catAx>
      <c:valAx>
        <c:axId val="1007496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39712"/>
        <c:crosses val="autoZero"/>
        <c:crossBetween val="between"/>
      </c:valAx>
      <c:catAx>
        <c:axId val="100751232"/>
        <c:scaling>
          <c:orientation val="minMax"/>
        </c:scaling>
        <c:delete val="1"/>
        <c:axPos val="b"/>
        <c:numFmt formatCode="[$-409]d\-mmm\-yy;@" sourceLinked="1"/>
        <c:tickLblPos val="none"/>
        <c:crossAx val="100752768"/>
        <c:crosses val="autoZero"/>
        <c:lblAlgn val="ctr"/>
        <c:lblOffset val="100"/>
      </c:catAx>
      <c:valAx>
        <c:axId val="10075276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512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6673152"/>
        <c:axId val="96683136"/>
      </c:lineChart>
      <c:catAx>
        <c:axId val="9667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83136"/>
        <c:crosses val="autoZero"/>
        <c:auto val="1"/>
        <c:lblAlgn val="ctr"/>
        <c:lblOffset val="100"/>
      </c:catAx>
      <c:valAx>
        <c:axId val="9668313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7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6720000"/>
        <c:axId val="96721536"/>
      </c:lineChart>
      <c:catAx>
        <c:axId val="9672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21536"/>
        <c:crosses val="autoZero"/>
        <c:auto val="1"/>
        <c:lblAlgn val="ctr"/>
        <c:lblOffset val="100"/>
      </c:catAx>
      <c:valAx>
        <c:axId val="9672153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2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00496512"/>
        <c:axId val="1004980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00520320"/>
        <c:axId val="100521856"/>
      </c:lineChart>
      <c:catAx>
        <c:axId val="10049651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98048"/>
        <c:crosses val="autoZero"/>
        <c:lblAlgn val="ctr"/>
        <c:lblOffset val="100"/>
        <c:tickMarkSkip val="1"/>
      </c:catAx>
      <c:valAx>
        <c:axId val="100498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96512"/>
        <c:crosses val="autoZero"/>
        <c:crossBetween val="between"/>
      </c:valAx>
      <c:catAx>
        <c:axId val="100520320"/>
        <c:scaling>
          <c:orientation val="minMax"/>
        </c:scaling>
        <c:delete val="1"/>
        <c:axPos val="b"/>
        <c:numFmt formatCode="General" sourceLinked="1"/>
        <c:tickLblPos val="none"/>
        <c:crossAx val="100521856"/>
        <c:crosses val="autoZero"/>
        <c:lblAlgn val="ctr"/>
        <c:lblOffset val="100"/>
      </c:catAx>
      <c:valAx>
        <c:axId val="1005218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203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03044608"/>
        <c:axId val="103046144"/>
      </c:lineChart>
      <c:catAx>
        <c:axId val="10304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46144"/>
        <c:crosses val="autoZero"/>
        <c:auto val="1"/>
        <c:lblAlgn val="ctr"/>
        <c:lblOffset val="100"/>
      </c:catAx>
      <c:valAx>
        <c:axId val="103046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4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03074816"/>
        <c:axId val="103088896"/>
      </c:lineChart>
      <c:catAx>
        <c:axId val="10307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88896"/>
        <c:crosses val="autoZero"/>
        <c:auto val="1"/>
        <c:lblAlgn val="ctr"/>
        <c:lblOffset val="100"/>
      </c:catAx>
      <c:valAx>
        <c:axId val="103088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7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36567424"/>
        <c:axId val="13657331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36574848"/>
        <c:axId val="136576384"/>
      </c:lineChart>
      <c:catAx>
        <c:axId val="1365674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73312"/>
        <c:crosses val="autoZero"/>
        <c:lblAlgn val="ctr"/>
        <c:lblOffset val="100"/>
        <c:tickMarkSkip val="1"/>
      </c:catAx>
      <c:valAx>
        <c:axId val="1365733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67424"/>
        <c:crosses val="autoZero"/>
        <c:crossBetween val="between"/>
      </c:valAx>
      <c:catAx>
        <c:axId val="136574848"/>
        <c:scaling>
          <c:orientation val="minMax"/>
        </c:scaling>
        <c:delete val="1"/>
        <c:axPos val="b"/>
        <c:numFmt formatCode="[$-409]d\-mmm\-yy;@" sourceLinked="1"/>
        <c:tickLblPos val="none"/>
        <c:crossAx val="136576384"/>
        <c:crosses val="autoZero"/>
        <c:lblAlgn val="ctr"/>
        <c:lblOffset val="100"/>
      </c:catAx>
      <c:valAx>
        <c:axId val="13657638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748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36701056"/>
        <c:axId val="13670259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38224000"/>
        <c:axId val="138225536"/>
      </c:lineChart>
      <c:catAx>
        <c:axId val="1367010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02592"/>
        <c:crosses val="autoZero"/>
        <c:lblAlgn val="ctr"/>
        <c:lblOffset val="100"/>
        <c:tickMarkSkip val="1"/>
      </c:catAx>
      <c:valAx>
        <c:axId val="136702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01056"/>
        <c:crosses val="autoZero"/>
        <c:crossBetween val="between"/>
      </c:valAx>
      <c:catAx>
        <c:axId val="138224000"/>
        <c:scaling>
          <c:orientation val="minMax"/>
        </c:scaling>
        <c:delete val="1"/>
        <c:axPos val="b"/>
        <c:numFmt formatCode="General" sourceLinked="1"/>
        <c:tickLblPos val="none"/>
        <c:crossAx val="138225536"/>
        <c:crosses val="autoZero"/>
        <c:lblAlgn val="ctr"/>
        <c:lblOffset val="100"/>
      </c:catAx>
      <c:valAx>
        <c:axId val="1382255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240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8482048"/>
        <c:axId val="13848358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8485120"/>
        <c:axId val="138495104"/>
      </c:lineChart>
      <c:catAx>
        <c:axId val="13848204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83584"/>
        <c:crosses val="autoZero"/>
        <c:lblAlgn val="ctr"/>
        <c:lblOffset val="100"/>
        <c:tickMarkSkip val="1"/>
      </c:catAx>
      <c:valAx>
        <c:axId val="1384835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82048"/>
        <c:crosses val="autoZero"/>
        <c:crossBetween val="between"/>
      </c:valAx>
      <c:catAx>
        <c:axId val="138485120"/>
        <c:scaling>
          <c:orientation val="minMax"/>
        </c:scaling>
        <c:delete val="1"/>
        <c:axPos val="b"/>
        <c:numFmt formatCode="[$-409]d\-mmm\-yy;@" sourceLinked="1"/>
        <c:tickLblPos val="none"/>
        <c:crossAx val="138495104"/>
        <c:crosses val="autoZero"/>
        <c:lblAlgn val="ctr"/>
        <c:lblOffset val="100"/>
      </c:catAx>
      <c:valAx>
        <c:axId val="13849510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851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4366976"/>
        <c:axId val="16436876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4370304"/>
        <c:axId val="164371840"/>
      </c:lineChart>
      <c:catAx>
        <c:axId val="1643669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68768"/>
        <c:crosses val="autoZero"/>
        <c:lblAlgn val="ctr"/>
        <c:lblOffset val="100"/>
        <c:tickMarkSkip val="1"/>
      </c:catAx>
      <c:valAx>
        <c:axId val="164368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66976"/>
        <c:crosses val="autoZero"/>
        <c:crossBetween val="between"/>
      </c:valAx>
      <c:catAx>
        <c:axId val="164370304"/>
        <c:scaling>
          <c:orientation val="minMax"/>
        </c:scaling>
        <c:delete val="1"/>
        <c:axPos val="b"/>
        <c:numFmt formatCode="General" sourceLinked="1"/>
        <c:tickLblPos val="none"/>
        <c:crossAx val="164371840"/>
        <c:crosses val="autoZero"/>
        <c:lblAlgn val="ctr"/>
        <c:lblOffset val="100"/>
      </c:catAx>
      <c:valAx>
        <c:axId val="1643718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703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5732352"/>
        <c:axId val="165734272"/>
      </c:lineChart>
      <c:catAx>
        <c:axId val="165732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34272"/>
        <c:crosses val="autoZero"/>
        <c:auto val="1"/>
        <c:lblAlgn val="ctr"/>
        <c:lblOffset val="100"/>
      </c:catAx>
      <c:valAx>
        <c:axId val="1657342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323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5624064"/>
        <c:axId val="165650816"/>
      </c:lineChart>
      <c:catAx>
        <c:axId val="1656240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50816"/>
        <c:crosses val="autoZero"/>
        <c:auto val="1"/>
        <c:lblAlgn val="ctr"/>
        <c:lblOffset val="100"/>
      </c:catAx>
      <c:valAx>
        <c:axId val="1656508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240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6408960"/>
        <c:axId val="166410496"/>
      </c:lineChart>
      <c:catAx>
        <c:axId val="16640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10496"/>
        <c:crosses val="autoZero"/>
        <c:auto val="1"/>
        <c:lblAlgn val="ctr"/>
        <c:lblOffset val="200"/>
        <c:tickLblSkip val="1"/>
      </c:catAx>
      <c:valAx>
        <c:axId val="1664104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0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6447360"/>
        <c:axId val="166453248"/>
      </c:lineChart>
      <c:catAx>
        <c:axId val="16644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53248"/>
        <c:crosses val="autoZero"/>
        <c:auto val="1"/>
        <c:lblAlgn val="ctr"/>
        <c:lblOffset val="100"/>
      </c:catAx>
      <c:valAx>
        <c:axId val="1664532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4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01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74.18400000000257</c:v>
                </c:pt>
                <c:pt idx="10">
                  <c:v>64.328000000043545</c:v>
                </c:pt>
                <c:pt idx="11">
                  <c:v>63.227999999979517</c:v>
                </c:pt>
                <c:pt idx="12">
                  <c:v>59.708000000030736</c:v>
                </c:pt>
                <c:pt idx="13">
                  <c:v>59.091999999969268</c:v>
                </c:pt>
                <c:pt idx="14">
                  <c:v>-334510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5953536"/>
        <c:axId val="165955072"/>
      </c:lineChart>
      <c:catAx>
        <c:axId val="165953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55072"/>
        <c:crosses val="autoZero"/>
        <c:auto val="1"/>
        <c:lblAlgn val="ctr"/>
        <c:lblOffset val="100"/>
      </c:catAx>
      <c:valAx>
        <c:axId val="1659550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5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7462400"/>
        <c:axId val="167464320"/>
      </c:lineChart>
      <c:catAx>
        <c:axId val="167462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64320"/>
        <c:crosses val="autoZero"/>
        <c:auto val="1"/>
        <c:lblAlgn val="ctr"/>
        <c:lblOffset val="100"/>
      </c:catAx>
      <c:valAx>
        <c:axId val="1674643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624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7657472"/>
        <c:axId val="167659392"/>
      </c:lineChart>
      <c:catAx>
        <c:axId val="167657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59392"/>
        <c:crosses val="autoZero"/>
        <c:auto val="1"/>
        <c:lblAlgn val="ctr"/>
        <c:lblOffset val="100"/>
      </c:catAx>
      <c:valAx>
        <c:axId val="1676593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574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7676160"/>
        <c:axId val="167682048"/>
      </c:lineChart>
      <c:catAx>
        <c:axId val="167676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82048"/>
        <c:crosses val="autoZero"/>
        <c:auto val="1"/>
        <c:lblAlgn val="ctr"/>
        <c:lblOffset val="200"/>
        <c:tickLblSkip val="1"/>
      </c:catAx>
      <c:valAx>
        <c:axId val="1676820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76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7702528"/>
        <c:axId val="167704064"/>
      </c:lineChart>
      <c:catAx>
        <c:axId val="16770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04064"/>
        <c:crosses val="autoZero"/>
        <c:auto val="1"/>
        <c:lblAlgn val="ctr"/>
        <c:lblOffset val="100"/>
      </c:catAx>
      <c:valAx>
        <c:axId val="1677040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0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01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74.18400000000257</c:v>
                </c:pt>
                <c:pt idx="10">
                  <c:v>64.328000000043545</c:v>
                </c:pt>
                <c:pt idx="11">
                  <c:v>63.227999999979517</c:v>
                </c:pt>
                <c:pt idx="12">
                  <c:v>59.708000000030736</c:v>
                </c:pt>
                <c:pt idx="13">
                  <c:v>59.091999999969268</c:v>
                </c:pt>
                <c:pt idx="14">
                  <c:v>-334510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7040512"/>
        <c:axId val="167042048"/>
      </c:lineChart>
      <c:catAx>
        <c:axId val="16704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42048"/>
        <c:crosses val="autoZero"/>
        <c:auto val="1"/>
        <c:lblAlgn val="ctr"/>
        <c:lblOffset val="100"/>
      </c:catAx>
      <c:valAx>
        <c:axId val="1670420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4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9159680"/>
        <c:axId val="169190528"/>
      </c:lineChart>
      <c:catAx>
        <c:axId val="169159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90528"/>
        <c:crosses val="autoZero"/>
        <c:auto val="1"/>
        <c:lblAlgn val="ctr"/>
        <c:lblOffset val="100"/>
      </c:catAx>
      <c:valAx>
        <c:axId val="1691905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596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9432576"/>
        <c:axId val="169434496"/>
      </c:lineChart>
      <c:catAx>
        <c:axId val="169432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434496"/>
        <c:crosses val="autoZero"/>
        <c:auto val="1"/>
        <c:lblAlgn val="ctr"/>
        <c:lblOffset val="100"/>
      </c:catAx>
      <c:valAx>
        <c:axId val="1694344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4325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9213952"/>
        <c:axId val="169215488"/>
      </c:lineChart>
      <c:catAx>
        <c:axId val="16921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15488"/>
        <c:crosses val="autoZero"/>
        <c:auto val="1"/>
        <c:lblAlgn val="ctr"/>
        <c:lblOffset val="200"/>
        <c:tickLblSkip val="1"/>
      </c:catAx>
      <c:valAx>
        <c:axId val="1692154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1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9244160"/>
        <c:axId val="169245696"/>
      </c:lineChart>
      <c:catAx>
        <c:axId val="169244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45696"/>
        <c:crosses val="autoZero"/>
        <c:auto val="1"/>
        <c:lblAlgn val="ctr"/>
        <c:lblOffset val="100"/>
      </c:catAx>
      <c:valAx>
        <c:axId val="169245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4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20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9266176"/>
        <c:axId val="169947904"/>
      </c:lineChart>
      <c:catAx>
        <c:axId val="16926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47904"/>
        <c:crosses val="autoZero"/>
        <c:auto val="1"/>
        <c:lblAlgn val="ctr"/>
        <c:lblOffset val="100"/>
      </c:catAx>
      <c:valAx>
        <c:axId val="169947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6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9988864"/>
        <c:axId val="169990784"/>
      </c:lineChart>
      <c:catAx>
        <c:axId val="169988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90784"/>
        <c:crosses val="autoZero"/>
        <c:auto val="1"/>
        <c:lblAlgn val="ctr"/>
        <c:lblOffset val="100"/>
      </c:catAx>
      <c:valAx>
        <c:axId val="1699907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88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9774080"/>
        <c:axId val="169800832"/>
      </c:lineChart>
      <c:catAx>
        <c:axId val="169774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800832"/>
        <c:crosses val="autoZero"/>
        <c:auto val="1"/>
        <c:lblAlgn val="ctr"/>
        <c:lblOffset val="100"/>
      </c:catAx>
      <c:valAx>
        <c:axId val="1698008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740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0288640"/>
        <c:axId val="170290176"/>
      </c:lineChart>
      <c:catAx>
        <c:axId val="17028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90176"/>
        <c:crosses val="autoZero"/>
        <c:auto val="1"/>
        <c:lblAlgn val="ctr"/>
        <c:lblOffset val="200"/>
        <c:tickLblSkip val="1"/>
      </c:catAx>
      <c:valAx>
        <c:axId val="1702901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8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0310656"/>
        <c:axId val="170312448"/>
      </c:lineChart>
      <c:catAx>
        <c:axId val="17031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12448"/>
        <c:crosses val="autoZero"/>
        <c:auto val="1"/>
        <c:lblAlgn val="ctr"/>
        <c:lblOffset val="100"/>
      </c:catAx>
      <c:valAx>
        <c:axId val="170312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1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20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0488576"/>
        <c:axId val="170490112"/>
      </c:lineChart>
      <c:catAx>
        <c:axId val="17048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490112"/>
        <c:crosses val="autoZero"/>
        <c:auto val="1"/>
        <c:lblAlgn val="ctr"/>
        <c:lblOffset val="100"/>
      </c:catAx>
      <c:valAx>
        <c:axId val="170490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48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34515.97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45" sqref="B4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4</v>
      </c>
      <c r="D2" s="416">
        <v>2021</v>
      </c>
      <c r="E2" s="417">
        <f>'UTILITY REPORT 1'!F3</f>
        <v>3175</v>
      </c>
      <c r="F2" s="418">
        <f>('UTILITY REPORT 1'!E3*'UTILITY REPORT 1'!D3)/'UTILITY REPORT 1'!F3</f>
        <v>0.41777952755905512</v>
      </c>
      <c r="G2" s="418">
        <f>IF('Utility summery'!M6&lt;0,"0",'Utility summery'!M6)</f>
        <v>1247.1799999999873</v>
      </c>
      <c r="H2" s="423">
        <v>0</v>
      </c>
      <c r="I2" s="418">
        <f>IF('UTILITY REPORT 1'!G3&lt;0,"0",'UTILITY REPORT 1'!G3)</f>
        <v>89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4</v>
      </c>
      <c r="D3" s="416">
        <v>2021</v>
      </c>
      <c r="E3" s="417">
        <f>'UTILITY REPORT 1'!F4</f>
        <v>3187</v>
      </c>
      <c r="F3" s="418">
        <f>('UTILITY REPORT 1'!E4*'UTILITY REPORT 1'!D4)/'UTILITY REPORT 1'!F4</f>
        <v>0.4106777533730781</v>
      </c>
      <c r="G3" s="418">
        <f>IF('Utility summery'!M7&lt;0,"0",'Utility summery'!M7)</f>
        <v>86.547999999992328</v>
      </c>
      <c r="H3" s="423">
        <v>0</v>
      </c>
      <c r="I3" s="418">
        <f>IF('UTILITY REPORT 1'!G4&lt;0,"0",'UTILITY REPORT 1'!G4)</f>
        <v>117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4</v>
      </c>
      <c r="D4" s="416">
        <v>2021</v>
      </c>
      <c r="E4" s="417">
        <f>'UTILITY REPORT 1'!F5</f>
        <v>3546</v>
      </c>
      <c r="F4" s="418">
        <f>('UTILITY REPORT 1'!E5*'UTILITY REPORT 1'!D5)/'UTILITY REPORT 1'!F5</f>
        <v>0.40227580372250421</v>
      </c>
      <c r="G4" s="418">
        <f>IF('Utility summery'!M8&lt;0,"0",'Utility summery'!M8)</f>
        <v>88.968000000005134</v>
      </c>
      <c r="H4" s="423">
        <v>0</v>
      </c>
      <c r="I4" s="418">
        <f>IF('UTILITY REPORT 1'!G5&lt;0,"0",'UTILITY REPORT 1'!G5)</f>
        <v>167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4</v>
      </c>
      <c r="D5" s="416">
        <v>2021</v>
      </c>
      <c r="E5" s="417">
        <f>'UTILITY REPORT 1'!F6</f>
        <v>3328</v>
      </c>
      <c r="F5" s="418">
        <f>('UTILITY REPORT 1'!E6*'UTILITY REPORT 1'!D6)/'UTILITY REPORT 1'!F6</f>
        <v>0.40958834134615379</v>
      </c>
      <c r="G5" s="418">
        <f>IF('Utility summery'!M9&lt;0,"0",'Utility summery'!M9)</f>
        <v>86.372000000020492</v>
      </c>
      <c r="H5" s="423">
        <v>0</v>
      </c>
      <c r="I5" s="418">
        <f>IF('UTILITY REPORT 1'!G6&lt;0,"0",'UTILITY REPORT 1'!G6)</f>
        <v>70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4</v>
      </c>
      <c r="D6" s="416">
        <v>2021</v>
      </c>
      <c r="E6" s="417">
        <f>'UTILITY REPORT 1'!F7</f>
        <v>3250</v>
      </c>
      <c r="F6" s="418">
        <f>('UTILITY REPORT 1'!E7*'UTILITY REPORT 1'!D7)/'UTILITY REPORT 1'!F7</f>
        <v>0.40968615384615387</v>
      </c>
      <c r="G6" s="418">
        <f>IF('Utility summery'!M10&lt;0,"0",'Utility summery'!M10)</f>
        <v>88.527999999979514</v>
      </c>
      <c r="H6" s="423">
        <v>0</v>
      </c>
      <c r="I6" s="418">
        <f>IF('UTILITY REPORT 1'!G7&lt;0,"0",'UTILITY REPORT 1'!G7)</f>
        <v>59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4</v>
      </c>
      <c r="D7" s="416">
        <v>2021</v>
      </c>
      <c r="E7" s="417">
        <f>'UTILITY REPORT 1'!F8</f>
        <v>3070</v>
      </c>
      <c r="F7" s="418">
        <f>('UTILITY REPORT 1'!E8*'UTILITY REPORT 1'!D8)/'UTILITY REPORT 1'!F8</f>
        <v>0.41273615635179151</v>
      </c>
      <c r="G7" s="418">
        <f>IF('Utility summery'!M11&lt;0,"0",'Utility summery'!M11)</f>
        <v>82.895999999984639</v>
      </c>
      <c r="H7" s="423">
        <v>0</v>
      </c>
      <c r="I7" s="418">
        <f>IF('UTILITY REPORT 1'!G8&lt;0,"0",'UTILITY REPORT 1'!G8)</f>
        <v>210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4</v>
      </c>
      <c r="D8" s="416">
        <v>2021</v>
      </c>
      <c r="E8" s="417">
        <f>'UTILITY REPORT 1'!F9</f>
        <v>3363</v>
      </c>
      <c r="F8" s="418">
        <f>('UTILITY REPORT 1'!E9*'UTILITY REPORT 1'!D9)/'UTILITY REPORT 1'!F9</f>
        <v>0.40155218554861732</v>
      </c>
      <c r="G8" s="418">
        <f>IF('Utility summery'!M12&lt;0,"0",'Utility summery'!M12)</f>
        <v>80.212000000046103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4</v>
      </c>
      <c r="D9" s="416">
        <v>2021</v>
      </c>
      <c r="E9" s="417">
        <f>'UTILITY REPORT 1'!F10</f>
        <v>3146</v>
      </c>
      <c r="F9" s="418">
        <f>('UTILITY REPORT 1'!E10*'UTILITY REPORT 1'!D10)/'UTILITY REPORT 1'!F10</f>
        <v>0.40188175460902731</v>
      </c>
      <c r="G9" s="418">
        <f>IF('Utility summery'!M13&lt;0,"0",'Utility summery'!M13)</f>
        <v>83.995999999984633</v>
      </c>
      <c r="H9" s="423">
        <v>0</v>
      </c>
      <c r="I9" s="418">
        <f>IF('UTILITY REPORT 1'!G10&lt;0,"0",'UTILITY REPORT 1'!G10)</f>
        <v>75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4</v>
      </c>
      <c r="D10" s="416">
        <v>2021</v>
      </c>
      <c r="E10" s="417">
        <f>'UTILITY REPORT 1'!F11</f>
        <v>3314</v>
      </c>
      <c r="F10" s="418">
        <f>('UTILITY REPORT 1'!E11*'UTILITY REPORT 1'!D11)/'UTILITY REPORT 1'!F11</f>
        <v>0.39417320458660227</v>
      </c>
      <c r="G10" s="418">
        <f>IF('Utility summery'!M14&lt;0,"0",'Utility summery'!M14)</f>
        <v>115.05999999997439</v>
      </c>
      <c r="H10" s="423">
        <v>0</v>
      </c>
      <c r="I10" s="418">
        <f>IF('UTILITY REPORT 1'!G11&lt;0,"0",'UTILITY REPORT 1'!G11)</f>
        <v>47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4</v>
      </c>
      <c r="D11" s="416">
        <v>2021</v>
      </c>
      <c r="E11" s="417">
        <f>'UTILITY REPORT 1'!F12</f>
        <v>3168</v>
      </c>
      <c r="F11" s="418">
        <f>('UTILITY REPORT 1'!E12*'UTILITY REPORT 1'!D12)/'UTILITY REPORT 1'!F12</f>
        <v>0.39324810606060606</v>
      </c>
      <c r="G11" s="418">
        <f>IF('Utility summery'!M15&lt;0,"0",'Utility summery'!M15)</f>
        <v>74.18400000000257</v>
      </c>
      <c r="H11" s="423">
        <v>0</v>
      </c>
      <c r="I11" s="418">
        <f>IF('UTILITY REPORT 1'!G12&lt;0,"0",'UTILITY REPORT 1'!G12)</f>
        <v>46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4</v>
      </c>
      <c r="D12" s="416">
        <v>2021</v>
      </c>
      <c r="E12" s="417">
        <f>'UTILITY REPORT 1'!F13</f>
        <v>3237</v>
      </c>
      <c r="F12" s="418">
        <f>('UTILITY REPORT 1'!E13*'UTILITY REPORT 1'!D13)/'UTILITY REPORT 1'!F13</f>
        <v>0.39665739882607354</v>
      </c>
      <c r="G12" s="418">
        <f>IF('Utility summery'!M16&lt;0,"0",'Utility summery'!M16)</f>
        <v>64.328000000043545</v>
      </c>
      <c r="H12" s="423">
        <v>0</v>
      </c>
      <c r="I12" s="418">
        <f>IF('UTILITY REPORT 1'!G13&lt;0,"0",'UTILITY REPORT 1'!G13)</f>
        <v>50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4</v>
      </c>
      <c r="D13" s="416">
        <v>2021</v>
      </c>
      <c r="E13" s="417">
        <f>'UTILITY REPORT 1'!F14</f>
        <v>3269</v>
      </c>
      <c r="F13" s="418">
        <f>('UTILITY REPORT 1'!E14*'UTILITY REPORT 1'!D14)/'UTILITY REPORT 1'!F14</f>
        <v>0.35691342918323649</v>
      </c>
      <c r="G13" s="418">
        <f>IF('Utility summery'!M17&lt;0,"0",'Utility summery'!M17)</f>
        <v>63.227999999979517</v>
      </c>
      <c r="H13" s="423">
        <v>0</v>
      </c>
      <c r="I13" s="418">
        <f>IF('UTILITY REPORT 1'!G14&lt;0,"0",'UTILITY REPORT 1'!G14)</f>
        <v>61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4</v>
      </c>
      <c r="D14" s="416">
        <v>2021</v>
      </c>
      <c r="E14" s="417">
        <f>'UTILITY REPORT 1'!F15</f>
        <v>2665</v>
      </c>
      <c r="F14" s="418">
        <f>('UTILITY REPORT 1'!E15*'UTILITY REPORT 1'!D15)/'UTILITY REPORT 1'!F15</f>
        <v>0.406656660412758</v>
      </c>
      <c r="G14" s="418">
        <f>IF('Utility summery'!M18&lt;0,"0",'Utility summery'!M18)</f>
        <v>59.708000000030736</v>
      </c>
      <c r="H14" s="423">
        <v>0</v>
      </c>
      <c r="I14" s="418">
        <f>IF('UTILITY REPORT 1'!G15&lt;0,"0",'UTILITY REPORT 1'!G15)</f>
        <v>181</v>
      </c>
      <c r="J14" s="423">
        <v>0</v>
      </c>
      <c r="K14" s="417">
        <f>'UTILITY REPORT 1'!C15</f>
        <v>14.29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4</v>
      </c>
      <c r="D15" s="416">
        <v>2021</v>
      </c>
      <c r="E15" s="417">
        <f>'UTILITY REPORT 1'!F16</f>
        <v>2643</v>
      </c>
      <c r="F15" s="418">
        <f>('UTILITY REPORT 1'!E16*'UTILITY REPORT 1'!D16)/'UTILITY REPORT 1'!F16</f>
        <v>0.40256905032160423</v>
      </c>
      <c r="G15" s="418">
        <f>IF('Utility summery'!M19&lt;0,"0",'Utility summery'!M19)</f>
        <v>59.091999999969268</v>
      </c>
      <c r="H15" s="423">
        <v>0</v>
      </c>
      <c r="I15" s="418">
        <f>IF('UTILITY REPORT 1'!G16&lt;0,"0",'UTILITY REPORT 1'!G16)</f>
        <v>46</v>
      </c>
      <c r="J15" s="423">
        <v>0</v>
      </c>
      <c r="K15" s="417">
        <f>'UTILITY REPORT 1'!C16</f>
        <v>14.29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4</v>
      </c>
      <c r="D16" s="416">
        <v>2021</v>
      </c>
      <c r="E16" s="417">
        <f>'UTILITY REPORT 1'!F17</f>
        <v>2618</v>
      </c>
      <c r="F16" s="418">
        <f>('UTILITY REPORT 1'!E17*'UTILITY REPORT 1'!D17)/'UTILITY REPORT 1'!F17</f>
        <v>0.4014820473644003</v>
      </c>
      <c r="G16" s="418" t="str">
        <f>IF('Utility summery'!M20&lt;0,"0",'Utility summery'!M20)</f>
        <v>0</v>
      </c>
      <c r="H16" s="423">
        <v>0</v>
      </c>
      <c r="I16" s="418" t="str">
        <f>IF('UTILITY REPORT 1'!G17&lt;0,"0",'UTILITY REPORT 1'!G17)</f>
        <v>0</v>
      </c>
      <c r="J16" s="423">
        <v>0</v>
      </c>
      <c r="K16" s="417">
        <f>'UTILITY REPORT 1'!C17</f>
        <v>9.09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4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7.79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4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6.49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4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4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4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4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4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4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4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4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4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4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4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4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4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4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4</v>
      </c>
      <c r="D2" s="461">
        <v>2021</v>
      </c>
      <c r="E2" s="462">
        <f>'UTILITY REPORT 1'!I3</f>
        <v>145.43</v>
      </c>
      <c r="F2" s="462">
        <f>'UTILITY REPORT 1'!E3</f>
        <v>1326.45</v>
      </c>
      <c r="G2" s="463">
        <f>'UTILITY REPORT 1'!F3</f>
        <v>3175</v>
      </c>
      <c r="H2" s="462">
        <f>IF('Kit report'!F4&lt;0,"0",'Kit report'!F4)</f>
        <v>240</v>
      </c>
      <c r="I2" s="462">
        <f>IF('Kit report'!X4&lt;0,"0",'Kit report'!X4)</f>
        <v>400</v>
      </c>
      <c r="J2" s="462">
        <f>IF('Utility summery'!H6&lt;0,"0",'Utility summery'!H6)</f>
        <v>72</v>
      </c>
      <c r="K2" s="463">
        <f>IF('UTILITY REPORT 1'!H3&lt;0,"0",'UTILITY REPORT 1'!H3)</f>
        <v>0</v>
      </c>
      <c r="L2" s="462">
        <f>'Water-Meter'!K6</f>
        <v>2</v>
      </c>
      <c r="M2" s="463">
        <f>'Water-Meter'!H6</f>
        <v>0</v>
      </c>
      <c r="N2" s="463">
        <f>'Water-Meter'!Q6</f>
        <v>7</v>
      </c>
      <c r="O2" s="462" t="e">
        <f>K2*E2+H2*I2+#REF!*#REF!+J2*L2</f>
        <v>#REF!</v>
      </c>
      <c r="P2" s="462">
        <f>'Water-Meter'!E6</f>
        <v>89</v>
      </c>
      <c r="Q2" s="405">
        <f>IF('Water-Meter'!U6&lt;0,"0",'Water-Meter'!U6)</f>
        <v>81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122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4</v>
      </c>
      <c r="D3" s="461">
        <v>2021</v>
      </c>
      <c r="E3" s="456">
        <f>'UTILITY REPORT 1'!I4</f>
        <v>224.9</v>
      </c>
      <c r="F3" s="456">
        <f>'UTILITY REPORT 1'!E4</f>
        <v>1308.83</v>
      </c>
      <c r="G3" s="457">
        <f>'UTILITY REPORT 1'!F4</f>
        <v>3187</v>
      </c>
      <c r="H3" s="456">
        <f>IF('Kit report'!F5&lt;0,"0",'Kit report'!F5)</f>
        <v>360</v>
      </c>
      <c r="I3" s="456">
        <f>IF('Kit report'!X5&lt;0,"0",'Kit report'!X5)</f>
        <v>600</v>
      </c>
      <c r="J3" s="456">
        <f>IF('Utility summery'!H7&lt;0,"0",'Utility summery'!H7)</f>
        <v>81</v>
      </c>
      <c r="K3" s="457">
        <f>IF('UTILITY REPORT 1'!H4&lt;0,"0",'UTILITY REPORT 1'!H4)</f>
        <v>0</v>
      </c>
      <c r="L3" s="456">
        <f>'Water-Meter'!K7</f>
        <v>2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117</v>
      </c>
      <c r="Q3" s="242">
        <f>IF('Water-Meter'!U7&lt;0,"0",'Water-Meter'!U7)</f>
        <v>80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30</v>
      </c>
      <c r="W3" s="30">
        <f>'Water-Meter'!AN7</f>
        <v>127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4</v>
      </c>
      <c r="D4" s="461">
        <v>2021</v>
      </c>
      <c r="E4" s="456">
        <f>'UTILITY REPORT 1'!I5</f>
        <v>139.29000000000002</v>
      </c>
      <c r="F4" s="456">
        <f>'UTILITY REPORT 1'!E5</f>
        <v>1426.47</v>
      </c>
      <c r="G4" s="457">
        <f>'UTILITY REPORT 1'!F5</f>
        <v>3546</v>
      </c>
      <c r="H4" s="456">
        <f>IF('Kit report'!F6&lt;0,"0",'Kit report'!F6)</f>
        <v>324.00000000008731</v>
      </c>
      <c r="I4" s="456">
        <f>IF('Kit report'!X6&lt;0,"0",'Kit report'!X6)</f>
        <v>400</v>
      </c>
      <c r="J4" s="456">
        <f>IF('Utility summery'!H8&lt;0,"0",'Utility summery'!H8)</f>
        <v>74</v>
      </c>
      <c r="K4" s="457">
        <f>IF('UTILITY REPORT 1'!H5&lt;0,"0",'UTILITY REPORT 1'!H5)</f>
        <v>0</v>
      </c>
      <c r="L4" s="456">
        <f>'Water-Meter'!K8</f>
        <v>2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167</v>
      </c>
      <c r="Q4" s="242">
        <f>IF('Water-Meter'!U8&lt;0,"0",'Water-Meter'!U8)</f>
        <v>88</v>
      </c>
      <c r="R4" s="242">
        <f>IF('Water-Meter'!X8&lt;0,"0",'Water-Meter'!X8)</f>
        <v>0</v>
      </c>
      <c r="S4" s="242">
        <f>IF('Water-Meter'!AA8&lt;0,"0",'Water-Meter'!AA8)</f>
        <v>52</v>
      </c>
      <c r="T4" s="242">
        <f>IF('Water-Meter'!AD8&lt;0,"0",'Water-Meter'!AD8)</f>
        <v>15</v>
      </c>
      <c r="U4" s="242">
        <f>IF('Water-Meter'!AG8&lt;0,"0",'Water-Meter'!AG8)</f>
        <v>0</v>
      </c>
      <c r="V4" s="242">
        <f>IF('Water-Meter'!AJ8&lt;0,"0",'Water-Meter'!AJ8)</f>
        <v>17</v>
      </c>
      <c r="W4" s="30">
        <f>'Water-Meter'!AN8</f>
        <v>172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4</v>
      </c>
      <c r="D5" s="461">
        <v>2021</v>
      </c>
      <c r="E5" s="456">
        <f>'UTILITY REPORT 1'!I6</f>
        <v>0</v>
      </c>
      <c r="F5" s="456">
        <f>'UTILITY REPORT 1'!E6</f>
        <v>1363.11</v>
      </c>
      <c r="G5" s="457">
        <f>'UTILITY REPORT 1'!F6</f>
        <v>3328</v>
      </c>
      <c r="H5" s="456">
        <f>IF('Kit report'!F7&lt;0,"0",'Kit report'!F7)</f>
        <v>300</v>
      </c>
      <c r="I5" s="456">
        <f>IF('Kit report'!X7&lt;0,"0",'Kit report'!X7)</f>
        <v>360.00000000003638</v>
      </c>
      <c r="J5" s="456">
        <f>IF('Utility summery'!H9&lt;0,"0",'Utility summery'!H9)</f>
        <v>77</v>
      </c>
      <c r="K5" s="457">
        <f>IF('UTILITY REPORT 1'!H6&lt;0,"0",'UTILITY REPORT 1'!H6)</f>
        <v>0</v>
      </c>
      <c r="L5" s="456">
        <f>'Water-Meter'!K9</f>
        <v>1</v>
      </c>
      <c r="M5" s="457">
        <f>'Water-Meter'!H9</f>
        <v>0</v>
      </c>
      <c r="N5" s="457">
        <f>'Water-Meter'!Q9</f>
        <v>4</v>
      </c>
      <c r="O5" s="456" t="e">
        <f>K5*E5+H5*I5+#REF!*#REF!+J5*L5</f>
        <v>#REF!</v>
      </c>
      <c r="P5" s="462">
        <f>'Water-Meter'!E9</f>
        <v>70</v>
      </c>
      <c r="Q5" s="242">
        <f>IF('Water-Meter'!U9&lt;0,"0",'Water-Meter'!U9)</f>
        <v>83</v>
      </c>
      <c r="R5" s="242">
        <f>IF('Water-Meter'!X9&lt;0,"0",'Water-Meter'!X9)</f>
        <v>0</v>
      </c>
      <c r="S5" s="242">
        <f>IF('Water-Meter'!AA9&lt;0,"0",'Water-Meter'!AA9)</f>
        <v>48</v>
      </c>
      <c r="T5" s="242">
        <f>IF('Water-Meter'!AD9&lt;0,"0",'Water-Meter'!AD9)</f>
        <v>17</v>
      </c>
      <c r="U5" s="242">
        <f>IF('Water-Meter'!AG9&lt;0,"0",'Water-Meter'!AG9)</f>
        <v>0</v>
      </c>
      <c r="V5" s="242">
        <f>IF('Water-Meter'!AJ9&lt;0,"0",'Water-Meter'!AJ9)</f>
        <v>38</v>
      </c>
      <c r="W5" s="30">
        <f>'Water-Meter'!AN9</f>
        <v>186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4</v>
      </c>
      <c r="D6" s="461">
        <v>2021</v>
      </c>
      <c r="E6" s="456">
        <f>'UTILITY REPORT 1'!I7</f>
        <v>218.51</v>
      </c>
      <c r="F6" s="456">
        <f>'UTILITY REPORT 1'!E7</f>
        <v>1331.48</v>
      </c>
      <c r="G6" s="457">
        <f>'UTILITY REPORT 1'!F7</f>
        <v>3250</v>
      </c>
      <c r="H6" s="456">
        <f>IF('Kit report'!F8&lt;0,"0",'Kit report'!F8)</f>
        <v>300</v>
      </c>
      <c r="I6" s="456">
        <f>IF('Kit report'!X8&lt;0,"0",'Kit report'!X8)</f>
        <v>439.99999999996362</v>
      </c>
      <c r="J6" s="456">
        <f>IF('Utility summery'!H10&lt;0,"0",'Utility summery'!H10)</f>
        <v>72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59</v>
      </c>
      <c r="Q6" s="242">
        <f>IF('Water-Meter'!U10&lt;0,"0",'Water-Meter'!U10)</f>
        <v>80</v>
      </c>
      <c r="R6" s="242">
        <f>IF('Water-Meter'!X10&lt;0,"0",'Water-Meter'!X10)</f>
        <v>0</v>
      </c>
      <c r="S6" s="242">
        <f>IF('Water-Meter'!AA10&lt;0,"0",'Water-Meter'!AA10)</f>
        <v>45</v>
      </c>
      <c r="T6" s="242">
        <f>IF('Water-Meter'!AD10&lt;0,"0",'Water-Meter'!AD10)</f>
        <v>15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166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4</v>
      </c>
      <c r="D7" s="461">
        <v>2021</v>
      </c>
      <c r="E7" s="456">
        <f>'UTILITY REPORT 1'!I8</f>
        <v>42.44</v>
      </c>
      <c r="F7" s="456">
        <f>'UTILITY REPORT 1'!E8</f>
        <v>1267.0999999999999</v>
      </c>
      <c r="G7" s="457">
        <f>'UTILITY REPORT 1'!F8</f>
        <v>3070</v>
      </c>
      <c r="H7" s="456">
        <f>IF('Kit report'!F9&lt;0,"0",'Kit report'!F9)</f>
        <v>311.99999999982538</v>
      </c>
      <c r="I7" s="456">
        <f>IF('Kit report'!X9&lt;0,"0",'Kit report'!X9)</f>
        <v>500</v>
      </c>
      <c r="J7" s="456">
        <f>IF('Utility summery'!H11&lt;0,"0",'Utility summery'!H11)</f>
        <v>82</v>
      </c>
      <c r="K7" s="457">
        <f>IF('UTILITY REPORT 1'!H8&lt;0,"0",'UTILITY REPORT 1'!H8)</f>
        <v>0</v>
      </c>
      <c r="L7" s="456">
        <f>'Water-Meter'!K11</f>
        <v>1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210</v>
      </c>
      <c r="Q7" s="242">
        <f>IF('Water-Meter'!U11&lt;0,"0",'Water-Meter'!U11)</f>
        <v>82</v>
      </c>
      <c r="R7" s="242">
        <f>IF('Water-Meter'!X11&lt;0,"0",'Water-Meter'!X11)</f>
        <v>0</v>
      </c>
      <c r="S7" s="242">
        <f>IF('Water-Meter'!AA11&lt;0,"0",'Water-Meter'!AA11)</f>
        <v>50</v>
      </c>
      <c r="T7" s="242">
        <f>IF('Water-Meter'!AD11&lt;0,"0",'Water-Meter'!AD11)</f>
        <v>18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178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4</v>
      </c>
      <c r="D8" s="461">
        <v>2021</v>
      </c>
      <c r="E8" s="456">
        <f>'UTILITY REPORT 1'!I9</f>
        <v>119.14</v>
      </c>
      <c r="F8" s="456">
        <f>'UTILITY REPORT 1'!E9</f>
        <v>1350.42</v>
      </c>
      <c r="G8" s="457">
        <f>'UTILITY REPORT 1'!F9</f>
        <v>3363</v>
      </c>
      <c r="H8" s="456">
        <f>IF('Kit report'!F10&lt;0,"0",'Kit report'!F10)</f>
        <v>288.00000000017462</v>
      </c>
      <c r="I8" s="456">
        <f>IF('Kit report'!X10&lt;0,"0",'Kit report'!X10)</f>
        <v>379.99999999992724</v>
      </c>
      <c r="J8" s="456">
        <f>IF('Utility summery'!H12&lt;0,"0",'Utility summery'!H12)</f>
        <v>76</v>
      </c>
      <c r="K8" s="457">
        <f>IF('UTILITY REPORT 1'!H9&lt;0,"0",'UTILITY REPORT 1'!H9)</f>
        <v>101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81</v>
      </c>
      <c r="R8" s="242">
        <f>IF('Water-Meter'!X12&lt;0,"0",'Water-Meter'!X12)</f>
        <v>0</v>
      </c>
      <c r="S8" s="242">
        <f>IF('Water-Meter'!AA12&lt;0,"0",'Water-Meter'!AA12)</f>
        <v>47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28</v>
      </c>
      <c r="W8" s="30">
        <f>'Water-Meter'!AN12</f>
        <v>172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4</v>
      </c>
      <c r="D9" s="461">
        <v>2021</v>
      </c>
      <c r="E9" s="456">
        <f>'UTILITY REPORT 1'!I10</f>
        <v>156.32</v>
      </c>
      <c r="F9" s="456">
        <f>'UTILITY REPORT 1'!E10</f>
        <v>1264.32</v>
      </c>
      <c r="G9" s="457">
        <f>'UTILITY REPORT 1'!F10</f>
        <v>3146</v>
      </c>
      <c r="H9" s="456">
        <f>IF('Kit report'!F11&lt;0,"0",'Kit report'!F11)</f>
        <v>275.99999999991269</v>
      </c>
      <c r="I9" s="456">
        <f>IF('Kit report'!X11&lt;0,"0",'Kit report'!X11)</f>
        <v>360.00000000003638</v>
      </c>
      <c r="J9" s="456">
        <f>IF('Utility summery'!H13&lt;0,"0",'Utility summery'!H13)</f>
        <v>82</v>
      </c>
      <c r="K9" s="457">
        <f>IF('UTILITY REPORT 1'!H10&lt;0,"0",'UTILITY REPORT 1'!H10)</f>
        <v>12</v>
      </c>
      <c r="L9" s="456">
        <f>'Water-Meter'!K13</f>
        <v>2</v>
      </c>
      <c r="M9" s="457">
        <f>'Water-Meter'!H13</f>
        <v>0</v>
      </c>
      <c r="N9" s="457">
        <f>'Water-Meter'!Q13</f>
        <v>6</v>
      </c>
      <c r="O9" s="456" t="e">
        <f>K9*E9+H9*I9+#REF!*#REF!+J9*L9</f>
        <v>#REF!</v>
      </c>
      <c r="P9" s="462">
        <f>'Water-Meter'!E13</f>
        <v>75</v>
      </c>
      <c r="Q9" s="242">
        <f>IF('Water-Meter'!U13&lt;0,"0",'Water-Meter'!U13)</f>
        <v>82</v>
      </c>
      <c r="R9" s="242">
        <f>IF('Water-Meter'!X13&lt;0,"0",'Water-Meter'!X13)</f>
        <v>0</v>
      </c>
      <c r="S9" s="242">
        <f>IF('Water-Meter'!AA13&lt;0,"0",'Water-Meter'!AA13)</f>
        <v>48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27</v>
      </c>
      <c r="W9" s="30">
        <f>'Water-Meter'!AN13</f>
        <v>173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4</v>
      </c>
      <c r="D10" s="461">
        <v>2021</v>
      </c>
      <c r="E10" s="456">
        <f>'UTILITY REPORT 1'!I11</f>
        <v>302.11</v>
      </c>
      <c r="F10" s="456">
        <f>'UTILITY REPORT 1'!E11</f>
        <v>1306.29</v>
      </c>
      <c r="G10" s="457">
        <f>'UTILITY REPORT 1'!F11</f>
        <v>3314</v>
      </c>
      <c r="H10" s="456">
        <f>IF('Kit report'!F12&lt;0,"0",'Kit report'!F12)</f>
        <v>240</v>
      </c>
      <c r="I10" s="456">
        <f>IF('Kit report'!X12&lt;0,"0",'Kit report'!X12)</f>
        <v>420.00000000007276</v>
      </c>
      <c r="J10" s="456">
        <f>IF('Utility summery'!H14&lt;0,"0",'Utility summery'!H14)</f>
        <v>78</v>
      </c>
      <c r="K10" s="457">
        <f>IF('UTILITY REPORT 1'!H11&lt;0,"0",'UTILITY REPORT 1'!H11)</f>
        <v>0</v>
      </c>
      <c r="L10" s="456">
        <f>'Water-Meter'!K14</f>
        <v>1</v>
      </c>
      <c r="M10" s="457">
        <f>'Water-Meter'!H14</f>
        <v>0</v>
      </c>
      <c r="N10" s="457">
        <f>'Water-Meter'!Q14</f>
        <v>4</v>
      </c>
      <c r="O10" s="456" t="e">
        <f>K10*E10+H10*I10+#REF!*#REF!+J10*L10</f>
        <v>#REF!</v>
      </c>
      <c r="P10" s="462">
        <f>'Water-Meter'!E14</f>
        <v>47</v>
      </c>
      <c r="Q10" s="242">
        <f>IF('Water-Meter'!U14&lt;0,"0",'Water-Meter'!U14)</f>
        <v>81</v>
      </c>
      <c r="R10" s="242">
        <f>IF('Water-Meter'!X14&lt;0,"0",'Water-Meter'!X14)</f>
        <v>0</v>
      </c>
      <c r="S10" s="242">
        <f>IF('Water-Meter'!AA14&lt;0,"0",'Water-Meter'!AA14)</f>
        <v>1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28</v>
      </c>
      <c r="W10" s="30">
        <f>'Water-Meter'!AN14</f>
        <v>126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4</v>
      </c>
      <c r="D11" s="461">
        <v>2021</v>
      </c>
      <c r="E11" s="456">
        <f>'UTILITY REPORT 1'!I12</f>
        <v>112</v>
      </c>
      <c r="F11" s="456">
        <f>'UTILITY REPORT 1'!E12</f>
        <v>1245.81</v>
      </c>
      <c r="G11" s="457">
        <f>'UTILITY REPORT 1'!F12</f>
        <v>3168</v>
      </c>
      <c r="H11" s="456">
        <f>IF('Kit report'!F13&lt;0,"0",'Kit report'!F13)</f>
        <v>215.99999999991269</v>
      </c>
      <c r="I11" s="456">
        <f>IF('Kit report'!X13&lt;0,"0",'Kit report'!X13)</f>
        <v>260.00000000003638</v>
      </c>
      <c r="J11" s="456">
        <f>IF('Utility summery'!H15&lt;0,"0",'Utility summery'!H15)</f>
        <v>77</v>
      </c>
      <c r="K11" s="457">
        <f>IF('UTILITY REPORT 1'!H12&lt;0,"0",'UTILITY REPORT 1'!H12)</f>
        <v>0</v>
      </c>
      <c r="L11" s="456">
        <f>'Water-Meter'!K15</f>
        <v>2</v>
      </c>
      <c r="M11" s="457">
        <f>'Water-Meter'!H15</f>
        <v>0</v>
      </c>
      <c r="N11" s="457">
        <f>'Water-Meter'!Q15</f>
        <v>3</v>
      </c>
      <c r="O11" s="456" t="e">
        <f>K11*E11+H11*I11+#REF!*#REF!+J11*L11</f>
        <v>#REF!</v>
      </c>
      <c r="P11" s="462">
        <f>'Water-Meter'!E15</f>
        <v>46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27</v>
      </c>
      <c r="W11" s="30">
        <f>'Water-Meter'!AN15</f>
        <v>44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4</v>
      </c>
      <c r="D12" s="461">
        <v>2021</v>
      </c>
      <c r="E12" s="456">
        <f>'UTILITY REPORT 1'!I13</f>
        <v>25</v>
      </c>
      <c r="F12" s="456">
        <f>'UTILITY REPORT 1'!E13</f>
        <v>1283.98</v>
      </c>
      <c r="G12" s="457">
        <f>'UTILITY REPORT 1'!F13</f>
        <v>3237</v>
      </c>
      <c r="H12" s="456">
        <f>IF('Kit report'!F14&lt;0,"0",'Kit report'!F14)</f>
        <v>216.00000000013097</v>
      </c>
      <c r="I12" s="456">
        <f>IF('Kit report'!X14&lt;0,"0",'Kit report'!X14)</f>
        <v>279.99999999992724</v>
      </c>
      <c r="J12" s="456">
        <f>IF('Utility summery'!H16&lt;0,"0",'Utility summery'!H16)</f>
        <v>50</v>
      </c>
      <c r="K12" s="457">
        <f>IF('UTILITY REPORT 1'!H13&lt;0,"0",'UTILITY REPORT 1'!H13)</f>
        <v>0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50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17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43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4</v>
      </c>
      <c r="D13" s="461">
        <v>2021</v>
      </c>
      <c r="E13" s="456">
        <f>'UTILITY REPORT 1'!I14</f>
        <v>250.64</v>
      </c>
      <c r="F13" s="456">
        <f>'UTILITY REPORT 1'!E14</f>
        <v>1166.75</v>
      </c>
      <c r="G13" s="457">
        <f>'UTILITY REPORT 1'!F14</f>
        <v>3269</v>
      </c>
      <c r="H13" s="456">
        <f>IF('Kit report'!F15&lt;0,"0",'Kit report'!F15)</f>
        <v>240</v>
      </c>
      <c r="I13" s="456">
        <f>IF('Kit report'!X15&lt;0,"0",'Kit report'!X15)</f>
        <v>239.99999999996362</v>
      </c>
      <c r="J13" s="456">
        <f>IF('Utility summery'!H17&lt;0,"0",'Utility summery'!H17)</f>
        <v>46</v>
      </c>
      <c r="K13" s="457">
        <f>IF('UTILITY REPORT 1'!H14&lt;0,"0",'UTILITY REPORT 1'!H14)</f>
        <v>0</v>
      </c>
      <c r="L13" s="456">
        <f>'Water-Meter'!K17</f>
        <v>1</v>
      </c>
      <c r="M13" s="457">
        <f>'Water-Meter'!H17</f>
        <v>0</v>
      </c>
      <c r="N13" s="457">
        <f>'Water-Meter'!Q17</f>
        <v>6</v>
      </c>
      <c r="O13" s="456" t="e">
        <f>K13*E13+H13*I13+#REF!*#REF!+J13*L13</f>
        <v>#REF!</v>
      </c>
      <c r="P13" s="462">
        <f>'Water-Meter'!E17</f>
        <v>61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33</v>
      </c>
      <c r="W13" s="30">
        <f>'Water-Meter'!AN17</f>
        <v>49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4</v>
      </c>
      <c r="D14" s="461">
        <v>2021</v>
      </c>
      <c r="E14" s="456">
        <f>'UTILITY REPORT 1'!I15</f>
        <v>22.54</v>
      </c>
      <c r="F14" s="456">
        <f>'UTILITY REPORT 1'!E15</f>
        <v>1083.74</v>
      </c>
      <c r="G14" s="457">
        <f>'UTILITY REPORT 1'!F15</f>
        <v>2665</v>
      </c>
      <c r="H14" s="456">
        <f>IF('Kit report'!F16&lt;0,"0",'Kit report'!F16)</f>
        <v>215.99999999991269</v>
      </c>
      <c r="I14" s="456">
        <f>IF('Kit report'!X16&lt;0,"0",'Kit report'!X16)</f>
        <v>300</v>
      </c>
      <c r="J14" s="456">
        <f>IF('Utility summery'!H18&lt;0,"0",'Utility summery'!H18)</f>
        <v>42</v>
      </c>
      <c r="K14" s="457" t="str">
        <f>IF('UTILITY REPORT 1'!H15&lt;0,"0",'UTILITY REPORT 1'!H15)</f>
        <v>0</v>
      </c>
      <c r="L14" s="456">
        <f>'Water-Meter'!K18</f>
        <v>1</v>
      </c>
      <c r="M14" s="457">
        <f>'Water-Meter'!H18</f>
        <v>0</v>
      </c>
      <c r="N14" s="457">
        <f>'Water-Meter'!Q18</f>
        <v>2</v>
      </c>
      <c r="O14" s="456" t="e">
        <f>K14*E14+H14*I14+#REF!*#REF!+J14*L14</f>
        <v>#REF!</v>
      </c>
      <c r="P14" s="462">
        <f>'Water-Meter'!E18</f>
        <v>181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16</v>
      </c>
      <c r="U14" s="242">
        <f>IF('Water-Meter'!AG18&lt;0,"0",'Water-Meter'!AG18)</f>
        <v>0</v>
      </c>
      <c r="V14" s="242">
        <f>IF('Water-Meter'!AJ18&lt;0,"0",'Water-Meter'!AJ18)</f>
        <v>29</v>
      </c>
      <c r="W14" s="30">
        <f>'Water-Meter'!AN18</f>
        <v>45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4</v>
      </c>
      <c r="D15" s="461">
        <v>2021</v>
      </c>
      <c r="E15" s="456">
        <f>'UTILITY REPORT 1'!I16</f>
        <v>160.49</v>
      </c>
      <c r="F15" s="456">
        <f>'UTILITY REPORT 1'!E16</f>
        <v>1063.99</v>
      </c>
      <c r="G15" s="457">
        <f>'UTILITY REPORT 1'!F16</f>
        <v>2643</v>
      </c>
      <c r="H15" s="456">
        <f>IF('Kit report'!F17&lt;0,"0",'Kit report'!F17)</f>
        <v>227.99999999995634</v>
      </c>
      <c r="I15" s="456">
        <f>IF('Kit report'!X17&lt;0,"0",'Kit report'!X17)</f>
        <v>180.00000000010914</v>
      </c>
      <c r="J15" s="456">
        <f>IF('Utility summery'!H19&lt;0,"0",'Utility summery'!H19)</f>
        <v>44</v>
      </c>
      <c r="K15" s="457">
        <f>IF('UTILITY REPORT 1'!H16&lt;0,"0",'UTILITY REPORT 1'!H16)</f>
        <v>177</v>
      </c>
      <c r="L15" s="456">
        <f>'Water-Meter'!K19</f>
        <v>1</v>
      </c>
      <c r="M15" s="457">
        <f>'Water-Meter'!H19</f>
        <v>0</v>
      </c>
      <c r="N15" s="457">
        <f>'Water-Meter'!Q19</f>
        <v>2</v>
      </c>
      <c r="O15" s="456" t="e">
        <f>K15*E15+H15*I15+#REF!*#REF!+J15*L15</f>
        <v>#REF!</v>
      </c>
      <c r="P15" s="462">
        <f>'Water-Meter'!E19</f>
        <v>46</v>
      </c>
      <c r="Q15" s="242">
        <f>IF('Water-Meter'!U19&lt;0,"0",'Water-Meter'!U19)</f>
        <v>89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19</v>
      </c>
      <c r="W15" s="30">
        <f>'Water-Meter'!AN19</f>
        <v>125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4</v>
      </c>
      <c r="D16" s="461">
        <v>2021</v>
      </c>
      <c r="E16" s="456">
        <f>'UTILITY REPORT 1'!I17</f>
        <v>101.91</v>
      </c>
      <c r="F16" s="456">
        <f>'UTILITY REPORT 1'!E17</f>
        <v>1051.08</v>
      </c>
      <c r="G16" s="457">
        <f>'UTILITY REPORT 1'!F17</f>
        <v>2618</v>
      </c>
      <c r="H16" s="456">
        <f>IF('Kit report'!F18&lt;0,"0",'Kit report'!F18)</f>
        <v>216.00000000013097</v>
      </c>
      <c r="I16" s="456">
        <f>IF('Kit report'!X18&lt;0,"0",'Kit report'!X18)</f>
        <v>300</v>
      </c>
      <c r="J16" s="456" t="str">
        <f>IF('Utility summery'!H20&lt;0,"0",'Utility summery'!H20)</f>
        <v>0</v>
      </c>
      <c r="K16" s="457" t="str">
        <f>IF('UTILITY REPORT 1'!H17&lt;0,"0",'UTILITY REPORT 1'!H17)</f>
        <v>0</v>
      </c>
      <c r="L16" s="456" t="str">
        <f>'Water-Meter'!K20</f>
        <v>0</v>
      </c>
      <c r="M16" s="457" t="str">
        <f>'Water-Meter'!H20</f>
        <v>0</v>
      </c>
      <c r="N16" s="457" t="str">
        <f>'Water-Meter'!Q20</f>
        <v>0</v>
      </c>
      <c r="O16" s="456" t="e">
        <f>K16*E16+H16*I16+#REF!*#REF!+J16*L16</f>
        <v>#REF!</v>
      </c>
      <c r="P16" s="462" t="str">
        <f>'Water-Meter'!E20</f>
        <v>0</v>
      </c>
      <c r="Q16" s="242" t="str">
        <f>IF('Water-Meter'!U20&lt;0,"0",'Water-Meter'!U20)</f>
        <v>0</v>
      </c>
      <c r="R16" s="242" t="str">
        <f>IF('Water-Meter'!X20&lt;0,"0",'Water-Meter'!X20)</f>
        <v>0</v>
      </c>
      <c r="S16" s="242" t="str">
        <f>IF('Water-Meter'!AA20&lt;0,"0",'Water-Meter'!AA20)</f>
        <v>0</v>
      </c>
      <c r="T16" s="242" t="str">
        <f>IF('Water-Meter'!AD20&lt;0,"0",'Water-Meter'!AD20)</f>
        <v>0</v>
      </c>
      <c r="U16" s="242" t="str">
        <f>IF('Water-Meter'!AG20&lt;0,"0",'Water-Meter'!AG20)</f>
        <v>0</v>
      </c>
      <c r="V16" s="242" t="str">
        <f>IF('Water-Meter'!AJ20&lt;0,"0",'Water-Meter'!AJ20)</f>
        <v>0</v>
      </c>
      <c r="W16" s="30">
        <f>'Water-Meter'!AN20</f>
        <v>0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4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 t="str">
        <f>IF('Kit report'!F19&lt;0,"0",'Kit report'!F19)</f>
        <v>0</v>
      </c>
      <c r="I17" s="456" t="str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4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4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 t="e">
        <f>IF('Kit report'!X21&lt;0,"0",'Kit report'!X21)</f>
        <v>#VALUE!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#VALUE!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4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 t="e">
        <f>IF('Kit report'!X22&lt;0,"0",'Kit report'!X22)</f>
        <v>#VALUE!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#VALUE!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4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4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4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4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4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4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4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4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4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4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4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4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3" t="s">
        <v>314</v>
      </c>
      <c r="B1" s="863"/>
      <c r="C1" s="863"/>
      <c r="D1" s="863"/>
      <c r="E1" s="863"/>
      <c r="F1" s="863"/>
      <c r="G1" s="863"/>
      <c r="H1" s="86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44287</v>
      </c>
      <c r="B3" s="404">
        <f>Gen!B11</f>
        <v>0.156</v>
      </c>
      <c r="C3" s="405">
        <f>'Summery Report'!E5</f>
        <v>1.3</v>
      </c>
      <c r="D3" s="406">
        <v>1</v>
      </c>
      <c r="E3" s="405">
        <f>Gen!S11</f>
        <v>1326.45</v>
      </c>
      <c r="F3" s="405">
        <f>Gen!T11</f>
        <v>3175</v>
      </c>
      <c r="G3" s="405">
        <f>'Water-Meter'!E6</f>
        <v>89</v>
      </c>
      <c r="H3" s="405">
        <f>'Utility report '!AC6</f>
        <v>0</v>
      </c>
      <c r="I3" s="405">
        <f>Gen!AJ11</f>
        <v>145.43</v>
      </c>
    </row>
    <row r="4" spans="1:9" ht="13.5">
      <c r="A4" s="402">
        <f>Gen!A12</f>
        <v>44288</v>
      </c>
      <c r="B4" s="404">
        <f>Gen!B12</f>
        <v>0.16900000000000001</v>
      </c>
      <c r="C4" s="405">
        <f>'Summery Report'!E6</f>
        <v>2.6</v>
      </c>
      <c r="D4" s="406">
        <v>1</v>
      </c>
      <c r="E4" s="405">
        <f>Gen!S12</f>
        <v>1308.83</v>
      </c>
      <c r="F4" s="405">
        <f>Gen!T12</f>
        <v>3187</v>
      </c>
      <c r="G4" s="405">
        <f>'Water-Meter'!E7</f>
        <v>117</v>
      </c>
      <c r="H4" s="405">
        <f>'Utility report '!AC7</f>
        <v>0</v>
      </c>
      <c r="I4" s="405">
        <f>Gen!AJ12</f>
        <v>224.9</v>
      </c>
    </row>
    <row r="5" spans="1:9" ht="13.5">
      <c r="A5" s="402">
        <f>Gen!A13</f>
        <v>44289</v>
      </c>
      <c r="B5" s="404">
        <f>Gen!B13</f>
        <v>0.23</v>
      </c>
      <c r="C5" s="405">
        <f>'Summery Report'!E7</f>
        <v>2.6</v>
      </c>
      <c r="D5" s="406">
        <v>1</v>
      </c>
      <c r="E5" s="405">
        <f>Gen!S13</f>
        <v>1426.47</v>
      </c>
      <c r="F5" s="405">
        <f>Gen!T13</f>
        <v>3546</v>
      </c>
      <c r="G5" s="405">
        <f>'Water-Meter'!E8</f>
        <v>167</v>
      </c>
      <c r="H5" s="405">
        <f>'Utility report '!AC8</f>
        <v>0</v>
      </c>
      <c r="I5" s="405">
        <f>Gen!AJ13</f>
        <v>139.29000000000002</v>
      </c>
    </row>
    <row r="6" spans="1:9" ht="13.5">
      <c r="A6" s="402">
        <f>Gen!A14</f>
        <v>44290</v>
      </c>
      <c r="B6" s="404">
        <f>Gen!B14</f>
        <v>0.247</v>
      </c>
      <c r="C6" s="405">
        <f>'Summery Report'!E8</f>
        <v>5.19</v>
      </c>
      <c r="D6" s="406">
        <v>1</v>
      </c>
      <c r="E6" s="405">
        <f>Gen!S14</f>
        <v>1363.11</v>
      </c>
      <c r="F6" s="405">
        <f>Gen!T14</f>
        <v>3328</v>
      </c>
      <c r="G6" s="405">
        <f>'Water-Meter'!E9</f>
        <v>70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44291</v>
      </c>
      <c r="B7" s="404">
        <f>Gen!B15</f>
        <v>0.13</v>
      </c>
      <c r="C7" s="405">
        <f>'Summery Report'!E9</f>
        <v>7.79</v>
      </c>
      <c r="D7" s="406">
        <v>1</v>
      </c>
      <c r="E7" s="405">
        <f>Gen!S15</f>
        <v>1331.48</v>
      </c>
      <c r="F7" s="405">
        <f>Gen!T15</f>
        <v>3250</v>
      </c>
      <c r="G7" s="405">
        <f>'Water-Meter'!E10</f>
        <v>59</v>
      </c>
      <c r="H7" s="405">
        <f>'Utility report '!AC10</f>
        <v>0</v>
      </c>
      <c r="I7" s="405">
        <f>Gen!AJ15</f>
        <v>218.51</v>
      </c>
    </row>
    <row r="8" spans="1:9" ht="13.5">
      <c r="A8" s="402">
        <f>Gen!A16</f>
        <v>44292</v>
      </c>
      <c r="B8" s="404">
        <f>Gen!B16</f>
        <v>9.0999999999999998E-2</v>
      </c>
      <c r="C8" s="405">
        <f>'Summery Report'!E10</f>
        <v>5.19</v>
      </c>
      <c r="D8" s="406">
        <v>1</v>
      </c>
      <c r="E8" s="405">
        <f>Gen!S16</f>
        <v>1267.0999999999999</v>
      </c>
      <c r="F8" s="405">
        <f>Gen!T16</f>
        <v>3070</v>
      </c>
      <c r="G8" s="405">
        <f>'Water-Meter'!E11</f>
        <v>210</v>
      </c>
      <c r="H8" s="405">
        <f>'Utility report '!AC11</f>
        <v>0</v>
      </c>
      <c r="I8" s="405">
        <f>Gen!AJ16</f>
        <v>42.44</v>
      </c>
    </row>
    <row r="9" spans="1:9" ht="13.5">
      <c r="A9" s="402">
        <f>Gen!A17</f>
        <v>44293</v>
      </c>
      <c r="B9" s="404">
        <f>Gen!B17</f>
        <v>6.5000000000000002E-2</v>
      </c>
      <c r="C9" s="405">
        <f>'Summery Report'!E11</f>
        <v>11.69</v>
      </c>
      <c r="D9" s="406">
        <v>1</v>
      </c>
      <c r="E9" s="405">
        <f>Gen!S17</f>
        <v>1350.42</v>
      </c>
      <c r="F9" s="405">
        <f>Gen!T17</f>
        <v>3363</v>
      </c>
      <c r="G9" s="405">
        <f>'Water-Meter'!E12</f>
        <v>60</v>
      </c>
      <c r="H9" s="405">
        <f>'Utility report '!AC12</f>
        <v>101</v>
      </c>
      <c r="I9" s="405">
        <f>Gen!AJ17</f>
        <v>119.14</v>
      </c>
    </row>
    <row r="10" spans="1:9" ht="13.5">
      <c r="A10" s="402">
        <f>Gen!A18</f>
        <v>44294</v>
      </c>
      <c r="B10" s="404">
        <f>Gen!B18</f>
        <v>9.0999999999999998E-2</v>
      </c>
      <c r="C10" s="405">
        <f>'Summery Report'!E12</f>
        <v>12.99</v>
      </c>
      <c r="D10" s="406">
        <v>1</v>
      </c>
      <c r="E10" s="405">
        <f>Gen!S18</f>
        <v>1264.32</v>
      </c>
      <c r="F10" s="405">
        <f>Gen!T18</f>
        <v>3146</v>
      </c>
      <c r="G10" s="405">
        <f>'Water-Meter'!E13</f>
        <v>75</v>
      </c>
      <c r="H10" s="405">
        <f>'Utility report '!AC13</f>
        <v>12</v>
      </c>
      <c r="I10" s="405">
        <f>Gen!AJ18</f>
        <v>156.32</v>
      </c>
    </row>
    <row r="11" spans="1:9" ht="13.5">
      <c r="A11" s="402">
        <f>Gen!A19</f>
        <v>44295</v>
      </c>
      <c r="B11" s="404">
        <f>Gen!B19</f>
        <v>6.5000000000000002E-2</v>
      </c>
      <c r="C11" s="405">
        <f>'Summery Report'!E13</f>
        <v>15.58</v>
      </c>
      <c r="D11" s="406">
        <v>1</v>
      </c>
      <c r="E11" s="405">
        <f>Gen!S19</f>
        <v>1306.29</v>
      </c>
      <c r="F11" s="405">
        <f>Gen!T19</f>
        <v>3314</v>
      </c>
      <c r="G11" s="405">
        <f>'Water-Meter'!E14</f>
        <v>47</v>
      </c>
      <c r="H11" s="405">
        <f>'Utility report '!AC14</f>
        <v>0</v>
      </c>
      <c r="I11" s="405">
        <f>Gen!AJ19</f>
        <v>302.11</v>
      </c>
    </row>
    <row r="12" spans="1:9" ht="13.5">
      <c r="A12" s="402">
        <f>Gen!A20</f>
        <v>44296</v>
      </c>
      <c r="B12" s="404">
        <f>Gen!B20</f>
        <v>5.1999999999999998E-2</v>
      </c>
      <c r="C12" s="405">
        <f>'Summery Report'!E14</f>
        <v>15.58</v>
      </c>
      <c r="D12" s="406">
        <v>1</v>
      </c>
      <c r="E12" s="405">
        <f>Gen!S20</f>
        <v>1245.81</v>
      </c>
      <c r="F12" s="405">
        <f>Gen!T20</f>
        <v>3168</v>
      </c>
      <c r="G12" s="405">
        <f>'Water-Meter'!E15</f>
        <v>46</v>
      </c>
      <c r="H12" s="405">
        <f>'Utility report '!AC15</f>
        <v>0</v>
      </c>
      <c r="I12" s="405">
        <f>Gen!AJ20</f>
        <v>112</v>
      </c>
    </row>
    <row r="13" spans="1:9" ht="13.5">
      <c r="A13" s="402">
        <f>Gen!A21</f>
        <v>44297</v>
      </c>
      <c r="B13" s="404">
        <f>Gen!B21</f>
        <v>0.104</v>
      </c>
      <c r="C13" s="405">
        <f>'Summery Report'!E15</f>
        <v>11.69</v>
      </c>
      <c r="D13" s="406">
        <v>1</v>
      </c>
      <c r="E13" s="405">
        <f>Gen!S21</f>
        <v>1283.98</v>
      </c>
      <c r="F13" s="405">
        <f>Gen!T21</f>
        <v>3237</v>
      </c>
      <c r="G13" s="405">
        <f>'Water-Meter'!E16</f>
        <v>50</v>
      </c>
      <c r="H13" s="405">
        <f>'Utility report '!AC16</f>
        <v>0</v>
      </c>
      <c r="I13" s="405">
        <f>Gen!AJ21</f>
        <v>25</v>
      </c>
    </row>
    <row r="14" spans="1:9" ht="13.5">
      <c r="A14" s="402">
        <f>Gen!A22</f>
        <v>44298</v>
      </c>
      <c r="B14" s="404">
        <f>Gen!B22</f>
        <v>0.104</v>
      </c>
      <c r="C14" s="405">
        <f>'Summery Report'!E16</f>
        <v>12.99</v>
      </c>
      <c r="D14" s="406">
        <v>1</v>
      </c>
      <c r="E14" s="405">
        <f>Gen!S22</f>
        <v>1166.75</v>
      </c>
      <c r="F14" s="405">
        <f>Gen!T22</f>
        <v>3269</v>
      </c>
      <c r="G14" s="405">
        <f>'Water-Meter'!E17</f>
        <v>61</v>
      </c>
      <c r="H14" s="405">
        <f>'Utility report '!AC17</f>
        <v>0</v>
      </c>
      <c r="I14" s="405">
        <f>Gen!AJ22</f>
        <v>250.64</v>
      </c>
    </row>
    <row r="15" spans="1:9" ht="13.5">
      <c r="A15" s="402">
        <f>Gen!A23</f>
        <v>44299</v>
      </c>
      <c r="B15" s="404">
        <f>Gen!B23</f>
        <v>1.2999999999999999E-2</v>
      </c>
      <c r="C15" s="405">
        <f>'Summery Report'!E17</f>
        <v>14.29</v>
      </c>
      <c r="D15" s="406">
        <v>1</v>
      </c>
      <c r="E15" s="405">
        <f>Gen!S23</f>
        <v>1083.74</v>
      </c>
      <c r="F15" s="405">
        <f>Gen!T23</f>
        <v>2665</v>
      </c>
      <c r="G15" s="405">
        <f>'Water-Meter'!E18</f>
        <v>181</v>
      </c>
      <c r="H15" s="405">
        <f>'Utility report '!AC18</f>
        <v>-48865</v>
      </c>
      <c r="I15" s="405">
        <f>Gen!AJ23</f>
        <v>22.54</v>
      </c>
    </row>
    <row r="16" spans="1:9" ht="13.5">
      <c r="A16" s="402">
        <f>Gen!A24</f>
        <v>44300</v>
      </c>
      <c r="B16" s="404">
        <f>Gen!B24</f>
        <v>0</v>
      </c>
      <c r="C16" s="405">
        <f>'Summery Report'!E18</f>
        <v>14.29</v>
      </c>
      <c r="D16" s="406">
        <v>1</v>
      </c>
      <c r="E16" s="405">
        <f>Gen!S24</f>
        <v>1063.99</v>
      </c>
      <c r="F16" s="405">
        <f>Gen!T24</f>
        <v>2643</v>
      </c>
      <c r="G16" s="405">
        <f>'Water-Meter'!E19</f>
        <v>46</v>
      </c>
      <c r="H16" s="405">
        <f>'Utility report '!AC19</f>
        <v>177</v>
      </c>
      <c r="I16" s="405">
        <f>Gen!AJ24</f>
        <v>160.49</v>
      </c>
    </row>
    <row r="17" spans="1:9" ht="13.5">
      <c r="A17" s="402">
        <f>Gen!A25</f>
        <v>44301</v>
      </c>
      <c r="B17" s="404">
        <f>Gen!B25</f>
        <v>0</v>
      </c>
      <c r="C17" s="405">
        <f>'Summery Report'!E19</f>
        <v>9.09</v>
      </c>
      <c r="D17" s="406">
        <v>1</v>
      </c>
      <c r="E17" s="405">
        <f>Gen!S25</f>
        <v>1051.08</v>
      </c>
      <c r="F17" s="405">
        <f>Gen!T25</f>
        <v>2618</v>
      </c>
      <c r="G17" s="405" t="str">
        <f>'Water-Meter'!E20</f>
        <v>0</v>
      </c>
      <c r="H17" s="405">
        <f>'Utility report '!AC20</f>
        <v>-202</v>
      </c>
      <c r="I17" s="405">
        <f>Gen!AJ25</f>
        <v>101.91</v>
      </c>
    </row>
    <row r="18" spans="1:9" ht="13.5">
      <c r="A18" s="402">
        <f>Gen!A26</f>
        <v>44302</v>
      </c>
      <c r="B18" s="404">
        <f>Gen!B26</f>
        <v>0</v>
      </c>
      <c r="C18" s="405">
        <f>'Summery Report'!E20</f>
        <v>7.79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44303</v>
      </c>
      <c r="B19" s="404">
        <f>Gen!B27</f>
        <v>0</v>
      </c>
      <c r="C19" s="405">
        <f>'Summery Report'!E21</f>
        <v>6.49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44304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44305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44306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44307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44308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44309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44310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44311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44312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44313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44314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44315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44316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1" t="s">
        <v>0</v>
      </c>
      <c r="B4" s="772" t="s">
        <v>141</v>
      </c>
      <c r="C4" s="773" t="s">
        <v>248</v>
      </c>
      <c r="D4" s="864" t="s">
        <v>135</v>
      </c>
      <c r="E4" s="864"/>
      <c r="F4" s="864"/>
      <c r="G4" s="865" t="s">
        <v>20</v>
      </c>
      <c r="H4" s="865"/>
      <c r="I4" s="865"/>
      <c r="J4" s="866" t="s">
        <v>54</v>
      </c>
      <c r="K4" s="866"/>
      <c r="L4" s="866"/>
      <c r="M4" s="866"/>
      <c r="N4" s="867" t="s">
        <v>143</v>
      </c>
      <c r="O4" s="867"/>
      <c r="P4" s="867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44287</v>
      </c>
      <c r="B6" s="6">
        <f>'Summery Report'!E5</f>
        <v>1.3</v>
      </c>
      <c r="C6" s="6">
        <f>Gen!U11</f>
        <v>0.41777952755905512</v>
      </c>
      <c r="D6" s="152">
        <f>Gen!T11</f>
        <v>3175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72</v>
      </c>
      <c r="I6" s="296">
        <f>'Water-Meter'!E6</f>
        <v>89</v>
      </c>
      <c r="J6" s="154">
        <f>'Lpg (2)'!B10</f>
        <v>0</v>
      </c>
      <c r="K6" s="154">
        <f>'Lpg (2)'!C10</f>
        <v>15</v>
      </c>
      <c r="L6" s="154">
        <f>'Lpg (2)'!D10</f>
        <v>85</v>
      </c>
      <c r="M6" s="449">
        <f>'Lpg (2)'!G10</f>
        <v>1247.1799999999873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44288</v>
      </c>
      <c r="B7" s="6">
        <f>'Summery Report'!E6</f>
        <v>2.6</v>
      </c>
      <c r="C7" s="6">
        <f>Gen!U12</f>
        <v>0.4106777533730781</v>
      </c>
      <c r="D7" s="152">
        <f>Gen!T12</f>
        <v>3187</v>
      </c>
      <c r="E7" s="152">
        <f>Gen!AK12</f>
        <v>0</v>
      </c>
      <c r="F7" s="152">
        <f>Gen!AS12</f>
        <v>0</v>
      </c>
      <c r="G7" s="153">
        <f>'Utility report '!AC7</f>
        <v>0</v>
      </c>
      <c r="H7" s="153">
        <f>'Utility report '!AE7</f>
        <v>81</v>
      </c>
      <c r="I7" s="296">
        <f>'Water-Meter'!E7</f>
        <v>117</v>
      </c>
      <c r="J7" s="154">
        <f>'Lpg (2)'!B11</f>
        <v>0</v>
      </c>
      <c r="K7" s="154">
        <f>'Lpg (2)'!C11</f>
        <v>10</v>
      </c>
      <c r="L7" s="154">
        <f>'Lpg (2)'!D11</f>
        <v>85</v>
      </c>
      <c r="M7" s="449">
        <f>'Lpg (2)'!G11</f>
        <v>86.547999999992328</v>
      </c>
      <c r="N7" s="151">
        <f>D7*1.4</f>
        <v>4461.7999999999993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1716.0769230769226</v>
      </c>
      <c r="S7" s="451" t="e">
        <f t="shared" si="1"/>
        <v>#REF!</v>
      </c>
    </row>
    <row r="8" spans="1:19" ht="14.25">
      <c r="A8" s="450">
        <f>Gen!A13</f>
        <v>44289</v>
      </c>
      <c r="B8" s="6">
        <f>'Summery Report'!E7</f>
        <v>2.6</v>
      </c>
      <c r="C8" s="6">
        <f>Gen!U13</f>
        <v>0.40227580372250421</v>
      </c>
      <c r="D8" s="152">
        <f>Gen!T13</f>
        <v>3546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74</v>
      </c>
      <c r="I8" s="296">
        <f>'Water-Meter'!E8</f>
        <v>167</v>
      </c>
      <c r="J8" s="154">
        <f>'Lpg (2)'!B12</f>
        <v>0</v>
      </c>
      <c r="K8" s="154">
        <f>'Lpg (2)'!C12</f>
        <v>3</v>
      </c>
      <c r="L8" s="154">
        <f>'Lpg (2)'!D12</f>
        <v>85</v>
      </c>
      <c r="M8" s="449">
        <f>'Lpg (2)'!G12</f>
        <v>88.968000000005134</v>
      </c>
      <c r="N8" s="151">
        <f t="shared" ref="N8:O36" si="2">D8*1.4</f>
        <v>4964.3999999999996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1909.3846153846152</v>
      </c>
      <c r="S8" s="451" t="e">
        <f t="shared" si="1"/>
        <v>#REF!</v>
      </c>
    </row>
    <row r="9" spans="1:19" ht="14.25">
      <c r="A9" s="450">
        <f>Gen!A14</f>
        <v>44290</v>
      </c>
      <c r="B9" s="6">
        <f>'Summery Report'!E8</f>
        <v>5.19</v>
      </c>
      <c r="C9" s="6">
        <f>Gen!U14</f>
        <v>0.40958834134615379</v>
      </c>
      <c r="D9" s="152">
        <f>Gen!T14</f>
        <v>3328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77</v>
      </c>
      <c r="I9" s="296">
        <f>'Water-Meter'!E9</f>
        <v>70</v>
      </c>
      <c r="J9" s="154">
        <f>'Lpg (2)'!B13</f>
        <v>0</v>
      </c>
      <c r="K9" s="154">
        <f>'Lpg (2)'!C13</f>
        <v>0</v>
      </c>
      <c r="L9" s="154">
        <f>'Lpg (2)'!D13</f>
        <v>83</v>
      </c>
      <c r="M9" s="449">
        <f>'Lpg (2)'!G13</f>
        <v>86.372000000020492</v>
      </c>
      <c r="N9" s="151">
        <f t="shared" si="2"/>
        <v>4659.2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897.72639691714824</v>
      </c>
      <c r="S9" s="451" t="e">
        <f t="shared" si="1"/>
        <v>#REF!</v>
      </c>
    </row>
    <row r="10" spans="1:19" ht="14.25">
      <c r="A10" s="450">
        <f>Gen!A15</f>
        <v>44291</v>
      </c>
      <c r="B10" s="6">
        <f>'Summery Report'!E9</f>
        <v>7.79</v>
      </c>
      <c r="C10" s="6">
        <f>Gen!U15</f>
        <v>0.40968615384615387</v>
      </c>
      <c r="D10" s="152">
        <f>Gen!T15</f>
        <v>3250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72</v>
      </c>
      <c r="I10" s="296">
        <f>'Water-Meter'!E10</f>
        <v>59</v>
      </c>
      <c r="J10" s="154">
        <f>'Lpg (2)'!B14</f>
        <v>0</v>
      </c>
      <c r="K10" s="154">
        <f>'Lpg (2)'!C14</f>
        <v>0</v>
      </c>
      <c r="L10" s="154">
        <f>'Lpg (2)'!D14</f>
        <v>82</v>
      </c>
      <c r="M10" s="449">
        <f>'Lpg (2)'!G14</f>
        <v>88.527999999979514</v>
      </c>
      <c r="N10" s="151">
        <f t="shared" si="2"/>
        <v>4550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584.08215661103975</v>
      </c>
      <c r="S10" s="451" t="e">
        <f t="shared" si="1"/>
        <v>#REF!</v>
      </c>
    </row>
    <row r="11" spans="1:19" ht="14.25">
      <c r="A11" s="450">
        <f>Gen!A16</f>
        <v>44292</v>
      </c>
      <c r="B11" s="6">
        <f>'Summery Report'!E10</f>
        <v>5.19</v>
      </c>
      <c r="C11" s="6">
        <f>Gen!U16</f>
        <v>0.41273615635179151</v>
      </c>
      <c r="D11" s="152">
        <f>Gen!T16</f>
        <v>3070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82</v>
      </c>
      <c r="I11" s="296">
        <f>'Water-Meter'!E11</f>
        <v>210</v>
      </c>
      <c r="J11" s="154">
        <f>'Lpg (2)'!B15</f>
        <v>0</v>
      </c>
      <c r="K11" s="154">
        <f>'Lpg (2)'!C15</f>
        <v>0</v>
      </c>
      <c r="L11" s="154">
        <f>'Lpg (2)'!D15</f>
        <v>81</v>
      </c>
      <c r="M11" s="449">
        <f>'Lpg (2)'!G15</f>
        <v>82.895999999984639</v>
      </c>
      <c r="N11" s="151">
        <f t="shared" si="2"/>
        <v>4298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828.13102119460495</v>
      </c>
      <c r="S11" s="451" t="e">
        <f t="shared" si="1"/>
        <v>#REF!</v>
      </c>
    </row>
    <row r="12" spans="1:19" ht="14.25">
      <c r="A12" s="450">
        <f>Gen!A17</f>
        <v>44293</v>
      </c>
      <c r="B12" s="6">
        <f>'Summery Report'!E11</f>
        <v>11.69</v>
      </c>
      <c r="C12" s="6">
        <f>Gen!U17</f>
        <v>0.40155218554861732</v>
      </c>
      <c r="D12" s="152">
        <f>Gen!T17</f>
        <v>3363</v>
      </c>
      <c r="E12" s="152">
        <f>Gen!AK17</f>
        <v>0</v>
      </c>
      <c r="F12" s="152">
        <f>Gen!AS17</f>
        <v>0</v>
      </c>
      <c r="G12" s="153">
        <f>'Utility report '!AC12</f>
        <v>101</v>
      </c>
      <c r="H12" s="153">
        <f>'Utility report '!AE12</f>
        <v>76</v>
      </c>
      <c r="I12" s="296">
        <f>'Water-Meter'!E12</f>
        <v>60</v>
      </c>
      <c r="J12" s="154">
        <f>'Lpg (2)'!B16</f>
        <v>0</v>
      </c>
      <c r="K12" s="154">
        <f>'Lpg (2)'!C16</f>
        <v>0</v>
      </c>
      <c r="L12" s="154">
        <f>'Lpg (2)'!D16</f>
        <v>80</v>
      </c>
      <c r="M12" s="449">
        <f>'Lpg (2)'!G16</f>
        <v>80.212000000046103</v>
      </c>
      <c r="N12" s="151">
        <f t="shared" si="2"/>
        <v>4708.2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402.75449101796409</v>
      </c>
      <c r="S12" s="451" t="e">
        <f t="shared" si="1"/>
        <v>#REF!</v>
      </c>
    </row>
    <row r="13" spans="1:19" ht="14.25">
      <c r="A13" s="450">
        <f>Gen!A18</f>
        <v>44294</v>
      </c>
      <c r="B13" s="6">
        <f>'Summery Report'!E12</f>
        <v>12.99</v>
      </c>
      <c r="C13" s="6">
        <f>Gen!U18</f>
        <v>0.40188175460902731</v>
      </c>
      <c r="D13" s="152">
        <f>Gen!T18</f>
        <v>3146</v>
      </c>
      <c r="E13" s="152">
        <f>Gen!AK18</f>
        <v>0</v>
      </c>
      <c r="F13" s="152">
        <f>Gen!AS18</f>
        <v>0</v>
      </c>
      <c r="G13" s="153">
        <f>'Utility report '!AC13</f>
        <v>12</v>
      </c>
      <c r="H13" s="153">
        <f>'Utility report '!AE13</f>
        <v>82</v>
      </c>
      <c r="I13" s="296">
        <f>'Water-Meter'!E13</f>
        <v>75</v>
      </c>
      <c r="J13" s="154">
        <f>'Lpg (2)'!B17</f>
        <v>0</v>
      </c>
      <c r="K13" s="154">
        <f>'Lpg (2)'!C17</f>
        <v>0</v>
      </c>
      <c r="L13" s="154">
        <f>'Lpg (2)'!D17</f>
        <v>80</v>
      </c>
      <c r="M13" s="449">
        <f>'Lpg (2)'!G17</f>
        <v>83.995999999984633</v>
      </c>
      <c r="N13" s="151">
        <f t="shared" si="2"/>
        <v>4404.3999999999996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339.06081601231716</v>
      </c>
      <c r="S13" s="451" t="e">
        <f t="shared" si="1"/>
        <v>#REF!</v>
      </c>
    </row>
    <row r="14" spans="1:19" ht="14.25">
      <c r="A14" s="450">
        <f>Gen!A19</f>
        <v>44295</v>
      </c>
      <c r="B14" s="6">
        <f>'Summery Report'!E13</f>
        <v>15.58</v>
      </c>
      <c r="C14" s="6">
        <f>Gen!U19</f>
        <v>0.39417320458660227</v>
      </c>
      <c r="D14" s="152">
        <f>Gen!T19</f>
        <v>3314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78</v>
      </c>
      <c r="I14" s="296">
        <f>'Water-Meter'!E14</f>
        <v>47</v>
      </c>
      <c r="J14" s="154">
        <f>'Lpg (2)'!B18</f>
        <v>85</v>
      </c>
      <c r="K14" s="154">
        <f>'Lpg (2)'!C18</f>
        <v>85</v>
      </c>
      <c r="L14" s="154">
        <f>'Lpg (2)'!D18</f>
        <v>79</v>
      </c>
      <c r="M14" s="449">
        <f>'Lpg (2)'!G18</f>
        <v>115.05999999997439</v>
      </c>
      <c r="N14" s="151">
        <f t="shared" si="2"/>
        <v>4639.5999999999995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297.79204107830549</v>
      </c>
      <c r="S14" s="451" t="e">
        <f t="shared" si="1"/>
        <v>#REF!</v>
      </c>
    </row>
    <row r="15" spans="1:19" ht="14.25">
      <c r="A15" s="450">
        <f>Gen!A20</f>
        <v>44296</v>
      </c>
      <c r="B15" s="6">
        <f>'Summery Report'!E14</f>
        <v>15.58</v>
      </c>
      <c r="C15" s="6">
        <f>Gen!U20</f>
        <v>0.39324810606060606</v>
      </c>
      <c r="D15" s="152">
        <f>Gen!T20</f>
        <v>3168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77</v>
      </c>
      <c r="I15" s="296">
        <f>'Water-Meter'!E15</f>
        <v>46</v>
      </c>
      <c r="J15" s="154">
        <f>'Lpg (2)'!B19</f>
        <v>85</v>
      </c>
      <c r="K15" s="154">
        <f>'Lpg (2)'!C19</f>
        <v>85</v>
      </c>
      <c r="L15" s="154">
        <f>'Lpg (2)'!D19</f>
        <v>75</v>
      </c>
      <c r="M15" s="449">
        <f>'Lpg (2)'!G19</f>
        <v>74.18400000000257</v>
      </c>
      <c r="N15" s="151">
        <f t="shared" si="2"/>
        <v>4435.2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284.67265725288831</v>
      </c>
      <c r="S15" s="451" t="e">
        <f t="shared" si="1"/>
        <v>#REF!</v>
      </c>
    </row>
    <row r="16" spans="1:19" ht="14.25">
      <c r="A16" s="450">
        <f>Gen!A21</f>
        <v>44297</v>
      </c>
      <c r="B16" s="6">
        <f>'Summery Report'!E15</f>
        <v>11.69</v>
      </c>
      <c r="C16" s="6">
        <f>Gen!U21</f>
        <v>0.39665739882607354</v>
      </c>
      <c r="D16" s="152">
        <f>Gen!T21</f>
        <v>3237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50</v>
      </c>
      <c r="I16" s="296">
        <f>'Water-Meter'!E16</f>
        <v>50</v>
      </c>
      <c r="J16" s="154">
        <f>'Lpg (2)'!B20</f>
        <v>85</v>
      </c>
      <c r="K16" s="154">
        <f>'Lpg (2)'!C20</f>
        <v>85</v>
      </c>
      <c r="L16" s="154">
        <f>'Lpg (2)'!D20</f>
        <v>65</v>
      </c>
      <c r="M16" s="449">
        <f>'Lpg (2)'!G20</f>
        <v>64.328000000043545</v>
      </c>
      <c r="N16" s="151">
        <f t="shared" si="2"/>
        <v>4531.7999999999993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387.66467065868261</v>
      </c>
      <c r="S16" s="451" t="e">
        <f t="shared" si="1"/>
        <v>#REF!</v>
      </c>
    </row>
    <row r="17" spans="1:19" ht="14.25">
      <c r="A17" s="450">
        <f>Gen!A22</f>
        <v>44298</v>
      </c>
      <c r="B17" s="6">
        <f>'Summery Report'!E16</f>
        <v>12.99</v>
      </c>
      <c r="C17" s="6">
        <f>Gen!U22</f>
        <v>0.35691342918323649</v>
      </c>
      <c r="D17" s="152">
        <f>Gen!T22</f>
        <v>3269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46</v>
      </c>
      <c r="I17" s="296">
        <f>'Water-Meter'!E17</f>
        <v>61</v>
      </c>
      <c r="J17" s="154">
        <f>'Lpg (2)'!B21</f>
        <v>85</v>
      </c>
      <c r="K17" s="154">
        <f>'Lpg (2)'!C22</f>
        <v>85</v>
      </c>
      <c r="L17" s="154">
        <f>'Lpg (2)'!D21</f>
        <v>60</v>
      </c>
      <c r="M17" s="449">
        <f>'Lpg (2)'!G21</f>
        <v>63.227999999979517</v>
      </c>
      <c r="N17" s="151">
        <f t="shared" si="2"/>
        <v>4576.5999999999995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352.31716705157811</v>
      </c>
      <c r="S17" s="451" t="e">
        <f t="shared" si="1"/>
        <v>#REF!</v>
      </c>
    </row>
    <row r="18" spans="1:19" ht="14.25">
      <c r="A18" s="450">
        <f>Gen!A23</f>
        <v>44299</v>
      </c>
      <c r="B18" s="6">
        <f>'Summery Report'!E17</f>
        <v>14.29</v>
      </c>
      <c r="C18" s="6">
        <f>Gen!U23</f>
        <v>0.406656660412758</v>
      </c>
      <c r="D18" s="152">
        <f>Gen!T23</f>
        <v>2665</v>
      </c>
      <c r="E18" s="152">
        <f>Gen!AK23</f>
        <v>0</v>
      </c>
      <c r="F18" s="152">
        <f>Gen!AS23</f>
        <v>0</v>
      </c>
      <c r="G18" s="153">
        <f>'Utility report '!AC18</f>
        <v>-48865</v>
      </c>
      <c r="H18" s="153">
        <f>'Utility report '!AE18</f>
        <v>42</v>
      </c>
      <c r="I18" s="296">
        <f>'Water-Meter'!E18</f>
        <v>181</v>
      </c>
      <c r="J18" s="154">
        <f>'Lpg (2)'!B22</f>
        <v>85</v>
      </c>
      <c r="K18" s="154">
        <f>'Lpg (2)'!C23</f>
        <v>85</v>
      </c>
      <c r="L18" s="154">
        <f>'Lpg (2)'!D22</f>
        <v>55</v>
      </c>
      <c r="M18" s="449">
        <f>'Lpg (2)'!G22</f>
        <v>59.708000000030736</v>
      </c>
      <c r="N18" s="151">
        <f t="shared" si="2"/>
        <v>3730.9999999999995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261.09167249825049</v>
      </c>
      <c r="S18" s="451" t="e">
        <f t="shared" si="1"/>
        <v>#REF!</v>
      </c>
    </row>
    <row r="19" spans="1:19" ht="14.25">
      <c r="A19" s="450">
        <f>Gen!A24</f>
        <v>44300</v>
      </c>
      <c r="B19" s="6">
        <f>'Summery Report'!E18</f>
        <v>14.29</v>
      </c>
      <c r="C19" s="6">
        <f>Gen!U24</f>
        <v>0.40256905032160423</v>
      </c>
      <c r="D19" s="152">
        <f>Gen!T24</f>
        <v>2643</v>
      </c>
      <c r="E19" s="152">
        <f>Gen!AK24</f>
        <v>0</v>
      </c>
      <c r="F19" s="152">
        <f>Gen!AS24</f>
        <v>0</v>
      </c>
      <c r="G19" s="153">
        <f>'Utility report '!AC19</f>
        <v>177</v>
      </c>
      <c r="H19" s="153">
        <f>'Utility report '!AE19</f>
        <v>44</v>
      </c>
      <c r="I19" s="296">
        <f>'Water-Meter'!E19</f>
        <v>46</v>
      </c>
      <c r="J19" s="154">
        <f>'Lpg (2)'!B23</f>
        <v>85</v>
      </c>
      <c r="K19" s="154">
        <f>'Lpg (2)'!C24</f>
        <v>0</v>
      </c>
      <c r="L19" s="154">
        <f>'Lpg (2)'!D23</f>
        <v>51</v>
      </c>
      <c r="M19" s="449">
        <f>'Lpg (2)'!G23</f>
        <v>59.091999999969268</v>
      </c>
      <c r="N19" s="151">
        <f t="shared" si="2"/>
        <v>3700.2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258.9363191042687</v>
      </c>
      <c r="S19" s="451" t="e">
        <f t="shared" si="1"/>
        <v>#REF!</v>
      </c>
    </row>
    <row r="20" spans="1:19" ht="14.25">
      <c r="A20" s="450">
        <f>Gen!A25</f>
        <v>44301</v>
      </c>
      <c r="B20" s="6">
        <f>'Summery Report'!E19</f>
        <v>9.09</v>
      </c>
      <c r="C20" s="6">
        <f>Gen!U25</f>
        <v>0.4014820473644003</v>
      </c>
      <c r="D20" s="152">
        <f>Gen!T25</f>
        <v>2618</v>
      </c>
      <c r="E20" s="152">
        <f>Gen!AK25</f>
        <v>0</v>
      </c>
      <c r="F20" s="152">
        <f>Gen!AS25</f>
        <v>0</v>
      </c>
      <c r="G20" s="153">
        <f>'Utility report '!AC20</f>
        <v>-202</v>
      </c>
      <c r="H20" s="153">
        <f>'Utility report '!AE20</f>
        <v>-214963</v>
      </c>
      <c r="I20" s="296" t="str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-334510</v>
      </c>
      <c r="N20" s="151">
        <f t="shared" si="2"/>
        <v>3665.2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403.2123212321232</v>
      </c>
      <c r="S20" s="451" t="e">
        <f t="shared" si="1"/>
        <v>#REF!</v>
      </c>
    </row>
    <row r="21" spans="1:19" ht="14.25">
      <c r="A21" s="450">
        <f>Gen!A26</f>
        <v>44302</v>
      </c>
      <c r="B21" s="6">
        <f>'Summery Report'!E20</f>
        <v>7.79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0</v>
      </c>
      <c r="S21" s="451" t="e">
        <f t="shared" si="1"/>
        <v>#REF!</v>
      </c>
    </row>
    <row r="22" spans="1:19" ht="14.25">
      <c r="A22" s="450">
        <f>Gen!A27</f>
        <v>44303</v>
      </c>
      <c r="B22" s="6">
        <f>'Summery Report'!E21</f>
        <v>6.49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0</v>
      </c>
      <c r="S22" s="451" t="e">
        <f t="shared" si="1"/>
        <v>#REF!</v>
      </c>
    </row>
    <row r="23" spans="1:19" ht="14.25">
      <c r="A23" s="450">
        <f>Gen!A28</f>
        <v>44304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44305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44306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44307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44308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44309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44310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44311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44312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44313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44314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44315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44316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43804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-48777</v>
      </c>
      <c r="H39" s="453">
        <f t="shared" si="3"/>
        <v>-214082</v>
      </c>
      <c r="I39" s="453">
        <f t="shared" si="3"/>
        <v>1189</v>
      </c>
      <c r="J39" s="453">
        <f t="shared" si="3"/>
        <v>510</v>
      </c>
      <c r="K39" s="453">
        <f t="shared" si="3"/>
        <v>438</v>
      </c>
      <c r="L39" s="453">
        <f t="shared" si="3"/>
        <v>961</v>
      </c>
      <c r="M39" s="453">
        <f t="shared" si="3"/>
        <v>-333476.88</v>
      </c>
      <c r="N39" s="453">
        <f t="shared" si="3"/>
        <v>61325.599999999984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M1" activePane="topRight" state="frozen"/>
      <selection pane="topRight" activeCell="AD22" sqref="AD2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5">
        <f>A6</f>
        <v>44287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876"/>
      <c r="AD1" s="876"/>
      <c r="AE1" s="876"/>
      <c r="AF1" s="876"/>
      <c r="AG1" s="876"/>
      <c r="AH1" s="876"/>
      <c r="AI1" s="876"/>
      <c r="AJ1" s="876"/>
      <c r="AK1" s="877"/>
    </row>
    <row r="2" spans="1:37" ht="61.5" customHeight="1" thickBot="1">
      <c r="A2" s="137" t="s">
        <v>98</v>
      </c>
      <c r="B2" s="878" t="s">
        <v>99</v>
      </c>
      <c r="C2" s="879"/>
      <c r="D2" s="880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68" t="s">
        <v>103</v>
      </c>
      <c r="P2" s="868"/>
      <c r="Q2" s="868"/>
      <c r="R2" s="868"/>
      <c r="S2" s="868"/>
      <c r="T2" s="868"/>
      <c r="U2" s="868"/>
      <c r="V2" s="868"/>
      <c r="W2" s="868"/>
      <c r="X2" s="868"/>
      <c r="Y2" s="868"/>
      <c r="Z2" s="868"/>
      <c r="AA2" s="284" t="s">
        <v>104</v>
      </c>
      <c r="AB2" s="878" t="s">
        <v>164</v>
      </c>
      <c r="AC2" s="88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1">
        <f>SUM(D3/B3)</f>
        <v>1.3262195121951219</v>
      </c>
      <c r="G3" s="882"/>
      <c r="H3" s="127">
        <f>Gen!C11</f>
        <v>34515.97</v>
      </c>
      <c r="I3" s="620"/>
      <c r="J3" s="747"/>
      <c r="K3" s="748" t="s">
        <v>165</v>
      </c>
      <c r="L3" s="747"/>
      <c r="M3" s="622" t="s">
        <v>111</v>
      </c>
      <c r="N3" s="747"/>
      <c r="O3" s="868" t="s">
        <v>112</v>
      </c>
      <c r="P3" s="868"/>
      <c r="Q3" s="868"/>
      <c r="R3" s="868"/>
      <c r="S3" s="869" t="s">
        <v>113</v>
      </c>
      <c r="T3" s="870"/>
      <c r="U3" s="870"/>
      <c r="V3" s="871"/>
      <c r="W3" s="872" t="s">
        <v>114</v>
      </c>
      <c r="X3" s="873"/>
      <c r="Y3" s="873"/>
      <c r="Z3" s="874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8.75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/>
      <c r="P5" s="713">
        <v>19032</v>
      </c>
      <c r="Q5" s="724"/>
      <c r="R5" s="714"/>
      <c r="S5" s="695"/>
      <c r="T5" s="702">
        <v>17812</v>
      </c>
      <c r="U5" s="695"/>
      <c r="V5" s="714"/>
      <c r="W5" s="695"/>
      <c r="X5" s="707"/>
      <c r="Y5" s="695"/>
      <c r="Z5" s="700"/>
      <c r="AA5" s="710"/>
      <c r="AB5" s="709">
        <v>48777</v>
      </c>
      <c r="AC5" s="695"/>
      <c r="AD5" s="692">
        <v>214010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44287</v>
      </c>
      <c r="B6" s="425">
        <f>'Summery Report'!E5</f>
        <v>1.3</v>
      </c>
      <c r="C6" s="758">
        <f>Gen!B11</f>
        <v>0.156</v>
      </c>
      <c r="D6" s="720">
        <f>'Summery Report'!E5</f>
        <v>1.3</v>
      </c>
      <c r="E6" s="720">
        <f>SUM(F3)</f>
        <v>1.3262195121951219</v>
      </c>
      <c r="F6" s="438">
        <f>SUM(J6*E6)/D6</f>
        <v>3239.0361163227017</v>
      </c>
      <c r="G6" s="438">
        <f t="shared" ref="G6:G36" si="0">SUM(L6*E6)/D6</f>
        <v>3239.0361163227017</v>
      </c>
      <c r="H6" s="720">
        <f>Gen!C11</f>
        <v>34515.97</v>
      </c>
      <c r="I6" s="720">
        <f>Gen!E11</f>
        <v>0</v>
      </c>
      <c r="J6" s="759">
        <f>Gen!T11</f>
        <v>3175</v>
      </c>
      <c r="K6" s="764">
        <f>Gen!AK11</f>
        <v>0</v>
      </c>
      <c r="L6" s="755">
        <f t="shared" ref="L6:L13" si="1">SUM(J6:K6)</f>
        <v>3175</v>
      </c>
      <c r="M6" s="448">
        <f>'Water-Meter'!K46</f>
        <v>479.98746560819797</v>
      </c>
      <c r="N6" s="715">
        <f>'Water-Meter'!E6</f>
        <v>89</v>
      </c>
      <c r="O6" s="706"/>
      <c r="P6" s="713">
        <v>19032</v>
      </c>
      <c r="Q6" s="725">
        <f t="shared" ref="Q6:Q36" si="2">SUM(P6-P5)</f>
        <v>0</v>
      </c>
      <c r="R6" s="426">
        <f>SUM(Q6*O6)</f>
        <v>0</v>
      </c>
      <c r="S6" s="701"/>
      <c r="T6" s="702">
        <v>17812</v>
      </c>
      <c r="U6" s="725">
        <f>T6-T5</f>
        <v>0</v>
      </c>
      <c r="V6" s="427" t="s">
        <v>246</v>
      </c>
      <c r="W6" s="706">
        <v>1.8</v>
      </c>
      <c r="X6" s="707">
        <v>27671</v>
      </c>
      <c r="Y6" s="725">
        <f>X6-X5</f>
        <v>27671</v>
      </c>
      <c r="Z6" s="708">
        <f t="shared" ref="Z6:AA6" si="3">Y6-Y5</f>
        <v>27671</v>
      </c>
      <c r="AA6" s="711">
        <f t="shared" si="3"/>
        <v>27671</v>
      </c>
      <c r="AB6" s="709">
        <v>48777</v>
      </c>
      <c r="AC6" s="690">
        <f>AB6-AB5</f>
        <v>0</v>
      </c>
      <c r="AD6" s="692">
        <v>214082</v>
      </c>
      <c r="AE6" s="178">
        <f>AD6-AD5</f>
        <v>72</v>
      </c>
      <c r="AF6" s="719">
        <f>'Lpg (2)'!B10*2000/85</f>
        <v>0</v>
      </c>
      <c r="AG6" s="266">
        <f>'Lpg (2)'!C10*1000/85</f>
        <v>176.47058823529412</v>
      </c>
      <c r="AH6" s="732">
        <f>'Lpg (2)'!D10*1000/85</f>
        <v>1000</v>
      </c>
      <c r="AI6" s="722">
        <f>SUM(AF6*2000)+(AG6*1000)+(AH6*1000)</f>
        <v>1176470.5882352942</v>
      </c>
      <c r="AJ6" s="428">
        <f t="shared" ref="AJ6:AJ36" si="4">SUM(AI5-AI6)</f>
        <v>-1176470.5882352942</v>
      </c>
      <c r="AK6" s="132"/>
    </row>
    <row r="7" spans="1:37" ht="18.75">
      <c r="A7" s="753">
        <f>Gen!A12</f>
        <v>44288</v>
      </c>
      <c r="B7" s="425">
        <f>'Summery Report'!E6</f>
        <v>2.6</v>
      </c>
      <c r="C7" s="758">
        <f>Gen!B12</f>
        <v>0.16900000000000001</v>
      </c>
      <c r="D7" s="720">
        <f>'Summery Report'!E6</f>
        <v>2.6</v>
      </c>
      <c r="E7" s="720">
        <f>SUM(E6)</f>
        <v>1.3262195121951219</v>
      </c>
      <c r="F7" s="438">
        <f>SUM(J7*E7)/D7</f>
        <v>1625.6390712945588</v>
      </c>
      <c r="G7" s="438">
        <f t="shared" si="0"/>
        <v>1625.6390712945588</v>
      </c>
      <c r="H7" s="720">
        <f>Gen!C12</f>
        <v>33044.090000000004</v>
      </c>
      <c r="I7" s="720">
        <f>Gen!E12</f>
        <v>0</v>
      </c>
      <c r="J7" s="759">
        <f>Gen!T12</f>
        <v>3187</v>
      </c>
      <c r="K7" s="764">
        <f>Gen!AK12</f>
        <v>0</v>
      </c>
      <c r="L7" s="755">
        <f t="shared" si="1"/>
        <v>3187</v>
      </c>
      <c r="M7" s="448">
        <f>'Water-Meter'!K47</f>
        <v>402.50327380604955</v>
      </c>
      <c r="N7" s="715">
        <f>'Water-Meter'!E7</f>
        <v>117</v>
      </c>
      <c r="O7" s="706"/>
      <c r="P7" s="713">
        <v>19032</v>
      </c>
      <c r="Q7" s="725">
        <f t="shared" si="2"/>
        <v>0</v>
      </c>
      <c r="R7" s="426">
        <f t="shared" ref="R7:R36" si="5">SUM(Q7*O7)</f>
        <v>0</v>
      </c>
      <c r="S7" s="701"/>
      <c r="T7" s="702">
        <v>17812</v>
      </c>
      <c r="U7" s="725">
        <f t="shared" ref="U7:U36" si="6">T7-T6</f>
        <v>0</v>
      </c>
      <c r="V7" s="427">
        <f t="shared" ref="V7:V9" si="7">SUM(U7*S7)</f>
        <v>0</v>
      </c>
      <c r="W7" s="706">
        <v>1.8</v>
      </c>
      <c r="X7" s="707">
        <v>27695</v>
      </c>
      <c r="Y7" s="725">
        <f t="shared" ref="Y7:Y36" si="8">X7-X6</f>
        <v>24</v>
      </c>
      <c r="Z7" s="705">
        <f t="shared" ref="Z7:Z36" si="9">SUM(Y7*W7)</f>
        <v>43.2</v>
      </c>
      <c r="AA7" s="712">
        <f t="shared" ref="AA7:AA36" si="10">SUM(Z7*X9)</f>
        <v>1198497.6000000001</v>
      </c>
      <c r="AB7" s="709">
        <v>48777</v>
      </c>
      <c r="AC7" s="690">
        <f t="shared" ref="AC7:AC27" si="11">AB7-AB6</f>
        <v>0</v>
      </c>
      <c r="AD7" s="692">
        <v>214163</v>
      </c>
      <c r="AE7" s="178">
        <f>AD7-AD6</f>
        <v>81</v>
      </c>
      <c r="AF7" s="719">
        <f>'Lpg (2)'!B11*2000/85</f>
        <v>0</v>
      </c>
      <c r="AG7" s="266">
        <f>'Lpg (2)'!C11*1000/85</f>
        <v>117.64705882352941</v>
      </c>
      <c r="AH7" s="732">
        <f>'Lpg (2)'!D11*1000/85</f>
        <v>1000</v>
      </c>
      <c r="AI7" s="722">
        <f t="shared" ref="AI7:AI14" si="12">SUM(AF6*2000)+(AG7*1000)+(AH7*1000)</f>
        <v>1117647.0588235294</v>
      </c>
      <c r="AJ7" s="428">
        <f t="shared" si="4"/>
        <v>58823.529411764815</v>
      </c>
      <c r="AK7" s="132"/>
    </row>
    <row r="8" spans="1:37" ht="18.75">
      <c r="A8" s="753">
        <f>Gen!A13</f>
        <v>44289</v>
      </c>
      <c r="B8" s="425">
        <f>'Summery Report'!E7</f>
        <v>2.6</v>
      </c>
      <c r="C8" s="758">
        <f>Gen!B13</f>
        <v>0.23</v>
      </c>
      <c r="D8" s="720">
        <f>'Summery Report'!E7</f>
        <v>2.6</v>
      </c>
      <c r="E8" s="720">
        <f t="shared" ref="E8:E36" si="13">SUM(E7)</f>
        <v>1.3262195121951219</v>
      </c>
      <c r="F8" s="438">
        <f t="shared" ref="F8:F36" si="14">SUM(J8*E8)/D8</f>
        <v>1808.7593808630393</v>
      </c>
      <c r="G8" s="438">
        <f t="shared" si="0"/>
        <v>1808.7593808630393</v>
      </c>
      <c r="H8" s="720">
        <f>Gen!C13</f>
        <v>31510.360000000004</v>
      </c>
      <c r="I8" s="720">
        <f>Gen!E13</f>
        <v>0</v>
      </c>
      <c r="J8" s="759">
        <f>Gen!T13</f>
        <v>3546</v>
      </c>
      <c r="K8" s="764">
        <f>Gen!AK13</f>
        <v>0</v>
      </c>
      <c r="L8" s="755">
        <f t="shared" si="1"/>
        <v>3546</v>
      </c>
      <c r="M8" s="448">
        <f>'Water-Meter'!K48</f>
        <v>446.34286246077113</v>
      </c>
      <c r="N8" s="715">
        <f>'Water-Meter'!E8</f>
        <v>167</v>
      </c>
      <c r="O8" s="706"/>
      <c r="P8" s="713">
        <v>19032</v>
      </c>
      <c r="Q8" s="725">
        <f t="shared" si="2"/>
        <v>0</v>
      </c>
      <c r="R8" s="426">
        <f t="shared" si="5"/>
        <v>0</v>
      </c>
      <c r="S8" s="701"/>
      <c r="T8" s="702">
        <v>17812</v>
      </c>
      <c r="U8" s="725">
        <f t="shared" si="6"/>
        <v>0</v>
      </c>
      <c r="V8" s="427">
        <f t="shared" si="7"/>
        <v>0</v>
      </c>
      <c r="W8" s="706">
        <v>1.8</v>
      </c>
      <c r="X8" s="707">
        <v>27719</v>
      </c>
      <c r="Y8" s="725">
        <f t="shared" si="8"/>
        <v>24</v>
      </c>
      <c r="Z8" s="705">
        <f t="shared" si="9"/>
        <v>43.2</v>
      </c>
      <c r="AA8" s="712">
        <f t="shared" si="10"/>
        <v>1198497.6000000001</v>
      </c>
      <c r="AB8" s="709">
        <v>48777</v>
      </c>
      <c r="AC8" s="690">
        <f t="shared" si="11"/>
        <v>0</v>
      </c>
      <c r="AD8" s="692">
        <v>214237</v>
      </c>
      <c r="AE8" s="178">
        <f t="shared" ref="AE8:AE37" si="15">AD8-AD7</f>
        <v>74</v>
      </c>
      <c r="AF8" s="719">
        <f>'Lpg (2)'!B12*2000/85</f>
        <v>0</v>
      </c>
      <c r="AG8" s="266">
        <f>'Lpg (2)'!C12*1000/85</f>
        <v>35.294117647058826</v>
      </c>
      <c r="AH8" s="732">
        <f>'Lpg (2)'!D12*1000/85</f>
        <v>1000</v>
      </c>
      <c r="AI8" s="722">
        <f t="shared" si="12"/>
        <v>1035294.1176470588</v>
      </c>
      <c r="AJ8" s="428">
        <f t="shared" si="4"/>
        <v>82352.941176470602</v>
      </c>
      <c r="AK8" s="132"/>
    </row>
    <row r="9" spans="1:37" ht="18.75">
      <c r="A9" s="753">
        <f>Gen!A14</f>
        <v>44290</v>
      </c>
      <c r="B9" s="425">
        <f>'Summery Report'!E8</f>
        <v>5.19</v>
      </c>
      <c r="C9" s="758">
        <f>Gen!B14</f>
        <v>0.247</v>
      </c>
      <c r="D9" s="720">
        <f>'Summery Report'!E8</f>
        <v>5.19</v>
      </c>
      <c r="E9" s="720">
        <f t="shared" si="13"/>
        <v>1.3262195121951219</v>
      </c>
      <c r="F9" s="438">
        <f t="shared" si="14"/>
        <v>850.4159030029607</v>
      </c>
      <c r="G9" s="438">
        <f t="shared" si="0"/>
        <v>850.4159030029607</v>
      </c>
      <c r="H9" s="720">
        <f>Gen!C14</f>
        <v>29944.600000000006</v>
      </c>
      <c r="I9" s="720">
        <f>Gen!E14</f>
        <v>0</v>
      </c>
      <c r="J9" s="759">
        <f>Gen!T14</f>
        <v>3328</v>
      </c>
      <c r="K9" s="764">
        <f>Gen!AK14</f>
        <v>0</v>
      </c>
      <c r="L9" s="755">
        <f t="shared" si="1"/>
        <v>3328</v>
      </c>
      <c r="M9" s="448">
        <f>'Water-Meter'!K49</f>
        <v>340.52161447606596</v>
      </c>
      <c r="N9" s="715">
        <f>'Water-Meter'!E9</f>
        <v>70</v>
      </c>
      <c r="O9" s="706"/>
      <c r="P9" s="713">
        <v>19032</v>
      </c>
      <c r="Q9" s="725">
        <f t="shared" si="2"/>
        <v>0</v>
      </c>
      <c r="R9" s="426">
        <f t="shared" si="5"/>
        <v>0</v>
      </c>
      <c r="S9" s="701"/>
      <c r="T9" s="702">
        <v>17812</v>
      </c>
      <c r="U9" s="725">
        <f t="shared" si="6"/>
        <v>0</v>
      </c>
      <c r="V9" s="427">
        <f t="shared" si="7"/>
        <v>0</v>
      </c>
      <c r="W9" s="706">
        <v>1.8</v>
      </c>
      <c r="X9" s="707">
        <v>27743</v>
      </c>
      <c r="Y9" s="725">
        <f t="shared" si="8"/>
        <v>24</v>
      </c>
      <c r="Z9" s="705">
        <f>SUM(Y9*W11)</f>
        <v>43.2</v>
      </c>
      <c r="AA9" s="712">
        <f t="shared" si="10"/>
        <v>1198497.6000000001</v>
      </c>
      <c r="AB9" s="709">
        <v>48777</v>
      </c>
      <c r="AC9" s="690">
        <f t="shared" si="11"/>
        <v>0</v>
      </c>
      <c r="AD9" s="692">
        <v>214314</v>
      </c>
      <c r="AE9" s="178">
        <f t="shared" si="15"/>
        <v>77</v>
      </c>
      <c r="AF9" s="719">
        <f>'Lpg (2)'!B13*2000/85</f>
        <v>0</v>
      </c>
      <c r="AG9" s="266">
        <f>'Lpg (2)'!C13*1000/85</f>
        <v>0</v>
      </c>
      <c r="AH9" s="732">
        <f>'Lpg (2)'!D13*1000/85</f>
        <v>976.47058823529414</v>
      </c>
      <c r="AI9" s="722">
        <f t="shared" si="12"/>
        <v>976470.5882352941</v>
      </c>
      <c r="AJ9" s="428">
        <f t="shared" si="4"/>
        <v>58823.529411764699</v>
      </c>
      <c r="AK9" s="132"/>
    </row>
    <row r="10" spans="1:37" ht="18.75">
      <c r="A10" s="753">
        <f>Gen!A15</f>
        <v>44291</v>
      </c>
      <c r="B10" s="425">
        <f>'Summery Report'!E9</f>
        <v>7.79</v>
      </c>
      <c r="C10" s="758">
        <f>Gen!B15</f>
        <v>0.13</v>
      </c>
      <c r="D10" s="720">
        <f>'Summery Report'!E9</f>
        <v>7.79</v>
      </c>
      <c r="E10" s="720">
        <f t="shared" si="13"/>
        <v>1.3262195121951219</v>
      </c>
      <c r="F10" s="438">
        <f t="shared" si="14"/>
        <v>553.30082344469133</v>
      </c>
      <c r="G10" s="438">
        <f t="shared" si="0"/>
        <v>553.30082344469133</v>
      </c>
      <c r="H10" s="720">
        <f>Gen!C15</f>
        <v>28581.490000000005</v>
      </c>
      <c r="I10" s="720">
        <f>Gen!E15</f>
        <v>0</v>
      </c>
      <c r="J10" s="759">
        <f>Gen!T15</f>
        <v>3250</v>
      </c>
      <c r="K10" s="764">
        <f>Gen!AK15</f>
        <v>0</v>
      </c>
      <c r="L10" s="755">
        <f t="shared" si="1"/>
        <v>3250</v>
      </c>
      <c r="M10" s="448">
        <f>'Water-Meter'!K50</f>
        <v>422.68192012456143</v>
      </c>
      <c r="N10" s="715">
        <f>'Water-Meter'!E10</f>
        <v>59</v>
      </c>
      <c r="O10" s="706"/>
      <c r="P10" s="713">
        <v>19032</v>
      </c>
      <c r="Q10" s="725">
        <f t="shared" si="2"/>
        <v>0</v>
      </c>
      <c r="R10" s="426">
        <f t="shared" si="5"/>
        <v>0</v>
      </c>
      <c r="S10" s="701">
        <v>6.2</v>
      </c>
      <c r="T10" s="702">
        <v>17828</v>
      </c>
      <c r="U10" s="725">
        <f t="shared" si="6"/>
        <v>16</v>
      </c>
      <c r="V10" s="427">
        <f t="shared" ref="V10:V16" si="16">SUM(U10*S10)</f>
        <v>99.2</v>
      </c>
      <c r="W10" s="706">
        <v>1.8</v>
      </c>
      <c r="X10" s="707">
        <v>27743</v>
      </c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>
        <v>48777</v>
      </c>
      <c r="AC10" s="690">
        <f t="shared" si="11"/>
        <v>0</v>
      </c>
      <c r="AD10" s="692">
        <v>214386</v>
      </c>
      <c r="AE10" s="178">
        <f t="shared" si="15"/>
        <v>72</v>
      </c>
      <c r="AF10" s="719">
        <f>'Lpg (2)'!B14*2000/85</f>
        <v>0</v>
      </c>
      <c r="AG10" s="266">
        <f>'Lpg (2)'!C14*1000/85</f>
        <v>0</v>
      </c>
      <c r="AH10" s="732">
        <f>'Lpg (2)'!D14*1000/85</f>
        <v>964.70588235294122</v>
      </c>
      <c r="AI10" s="722">
        <f t="shared" si="12"/>
        <v>964705.8823529412</v>
      </c>
      <c r="AJ10" s="428">
        <f t="shared" si="4"/>
        <v>11764.705882352893</v>
      </c>
      <c r="AK10" s="132"/>
    </row>
    <row r="11" spans="1:37" ht="18.75">
      <c r="A11" s="753">
        <f>Gen!A16</f>
        <v>44292</v>
      </c>
      <c r="B11" s="425">
        <f>'Summery Report'!E10</f>
        <v>5.19</v>
      </c>
      <c r="C11" s="758">
        <f>Gen!B16</f>
        <v>9.0999999999999998E-2</v>
      </c>
      <c r="D11" s="720">
        <f>'Summery Report'!E10</f>
        <v>5.19</v>
      </c>
      <c r="E11" s="720">
        <f t="shared" si="13"/>
        <v>1.3262195121951219</v>
      </c>
      <c r="F11" s="438">
        <f t="shared" si="14"/>
        <v>784.48822783025503</v>
      </c>
      <c r="G11" s="438">
        <f t="shared" si="0"/>
        <v>784.48822783025503</v>
      </c>
      <c r="H11" s="720">
        <f>Gen!C16</f>
        <v>27031.500000000004</v>
      </c>
      <c r="I11" s="720">
        <f>Gen!E16</f>
        <v>15000</v>
      </c>
      <c r="J11" s="759">
        <f>Gen!T16</f>
        <v>3070</v>
      </c>
      <c r="K11" s="764">
        <f>Gen!AK16</f>
        <v>0</v>
      </c>
      <c r="L11" s="755">
        <f t="shared" si="1"/>
        <v>3070</v>
      </c>
      <c r="M11" s="448">
        <f>'Water-Meter'!K51</f>
        <v>393.46238201225788</v>
      </c>
      <c r="N11" s="715">
        <f>'Water-Meter'!E11</f>
        <v>210</v>
      </c>
      <c r="O11" s="706"/>
      <c r="P11" s="713">
        <v>19032</v>
      </c>
      <c r="Q11" s="725">
        <f t="shared" si="2"/>
        <v>0</v>
      </c>
      <c r="R11" s="426">
        <f t="shared" si="5"/>
        <v>0</v>
      </c>
      <c r="S11" s="701">
        <v>6.2</v>
      </c>
      <c r="T11" s="702">
        <v>17828</v>
      </c>
      <c r="U11" s="725">
        <f t="shared" si="6"/>
        <v>0</v>
      </c>
      <c r="V11" s="427">
        <f t="shared" si="16"/>
        <v>0</v>
      </c>
      <c r="W11" s="706">
        <v>1.8</v>
      </c>
      <c r="X11" s="707">
        <v>27743</v>
      </c>
      <c r="Y11" s="725">
        <f t="shared" si="8"/>
        <v>0</v>
      </c>
      <c r="Z11" s="705" t="e">
        <f>SUM(Y11*#REF!)</f>
        <v>#REF!</v>
      </c>
      <c r="AA11" s="712" t="e">
        <f t="shared" si="10"/>
        <v>#REF!</v>
      </c>
      <c r="AB11" s="709">
        <v>48777</v>
      </c>
      <c r="AC11" s="690">
        <f t="shared" si="11"/>
        <v>0</v>
      </c>
      <c r="AD11" s="692">
        <v>214468</v>
      </c>
      <c r="AE11" s="178">
        <f t="shared" si="15"/>
        <v>82</v>
      </c>
      <c r="AF11" s="719">
        <f>'Lpg (2)'!B15*2000/85</f>
        <v>0</v>
      </c>
      <c r="AG11" s="266">
        <f>'Lpg (2)'!C15*1000/85</f>
        <v>0</v>
      </c>
      <c r="AH11" s="732">
        <f>'Lpg (2)'!D15*1000/85</f>
        <v>952.94117647058829</v>
      </c>
      <c r="AI11" s="722">
        <f t="shared" si="12"/>
        <v>952941.17647058831</v>
      </c>
      <c r="AJ11" s="428">
        <f t="shared" si="4"/>
        <v>11764.705882352893</v>
      </c>
      <c r="AK11" s="132"/>
    </row>
    <row r="12" spans="1:37" ht="18.75">
      <c r="A12" s="753">
        <f>Gen!A17</f>
        <v>44293</v>
      </c>
      <c r="B12" s="425">
        <f>'Summery Report'!E11</f>
        <v>11.69</v>
      </c>
      <c r="C12" s="758">
        <f>Gen!B17</f>
        <v>6.5000000000000002E-2</v>
      </c>
      <c r="D12" s="720">
        <f>'Summery Report'!E11</f>
        <v>11.69</v>
      </c>
      <c r="E12" s="720">
        <f t="shared" si="13"/>
        <v>1.3262195121951219</v>
      </c>
      <c r="F12" s="438">
        <f t="shared" si="14"/>
        <v>381.52918900874209</v>
      </c>
      <c r="G12" s="438">
        <f t="shared" si="0"/>
        <v>381.52918900874209</v>
      </c>
      <c r="H12" s="720">
        <f>Gen!C17</f>
        <v>43721.960000000006</v>
      </c>
      <c r="I12" s="720">
        <f>Gen!E17</f>
        <v>0</v>
      </c>
      <c r="J12" s="759">
        <f>Gen!T17</f>
        <v>3363</v>
      </c>
      <c r="K12" s="764">
        <f>Gen!AK17</f>
        <v>0</v>
      </c>
      <c r="L12" s="755">
        <f t="shared" si="1"/>
        <v>3363</v>
      </c>
      <c r="M12" s="448">
        <f>'Water-Meter'!K52</f>
        <v>451.42806874858366</v>
      </c>
      <c r="N12" s="715">
        <f>'Water-Meter'!E12</f>
        <v>60</v>
      </c>
      <c r="O12" s="706"/>
      <c r="P12" s="713">
        <v>19032</v>
      </c>
      <c r="Q12" s="725">
        <f t="shared" si="2"/>
        <v>0</v>
      </c>
      <c r="R12" s="426">
        <f t="shared" si="5"/>
        <v>0</v>
      </c>
      <c r="S12" s="701">
        <v>6.2</v>
      </c>
      <c r="T12" s="702">
        <v>17852</v>
      </c>
      <c r="U12" s="725">
        <f t="shared" si="6"/>
        <v>24</v>
      </c>
      <c r="V12" s="427">
        <f t="shared" si="16"/>
        <v>148.80000000000001</v>
      </c>
      <c r="W12" s="706">
        <v>1.8</v>
      </c>
      <c r="X12" s="707">
        <v>27743</v>
      </c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>
        <v>48878</v>
      </c>
      <c r="AC12" s="690">
        <f t="shared" si="11"/>
        <v>101</v>
      </c>
      <c r="AD12" s="692">
        <v>214544</v>
      </c>
      <c r="AE12" s="178">
        <f t="shared" si="15"/>
        <v>76</v>
      </c>
      <c r="AF12" s="719">
        <f>'Lpg (2)'!B16*2000/85</f>
        <v>0</v>
      </c>
      <c r="AG12" s="266">
        <f>'Lpg (2)'!C16*1000/85</f>
        <v>0</v>
      </c>
      <c r="AH12" s="732">
        <f>'Lpg (2)'!D16*1000/85</f>
        <v>941.17647058823525</v>
      </c>
      <c r="AI12" s="722">
        <f t="shared" si="12"/>
        <v>941176.4705882353</v>
      </c>
      <c r="AJ12" s="428">
        <f t="shared" si="4"/>
        <v>11764.70588235301</v>
      </c>
      <c r="AK12" s="132"/>
    </row>
    <row r="13" spans="1:37" ht="18.75">
      <c r="A13" s="753">
        <f>Gen!A18</f>
        <v>44294</v>
      </c>
      <c r="B13" s="425">
        <f>'Summery Report'!E12</f>
        <v>12.99</v>
      </c>
      <c r="C13" s="758">
        <f>Gen!B18</f>
        <v>9.0999999999999998E-2</v>
      </c>
      <c r="D13" s="720">
        <f>'Summery Report'!E12</f>
        <v>12.99</v>
      </c>
      <c r="E13" s="720">
        <f t="shared" si="13"/>
        <v>1.3262195121951219</v>
      </c>
      <c r="F13" s="438">
        <f t="shared" si="14"/>
        <v>321.19219286881088</v>
      </c>
      <c r="G13" s="438">
        <f t="shared" si="0"/>
        <v>321.19219286881088</v>
      </c>
      <c r="H13" s="720">
        <f>Gen!C18</f>
        <v>42252.400000000009</v>
      </c>
      <c r="I13" s="720">
        <f>Gen!E18</f>
        <v>0</v>
      </c>
      <c r="J13" s="759">
        <f>Gen!T18</f>
        <v>3146</v>
      </c>
      <c r="K13" s="764">
        <f>Gen!AK18</f>
        <v>0</v>
      </c>
      <c r="L13" s="755">
        <f t="shared" si="1"/>
        <v>3146</v>
      </c>
      <c r="M13" s="448">
        <f>'Water-Meter'!K53</f>
        <v>514.42482328683036</v>
      </c>
      <c r="N13" s="715">
        <f>'Water-Meter'!E13</f>
        <v>75</v>
      </c>
      <c r="O13" s="706"/>
      <c r="P13" s="713">
        <v>19032</v>
      </c>
      <c r="Q13" s="725">
        <f t="shared" si="2"/>
        <v>0</v>
      </c>
      <c r="R13" s="426">
        <f t="shared" si="5"/>
        <v>0</v>
      </c>
      <c r="S13" s="701">
        <v>6.2</v>
      </c>
      <c r="T13" s="702">
        <v>17859</v>
      </c>
      <c r="U13" s="725">
        <f t="shared" si="6"/>
        <v>7</v>
      </c>
      <c r="V13" s="427">
        <f t="shared" si="16"/>
        <v>43.4</v>
      </c>
      <c r="W13" s="706">
        <v>1.8</v>
      </c>
      <c r="X13" s="707">
        <v>27743</v>
      </c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>
        <v>48890</v>
      </c>
      <c r="AC13" s="690">
        <f t="shared" si="11"/>
        <v>12</v>
      </c>
      <c r="AD13" s="692">
        <v>214626</v>
      </c>
      <c r="AE13" s="178">
        <f t="shared" si="15"/>
        <v>82</v>
      </c>
      <c r="AF13" s="719">
        <f>'Lpg (2)'!B17*2000/85</f>
        <v>0</v>
      </c>
      <c r="AG13" s="266">
        <f>'Lpg (2)'!C17*1000/85</f>
        <v>0</v>
      </c>
      <c r="AH13" s="732">
        <f>'Lpg (2)'!D17*1000/85</f>
        <v>941.17647058823525</v>
      </c>
      <c r="AI13" s="722">
        <f t="shared" si="12"/>
        <v>941176.4705882353</v>
      </c>
      <c r="AJ13" s="428">
        <f t="shared" si="4"/>
        <v>0</v>
      </c>
      <c r="AK13" s="132"/>
    </row>
    <row r="14" spans="1:37" ht="18.75">
      <c r="A14" s="753">
        <f>Gen!A19</f>
        <v>44295</v>
      </c>
      <c r="B14" s="425">
        <f>'Summery Report'!E13</f>
        <v>15.58</v>
      </c>
      <c r="C14" s="758">
        <f>Gen!B19</f>
        <v>6.5000000000000002E-2</v>
      </c>
      <c r="D14" s="720">
        <f>'Summery Report'!E13</f>
        <v>15.58</v>
      </c>
      <c r="E14" s="720">
        <f t="shared" si="13"/>
        <v>1.3262195121951219</v>
      </c>
      <c r="F14" s="438">
        <f t="shared" si="14"/>
        <v>282.09829675318576</v>
      </c>
      <c r="G14" s="438">
        <f t="shared" si="0"/>
        <v>282.09829675318576</v>
      </c>
      <c r="H14" s="720">
        <f>Gen!C19</f>
        <v>40831.760000000009</v>
      </c>
      <c r="I14" s="720">
        <f>Gen!E19</f>
        <v>0</v>
      </c>
      <c r="J14" s="759">
        <f>Gen!T19</f>
        <v>3314</v>
      </c>
      <c r="K14" s="764">
        <f>Gen!AK19</f>
        <v>0</v>
      </c>
      <c r="L14" s="755">
        <f t="shared" ref="L14:L37" si="17">SUM(J14:K14)</f>
        <v>3314</v>
      </c>
      <c r="M14" s="448">
        <f>'Water-Meter'!K54</f>
        <v>588.89185822737807</v>
      </c>
      <c r="N14" s="715">
        <f>'Water-Meter'!E14</f>
        <v>47</v>
      </c>
      <c r="O14" s="706"/>
      <c r="P14" s="713">
        <v>19032</v>
      </c>
      <c r="Q14" s="725">
        <f t="shared" si="2"/>
        <v>0</v>
      </c>
      <c r="R14" s="426">
        <f t="shared" si="5"/>
        <v>0</v>
      </c>
      <c r="S14" s="701">
        <v>6.2</v>
      </c>
      <c r="T14" s="702">
        <v>17869</v>
      </c>
      <c r="U14" s="725">
        <f t="shared" si="6"/>
        <v>10</v>
      </c>
      <c r="V14" s="427">
        <f t="shared" si="16"/>
        <v>62</v>
      </c>
      <c r="W14" s="706">
        <v>1.8</v>
      </c>
      <c r="X14" s="707">
        <v>27752</v>
      </c>
      <c r="Y14" s="725">
        <f t="shared" si="8"/>
        <v>9</v>
      </c>
      <c r="Z14" s="705">
        <f t="shared" si="9"/>
        <v>16.2</v>
      </c>
      <c r="AA14" s="712">
        <f t="shared" si="10"/>
        <v>450214.19999999995</v>
      </c>
      <c r="AB14" s="709">
        <v>48890</v>
      </c>
      <c r="AC14" s="690">
        <f t="shared" si="11"/>
        <v>0</v>
      </c>
      <c r="AD14" s="692">
        <v>214704</v>
      </c>
      <c r="AE14" s="178">
        <f t="shared" si="15"/>
        <v>78</v>
      </c>
      <c r="AF14" s="719">
        <f>'Lpg (2)'!B18*2000/85</f>
        <v>2000</v>
      </c>
      <c r="AG14" s="266">
        <f>'Lpg (2)'!C18*1000/85</f>
        <v>1000</v>
      </c>
      <c r="AH14" s="732">
        <f>'Lpg (2)'!D18*1000/85</f>
        <v>929.41176470588232</v>
      </c>
      <c r="AI14" s="722">
        <f t="shared" si="12"/>
        <v>1929411.7647058824</v>
      </c>
      <c r="AJ14" s="428">
        <f t="shared" si="4"/>
        <v>-988235.29411764711</v>
      </c>
      <c r="AK14" s="132"/>
    </row>
    <row r="15" spans="1:37" ht="18.75">
      <c r="A15" s="753">
        <f>Gen!A20</f>
        <v>44296</v>
      </c>
      <c r="B15" s="425">
        <f>'Summery Report'!E14</f>
        <v>15.58</v>
      </c>
      <c r="C15" s="758">
        <f>Gen!B20</f>
        <v>5.1999999999999998E-2</v>
      </c>
      <c r="D15" s="720">
        <f>'Summery Report'!E14</f>
        <v>15.58</v>
      </c>
      <c r="E15" s="720">
        <f t="shared" si="13"/>
        <v>1.3262195121951219</v>
      </c>
      <c r="F15" s="438">
        <f t="shared" si="14"/>
        <v>269.67030902658189</v>
      </c>
      <c r="G15" s="438">
        <f t="shared" si="0"/>
        <v>269.67030902658189</v>
      </c>
      <c r="H15" s="720">
        <f>Gen!C20</f>
        <v>39223.360000000008</v>
      </c>
      <c r="I15" s="720">
        <f>Gen!E20</f>
        <v>0</v>
      </c>
      <c r="J15" s="759">
        <f>Gen!T20</f>
        <v>3168</v>
      </c>
      <c r="K15" s="764">
        <f>Gen!AK20</f>
        <v>0</v>
      </c>
      <c r="L15" s="755">
        <f t="shared" si="17"/>
        <v>3168</v>
      </c>
      <c r="M15" s="448">
        <f>'Water-Meter'!K55</f>
        <v>617.48166598200839</v>
      </c>
      <c r="N15" s="715">
        <f>'Water-Meter'!E15</f>
        <v>46</v>
      </c>
      <c r="O15" s="706"/>
      <c r="P15" s="713">
        <v>19032</v>
      </c>
      <c r="Q15" s="725">
        <f t="shared" si="2"/>
        <v>0</v>
      </c>
      <c r="R15" s="426">
        <f t="shared" si="5"/>
        <v>0</v>
      </c>
      <c r="S15" s="701">
        <v>6.2</v>
      </c>
      <c r="T15" s="702">
        <v>17869</v>
      </c>
      <c r="U15" s="725">
        <f t="shared" si="6"/>
        <v>0</v>
      </c>
      <c r="V15" s="427">
        <f t="shared" si="16"/>
        <v>0</v>
      </c>
      <c r="W15" s="706">
        <v>1.8</v>
      </c>
      <c r="X15" s="707">
        <v>27767</v>
      </c>
      <c r="Y15" s="725">
        <f t="shared" si="8"/>
        <v>15</v>
      </c>
      <c r="Z15" s="705">
        <f t="shared" si="9"/>
        <v>27</v>
      </c>
      <c r="AA15" s="712">
        <f t="shared" si="10"/>
        <v>751005</v>
      </c>
      <c r="AB15" s="709">
        <v>48890</v>
      </c>
      <c r="AC15" s="690">
        <f t="shared" si="11"/>
        <v>0</v>
      </c>
      <c r="AD15" s="692">
        <v>214781</v>
      </c>
      <c r="AE15" s="178">
        <f>AD15-AD14</f>
        <v>77</v>
      </c>
      <c r="AF15" s="719">
        <f>'Lpg (2)'!B19*2000/85</f>
        <v>2000</v>
      </c>
      <c r="AG15" s="266">
        <f>'Lpg (2)'!C19*1000/85</f>
        <v>1000</v>
      </c>
      <c r="AH15" s="732">
        <f>'Lpg (2)'!D19*1000/85</f>
        <v>882.35294117647061</v>
      </c>
      <c r="AI15" s="722">
        <f t="shared" ref="AI15:AI35" si="18">SUM(AF15*2000)+(AG15*1000)+(AH15*1000)</f>
        <v>5882352.9411764704</v>
      </c>
      <c r="AJ15" s="428">
        <f t="shared" si="4"/>
        <v>-3952941.176470588</v>
      </c>
      <c r="AK15" s="132"/>
    </row>
    <row r="16" spans="1:37" ht="18.75">
      <c r="A16" s="753">
        <f>Gen!A21</f>
        <v>44297</v>
      </c>
      <c r="B16" s="425">
        <f>'Summery Report'!E15</f>
        <v>11.69</v>
      </c>
      <c r="C16" s="758">
        <f>Gen!B21</f>
        <v>0.104</v>
      </c>
      <c r="D16" s="720">
        <f>'Summery Report'!E15</f>
        <v>11.69</v>
      </c>
      <c r="E16" s="720">
        <f t="shared" si="13"/>
        <v>1.3262195121951219</v>
      </c>
      <c r="F16" s="438">
        <f t="shared" si="14"/>
        <v>367.23460744017194</v>
      </c>
      <c r="G16" s="438">
        <f t="shared" si="0"/>
        <v>367.23460744017194</v>
      </c>
      <c r="H16" s="720">
        <f>Gen!C21</f>
        <v>37865.55000000001</v>
      </c>
      <c r="I16" s="720">
        <f>Gen!E21</f>
        <v>0</v>
      </c>
      <c r="J16" s="759">
        <f>Gen!T21</f>
        <v>3237</v>
      </c>
      <c r="K16" s="764">
        <f>Gen!AK21</f>
        <v>0</v>
      </c>
      <c r="L16" s="755">
        <f t="shared" si="17"/>
        <v>3237</v>
      </c>
      <c r="M16" s="448">
        <f>'Water-Meter'!K56</f>
        <v>582.16664678656252</v>
      </c>
      <c r="N16" s="715">
        <f>'Water-Meter'!E16</f>
        <v>50</v>
      </c>
      <c r="O16" s="706"/>
      <c r="P16" s="713">
        <v>19032</v>
      </c>
      <c r="Q16" s="725">
        <f t="shared" si="2"/>
        <v>0</v>
      </c>
      <c r="R16" s="426">
        <f t="shared" si="5"/>
        <v>0</v>
      </c>
      <c r="S16" s="701">
        <v>6.2</v>
      </c>
      <c r="T16" s="702">
        <v>17869</v>
      </c>
      <c r="U16" s="725">
        <f t="shared" si="6"/>
        <v>0</v>
      </c>
      <c r="V16" s="427">
        <f t="shared" si="16"/>
        <v>0</v>
      </c>
      <c r="W16" s="706">
        <v>1.8</v>
      </c>
      <c r="X16" s="707">
        <v>27791</v>
      </c>
      <c r="Y16" s="725">
        <f t="shared" si="8"/>
        <v>24</v>
      </c>
      <c r="Z16" s="705">
        <f t="shared" si="9"/>
        <v>43.2</v>
      </c>
      <c r="AA16" s="712">
        <f t="shared" si="10"/>
        <v>1202515.2000000002</v>
      </c>
      <c r="AB16" s="709">
        <v>48890</v>
      </c>
      <c r="AC16" s="690">
        <f t="shared" si="11"/>
        <v>0</v>
      </c>
      <c r="AD16" s="692">
        <v>214831</v>
      </c>
      <c r="AE16" s="178">
        <f t="shared" si="15"/>
        <v>50</v>
      </c>
      <c r="AF16" s="719">
        <f>'Lpg (2)'!B20*2000/85</f>
        <v>2000</v>
      </c>
      <c r="AG16" s="266">
        <f>'Lpg (2)'!C20*1000/85</f>
        <v>1000</v>
      </c>
      <c r="AH16" s="732">
        <f>'Lpg (2)'!D20*1000/85</f>
        <v>764.70588235294122</v>
      </c>
      <c r="AI16" s="722">
        <f t="shared" si="18"/>
        <v>5764705.8823529407</v>
      </c>
      <c r="AJ16" s="428">
        <f t="shared" si="4"/>
        <v>117647.05882352963</v>
      </c>
      <c r="AK16" s="132"/>
    </row>
    <row r="17" spans="1:37" ht="18.75">
      <c r="A17" s="753">
        <f>Gen!A22</f>
        <v>44298</v>
      </c>
      <c r="B17" s="425">
        <f>'Summery Report'!E16</f>
        <v>12.99</v>
      </c>
      <c r="C17" s="758">
        <f>Gen!B22</f>
        <v>0.104</v>
      </c>
      <c r="D17" s="720">
        <f>'Summery Report'!E16</f>
        <v>12.99</v>
      </c>
      <c r="E17" s="720">
        <f t="shared" si="13"/>
        <v>1.3262195121951219</v>
      </c>
      <c r="F17" s="438">
        <f t="shared" si="14"/>
        <v>333.74992958936514</v>
      </c>
      <c r="G17" s="438">
        <f t="shared" si="0"/>
        <v>333.74992958936514</v>
      </c>
      <c r="H17" s="720">
        <f>Gen!C22</f>
        <v>36556.570000000007</v>
      </c>
      <c r="I17" s="720">
        <f>Gen!E22</f>
        <v>0</v>
      </c>
      <c r="J17" s="759">
        <f>Gen!T22</f>
        <v>3269</v>
      </c>
      <c r="K17" s="764">
        <f>Gen!AK22</f>
        <v>0</v>
      </c>
      <c r="L17" s="755">
        <f t="shared" si="17"/>
        <v>3269</v>
      </c>
      <c r="M17" s="448">
        <f>'Water-Meter'!K57</f>
        <v>546.81755549947343</v>
      </c>
      <c r="N17" s="715">
        <f>'Water-Meter'!E17</f>
        <v>61</v>
      </c>
      <c r="O17" s="706"/>
      <c r="P17" s="713">
        <v>19032</v>
      </c>
      <c r="Q17" s="725">
        <f>SUM(P18-P16)</f>
        <v>0</v>
      </c>
      <c r="R17" s="426">
        <f t="shared" si="5"/>
        <v>0</v>
      </c>
      <c r="S17" s="701">
        <v>6.2</v>
      </c>
      <c r="T17" s="702">
        <v>17869</v>
      </c>
      <c r="U17" s="725">
        <f t="shared" si="6"/>
        <v>0</v>
      </c>
      <c r="V17" s="427">
        <f t="shared" ref="V17:V36" si="19">SUM(U17*S17)</f>
        <v>0</v>
      </c>
      <c r="W17" s="706">
        <v>1.8</v>
      </c>
      <c r="X17" s="707">
        <v>27815</v>
      </c>
      <c r="Y17" s="725">
        <f t="shared" si="8"/>
        <v>24</v>
      </c>
      <c r="Z17" s="705">
        <f t="shared" si="9"/>
        <v>43.2</v>
      </c>
      <c r="AA17" s="712">
        <f t="shared" si="10"/>
        <v>1202515.2000000002</v>
      </c>
      <c r="AB17" s="709">
        <v>48890</v>
      </c>
      <c r="AC17" s="690">
        <f t="shared" si="11"/>
        <v>0</v>
      </c>
      <c r="AD17" s="692">
        <v>214877</v>
      </c>
      <c r="AE17" s="178">
        <f t="shared" si="15"/>
        <v>46</v>
      </c>
      <c r="AF17" s="719">
        <f>'Lpg (2)'!B21*2000/85</f>
        <v>2000</v>
      </c>
      <c r="AG17" s="266">
        <f>'Lpg (2)'!C21*1000/85</f>
        <v>1000</v>
      </c>
      <c r="AH17" s="732">
        <f>'Lpg (2)'!D21*1000/85</f>
        <v>705.88235294117646</v>
      </c>
      <c r="AI17" s="722">
        <f t="shared" si="18"/>
        <v>5705882.3529411769</v>
      </c>
      <c r="AJ17" s="428">
        <f t="shared" si="4"/>
        <v>58823.529411763884</v>
      </c>
      <c r="AK17" s="132"/>
    </row>
    <row r="18" spans="1:37" ht="18.75">
      <c r="A18" s="753">
        <f>Gen!A23</f>
        <v>44299</v>
      </c>
      <c r="B18" s="425">
        <f>'Summery Report'!E17</f>
        <v>14.29</v>
      </c>
      <c r="C18" s="758">
        <f>Gen!B23</f>
        <v>1.2999999999999999E-2</v>
      </c>
      <c r="D18" s="720">
        <f>'Summery Report'!E17</f>
        <v>14.29</v>
      </c>
      <c r="E18" s="720">
        <f t="shared" si="13"/>
        <v>1.3262195121951219</v>
      </c>
      <c r="F18" s="438">
        <f t="shared" si="14"/>
        <v>247.33205038488455</v>
      </c>
      <c r="G18" s="438">
        <f t="shared" si="0"/>
        <v>247.33205038488455</v>
      </c>
      <c r="H18" s="720">
        <f>Gen!C23</f>
        <v>35139.180000000008</v>
      </c>
      <c r="I18" s="720">
        <f>Gen!E23</f>
        <v>0</v>
      </c>
      <c r="J18" s="759">
        <f>Gen!T23</f>
        <v>2665</v>
      </c>
      <c r="K18" s="764">
        <f>Gen!AK23</f>
        <v>0</v>
      </c>
      <c r="L18" s="755">
        <f t="shared" si="17"/>
        <v>2665</v>
      </c>
      <c r="M18" s="448">
        <f>'Water-Meter'!K58</f>
        <v>502.23159250400187</v>
      </c>
      <c r="N18" s="715">
        <f>'Water-Meter'!E18</f>
        <v>181</v>
      </c>
      <c r="O18" s="706"/>
      <c r="P18" s="713">
        <v>19032</v>
      </c>
      <c r="Q18" s="725"/>
      <c r="R18" s="426">
        <f t="shared" si="5"/>
        <v>0</v>
      </c>
      <c r="S18" s="701">
        <v>6.2</v>
      </c>
      <c r="T18" s="702">
        <v>17869</v>
      </c>
      <c r="U18" s="725">
        <f t="shared" si="6"/>
        <v>0</v>
      </c>
      <c r="V18" s="427">
        <f t="shared" si="19"/>
        <v>0</v>
      </c>
      <c r="W18" s="706">
        <v>1.8</v>
      </c>
      <c r="X18" s="707">
        <v>27836</v>
      </c>
      <c r="Y18" s="725">
        <f t="shared" si="8"/>
        <v>21</v>
      </c>
      <c r="Z18" s="705">
        <f t="shared" si="9"/>
        <v>37.800000000000004</v>
      </c>
      <c r="AA18" s="712">
        <f t="shared" si="10"/>
        <v>0</v>
      </c>
      <c r="AB18" s="709">
        <v>25</v>
      </c>
      <c r="AC18" s="690">
        <f t="shared" si="11"/>
        <v>-48865</v>
      </c>
      <c r="AD18" s="692">
        <v>214919</v>
      </c>
      <c r="AE18" s="178">
        <f t="shared" si="15"/>
        <v>42</v>
      </c>
      <c r="AF18" s="719">
        <f>'Lpg (2)'!B22*2000/85</f>
        <v>2000</v>
      </c>
      <c r="AG18" s="266">
        <f>'Lpg (2)'!C22*1000/85</f>
        <v>1000</v>
      </c>
      <c r="AH18" s="732">
        <f>'Lpg (2)'!D22*1000/85</f>
        <v>647.05882352941171</v>
      </c>
      <c r="AI18" s="722">
        <f t="shared" si="18"/>
        <v>5647058.823529412</v>
      </c>
      <c r="AJ18" s="428">
        <f t="shared" si="4"/>
        <v>58823.529411764815</v>
      </c>
      <c r="AK18" s="132"/>
    </row>
    <row r="19" spans="1:37" ht="18.75">
      <c r="A19" s="753">
        <f>Gen!A24</f>
        <v>44300</v>
      </c>
      <c r="B19" s="425">
        <f>'Summery Report'!E18</f>
        <v>14.29</v>
      </c>
      <c r="C19" s="758">
        <f>Gen!B24</f>
        <v>0</v>
      </c>
      <c r="D19" s="720">
        <f>'Summery Report'!E18</f>
        <v>14.29</v>
      </c>
      <c r="E19" s="720">
        <f t="shared" si="13"/>
        <v>1.3262195121951219</v>
      </c>
      <c r="F19" s="438">
        <f t="shared" si="14"/>
        <v>245.29028486575979</v>
      </c>
      <c r="G19" s="438">
        <f t="shared" si="0"/>
        <v>245.29028486575979</v>
      </c>
      <c r="H19" s="720">
        <f>Gen!C24</f>
        <v>34032.900000000009</v>
      </c>
      <c r="I19" s="720">
        <f>Gen!E24</f>
        <v>0</v>
      </c>
      <c r="J19" s="759">
        <f>Gen!T24</f>
        <v>2643</v>
      </c>
      <c r="K19" s="764">
        <f>Gen!AK24</f>
        <v>0</v>
      </c>
      <c r="L19" s="755">
        <f t="shared" si="17"/>
        <v>2643</v>
      </c>
      <c r="M19" s="448">
        <f>'Water-Meter'!K59</f>
        <v>356.75911145995639</v>
      </c>
      <c r="N19" s="715">
        <f>'Water-Meter'!E19</f>
        <v>46</v>
      </c>
      <c r="O19" s="706"/>
      <c r="P19" s="713">
        <v>19032</v>
      </c>
      <c r="Q19" s="725"/>
      <c r="R19" s="426">
        <f t="shared" si="5"/>
        <v>0</v>
      </c>
      <c r="S19" s="701">
        <v>6.2</v>
      </c>
      <c r="T19" s="702">
        <v>17893</v>
      </c>
      <c r="U19" s="725">
        <f t="shared" si="6"/>
        <v>24</v>
      </c>
      <c r="V19" s="427">
        <f t="shared" si="19"/>
        <v>148.80000000000001</v>
      </c>
      <c r="W19" s="706">
        <v>1.8</v>
      </c>
      <c r="X19" s="707">
        <v>27836</v>
      </c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>
        <v>202</v>
      </c>
      <c r="AC19" s="690">
        <f t="shared" si="11"/>
        <v>177</v>
      </c>
      <c r="AD19" s="692">
        <v>214963</v>
      </c>
      <c r="AE19" s="178">
        <f t="shared" si="15"/>
        <v>44</v>
      </c>
      <c r="AF19" s="719">
        <f>'Lpg (2)'!B23*2000/85</f>
        <v>2000</v>
      </c>
      <c r="AG19" s="266">
        <f>'Lpg (2)'!C23*1000/85</f>
        <v>1000</v>
      </c>
      <c r="AH19" s="732">
        <f>'Lpg (2)'!D23*1000/85</f>
        <v>600</v>
      </c>
      <c r="AI19" s="722">
        <f t="shared" si="18"/>
        <v>5600000</v>
      </c>
      <c r="AJ19" s="428">
        <f t="shared" si="4"/>
        <v>47058.823529412039</v>
      </c>
      <c r="AK19" s="132"/>
    </row>
    <row r="20" spans="1:37" ht="18.75">
      <c r="A20" s="753">
        <f>Gen!A25</f>
        <v>44301</v>
      </c>
      <c r="B20" s="425">
        <f>'Summery Report'!E19</f>
        <v>9.09</v>
      </c>
      <c r="C20" s="758">
        <f>Gen!B25</f>
        <v>0</v>
      </c>
      <c r="D20" s="720">
        <f>'Summery Report'!E19</f>
        <v>9.09</v>
      </c>
      <c r="E20" s="720">
        <f t="shared" si="13"/>
        <v>1.3262195121951219</v>
      </c>
      <c r="F20" s="438">
        <f t="shared" si="14"/>
        <v>381.9628914110923</v>
      </c>
      <c r="G20" s="438">
        <f t="shared" si="0"/>
        <v>381.9628914110923</v>
      </c>
      <c r="H20" s="720">
        <f>Gen!C25</f>
        <v>32808.420000000006</v>
      </c>
      <c r="I20" s="720">
        <f>Gen!E25</f>
        <v>0</v>
      </c>
      <c r="J20" s="759">
        <f>Gen!T25</f>
        <v>2618</v>
      </c>
      <c r="K20" s="764">
        <f>Gen!AK25</f>
        <v>0</v>
      </c>
      <c r="L20" s="755">
        <f t="shared" si="17"/>
        <v>2618</v>
      </c>
      <c r="M20" s="448">
        <f>'Water-Meter'!K60</f>
        <v>349.48945603113521</v>
      </c>
      <c r="N20" s="715" t="str">
        <f>'Water-Meter'!E20</f>
        <v>0</v>
      </c>
      <c r="O20" s="706"/>
      <c r="P20" s="713"/>
      <c r="Q20" s="725">
        <f t="shared" si="2"/>
        <v>-19032</v>
      </c>
      <c r="R20" s="426">
        <f t="shared" si="5"/>
        <v>0</v>
      </c>
      <c r="S20" s="701"/>
      <c r="T20" s="702"/>
      <c r="U20" s="725">
        <f t="shared" si="6"/>
        <v>-17893</v>
      </c>
      <c r="V20" s="427">
        <f t="shared" si="19"/>
        <v>0</v>
      </c>
      <c r="W20" s="701"/>
      <c r="X20" s="707"/>
      <c r="Y20" s="725">
        <f t="shared" si="8"/>
        <v>-27836</v>
      </c>
      <c r="Z20" s="705">
        <f t="shared" si="9"/>
        <v>0</v>
      </c>
      <c r="AA20" s="712">
        <f t="shared" si="10"/>
        <v>0</v>
      </c>
      <c r="AB20" s="709"/>
      <c r="AC20" s="690">
        <f t="shared" si="11"/>
        <v>-202</v>
      </c>
      <c r="AD20" s="692"/>
      <c r="AE20" s="178">
        <f t="shared" si="15"/>
        <v>-214963</v>
      </c>
      <c r="AF20" s="719">
        <f>'Lpg (2)'!B24*2000/85</f>
        <v>0</v>
      </c>
      <c r="AG20" s="266">
        <f>'Lpg (2)'!C24*1000/85</f>
        <v>0</v>
      </c>
      <c r="AH20" s="732">
        <f>'Lpg (2)'!D24*1000/85</f>
        <v>0</v>
      </c>
      <c r="AI20" s="722">
        <f t="shared" si="18"/>
        <v>0</v>
      </c>
      <c r="AJ20" s="428">
        <f t="shared" si="4"/>
        <v>5600000</v>
      </c>
      <c r="AK20" s="132"/>
    </row>
    <row r="21" spans="1:37" ht="18.75">
      <c r="A21" s="753">
        <f>Gen!A26</f>
        <v>44302</v>
      </c>
      <c r="B21" s="425">
        <f>'Summery Report'!E20</f>
        <v>7.79</v>
      </c>
      <c r="C21" s="758">
        <f>Gen!B26</f>
        <v>0</v>
      </c>
      <c r="D21" s="720">
        <f>'Summery Report'!E20</f>
        <v>7.79</v>
      </c>
      <c r="E21" s="720">
        <f t="shared" si="13"/>
        <v>1.3262195121951219</v>
      </c>
      <c r="F21" s="438">
        <f t="shared" si="14"/>
        <v>0</v>
      </c>
      <c r="G21" s="438">
        <f t="shared" si="0"/>
        <v>0</v>
      </c>
      <c r="H21" s="720">
        <f>Gen!C26</f>
        <v>31655.430000000004</v>
      </c>
      <c r="I21" s="720">
        <f>Gen!E26</f>
        <v>0</v>
      </c>
      <c r="J21" s="759">
        <f>Gen!T26</f>
        <v>0</v>
      </c>
      <c r="K21" s="764">
        <f>Gen!AK26</f>
        <v>0</v>
      </c>
      <c r="L21" s="755">
        <f t="shared" si="17"/>
        <v>0</v>
      </c>
      <c r="M21" s="448">
        <f>'Water-Meter'!K61</f>
        <v>0</v>
      </c>
      <c r="N21" s="715">
        <f>'Water-Meter'!E21</f>
        <v>0</v>
      </c>
      <c r="O21" s="706"/>
      <c r="P21" s="713"/>
      <c r="Q21" s="725">
        <f t="shared" si="2"/>
        <v>0</v>
      </c>
      <c r="R21" s="426">
        <f t="shared" si="5"/>
        <v>0</v>
      </c>
      <c r="S21" s="701"/>
      <c r="T21" s="702"/>
      <c r="U21" s="725">
        <f>T22-T20</f>
        <v>0</v>
      </c>
      <c r="V21" s="427">
        <f t="shared" si="19"/>
        <v>0</v>
      </c>
      <c r="W21" s="701"/>
      <c r="X21" s="707"/>
      <c r="Y21" s="725">
        <f t="shared" si="8"/>
        <v>0</v>
      </c>
      <c r="Z21" s="705">
        <f t="shared" si="9"/>
        <v>0</v>
      </c>
      <c r="AA21" s="712">
        <f t="shared" si="10"/>
        <v>0</v>
      </c>
      <c r="AB21" s="709"/>
      <c r="AC21" s="690">
        <f t="shared" si="11"/>
        <v>0</v>
      </c>
      <c r="AD21" s="692"/>
      <c r="AE21" s="178">
        <f t="shared" si="15"/>
        <v>0</v>
      </c>
      <c r="AF21" s="719">
        <f>'Lpg (2)'!B25*2000/85</f>
        <v>0</v>
      </c>
      <c r="AG21" s="266">
        <f>'Lpg (2)'!C25*1000/85</f>
        <v>0</v>
      </c>
      <c r="AH21" s="732">
        <f>'Lpg (2)'!D25*1000/85</f>
        <v>0</v>
      </c>
      <c r="AI21" s="722">
        <f t="shared" si="18"/>
        <v>0</v>
      </c>
      <c r="AJ21" s="428">
        <f t="shared" si="4"/>
        <v>0</v>
      </c>
      <c r="AK21" s="132"/>
    </row>
    <row r="22" spans="1:37" ht="18.75">
      <c r="A22" s="753">
        <f>Gen!A27</f>
        <v>44303</v>
      </c>
      <c r="B22" s="425">
        <f>'Summery Report'!E21</f>
        <v>6.49</v>
      </c>
      <c r="C22" s="758">
        <f>Gen!B27</f>
        <v>0</v>
      </c>
      <c r="D22" s="720">
        <f>'Summery Report'!E21</f>
        <v>6.49</v>
      </c>
      <c r="E22" s="720">
        <f t="shared" si="13"/>
        <v>1.3262195121951219</v>
      </c>
      <c r="F22" s="438">
        <f t="shared" si="14"/>
        <v>0</v>
      </c>
      <c r="G22" s="438">
        <f t="shared" si="0"/>
        <v>0</v>
      </c>
      <c r="H22" s="720">
        <f>Gen!C27</f>
        <v>31655.430000000004</v>
      </c>
      <c r="I22" s="720">
        <f>Gen!E27</f>
        <v>0</v>
      </c>
      <c r="J22" s="759">
        <f>Gen!T27</f>
        <v>0</v>
      </c>
      <c r="K22" s="764">
        <f>Gen!AK27</f>
        <v>0</v>
      </c>
      <c r="L22" s="755">
        <f t="shared" si="17"/>
        <v>0</v>
      </c>
      <c r="M22" s="448">
        <f>'Water-Meter'!K62</f>
        <v>0</v>
      </c>
      <c r="N22" s="715">
        <f>'Water-Meter'!E22</f>
        <v>0</v>
      </c>
      <c r="O22" s="706"/>
      <c r="P22" s="713"/>
      <c r="Q22" s="725">
        <f t="shared" si="2"/>
        <v>0</v>
      </c>
      <c r="R22" s="426">
        <f t="shared" si="5"/>
        <v>0</v>
      </c>
      <c r="S22" s="701"/>
      <c r="T22" s="702"/>
      <c r="U22" s="725">
        <f t="shared" ref="U22:U23" si="20">T23-T21</f>
        <v>0</v>
      </c>
      <c r="V22" s="427">
        <f t="shared" si="19"/>
        <v>0</v>
      </c>
      <c r="W22" s="701"/>
      <c r="X22" s="707"/>
      <c r="Y22" s="725">
        <f t="shared" si="8"/>
        <v>0</v>
      </c>
      <c r="Z22" s="705">
        <f t="shared" si="9"/>
        <v>0</v>
      </c>
      <c r="AA22" s="712">
        <f t="shared" si="10"/>
        <v>0</v>
      </c>
      <c r="AB22" s="709"/>
      <c r="AC22" s="690">
        <f t="shared" si="11"/>
        <v>0</v>
      </c>
      <c r="AD22" s="692"/>
      <c r="AE22" s="178">
        <f t="shared" si="15"/>
        <v>0</v>
      </c>
      <c r="AF22" s="719">
        <f>'Lpg (2)'!B26*2000/85</f>
        <v>0</v>
      </c>
      <c r="AG22" s="266">
        <f>'Lpg (2)'!C26*1000/85</f>
        <v>0</v>
      </c>
      <c r="AH22" s="732">
        <f>'Lpg (2)'!D26*1000/85</f>
        <v>0</v>
      </c>
      <c r="AI22" s="722">
        <f t="shared" si="18"/>
        <v>0</v>
      </c>
      <c r="AJ22" s="428">
        <f t="shared" si="4"/>
        <v>0</v>
      </c>
      <c r="AK22" s="132"/>
    </row>
    <row r="23" spans="1:37" ht="18.75">
      <c r="A23" s="753">
        <f>Gen!A28</f>
        <v>44304</v>
      </c>
      <c r="B23" s="425">
        <f>'Summery Report'!E22</f>
        <v>0</v>
      </c>
      <c r="C23" s="758">
        <f>Gen!B28</f>
        <v>0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31655.430000000004</v>
      </c>
      <c r="I23" s="720">
        <f>Gen!E28</f>
        <v>0</v>
      </c>
      <c r="J23" s="759">
        <f>Gen!T28</f>
        <v>0</v>
      </c>
      <c r="K23" s="764">
        <f>Gen!AK28</f>
        <v>0</v>
      </c>
      <c r="L23" s="755">
        <f t="shared" si="17"/>
        <v>0</v>
      </c>
      <c r="M23" s="448">
        <f>'Water-Meter'!K63</f>
        <v>0</v>
      </c>
      <c r="N23" s="715">
        <f>'Water-Meter'!E23</f>
        <v>0</v>
      </c>
      <c r="O23" s="706"/>
      <c r="P23" s="713"/>
      <c r="Q23" s="725">
        <f t="shared" si="2"/>
        <v>0</v>
      </c>
      <c r="R23" s="426">
        <f t="shared" si="5"/>
        <v>0</v>
      </c>
      <c r="S23" s="701"/>
      <c r="T23" s="702"/>
      <c r="U23" s="725">
        <f t="shared" si="20"/>
        <v>0</v>
      </c>
      <c r="V23" s="427">
        <f t="shared" si="19"/>
        <v>0</v>
      </c>
      <c r="W23" s="701"/>
      <c r="X23" s="707"/>
      <c r="Y23" s="725">
        <f t="shared" si="8"/>
        <v>0</v>
      </c>
      <c r="Z23" s="705">
        <f t="shared" si="9"/>
        <v>0</v>
      </c>
      <c r="AA23" s="712">
        <f t="shared" si="10"/>
        <v>0</v>
      </c>
      <c r="AB23" s="709"/>
      <c r="AC23" s="690">
        <f t="shared" si="11"/>
        <v>0</v>
      </c>
      <c r="AD23" s="693"/>
      <c r="AE23" s="178">
        <f t="shared" si="15"/>
        <v>0</v>
      </c>
      <c r="AF23" s="719">
        <f>'Lpg (2)'!B27*2000/85</f>
        <v>0</v>
      </c>
      <c r="AG23" s="266">
        <f>'Lpg (2)'!C27*1000/85</f>
        <v>0</v>
      </c>
      <c r="AH23" s="732">
        <f>'Lpg (2)'!D27*1000/85</f>
        <v>0</v>
      </c>
      <c r="AI23" s="722">
        <f t="shared" si="18"/>
        <v>0</v>
      </c>
      <c r="AJ23" s="428">
        <f t="shared" si="4"/>
        <v>0</v>
      </c>
      <c r="AK23" s="132"/>
    </row>
    <row r="24" spans="1:37" ht="18.75">
      <c r="A24" s="753">
        <f>Gen!A29</f>
        <v>44305</v>
      </c>
      <c r="B24" s="425">
        <f>'Summery Report'!E23</f>
        <v>0</v>
      </c>
      <c r="C24" s="758">
        <f>Gen!B29</f>
        <v>0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31655.430000000004</v>
      </c>
      <c r="I24" s="720">
        <f>Gen!E29</f>
        <v>0</v>
      </c>
      <c r="J24" s="759">
        <f>Gen!T29</f>
        <v>0</v>
      </c>
      <c r="K24" s="764">
        <f>Gen!AK29</f>
        <v>0</v>
      </c>
      <c r="L24" s="755">
        <f t="shared" si="17"/>
        <v>0</v>
      </c>
      <c r="M24" s="448">
        <f>'Water-Meter'!K64</f>
        <v>0</v>
      </c>
      <c r="N24" s="715">
        <f>'Water-Meter'!E24</f>
        <v>0</v>
      </c>
      <c r="O24" s="706"/>
      <c r="P24" s="713"/>
      <c r="Q24" s="725">
        <f t="shared" si="2"/>
        <v>0</v>
      </c>
      <c r="R24" s="426">
        <f t="shared" si="5"/>
        <v>0</v>
      </c>
      <c r="S24" s="701"/>
      <c r="T24" s="702"/>
      <c r="U24" s="725">
        <f t="shared" si="6"/>
        <v>0</v>
      </c>
      <c r="V24" s="427">
        <f t="shared" si="19"/>
        <v>0</v>
      </c>
      <c r="W24" s="701"/>
      <c r="X24" s="707"/>
      <c r="Y24" s="725">
        <f t="shared" si="8"/>
        <v>0</v>
      </c>
      <c r="Z24" s="705">
        <f t="shared" si="9"/>
        <v>0</v>
      </c>
      <c r="AA24" s="712">
        <f t="shared" si="10"/>
        <v>0</v>
      </c>
      <c r="AB24" s="709"/>
      <c r="AC24" s="690">
        <f t="shared" si="11"/>
        <v>0</v>
      </c>
      <c r="AD24" s="693"/>
      <c r="AE24" s="178">
        <f t="shared" si="15"/>
        <v>0</v>
      </c>
      <c r="AF24" s="719">
        <f>'Lpg (2)'!B28*2000/85</f>
        <v>0</v>
      </c>
      <c r="AG24" s="266">
        <f>'Lpg (2)'!C28*1000/85</f>
        <v>0</v>
      </c>
      <c r="AH24" s="732">
        <f>'Lpg (2)'!D28*1000/85</f>
        <v>0</v>
      </c>
      <c r="AI24" s="722">
        <f t="shared" si="18"/>
        <v>0</v>
      </c>
      <c r="AJ24" s="428">
        <f t="shared" si="4"/>
        <v>0</v>
      </c>
      <c r="AK24" s="132"/>
    </row>
    <row r="25" spans="1:37" ht="18.75">
      <c r="A25" s="753">
        <f>Gen!A30</f>
        <v>44306</v>
      </c>
      <c r="B25" s="425">
        <f>'Summery Report'!E24</f>
        <v>0</v>
      </c>
      <c r="C25" s="758">
        <f>Gen!B30</f>
        <v>0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31655.430000000004</v>
      </c>
      <c r="I25" s="720">
        <f>Gen!E30</f>
        <v>15000</v>
      </c>
      <c r="J25" s="759">
        <f>Gen!T30</f>
        <v>0</v>
      </c>
      <c r="K25" s="764">
        <f>Gen!AK30</f>
        <v>0</v>
      </c>
      <c r="L25" s="755">
        <f t="shared" si="17"/>
        <v>0</v>
      </c>
      <c r="M25" s="448">
        <f>'Water-Meter'!K65</f>
        <v>0</v>
      </c>
      <c r="N25" s="715">
        <f>'Water-Meter'!E25</f>
        <v>0</v>
      </c>
      <c r="O25" s="706"/>
      <c r="P25" s="713"/>
      <c r="Q25" s="725">
        <f t="shared" si="2"/>
        <v>0</v>
      </c>
      <c r="R25" s="426">
        <f t="shared" si="5"/>
        <v>0</v>
      </c>
      <c r="S25" s="701"/>
      <c r="T25" s="702"/>
      <c r="U25" s="725">
        <f t="shared" si="6"/>
        <v>0</v>
      </c>
      <c r="V25" s="427">
        <f t="shared" si="19"/>
        <v>0</v>
      </c>
      <c r="W25" s="701"/>
      <c r="X25" s="707"/>
      <c r="Y25" s="725">
        <f t="shared" si="8"/>
        <v>0</v>
      </c>
      <c r="Z25" s="705">
        <f t="shared" si="9"/>
        <v>0</v>
      </c>
      <c r="AA25" s="712">
        <f t="shared" si="10"/>
        <v>0</v>
      </c>
      <c r="AB25" s="709"/>
      <c r="AC25" s="690">
        <f t="shared" si="11"/>
        <v>0</v>
      </c>
      <c r="AD25" s="693"/>
      <c r="AE25" s="178">
        <f t="shared" si="15"/>
        <v>0</v>
      </c>
      <c r="AF25" s="719">
        <f>'Lpg (2)'!B29*2000/85</f>
        <v>0</v>
      </c>
      <c r="AG25" s="266">
        <f>'Lpg (2)'!C29*1000/85</f>
        <v>0</v>
      </c>
      <c r="AH25" s="732">
        <f>'Lpg (2)'!D29*1000/85</f>
        <v>0</v>
      </c>
      <c r="AI25" s="722">
        <f t="shared" si="18"/>
        <v>0</v>
      </c>
      <c r="AJ25" s="428">
        <f t="shared" si="4"/>
        <v>0</v>
      </c>
      <c r="AK25" s="132"/>
    </row>
    <row r="26" spans="1:37" ht="18.75">
      <c r="A26" s="753">
        <f>Gen!A31</f>
        <v>44307</v>
      </c>
      <c r="B26" s="425">
        <f>'Summery Report'!E25</f>
        <v>0</v>
      </c>
      <c r="C26" s="758">
        <f>Gen!B31</f>
        <v>0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31655.430000000004</v>
      </c>
      <c r="I26" s="720">
        <f>Gen!E31</f>
        <v>0</v>
      </c>
      <c r="J26" s="759">
        <f>Gen!T31</f>
        <v>0</v>
      </c>
      <c r="K26" s="764">
        <f>Gen!AK31</f>
        <v>0</v>
      </c>
      <c r="L26" s="755">
        <f t="shared" si="17"/>
        <v>0</v>
      </c>
      <c r="M26" s="448">
        <f>'Water-Meter'!K66</f>
        <v>0</v>
      </c>
      <c r="N26" s="715">
        <f>'Water-Meter'!E26</f>
        <v>0</v>
      </c>
      <c r="O26" s="706"/>
      <c r="P26" s="713"/>
      <c r="Q26" s="725">
        <f t="shared" si="2"/>
        <v>0</v>
      </c>
      <c r="R26" s="426">
        <f t="shared" si="5"/>
        <v>0</v>
      </c>
      <c r="S26" s="701"/>
      <c r="T26" s="702"/>
      <c r="U26" s="725">
        <f t="shared" si="6"/>
        <v>0</v>
      </c>
      <c r="V26" s="427">
        <f t="shared" si="19"/>
        <v>0</v>
      </c>
      <c r="W26" s="701"/>
      <c r="X26" s="707"/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/>
      <c r="AC26" s="690">
        <f t="shared" si="11"/>
        <v>0</v>
      </c>
      <c r="AD26" s="693"/>
      <c r="AE26" s="178">
        <f t="shared" si="15"/>
        <v>0</v>
      </c>
      <c r="AF26" s="719">
        <f>'Lpg (2)'!B30*2000/85</f>
        <v>0</v>
      </c>
      <c r="AG26" s="266">
        <f>'Lpg (2)'!C30*1000/85</f>
        <v>0</v>
      </c>
      <c r="AH26" s="732">
        <f>'Lpg (2)'!D30*1000/85</f>
        <v>0</v>
      </c>
      <c r="AI26" s="722">
        <f t="shared" si="18"/>
        <v>0</v>
      </c>
      <c r="AJ26" s="428">
        <f t="shared" si="4"/>
        <v>0</v>
      </c>
      <c r="AK26" s="132"/>
    </row>
    <row r="27" spans="1:37" ht="18.75">
      <c r="A27" s="753">
        <f>Gen!A32</f>
        <v>44308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31655.430000000004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0</v>
      </c>
      <c r="N27" s="715">
        <f>'Water-Meter'!E27</f>
        <v>0</v>
      </c>
      <c r="O27" s="706"/>
      <c r="P27" s="713"/>
      <c r="Q27" s="725">
        <f t="shared" si="2"/>
        <v>0</v>
      </c>
      <c r="R27" s="426">
        <f t="shared" si="5"/>
        <v>0</v>
      </c>
      <c r="S27" s="701"/>
      <c r="T27" s="702"/>
      <c r="U27" s="725">
        <f t="shared" si="6"/>
        <v>0</v>
      </c>
      <c r="V27" s="427">
        <f t="shared" si="19"/>
        <v>0</v>
      </c>
      <c r="W27" s="701"/>
      <c r="X27" s="707"/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0</v>
      </c>
      <c r="AD27" s="693"/>
      <c r="AE27" s="178">
        <f t="shared" si="15"/>
        <v>0</v>
      </c>
      <c r="AF27" s="719">
        <f>'Lpg (2)'!B31*2000/85</f>
        <v>0</v>
      </c>
      <c r="AG27" s="266">
        <f>'Lpg (2)'!C31*1000/85</f>
        <v>0</v>
      </c>
      <c r="AH27" s="732">
        <f>'Lpg (2)'!D31*1000/85</f>
        <v>0</v>
      </c>
      <c r="AI27" s="722">
        <f t="shared" si="18"/>
        <v>0</v>
      </c>
      <c r="AJ27" s="428">
        <f t="shared" si="4"/>
        <v>0</v>
      </c>
      <c r="AK27" s="132"/>
    </row>
    <row r="28" spans="1:37" ht="18.75">
      <c r="A28" s="753">
        <f>Gen!A33</f>
        <v>44309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31655.430000000004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/>
      <c r="AE28" s="178">
        <f t="shared" si="15"/>
        <v>0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0</v>
      </c>
      <c r="AK28" s="132"/>
    </row>
    <row r="29" spans="1:37" ht="18.75">
      <c r="A29" s="753">
        <f>Gen!A34</f>
        <v>44310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31655.430000000004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>
        <f t="shared" si="15"/>
        <v>0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44311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31655.430000000004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44312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31655.430000000004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44313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31655.430000000004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44314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31655.430000000004</v>
      </c>
      <c r="I33" s="720">
        <f>Gen!E38</f>
        <v>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44315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31655.430000000004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44316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31655.430000000004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0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31655.430000000004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46979</v>
      </c>
      <c r="K37" s="770"/>
      <c r="L37" s="756">
        <f t="shared" si="17"/>
        <v>46979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3" sqref="W23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3" t="s">
        <v>150</v>
      </c>
      <c r="C1" s="884"/>
      <c r="D1" s="884"/>
      <c r="E1" s="884"/>
      <c r="F1" s="885"/>
      <c r="G1" s="157"/>
      <c r="H1" s="883" t="s">
        <v>151</v>
      </c>
      <c r="I1" s="884"/>
      <c r="J1" s="884"/>
      <c r="K1" s="884"/>
      <c r="L1" s="885"/>
      <c r="M1" s="883" t="s">
        <v>170</v>
      </c>
      <c r="N1" s="884"/>
      <c r="O1" s="884"/>
      <c r="P1" s="884"/>
      <c r="Q1" s="885"/>
      <c r="R1" s="157"/>
      <c r="T1" s="883" t="s">
        <v>166</v>
      </c>
      <c r="U1" s="884"/>
      <c r="V1" s="884"/>
      <c r="W1" s="884"/>
      <c r="X1" s="885"/>
      <c r="Y1" s="883" t="s">
        <v>169</v>
      </c>
      <c r="Z1" s="884"/>
      <c r="AA1" s="884"/>
      <c r="AB1" s="884"/>
      <c r="AC1" s="885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44287</v>
      </c>
      <c r="B3" s="886" t="s">
        <v>156</v>
      </c>
      <c r="C3" s="887"/>
      <c r="D3" s="166"/>
      <c r="E3" s="577">
        <v>9204</v>
      </c>
      <c r="F3" s="584" t="s">
        <v>157</v>
      </c>
      <c r="G3" s="585"/>
      <c r="H3" s="886" t="s">
        <v>156</v>
      </c>
      <c r="I3" s="887"/>
      <c r="J3" s="611">
        <f>'Water-Meter'!G5</f>
        <v>75790</v>
      </c>
      <c r="K3" s="586">
        <f>'Water-Meter'!G5</f>
        <v>75790</v>
      </c>
      <c r="L3" s="241"/>
      <c r="M3" s="886" t="s">
        <v>156</v>
      </c>
      <c r="N3" s="887"/>
      <c r="O3" s="166"/>
      <c r="P3" s="587">
        <f>'Water-Meter'!J5</f>
        <v>8362</v>
      </c>
      <c r="Q3" s="165"/>
      <c r="R3" s="241"/>
      <c r="S3" s="640"/>
      <c r="T3" s="886" t="s">
        <v>156</v>
      </c>
      <c r="U3" s="887"/>
      <c r="V3" s="166"/>
      <c r="W3" s="578">
        <v>8073</v>
      </c>
      <c r="X3" s="588">
        <f t="shared" ref="X3:X35" si="0">(W3-V3)*200</f>
        <v>1614600</v>
      </c>
      <c r="Y3" s="886" t="s">
        <v>156</v>
      </c>
      <c r="Z3" s="887"/>
      <c r="AA3" s="166"/>
      <c r="AB3" s="169"/>
      <c r="AC3" s="170"/>
    </row>
    <row r="4" spans="1:29" ht="19.5" thickBot="1">
      <c r="A4" s="641">
        <f>Gen!B11</f>
        <v>0.156</v>
      </c>
      <c r="B4" s="589">
        <f>Gen!A11</f>
        <v>44287</v>
      </c>
      <c r="C4" s="590"/>
      <c r="D4" s="591">
        <f t="shared" ref="D4:D23" si="1">E3</f>
        <v>9204</v>
      </c>
      <c r="E4" s="577">
        <v>9206</v>
      </c>
      <c r="F4" s="591">
        <f t="shared" ref="F4:F15" si="2">SUM(E4-D4)*120</f>
        <v>240</v>
      </c>
      <c r="G4" s="590"/>
      <c r="H4" s="628">
        <f>B4</f>
        <v>44287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44287</v>
      </c>
      <c r="N4" s="590"/>
      <c r="O4" s="60"/>
      <c r="P4" s="597">
        <f>'Water-Meter'!J6</f>
        <v>8364</v>
      </c>
      <c r="Q4" s="590">
        <f>N4-O3</f>
        <v>0</v>
      </c>
      <c r="R4" s="631">
        <f t="shared" ref="R4:R20" si="4">SUM(Q4/1615)</f>
        <v>0</v>
      </c>
      <c r="S4" s="632">
        <f>Gen!T11</f>
        <v>3175</v>
      </c>
      <c r="T4" s="628">
        <f>M4</f>
        <v>44287</v>
      </c>
      <c r="U4" s="590"/>
      <c r="V4" s="591">
        <f t="shared" ref="V4:V33" si="5">W3</f>
        <v>8073</v>
      </c>
      <c r="W4" s="578">
        <v>8075</v>
      </c>
      <c r="X4" s="591">
        <f t="shared" si="0"/>
        <v>400</v>
      </c>
      <c r="Y4" s="628">
        <f>T4</f>
        <v>44287</v>
      </c>
      <c r="Z4" s="590"/>
      <c r="AA4" s="590"/>
      <c r="AB4" s="597">
        <f>'Water-Meter'!P6</f>
        <v>21117</v>
      </c>
      <c r="AC4" s="598">
        <f>AA4-AB3</f>
        <v>0</v>
      </c>
    </row>
    <row r="5" spans="1:29" ht="19.5" thickBot="1">
      <c r="A5" s="642">
        <f>Gen!B12</f>
        <v>0.16900000000000001</v>
      </c>
      <c r="B5" s="592">
        <f>Gen!A12</f>
        <v>44288</v>
      </c>
      <c r="C5" s="576"/>
      <c r="D5" s="581">
        <f t="shared" si="1"/>
        <v>9206</v>
      </c>
      <c r="E5" s="577">
        <v>9209</v>
      </c>
      <c r="F5" s="581">
        <f t="shared" si="2"/>
        <v>360</v>
      </c>
      <c r="G5" s="576"/>
      <c r="H5" s="623">
        <f t="shared" ref="H5:H35" si="6">B5</f>
        <v>44288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44288</v>
      </c>
      <c r="N5" s="576"/>
      <c r="O5" s="6"/>
      <c r="P5" s="580">
        <f>'Water-Meter'!J7</f>
        <v>8366</v>
      </c>
      <c r="Q5" s="576">
        <f t="shared" ref="Q5:Q20" si="8">N5-O4</f>
        <v>0</v>
      </c>
      <c r="R5" s="626">
        <f t="shared" si="4"/>
        <v>0</v>
      </c>
      <c r="S5" s="627">
        <f>Gen!T12</f>
        <v>3187</v>
      </c>
      <c r="T5" s="628">
        <f t="shared" ref="T5:T34" si="9">M5</f>
        <v>44288</v>
      </c>
      <c r="U5" s="576"/>
      <c r="V5" s="581">
        <f t="shared" si="5"/>
        <v>8075</v>
      </c>
      <c r="W5" s="578">
        <v>8078</v>
      </c>
      <c r="X5" s="581">
        <f t="shared" si="0"/>
        <v>600</v>
      </c>
      <c r="Y5" s="623">
        <f t="shared" ref="Y5:Y30" si="10">T5</f>
        <v>44288</v>
      </c>
      <c r="Z5" s="576"/>
      <c r="AA5" s="576"/>
      <c r="AB5" s="580">
        <f>'Water-Meter'!P7</f>
        <v>21121</v>
      </c>
      <c r="AC5" s="633">
        <f t="shared" ref="AC5:AC35" si="11">AA5-AB4</f>
        <v>-21117</v>
      </c>
    </row>
    <row r="6" spans="1:29" ht="19.5" thickBot="1">
      <c r="A6" s="642">
        <f>Gen!B13</f>
        <v>0.23</v>
      </c>
      <c r="B6" s="592">
        <f>Gen!A13</f>
        <v>44289</v>
      </c>
      <c r="C6" s="576"/>
      <c r="D6" s="581">
        <f t="shared" si="1"/>
        <v>9209</v>
      </c>
      <c r="E6" s="577">
        <v>9211.7000000000007</v>
      </c>
      <c r="F6" s="581">
        <f t="shared" si="2"/>
        <v>324.00000000008731</v>
      </c>
      <c r="G6" s="576"/>
      <c r="H6" s="623">
        <f t="shared" si="6"/>
        <v>44289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44289</v>
      </c>
      <c r="N6" s="576"/>
      <c r="O6" s="6"/>
      <c r="P6" s="580">
        <f>'Water-Meter'!J8</f>
        <v>8368</v>
      </c>
      <c r="Q6" s="576">
        <f t="shared" si="8"/>
        <v>0</v>
      </c>
      <c r="R6" s="626">
        <f t="shared" si="4"/>
        <v>0</v>
      </c>
      <c r="S6" s="627">
        <f>Gen!T13</f>
        <v>3546</v>
      </c>
      <c r="T6" s="628">
        <f t="shared" si="9"/>
        <v>44289</v>
      </c>
      <c r="U6" s="576"/>
      <c r="V6" s="581">
        <f t="shared" si="5"/>
        <v>8078</v>
      </c>
      <c r="W6" s="578">
        <v>8080</v>
      </c>
      <c r="X6" s="581">
        <f t="shared" si="0"/>
        <v>400</v>
      </c>
      <c r="Y6" s="623">
        <f t="shared" si="10"/>
        <v>44289</v>
      </c>
      <c r="Z6" s="576"/>
      <c r="AA6" s="576"/>
      <c r="AB6" s="580">
        <f>'Water-Meter'!P8</f>
        <v>21126</v>
      </c>
      <c r="AC6" s="633">
        <f t="shared" si="11"/>
        <v>-21121</v>
      </c>
    </row>
    <row r="7" spans="1:29" ht="19.5" thickBot="1">
      <c r="A7" s="642">
        <f>Gen!B14</f>
        <v>0.247</v>
      </c>
      <c r="B7" s="592">
        <f>Gen!A14</f>
        <v>44290</v>
      </c>
      <c r="C7" s="576"/>
      <c r="D7" s="581">
        <f t="shared" si="1"/>
        <v>9211.7000000000007</v>
      </c>
      <c r="E7" s="577">
        <v>9214.2000000000007</v>
      </c>
      <c r="F7" s="581">
        <f t="shared" si="2"/>
        <v>300</v>
      </c>
      <c r="G7" s="576"/>
      <c r="H7" s="623">
        <f t="shared" si="6"/>
        <v>44290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44290</v>
      </c>
      <c r="N7" s="576"/>
      <c r="O7" s="6"/>
      <c r="P7" s="580">
        <f>'Water-Meter'!J9</f>
        <v>8369</v>
      </c>
      <c r="Q7" s="576">
        <f t="shared" si="8"/>
        <v>0</v>
      </c>
      <c r="R7" s="626">
        <f t="shared" si="4"/>
        <v>0</v>
      </c>
      <c r="S7" s="627">
        <f>Gen!T14</f>
        <v>3328</v>
      </c>
      <c r="T7" s="628">
        <f t="shared" si="9"/>
        <v>44290</v>
      </c>
      <c r="U7" s="576"/>
      <c r="V7" s="581">
        <f t="shared" si="5"/>
        <v>8080</v>
      </c>
      <c r="W7" s="578">
        <v>8081.8</v>
      </c>
      <c r="X7" s="581">
        <f t="shared" si="0"/>
        <v>360.00000000003638</v>
      </c>
      <c r="Y7" s="623">
        <f t="shared" si="10"/>
        <v>44290</v>
      </c>
      <c r="Z7" s="576"/>
      <c r="AA7" s="576"/>
      <c r="AB7" s="580">
        <f>'Water-Meter'!P9</f>
        <v>21130</v>
      </c>
      <c r="AC7" s="633">
        <f t="shared" si="11"/>
        <v>-21126</v>
      </c>
    </row>
    <row r="8" spans="1:29" ht="19.5" thickBot="1">
      <c r="A8" s="642">
        <f>Gen!B15</f>
        <v>0.13</v>
      </c>
      <c r="B8" s="592">
        <f>Gen!A15</f>
        <v>44291</v>
      </c>
      <c r="C8" s="576"/>
      <c r="D8" s="581">
        <f t="shared" si="1"/>
        <v>9214.2000000000007</v>
      </c>
      <c r="E8" s="577">
        <v>9216.7000000000007</v>
      </c>
      <c r="F8" s="581">
        <f t="shared" si="2"/>
        <v>300</v>
      </c>
      <c r="G8" s="576"/>
      <c r="H8" s="623">
        <f t="shared" si="6"/>
        <v>44291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44291</v>
      </c>
      <c r="N8" s="576"/>
      <c r="O8" s="6"/>
      <c r="P8" s="580">
        <f>'Water-Meter'!J10</f>
        <v>8371</v>
      </c>
      <c r="Q8" s="576">
        <f t="shared" si="8"/>
        <v>0</v>
      </c>
      <c r="R8" s="626">
        <f t="shared" si="4"/>
        <v>0</v>
      </c>
      <c r="S8" s="627">
        <f>Gen!T15</f>
        <v>3250</v>
      </c>
      <c r="T8" s="628">
        <f t="shared" si="9"/>
        <v>44291</v>
      </c>
      <c r="U8" s="576"/>
      <c r="V8" s="581">
        <f t="shared" si="5"/>
        <v>8081.8</v>
      </c>
      <c r="W8" s="578">
        <v>8084</v>
      </c>
      <c r="X8" s="581">
        <f t="shared" si="0"/>
        <v>439.99999999996362</v>
      </c>
      <c r="Y8" s="623">
        <f t="shared" si="10"/>
        <v>44291</v>
      </c>
      <c r="Z8" s="576"/>
      <c r="AA8" s="576"/>
      <c r="AB8" s="580">
        <f>'Water-Meter'!P10</f>
        <v>21134</v>
      </c>
      <c r="AC8" s="633">
        <f t="shared" si="11"/>
        <v>-21130</v>
      </c>
    </row>
    <row r="9" spans="1:29" ht="19.5" thickBot="1">
      <c r="A9" s="642">
        <f>Gen!B16</f>
        <v>9.0999999999999998E-2</v>
      </c>
      <c r="B9" s="592">
        <f>Gen!A16</f>
        <v>44292</v>
      </c>
      <c r="C9" s="576"/>
      <c r="D9" s="581">
        <f t="shared" si="1"/>
        <v>9216.7000000000007</v>
      </c>
      <c r="E9" s="577">
        <v>9219.2999999999993</v>
      </c>
      <c r="F9" s="581">
        <f t="shared" si="2"/>
        <v>311.99999999982538</v>
      </c>
      <c r="G9" s="576"/>
      <c r="H9" s="623">
        <f t="shared" si="6"/>
        <v>44292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44292</v>
      </c>
      <c r="N9" s="576"/>
      <c r="O9" s="6"/>
      <c r="P9" s="580">
        <f>'Water-Meter'!J11</f>
        <v>8372</v>
      </c>
      <c r="Q9" s="576">
        <f t="shared" si="8"/>
        <v>0</v>
      </c>
      <c r="R9" s="626">
        <f t="shared" si="4"/>
        <v>0</v>
      </c>
      <c r="S9" s="627">
        <f>Gen!T16</f>
        <v>3070</v>
      </c>
      <c r="T9" s="628">
        <f t="shared" si="9"/>
        <v>44292</v>
      </c>
      <c r="U9" s="576"/>
      <c r="V9" s="581">
        <f t="shared" si="5"/>
        <v>8084</v>
      </c>
      <c r="W9" s="578">
        <v>8086.5</v>
      </c>
      <c r="X9" s="581">
        <f t="shared" si="0"/>
        <v>500</v>
      </c>
      <c r="Y9" s="623">
        <f t="shared" si="10"/>
        <v>44292</v>
      </c>
      <c r="Z9" s="576"/>
      <c r="AA9" s="576"/>
      <c r="AB9" s="580">
        <f>'Water-Meter'!P11</f>
        <v>21142</v>
      </c>
      <c r="AC9" s="633">
        <f t="shared" si="11"/>
        <v>-21134</v>
      </c>
    </row>
    <row r="10" spans="1:29" ht="19.5" thickBot="1">
      <c r="A10" s="642">
        <f>Gen!B17</f>
        <v>6.5000000000000002E-2</v>
      </c>
      <c r="B10" s="592">
        <f>Gen!A17</f>
        <v>44293</v>
      </c>
      <c r="C10" s="576"/>
      <c r="D10" s="581">
        <f t="shared" si="1"/>
        <v>9219.2999999999993</v>
      </c>
      <c r="E10" s="577">
        <v>9221.7000000000007</v>
      </c>
      <c r="F10" s="581">
        <f t="shared" si="2"/>
        <v>288.00000000017462</v>
      </c>
      <c r="G10" s="576"/>
      <c r="H10" s="623">
        <f t="shared" si="6"/>
        <v>44293</v>
      </c>
      <c r="I10" s="576"/>
      <c r="J10" s="624">
        <f>'Water-Meter'!G12</f>
        <v>75790</v>
      </c>
      <c r="K10" s="625">
        <f>'Water-Meter'!G12</f>
        <v>75790</v>
      </c>
      <c r="L10" s="576">
        <f t="shared" si="3"/>
        <v>0</v>
      </c>
      <c r="M10" s="623">
        <f t="shared" si="7"/>
        <v>44293</v>
      </c>
      <c r="N10" s="576"/>
      <c r="O10" s="6"/>
      <c r="P10" s="580">
        <f>'Water-Meter'!J12</f>
        <v>8374</v>
      </c>
      <c r="Q10" s="576">
        <f t="shared" si="8"/>
        <v>0</v>
      </c>
      <c r="R10" s="626">
        <f t="shared" si="4"/>
        <v>0</v>
      </c>
      <c r="S10" s="627">
        <f>Gen!T17</f>
        <v>3363</v>
      </c>
      <c r="T10" s="628">
        <f t="shared" si="9"/>
        <v>44293</v>
      </c>
      <c r="U10" s="576"/>
      <c r="V10" s="581">
        <f t="shared" si="5"/>
        <v>8086.5</v>
      </c>
      <c r="W10" s="578">
        <v>8088.4</v>
      </c>
      <c r="X10" s="581">
        <f t="shared" si="0"/>
        <v>379.99999999992724</v>
      </c>
      <c r="Y10" s="623">
        <f t="shared" si="10"/>
        <v>44293</v>
      </c>
      <c r="Z10" s="576"/>
      <c r="AA10" s="576"/>
      <c r="AB10" s="580">
        <f>'Water-Meter'!P12</f>
        <v>21145</v>
      </c>
      <c r="AC10" s="633">
        <f t="shared" si="11"/>
        <v>-21142</v>
      </c>
    </row>
    <row r="11" spans="1:29" ht="19.5" thickBot="1">
      <c r="A11" s="642">
        <f>Gen!B18</f>
        <v>9.0999999999999998E-2</v>
      </c>
      <c r="B11" s="592">
        <f>Gen!A18</f>
        <v>44294</v>
      </c>
      <c r="C11" s="576"/>
      <c r="D11" s="581">
        <f t="shared" si="1"/>
        <v>9221.7000000000007</v>
      </c>
      <c r="E11" s="577">
        <v>9224</v>
      </c>
      <c r="F11" s="581">
        <f t="shared" si="2"/>
        <v>275.99999999991269</v>
      </c>
      <c r="G11" s="576"/>
      <c r="H11" s="623">
        <f t="shared" si="6"/>
        <v>44294</v>
      </c>
      <c r="I11" s="576"/>
      <c r="J11" s="624">
        <f>'Water-Meter'!G13</f>
        <v>75790</v>
      </c>
      <c r="K11" s="625">
        <f>'Water-Meter'!G13</f>
        <v>75790</v>
      </c>
      <c r="L11" s="576">
        <f t="shared" si="3"/>
        <v>0</v>
      </c>
      <c r="M11" s="623">
        <f t="shared" si="7"/>
        <v>44294</v>
      </c>
      <c r="N11" s="576"/>
      <c r="O11" s="6"/>
      <c r="P11" s="580">
        <f>'Water-Meter'!J13</f>
        <v>8376</v>
      </c>
      <c r="Q11" s="576">
        <f t="shared" si="8"/>
        <v>0</v>
      </c>
      <c r="R11" s="626">
        <f t="shared" si="4"/>
        <v>0</v>
      </c>
      <c r="S11" s="627">
        <f>Gen!T18</f>
        <v>3146</v>
      </c>
      <c r="T11" s="628">
        <f t="shared" si="9"/>
        <v>44294</v>
      </c>
      <c r="U11" s="576"/>
      <c r="V11" s="581">
        <f t="shared" si="5"/>
        <v>8088.4</v>
      </c>
      <c r="W11" s="578">
        <v>8090.2</v>
      </c>
      <c r="X11" s="581">
        <f t="shared" si="0"/>
        <v>360.00000000003638</v>
      </c>
      <c r="Y11" s="623">
        <f t="shared" si="10"/>
        <v>44294</v>
      </c>
      <c r="Z11" s="576"/>
      <c r="AA11" s="576"/>
      <c r="AB11" s="580">
        <f>'Water-Meter'!P13</f>
        <v>21151</v>
      </c>
      <c r="AC11" s="633">
        <f t="shared" si="11"/>
        <v>-21145</v>
      </c>
    </row>
    <row r="12" spans="1:29" ht="19.5" thickBot="1">
      <c r="A12" s="642">
        <f>Gen!B19</f>
        <v>6.5000000000000002E-2</v>
      </c>
      <c r="B12" s="592">
        <f>Gen!A19</f>
        <v>44295</v>
      </c>
      <c r="C12" s="576"/>
      <c r="D12" s="581">
        <f t="shared" si="1"/>
        <v>9224</v>
      </c>
      <c r="E12" s="577">
        <v>9226</v>
      </c>
      <c r="F12" s="581">
        <f t="shared" si="2"/>
        <v>240</v>
      </c>
      <c r="G12" s="576"/>
      <c r="H12" s="623">
        <f t="shared" si="6"/>
        <v>44295</v>
      </c>
      <c r="I12" s="576"/>
      <c r="J12" s="624">
        <f>'Water-Meter'!G14</f>
        <v>75790</v>
      </c>
      <c r="K12" s="625">
        <f>'Water-Meter'!G14</f>
        <v>75790</v>
      </c>
      <c r="L12" s="576">
        <f t="shared" si="3"/>
        <v>0</v>
      </c>
      <c r="M12" s="623">
        <f t="shared" si="7"/>
        <v>44295</v>
      </c>
      <c r="N12" s="576"/>
      <c r="O12" s="6"/>
      <c r="P12" s="580">
        <f>'Water-Meter'!J14</f>
        <v>8377</v>
      </c>
      <c r="Q12" s="576">
        <f t="shared" si="8"/>
        <v>0</v>
      </c>
      <c r="R12" s="626">
        <f t="shared" si="4"/>
        <v>0</v>
      </c>
      <c r="S12" s="627">
        <f>Gen!T19</f>
        <v>3314</v>
      </c>
      <c r="T12" s="628">
        <f t="shared" si="9"/>
        <v>44295</v>
      </c>
      <c r="U12" s="576"/>
      <c r="V12" s="581">
        <f t="shared" si="5"/>
        <v>8090.2</v>
      </c>
      <c r="W12" s="578">
        <v>8092.3</v>
      </c>
      <c r="X12" s="581">
        <f t="shared" si="0"/>
        <v>420.00000000007276</v>
      </c>
      <c r="Y12" s="623">
        <f t="shared" si="10"/>
        <v>44295</v>
      </c>
      <c r="Z12" s="576"/>
      <c r="AA12" s="576"/>
      <c r="AB12" s="580">
        <f>'Water-Meter'!P14</f>
        <v>21155</v>
      </c>
      <c r="AC12" s="633">
        <f t="shared" si="11"/>
        <v>-21151</v>
      </c>
    </row>
    <row r="13" spans="1:29" ht="19.5" thickBot="1">
      <c r="A13" s="642">
        <f>Gen!B20</f>
        <v>5.1999999999999998E-2</v>
      </c>
      <c r="B13" s="592">
        <f>Gen!A20</f>
        <v>44296</v>
      </c>
      <c r="C13" s="576"/>
      <c r="D13" s="581">
        <f t="shared" si="1"/>
        <v>9226</v>
      </c>
      <c r="E13" s="577">
        <v>9227.7999999999993</v>
      </c>
      <c r="F13" s="581">
        <f t="shared" si="2"/>
        <v>215.99999999991269</v>
      </c>
      <c r="G13" s="576"/>
      <c r="H13" s="623">
        <f t="shared" si="6"/>
        <v>44296</v>
      </c>
      <c r="I13" s="576"/>
      <c r="J13" s="624">
        <f>'Water-Meter'!G15</f>
        <v>75790</v>
      </c>
      <c r="K13" s="625">
        <f>'Water-Meter'!G15</f>
        <v>75790</v>
      </c>
      <c r="L13" s="576">
        <f t="shared" si="3"/>
        <v>0</v>
      </c>
      <c r="M13" s="623">
        <f t="shared" si="7"/>
        <v>44296</v>
      </c>
      <c r="N13" s="576"/>
      <c r="O13" s="6"/>
      <c r="P13" s="580">
        <f>'Water-Meter'!J15</f>
        <v>8379</v>
      </c>
      <c r="Q13" s="576">
        <f t="shared" si="8"/>
        <v>0</v>
      </c>
      <c r="R13" s="626">
        <f t="shared" si="4"/>
        <v>0</v>
      </c>
      <c r="S13" s="627">
        <f>Gen!T20</f>
        <v>3168</v>
      </c>
      <c r="T13" s="628">
        <f t="shared" si="9"/>
        <v>44296</v>
      </c>
      <c r="U13" s="576"/>
      <c r="V13" s="581">
        <f t="shared" si="5"/>
        <v>8092.3</v>
      </c>
      <c r="W13" s="578">
        <v>8093.6</v>
      </c>
      <c r="X13" s="581">
        <f t="shared" si="0"/>
        <v>260.00000000003638</v>
      </c>
      <c r="Y13" s="623">
        <f t="shared" si="10"/>
        <v>44296</v>
      </c>
      <c r="Z13" s="576"/>
      <c r="AA13" s="576"/>
      <c r="AB13" s="580">
        <f>'Water-Meter'!P15</f>
        <v>21158</v>
      </c>
      <c r="AC13" s="633">
        <f t="shared" si="11"/>
        <v>-21155</v>
      </c>
    </row>
    <row r="14" spans="1:29" ht="19.5" thickBot="1">
      <c r="A14" s="642">
        <f>Gen!B21</f>
        <v>0.104</v>
      </c>
      <c r="B14" s="592">
        <f>Gen!A21</f>
        <v>44297</v>
      </c>
      <c r="C14" s="576"/>
      <c r="D14" s="581">
        <f t="shared" si="1"/>
        <v>9227.7999999999993</v>
      </c>
      <c r="E14" s="577">
        <v>9229.6</v>
      </c>
      <c r="F14" s="581">
        <f t="shared" si="2"/>
        <v>216.00000000013097</v>
      </c>
      <c r="G14" s="576"/>
      <c r="H14" s="623">
        <f t="shared" si="6"/>
        <v>44297</v>
      </c>
      <c r="I14" s="576"/>
      <c r="J14" s="624">
        <f>'Water-Meter'!G16</f>
        <v>75790</v>
      </c>
      <c r="K14" s="625">
        <f>'Water-Meter'!G16</f>
        <v>75790</v>
      </c>
      <c r="L14" s="576">
        <f t="shared" si="3"/>
        <v>0</v>
      </c>
      <c r="M14" s="623">
        <f t="shared" si="7"/>
        <v>44297</v>
      </c>
      <c r="N14" s="576"/>
      <c r="O14" s="6"/>
      <c r="P14" s="580">
        <f>'Water-Meter'!J16</f>
        <v>8381</v>
      </c>
      <c r="Q14" s="576">
        <v>8095</v>
      </c>
      <c r="R14" s="626">
        <f t="shared" si="4"/>
        <v>5.0123839009287927</v>
      </c>
      <c r="S14" s="627">
        <f>Gen!T21</f>
        <v>3237</v>
      </c>
      <c r="T14" s="628">
        <f t="shared" si="9"/>
        <v>44297</v>
      </c>
      <c r="U14" s="576"/>
      <c r="V14" s="581">
        <f t="shared" si="5"/>
        <v>8093.6</v>
      </c>
      <c r="W14" s="578">
        <v>8095</v>
      </c>
      <c r="X14" s="581">
        <f t="shared" si="0"/>
        <v>279.99999999992724</v>
      </c>
      <c r="Y14" s="623">
        <f t="shared" si="10"/>
        <v>44297</v>
      </c>
      <c r="Z14" s="576"/>
      <c r="AA14" s="576"/>
      <c r="AB14" s="580">
        <f>'Water-Meter'!P16</f>
        <v>21161</v>
      </c>
      <c r="AC14" s="633">
        <v>20490</v>
      </c>
    </row>
    <row r="15" spans="1:29" ht="19.5" thickBot="1">
      <c r="A15" s="642">
        <f>Gen!B22</f>
        <v>0.104</v>
      </c>
      <c r="B15" s="592">
        <f>Gen!A22</f>
        <v>44298</v>
      </c>
      <c r="C15" s="576"/>
      <c r="D15" s="581">
        <f t="shared" si="1"/>
        <v>9229.6</v>
      </c>
      <c r="E15" s="577">
        <v>9231.6</v>
      </c>
      <c r="F15" s="581">
        <f t="shared" si="2"/>
        <v>240</v>
      </c>
      <c r="G15" s="576"/>
      <c r="H15" s="623">
        <f t="shared" si="6"/>
        <v>44298</v>
      </c>
      <c r="I15" s="576"/>
      <c r="J15" s="624">
        <f>'Water-Meter'!G17</f>
        <v>75790</v>
      </c>
      <c r="K15" s="625">
        <f>'Water-Meter'!G17</f>
        <v>75790</v>
      </c>
      <c r="L15" s="576">
        <f t="shared" si="3"/>
        <v>0</v>
      </c>
      <c r="M15" s="623">
        <f t="shared" si="7"/>
        <v>44298</v>
      </c>
      <c r="N15" s="576"/>
      <c r="O15" s="6"/>
      <c r="P15" s="580">
        <f>'Water-Meter'!J17</f>
        <v>8382</v>
      </c>
      <c r="Q15" s="576">
        <f t="shared" si="8"/>
        <v>0</v>
      </c>
      <c r="R15" s="626">
        <f t="shared" si="4"/>
        <v>0</v>
      </c>
      <c r="S15" s="627">
        <f>Gen!T22</f>
        <v>3269</v>
      </c>
      <c r="T15" s="628">
        <f t="shared" si="9"/>
        <v>44298</v>
      </c>
      <c r="U15" s="576"/>
      <c r="V15" s="581">
        <f t="shared" si="5"/>
        <v>8095</v>
      </c>
      <c r="W15" s="578">
        <v>8096.2</v>
      </c>
      <c r="X15" s="581">
        <f t="shared" si="0"/>
        <v>239.99999999996362</v>
      </c>
      <c r="Y15" s="623">
        <f t="shared" si="10"/>
        <v>44298</v>
      </c>
      <c r="Z15" s="576"/>
      <c r="AA15" s="576"/>
      <c r="AB15" s="580">
        <f>'Water-Meter'!P17</f>
        <v>21167</v>
      </c>
      <c r="AC15" s="633">
        <f t="shared" si="11"/>
        <v>-21161</v>
      </c>
    </row>
    <row r="16" spans="1:29" ht="19.5" thickBot="1">
      <c r="A16" s="642">
        <f>Gen!B23</f>
        <v>1.2999999999999999E-2</v>
      </c>
      <c r="B16" s="592">
        <f>Gen!A23</f>
        <v>44299</v>
      </c>
      <c r="C16" s="576"/>
      <c r="D16" s="581">
        <f t="shared" si="1"/>
        <v>9231.6</v>
      </c>
      <c r="E16" s="577">
        <v>9233.4</v>
      </c>
      <c r="F16" s="581">
        <f>SUM(E16-D16)*120</f>
        <v>215.99999999991269</v>
      </c>
      <c r="G16" s="576"/>
      <c r="H16" s="623">
        <f t="shared" si="6"/>
        <v>44299</v>
      </c>
      <c r="I16" s="576"/>
      <c r="J16" s="624">
        <f>'Water-Meter'!G18</f>
        <v>75790</v>
      </c>
      <c r="K16" s="625">
        <f>'Water-Meter'!G18</f>
        <v>75790</v>
      </c>
      <c r="L16" s="576">
        <f t="shared" si="3"/>
        <v>0</v>
      </c>
      <c r="M16" s="623">
        <f t="shared" si="7"/>
        <v>44299</v>
      </c>
      <c r="N16" s="576"/>
      <c r="O16" s="6"/>
      <c r="P16" s="580">
        <f>'Water-Meter'!J18</f>
        <v>8383</v>
      </c>
      <c r="Q16" s="576">
        <f t="shared" si="8"/>
        <v>0</v>
      </c>
      <c r="R16" s="626">
        <f t="shared" si="4"/>
        <v>0</v>
      </c>
      <c r="S16" s="627">
        <f>Gen!T23</f>
        <v>2665</v>
      </c>
      <c r="T16" s="628">
        <f t="shared" si="9"/>
        <v>44299</v>
      </c>
      <c r="U16" s="576"/>
      <c r="V16" s="581">
        <f t="shared" si="5"/>
        <v>8096.2</v>
      </c>
      <c r="W16" s="578">
        <v>8097.7</v>
      </c>
      <c r="X16" s="581">
        <f t="shared" si="0"/>
        <v>300</v>
      </c>
      <c r="Y16" s="623">
        <f t="shared" si="10"/>
        <v>44299</v>
      </c>
      <c r="Z16" s="576"/>
      <c r="AA16" s="576"/>
      <c r="AB16" s="580">
        <f>'Water-Meter'!P18</f>
        <v>21169</v>
      </c>
      <c r="AC16" s="633">
        <f t="shared" si="11"/>
        <v>-21167</v>
      </c>
    </row>
    <row r="17" spans="1:29" ht="19.5" thickBot="1">
      <c r="A17" s="642">
        <f>Gen!B24</f>
        <v>0</v>
      </c>
      <c r="B17" s="592">
        <f>Gen!A24</f>
        <v>44300</v>
      </c>
      <c r="C17" s="576"/>
      <c r="D17" s="581">
        <f t="shared" si="1"/>
        <v>9233.4</v>
      </c>
      <c r="E17" s="577">
        <v>9235.2999999999993</v>
      </c>
      <c r="F17" s="581">
        <f>SUM(E17-D17)*120</f>
        <v>227.99999999995634</v>
      </c>
      <c r="G17" s="576"/>
      <c r="H17" s="623">
        <f t="shared" si="6"/>
        <v>44300</v>
      </c>
      <c r="I17" s="576"/>
      <c r="J17" s="624">
        <f>'Water-Meter'!G19</f>
        <v>75790</v>
      </c>
      <c r="K17" s="625">
        <f>'Water-Meter'!G19</f>
        <v>75790</v>
      </c>
      <c r="L17" s="576">
        <f t="shared" si="3"/>
        <v>0</v>
      </c>
      <c r="M17" s="623">
        <f t="shared" si="7"/>
        <v>44300</v>
      </c>
      <c r="N17" s="576"/>
      <c r="O17" s="6"/>
      <c r="P17" s="580">
        <f>'Water-Meter'!J19</f>
        <v>8384</v>
      </c>
      <c r="Q17" s="576">
        <f t="shared" si="8"/>
        <v>0</v>
      </c>
      <c r="R17" s="626">
        <f t="shared" si="4"/>
        <v>0</v>
      </c>
      <c r="S17" s="627">
        <f>Gen!T24</f>
        <v>2643</v>
      </c>
      <c r="T17" s="628">
        <f t="shared" si="9"/>
        <v>44300</v>
      </c>
      <c r="U17" s="576"/>
      <c r="V17" s="581">
        <f t="shared" si="5"/>
        <v>8097.7</v>
      </c>
      <c r="W17" s="578">
        <v>8098.6</v>
      </c>
      <c r="X17" s="581">
        <f t="shared" si="0"/>
        <v>180.00000000010914</v>
      </c>
      <c r="Y17" s="623">
        <f t="shared" si="10"/>
        <v>44300</v>
      </c>
      <c r="Z17" s="576"/>
      <c r="AA17" s="576"/>
      <c r="AB17" s="580">
        <f>'Water-Meter'!P19</f>
        <v>21171</v>
      </c>
      <c r="AC17" s="633">
        <f t="shared" si="11"/>
        <v>-21169</v>
      </c>
    </row>
    <row r="18" spans="1:29" ht="19.5" thickBot="1">
      <c r="A18" s="642">
        <f>Gen!B25</f>
        <v>0</v>
      </c>
      <c r="B18" s="592">
        <f>Gen!A25</f>
        <v>44301</v>
      </c>
      <c r="C18" s="576"/>
      <c r="D18" s="581">
        <f t="shared" si="1"/>
        <v>9235.2999999999993</v>
      </c>
      <c r="E18" s="577">
        <v>9237.1</v>
      </c>
      <c r="F18" s="581">
        <f t="shared" ref="F18:F22" si="12">SUM(E18-D18)*120</f>
        <v>216.00000000013097</v>
      </c>
      <c r="G18" s="576"/>
      <c r="H18" s="623">
        <f t="shared" si="6"/>
        <v>44301</v>
      </c>
      <c r="I18" s="576"/>
      <c r="J18" s="624">
        <f>'Water-Meter'!G20</f>
        <v>0</v>
      </c>
      <c r="K18" s="625">
        <f>'Water-Meter'!G20</f>
        <v>0</v>
      </c>
      <c r="L18" s="576">
        <f t="shared" si="3"/>
        <v>0</v>
      </c>
      <c r="M18" s="623">
        <f t="shared" si="7"/>
        <v>44301</v>
      </c>
      <c r="N18" s="576"/>
      <c r="O18" s="6">
        <f>'Water-Meter'!J20</f>
        <v>0</v>
      </c>
      <c r="P18" s="580">
        <f>'Water-Meter'!J20</f>
        <v>0</v>
      </c>
      <c r="Q18" s="576">
        <f t="shared" si="8"/>
        <v>0</v>
      </c>
      <c r="R18" s="626">
        <f t="shared" si="4"/>
        <v>0</v>
      </c>
      <c r="S18" s="627">
        <f>Gen!T25</f>
        <v>2618</v>
      </c>
      <c r="T18" s="628">
        <f t="shared" si="9"/>
        <v>44301</v>
      </c>
      <c r="U18" s="576"/>
      <c r="V18" s="581">
        <f t="shared" si="5"/>
        <v>8098.6</v>
      </c>
      <c r="W18" s="578">
        <v>8100.1</v>
      </c>
      <c r="X18" s="581">
        <f t="shared" si="0"/>
        <v>300</v>
      </c>
      <c r="Y18" s="623">
        <f t="shared" si="10"/>
        <v>44301</v>
      </c>
      <c r="Z18" s="576"/>
      <c r="AA18" s="576"/>
      <c r="AB18" s="580">
        <f>'Water-Meter'!P20</f>
        <v>0</v>
      </c>
      <c r="AC18" s="633">
        <f t="shared" si="11"/>
        <v>-21171</v>
      </c>
    </row>
    <row r="19" spans="1:29" ht="19.5" thickBot="1">
      <c r="A19" s="642">
        <f>Gen!B26</f>
        <v>0</v>
      </c>
      <c r="B19" s="592">
        <f>Gen!A26</f>
        <v>44302</v>
      </c>
      <c r="C19" s="579"/>
      <c r="D19" s="581">
        <f t="shared" si="1"/>
        <v>9237.1</v>
      </c>
      <c r="E19" s="577"/>
      <c r="F19" s="581">
        <f t="shared" si="12"/>
        <v>-1108452</v>
      </c>
      <c r="G19" s="576"/>
      <c r="H19" s="623">
        <f t="shared" si="6"/>
        <v>44302</v>
      </c>
      <c r="I19" s="579"/>
      <c r="J19" s="624">
        <f>'Water-Meter'!G21</f>
        <v>0</v>
      </c>
      <c r="K19" s="625">
        <f>'Water-Meter'!G21</f>
        <v>0</v>
      </c>
      <c r="L19" s="576">
        <f t="shared" si="3"/>
        <v>0</v>
      </c>
      <c r="M19" s="623">
        <f t="shared" si="7"/>
        <v>44302</v>
      </c>
      <c r="N19" s="579"/>
      <c r="O19" s="6">
        <f>'Water-Meter'!J21</f>
        <v>0</v>
      </c>
      <c r="P19" s="580">
        <f>'Water-Meter'!J21</f>
        <v>0</v>
      </c>
      <c r="Q19" s="576">
        <f t="shared" si="8"/>
        <v>0</v>
      </c>
      <c r="R19" s="626">
        <f t="shared" si="4"/>
        <v>0</v>
      </c>
      <c r="S19" s="627">
        <f>Gen!T26</f>
        <v>0</v>
      </c>
      <c r="T19" s="628">
        <f t="shared" si="9"/>
        <v>44302</v>
      </c>
      <c r="U19" s="579"/>
      <c r="V19" s="581">
        <f t="shared" si="5"/>
        <v>8100.1</v>
      </c>
      <c r="W19" s="578"/>
      <c r="X19" s="581">
        <f t="shared" si="0"/>
        <v>-1620020</v>
      </c>
      <c r="Y19" s="623">
        <f t="shared" si="10"/>
        <v>44302</v>
      </c>
      <c r="Z19" s="579"/>
      <c r="AA19" s="576"/>
      <c r="AB19" s="580">
        <f>'Water-Meter'!P21</f>
        <v>0</v>
      </c>
      <c r="AC19" s="633">
        <f t="shared" si="11"/>
        <v>0</v>
      </c>
    </row>
    <row r="20" spans="1:29" ht="19.5" thickBot="1">
      <c r="A20" s="642">
        <f>Gen!B27</f>
        <v>0</v>
      </c>
      <c r="B20" s="592">
        <f>Gen!A27</f>
        <v>44303</v>
      </c>
      <c r="C20" s="579"/>
      <c r="D20" s="581">
        <f t="shared" si="1"/>
        <v>0</v>
      </c>
      <c r="E20" s="577"/>
      <c r="F20" s="581">
        <f t="shared" si="12"/>
        <v>0</v>
      </c>
      <c r="G20" s="576"/>
      <c r="H20" s="623">
        <f t="shared" si="6"/>
        <v>44303</v>
      </c>
      <c r="I20" s="579"/>
      <c r="J20" s="624">
        <f>'Water-Meter'!G22</f>
        <v>0</v>
      </c>
      <c r="K20" s="625">
        <f>'Water-Meter'!G22</f>
        <v>0</v>
      </c>
      <c r="L20" s="576">
        <f t="shared" si="3"/>
        <v>0</v>
      </c>
      <c r="M20" s="623">
        <f t="shared" si="7"/>
        <v>44303</v>
      </c>
      <c r="N20" s="579"/>
      <c r="O20" s="6">
        <f>'Water-Meter'!J22</f>
        <v>0</v>
      </c>
      <c r="P20" s="580">
        <f>'Water-Meter'!J22</f>
        <v>0</v>
      </c>
      <c r="Q20" s="576">
        <f t="shared" si="8"/>
        <v>0</v>
      </c>
      <c r="R20" s="626">
        <f t="shared" si="4"/>
        <v>0</v>
      </c>
      <c r="S20" s="627">
        <f>Gen!T27</f>
        <v>0</v>
      </c>
      <c r="T20" s="628">
        <f t="shared" si="9"/>
        <v>44303</v>
      </c>
      <c r="U20" s="579"/>
      <c r="V20" s="581">
        <f t="shared" si="5"/>
        <v>0</v>
      </c>
      <c r="W20" s="578"/>
      <c r="X20" s="581">
        <f t="shared" si="0"/>
        <v>0</v>
      </c>
      <c r="Y20" s="623">
        <f t="shared" si="10"/>
        <v>44303</v>
      </c>
      <c r="Z20" s="579"/>
      <c r="AA20" s="576"/>
      <c r="AB20" s="580">
        <f>'Water-Meter'!P22</f>
        <v>0</v>
      </c>
      <c r="AC20" s="633">
        <f t="shared" si="11"/>
        <v>0</v>
      </c>
    </row>
    <row r="21" spans="1:29" ht="19.5" thickBot="1">
      <c r="A21" s="642">
        <f>Gen!B28</f>
        <v>0</v>
      </c>
      <c r="B21" s="592">
        <f>Gen!A28</f>
        <v>44304</v>
      </c>
      <c r="C21" s="579"/>
      <c r="D21" s="581">
        <f t="shared" si="1"/>
        <v>0</v>
      </c>
      <c r="E21" s="577"/>
      <c r="F21" s="581">
        <f t="shared" si="12"/>
        <v>0</v>
      </c>
      <c r="G21" s="576"/>
      <c r="H21" s="623">
        <f t="shared" si="6"/>
        <v>44304</v>
      </c>
      <c r="I21" s="579"/>
      <c r="J21" s="624">
        <f>'Water-Meter'!G23</f>
        <v>0</v>
      </c>
      <c r="K21" s="625">
        <f>'Water-Meter'!G23</f>
        <v>0</v>
      </c>
      <c r="L21" s="576">
        <f t="shared" si="3"/>
        <v>0</v>
      </c>
      <c r="M21" s="623">
        <f t="shared" si="7"/>
        <v>44304</v>
      </c>
      <c r="N21" s="579"/>
      <c r="O21" s="6">
        <f>'Water-Meter'!J23</f>
        <v>0</v>
      </c>
      <c r="P21" s="580">
        <f>'Water-Meter'!J23</f>
        <v>0</v>
      </c>
      <c r="Q21" s="576">
        <f t="shared" ref="Q21:Q35" si="13">N21-O20</f>
        <v>0</v>
      </c>
      <c r="R21" s="626">
        <f t="shared" ref="R21:R35" si="14">SUM(Q21/1615)</f>
        <v>0</v>
      </c>
      <c r="S21" s="627">
        <f>Gen!T28</f>
        <v>0</v>
      </c>
      <c r="T21" s="628">
        <f t="shared" si="9"/>
        <v>44304</v>
      </c>
      <c r="U21" s="579"/>
      <c r="V21" s="581">
        <f t="shared" si="5"/>
        <v>0</v>
      </c>
      <c r="W21" s="578" t="s">
        <v>342</v>
      </c>
      <c r="X21" s="581" t="e">
        <f t="shared" si="0"/>
        <v>#VALUE!</v>
      </c>
      <c r="Y21" s="623">
        <f t="shared" si="10"/>
        <v>44304</v>
      </c>
      <c r="Z21" s="579"/>
      <c r="AA21" s="576"/>
      <c r="AB21" s="580">
        <f>'Water-Meter'!P23</f>
        <v>0</v>
      </c>
      <c r="AC21" s="633">
        <f t="shared" si="11"/>
        <v>0</v>
      </c>
    </row>
    <row r="22" spans="1:29" ht="19.5" thickBot="1">
      <c r="A22" s="642">
        <f>Gen!B29</f>
        <v>0</v>
      </c>
      <c r="B22" s="592">
        <f>Gen!A29</f>
        <v>44305</v>
      </c>
      <c r="C22" s="576"/>
      <c r="D22" s="581">
        <f t="shared" si="1"/>
        <v>0</v>
      </c>
      <c r="E22" s="577"/>
      <c r="F22" s="581">
        <f t="shared" si="12"/>
        <v>0</v>
      </c>
      <c r="G22" s="576"/>
      <c r="H22" s="623">
        <f t="shared" si="6"/>
        <v>44305</v>
      </c>
      <c r="I22" s="576"/>
      <c r="J22" s="624">
        <f>'Water-Meter'!G24</f>
        <v>0</v>
      </c>
      <c r="K22" s="625">
        <f>'Water-Meter'!G24</f>
        <v>0</v>
      </c>
      <c r="L22" s="576">
        <f t="shared" si="3"/>
        <v>0</v>
      </c>
      <c r="M22" s="623">
        <f t="shared" si="7"/>
        <v>44305</v>
      </c>
      <c r="N22" s="576"/>
      <c r="O22" s="6">
        <f>'Water-Meter'!J24</f>
        <v>0</v>
      </c>
      <c r="P22" s="580">
        <f>'Water-Meter'!J24</f>
        <v>0</v>
      </c>
      <c r="Q22" s="576">
        <f t="shared" si="13"/>
        <v>0</v>
      </c>
      <c r="R22" s="626">
        <f t="shared" si="14"/>
        <v>0</v>
      </c>
      <c r="S22" s="627">
        <f>Gen!T29</f>
        <v>0</v>
      </c>
      <c r="T22" s="628">
        <f t="shared" si="9"/>
        <v>44305</v>
      </c>
      <c r="U22" s="576"/>
      <c r="V22" s="581" t="str">
        <f t="shared" si="5"/>
        <v>`</v>
      </c>
      <c r="W22" s="578"/>
      <c r="X22" s="581" t="e">
        <f t="shared" si="0"/>
        <v>#VALUE!</v>
      </c>
      <c r="Y22" s="623">
        <f t="shared" si="10"/>
        <v>44305</v>
      </c>
      <c r="Z22" s="576"/>
      <c r="AA22" s="576"/>
      <c r="AB22" s="580">
        <f>'Water-Meter'!P24</f>
        <v>0</v>
      </c>
      <c r="AC22" s="633">
        <f t="shared" si="11"/>
        <v>0</v>
      </c>
    </row>
    <row r="23" spans="1:29" ht="19.5" thickBot="1">
      <c r="A23" s="642">
        <f>Gen!B30</f>
        <v>0</v>
      </c>
      <c r="B23" s="592">
        <f>Gen!A30</f>
        <v>44306</v>
      </c>
      <c r="C23" s="579"/>
      <c r="D23" s="581">
        <f t="shared" si="1"/>
        <v>0</v>
      </c>
      <c r="E23" s="577"/>
      <c r="F23" s="581">
        <f t="shared" ref="F23:F34" si="15">SUM(E23-D23)*120</f>
        <v>0</v>
      </c>
      <c r="G23" s="576"/>
      <c r="H23" s="623">
        <f t="shared" si="6"/>
        <v>44306</v>
      </c>
      <c r="I23" s="579"/>
      <c r="J23" s="624">
        <f>'Water-Meter'!G25</f>
        <v>0</v>
      </c>
      <c r="K23" s="625">
        <f>'Water-Meter'!G26</f>
        <v>0</v>
      </c>
      <c r="L23" s="576">
        <f t="shared" si="3"/>
        <v>0</v>
      </c>
      <c r="M23" s="623">
        <f t="shared" si="7"/>
        <v>44306</v>
      </c>
      <c r="N23" s="579"/>
      <c r="O23" s="6">
        <f>'Water-Meter'!J25</f>
        <v>0</v>
      </c>
      <c r="P23" s="580">
        <f>'Water-Meter'!J25</f>
        <v>0</v>
      </c>
      <c r="Q23" s="576">
        <f t="shared" si="13"/>
        <v>0</v>
      </c>
      <c r="R23" s="626">
        <f t="shared" si="14"/>
        <v>0</v>
      </c>
      <c r="S23" s="627">
        <f>Gen!T30</f>
        <v>0</v>
      </c>
      <c r="T23" s="628">
        <f t="shared" si="9"/>
        <v>44306</v>
      </c>
      <c r="U23" s="579"/>
      <c r="V23" s="581">
        <f t="shared" si="5"/>
        <v>0</v>
      </c>
      <c r="W23" s="578"/>
      <c r="X23" s="581">
        <f t="shared" si="0"/>
        <v>0</v>
      </c>
      <c r="Y23" s="623">
        <f t="shared" si="10"/>
        <v>44306</v>
      </c>
      <c r="Z23" s="579"/>
      <c r="AA23" s="576"/>
      <c r="AB23" s="580">
        <f>'Water-Meter'!P25</f>
        <v>0</v>
      </c>
      <c r="AC23" s="633">
        <f t="shared" si="11"/>
        <v>0</v>
      </c>
    </row>
    <row r="24" spans="1:29" ht="19.5" thickBot="1">
      <c r="A24" s="642">
        <f>Gen!B31</f>
        <v>0</v>
      </c>
      <c r="B24" s="592">
        <f>Gen!A31</f>
        <v>44307</v>
      </c>
      <c r="C24" s="579"/>
      <c r="D24" s="581">
        <f t="shared" ref="D24:D35" si="16">SUM(E23)</f>
        <v>0</v>
      </c>
      <c r="E24" s="577"/>
      <c r="F24" s="581">
        <f t="shared" si="15"/>
        <v>0</v>
      </c>
      <c r="G24" s="576"/>
      <c r="H24" s="623">
        <f t="shared" si="6"/>
        <v>44307</v>
      </c>
      <c r="I24" s="579"/>
      <c r="J24" s="624">
        <f>'Water-Meter'!G26</f>
        <v>0</v>
      </c>
      <c r="K24" s="625">
        <f>'Water-Meter'!G27</f>
        <v>0</v>
      </c>
      <c r="L24" s="576">
        <f t="shared" si="3"/>
        <v>0</v>
      </c>
      <c r="M24" s="623">
        <f t="shared" si="7"/>
        <v>44307</v>
      </c>
      <c r="N24" s="579"/>
      <c r="O24" s="6">
        <f>'Water-Meter'!J26</f>
        <v>0</v>
      </c>
      <c r="P24" s="580">
        <f>'Water-Meter'!J26</f>
        <v>0</v>
      </c>
      <c r="Q24" s="576">
        <f t="shared" si="13"/>
        <v>0</v>
      </c>
      <c r="R24" s="626">
        <f t="shared" si="14"/>
        <v>0</v>
      </c>
      <c r="S24" s="627">
        <f>Gen!T31</f>
        <v>0</v>
      </c>
      <c r="T24" s="628">
        <f t="shared" si="9"/>
        <v>44307</v>
      </c>
      <c r="U24" s="579"/>
      <c r="V24" s="581">
        <f t="shared" si="5"/>
        <v>0</v>
      </c>
      <c r="W24" s="578"/>
      <c r="X24" s="581">
        <f t="shared" si="0"/>
        <v>0</v>
      </c>
      <c r="Y24" s="623">
        <f t="shared" si="10"/>
        <v>44307</v>
      </c>
      <c r="Z24" s="579"/>
      <c r="AA24" s="576"/>
      <c r="AB24" s="580">
        <f>'Water-Meter'!P26</f>
        <v>0</v>
      </c>
      <c r="AC24" s="633">
        <f t="shared" si="11"/>
        <v>0</v>
      </c>
    </row>
    <row r="25" spans="1:29" ht="19.5" thickBot="1">
      <c r="A25" s="642">
        <f>Gen!B32</f>
        <v>0</v>
      </c>
      <c r="B25" s="592">
        <f>Gen!A32</f>
        <v>44308</v>
      </c>
      <c r="C25" s="579"/>
      <c r="D25" s="581">
        <f t="shared" si="16"/>
        <v>0</v>
      </c>
      <c r="E25" s="577"/>
      <c r="F25" s="581">
        <f t="shared" si="15"/>
        <v>0</v>
      </c>
      <c r="G25" s="576"/>
      <c r="H25" s="623">
        <f t="shared" si="6"/>
        <v>44308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44308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0</v>
      </c>
      <c r="R25" s="626">
        <f t="shared" si="14"/>
        <v>0</v>
      </c>
      <c r="S25" s="627">
        <f>Gen!T32</f>
        <v>0</v>
      </c>
      <c r="T25" s="628">
        <f t="shared" si="9"/>
        <v>44308</v>
      </c>
      <c r="U25" s="579"/>
      <c r="V25" s="581">
        <f t="shared" si="5"/>
        <v>0</v>
      </c>
      <c r="W25" s="578"/>
      <c r="X25" s="581">
        <f t="shared" si="0"/>
        <v>0</v>
      </c>
      <c r="Y25" s="623">
        <f t="shared" si="10"/>
        <v>44308</v>
      </c>
      <c r="Z25" s="579"/>
      <c r="AA25" s="576"/>
      <c r="AB25" s="580">
        <f>'Water-Meter'!P27</f>
        <v>0</v>
      </c>
      <c r="AC25" s="633">
        <f t="shared" si="11"/>
        <v>0</v>
      </c>
    </row>
    <row r="26" spans="1:29" ht="19.5" thickBot="1">
      <c r="A26" s="642">
        <f>Gen!B33</f>
        <v>0</v>
      </c>
      <c r="B26" s="592">
        <f>Gen!A33</f>
        <v>44309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44309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44309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44309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44309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44310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44310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44310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44310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44310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44311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44311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44311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44311</v>
      </c>
      <c r="U28" s="579"/>
      <c r="V28" s="581">
        <f t="shared" si="5"/>
        <v>0</v>
      </c>
      <c r="W28" s="578"/>
      <c r="X28" s="581">
        <f t="shared" si="0"/>
        <v>0</v>
      </c>
      <c r="Y28" s="623">
        <f t="shared" si="10"/>
        <v>44311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44312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44312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44312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44312</v>
      </c>
      <c r="U29" s="579"/>
      <c r="V29" s="581">
        <f t="shared" si="5"/>
        <v>0</v>
      </c>
      <c r="W29" s="578"/>
      <c r="X29" s="581">
        <f t="shared" si="0"/>
        <v>0</v>
      </c>
      <c r="Y29" s="623">
        <f t="shared" si="10"/>
        <v>44312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44313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44313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44313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44313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44313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44314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44314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44314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44314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44314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44315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44315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44315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44315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44315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44316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44316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44316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44316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44316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924.00000000008731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1400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8">
        <f>A5</f>
        <v>44287</v>
      </c>
      <c r="B1" s="888"/>
      <c r="C1" s="888"/>
      <c r="D1" s="888"/>
      <c r="E1" s="888"/>
      <c r="F1" s="888"/>
      <c r="G1" s="888"/>
      <c r="H1" s="888"/>
      <c r="I1" s="888"/>
      <c r="J1" s="888"/>
      <c r="K1" s="888"/>
      <c r="L1" s="888"/>
    </row>
    <row r="2" spans="1:13">
      <c r="A2" s="889"/>
      <c r="B2" s="889"/>
      <c r="C2" s="889"/>
      <c r="D2" s="889"/>
      <c r="E2" s="889"/>
      <c r="F2" s="889"/>
      <c r="G2" s="889"/>
      <c r="H2" s="889"/>
      <c r="I2" s="889"/>
      <c r="J2" s="889"/>
      <c r="K2" s="889"/>
      <c r="L2" s="889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44287</v>
      </c>
      <c r="B5" s="644">
        <f>'Daily report Gen'!Z6</f>
        <v>24</v>
      </c>
      <c r="C5" s="645">
        <f>Gen!B11</f>
        <v>0.156</v>
      </c>
      <c r="D5" s="646">
        <f t="shared" ref="D5:D36" si="0">E5</f>
        <v>1.3</v>
      </c>
      <c r="E5" s="647">
        <v>1.3</v>
      </c>
      <c r="F5" s="70">
        <f>Gen!U11</f>
        <v>0.41777952755905512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34515.97</v>
      </c>
      <c r="K5" s="650">
        <f>'Water-Meter'!E6</f>
        <v>89</v>
      </c>
      <c r="L5" s="651">
        <f>'Lpg (2)'!G10</f>
        <v>1247.1799999999873</v>
      </c>
      <c r="M5" s="79" t="e">
        <f>SUM(#REF!-#REF!)</f>
        <v>#REF!</v>
      </c>
    </row>
    <row r="6" spans="1:13">
      <c r="A6" s="662">
        <f>Gen!A12</f>
        <v>44288</v>
      </c>
      <c r="B6" s="652">
        <f>'Daily report Gen'!Z7</f>
        <v>48</v>
      </c>
      <c r="C6" s="87">
        <f>Gen!B12</f>
        <v>0.16900000000000001</v>
      </c>
      <c r="D6" s="434">
        <f t="shared" si="0"/>
        <v>2.6</v>
      </c>
      <c r="E6" s="74">
        <v>2.6</v>
      </c>
      <c r="F6" s="70">
        <f>Gen!U12</f>
        <v>0.4106777533730781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33044.090000000004</v>
      </c>
      <c r="K6" s="295">
        <f>'Water-Meter'!E7</f>
        <v>117</v>
      </c>
      <c r="L6" s="653">
        <f>'Lpg (2)'!G11</f>
        <v>86.547999999992328</v>
      </c>
      <c r="M6" s="79" t="e">
        <f>SUM(#REF!-#REF!)</f>
        <v>#REF!</v>
      </c>
    </row>
    <row r="7" spans="1:13">
      <c r="A7" s="662">
        <f>Gen!A13</f>
        <v>44289</v>
      </c>
      <c r="B7" s="652">
        <f>'Daily report Gen'!Z8</f>
        <v>25</v>
      </c>
      <c r="C7" s="87">
        <f>Gen!B13</f>
        <v>0.23</v>
      </c>
      <c r="D7" s="434">
        <f t="shared" si="0"/>
        <v>2.6</v>
      </c>
      <c r="E7" s="74">
        <v>2.6</v>
      </c>
      <c r="F7" s="70">
        <f>Gen!U13</f>
        <v>0.40227580372250421</v>
      </c>
      <c r="G7" s="85">
        <f>Gen!T11</f>
        <v>3175</v>
      </c>
      <c r="H7" s="85">
        <f>Gen!AK13</f>
        <v>0</v>
      </c>
      <c r="I7" s="85">
        <f t="shared" si="1"/>
        <v>3175</v>
      </c>
      <c r="J7" s="446">
        <f>Gen!C13</f>
        <v>31510.360000000004</v>
      </c>
      <c r="K7" s="295">
        <f>'Water-Meter'!E8</f>
        <v>167</v>
      </c>
      <c r="L7" s="653">
        <f>'Lpg (2)'!G12</f>
        <v>88.968000000005134</v>
      </c>
      <c r="M7" s="79" t="e">
        <f>SUM(#REF!-#REF!)</f>
        <v>#REF!</v>
      </c>
    </row>
    <row r="8" spans="1:13">
      <c r="A8" s="662">
        <f>Gen!A14</f>
        <v>44290</v>
      </c>
      <c r="B8" s="652">
        <f>'Daily report Gen'!Z9</f>
        <v>24</v>
      </c>
      <c r="C8" s="87">
        <f>Gen!B14</f>
        <v>0.247</v>
      </c>
      <c r="D8" s="434">
        <f>E8</f>
        <v>5.19</v>
      </c>
      <c r="E8" s="74">
        <v>5.19</v>
      </c>
      <c r="F8" s="70">
        <f>Gen!U14</f>
        <v>0.40958834134615379</v>
      </c>
      <c r="G8" s="85">
        <f>Gen!T12</f>
        <v>3187</v>
      </c>
      <c r="H8" s="85">
        <f>Gen!AK14</f>
        <v>0</v>
      </c>
      <c r="I8" s="85">
        <f t="shared" si="1"/>
        <v>3187</v>
      </c>
      <c r="J8" s="446">
        <f>Gen!C14</f>
        <v>29944.600000000006</v>
      </c>
      <c r="K8" s="295">
        <f>'Water-Meter'!E9</f>
        <v>70</v>
      </c>
      <c r="L8" s="653">
        <f>'Lpg (2)'!G13</f>
        <v>86.372000000020492</v>
      </c>
      <c r="M8" s="79" t="e">
        <f>SUM(#REF!-#REF!)</f>
        <v>#REF!</v>
      </c>
    </row>
    <row r="9" spans="1:13">
      <c r="A9" s="662">
        <f>Gen!A15</f>
        <v>44291</v>
      </c>
      <c r="B9" s="652">
        <f>'Daily report Gen'!Z10</f>
        <v>24</v>
      </c>
      <c r="C9" s="87">
        <f>Gen!B15</f>
        <v>0.13</v>
      </c>
      <c r="D9" s="434">
        <f t="shared" si="0"/>
        <v>7.79</v>
      </c>
      <c r="E9" s="74">
        <v>7.79</v>
      </c>
      <c r="F9" s="70">
        <f>Gen!U15</f>
        <v>0.40968615384615387</v>
      </c>
      <c r="G9" s="85">
        <f>Gen!T13</f>
        <v>3546</v>
      </c>
      <c r="H9" s="85">
        <f>Gen!AK15</f>
        <v>0</v>
      </c>
      <c r="I9" s="85">
        <f t="shared" si="1"/>
        <v>3546</v>
      </c>
      <c r="J9" s="446">
        <f>Gen!C15</f>
        <v>28581.490000000005</v>
      </c>
      <c r="K9" s="295">
        <f>'Water-Meter'!E10</f>
        <v>59</v>
      </c>
      <c r="L9" s="653">
        <f>'Lpg (2)'!G14</f>
        <v>88.527999999979514</v>
      </c>
      <c r="M9" s="79" t="e">
        <f>SUM(#REF!-#REF!)</f>
        <v>#REF!</v>
      </c>
    </row>
    <row r="10" spans="1:13">
      <c r="A10" s="662">
        <f>Gen!A16</f>
        <v>44292</v>
      </c>
      <c r="B10" s="652">
        <f>'Daily report Gen'!Z11</f>
        <v>25</v>
      </c>
      <c r="C10" s="87">
        <f>Gen!B16</f>
        <v>9.0999999999999998E-2</v>
      </c>
      <c r="D10" s="434">
        <f t="shared" si="0"/>
        <v>5.19</v>
      </c>
      <c r="E10" s="74">
        <v>5.19</v>
      </c>
      <c r="F10" s="70">
        <f>Gen!U16</f>
        <v>0.41273615635179151</v>
      </c>
      <c r="G10" s="85">
        <f>Gen!T14</f>
        <v>3328</v>
      </c>
      <c r="H10" s="85">
        <f>Gen!AK16</f>
        <v>0</v>
      </c>
      <c r="I10" s="85">
        <f t="shared" si="1"/>
        <v>3328</v>
      </c>
      <c r="J10" s="446">
        <f>Gen!C16</f>
        <v>27031.500000000004</v>
      </c>
      <c r="K10" s="295">
        <f>'Water-Meter'!E11</f>
        <v>210</v>
      </c>
      <c r="L10" s="653">
        <f>'Lpg (2)'!G15</f>
        <v>82.895999999984639</v>
      </c>
      <c r="M10" s="79" t="e">
        <f>SUM(#REF!-#REF!)</f>
        <v>#REF!</v>
      </c>
    </row>
    <row r="11" spans="1:13">
      <c r="A11" s="662">
        <f>Gen!A17</f>
        <v>44293</v>
      </c>
      <c r="B11" s="652">
        <f>'Daily report Gen'!Z12</f>
        <v>24</v>
      </c>
      <c r="C11" s="87">
        <f>Gen!B17</f>
        <v>6.5000000000000002E-2</v>
      </c>
      <c r="D11" s="434">
        <f t="shared" si="0"/>
        <v>11.69</v>
      </c>
      <c r="E11" s="74">
        <v>11.69</v>
      </c>
      <c r="F11" s="70">
        <f>Gen!U17</f>
        <v>0.40155218554861732</v>
      </c>
      <c r="G11" s="85">
        <f>Gen!T15</f>
        <v>3250</v>
      </c>
      <c r="H11" s="85">
        <f>Gen!AK17</f>
        <v>0</v>
      </c>
      <c r="I11" s="85">
        <f t="shared" si="1"/>
        <v>3250</v>
      </c>
      <c r="J11" s="446">
        <f>Gen!C17</f>
        <v>43721.960000000006</v>
      </c>
      <c r="K11" s="295">
        <f>'Water-Meter'!E12</f>
        <v>60</v>
      </c>
      <c r="L11" s="653">
        <f>'Lpg (2)'!G16</f>
        <v>80.212000000046103</v>
      </c>
      <c r="M11" s="79" t="e">
        <f>SUM(#REF!-#REF!)</f>
        <v>#REF!</v>
      </c>
    </row>
    <row r="12" spans="1:13">
      <c r="A12" s="662">
        <f>Gen!A18</f>
        <v>44294</v>
      </c>
      <c r="B12" s="652">
        <f>'Daily report Gen'!Z13</f>
        <v>24</v>
      </c>
      <c r="C12" s="87">
        <f>Gen!B18</f>
        <v>9.0999999999999998E-2</v>
      </c>
      <c r="D12" s="434">
        <f t="shared" si="0"/>
        <v>12.99</v>
      </c>
      <c r="E12" s="74">
        <v>12.99</v>
      </c>
      <c r="F12" s="70">
        <f>Gen!U18</f>
        <v>0.40188175460902731</v>
      </c>
      <c r="G12" s="85">
        <f>Gen!T16</f>
        <v>3070</v>
      </c>
      <c r="H12" s="85">
        <f>Gen!AK18</f>
        <v>0</v>
      </c>
      <c r="I12" s="85">
        <f t="shared" si="1"/>
        <v>3070</v>
      </c>
      <c r="J12" s="446">
        <f>Gen!C18</f>
        <v>42252.400000000009</v>
      </c>
      <c r="K12" s="295">
        <f>'Water-Meter'!E13</f>
        <v>75</v>
      </c>
      <c r="L12" s="653">
        <f>'Lpg (2)'!G17</f>
        <v>83.995999999984633</v>
      </c>
      <c r="M12" s="79" t="e">
        <f>SUM(#REF!-#REF!)</f>
        <v>#REF!</v>
      </c>
    </row>
    <row r="13" spans="1:13">
      <c r="A13" s="662">
        <f>Gen!A19</f>
        <v>44295</v>
      </c>
      <c r="B13" s="652">
        <f>'Daily report Gen'!Z14</f>
        <v>49</v>
      </c>
      <c r="C13" s="87">
        <f>Gen!B19</f>
        <v>6.5000000000000002E-2</v>
      </c>
      <c r="D13" s="434">
        <f t="shared" si="0"/>
        <v>15.58</v>
      </c>
      <c r="E13" s="74">
        <v>15.58</v>
      </c>
      <c r="F13" s="70">
        <f>Gen!U19</f>
        <v>0.39417320458660227</v>
      </c>
      <c r="G13" s="85">
        <f>Gen!T17</f>
        <v>3363</v>
      </c>
      <c r="H13" s="85">
        <f>Gen!AK19</f>
        <v>0</v>
      </c>
      <c r="I13" s="85">
        <f t="shared" si="1"/>
        <v>3363</v>
      </c>
      <c r="J13" s="446">
        <f>Gen!C19</f>
        <v>40831.760000000009</v>
      </c>
      <c r="K13" s="295">
        <f>'Water-Meter'!E14</f>
        <v>47</v>
      </c>
      <c r="L13" s="653">
        <f>'Lpg (2)'!G18</f>
        <v>115.05999999997439</v>
      </c>
      <c r="M13" s="79" t="e">
        <f>SUM(#REF!-#REF!)</f>
        <v>#REF!</v>
      </c>
    </row>
    <row r="14" spans="1:13">
      <c r="A14" s="662">
        <f>Gen!A20</f>
        <v>44296</v>
      </c>
      <c r="B14" s="652" t="e">
        <f>'Daily report Gen'!Z15</f>
        <v>#REF!</v>
      </c>
      <c r="C14" s="87">
        <f>Gen!B20</f>
        <v>5.1999999999999998E-2</v>
      </c>
      <c r="D14" s="434">
        <f t="shared" si="0"/>
        <v>15.58</v>
      </c>
      <c r="E14" s="74">
        <v>15.58</v>
      </c>
      <c r="F14" s="70">
        <f>Gen!U20</f>
        <v>0.39324810606060606</v>
      </c>
      <c r="G14" s="85">
        <f>Gen!T18</f>
        <v>3146</v>
      </c>
      <c r="H14" s="85">
        <f>Gen!AK20</f>
        <v>0</v>
      </c>
      <c r="I14" s="85">
        <f t="shared" si="1"/>
        <v>3146</v>
      </c>
      <c r="J14" s="446">
        <f>Gen!C20</f>
        <v>39223.360000000008</v>
      </c>
      <c r="K14" s="295">
        <f>'Water-Meter'!E15</f>
        <v>46</v>
      </c>
      <c r="L14" s="653">
        <f>'Lpg (2)'!G19</f>
        <v>74.18400000000257</v>
      </c>
      <c r="M14" s="79" t="e">
        <f>SUM(#REF!-#REF!)</f>
        <v>#REF!</v>
      </c>
    </row>
    <row r="15" spans="1:13">
      <c r="A15" s="662">
        <f>Gen!A21</f>
        <v>44297</v>
      </c>
      <c r="B15" s="652">
        <f>'Daily report Gen'!Z16</f>
        <v>25</v>
      </c>
      <c r="C15" s="87">
        <f>Gen!B21</f>
        <v>0.104</v>
      </c>
      <c r="D15" s="434">
        <f t="shared" si="0"/>
        <v>11.69</v>
      </c>
      <c r="E15" s="74">
        <v>11.69</v>
      </c>
      <c r="F15" s="70">
        <f>Gen!U21</f>
        <v>0.39665739882607354</v>
      </c>
      <c r="G15" s="85">
        <f>Gen!T19</f>
        <v>3314</v>
      </c>
      <c r="H15" s="85">
        <f>Gen!AK21</f>
        <v>0</v>
      </c>
      <c r="I15" s="85">
        <f t="shared" si="1"/>
        <v>3314</v>
      </c>
      <c r="J15" s="446">
        <f>Gen!C21</f>
        <v>37865.55000000001</v>
      </c>
      <c r="K15" s="295">
        <f>'Water-Meter'!E16</f>
        <v>50</v>
      </c>
      <c r="L15" s="653">
        <f>'Lpg (2)'!G20</f>
        <v>64.328000000043545</v>
      </c>
      <c r="M15" s="79" t="e">
        <f>SUM(#REF!-#REF!)</f>
        <v>#REF!</v>
      </c>
    </row>
    <row r="16" spans="1:13">
      <c r="A16" s="662">
        <f>Gen!A22</f>
        <v>44298</v>
      </c>
      <c r="B16" s="652">
        <f>'Daily report Gen'!Z17</f>
        <v>24</v>
      </c>
      <c r="C16" s="87">
        <f>Gen!B22</f>
        <v>0.104</v>
      </c>
      <c r="D16" s="434">
        <f t="shared" si="0"/>
        <v>12.99</v>
      </c>
      <c r="E16" s="74">
        <v>12.99</v>
      </c>
      <c r="F16" s="70">
        <f>Gen!U22</f>
        <v>0.35691342918323649</v>
      </c>
      <c r="G16" s="85">
        <f>Gen!T20</f>
        <v>3168</v>
      </c>
      <c r="H16" s="85">
        <f>Gen!AK22</f>
        <v>0</v>
      </c>
      <c r="I16" s="85">
        <f t="shared" si="1"/>
        <v>3168</v>
      </c>
      <c r="J16" s="446">
        <f>Gen!C22</f>
        <v>36556.570000000007</v>
      </c>
      <c r="K16" s="295">
        <f>'Water-Meter'!E17</f>
        <v>61</v>
      </c>
      <c r="L16" s="653">
        <f>'Lpg (2)'!G21</f>
        <v>63.227999999979517</v>
      </c>
      <c r="M16" s="79" t="e">
        <f>SUM(#REF!-#REF!)</f>
        <v>#REF!</v>
      </c>
    </row>
    <row r="17" spans="1:13">
      <c r="A17" s="662">
        <f>Gen!A23</f>
        <v>44299</v>
      </c>
      <c r="B17" s="652">
        <f>'Daily report Gen'!Z18</f>
        <v>24</v>
      </c>
      <c r="C17" s="87">
        <f>Gen!B23</f>
        <v>1.2999999999999999E-2</v>
      </c>
      <c r="D17" s="434">
        <f t="shared" si="0"/>
        <v>14.29</v>
      </c>
      <c r="E17" s="74">
        <v>14.29</v>
      </c>
      <c r="F17" s="70">
        <f>Gen!U23</f>
        <v>0.406656660412758</v>
      </c>
      <c r="G17" s="85">
        <f>Gen!T21</f>
        <v>3237</v>
      </c>
      <c r="H17" s="85">
        <f>Gen!AK23</f>
        <v>0</v>
      </c>
      <c r="I17" s="85">
        <f t="shared" si="1"/>
        <v>3237</v>
      </c>
      <c r="J17" s="446">
        <f>Gen!C23</f>
        <v>35139.180000000008</v>
      </c>
      <c r="K17" s="295">
        <f>'Water-Meter'!E18</f>
        <v>181</v>
      </c>
      <c r="L17" s="653">
        <f>'Lpg (2)'!G22</f>
        <v>59.708000000030736</v>
      </c>
      <c r="M17" s="79" t="e">
        <f>SUM(#REF!-#REF!)</f>
        <v>#REF!</v>
      </c>
    </row>
    <row r="18" spans="1:13">
      <c r="A18" s="662">
        <f>Gen!A24</f>
        <v>44300</v>
      </c>
      <c r="B18" s="652">
        <f>'Daily report Gen'!Z19</f>
        <v>24</v>
      </c>
      <c r="C18" s="87">
        <f>Gen!B24</f>
        <v>0</v>
      </c>
      <c r="D18" s="434">
        <f t="shared" si="0"/>
        <v>14.29</v>
      </c>
      <c r="E18" s="74">
        <v>14.29</v>
      </c>
      <c r="F18" s="70">
        <f>Gen!U24</f>
        <v>0.40256905032160423</v>
      </c>
      <c r="G18" s="85">
        <f>Gen!T22</f>
        <v>3269</v>
      </c>
      <c r="H18" s="85">
        <f>Gen!AK24</f>
        <v>0</v>
      </c>
      <c r="I18" s="85">
        <f t="shared" si="1"/>
        <v>3269</v>
      </c>
      <c r="J18" s="446">
        <f>Gen!C24</f>
        <v>34032.900000000009</v>
      </c>
      <c r="K18" s="295">
        <f>'Water-Meter'!E19</f>
        <v>46</v>
      </c>
      <c r="L18" s="653">
        <f>'Lpg (2)'!G23</f>
        <v>59.091999999969268</v>
      </c>
      <c r="M18" s="79" t="e">
        <f>SUM(#REF!-#REF!)</f>
        <v>#REF!</v>
      </c>
    </row>
    <row r="19" spans="1:13">
      <c r="A19" s="662">
        <f>Gen!A25</f>
        <v>44301</v>
      </c>
      <c r="B19" s="652">
        <f>'Daily report Gen'!Z20</f>
        <v>24</v>
      </c>
      <c r="C19" s="87">
        <f>Gen!B25</f>
        <v>0</v>
      </c>
      <c r="D19" s="434">
        <f t="shared" si="0"/>
        <v>9.09</v>
      </c>
      <c r="E19" s="74">
        <v>9.09</v>
      </c>
      <c r="F19" s="70">
        <f>Gen!U25</f>
        <v>0.4014820473644003</v>
      </c>
      <c r="G19" s="85">
        <f>Gen!T23</f>
        <v>2665</v>
      </c>
      <c r="H19" s="85">
        <f>Gen!AK25</f>
        <v>0</v>
      </c>
      <c r="I19" s="85">
        <f t="shared" si="1"/>
        <v>2665</v>
      </c>
      <c r="J19" s="446">
        <f>Gen!C25</f>
        <v>32808.420000000006</v>
      </c>
      <c r="K19" s="295" t="str">
        <f>'Water-Meter'!E20</f>
        <v>0</v>
      </c>
      <c r="L19" s="653">
        <f>'Lpg (2)'!G24</f>
        <v>-334510</v>
      </c>
      <c r="M19" s="79" t="e">
        <f>SUM(#REF!-#REF!)</f>
        <v>#REF!</v>
      </c>
    </row>
    <row r="20" spans="1:13">
      <c r="A20" s="662">
        <f>Gen!A26</f>
        <v>44302</v>
      </c>
      <c r="B20" s="652">
        <f>'Daily report Gen'!Z21</f>
        <v>-159278</v>
      </c>
      <c r="C20" s="87">
        <f>Gen!B26</f>
        <v>0</v>
      </c>
      <c r="D20" s="434">
        <f t="shared" si="0"/>
        <v>7.79</v>
      </c>
      <c r="E20" s="74">
        <v>7.79</v>
      </c>
      <c r="F20" s="70" t="e">
        <f>Gen!U26</f>
        <v>#DIV/0!</v>
      </c>
      <c r="G20" s="85">
        <f>Gen!T24</f>
        <v>2643</v>
      </c>
      <c r="H20" s="85">
        <f>Gen!AK26</f>
        <v>0</v>
      </c>
      <c r="I20" s="85">
        <f t="shared" si="1"/>
        <v>2643</v>
      </c>
      <c r="J20" s="446">
        <f>Gen!C26</f>
        <v>31655.430000000004</v>
      </c>
      <c r="K20" s="295">
        <f>'Water-Meter'!E21</f>
        <v>0</v>
      </c>
      <c r="L20" s="653">
        <f>'Lpg (2)'!G25</f>
        <v>0</v>
      </c>
      <c r="M20" s="79" t="e">
        <f>SUM(#REF!-#REF!)</f>
        <v>#REF!</v>
      </c>
    </row>
    <row r="21" spans="1:13">
      <c r="A21" s="662">
        <f>Gen!A27</f>
        <v>44303</v>
      </c>
      <c r="B21" s="652">
        <f>'Daily report Gen'!Z22</f>
        <v>0</v>
      </c>
      <c r="C21" s="87">
        <f>Gen!B27</f>
        <v>0</v>
      </c>
      <c r="D21" s="434">
        <f t="shared" si="0"/>
        <v>6.49</v>
      </c>
      <c r="E21" s="74">
        <v>6.49</v>
      </c>
      <c r="F21" s="70" t="e">
        <f>Gen!U27</f>
        <v>#DIV/0!</v>
      </c>
      <c r="G21" s="85">
        <f>Gen!T25</f>
        <v>2618</v>
      </c>
      <c r="H21" s="85">
        <f>Gen!AK27</f>
        <v>0</v>
      </c>
      <c r="I21" s="85">
        <f t="shared" si="1"/>
        <v>2618</v>
      </c>
      <c r="J21" s="446">
        <f>Gen!C27</f>
        <v>31655.430000000004</v>
      </c>
      <c r="K21" s="295">
        <f>'Water-Meter'!E22</f>
        <v>0</v>
      </c>
      <c r="L21" s="653">
        <f>'Lpg (2)'!G26</f>
        <v>0</v>
      </c>
      <c r="M21" s="79" t="e">
        <f>SUM(#REF!-#REF!)</f>
        <v>#REF!</v>
      </c>
    </row>
    <row r="22" spans="1:13">
      <c r="A22" s="662">
        <f>Gen!A28</f>
        <v>44304</v>
      </c>
      <c r="B22" s="652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31655.430000000004</v>
      </c>
      <c r="K22" s="295">
        <f>'Water-Meter'!E23</f>
        <v>0</v>
      </c>
      <c r="L22" s="653">
        <f>'Lpg (2)'!G27</f>
        <v>0</v>
      </c>
      <c r="M22" s="79" t="e">
        <f>SUM(#REF!-#REF!)</f>
        <v>#REF!</v>
      </c>
    </row>
    <row r="23" spans="1:13">
      <c r="A23" s="662">
        <f>Gen!A29</f>
        <v>44305</v>
      </c>
      <c r="B23" s="652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31655.430000000004</v>
      </c>
      <c r="K23" s="295">
        <f>'Water-Meter'!E24</f>
        <v>0</v>
      </c>
      <c r="L23" s="653">
        <f>'Lpg (2)'!G28</f>
        <v>0</v>
      </c>
      <c r="M23" s="79" t="e">
        <f>SUM(#REF!-#REF!)</f>
        <v>#REF!</v>
      </c>
    </row>
    <row r="24" spans="1:13">
      <c r="A24" s="662">
        <f>Gen!A30</f>
        <v>44306</v>
      </c>
      <c r="B24" s="652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31655.430000000004</v>
      </c>
      <c r="K24" s="295">
        <f>'Water-Meter'!E25</f>
        <v>0</v>
      </c>
      <c r="L24" s="653">
        <f>'Lpg (2)'!G29</f>
        <v>0</v>
      </c>
      <c r="M24" s="79" t="e">
        <f>SUM(#REF!-#REF!)</f>
        <v>#REF!</v>
      </c>
    </row>
    <row r="25" spans="1:13">
      <c r="A25" s="662">
        <f>Gen!A31</f>
        <v>44307</v>
      </c>
      <c r="B25" s="652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31655.430000000004</v>
      </c>
      <c r="K25" s="295">
        <f>'Water-Meter'!E26</f>
        <v>0</v>
      </c>
      <c r="L25" s="653">
        <f>'Lpg (2)'!G30</f>
        <v>0</v>
      </c>
      <c r="M25" s="79" t="e">
        <f>SUM(#REF!-#REF!)</f>
        <v>#REF!</v>
      </c>
    </row>
    <row r="26" spans="1:13">
      <c r="A26" s="662">
        <f>Gen!A32</f>
        <v>44308</v>
      </c>
      <c r="B26" s="652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31655.430000000004</v>
      </c>
      <c r="K26" s="295">
        <f>'Water-Meter'!E27</f>
        <v>0</v>
      </c>
      <c r="L26" s="653">
        <f>'Lpg (2)'!G31</f>
        <v>0</v>
      </c>
      <c r="M26" s="79" t="e">
        <f>SUM(#REF!-#REF!)</f>
        <v>#REF!</v>
      </c>
    </row>
    <row r="27" spans="1:13">
      <c r="A27" s="662">
        <f>Gen!A33</f>
        <v>44309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31655.430000000004</v>
      </c>
      <c r="K27" s="295">
        <f>'Water-Meter'!E28</f>
        <v>0</v>
      </c>
      <c r="L27" s="653">
        <f>'Lpg (2)'!G32</f>
        <v>0</v>
      </c>
      <c r="M27" s="79" t="e">
        <f>SUM(#REF!-#REF!)</f>
        <v>#REF!</v>
      </c>
    </row>
    <row r="28" spans="1:13">
      <c r="A28" s="662">
        <f>Gen!A34</f>
        <v>44310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31655.430000000004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44311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31655.430000000004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44312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31655.430000000004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44313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31655.430000000004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44314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31655.430000000004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44315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31655.430000000004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44316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31655.430000000004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0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31655.430000000004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31655.430000000004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25" sqref="AB25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0">
        <f>A6</f>
        <v>44287</v>
      </c>
      <c r="B1" s="891"/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1"/>
      <c r="N1" s="891"/>
      <c r="O1" s="891"/>
      <c r="P1" s="891"/>
      <c r="Q1" s="891"/>
      <c r="R1" s="891"/>
      <c r="S1" s="891"/>
      <c r="T1" s="891"/>
      <c r="U1" s="891"/>
      <c r="V1" s="891"/>
      <c r="W1" s="891"/>
      <c r="X1" s="891"/>
      <c r="Y1" s="891"/>
      <c r="Z1" s="891"/>
      <c r="AA1" s="891"/>
      <c r="AB1" s="891"/>
      <c r="AC1" s="19"/>
    </row>
    <row r="2" spans="1:29" ht="12" customHeight="1" thickBot="1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1"/>
      <c r="W2" s="891"/>
      <c r="X2" s="891"/>
      <c r="Y2" s="891"/>
      <c r="Z2" s="891"/>
      <c r="AA2" s="891"/>
      <c r="AB2" s="89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2" t="s">
        <v>298</v>
      </c>
      <c r="L3" s="893"/>
      <c r="M3" s="894"/>
      <c r="N3" s="892" t="s">
        <v>299</v>
      </c>
      <c r="O3" s="893"/>
      <c r="P3" s="894"/>
      <c r="Q3" s="892" t="s">
        <v>300</v>
      </c>
      <c r="R3" s="893"/>
      <c r="S3" s="894"/>
      <c r="T3" s="892" t="s">
        <v>301</v>
      </c>
      <c r="U3" s="893"/>
      <c r="V3" s="894"/>
      <c r="W3" s="892" t="s">
        <v>302</v>
      </c>
      <c r="X3" s="893"/>
      <c r="Y3" s="894"/>
      <c r="Z3" s="303"/>
      <c r="AA3" s="19"/>
      <c r="AB3" s="19"/>
      <c r="AC3" s="19"/>
    </row>
    <row r="4" spans="1:29" ht="35.25" customHeight="1" thickBot="1">
      <c r="A4" s="262" t="s">
        <v>86</v>
      </c>
      <c r="B4" s="849" t="s">
        <v>87</v>
      </c>
      <c r="C4" s="849" t="s">
        <v>88</v>
      </c>
      <c r="D4" s="849" t="s">
        <v>89</v>
      </c>
      <c r="E4" s="849" t="s">
        <v>90</v>
      </c>
      <c r="F4" s="849" t="s">
        <v>242</v>
      </c>
      <c r="G4" s="854" t="s">
        <v>91</v>
      </c>
      <c r="H4" s="849" t="s">
        <v>92</v>
      </c>
      <c r="I4" s="854" t="s">
        <v>93</v>
      </c>
      <c r="J4" s="859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5"/>
      <c r="B5" s="851"/>
      <c r="C5" s="850">
        <v>13853.38</v>
      </c>
      <c r="D5" s="145">
        <v>22273</v>
      </c>
      <c r="E5" s="851"/>
      <c r="F5" s="851"/>
      <c r="G5" s="851"/>
      <c r="H5" s="851"/>
      <c r="I5" s="145">
        <v>31842.2</v>
      </c>
      <c r="J5" s="861">
        <v>21219.4</v>
      </c>
      <c r="K5" s="857"/>
      <c r="L5" s="305">
        <v>36091</v>
      </c>
      <c r="M5" s="680"/>
      <c r="N5" s="673"/>
      <c r="O5" s="820">
        <v>31003</v>
      </c>
      <c r="P5" s="681"/>
      <c r="Q5" s="673"/>
      <c r="R5" s="305">
        <v>36296</v>
      </c>
      <c r="S5" s="681"/>
      <c r="T5" s="673"/>
      <c r="U5" s="820">
        <v>33466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6">
        <f>Gen!A11</f>
        <v>44287</v>
      </c>
      <c r="B6" s="851"/>
      <c r="C6" s="850">
        <v>12242.97</v>
      </c>
      <c r="D6" s="145">
        <v>22273</v>
      </c>
      <c r="E6" s="852"/>
      <c r="F6" s="145"/>
      <c r="G6" s="145"/>
      <c r="H6" s="145"/>
      <c r="I6" s="145">
        <v>31847.200000000001</v>
      </c>
      <c r="J6" s="848">
        <v>21223.7</v>
      </c>
      <c r="K6" s="858">
        <f>L5</f>
        <v>36091</v>
      </c>
      <c r="L6" s="305">
        <v>36091</v>
      </c>
      <c r="M6" s="304">
        <f>L6-K6</f>
        <v>0</v>
      </c>
      <c r="N6" s="306">
        <f>O5</f>
        <v>31003</v>
      </c>
      <c r="O6" s="820">
        <v>31003</v>
      </c>
      <c r="P6" s="304">
        <f>O6-N6</f>
        <v>0</v>
      </c>
      <c r="Q6" s="304">
        <f>R5</f>
        <v>36296</v>
      </c>
      <c r="R6" s="305">
        <v>36296</v>
      </c>
      <c r="S6" s="304">
        <f>R6-Q6</f>
        <v>0</v>
      </c>
      <c r="T6" s="304">
        <f>U5</f>
        <v>33466</v>
      </c>
      <c r="U6" s="820">
        <v>33490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250</v>
      </c>
      <c r="AB6" s="125">
        <v>175</v>
      </c>
      <c r="AC6" s="684">
        <f>Gen!AR11</f>
        <v>1471.88</v>
      </c>
    </row>
    <row r="7" spans="1:29" ht="20.100000000000001" customHeight="1" thickBot="1">
      <c r="A7" s="856">
        <f>Gen!A12</f>
        <v>44288</v>
      </c>
      <c r="B7" s="851"/>
      <c r="C7" s="850">
        <v>10771.09</v>
      </c>
      <c r="D7" s="145">
        <v>22273</v>
      </c>
      <c r="E7" s="852"/>
      <c r="F7" s="145"/>
      <c r="G7" s="145"/>
      <c r="H7" s="145"/>
      <c r="I7" s="145">
        <v>31852.7</v>
      </c>
      <c r="J7" s="848">
        <v>21227.1</v>
      </c>
      <c r="K7" s="858">
        <f t="shared" ref="K7:K37" si="0">L6</f>
        <v>36091</v>
      </c>
      <c r="L7" s="305">
        <v>36091</v>
      </c>
      <c r="M7" s="304">
        <f t="shared" ref="M7:M37" si="1">L7-K7</f>
        <v>0</v>
      </c>
      <c r="N7" s="306">
        <f t="shared" ref="N7:N37" si="2">O6</f>
        <v>31003</v>
      </c>
      <c r="O7" s="820">
        <v>31027</v>
      </c>
      <c r="P7" s="304">
        <f t="shared" ref="P7:P37" si="3">O7-N7</f>
        <v>24</v>
      </c>
      <c r="Q7" s="304">
        <f t="shared" ref="Q7:Q37" si="4">R6</f>
        <v>36296</v>
      </c>
      <c r="R7" s="305">
        <v>36320</v>
      </c>
      <c r="S7" s="304">
        <f t="shared" ref="S7:S37" si="5">R7-Q7</f>
        <v>24</v>
      </c>
      <c r="T7" s="304">
        <f t="shared" ref="T7:T37" si="6">U6</f>
        <v>33490</v>
      </c>
      <c r="U7" s="820">
        <v>33490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48</v>
      </c>
      <c r="AA7" s="125">
        <v>245</v>
      </c>
      <c r="AB7" s="125">
        <v>155</v>
      </c>
      <c r="AC7" s="684">
        <f>Gen!AR12</f>
        <v>1533.73</v>
      </c>
    </row>
    <row r="8" spans="1:29" ht="20.100000000000001" customHeight="1" thickBot="1">
      <c r="A8" s="856">
        <f>Gen!A13</f>
        <v>44289</v>
      </c>
      <c r="B8" s="851"/>
      <c r="C8" s="850">
        <v>9237.36</v>
      </c>
      <c r="D8" s="145">
        <v>22273</v>
      </c>
      <c r="E8" s="852"/>
      <c r="F8" s="850"/>
      <c r="G8" s="145">
        <v>139.29</v>
      </c>
      <c r="H8" s="145"/>
      <c r="I8" s="145">
        <v>31858.2</v>
      </c>
      <c r="J8" s="848">
        <v>21230.9</v>
      </c>
      <c r="K8" s="858">
        <f t="shared" si="0"/>
        <v>36091</v>
      </c>
      <c r="L8" s="305">
        <v>36116</v>
      </c>
      <c r="M8" s="304">
        <f t="shared" si="1"/>
        <v>25</v>
      </c>
      <c r="N8" s="306">
        <f t="shared" si="2"/>
        <v>31027</v>
      </c>
      <c r="O8" s="125">
        <v>31027</v>
      </c>
      <c r="P8" s="304">
        <f t="shared" si="3"/>
        <v>0</v>
      </c>
      <c r="Q8" s="304">
        <f t="shared" si="4"/>
        <v>36320</v>
      </c>
      <c r="R8" s="305">
        <v>36320</v>
      </c>
      <c r="S8" s="304">
        <f t="shared" si="5"/>
        <v>0</v>
      </c>
      <c r="T8" s="304">
        <f t="shared" si="6"/>
        <v>33490</v>
      </c>
      <c r="U8" s="820">
        <v>33490</v>
      </c>
      <c r="V8" s="304">
        <f t="shared" si="7"/>
        <v>0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25</v>
      </c>
      <c r="AA8" s="125">
        <v>240</v>
      </c>
      <c r="AB8" s="125">
        <v>168</v>
      </c>
      <c r="AC8" s="684">
        <f>Gen!AR13</f>
        <v>1565.76</v>
      </c>
    </row>
    <row r="9" spans="1:29" ht="20.100000000000001" customHeight="1" thickBot="1">
      <c r="A9" s="856">
        <f>Gen!A14</f>
        <v>44290</v>
      </c>
      <c r="B9" s="851"/>
      <c r="C9" s="850">
        <v>7917.58</v>
      </c>
      <c r="D9" s="145">
        <v>22273</v>
      </c>
      <c r="E9" s="852"/>
      <c r="F9" s="853"/>
      <c r="G9" s="145"/>
      <c r="H9" s="145"/>
      <c r="I9" s="145">
        <v>31863.8</v>
      </c>
      <c r="J9" s="848">
        <v>21235.5</v>
      </c>
      <c r="K9" s="858">
        <f t="shared" si="0"/>
        <v>36116</v>
      </c>
      <c r="L9" s="305">
        <v>36116</v>
      </c>
      <c r="M9" s="304">
        <f t="shared" si="1"/>
        <v>0</v>
      </c>
      <c r="N9" s="306">
        <f t="shared" si="2"/>
        <v>31027</v>
      </c>
      <c r="O9" s="125">
        <v>31027</v>
      </c>
      <c r="P9" s="304">
        <f t="shared" si="3"/>
        <v>0</v>
      </c>
      <c r="Q9" s="304">
        <f t="shared" si="4"/>
        <v>36320</v>
      </c>
      <c r="R9" s="305">
        <v>36320</v>
      </c>
      <c r="S9" s="304">
        <f t="shared" si="5"/>
        <v>0</v>
      </c>
      <c r="T9" s="304">
        <f t="shared" si="6"/>
        <v>33490</v>
      </c>
      <c r="U9" s="125">
        <v>33514</v>
      </c>
      <c r="V9" s="304">
        <f t="shared" si="7"/>
        <v>24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260</v>
      </c>
      <c r="AB9" s="125">
        <v>187</v>
      </c>
      <c r="AC9" s="684">
        <f>Gen!AR14</f>
        <v>1363.11</v>
      </c>
    </row>
    <row r="10" spans="1:29" ht="20.100000000000001" customHeight="1" thickBot="1">
      <c r="A10" s="856">
        <f>Gen!A15</f>
        <v>44291</v>
      </c>
      <c r="B10" s="851"/>
      <c r="C10" s="850">
        <v>6308.49</v>
      </c>
      <c r="D10" s="145">
        <v>22273</v>
      </c>
      <c r="E10" s="852"/>
      <c r="F10" s="145"/>
      <c r="G10" s="145">
        <v>218.51</v>
      </c>
      <c r="H10" s="145"/>
      <c r="I10" s="145">
        <v>31869.200000000001</v>
      </c>
      <c r="J10" s="848">
        <v>21239.8</v>
      </c>
      <c r="K10" s="858">
        <f t="shared" si="0"/>
        <v>36116</v>
      </c>
      <c r="L10" s="305">
        <v>36116</v>
      </c>
      <c r="M10" s="304">
        <f t="shared" si="1"/>
        <v>0</v>
      </c>
      <c r="N10" s="306">
        <f t="shared" si="2"/>
        <v>31027</v>
      </c>
      <c r="O10" s="125">
        <v>31027</v>
      </c>
      <c r="P10" s="304">
        <f t="shared" si="3"/>
        <v>0</v>
      </c>
      <c r="Q10" s="304">
        <f t="shared" si="4"/>
        <v>36320</v>
      </c>
      <c r="R10" s="305">
        <v>36344</v>
      </c>
      <c r="S10" s="304">
        <f t="shared" si="5"/>
        <v>24</v>
      </c>
      <c r="T10" s="304">
        <f t="shared" si="6"/>
        <v>33514</v>
      </c>
      <c r="U10" s="125">
        <v>33514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24</v>
      </c>
      <c r="AA10" s="125">
        <v>265</v>
      </c>
      <c r="AB10" s="125">
        <v>145</v>
      </c>
      <c r="AC10" s="684">
        <f>Gen!AR15</f>
        <v>1549.99</v>
      </c>
    </row>
    <row r="11" spans="1:29" ht="20.100000000000001" customHeight="1" thickBot="1">
      <c r="A11" s="856">
        <f>Gen!A16</f>
        <v>44292</v>
      </c>
      <c r="B11" s="851"/>
      <c r="C11" s="850">
        <v>4758.5</v>
      </c>
      <c r="D11" s="145">
        <v>22273</v>
      </c>
      <c r="E11" s="852"/>
      <c r="F11" s="145"/>
      <c r="G11" s="145">
        <v>42.44</v>
      </c>
      <c r="H11" s="145"/>
      <c r="I11" s="145">
        <v>31874.5</v>
      </c>
      <c r="J11" s="848">
        <v>21244.1</v>
      </c>
      <c r="K11" s="858">
        <f t="shared" si="0"/>
        <v>36116</v>
      </c>
      <c r="L11" s="305">
        <v>36116</v>
      </c>
      <c r="M11" s="304">
        <f t="shared" si="1"/>
        <v>0</v>
      </c>
      <c r="N11" s="306">
        <f t="shared" si="2"/>
        <v>31027</v>
      </c>
      <c r="O11" s="125">
        <v>31052</v>
      </c>
      <c r="P11" s="304">
        <f t="shared" si="3"/>
        <v>25</v>
      </c>
      <c r="Q11" s="304">
        <f t="shared" si="4"/>
        <v>36344</v>
      </c>
      <c r="R11" s="305">
        <v>36344</v>
      </c>
      <c r="S11" s="304">
        <f t="shared" si="5"/>
        <v>0</v>
      </c>
      <c r="T11" s="304">
        <f t="shared" si="6"/>
        <v>33514</v>
      </c>
      <c r="U11" s="125">
        <v>33514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25</v>
      </c>
      <c r="AA11" s="125">
        <v>245</v>
      </c>
      <c r="AB11" s="125">
        <v>135</v>
      </c>
      <c r="AC11" s="684">
        <f>Gen!AR16</f>
        <v>1309.54</v>
      </c>
    </row>
    <row r="12" spans="1:29" ht="20.100000000000001" customHeight="1" thickBot="1">
      <c r="A12" s="856">
        <f>Gen!A17</f>
        <v>44293</v>
      </c>
      <c r="B12" s="851"/>
      <c r="C12" s="850">
        <v>3448.96</v>
      </c>
      <c r="D12" s="145">
        <v>22273</v>
      </c>
      <c r="E12" s="852"/>
      <c r="F12" s="145"/>
      <c r="G12" s="145">
        <v>117.14</v>
      </c>
      <c r="H12" s="145"/>
      <c r="I12" s="145">
        <v>31879.8</v>
      </c>
      <c r="J12" s="848">
        <v>21247.599999999999</v>
      </c>
      <c r="K12" s="858">
        <f t="shared" si="0"/>
        <v>36116</v>
      </c>
      <c r="L12" s="305">
        <v>36140</v>
      </c>
      <c r="M12" s="304">
        <f t="shared" si="1"/>
        <v>24</v>
      </c>
      <c r="N12" s="306">
        <f t="shared" si="2"/>
        <v>31052</v>
      </c>
      <c r="O12" s="125">
        <v>31052</v>
      </c>
      <c r="P12" s="304">
        <f t="shared" si="3"/>
        <v>0</v>
      </c>
      <c r="Q12" s="304">
        <f t="shared" si="4"/>
        <v>36344</v>
      </c>
      <c r="R12" s="305">
        <v>36344</v>
      </c>
      <c r="S12" s="304">
        <f t="shared" si="5"/>
        <v>0</v>
      </c>
      <c r="T12" s="304">
        <f t="shared" si="6"/>
        <v>33514</v>
      </c>
      <c r="U12" s="125">
        <v>33514</v>
      </c>
      <c r="V12" s="304">
        <f t="shared" si="7"/>
        <v>0</v>
      </c>
      <c r="W12" s="306">
        <f t="shared" si="8"/>
        <v>22034</v>
      </c>
      <c r="X12" s="673">
        <v>22034</v>
      </c>
      <c r="Y12" s="304">
        <f t="shared" si="9"/>
        <v>0</v>
      </c>
      <c r="Z12" s="307">
        <f t="shared" si="10"/>
        <v>24</v>
      </c>
      <c r="AA12" s="125">
        <v>260</v>
      </c>
      <c r="AB12" s="125">
        <v>138</v>
      </c>
      <c r="AC12" s="684">
        <f>Gen!AR17</f>
        <v>1469.5600000000002</v>
      </c>
    </row>
    <row r="13" spans="1:29" ht="20.100000000000001" customHeight="1" thickBot="1">
      <c r="A13" s="856">
        <f>Gen!A18</f>
        <v>44294</v>
      </c>
      <c r="B13" s="851"/>
      <c r="C13" s="850">
        <v>19981.400000000001</v>
      </c>
      <c r="D13" s="145">
        <v>22273</v>
      </c>
      <c r="E13" s="852"/>
      <c r="F13" s="145"/>
      <c r="G13" s="145">
        <v>156.32</v>
      </c>
      <c r="H13" s="145"/>
      <c r="I13" s="145">
        <v>31884.9</v>
      </c>
      <c r="J13" s="848">
        <v>21252.1</v>
      </c>
      <c r="K13" s="858">
        <f t="shared" si="0"/>
        <v>36140</v>
      </c>
      <c r="L13" s="305">
        <v>36140</v>
      </c>
      <c r="M13" s="304">
        <f t="shared" si="1"/>
        <v>0</v>
      </c>
      <c r="N13" s="306">
        <f t="shared" si="2"/>
        <v>31052</v>
      </c>
      <c r="O13" s="125">
        <v>31052</v>
      </c>
      <c r="P13" s="304">
        <f>O14-N13</f>
        <v>0</v>
      </c>
      <c r="Q13" s="304">
        <f t="shared" si="4"/>
        <v>36344</v>
      </c>
      <c r="R13" s="125">
        <v>36368</v>
      </c>
      <c r="S13" s="304">
        <f t="shared" si="5"/>
        <v>24</v>
      </c>
      <c r="T13" s="304">
        <f t="shared" si="6"/>
        <v>33514</v>
      </c>
      <c r="U13" s="125">
        <v>33514</v>
      </c>
      <c r="V13" s="304">
        <f t="shared" si="7"/>
        <v>0</v>
      </c>
      <c r="W13" s="306">
        <f t="shared" si="8"/>
        <v>22034</v>
      </c>
      <c r="X13" s="673">
        <v>22034</v>
      </c>
      <c r="Y13" s="304">
        <f t="shared" si="9"/>
        <v>0</v>
      </c>
      <c r="Z13" s="307">
        <f t="shared" si="10"/>
        <v>24</v>
      </c>
      <c r="AA13" s="125">
        <v>250</v>
      </c>
      <c r="AB13" s="125">
        <v>125</v>
      </c>
      <c r="AC13" s="684">
        <f>Gen!AR18</f>
        <v>1420.6399999999999</v>
      </c>
    </row>
    <row r="14" spans="1:29" ht="20.100000000000001" customHeight="1" thickBot="1">
      <c r="A14" s="856">
        <f>Gen!A19</f>
        <v>44295</v>
      </c>
      <c r="B14" s="851"/>
      <c r="C14" s="850">
        <v>18558.759999999998</v>
      </c>
      <c r="D14" s="145">
        <v>22273</v>
      </c>
      <c r="E14" s="852"/>
      <c r="F14" s="145"/>
      <c r="G14" s="145">
        <v>302.12</v>
      </c>
      <c r="H14" s="145"/>
      <c r="I14" s="145">
        <v>31889.7</v>
      </c>
      <c r="J14" s="848">
        <v>21256.3</v>
      </c>
      <c r="K14" s="858">
        <f t="shared" si="0"/>
        <v>36140</v>
      </c>
      <c r="L14" s="305">
        <v>36140</v>
      </c>
      <c r="M14" s="304">
        <f t="shared" si="1"/>
        <v>0</v>
      </c>
      <c r="N14" s="306">
        <f>O14</f>
        <v>31052</v>
      </c>
      <c r="O14" s="125">
        <v>31052</v>
      </c>
      <c r="P14" s="304">
        <f t="shared" ref="P14:P15" si="11">O15-N14</f>
        <v>24</v>
      </c>
      <c r="Q14" s="304">
        <f t="shared" si="4"/>
        <v>36368</v>
      </c>
      <c r="R14" s="125">
        <v>36368</v>
      </c>
      <c r="S14" s="304">
        <f t="shared" si="5"/>
        <v>0</v>
      </c>
      <c r="T14" s="304">
        <f t="shared" si="6"/>
        <v>33514</v>
      </c>
      <c r="U14" s="305">
        <v>33539</v>
      </c>
      <c r="V14" s="304">
        <f t="shared" si="7"/>
        <v>25</v>
      </c>
      <c r="W14" s="306">
        <f t="shared" si="8"/>
        <v>22034</v>
      </c>
      <c r="X14" s="673">
        <v>22034</v>
      </c>
      <c r="Y14" s="304">
        <f t="shared" si="9"/>
        <v>0</v>
      </c>
      <c r="Z14" s="307">
        <f t="shared" si="10"/>
        <v>49</v>
      </c>
      <c r="AA14" s="125">
        <v>245</v>
      </c>
      <c r="AB14" s="125">
        <v>145</v>
      </c>
      <c r="AC14" s="684">
        <f>Gen!AR19</f>
        <v>1608.4</v>
      </c>
    </row>
    <row r="15" spans="1:29" ht="20.100000000000001" customHeight="1" thickBot="1">
      <c r="A15" s="856">
        <f>Gen!A20</f>
        <v>44296</v>
      </c>
      <c r="B15" s="851"/>
      <c r="C15" s="850">
        <v>16950.36</v>
      </c>
      <c r="D15" s="145">
        <v>22273</v>
      </c>
      <c r="E15" s="852"/>
      <c r="F15" s="145"/>
      <c r="G15" s="862">
        <v>112</v>
      </c>
      <c r="H15" s="145"/>
      <c r="I15" s="145">
        <v>31894.5</v>
      </c>
      <c r="J15" s="848">
        <v>21260.799999999999</v>
      </c>
      <c r="K15" s="858">
        <f t="shared" si="0"/>
        <v>36140</v>
      </c>
      <c r="L15" s="305">
        <v>36140</v>
      </c>
      <c r="M15" s="304">
        <f t="shared" si="1"/>
        <v>0</v>
      </c>
      <c r="N15" s="306" t="e">
        <f>#REF!</f>
        <v>#REF!</v>
      </c>
      <c r="O15" s="125">
        <v>31076</v>
      </c>
      <c r="P15" s="304" t="e">
        <f t="shared" si="11"/>
        <v>#REF!</v>
      </c>
      <c r="Q15" s="304">
        <f t="shared" si="4"/>
        <v>36368</v>
      </c>
      <c r="R15" s="125">
        <v>36368</v>
      </c>
      <c r="S15" s="304">
        <f t="shared" si="5"/>
        <v>0</v>
      </c>
      <c r="T15" s="304">
        <f t="shared" si="6"/>
        <v>33539</v>
      </c>
      <c r="U15" s="305">
        <v>33539</v>
      </c>
      <c r="V15" s="304">
        <f t="shared" si="7"/>
        <v>0</v>
      </c>
      <c r="W15" s="306">
        <f t="shared" si="8"/>
        <v>22034</v>
      </c>
      <c r="X15" s="673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145</v>
      </c>
      <c r="AC15" s="684">
        <f>Gen!AR20</f>
        <v>1357.81</v>
      </c>
    </row>
    <row r="16" spans="1:29" ht="20.100000000000001" customHeight="1" thickBot="1">
      <c r="A16" s="856">
        <f>Gen!A21</f>
        <v>44297</v>
      </c>
      <c r="B16" s="851"/>
      <c r="C16" s="850">
        <v>15592.55</v>
      </c>
      <c r="D16" s="145">
        <v>22273</v>
      </c>
      <c r="E16" s="852"/>
      <c r="F16" s="145"/>
      <c r="G16" s="145">
        <v>25</v>
      </c>
      <c r="H16" s="145"/>
      <c r="I16" s="145">
        <v>31899.200000000001</v>
      </c>
      <c r="J16" s="848">
        <v>21265.1</v>
      </c>
      <c r="K16" s="858">
        <f t="shared" si="0"/>
        <v>36140</v>
      </c>
      <c r="L16" s="305">
        <v>36165</v>
      </c>
      <c r="M16" s="304">
        <f>L16-K16</f>
        <v>25</v>
      </c>
      <c r="N16" s="306">
        <f t="shared" si="2"/>
        <v>31076</v>
      </c>
      <c r="O16" s="125">
        <v>31076</v>
      </c>
      <c r="P16" s="304">
        <f t="shared" si="3"/>
        <v>0</v>
      </c>
      <c r="Q16" s="304">
        <f t="shared" si="4"/>
        <v>36368</v>
      </c>
      <c r="R16" s="125">
        <v>36368</v>
      </c>
      <c r="S16" s="304">
        <f t="shared" si="5"/>
        <v>0</v>
      </c>
      <c r="T16" s="304">
        <f t="shared" si="6"/>
        <v>33539</v>
      </c>
      <c r="U16" s="305">
        <v>33539</v>
      </c>
      <c r="V16" s="304">
        <f t="shared" si="7"/>
        <v>0</v>
      </c>
      <c r="W16" s="306">
        <f t="shared" si="8"/>
        <v>22034</v>
      </c>
      <c r="X16" s="673">
        <v>22034</v>
      </c>
      <c r="Y16" s="304">
        <f t="shared" si="9"/>
        <v>0</v>
      </c>
      <c r="Z16" s="307">
        <f t="shared" si="10"/>
        <v>25</v>
      </c>
      <c r="AA16" s="125">
        <v>240</v>
      </c>
      <c r="AB16" s="125">
        <v>130</v>
      </c>
      <c r="AC16" s="684">
        <f>Gen!AR21</f>
        <v>1308.98</v>
      </c>
    </row>
    <row r="17" spans="1:29" ht="20.100000000000001" customHeight="1" thickBot="1">
      <c r="A17" s="856">
        <f>Gen!A22</f>
        <v>44298</v>
      </c>
      <c r="B17" s="851"/>
      <c r="C17" s="850">
        <v>14283.57</v>
      </c>
      <c r="D17" s="145">
        <v>22273</v>
      </c>
      <c r="E17" s="852"/>
      <c r="F17" s="145"/>
      <c r="G17" s="145">
        <v>250.64</v>
      </c>
      <c r="H17" s="145"/>
      <c r="I17" s="145">
        <v>31903.9</v>
      </c>
      <c r="J17" s="848">
        <v>21269.5</v>
      </c>
      <c r="K17" s="858">
        <f>L16</f>
        <v>36165</v>
      </c>
      <c r="L17" s="305">
        <v>36165</v>
      </c>
      <c r="M17" s="304">
        <f>L17-K17</f>
        <v>0</v>
      </c>
      <c r="N17" s="306">
        <f t="shared" si="2"/>
        <v>31076</v>
      </c>
      <c r="O17" s="125">
        <v>31076</v>
      </c>
      <c r="P17" s="304">
        <f t="shared" si="3"/>
        <v>0</v>
      </c>
      <c r="Q17" s="304">
        <f t="shared" si="4"/>
        <v>36368</v>
      </c>
      <c r="R17" s="125">
        <v>36392</v>
      </c>
      <c r="S17" s="304">
        <f t="shared" si="5"/>
        <v>24</v>
      </c>
      <c r="T17" s="304">
        <f t="shared" si="6"/>
        <v>33539</v>
      </c>
      <c r="U17" s="305">
        <v>33539</v>
      </c>
      <c r="V17" s="304">
        <f t="shared" si="7"/>
        <v>0</v>
      </c>
      <c r="W17" s="306">
        <f t="shared" si="8"/>
        <v>22034</v>
      </c>
      <c r="X17" s="673">
        <v>22034</v>
      </c>
      <c r="Y17" s="304">
        <f t="shared" si="9"/>
        <v>0</v>
      </c>
      <c r="Z17" s="307">
        <f t="shared" si="10"/>
        <v>24</v>
      </c>
      <c r="AA17" s="125">
        <v>245</v>
      </c>
      <c r="AB17" s="125">
        <v>125</v>
      </c>
      <c r="AC17" s="684">
        <f>Gen!AR22</f>
        <v>1417.3899999999999</v>
      </c>
    </row>
    <row r="18" spans="1:29" ht="20.100000000000001" customHeight="1" thickBot="1">
      <c r="A18" s="856">
        <f>Gen!A23</f>
        <v>44299</v>
      </c>
      <c r="B18" s="851"/>
      <c r="C18" s="850">
        <v>12866.18</v>
      </c>
      <c r="D18" s="145">
        <v>22273</v>
      </c>
      <c r="E18" s="145"/>
      <c r="F18" s="145"/>
      <c r="G18" s="145">
        <v>22.54</v>
      </c>
      <c r="H18" s="145"/>
      <c r="I18" s="145">
        <v>31908.7</v>
      </c>
      <c r="J18" s="848">
        <v>21273.9</v>
      </c>
      <c r="K18" s="858">
        <f>L17</f>
        <v>36165</v>
      </c>
      <c r="L18" s="305">
        <v>36165</v>
      </c>
      <c r="M18" s="304">
        <f t="shared" si="1"/>
        <v>0</v>
      </c>
      <c r="N18" s="306">
        <f t="shared" si="2"/>
        <v>31076</v>
      </c>
      <c r="O18" s="125">
        <v>31076</v>
      </c>
      <c r="P18" s="304">
        <f t="shared" si="3"/>
        <v>0</v>
      </c>
      <c r="Q18" s="304">
        <f t="shared" si="4"/>
        <v>36392</v>
      </c>
      <c r="R18" s="125">
        <v>36392</v>
      </c>
      <c r="S18" s="304">
        <f t="shared" si="5"/>
        <v>0</v>
      </c>
      <c r="T18" s="304">
        <f t="shared" si="6"/>
        <v>33539</v>
      </c>
      <c r="U18" s="305">
        <v>33563</v>
      </c>
      <c r="V18" s="304">
        <f t="shared" si="7"/>
        <v>24</v>
      </c>
      <c r="W18" s="306">
        <f t="shared" si="8"/>
        <v>22034</v>
      </c>
      <c r="X18" s="673">
        <v>22034</v>
      </c>
      <c r="Y18" s="304">
        <f t="shared" si="9"/>
        <v>0</v>
      </c>
      <c r="Z18" s="307">
        <f t="shared" si="10"/>
        <v>24</v>
      </c>
      <c r="AA18" s="125">
        <v>240</v>
      </c>
      <c r="AB18" s="125">
        <v>125</v>
      </c>
      <c r="AC18" s="684">
        <f>Gen!AR23</f>
        <v>1106.28</v>
      </c>
    </row>
    <row r="19" spans="1:29" ht="20.100000000000001" customHeight="1" thickBot="1">
      <c r="A19" s="856">
        <f>Gen!A24</f>
        <v>44300</v>
      </c>
      <c r="B19" s="851"/>
      <c r="C19" s="850">
        <v>11759.9</v>
      </c>
      <c r="D19" s="145">
        <v>22273</v>
      </c>
      <c r="E19" s="145"/>
      <c r="F19" s="145"/>
      <c r="G19" s="145">
        <v>160.49</v>
      </c>
      <c r="H19" s="145"/>
      <c r="I19" s="145">
        <v>31913.7</v>
      </c>
      <c r="J19" s="848">
        <v>21276.9</v>
      </c>
      <c r="K19" s="858">
        <f t="shared" si="0"/>
        <v>36165</v>
      </c>
      <c r="L19" s="305">
        <v>36165</v>
      </c>
      <c r="M19" s="304">
        <f t="shared" si="1"/>
        <v>0</v>
      </c>
      <c r="N19" s="306">
        <f t="shared" si="2"/>
        <v>31076</v>
      </c>
      <c r="O19" s="125">
        <v>31100</v>
      </c>
      <c r="P19" s="304">
        <f t="shared" si="3"/>
        <v>24</v>
      </c>
      <c r="Q19" s="304">
        <f t="shared" si="4"/>
        <v>36392</v>
      </c>
      <c r="R19" s="125">
        <v>36392</v>
      </c>
      <c r="S19" s="304">
        <f t="shared" si="5"/>
        <v>0</v>
      </c>
      <c r="T19" s="304">
        <f t="shared" si="6"/>
        <v>33563</v>
      </c>
      <c r="U19" s="305">
        <v>33563</v>
      </c>
      <c r="V19" s="304">
        <f t="shared" si="7"/>
        <v>0</v>
      </c>
      <c r="W19" s="306">
        <f t="shared" si="8"/>
        <v>22034</v>
      </c>
      <c r="X19" s="673">
        <v>22034</v>
      </c>
      <c r="Y19" s="304">
        <f t="shared" si="9"/>
        <v>0</v>
      </c>
      <c r="Z19" s="307">
        <f t="shared" si="10"/>
        <v>24</v>
      </c>
      <c r="AA19" s="125">
        <v>235</v>
      </c>
      <c r="AB19" s="125">
        <v>120</v>
      </c>
      <c r="AC19" s="684">
        <f>Gen!AR24</f>
        <v>1224.48</v>
      </c>
    </row>
    <row r="20" spans="1:29" ht="20.100000000000001" customHeight="1">
      <c r="A20" s="856">
        <f>Gen!A25</f>
        <v>44301</v>
      </c>
      <c r="B20" s="851"/>
      <c r="C20" s="850">
        <v>10535.42</v>
      </c>
      <c r="D20" s="145">
        <v>22273</v>
      </c>
      <c r="E20" s="145"/>
      <c r="F20" s="145"/>
      <c r="G20" s="145">
        <v>101.91</v>
      </c>
      <c r="H20" s="145"/>
      <c r="I20" s="145">
        <v>31917.3</v>
      </c>
      <c r="J20" s="848">
        <v>21280.2</v>
      </c>
      <c r="K20" s="858">
        <f t="shared" si="0"/>
        <v>36165</v>
      </c>
      <c r="L20" s="305">
        <v>36189</v>
      </c>
      <c r="M20" s="304">
        <f t="shared" si="1"/>
        <v>24</v>
      </c>
      <c r="N20" s="306">
        <f t="shared" si="2"/>
        <v>31100</v>
      </c>
      <c r="O20" s="125">
        <v>31100</v>
      </c>
      <c r="P20" s="304">
        <f t="shared" si="3"/>
        <v>0</v>
      </c>
      <c r="Q20" s="304">
        <f t="shared" si="4"/>
        <v>36392</v>
      </c>
      <c r="R20" s="125">
        <v>36392</v>
      </c>
      <c r="S20" s="304">
        <f t="shared" si="5"/>
        <v>0</v>
      </c>
      <c r="T20" s="304">
        <f t="shared" si="6"/>
        <v>33563</v>
      </c>
      <c r="U20" s="305">
        <v>33563</v>
      </c>
      <c r="V20" s="304">
        <f t="shared" si="7"/>
        <v>0</v>
      </c>
      <c r="W20" s="306">
        <f t="shared" si="8"/>
        <v>22034</v>
      </c>
      <c r="X20" s="673">
        <v>22034</v>
      </c>
      <c r="Y20" s="304">
        <f t="shared" si="9"/>
        <v>0</v>
      </c>
      <c r="Z20" s="307">
        <f t="shared" si="10"/>
        <v>24</v>
      </c>
      <c r="AA20" s="125">
        <v>230</v>
      </c>
      <c r="AB20" s="125">
        <v>120</v>
      </c>
      <c r="AC20" s="684">
        <f>Gen!AR25</f>
        <v>1152.99</v>
      </c>
    </row>
    <row r="21" spans="1:29" ht="20.100000000000001" customHeight="1">
      <c r="A21" s="856">
        <f>Gen!A26</f>
        <v>44302</v>
      </c>
      <c r="B21" s="851"/>
      <c r="C21" s="850"/>
      <c r="D21" s="145"/>
      <c r="E21" s="145"/>
      <c r="F21" s="145"/>
      <c r="G21" s="145"/>
      <c r="H21" s="145"/>
      <c r="I21" s="145">
        <v>31921.599999999999</v>
      </c>
      <c r="J21" s="848">
        <v>21283.1</v>
      </c>
      <c r="K21" s="858">
        <f t="shared" si="0"/>
        <v>36189</v>
      </c>
      <c r="L21" s="305"/>
      <c r="M21" s="304">
        <f t="shared" si="1"/>
        <v>-36189</v>
      </c>
      <c r="N21" s="306">
        <f t="shared" si="2"/>
        <v>31100</v>
      </c>
      <c r="O21" s="125"/>
      <c r="P21" s="304">
        <f t="shared" si="3"/>
        <v>-31100</v>
      </c>
      <c r="Q21" s="304">
        <f t="shared" si="4"/>
        <v>36392</v>
      </c>
      <c r="R21" s="125"/>
      <c r="S21" s="304">
        <f t="shared" si="5"/>
        <v>-36392</v>
      </c>
      <c r="T21" s="304">
        <f t="shared" si="6"/>
        <v>33563</v>
      </c>
      <c r="U21" s="305"/>
      <c r="V21" s="304">
        <f t="shared" si="7"/>
        <v>-33563</v>
      </c>
      <c r="W21" s="306">
        <f t="shared" si="8"/>
        <v>22034</v>
      </c>
      <c r="X21" s="305"/>
      <c r="Y21" s="304">
        <f t="shared" si="9"/>
        <v>-22034</v>
      </c>
      <c r="Z21" s="307">
        <f t="shared" si="10"/>
        <v>-159278</v>
      </c>
      <c r="AA21" s="125"/>
      <c r="AB21" s="125"/>
      <c r="AC21" s="684">
        <f>Gen!AR26</f>
        <v>0</v>
      </c>
    </row>
    <row r="22" spans="1:29" ht="18.75" customHeight="1">
      <c r="A22" s="856">
        <f>Gen!A27</f>
        <v>44303</v>
      </c>
      <c r="B22" s="851"/>
      <c r="C22" s="850"/>
      <c r="D22" s="145"/>
      <c r="E22" s="145"/>
      <c r="F22" s="145"/>
      <c r="G22" s="145"/>
      <c r="H22" s="145"/>
      <c r="I22" s="145"/>
      <c r="J22" s="848"/>
      <c r="K22" s="858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4">
        <f>Gen!AR27</f>
        <v>0</v>
      </c>
    </row>
    <row r="23" spans="1:29" ht="20.100000000000001" customHeight="1">
      <c r="A23" s="856">
        <f>Gen!A28</f>
        <v>44304</v>
      </c>
      <c r="B23" s="851"/>
      <c r="C23" s="850"/>
      <c r="D23" s="853"/>
      <c r="E23" s="852"/>
      <c r="F23" s="145"/>
      <c r="G23" s="145"/>
      <c r="H23" s="145"/>
      <c r="I23" s="145"/>
      <c r="J23" s="848"/>
      <c r="K23" s="858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4">
        <f>Gen!AR28</f>
        <v>0</v>
      </c>
    </row>
    <row r="24" spans="1:29" ht="20.100000000000001" customHeight="1">
      <c r="A24" s="856">
        <f>Gen!A29</f>
        <v>44305</v>
      </c>
      <c r="B24" s="851"/>
      <c r="C24" s="850"/>
      <c r="D24" s="853"/>
      <c r="E24" s="145"/>
      <c r="F24" s="145"/>
      <c r="G24" s="145"/>
      <c r="H24" s="145"/>
      <c r="I24" s="145"/>
      <c r="J24" s="848"/>
      <c r="K24" s="858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4">
        <f>Gen!AR29</f>
        <v>0</v>
      </c>
    </row>
    <row r="25" spans="1:29" ht="18.75" customHeight="1">
      <c r="A25" s="856">
        <f>Gen!A30</f>
        <v>44306</v>
      </c>
      <c r="B25" s="851"/>
      <c r="C25" s="850"/>
      <c r="D25" s="853"/>
      <c r="E25" s="145"/>
      <c r="F25" s="145"/>
      <c r="G25" s="145"/>
      <c r="H25" s="145"/>
      <c r="I25" s="145"/>
      <c r="J25" s="848"/>
      <c r="K25" s="858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4">
        <f>Gen!AR30</f>
        <v>0</v>
      </c>
    </row>
    <row r="26" spans="1:29" ht="20.100000000000001" customHeight="1">
      <c r="A26" s="856">
        <f>Gen!A31</f>
        <v>44307</v>
      </c>
      <c r="B26" s="851"/>
      <c r="C26" s="850"/>
      <c r="D26" s="853"/>
      <c r="E26" s="145"/>
      <c r="F26" s="145"/>
      <c r="G26" s="145"/>
      <c r="H26" s="145"/>
      <c r="I26" s="145"/>
      <c r="J26" s="848"/>
      <c r="K26" s="858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4">
        <f>Gen!AR31</f>
        <v>0</v>
      </c>
    </row>
    <row r="27" spans="1:29" ht="20.100000000000001" customHeight="1">
      <c r="A27" s="856">
        <f>Gen!A32</f>
        <v>44308</v>
      </c>
      <c r="B27" s="851"/>
      <c r="C27" s="850"/>
      <c r="D27" s="853"/>
      <c r="E27" s="145"/>
      <c r="F27" s="145"/>
      <c r="G27" s="145"/>
      <c r="H27" s="145"/>
      <c r="I27" s="145"/>
      <c r="J27" s="848"/>
      <c r="K27" s="858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4">
        <f>Gen!AR32</f>
        <v>0</v>
      </c>
    </row>
    <row r="28" spans="1:29" ht="20.100000000000001" customHeight="1">
      <c r="A28" s="856">
        <f>Gen!A33</f>
        <v>44309</v>
      </c>
      <c r="B28" s="860"/>
      <c r="C28" s="788"/>
      <c r="D28" s="789"/>
      <c r="E28" s="305"/>
      <c r="F28" s="305"/>
      <c r="G28" s="305"/>
      <c r="H28" s="305"/>
      <c r="I28" s="305"/>
      <c r="J28" s="305"/>
      <c r="K28" s="85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44310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44311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44312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44313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44314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44315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44316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0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topLeftCell="A4" workbookViewId="0">
      <pane xSplit="1" topLeftCell="B1" activePane="topRight" state="frozen"/>
      <selection pane="topRight" activeCell="J30" sqref="J30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4"/>
      <c r="B1" s="904"/>
    </row>
    <row r="2" spans="1:46" ht="26.25">
      <c r="A2" s="904"/>
      <c r="B2" s="904"/>
      <c r="D2" s="905">
        <f>A11</f>
        <v>44287</v>
      </c>
      <c r="E2" s="905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906"/>
      <c r="AL2" s="906"/>
      <c r="AM2" s="906"/>
      <c r="AN2" s="906"/>
      <c r="AO2" s="906"/>
      <c r="AP2" s="906"/>
      <c r="AQ2" s="906"/>
      <c r="AR2" s="906"/>
      <c r="AS2" s="906"/>
      <c r="AT2" s="906"/>
    </row>
    <row r="3" spans="1:46" ht="12.75" customHeight="1">
      <c r="A3" s="904"/>
      <c r="B3" s="904"/>
      <c r="H3" s="907"/>
      <c r="I3" s="907"/>
      <c r="J3" s="907"/>
      <c r="K3" s="181"/>
      <c r="Q3" s="181"/>
    </row>
    <row r="4" spans="1:46" ht="11.25" customHeight="1">
      <c r="A4" s="904"/>
      <c r="B4" s="904"/>
      <c r="H4" s="907"/>
      <c r="I4" s="907"/>
      <c r="J4" s="907"/>
      <c r="K4" s="181"/>
      <c r="Q4" s="181"/>
    </row>
    <row r="5" spans="1:46" ht="12" thickBot="1">
      <c r="A5" s="904"/>
      <c r="B5" s="90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4"/>
      <c r="B6" s="904"/>
      <c r="C6" s="186"/>
      <c r="F6" s="908" t="s">
        <v>57</v>
      </c>
      <c r="G6" s="909"/>
      <c r="H6" s="909"/>
      <c r="I6" s="909"/>
      <c r="J6" s="909"/>
      <c r="K6" s="909"/>
      <c r="L6" s="91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1" t="s">
        <v>201</v>
      </c>
      <c r="G7" s="912"/>
      <c r="H7" s="912"/>
      <c r="I7" s="912"/>
      <c r="J7" s="912"/>
      <c r="K7" s="912"/>
      <c r="L7" s="913"/>
      <c r="M7" s="914" t="s">
        <v>40</v>
      </c>
      <c r="N7" s="915"/>
      <c r="O7" s="915"/>
      <c r="P7" s="915"/>
      <c r="Q7" s="915"/>
      <c r="R7" s="91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f>[4]Gen!$C$43</f>
        <v>34515.97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44287</v>
      </c>
      <c r="B11" s="824">
        <v>0.156</v>
      </c>
      <c r="C11" s="802">
        <f>SUM(C9+D11)</f>
        <v>34515.97</v>
      </c>
      <c r="D11" s="803"/>
      <c r="E11" s="800"/>
      <c r="F11" s="299"/>
      <c r="G11" s="801"/>
      <c r="H11" s="204">
        <v>1326.45</v>
      </c>
      <c r="I11" s="223"/>
      <c r="J11" s="204"/>
      <c r="K11" s="204"/>
      <c r="L11" s="299"/>
      <c r="M11" s="298"/>
      <c r="N11" s="206">
        <v>3175</v>
      </c>
      <c r="O11" s="206"/>
      <c r="P11" s="206"/>
      <c r="Q11" s="206"/>
      <c r="R11" s="562"/>
      <c r="S11" s="570">
        <f t="shared" si="0"/>
        <v>1326.45</v>
      </c>
      <c r="T11" s="218">
        <f t="shared" si="1"/>
        <v>3175</v>
      </c>
      <c r="U11" s="571">
        <f t="shared" ref="U11:U41" si="4">S11/T11</f>
        <v>0.41777952755905512</v>
      </c>
      <c r="V11" s="211"/>
      <c r="W11" s="219"/>
      <c r="X11" s="197">
        <v>34.9</v>
      </c>
      <c r="Y11" s="219"/>
      <c r="Z11" s="204">
        <v>110.53</v>
      </c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145.43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1471.88</v>
      </c>
      <c r="AS11" s="221">
        <f>AR11*AU11</f>
        <v>0</v>
      </c>
      <c r="AT11" s="283">
        <f t="shared" ref="AT11:AT43" si="5">C11</f>
        <v>34515.97</v>
      </c>
    </row>
    <row r="12" spans="1:46" ht="13.5" customHeight="1">
      <c r="A12" s="575">
        <v>44288</v>
      </c>
      <c r="B12" s="825">
        <v>0.16900000000000001</v>
      </c>
      <c r="C12" s="802">
        <f t="shared" ref="C12:C43" si="6">SUM(C11-AR11+D12)</f>
        <v>33044.090000000004</v>
      </c>
      <c r="D12" s="803"/>
      <c r="E12" s="800"/>
      <c r="F12" s="525"/>
      <c r="G12" s="801"/>
      <c r="H12" s="204"/>
      <c r="I12" s="223"/>
      <c r="J12" s="204">
        <v>1308.83</v>
      </c>
      <c r="K12" s="204"/>
      <c r="L12" s="299"/>
      <c r="M12" s="298"/>
      <c r="N12" s="206"/>
      <c r="O12" s="206"/>
      <c r="P12" s="206">
        <v>3187</v>
      </c>
      <c r="Q12" s="206"/>
      <c r="R12" s="562"/>
      <c r="S12" s="570">
        <f t="shared" si="0"/>
        <v>1308.83</v>
      </c>
      <c r="T12" s="218">
        <f t="shared" si="1"/>
        <v>3187</v>
      </c>
      <c r="U12" s="571">
        <f t="shared" si="4"/>
        <v>0.4106777533730781</v>
      </c>
      <c r="V12" s="211"/>
      <c r="W12" s="219"/>
      <c r="X12" s="197"/>
      <c r="Y12" s="219"/>
      <c r="Z12" s="204"/>
      <c r="AA12" s="273"/>
      <c r="AB12" s="219"/>
      <c r="AC12" s="219">
        <v>54.9</v>
      </c>
      <c r="AD12" s="219"/>
      <c r="AE12" s="219"/>
      <c r="AF12" s="219"/>
      <c r="AG12" s="219"/>
      <c r="AH12" s="219">
        <v>20</v>
      </c>
      <c r="AI12" s="386">
        <v>150</v>
      </c>
      <c r="AJ12" s="271">
        <f t="shared" si="3"/>
        <v>224.9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1533.73</v>
      </c>
      <c r="AS12" s="221">
        <f t="shared" ref="AS12:AS44" si="7">AR12*AU12</f>
        <v>0</v>
      </c>
      <c r="AT12" s="283">
        <f t="shared" si="5"/>
        <v>33044.090000000004</v>
      </c>
    </row>
    <row r="13" spans="1:46" ht="13.5" customHeight="1">
      <c r="A13" s="575">
        <v>44289</v>
      </c>
      <c r="B13" s="826">
        <v>0.23</v>
      </c>
      <c r="C13" s="802">
        <f t="shared" si="6"/>
        <v>31510.360000000004</v>
      </c>
      <c r="D13" s="803"/>
      <c r="E13" s="800"/>
      <c r="F13" s="525"/>
      <c r="G13" s="801">
        <v>1426.47</v>
      </c>
      <c r="H13" s="204"/>
      <c r="I13" s="223"/>
      <c r="J13" s="204"/>
      <c r="K13" s="204"/>
      <c r="L13" s="299"/>
      <c r="M13" s="298">
        <v>3546</v>
      </c>
      <c r="N13" s="206"/>
      <c r="O13" s="206"/>
      <c r="P13" s="206"/>
      <c r="Q13" s="206"/>
      <c r="R13" s="562"/>
      <c r="S13" s="570">
        <f t="shared" si="0"/>
        <v>1426.47</v>
      </c>
      <c r="T13" s="218">
        <f t="shared" si="1"/>
        <v>3546</v>
      </c>
      <c r="U13" s="571">
        <f t="shared" si="4"/>
        <v>0.40227580372250421</v>
      </c>
      <c r="V13" s="211"/>
      <c r="W13" s="219"/>
      <c r="X13" s="197">
        <v>59.09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80.2</v>
      </c>
      <c r="AJ13" s="271">
        <f t="shared" si="3"/>
        <v>139.29000000000002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1565.76</v>
      </c>
      <c r="AS13" s="221">
        <f t="shared" si="7"/>
        <v>0</v>
      </c>
      <c r="AT13" s="283">
        <f t="shared" si="5"/>
        <v>31510.360000000004</v>
      </c>
    </row>
    <row r="14" spans="1:46" ht="13.5" customHeight="1">
      <c r="A14" s="575">
        <v>44290</v>
      </c>
      <c r="B14" s="826">
        <v>0.247</v>
      </c>
      <c r="C14" s="802">
        <f t="shared" si="6"/>
        <v>29944.600000000006</v>
      </c>
      <c r="D14" s="803"/>
      <c r="E14" s="800"/>
      <c r="F14" s="804"/>
      <c r="G14" s="801"/>
      <c r="H14" s="204"/>
      <c r="I14" s="223"/>
      <c r="J14" s="204"/>
      <c r="K14" s="204">
        <v>1363.11</v>
      </c>
      <c r="L14" s="299"/>
      <c r="M14" s="298"/>
      <c r="N14" s="206"/>
      <c r="O14" s="206"/>
      <c r="P14" s="206"/>
      <c r="Q14" s="206">
        <v>3328</v>
      </c>
      <c r="R14" s="562"/>
      <c r="S14" s="570">
        <f t="shared" si="0"/>
        <v>1363.11</v>
      </c>
      <c r="T14" s="218">
        <f t="shared" si="1"/>
        <v>3328</v>
      </c>
      <c r="U14" s="571">
        <f t="shared" si="4"/>
        <v>0.40958834134615379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1363.11</v>
      </c>
      <c r="AS14" s="221">
        <f t="shared" si="7"/>
        <v>0</v>
      </c>
      <c r="AT14" s="283">
        <f t="shared" si="5"/>
        <v>29944.600000000006</v>
      </c>
    </row>
    <row r="15" spans="1:46" ht="13.5" customHeight="1">
      <c r="A15" s="575">
        <v>44291</v>
      </c>
      <c r="B15" s="826">
        <v>0.13</v>
      </c>
      <c r="C15" s="802">
        <f t="shared" si="6"/>
        <v>28581.490000000005</v>
      </c>
      <c r="D15" s="803"/>
      <c r="E15" s="800"/>
      <c r="F15" s="804"/>
      <c r="G15" s="801"/>
      <c r="H15" s="204"/>
      <c r="I15" s="223"/>
      <c r="J15" s="204">
        <v>1331.48</v>
      </c>
      <c r="K15" s="204"/>
      <c r="L15" s="299"/>
      <c r="M15" s="298"/>
      <c r="N15" s="206"/>
      <c r="O15" s="206"/>
      <c r="P15" s="206">
        <v>3250</v>
      </c>
      <c r="Q15" s="206"/>
      <c r="R15" s="562"/>
      <c r="S15" s="570">
        <f t="shared" si="0"/>
        <v>1331.48</v>
      </c>
      <c r="T15" s="218">
        <f t="shared" si="1"/>
        <v>3250</v>
      </c>
      <c r="U15" s="571">
        <f t="shared" si="4"/>
        <v>0.40968615384615387</v>
      </c>
      <c r="V15" s="211"/>
      <c r="W15" s="219"/>
      <c r="X15" s="197">
        <v>23.51</v>
      </c>
      <c r="Y15" s="219"/>
      <c r="Z15" s="204">
        <v>115</v>
      </c>
      <c r="AA15" s="273"/>
      <c r="AB15" s="219"/>
      <c r="AC15" s="219"/>
      <c r="AD15" s="219"/>
      <c r="AE15" s="219"/>
      <c r="AF15" s="219"/>
      <c r="AG15" s="219"/>
      <c r="AH15" s="219">
        <v>80</v>
      </c>
      <c r="AI15" s="386"/>
      <c r="AJ15" s="271">
        <f t="shared" si="3"/>
        <v>218.51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1549.99</v>
      </c>
      <c r="AS15" s="221">
        <f t="shared" si="7"/>
        <v>0</v>
      </c>
      <c r="AT15" s="283">
        <f t="shared" si="5"/>
        <v>28581.490000000005</v>
      </c>
    </row>
    <row r="16" spans="1:46" ht="13.5" customHeight="1">
      <c r="A16" s="575">
        <v>44292</v>
      </c>
      <c r="B16" s="826">
        <v>9.0999999999999998E-2</v>
      </c>
      <c r="C16" s="802">
        <f t="shared" si="6"/>
        <v>27031.500000000004</v>
      </c>
      <c r="D16" s="803"/>
      <c r="E16" s="800">
        <v>15000</v>
      </c>
      <c r="F16" s="846" t="s">
        <v>319</v>
      </c>
      <c r="G16" s="801"/>
      <c r="H16" s="204">
        <v>1267.0999999999999</v>
      </c>
      <c r="I16" s="223"/>
      <c r="J16" s="204"/>
      <c r="K16" s="204"/>
      <c r="L16" s="299"/>
      <c r="M16" s="298">
        <v>3070</v>
      </c>
      <c r="N16" s="206"/>
      <c r="O16" s="206"/>
      <c r="P16" s="206"/>
      <c r="Q16" s="206"/>
      <c r="R16" s="562"/>
      <c r="S16" s="570">
        <f t="shared" si="0"/>
        <v>1267.0999999999999</v>
      </c>
      <c r="T16" s="218">
        <f t="shared" si="1"/>
        <v>3070</v>
      </c>
      <c r="U16" s="571">
        <f t="shared" si="4"/>
        <v>0.41273615635179151</v>
      </c>
      <c r="V16" s="211"/>
      <c r="W16" s="219"/>
      <c r="X16" s="197">
        <v>42.44</v>
      </c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42.44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1309.54</v>
      </c>
      <c r="AS16" s="221">
        <f t="shared" si="7"/>
        <v>0</v>
      </c>
      <c r="AT16" s="283">
        <f t="shared" si="5"/>
        <v>27031.500000000004</v>
      </c>
    </row>
    <row r="17" spans="1:46" ht="13.5" customHeight="1">
      <c r="A17" s="575">
        <v>44293</v>
      </c>
      <c r="B17" s="826">
        <v>6.5000000000000002E-2</v>
      </c>
      <c r="C17" s="802">
        <f t="shared" si="6"/>
        <v>43721.960000000006</v>
      </c>
      <c r="D17" s="803">
        <v>18000</v>
      </c>
      <c r="E17" s="800"/>
      <c r="F17" s="804"/>
      <c r="G17" s="801">
        <v>1350.42</v>
      </c>
      <c r="H17" s="204"/>
      <c r="I17" s="223"/>
      <c r="J17" s="204"/>
      <c r="K17" s="204"/>
      <c r="L17" s="299"/>
      <c r="M17" s="298">
        <v>3363</v>
      </c>
      <c r="N17" s="206"/>
      <c r="O17" s="206"/>
      <c r="P17" s="206"/>
      <c r="Q17" s="206"/>
      <c r="R17" s="562"/>
      <c r="S17" s="570">
        <f t="shared" si="0"/>
        <v>1350.42</v>
      </c>
      <c r="T17" s="218">
        <f t="shared" si="1"/>
        <v>3363</v>
      </c>
      <c r="U17" s="571">
        <f t="shared" si="4"/>
        <v>0.40155218554861732</v>
      </c>
      <c r="V17" s="211"/>
      <c r="W17" s="219"/>
      <c r="X17" s="197">
        <v>10.14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>
        <v>109</v>
      </c>
      <c r="AI17" s="386"/>
      <c r="AJ17" s="271">
        <f t="shared" si="3"/>
        <v>119.14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1469.5600000000002</v>
      </c>
      <c r="AS17" s="221">
        <f t="shared" si="7"/>
        <v>0</v>
      </c>
      <c r="AT17" s="283">
        <f t="shared" si="5"/>
        <v>43721.960000000006</v>
      </c>
    </row>
    <row r="18" spans="1:46" ht="13.5" customHeight="1">
      <c r="A18" s="575">
        <v>44294</v>
      </c>
      <c r="B18" s="826">
        <v>9.0999999999999998E-2</v>
      </c>
      <c r="C18" s="802">
        <f t="shared" si="6"/>
        <v>42252.400000000009</v>
      </c>
      <c r="D18" s="803"/>
      <c r="E18" s="800"/>
      <c r="F18" s="804"/>
      <c r="G18" s="801"/>
      <c r="H18" s="204"/>
      <c r="I18" s="223"/>
      <c r="J18" s="204">
        <v>1264.32</v>
      </c>
      <c r="K18" s="204"/>
      <c r="L18" s="299"/>
      <c r="M18" s="298"/>
      <c r="N18" s="206"/>
      <c r="O18" s="206"/>
      <c r="P18" s="206">
        <v>3146</v>
      </c>
      <c r="Q18" s="206"/>
      <c r="R18" s="562"/>
      <c r="S18" s="570">
        <f t="shared" si="0"/>
        <v>1264.32</v>
      </c>
      <c r="T18" s="218">
        <f t="shared" si="1"/>
        <v>3146</v>
      </c>
      <c r="U18" s="571">
        <f t="shared" si="4"/>
        <v>0.40188175460902731</v>
      </c>
      <c r="V18" s="211"/>
      <c r="W18" s="219"/>
      <c r="X18" s="197"/>
      <c r="Y18" s="219"/>
      <c r="Z18" s="204">
        <v>60.32</v>
      </c>
      <c r="AA18" s="273"/>
      <c r="AB18" s="219"/>
      <c r="AC18" s="219"/>
      <c r="AD18" s="219"/>
      <c r="AE18" s="219"/>
      <c r="AF18" s="219"/>
      <c r="AG18" s="219"/>
      <c r="AH18" s="219">
        <v>96</v>
      </c>
      <c r="AI18" s="386"/>
      <c r="AJ18" s="271">
        <f t="shared" si="3"/>
        <v>156.32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1420.6399999999999</v>
      </c>
      <c r="AS18" s="221">
        <f t="shared" si="7"/>
        <v>0</v>
      </c>
      <c r="AT18" s="283">
        <f t="shared" si="5"/>
        <v>42252.400000000009</v>
      </c>
    </row>
    <row r="19" spans="1:46" ht="13.5" customHeight="1">
      <c r="A19" s="575">
        <v>44295</v>
      </c>
      <c r="B19" s="826">
        <v>6.5000000000000002E-2</v>
      </c>
      <c r="C19" s="802">
        <f t="shared" si="6"/>
        <v>40831.760000000009</v>
      </c>
      <c r="D19" s="803"/>
      <c r="E19" s="800"/>
      <c r="F19" s="804"/>
      <c r="G19" s="801"/>
      <c r="H19" s="204"/>
      <c r="I19" s="223"/>
      <c r="J19" s="204"/>
      <c r="K19" s="204">
        <v>1306.29</v>
      </c>
      <c r="L19" s="299"/>
      <c r="M19" s="298"/>
      <c r="N19" s="206"/>
      <c r="O19" s="206"/>
      <c r="P19" s="206"/>
      <c r="Q19" s="206">
        <v>3314</v>
      </c>
      <c r="R19" s="562"/>
      <c r="S19" s="570">
        <f t="shared" si="0"/>
        <v>1306.29</v>
      </c>
      <c r="T19" s="218">
        <f t="shared" si="1"/>
        <v>3314</v>
      </c>
      <c r="U19" s="571">
        <f t="shared" si="4"/>
        <v>0.39417320458660227</v>
      </c>
      <c r="V19" s="211"/>
      <c r="W19" s="219"/>
      <c r="X19" s="197">
        <v>65.010000000000005</v>
      </c>
      <c r="Y19" s="219"/>
      <c r="Z19" s="204">
        <v>78.099999999999994</v>
      </c>
      <c r="AA19" s="273"/>
      <c r="AB19" s="219"/>
      <c r="AC19" s="219"/>
      <c r="AD19" s="219"/>
      <c r="AE19" s="219"/>
      <c r="AF19" s="219"/>
      <c r="AG19" s="219"/>
      <c r="AH19" s="219">
        <v>159</v>
      </c>
      <c r="AI19" s="386"/>
      <c r="AJ19" s="271">
        <f t="shared" si="3"/>
        <v>302.11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1608.4</v>
      </c>
      <c r="AS19" s="221">
        <f t="shared" si="7"/>
        <v>0</v>
      </c>
      <c r="AT19" s="283">
        <f t="shared" si="5"/>
        <v>40831.760000000009</v>
      </c>
    </row>
    <row r="20" spans="1:46" ht="15.75">
      <c r="A20" s="575">
        <v>44296</v>
      </c>
      <c r="B20" s="826">
        <v>5.1999999999999998E-2</v>
      </c>
      <c r="C20" s="802">
        <f t="shared" si="6"/>
        <v>39223.360000000008</v>
      </c>
      <c r="D20" s="803"/>
      <c r="E20" s="800"/>
      <c r="F20" s="804"/>
      <c r="G20" s="801"/>
      <c r="H20" s="219">
        <v>1245.81</v>
      </c>
      <c r="I20" s="223"/>
      <c r="J20" s="204"/>
      <c r="K20" s="204"/>
      <c r="L20" s="525"/>
      <c r="M20" s="298"/>
      <c r="N20" s="206">
        <v>3168</v>
      </c>
      <c r="O20" s="206"/>
      <c r="P20" s="206"/>
      <c r="Q20" s="206"/>
      <c r="R20" s="563"/>
      <c r="S20" s="570">
        <f t="shared" si="0"/>
        <v>1245.81</v>
      </c>
      <c r="T20" s="218">
        <f t="shared" si="1"/>
        <v>3168</v>
      </c>
      <c r="U20" s="571">
        <f t="shared" si="4"/>
        <v>0.39324810606060606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112</v>
      </c>
      <c r="AI20" s="386"/>
      <c r="AJ20" s="271">
        <f t="shared" si="3"/>
        <v>112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1357.81</v>
      </c>
      <c r="AS20" s="221">
        <f t="shared" si="7"/>
        <v>0</v>
      </c>
      <c r="AT20" s="283">
        <f t="shared" si="5"/>
        <v>39223.360000000008</v>
      </c>
    </row>
    <row r="21" spans="1:46" ht="15.75">
      <c r="A21" s="575">
        <v>44297</v>
      </c>
      <c r="B21" s="826">
        <v>0.104</v>
      </c>
      <c r="C21" s="802">
        <f t="shared" si="6"/>
        <v>37865.55000000001</v>
      </c>
      <c r="D21" s="803"/>
      <c r="E21" s="800"/>
      <c r="F21" s="804"/>
      <c r="G21" s="801">
        <v>1283.98</v>
      </c>
      <c r="H21" s="219"/>
      <c r="I21" s="223"/>
      <c r="J21" s="204"/>
      <c r="K21" s="204"/>
      <c r="L21" s="494"/>
      <c r="M21" s="298">
        <v>3237</v>
      </c>
      <c r="N21" s="298"/>
      <c r="O21" s="206"/>
      <c r="P21" s="206"/>
      <c r="Q21" s="206"/>
      <c r="R21" s="562"/>
      <c r="S21" s="570">
        <f t="shared" si="0"/>
        <v>1283.98</v>
      </c>
      <c r="T21" s="218">
        <f t="shared" si="1"/>
        <v>3237</v>
      </c>
      <c r="U21" s="571">
        <f t="shared" si="4"/>
        <v>0.39665739882607354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>
        <v>25</v>
      </c>
      <c r="AI21" s="386"/>
      <c r="AJ21" s="271">
        <f t="shared" si="3"/>
        <v>25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1308.98</v>
      </c>
      <c r="AS21" s="221">
        <f t="shared" si="7"/>
        <v>0</v>
      </c>
      <c r="AT21" s="283">
        <f t="shared" si="5"/>
        <v>37865.55000000001</v>
      </c>
    </row>
    <row r="22" spans="1:46" ht="15.75">
      <c r="A22" s="575">
        <v>44298</v>
      </c>
      <c r="B22" s="826">
        <v>0.104</v>
      </c>
      <c r="C22" s="802">
        <f t="shared" si="6"/>
        <v>36556.570000000007</v>
      </c>
      <c r="D22" s="803"/>
      <c r="E22" s="800"/>
      <c r="F22" s="805"/>
      <c r="G22" s="801"/>
      <c r="H22" s="204"/>
      <c r="I22" s="223"/>
      <c r="J22" s="204">
        <v>1166.75</v>
      </c>
      <c r="K22" s="204"/>
      <c r="L22" s="525"/>
      <c r="M22" s="298"/>
      <c r="N22" s="298"/>
      <c r="O22" s="206"/>
      <c r="P22" s="206">
        <v>3269</v>
      </c>
      <c r="Q22" s="206"/>
      <c r="R22" s="562"/>
      <c r="S22" s="570">
        <f t="shared" si="0"/>
        <v>1166.75</v>
      </c>
      <c r="T22" s="218">
        <f t="shared" si="1"/>
        <v>3269</v>
      </c>
      <c r="U22" s="571">
        <f t="shared" si="4"/>
        <v>0.35691342918323649</v>
      </c>
      <c r="V22" s="211"/>
      <c r="W22" s="219"/>
      <c r="X22" s="197">
        <v>37.14</v>
      </c>
      <c r="Y22" s="219">
        <v>213.5</v>
      </c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250.64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1417.3899999999999</v>
      </c>
      <c r="AS22" s="221">
        <f t="shared" si="7"/>
        <v>0</v>
      </c>
      <c r="AT22" s="283">
        <f t="shared" si="5"/>
        <v>36556.570000000007</v>
      </c>
    </row>
    <row r="23" spans="1:46" ht="13.5" customHeight="1">
      <c r="A23" s="575">
        <v>44299</v>
      </c>
      <c r="B23" s="826">
        <v>1.2999999999999999E-2</v>
      </c>
      <c r="C23" s="802">
        <f t="shared" si="6"/>
        <v>35139.180000000008</v>
      </c>
      <c r="D23" s="803"/>
      <c r="E23" s="800"/>
      <c r="F23" s="805"/>
      <c r="G23" s="801"/>
      <c r="H23" s="219"/>
      <c r="I23" s="223"/>
      <c r="J23" s="204"/>
      <c r="K23" s="204">
        <v>1083.74</v>
      </c>
      <c r="L23" s="525"/>
      <c r="M23" s="298"/>
      <c r="N23" s="206"/>
      <c r="O23" s="206"/>
      <c r="P23" s="206"/>
      <c r="Q23" s="206">
        <v>2665</v>
      </c>
      <c r="R23" s="562"/>
      <c r="S23" s="570">
        <f t="shared" si="0"/>
        <v>1083.74</v>
      </c>
      <c r="T23" s="218">
        <f t="shared" si="1"/>
        <v>2665</v>
      </c>
      <c r="U23" s="571">
        <f t="shared" si="4"/>
        <v>0.406656660412758</v>
      </c>
      <c r="V23" s="211"/>
      <c r="W23" s="219"/>
      <c r="X23" s="197">
        <v>22.54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22.54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1106.28</v>
      </c>
      <c r="AS23" s="221">
        <f t="shared" si="7"/>
        <v>0</v>
      </c>
      <c r="AT23" s="283">
        <f t="shared" si="5"/>
        <v>35139.180000000008</v>
      </c>
    </row>
    <row r="24" spans="1:46" ht="15.75">
      <c r="A24" s="575">
        <v>44300</v>
      </c>
      <c r="B24" s="826">
        <v>0</v>
      </c>
      <c r="C24" s="802">
        <f t="shared" si="6"/>
        <v>34032.900000000009</v>
      </c>
      <c r="D24" s="806"/>
      <c r="E24" s="800"/>
      <c r="F24" s="805"/>
      <c r="G24" s="801"/>
      <c r="H24" s="204">
        <v>1063.99</v>
      </c>
      <c r="I24" s="223"/>
      <c r="J24" s="204"/>
      <c r="K24" s="204"/>
      <c r="L24" s="525"/>
      <c r="M24" s="298"/>
      <c r="N24" s="298">
        <v>2643</v>
      </c>
      <c r="O24" s="206"/>
      <c r="P24" s="206"/>
      <c r="Q24" s="206"/>
      <c r="R24" s="562"/>
      <c r="S24" s="570">
        <f>SUM(F24:L24)</f>
        <v>1063.99</v>
      </c>
      <c r="T24" s="218">
        <f t="shared" si="1"/>
        <v>2643</v>
      </c>
      <c r="U24" s="571">
        <f>S24/T24</f>
        <v>0.40256905032160423</v>
      </c>
      <c r="V24" s="211"/>
      <c r="W24" s="219"/>
      <c r="X24" s="197">
        <v>13.49</v>
      </c>
      <c r="Y24" s="219"/>
      <c r="Z24" s="204"/>
      <c r="AA24" s="273"/>
      <c r="AB24" s="219"/>
      <c r="AC24" s="219"/>
      <c r="AD24" s="219"/>
      <c r="AE24" s="219"/>
      <c r="AF24" s="219"/>
      <c r="AG24" s="219"/>
      <c r="AH24" s="219">
        <v>147</v>
      </c>
      <c r="AI24" s="386"/>
      <c r="AJ24" s="271">
        <f t="shared" si="3"/>
        <v>160.49</v>
      </c>
      <c r="AK24" s="213"/>
      <c r="AL24" s="213"/>
      <c r="AM24" s="213"/>
      <c r="AN24" s="213"/>
      <c r="AO24" s="213"/>
      <c r="AP24" s="213"/>
      <c r="AQ24" s="213"/>
      <c r="AR24" s="215">
        <f>SUM(AJ24+S24)</f>
        <v>1224.48</v>
      </c>
      <c r="AS24" s="221">
        <f t="shared" si="7"/>
        <v>0</v>
      </c>
      <c r="AT24" s="283">
        <f t="shared" si="5"/>
        <v>34032.900000000009</v>
      </c>
    </row>
    <row r="25" spans="1:46" ht="15.75">
      <c r="A25" s="575">
        <v>44301</v>
      </c>
      <c r="B25" s="826">
        <v>0</v>
      </c>
      <c r="C25" s="802">
        <f t="shared" si="6"/>
        <v>32808.420000000006</v>
      </c>
      <c r="D25" s="803"/>
      <c r="E25" s="800"/>
      <c r="F25" s="804"/>
      <c r="G25" s="801">
        <v>1051.08</v>
      </c>
      <c r="H25" s="219"/>
      <c r="I25" s="223"/>
      <c r="J25" s="204"/>
      <c r="K25" s="204"/>
      <c r="L25" s="525"/>
      <c r="M25" s="298">
        <v>2618</v>
      </c>
      <c r="N25" s="206"/>
      <c r="O25" s="206"/>
      <c r="P25" s="206"/>
      <c r="Q25" s="206"/>
      <c r="R25" s="562"/>
      <c r="S25" s="570">
        <f t="shared" si="0"/>
        <v>1051.08</v>
      </c>
      <c r="T25" s="218">
        <f>SUM(M25:R25)</f>
        <v>2618</v>
      </c>
      <c r="U25" s="571">
        <f t="shared" si="4"/>
        <v>0.4014820473644003</v>
      </c>
      <c r="V25" s="211"/>
      <c r="W25" s="219"/>
      <c r="X25" s="197">
        <v>17.649999999999999</v>
      </c>
      <c r="Y25" s="219"/>
      <c r="Z25" s="204">
        <v>84.26</v>
      </c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101.91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1152.99</v>
      </c>
      <c r="AS25" s="221">
        <f t="shared" si="7"/>
        <v>0</v>
      </c>
      <c r="AT25" s="283">
        <f t="shared" si="5"/>
        <v>32808.420000000006</v>
      </c>
    </row>
    <row r="26" spans="1:46" ht="15.75">
      <c r="A26" s="575">
        <v>44302</v>
      </c>
      <c r="B26" s="826"/>
      <c r="C26" s="802">
        <f t="shared" si="6"/>
        <v>31655.430000000004</v>
      </c>
      <c r="D26" s="803"/>
      <c r="E26" s="800"/>
      <c r="F26" s="805"/>
      <c r="G26" s="801"/>
      <c r="H26" s="219"/>
      <c r="I26" s="205"/>
      <c r="J26" s="204"/>
      <c r="K26" s="204"/>
      <c r="L26" s="525"/>
      <c r="M26" s="298"/>
      <c r="N26" s="206"/>
      <c r="O26" s="206"/>
      <c r="P26" s="206"/>
      <c r="Q26" s="206"/>
      <c r="R26" s="562"/>
      <c r="S26" s="570">
        <f t="shared" si="0"/>
        <v>0</v>
      </c>
      <c r="T26" s="218">
        <f>SUM(M26:R26)</f>
        <v>0</v>
      </c>
      <c r="U26" s="571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31655.430000000004</v>
      </c>
    </row>
    <row r="27" spans="1:46" ht="15.75">
      <c r="A27" s="575">
        <v>44303</v>
      </c>
      <c r="B27" s="826"/>
      <c r="C27" s="802">
        <f t="shared" si="6"/>
        <v>31655.430000000004</v>
      </c>
      <c r="D27" s="803"/>
      <c r="E27" s="800"/>
      <c r="F27" s="804"/>
      <c r="G27" s="801"/>
      <c r="H27" s="219"/>
      <c r="I27" s="205"/>
      <c r="J27" s="204"/>
      <c r="K27" s="204"/>
      <c r="L27" s="525"/>
      <c r="M27" s="298"/>
      <c r="N27" s="206"/>
      <c r="O27" s="206"/>
      <c r="P27" s="206"/>
      <c r="Q27" s="206"/>
      <c r="R27" s="562"/>
      <c r="S27" s="570">
        <f t="shared" si="0"/>
        <v>0</v>
      </c>
      <c r="T27" s="218">
        <f t="shared" si="1"/>
        <v>0</v>
      </c>
      <c r="U27" s="571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31655.430000000004</v>
      </c>
    </row>
    <row r="28" spans="1:46" ht="15.75">
      <c r="A28" s="575">
        <v>44304</v>
      </c>
      <c r="B28" s="826"/>
      <c r="C28" s="802">
        <f t="shared" si="6"/>
        <v>31655.430000000004</v>
      </c>
      <c r="D28" s="803"/>
      <c r="E28" s="800"/>
      <c r="F28" s="804"/>
      <c r="G28" s="801"/>
      <c r="H28" s="219"/>
      <c r="I28" s="205"/>
      <c r="J28" s="204"/>
      <c r="K28" s="204"/>
      <c r="L28" s="525"/>
      <c r="M28" s="298"/>
      <c r="N28" s="206"/>
      <c r="O28" s="206"/>
      <c r="P28" s="206"/>
      <c r="Q28" s="206"/>
      <c r="R28" s="562"/>
      <c r="S28" s="570">
        <f t="shared" si="0"/>
        <v>0</v>
      </c>
      <c r="T28" s="218">
        <f t="shared" si="1"/>
        <v>0</v>
      </c>
      <c r="U28" s="571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31655.430000000004</v>
      </c>
    </row>
    <row r="29" spans="1:46" ht="15.75">
      <c r="A29" s="575">
        <v>44305</v>
      </c>
      <c r="B29" s="826"/>
      <c r="C29" s="802">
        <f t="shared" si="6"/>
        <v>31655.430000000004</v>
      </c>
      <c r="D29" s="803"/>
      <c r="E29" s="800"/>
      <c r="F29" s="804"/>
      <c r="G29" s="801"/>
      <c r="H29" s="219"/>
      <c r="I29" s="205"/>
      <c r="J29" s="204"/>
      <c r="K29" s="204"/>
      <c r="L29" s="525"/>
      <c r="M29" s="298"/>
      <c r="N29" s="206"/>
      <c r="O29" s="206"/>
      <c r="P29" s="206"/>
      <c r="Q29" s="206"/>
      <c r="R29" s="562"/>
      <c r="S29" s="570">
        <f t="shared" si="0"/>
        <v>0</v>
      </c>
      <c r="T29" s="218">
        <f t="shared" si="1"/>
        <v>0</v>
      </c>
      <c r="U29" s="571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31655.430000000004</v>
      </c>
    </row>
    <row r="30" spans="1:46" ht="15.75">
      <c r="A30" s="575">
        <v>44306</v>
      </c>
      <c r="B30" s="826"/>
      <c r="C30" s="802">
        <f t="shared" si="6"/>
        <v>31655.430000000004</v>
      </c>
      <c r="D30" s="803"/>
      <c r="E30" s="800">
        <v>15000</v>
      </c>
      <c r="F30" s="847" t="s">
        <v>319</v>
      </c>
      <c r="G30" s="801"/>
      <c r="H30" s="219"/>
      <c r="I30" s="205"/>
      <c r="J30" s="204"/>
      <c r="K30" s="204"/>
      <c r="L30" s="525"/>
      <c r="M30" s="298"/>
      <c r="N30" s="206"/>
      <c r="O30" s="206"/>
      <c r="P30" s="206"/>
      <c r="Q30" s="206"/>
      <c r="R30" s="562"/>
      <c r="S30" s="570">
        <f t="shared" si="0"/>
        <v>0</v>
      </c>
      <c r="T30" s="218">
        <f t="shared" si="1"/>
        <v>0</v>
      </c>
      <c r="U30" s="571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31655.430000000004</v>
      </c>
    </row>
    <row r="31" spans="1:46" ht="15.75">
      <c r="A31" s="575">
        <v>44307</v>
      </c>
      <c r="B31" s="826"/>
      <c r="C31" s="802">
        <f t="shared" si="6"/>
        <v>31655.430000000004</v>
      </c>
      <c r="D31" s="803"/>
      <c r="E31" s="800"/>
      <c r="F31" s="804"/>
      <c r="G31" s="801"/>
      <c r="H31" s="219"/>
      <c r="I31" s="205"/>
      <c r="J31" s="204"/>
      <c r="K31" s="204"/>
      <c r="L31" s="525"/>
      <c r="M31" s="298"/>
      <c r="N31" s="206"/>
      <c r="O31" s="206"/>
      <c r="P31" s="206"/>
      <c r="Q31" s="206"/>
      <c r="R31" s="562"/>
      <c r="S31" s="570">
        <f t="shared" si="0"/>
        <v>0</v>
      </c>
      <c r="T31" s="218">
        <f t="shared" si="1"/>
        <v>0</v>
      </c>
      <c r="U31" s="571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31655.430000000004</v>
      </c>
    </row>
    <row r="32" spans="1:46" ht="15.75">
      <c r="A32" s="575">
        <v>44308</v>
      </c>
      <c r="B32" s="826"/>
      <c r="C32" s="802">
        <f t="shared" si="6"/>
        <v>31655.430000000004</v>
      </c>
      <c r="D32" s="803"/>
      <c r="E32" s="800"/>
      <c r="F32" s="804"/>
      <c r="G32" s="801"/>
      <c r="H32" s="204"/>
      <c r="I32" s="204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31655.430000000004</v>
      </c>
    </row>
    <row r="33" spans="1:46" ht="15.75">
      <c r="A33" s="575">
        <v>44309</v>
      </c>
      <c r="B33" s="826"/>
      <c r="C33" s="802">
        <f t="shared" si="6"/>
        <v>31655.430000000004</v>
      </c>
      <c r="D33" s="803"/>
      <c r="E33" s="800"/>
      <c r="F33" s="804"/>
      <c r="G33" s="801"/>
      <c r="H33" s="204"/>
      <c r="I33" s="204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31655.430000000004</v>
      </c>
    </row>
    <row r="34" spans="1:46" ht="15.75">
      <c r="A34" s="575">
        <v>44310</v>
      </c>
      <c r="B34" s="826"/>
      <c r="C34" s="802">
        <f t="shared" si="6"/>
        <v>31655.430000000004</v>
      </c>
      <c r="D34" s="803"/>
      <c r="E34" s="800"/>
      <c r="F34" s="804"/>
      <c r="G34" s="801"/>
      <c r="H34" s="219"/>
      <c r="I34" s="205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31655.430000000004</v>
      </c>
    </row>
    <row r="35" spans="1:46" ht="15.75">
      <c r="A35" s="575">
        <v>44311</v>
      </c>
      <c r="B35" s="826"/>
      <c r="C35" s="802">
        <f t="shared" si="6"/>
        <v>31655.430000000004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31655.430000000004</v>
      </c>
    </row>
    <row r="36" spans="1:46" ht="15.75">
      <c r="A36" s="575">
        <v>44312</v>
      </c>
      <c r="B36" s="826"/>
      <c r="C36" s="802">
        <f t="shared" si="6"/>
        <v>31655.430000000004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31655.430000000004</v>
      </c>
    </row>
    <row r="37" spans="1:46" ht="15.75">
      <c r="A37" s="575">
        <v>44313</v>
      </c>
      <c r="B37" s="826"/>
      <c r="C37" s="802">
        <f t="shared" si="6"/>
        <v>31655.430000000004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31655.430000000004</v>
      </c>
    </row>
    <row r="38" spans="1:46" ht="15.75">
      <c r="A38" s="575">
        <v>44314</v>
      </c>
      <c r="B38" s="826"/>
      <c r="C38" s="802">
        <f t="shared" si="6"/>
        <v>31655.430000000004</v>
      </c>
      <c r="D38" s="803"/>
      <c r="E38" s="800"/>
      <c r="F38" s="804"/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31655.430000000004</v>
      </c>
    </row>
    <row r="39" spans="1:46" ht="15.75">
      <c r="A39" s="575">
        <v>44315</v>
      </c>
      <c r="B39" s="826"/>
      <c r="C39" s="802">
        <f t="shared" si="6"/>
        <v>31655.430000000004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31655.430000000004</v>
      </c>
    </row>
    <row r="40" spans="1:46" ht="15.75">
      <c r="A40" s="575">
        <v>44316</v>
      </c>
      <c r="B40" s="826"/>
      <c r="C40" s="802">
        <f t="shared" si="6"/>
        <v>31655.430000000004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31655.430000000004</v>
      </c>
    </row>
    <row r="41" spans="1:46" ht="15.75">
      <c r="A41" s="575"/>
      <c r="B41" s="826"/>
      <c r="C41" s="802">
        <f t="shared" si="6"/>
        <v>31655.430000000004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31655.430000000004</v>
      </c>
    </row>
    <row r="42" spans="1:46" ht="14.25">
      <c r="A42" s="575"/>
      <c r="B42" s="574"/>
      <c r="C42" s="802">
        <f t="shared" si="6"/>
        <v>31655.430000000004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31655.430000000004</v>
      </c>
    </row>
    <row r="43" spans="1:46" ht="14.25">
      <c r="A43" s="495" t="s">
        <v>25</v>
      </c>
      <c r="B43" s="469">
        <f>AVERAGE(B11:B42)</f>
        <v>0.10113333333333334</v>
      </c>
      <c r="C43" s="798">
        <f t="shared" si="6"/>
        <v>31655.430000000004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31655.430000000004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18000</v>
      </c>
      <c r="E45" s="313">
        <f>SUM(E11:E42)</f>
        <v>30000</v>
      </c>
      <c r="F45" s="814">
        <f t="shared" ref="F45:O45" si="8">SUM(F11:F44)</f>
        <v>0</v>
      </c>
      <c r="G45" s="313">
        <f t="shared" si="8"/>
        <v>5111.9500000000007</v>
      </c>
      <c r="H45" s="308">
        <f t="shared" si="8"/>
        <v>4903.3500000000004</v>
      </c>
      <c r="I45" s="313">
        <f t="shared" si="8"/>
        <v>0</v>
      </c>
      <c r="J45" s="308">
        <f t="shared" si="8"/>
        <v>5071.38</v>
      </c>
      <c r="K45" s="313">
        <f t="shared" si="8"/>
        <v>3753.1399999999994</v>
      </c>
      <c r="L45" s="308">
        <f t="shared" si="8"/>
        <v>0</v>
      </c>
      <c r="M45" s="313">
        <f t="shared" si="8"/>
        <v>15834</v>
      </c>
      <c r="N45" s="553">
        <f t="shared" si="8"/>
        <v>8986</v>
      </c>
      <c r="O45" s="313">
        <f t="shared" si="8"/>
        <v>0</v>
      </c>
      <c r="P45" s="308">
        <f>SUM(P11:P43)</f>
        <v>12852</v>
      </c>
      <c r="Q45" s="313">
        <f>SUM(Q11:Q44)</f>
        <v>9307</v>
      </c>
      <c r="R45" s="308">
        <f>SUM(R11:R44)</f>
        <v>0</v>
      </c>
      <c r="S45" s="551">
        <f>SUM(G45:L45)</f>
        <v>18839.82</v>
      </c>
      <c r="T45" s="308">
        <f>SUM(M45:R45)</f>
        <v>46979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308.26</v>
      </c>
      <c r="Y45" s="234">
        <f t="shared" si="9"/>
        <v>213.5</v>
      </c>
      <c r="Z45" s="546">
        <f t="shared" si="9"/>
        <v>363.95000000000005</v>
      </c>
      <c r="AA45" s="234">
        <f t="shared" si="9"/>
        <v>0</v>
      </c>
      <c r="AB45" s="546">
        <f t="shared" si="9"/>
        <v>0</v>
      </c>
      <c r="AC45" s="234">
        <f>SUM(AC10:AC44)</f>
        <v>54.9</v>
      </c>
      <c r="AD45" s="546">
        <f>SUM(AD10:AD44)</f>
        <v>0</v>
      </c>
      <c r="AE45" s="234">
        <f>SUM(AE9:AE44)</f>
        <v>0</v>
      </c>
      <c r="AF45" s="546">
        <f>SUM(AF9:AF44)</f>
        <v>0</v>
      </c>
      <c r="AG45" s="234">
        <f>SUM(AG9:AG44)</f>
        <v>0</v>
      </c>
      <c r="AH45" s="546">
        <f>SUM(AH9:AH43)</f>
        <v>748</v>
      </c>
      <c r="AI45" s="234">
        <f>SUM(AI9:AI39)</f>
        <v>230.2</v>
      </c>
      <c r="AJ45" s="546">
        <f>SUM(AJ9:AJ44)</f>
        <v>2020.7200000000003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20860.539999999997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607.73612903225808</v>
      </c>
      <c r="T47" s="316">
        <f>S45*2315</f>
        <v>43614183.299999997</v>
      </c>
      <c r="U47" s="317" t="s">
        <v>244</v>
      </c>
      <c r="AR47" s="522">
        <f>AR45*2143</f>
        <v>44704137.219999991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19053.815334207076</v>
      </c>
      <c r="U48" s="317" t="s">
        <v>245</v>
      </c>
      <c r="W48" s="191"/>
      <c r="X48" s="191"/>
      <c r="Y48" s="191"/>
      <c r="Z48" s="191"/>
      <c r="AA48" s="191"/>
      <c r="AR48" s="316">
        <f>AR47/2289</f>
        <v>19529.98567933595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7" t="s">
        <v>241</v>
      </c>
      <c r="C50" s="918"/>
      <c r="D50" s="918"/>
      <c r="E50" s="918"/>
      <c r="F50" s="919"/>
      <c r="H50" s="895" t="s">
        <v>213</v>
      </c>
      <c r="I50" s="896"/>
      <c r="J50" s="896"/>
      <c r="K50" s="896"/>
      <c r="L50" s="897"/>
      <c r="N50" s="898" t="s">
        <v>309</v>
      </c>
      <c r="O50" s="899"/>
      <c r="P50" s="899"/>
      <c r="Q50" s="899"/>
      <c r="R50" s="900"/>
      <c r="T50" s="901" t="s">
        <v>226</v>
      </c>
      <c r="U50" s="902"/>
      <c r="V50" s="902"/>
      <c r="W50" s="902"/>
      <c r="X50" s="902"/>
      <c r="Y50" s="903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>
        <v>44288</v>
      </c>
      <c r="C52" s="498" t="s">
        <v>320</v>
      </c>
      <c r="D52" s="500">
        <v>20</v>
      </c>
      <c r="E52" s="499" t="s">
        <v>321</v>
      </c>
      <c r="F52" s="526" t="s">
        <v>326</v>
      </c>
      <c r="H52" s="529"/>
      <c r="I52" s="506"/>
      <c r="J52" s="506"/>
      <c r="K52" s="506"/>
      <c r="L52" s="530"/>
      <c r="N52" s="348">
        <v>44288</v>
      </c>
      <c r="O52" s="506" t="s">
        <v>322</v>
      </c>
      <c r="P52" s="524">
        <v>150</v>
      </c>
      <c r="Q52" s="524" t="s">
        <v>323</v>
      </c>
      <c r="R52" s="510" t="s">
        <v>326</v>
      </c>
      <c r="T52" s="348">
        <v>44289</v>
      </c>
      <c r="U52" s="531" t="s">
        <v>324</v>
      </c>
      <c r="V52" s="612">
        <v>50</v>
      </c>
      <c r="W52" s="532" t="s">
        <v>325</v>
      </c>
      <c r="X52" s="532" t="s">
        <v>326</v>
      </c>
      <c r="Y52" s="533" t="s">
        <v>327</v>
      </c>
    </row>
    <row r="53" spans="2:46" ht="11.25" customHeight="1">
      <c r="B53" s="498">
        <v>44291</v>
      </c>
      <c r="C53" s="498" t="s">
        <v>330</v>
      </c>
      <c r="D53" s="500">
        <v>80</v>
      </c>
      <c r="E53" s="499" t="s">
        <v>331</v>
      </c>
      <c r="F53" s="526" t="s">
        <v>326</v>
      </c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>
        <v>44289</v>
      </c>
      <c r="U53" s="200" t="s">
        <v>328</v>
      </c>
      <c r="V53" s="612">
        <v>30</v>
      </c>
      <c r="W53" s="499" t="s">
        <v>329</v>
      </c>
      <c r="X53" s="499" t="s">
        <v>326</v>
      </c>
      <c r="Y53" s="819" t="s">
        <v>327</v>
      </c>
    </row>
    <row r="54" spans="2:46" ht="11.25" customHeight="1">
      <c r="B54" s="498">
        <v>44293</v>
      </c>
      <c r="C54" s="498"/>
      <c r="D54" s="500"/>
      <c r="E54" s="499"/>
      <c r="F54" s="526" t="s">
        <v>326</v>
      </c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>
        <v>44294</v>
      </c>
      <c r="C55" s="302" t="s">
        <v>332</v>
      </c>
      <c r="D55" s="382">
        <v>96</v>
      </c>
      <c r="E55" s="302" t="s">
        <v>333</v>
      </c>
      <c r="F55" s="526" t="s">
        <v>326</v>
      </c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>
        <v>44295</v>
      </c>
      <c r="C56" s="302" t="s">
        <v>320</v>
      </c>
      <c r="D56" s="382">
        <v>104</v>
      </c>
      <c r="E56" s="302" t="s">
        <v>334</v>
      </c>
      <c r="F56" s="526" t="s">
        <v>326</v>
      </c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>
        <v>44295</v>
      </c>
      <c r="C57" s="302" t="s">
        <v>335</v>
      </c>
      <c r="D57" s="382">
        <v>39</v>
      </c>
      <c r="E57" s="302" t="s">
        <v>334</v>
      </c>
      <c r="F57" s="526" t="s">
        <v>326</v>
      </c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>
        <v>44295</v>
      </c>
      <c r="C58" s="302" t="s">
        <v>320</v>
      </c>
      <c r="D58" s="382">
        <v>16</v>
      </c>
      <c r="E58" s="302" t="s">
        <v>334</v>
      </c>
      <c r="F58" s="526" t="s">
        <v>326</v>
      </c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>
        <v>44296</v>
      </c>
      <c r="C59" s="302" t="s">
        <v>336</v>
      </c>
      <c r="D59" s="382">
        <v>112</v>
      </c>
      <c r="E59" s="302" t="s">
        <v>337</v>
      </c>
      <c r="F59" s="526" t="s">
        <v>326</v>
      </c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>
        <v>44297</v>
      </c>
      <c r="C60" s="498" t="s">
        <v>338</v>
      </c>
      <c r="D60" s="382">
        <v>25</v>
      </c>
      <c r="E60" s="302" t="s">
        <v>339</v>
      </c>
      <c r="F60" s="526" t="s">
        <v>326</v>
      </c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>
        <v>44300</v>
      </c>
      <c r="C61" s="302" t="s">
        <v>340</v>
      </c>
      <c r="D61" s="382">
        <v>126</v>
      </c>
      <c r="E61" s="302" t="s">
        <v>341</v>
      </c>
      <c r="F61" s="526" t="s">
        <v>326</v>
      </c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>
        <v>44300</v>
      </c>
      <c r="C62" s="302" t="s">
        <v>335</v>
      </c>
      <c r="D62" s="382">
        <v>21</v>
      </c>
      <c r="E62" s="302" t="s">
        <v>341</v>
      </c>
      <c r="F62" s="526" t="s">
        <v>326</v>
      </c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/>
      <c r="C63" s="302"/>
      <c r="D63" s="382"/>
      <c r="E63" s="302"/>
      <c r="F63" s="526"/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44287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44288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44289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44290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44291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44292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44293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44294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44295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44296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44297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44298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44299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44300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44301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44302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44303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44304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44305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44306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44307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44308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44309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44310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44311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44312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44313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44314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44315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44316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28" sqref="F2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2"/>
      <c r="D6" s="923"/>
      <c r="E6" s="924"/>
      <c r="F6" s="924"/>
      <c r="G6" s="48" t="s">
        <v>4</v>
      </c>
      <c r="H6" s="46" t="s">
        <v>14</v>
      </c>
      <c r="I6" s="41"/>
      <c r="J6" s="113"/>
    </row>
    <row r="7" spans="1:15" ht="18" customHeight="1">
      <c r="A7" s="92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75506.75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44287</v>
      </c>
      <c r="B10" s="268">
        <v>0</v>
      </c>
      <c r="C10" s="268">
        <v>15</v>
      </c>
      <c r="D10" s="268">
        <v>85</v>
      </c>
      <c r="E10" s="268"/>
      <c r="F10" s="268">
        <v>75790.2</v>
      </c>
      <c r="G10" s="268">
        <f t="shared" ref="G10:G41" si="0">(F10-F9)*4.4</f>
        <v>1247.1799999999873</v>
      </c>
      <c r="H10" s="111">
        <f>[5]Gen!B11</f>
        <v>7.6999999999999999E-2</v>
      </c>
      <c r="I10" s="843">
        <f>SUM(F10/H10)</f>
        <v>984288.31168831163</v>
      </c>
      <c r="J10" s="844">
        <f t="shared" ref="J10:J40" si="1">SUM(G10/I10)</f>
        <v>1.2670880931835386E-3</v>
      </c>
      <c r="N10" s="156"/>
      <c r="O10" s="156"/>
    </row>
    <row r="11" spans="1:15" ht="18.75">
      <c r="A11" s="94">
        <f>Gen!A12</f>
        <v>44288</v>
      </c>
      <c r="B11" s="268">
        <v>0</v>
      </c>
      <c r="C11" s="268">
        <v>10</v>
      </c>
      <c r="D11" s="268">
        <v>85</v>
      </c>
      <c r="E11" s="268"/>
      <c r="F11" s="268">
        <v>75809.87</v>
      </c>
      <c r="G11" s="268">
        <f t="shared" si="0"/>
        <v>86.547999999992328</v>
      </c>
      <c r="H11" s="111">
        <f>[5]Gen!B12</f>
        <v>9.0999999999999998E-2</v>
      </c>
      <c r="I11" s="843">
        <f t="shared" ref="I11:I41" si="2">SUM(F11/H11)</f>
        <v>833075.49450549448</v>
      </c>
      <c r="J11" s="844">
        <f t="shared" si="1"/>
        <v>1.0388974417182488E-4</v>
      </c>
      <c r="M11" s="156"/>
      <c r="N11" s="156"/>
    </row>
    <row r="12" spans="1:15" ht="18.75">
      <c r="A12" s="94">
        <f>Gen!A13</f>
        <v>44289</v>
      </c>
      <c r="B12" s="268">
        <v>0</v>
      </c>
      <c r="C12" s="268">
        <v>3</v>
      </c>
      <c r="D12" s="268">
        <v>85</v>
      </c>
      <c r="E12" s="268"/>
      <c r="F12" s="268">
        <v>75830.09</v>
      </c>
      <c r="G12" s="268">
        <f t="shared" si="0"/>
        <v>88.968000000005134</v>
      </c>
      <c r="H12" s="111">
        <f>[5]Gen!B13</f>
        <v>1.2999999999999999E-2</v>
      </c>
      <c r="I12" s="843">
        <f t="shared" si="2"/>
        <v>5833083.846153846</v>
      </c>
      <c r="J12" s="844">
        <f t="shared" si="1"/>
        <v>1.5252309472401612E-5</v>
      </c>
      <c r="M12" s="156"/>
      <c r="N12" s="156"/>
    </row>
    <row r="13" spans="1:15" ht="18.75">
      <c r="A13" s="94">
        <f>Gen!A14</f>
        <v>44290</v>
      </c>
      <c r="B13" s="268">
        <v>0</v>
      </c>
      <c r="C13" s="268">
        <v>0</v>
      </c>
      <c r="D13" s="268">
        <v>83</v>
      </c>
      <c r="E13" s="268"/>
      <c r="F13" s="268">
        <v>75849.72</v>
      </c>
      <c r="G13" s="268">
        <f t="shared" ref="G13" si="3">(F13-F12)*4.4</f>
        <v>86.372000000020492</v>
      </c>
      <c r="H13" s="111">
        <f>[5]Gen!B14</f>
        <v>1.2999999999999999E-2</v>
      </c>
      <c r="I13" s="843">
        <f t="shared" si="2"/>
        <v>5834593.8461538469</v>
      </c>
      <c r="J13" s="844">
        <f t="shared" si="1"/>
        <v>1.4803429729210157E-5</v>
      </c>
      <c r="M13" s="156"/>
      <c r="N13" s="156"/>
    </row>
    <row r="14" spans="1:15" ht="18.75">
      <c r="A14" s="94">
        <f>Gen!A15</f>
        <v>44291</v>
      </c>
      <c r="B14" s="268">
        <v>0</v>
      </c>
      <c r="C14" s="268">
        <v>0</v>
      </c>
      <c r="D14" s="268">
        <v>82</v>
      </c>
      <c r="E14" s="268"/>
      <c r="F14" s="268">
        <v>75869.84</v>
      </c>
      <c r="G14" s="268">
        <f t="shared" si="0"/>
        <v>88.527999999979514</v>
      </c>
      <c r="H14" s="111">
        <f>[5]Gen!B15</f>
        <v>0.01</v>
      </c>
      <c r="I14" s="843">
        <f t="shared" si="2"/>
        <v>7586983.9999999991</v>
      </c>
      <c r="J14" s="844">
        <f t="shared" si="1"/>
        <v>1.1668404731047216E-5</v>
      </c>
      <c r="M14" s="156"/>
      <c r="N14" s="156"/>
    </row>
    <row r="15" spans="1:15" ht="18.75">
      <c r="A15" s="94">
        <f>Gen!A16</f>
        <v>44292</v>
      </c>
      <c r="B15" s="268">
        <v>0</v>
      </c>
      <c r="C15" s="268">
        <v>0</v>
      </c>
      <c r="D15" s="268">
        <v>81</v>
      </c>
      <c r="E15" s="268"/>
      <c r="F15" s="268">
        <v>75888.679999999993</v>
      </c>
      <c r="G15" s="268">
        <f t="shared" si="0"/>
        <v>82.895999999984639</v>
      </c>
      <c r="H15" s="111">
        <f>[5]Gen!B16</f>
        <v>0.01</v>
      </c>
      <c r="I15" s="843">
        <f t="shared" si="2"/>
        <v>7588867.9999999991</v>
      </c>
      <c r="J15" s="844">
        <f t="shared" si="1"/>
        <v>1.0923368281011693E-5</v>
      </c>
      <c r="M15" s="156"/>
      <c r="N15" s="156"/>
    </row>
    <row r="16" spans="1:15" ht="18.75">
      <c r="A16" s="94">
        <f>Gen!A17</f>
        <v>44293</v>
      </c>
      <c r="B16" s="268">
        <v>0</v>
      </c>
      <c r="C16" s="268">
        <v>0</v>
      </c>
      <c r="D16" s="268">
        <v>80</v>
      </c>
      <c r="E16" s="268"/>
      <c r="F16" s="268">
        <v>75906.91</v>
      </c>
      <c r="G16" s="268">
        <f t="shared" si="0"/>
        <v>80.212000000046103</v>
      </c>
      <c r="H16" s="111">
        <f>[5]Gen!B17</f>
        <v>0.01</v>
      </c>
      <c r="I16" s="843">
        <f t="shared" si="2"/>
        <v>7590691</v>
      </c>
      <c r="J16" s="844">
        <f t="shared" si="1"/>
        <v>1.0567153899433676E-5</v>
      </c>
      <c r="M16" s="156"/>
      <c r="N16" s="156"/>
    </row>
    <row r="17" spans="1:14" ht="18.75">
      <c r="A17" s="94">
        <f>Gen!A18</f>
        <v>44294</v>
      </c>
      <c r="B17" s="268">
        <v>0</v>
      </c>
      <c r="C17" s="268">
        <v>0</v>
      </c>
      <c r="D17" s="268">
        <v>80</v>
      </c>
      <c r="E17" s="268"/>
      <c r="F17" s="268">
        <v>75926</v>
      </c>
      <c r="G17" s="268">
        <f t="shared" si="0"/>
        <v>83.995999999984633</v>
      </c>
      <c r="H17" s="111">
        <f>[5]Gen!B18</f>
        <v>0.01</v>
      </c>
      <c r="I17" s="843">
        <f t="shared" si="2"/>
        <v>7592600</v>
      </c>
      <c r="J17" s="844">
        <f t="shared" si="1"/>
        <v>1.1062877011825282E-5</v>
      </c>
      <c r="M17" s="156"/>
      <c r="N17" s="156"/>
    </row>
    <row r="18" spans="1:14" ht="18.75">
      <c r="A18" s="94">
        <f>Gen!A19</f>
        <v>44295</v>
      </c>
      <c r="B18" s="268">
        <v>85</v>
      </c>
      <c r="C18" s="268">
        <v>85</v>
      </c>
      <c r="D18" s="268">
        <v>79</v>
      </c>
      <c r="E18" s="268"/>
      <c r="F18" s="268">
        <v>75952.149999999994</v>
      </c>
      <c r="G18" s="268">
        <f t="shared" si="0"/>
        <v>115.05999999997439</v>
      </c>
      <c r="H18" s="111">
        <f>[5]Gen!B19</f>
        <v>0.01</v>
      </c>
      <c r="I18" s="843">
        <f t="shared" si="2"/>
        <v>7595214.9999999991</v>
      </c>
      <c r="J18" s="844">
        <f t="shared" si="1"/>
        <v>1.5149011581630593E-5</v>
      </c>
      <c r="M18" s="156"/>
      <c r="N18" s="156"/>
    </row>
    <row r="19" spans="1:14" ht="18.75">
      <c r="A19" s="94">
        <f>Gen!A20</f>
        <v>44296</v>
      </c>
      <c r="B19" s="268">
        <v>85</v>
      </c>
      <c r="C19" s="268">
        <v>85</v>
      </c>
      <c r="D19" s="268">
        <v>75</v>
      </c>
      <c r="E19" s="268"/>
      <c r="F19" s="268">
        <v>75969.009999999995</v>
      </c>
      <c r="G19" s="268">
        <f t="shared" si="0"/>
        <v>74.18400000000257</v>
      </c>
      <c r="H19" s="111">
        <f>[5]Gen!B20</f>
        <v>0.01</v>
      </c>
      <c r="I19" s="843">
        <f t="shared" si="2"/>
        <v>7596900.9999999991</v>
      </c>
      <c r="J19" s="844">
        <f t="shared" si="1"/>
        <v>9.7650344528647373E-6</v>
      </c>
      <c r="M19" s="156"/>
      <c r="N19" s="156"/>
    </row>
    <row r="20" spans="1:14" ht="18.75">
      <c r="A20" s="94">
        <f>Gen!A21</f>
        <v>44297</v>
      </c>
      <c r="B20" s="268">
        <v>85</v>
      </c>
      <c r="C20" s="268">
        <v>85</v>
      </c>
      <c r="D20" s="268">
        <v>65</v>
      </c>
      <c r="E20" s="268"/>
      <c r="F20" s="268">
        <v>75983.63</v>
      </c>
      <c r="G20" s="268">
        <f t="shared" si="0"/>
        <v>64.328000000043545</v>
      </c>
      <c r="H20" s="111">
        <f>[5]Gen!B21</f>
        <v>0.01</v>
      </c>
      <c r="I20" s="843">
        <f t="shared" si="2"/>
        <v>7598363</v>
      </c>
      <c r="J20" s="844">
        <f t="shared" si="1"/>
        <v>8.466034065501154E-6</v>
      </c>
    </row>
    <row r="21" spans="1:14" ht="18.75">
      <c r="A21" s="94">
        <f>Gen!A22</f>
        <v>44298</v>
      </c>
      <c r="B21" s="268">
        <v>85</v>
      </c>
      <c r="C21" s="268">
        <v>85</v>
      </c>
      <c r="D21" s="268">
        <v>60</v>
      </c>
      <c r="E21" s="268"/>
      <c r="F21" s="268">
        <v>75998</v>
      </c>
      <c r="G21" s="268">
        <f t="shared" si="0"/>
        <v>63.227999999979517</v>
      </c>
      <c r="H21" s="111">
        <f>[5]Gen!B22</f>
        <v>0.03</v>
      </c>
      <c r="I21" s="843">
        <f t="shared" si="2"/>
        <v>2533266.666666667</v>
      </c>
      <c r="J21" s="844">
        <f t="shared" si="1"/>
        <v>2.4959077870462187E-5</v>
      </c>
    </row>
    <row r="22" spans="1:14" ht="18.75">
      <c r="A22" s="94">
        <f>Gen!A23</f>
        <v>44299</v>
      </c>
      <c r="B22" s="268">
        <v>85</v>
      </c>
      <c r="C22" s="268">
        <v>85</v>
      </c>
      <c r="D22" s="268">
        <v>55</v>
      </c>
      <c r="E22" s="268"/>
      <c r="F22" s="268">
        <v>76011.570000000007</v>
      </c>
      <c r="G22" s="268">
        <f t="shared" si="0"/>
        <v>59.708000000030736</v>
      </c>
      <c r="H22" s="111">
        <f>[5]Gen!B23</f>
        <v>0.22</v>
      </c>
      <c r="I22" s="843">
        <f t="shared" si="2"/>
        <v>345507.13636363641</v>
      </c>
      <c r="J22" s="844">
        <f t="shared" si="1"/>
        <v>1.7281263891808524E-4</v>
      </c>
    </row>
    <row r="23" spans="1:14" ht="18.75">
      <c r="A23" s="94">
        <f>Gen!A24</f>
        <v>44300</v>
      </c>
      <c r="B23" s="268">
        <v>85</v>
      </c>
      <c r="C23" s="268">
        <v>85</v>
      </c>
      <c r="D23" s="268">
        <v>51</v>
      </c>
      <c r="E23" s="268"/>
      <c r="F23" s="268">
        <v>76025</v>
      </c>
      <c r="G23" s="268">
        <f>(F23-F22)*4.4</f>
        <v>59.091999999969268</v>
      </c>
      <c r="H23" s="111">
        <f>[5]Gen!B24</f>
        <v>0.23</v>
      </c>
      <c r="I23" s="843">
        <f t="shared" si="2"/>
        <v>330543.47826086957</v>
      </c>
      <c r="J23" s="844">
        <f t="shared" si="1"/>
        <v>1.7877224597162686E-4</v>
      </c>
    </row>
    <row r="24" spans="1:14" ht="18.75">
      <c r="A24" s="94">
        <f>Gen!A25</f>
        <v>44301</v>
      </c>
      <c r="B24" s="268"/>
      <c r="C24" s="268"/>
      <c r="D24" s="268"/>
      <c r="E24" s="268"/>
      <c r="F24" s="268"/>
      <c r="G24" s="268">
        <f t="shared" si="0"/>
        <v>-334510</v>
      </c>
      <c r="H24" s="111">
        <f>[5]Gen!B25</f>
        <v>0.21</v>
      </c>
      <c r="I24" s="843">
        <f t="shared" si="2"/>
        <v>0</v>
      </c>
      <c r="J24" s="844" t="e">
        <f t="shared" si="1"/>
        <v>#DIV/0!</v>
      </c>
    </row>
    <row r="25" spans="1:14" ht="18.75">
      <c r="A25" s="94">
        <f>Gen!A26</f>
        <v>44302</v>
      </c>
      <c r="B25" s="268"/>
      <c r="C25" s="268"/>
      <c r="D25" s="268"/>
      <c r="E25" s="268"/>
      <c r="F25" s="268"/>
      <c r="G25" s="268">
        <f t="shared" si="0"/>
        <v>0</v>
      </c>
      <c r="H25" s="111">
        <f>[5]Gen!B26</f>
        <v>0.03</v>
      </c>
      <c r="I25" s="843">
        <f t="shared" si="2"/>
        <v>0</v>
      </c>
      <c r="J25" s="844" t="e">
        <f t="shared" si="1"/>
        <v>#DIV/0!</v>
      </c>
    </row>
    <row r="26" spans="1:14" ht="18.75">
      <c r="A26" s="94">
        <f>Gen!A27</f>
        <v>44303</v>
      </c>
      <c r="B26" s="268"/>
      <c r="C26" s="268"/>
      <c r="D26" s="268"/>
      <c r="E26" s="268"/>
      <c r="F26" s="268"/>
      <c r="G26" s="268">
        <f t="shared" si="0"/>
        <v>0</v>
      </c>
      <c r="H26" s="111">
        <f>[5]Gen!B27</f>
        <v>0.06</v>
      </c>
      <c r="I26" s="843">
        <f t="shared" si="2"/>
        <v>0</v>
      </c>
      <c r="J26" s="844" t="e">
        <f t="shared" si="1"/>
        <v>#DIV/0!</v>
      </c>
    </row>
    <row r="27" spans="1:14" ht="18.75">
      <c r="A27" s="94">
        <f>Gen!A28</f>
        <v>44304</v>
      </c>
      <c r="B27" s="268"/>
      <c r="C27" s="268"/>
      <c r="D27" s="268"/>
      <c r="E27" s="268"/>
      <c r="F27" s="268"/>
      <c r="G27" s="268">
        <f t="shared" si="0"/>
        <v>0</v>
      </c>
      <c r="H27" s="111">
        <f>[5]Gen!B28</f>
        <v>0.05</v>
      </c>
      <c r="I27" s="843">
        <f t="shared" si="2"/>
        <v>0</v>
      </c>
      <c r="J27" s="844" t="e">
        <f t="shared" si="1"/>
        <v>#DIV/0!</v>
      </c>
    </row>
    <row r="28" spans="1:14" ht="18.75">
      <c r="A28" s="94">
        <f>Gen!A29</f>
        <v>44305</v>
      </c>
      <c r="B28" s="268"/>
      <c r="C28" s="268"/>
      <c r="D28" s="268"/>
      <c r="E28" s="268"/>
      <c r="F28" s="268"/>
      <c r="G28" s="268">
        <f t="shared" si="0"/>
        <v>0</v>
      </c>
      <c r="H28" s="111">
        <f>[5]Gen!B29</f>
        <v>7.7899999999999997E-2</v>
      </c>
      <c r="I28" s="843">
        <f t="shared" si="2"/>
        <v>0</v>
      </c>
      <c r="J28" s="844" t="e">
        <f t="shared" si="1"/>
        <v>#DIV/0!</v>
      </c>
    </row>
    <row r="29" spans="1:14" ht="18.75">
      <c r="A29" s="94">
        <f>Gen!A30</f>
        <v>44306</v>
      </c>
      <c r="B29" s="268"/>
      <c r="C29" s="268"/>
      <c r="D29" s="268"/>
      <c r="E29" s="268"/>
      <c r="F29" s="268"/>
      <c r="G29" s="268">
        <f t="shared" si="0"/>
        <v>0</v>
      </c>
      <c r="H29" s="111">
        <f>[5]Gen!B30</f>
        <v>0.12989999999999999</v>
      </c>
      <c r="I29" s="843">
        <f t="shared" si="2"/>
        <v>0</v>
      </c>
      <c r="J29" s="844" t="e">
        <f t="shared" si="1"/>
        <v>#DIV/0!</v>
      </c>
    </row>
    <row r="30" spans="1:14" ht="18.75">
      <c r="A30" s="94">
        <f>Gen!A31</f>
        <v>44307</v>
      </c>
      <c r="B30" s="268"/>
      <c r="C30" s="268"/>
      <c r="D30" s="268"/>
      <c r="E30" s="268"/>
      <c r="F30" s="268"/>
      <c r="G30" s="268">
        <f t="shared" si="0"/>
        <v>0</v>
      </c>
      <c r="H30" s="111">
        <f>[5]Gen!B31</f>
        <v>0.18179999999999999</v>
      </c>
      <c r="I30" s="843">
        <f t="shared" si="2"/>
        <v>0</v>
      </c>
      <c r="J30" s="844" t="e">
        <f t="shared" si="1"/>
        <v>#DIV/0!</v>
      </c>
    </row>
    <row r="31" spans="1:14" ht="18.75">
      <c r="A31" s="94">
        <f>Gen!A32</f>
        <v>44308</v>
      </c>
      <c r="B31" s="268"/>
      <c r="C31" s="268"/>
      <c r="D31" s="268"/>
      <c r="E31" s="268"/>
      <c r="F31" s="268"/>
      <c r="G31" s="268">
        <f t="shared" si="0"/>
        <v>0</v>
      </c>
      <c r="H31" s="111">
        <f>[5]Gen!B32</f>
        <v>0.31169999999999998</v>
      </c>
      <c r="I31" s="843">
        <f t="shared" si="2"/>
        <v>0</v>
      </c>
      <c r="J31" s="844" t="e">
        <f t="shared" si="1"/>
        <v>#DIV/0!</v>
      </c>
    </row>
    <row r="32" spans="1:14" ht="18.75">
      <c r="A32" s="94">
        <f>Gen!A33</f>
        <v>44309</v>
      </c>
      <c r="B32" s="268"/>
      <c r="C32" s="268"/>
      <c r="D32" s="268"/>
      <c r="E32" s="268"/>
      <c r="F32" s="268"/>
      <c r="G32" s="268">
        <f t="shared" si="0"/>
        <v>0</v>
      </c>
      <c r="H32" s="111">
        <f>[5]Gen!B33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44310</v>
      </c>
      <c r="B33" s="268"/>
      <c r="C33" s="268"/>
      <c r="D33" s="268"/>
      <c r="E33" s="268"/>
      <c r="F33" s="268"/>
      <c r="G33" s="268">
        <f t="shared" si="0"/>
        <v>0</v>
      </c>
      <c r="H33" s="111">
        <f>[5]Gen!B34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44311</v>
      </c>
      <c r="B34" s="268"/>
      <c r="C34" s="268"/>
      <c r="D34" s="268"/>
      <c r="E34" s="268"/>
      <c r="F34" s="268"/>
      <c r="G34" s="268">
        <f t="shared" si="0"/>
        <v>0</v>
      </c>
      <c r="H34" s="111">
        <f>[5]Gen!B35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44312</v>
      </c>
      <c r="B35" s="268"/>
      <c r="C35" s="268"/>
      <c r="D35" s="268"/>
      <c r="E35" s="268"/>
      <c r="F35" s="268"/>
      <c r="G35" s="268">
        <f t="shared" si="0"/>
        <v>0</v>
      </c>
      <c r="H35" s="111">
        <f>[5]Gen!B36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44313</v>
      </c>
      <c r="B36" s="268"/>
      <c r="C36" s="268"/>
      <c r="D36" s="268"/>
      <c r="E36" s="268"/>
      <c r="F36" s="268"/>
      <c r="G36" s="268">
        <f t="shared" si="0"/>
        <v>0</v>
      </c>
      <c r="H36" s="111">
        <f>[5]Gen!B37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44314</v>
      </c>
      <c r="B37" s="268"/>
      <c r="C37" s="268"/>
      <c r="D37" s="268"/>
      <c r="E37" s="268"/>
      <c r="F37" s="268"/>
      <c r="G37" s="268">
        <f t="shared" si="0"/>
        <v>0</v>
      </c>
      <c r="H37" s="111">
        <f>[5]Gen!B38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44315</v>
      </c>
      <c r="B38" s="268"/>
      <c r="C38" s="268"/>
      <c r="D38" s="268"/>
      <c r="E38" s="268"/>
      <c r="F38" s="268"/>
      <c r="G38" s="268">
        <f t="shared" si="0"/>
        <v>0</v>
      </c>
      <c r="H38" s="111">
        <f>[5]Gen!B39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44316</v>
      </c>
      <c r="B39" s="268"/>
      <c r="C39" s="268"/>
      <c r="D39" s="268"/>
      <c r="E39" s="268"/>
      <c r="F39" s="268"/>
      <c r="G39" s="268">
        <f t="shared" si="0"/>
        <v>0</v>
      </c>
      <c r="H39" s="111">
        <f>[5]Gen!B40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0</v>
      </c>
      <c r="B40" s="268"/>
      <c r="C40" s="268"/>
      <c r="D40" s="268"/>
      <c r="E40" s="268"/>
      <c r="F40" s="268"/>
      <c r="G40" s="268">
        <f t="shared" si="0"/>
        <v>0</v>
      </c>
      <c r="H40" s="111">
        <f>[5]Gen!B41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[5]Gen!B42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1" t="s">
        <v>6</v>
      </c>
      <c r="D42" s="921"/>
      <c r="E42" s="2">
        <f t="shared" ref="E42" si="4">SUM(E10:E40)</f>
        <v>0</v>
      </c>
      <c r="F42" s="2">
        <f>SUM(F10:F41)</f>
        <v>1062810.67</v>
      </c>
      <c r="G42" s="101">
        <f>SUM(G10:G40)</f>
        <v>-332229.7</v>
      </c>
      <c r="H42" s="111">
        <f>[5]Gen!B43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0"/>
      <c r="C45" s="920"/>
      <c r="D45" s="920"/>
      <c r="E45" s="920"/>
      <c r="F45" s="920"/>
      <c r="G45" s="920"/>
      <c r="H45" s="920"/>
      <c r="I45" s="831"/>
      <c r="J45" s="838"/>
    </row>
    <row r="46" spans="1:10">
      <c r="A46" s="19"/>
      <c r="B46" s="920"/>
      <c r="C46" s="920"/>
      <c r="D46" s="920"/>
      <c r="E46" s="920"/>
      <c r="F46" s="920"/>
      <c r="G46" s="920"/>
      <c r="H46" s="920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44287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44288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44289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44290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44291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44292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44293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44294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44295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44296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44297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44298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44299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44300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44301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44302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44303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44304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44305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44306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44307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44308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44309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44310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44311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44312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44313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44314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44315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44316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B1" activePane="topRight" state="frozen"/>
      <selection pane="topRight" activeCell="N16" sqref="N1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1" t="s">
        <v>315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932"/>
      <c r="AJ1" s="932"/>
      <c r="AK1" s="932"/>
      <c r="AL1" s="932"/>
      <c r="AM1" s="932"/>
      <c r="AN1" s="932"/>
    </row>
    <row r="2" spans="1:40" ht="13.5" customHeight="1" thickTop="1">
      <c r="A2" s="29"/>
      <c r="B2" s="29"/>
      <c r="C2" s="928" t="s">
        <v>52</v>
      </c>
      <c r="D2" s="928"/>
      <c r="E2" s="928"/>
      <c r="F2" s="928" t="s">
        <v>17</v>
      </c>
      <c r="G2" s="928"/>
      <c r="H2" s="928"/>
      <c r="I2" s="928" t="s">
        <v>131</v>
      </c>
      <c r="J2" s="928"/>
      <c r="K2" s="928"/>
      <c r="L2" s="928" t="s">
        <v>134</v>
      </c>
      <c r="M2" s="928"/>
      <c r="N2" s="928"/>
      <c r="O2" s="928" t="s">
        <v>132</v>
      </c>
      <c r="P2" s="928"/>
      <c r="Q2" s="928"/>
      <c r="R2" s="252"/>
      <c r="S2" s="939" t="s">
        <v>181</v>
      </c>
      <c r="T2" s="940"/>
      <c r="U2" s="941"/>
      <c r="V2" s="939" t="s">
        <v>182</v>
      </c>
      <c r="W2" s="940"/>
      <c r="X2" s="941"/>
      <c r="Y2" s="939" t="s">
        <v>183</v>
      </c>
      <c r="Z2" s="940"/>
      <c r="AA2" s="941"/>
      <c r="AB2" s="939" t="s">
        <v>184</v>
      </c>
      <c r="AC2" s="940"/>
      <c r="AD2" s="941"/>
      <c r="AE2" s="933" t="s">
        <v>239</v>
      </c>
      <c r="AF2" s="934"/>
      <c r="AG2" s="945"/>
      <c r="AH2" s="933" t="s">
        <v>243</v>
      </c>
      <c r="AI2" s="934"/>
      <c r="AJ2" s="945"/>
      <c r="AK2" s="933" t="s">
        <v>240</v>
      </c>
      <c r="AL2" s="934"/>
      <c r="AM2" s="934"/>
      <c r="AN2" s="937" t="s">
        <v>189</v>
      </c>
    </row>
    <row r="3" spans="1:40" ht="21.75" customHeight="1" thickBot="1">
      <c r="A3" s="929" t="s">
        <v>7</v>
      </c>
      <c r="B3" s="29"/>
      <c r="C3" s="928" t="s">
        <v>133</v>
      </c>
      <c r="D3" s="928" t="s">
        <v>15</v>
      </c>
      <c r="E3" s="928" t="s">
        <v>16</v>
      </c>
      <c r="F3" s="928" t="s">
        <v>133</v>
      </c>
      <c r="G3" s="928" t="s">
        <v>15</v>
      </c>
      <c r="H3" s="928" t="s">
        <v>16</v>
      </c>
      <c r="I3" s="928" t="s">
        <v>133</v>
      </c>
      <c r="J3" s="928" t="s">
        <v>15</v>
      </c>
      <c r="K3" s="928" t="s">
        <v>16</v>
      </c>
      <c r="L3" s="928" t="s">
        <v>133</v>
      </c>
      <c r="M3" s="928" t="s">
        <v>15</v>
      </c>
      <c r="N3" s="928" t="s">
        <v>16</v>
      </c>
      <c r="O3" s="928" t="s">
        <v>133</v>
      </c>
      <c r="P3" s="928" t="s">
        <v>15</v>
      </c>
      <c r="Q3" s="928" t="s">
        <v>16</v>
      </c>
      <c r="R3" s="947" t="s">
        <v>185</v>
      </c>
      <c r="S3" s="942"/>
      <c r="T3" s="943"/>
      <c r="U3" s="944"/>
      <c r="V3" s="942"/>
      <c r="W3" s="943"/>
      <c r="X3" s="944"/>
      <c r="Y3" s="942"/>
      <c r="Z3" s="943"/>
      <c r="AA3" s="944"/>
      <c r="AB3" s="942"/>
      <c r="AC3" s="943"/>
      <c r="AD3" s="944"/>
      <c r="AE3" s="935"/>
      <c r="AF3" s="936"/>
      <c r="AG3" s="946"/>
      <c r="AH3" s="935"/>
      <c r="AI3" s="936"/>
      <c r="AJ3" s="946"/>
      <c r="AK3" s="935"/>
      <c r="AL3" s="936"/>
      <c r="AM3" s="936"/>
      <c r="AN3" s="938"/>
    </row>
    <row r="4" spans="1:40" ht="15.75" thickTop="1">
      <c r="A4" s="930"/>
      <c r="B4" s="244"/>
      <c r="C4" s="928"/>
      <c r="D4" s="928"/>
      <c r="E4" s="928"/>
      <c r="F4" s="928"/>
      <c r="G4" s="928"/>
      <c r="H4" s="928"/>
      <c r="I4" s="928"/>
      <c r="J4" s="928"/>
      <c r="K4" s="928"/>
      <c r="L4" s="928"/>
      <c r="M4" s="928"/>
      <c r="N4" s="928"/>
      <c r="O4" s="928"/>
      <c r="P4" s="928"/>
      <c r="Q4" s="928"/>
      <c r="R4" s="947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252644</v>
      </c>
      <c r="E5" s="58">
        <f t="shared" ref="E5:E15" si="1">IF((D5-D4)&lt;0,"0",(D5-D4))</f>
        <v>252644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8362</v>
      </c>
      <c r="K5" s="474">
        <f t="shared" ref="K5:K6" si="4">J5-J4</f>
        <v>8362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21110</v>
      </c>
      <c r="Q5" s="474">
        <f t="shared" ref="Q5:Q27" si="7">IF((P5-P4)&lt;0,"0",(P5-P4))</f>
        <v>21110</v>
      </c>
      <c r="R5" s="246"/>
      <c r="S5" s="245"/>
      <c r="T5" s="384">
        <v>67456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89838</v>
      </c>
      <c r="AA5" s="246">
        <v>0</v>
      </c>
      <c r="AB5" s="606" t="str">
        <f>AC4</f>
        <v>FINAL</v>
      </c>
      <c r="AC5" s="610">
        <v>18773</v>
      </c>
      <c r="AD5" s="608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30309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44287</v>
      </c>
      <c r="B6" s="4"/>
      <c r="C6" s="95">
        <f t="shared" si="0"/>
        <v>252644</v>
      </c>
      <c r="D6" s="1">
        <v>252733</v>
      </c>
      <c r="E6" s="58">
        <f t="shared" si="1"/>
        <v>89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8362</v>
      </c>
      <c r="J6" s="1">
        <v>8364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21110</v>
      </c>
      <c r="P6" s="383">
        <v>21117</v>
      </c>
      <c r="Q6" s="474">
        <f t="shared" si="7"/>
        <v>7</v>
      </c>
      <c r="R6" s="250"/>
      <c r="S6" s="245">
        <f t="shared" ref="S6:S24" si="15">T5</f>
        <v>67456</v>
      </c>
      <c r="T6" s="384">
        <v>67537</v>
      </c>
      <c r="U6" s="475">
        <f t="shared" ref="U6:U24" si="16">IF((T6-T5)&lt;0,"0",(T6-T5))</f>
        <v>81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89838</v>
      </c>
      <c r="Z6" s="384">
        <v>89838</v>
      </c>
      <c r="AA6" s="475">
        <f t="shared" ref="AA6:AA37" si="18">IF((Z6-Z5)&lt;0,"0",(Z6-Z5))</f>
        <v>0</v>
      </c>
      <c r="AB6" s="606">
        <f>AC5</f>
        <v>18773</v>
      </c>
      <c r="AC6" s="617">
        <v>18788</v>
      </c>
      <c r="AD6" s="609">
        <f>IF((AC6-AC5)&lt;0,"0",(AC6-AC5))</f>
        <v>15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30309</v>
      </c>
      <c r="AI6" s="385">
        <v>30335</v>
      </c>
      <c r="AJ6" s="475">
        <f t="shared" ref="AJ6:AJ37" si="20">IF((AI6-AI5)&lt;0,"0",(AI6-AI5))</f>
        <v>26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122</v>
      </c>
    </row>
    <row r="7" spans="1:40" ht="23.1" customHeight="1">
      <c r="A7" s="57">
        <f>Gen!A12</f>
        <v>44288</v>
      </c>
      <c r="B7" s="4"/>
      <c r="C7" s="95">
        <f t="shared" si="0"/>
        <v>252733</v>
      </c>
      <c r="D7" s="1">
        <v>252850</v>
      </c>
      <c r="E7" s="58">
        <f t="shared" si="1"/>
        <v>117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8364</v>
      </c>
      <c r="J7" s="1">
        <v>8366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21117</v>
      </c>
      <c r="P7" s="383">
        <v>21121</v>
      </c>
      <c r="Q7" s="474">
        <f t="shared" si="7"/>
        <v>4</v>
      </c>
      <c r="R7" s="250"/>
      <c r="S7" s="245">
        <f t="shared" si="15"/>
        <v>67537</v>
      </c>
      <c r="T7" s="384">
        <v>67617</v>
      </c>
      <c r="U7" s="475">
        <f t="shared" si="16"/>
        <v>80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89838</v>
      </c>
      <c r="Z7" s="384">
        <v>89838</v>
      </c>
      <c r="AA7" s="475">
        <f t="shared" si="18"/>
        <v>0</v>
      </c>
      <c r="AB7" s="606">
        <f t="shared" ref="AB7:AB37" si="22">AC6</f>
        <v>18788</v>
      </c>
      <c r="AC7" s="607">
        <v>18805</v>
      </c>
      <c r="AD7" s="609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30335</v>
      </c>
      <c r="AI7" s="385">
        <v>30365</v>
      </c>
      <c r="AJ7" s="475">
        <f t="shared" si="20"/>
        <v>30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127</v>
      </c>
    </row>
    <row r="8" spans="1:40" ht="23.1" customHeight="1">
      <c r="A8" s="57">
        <f>Gen!A13</f>
        <v>44289</v>
      </c>
      <c r="B8" s="4"/>
      <c r="C8" s="95">
        <f t="shared" si="0"/>
        <v>252850</v>
      </c>
      <c r="D8" s="1">
        <v>253017</v>
      </c>
      <c r="E8" s="58">
        <f t="shared" si="1"/>
        <v>167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8366</v>
      </c>
      <c r="J8" s="1">
        <v>8368</v>
      </c>
      <c r="K8" s="474">
        <f>J8-J7</f>
        <v>2</v>
      </c>
      <c r="L8" s="95">
        <f t="shared" si="5"/>
        <v>0</v>
      </c>
      <c r="M8" s="1"/>
      <c r="N8" s="474">
        <f t="shared" si="14"/>
        <v>0</v>
      </c>
      <c r="O8" s="95">
        <f t="shared" si="6"/>
        <v>21121</v>
      </c>
      <c r="P8" s="383">
        <v>21126</v>
      </c>
      <c r="Q8" s="474">
        <f t="shared" si="7"/>
        <v>5</v>
      </c>
      <c r="R8" s="250"/>
      <c r="S8" s="245">
        <f t="shared" si="15"/>
        <v>67617</v>
      </c>
      <c r="T8" s="384">
        <v>67705</v>
      </c>
      <c r="U8" s="475">
        <f t="shared" si="16"/>
        <v>88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89838</v>
      </c>
      <c r="Z8" s="384">
        <v>89890</v>
      </c>
      <c r="AA8" s="475">
        <f t="shared" si="18"/>
        <v>52</v>
      </c>
      <c r="AB8" s="606">
        <f t="shared" si="22"/>
        <v>18805</v>
      </c>
      <c r="AC8" s="607">
        <v>18820</v>
      </c>
      <c r="AD8" s="609">
        <f t="shared" si="23"/>
        <v>15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30365</v>
      </c>
      <c r="AI8" s="385">
        <v>30382</v>
      </c>
      <c r="AJ8" s="475">
        <f t="shared" si="20"/>
        <v>17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172</v>
      </c>
    </row>
    <row r="9" spans="1:40" ht="23.1" customHeight="1">
      <c r="A9" s="57">
        <f>Gen!A14</f>
        <v>44290</v>
      </c>
      <c r="B9" s="4"/>
      <c r="C9" s="95">
        <f t="shared" si="0"/>
        <v>253017</v>
      </c>
      <c r="D9" s="1">
        <v>253087</v>
      </c>
      <c r="E9" s="58">
        <f t="shared" si="1"/>
        <v>70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8368</v>
      </c>
      <c r="J9" s="1">
        <v>8369</v>
      </c>
      <c r="K9" s="474">
        <f>J9-J8</f>
        <v>1</v>
      </c>
      <c r="L9" s="95">
        <f t="shared" si="5"/>
        <v>0</v>
      </c>
      <c r="M9" s="1"/>
      <c r="N9" s="474">
        <f t="shared" si="14"/>
        <v>0</v>
      </c>
      <c r="O9" s="95">
        <f t="shared" si="6"/>
        <v>21126</v>
      </c>
      <c r="P9" s="383">
        <v>21130</v>
      </c>
      <c r="Q9" s="474">
        <f t="shared" si="7"/>
        <v>4</v>
      </c>
      <c r="R9" s="250"/>
      <c r="S9" s="245">
        <f t="shared" si="15"/>
        <v>67705</v>
      </c>
      <c r="T9" s="384">
        <v>67788</v>
      </c>
      <c r="U9" s="475">
        <f t="shared" si="16"/>
        <v>83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89890</v>
      </c>
      <c r="Z9" s="384">
        <v>89938</v>
      </c>
      <c r="AA9" s="475">
        <f t="shared" si="18"/>
        <v>48</v>
      </c>
      <c r="AB9" s="606">
        <f t="shared" si="22"/>
        <v>18820</v>
      </c>
      <c r="AC9" s="607">
        <v>18837</v>
      </c>
      <c r="AD9" s="609">
        <f t="shared" si="23"/>
        <v>17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30420</v>
      </c>
      <c r="AI9" s="385">
        <v>30420</v>
      </c>
      <c r="AJ9" s="475">
        <f t="shared" si="20"/>
        <v>38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186</v>
      </c>
    </row>
    <row r="10" spans="1:40" ht="23.1" customHeight="1">
      <c r="A10" s="57">
        <f>Gen!A15</f>
        <v>44291</v>
      </c>
      <c r="B10" s="4"/>
      <c r="C10" s="95">
        <f t="shared" si="0"/>
        <v>253087</v>
      </c>
      <c r="D10" s="1">
        <v>253146</v>
      </c>
      <c r="E10" s="58">
        <f t="shared" si="1"/>
        <v>59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8369</v>
      </c>
      <c r="J10" s="1">
        <v>8371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21130</v>
      </c>
      <c r="P10" s="383">
        <v>21134</v>
      </c>
      <c r="Q10" s="474">
        <f t="shared" si="7"/>
        <v>4</v>
      </c>
      <c r="R10" s="250"/>
      <c r="S10" s="245">
        <f t="shared" si="15"/>
        <v>67788</v>
      </c>
      <c r="T10" s="384">
        <v>67868</v>
      </c>
      <c r="U10" s="475">
        <f t="shared" si="16"/>
        <v>80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89938</v>
      </c>
      <c r="Z10" s="384">
        <v>89983</v>
      </c>
      <c r="AA10" s="475">
        <f t="shared" si="18"/>
        <v>45</v>
      </c>
      <c r="AB10" s="606">
        <f t="shared" si="22"/>
        <v>18837</v>
      </c>
      <c r="AC10" s="607">
        <v>18852</v>
      </c>
      <c r="AD10" s="609">
        <f t="shared" si="23"/>
        <v>15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30420</v>
      </c>
      <c r="AI10" s="385">
        <v>30446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166</v>
      </c>
    </row>
    <row r="11" spans="1:40" ht="23.1" customHeight="1">
      <c r="A11" s="57">
        <f>Gen!A16</f>
        <v>44292</v>
      </c>
      <c r="B11" s="4"/>
      <c r="C11" s="95">
        <f t="shared" si="0"/>
        <v>253146</v>
      </c>
      <c r="D11" s="1">
        <v>253356</v>
      </c>
      <c r="E11" s="58">
        <f t="shared" si="1"/>
        <v>210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8371</v>
      </c>
      <c r="J11" s="1">
        <v>8372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21134</v>
      </c>
      <c r="P11" s="383">
        <v>21142</v>
      </c>
      <c r="Q11" s="474">
        <f t="shared" si="7"/>
        <v>8</v>
      </c>
      <c r="R11" s="250"/>
      <c r="S11" s="245">
        <f t="shared" si="15"/>
        <v>67868</v>
      </c>
      <c r="T11" s="384">
        <v>67950</v>
      </c>
      <c r="U11" s="475">
        <f t="shared" si="16"/>
        <v>82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89983</v>
      </c>
      <c r="Z11" s="384">
        <v>90033</v>
      </c>
      <c r="AA11" s="475">
        <f t="shared" si="18"/>
        <v>50</v>
      </c>
      <c r="AB11" s="606">
        <f t="shared" si="22"/>
        <v>18852</v>
      </c>
      <c r="AC11" s="607">
        <v>18870</v>
      </c>
      <c r="AD11" s="609">
        <f t="shared" si="23"/>
        <v>18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30446</v>
      </c>
      <c r="AI11" s="385">
        <v>30474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178</v>
      </c>
    </row>
    <row r="12" spans="1:40" ht="23.1" customHeight="1">
      <c r="A12" s="57">
        <f>Gen!A17</f>
        <v>44293</v>
      </c>
      <c r="B12" s="4"/>
      <c r="C12" s="95">
        <f t="shared" si="0"/>
        <v>253356</v>
      </c>
      <c r="D12" s="1">
        <v>253416</v>
      </c>
      <c r="E12" s="58">
        <f t="shared" si="1"/>
        <v>60</v>
      </c>
      <c r="F12" s="95">
        <f t="shared" si="2"/>
        <v>75790</v>
      </c>
      <c r="G12" s="387">
        <v>75790</v>
      </c>
      <c r="H12" s="474">
        <f t="shared" si="13"/>
        <v>0</v>
      </c>
      <c r="I12" s="95">
        <f t="shared" si="3"/>
        <v>8372</v>
      </c>
      <c r="J12" s="1">
        <v>8374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21142</v>
      </c>
      <c r="P12" s="383">
        <v>21145</v>
      </c>
      <c r="Q12" s="474">
        <f t="shared" si="7"/>
        <v>3</v>
      </c>
      <c r="R12" s="250"/>
      <c r="S12" s="245">
        <f t="shared" si="15"/>
        <v>67950</v>
      </c>
      <c r="T12" s="384">
        <v>68031</v>
      </c>
      <c r="U12" s="475">
        <f t="shared" si="16"/>
        <v>81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90033</v>
      </c>
      <c r="Z12" s="384">
        <v>90080</v>
      </c>
      <c r="AA12" s="475">
        <f t="shared" si="18"/>
        <v>47</v>
      </c>
      <c r="AB12" s="606">
        <f t="shared" si="22"/>
        <v>18870</v>
      </c>
      <c r="AC12" s="607">
        <v>18886</v>
      </c>
      <c r="AD12" s="609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30474</v>
      </c>
      <c r="AI12" s="385">
        <v>30502</v>
      </c>
      <c r="AJ12" s="475">
        <f t="shared" si="20"/>
        <v>28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172</v>
      </c>
    </row>
    <row r="13" spans="1:40" ht="23.1" customHeight="1">
      <c r="A13" s="57">
        <f>Gen!A18</f>
        <v>44294</v>
      </c>
      <c r="B13" s="4"/>
      <c r="C13" s="95">
        <f t="shared" si="0"/>
        <v>253416</v>
      </c>
      <c r="D13" s="1">
        <v>253491</v>
      </c>
      <c r="E13" s="58">
        <f t="shared" si="1"/>
        <v>75</v>
      </c>
      <c r="F13" s="95">
        <f t="shared" si="2"/>
        <v>75790</v>
      </c>
      <c r="G13" s="387">
        <v>75790</v>
      </c>
      <c r="H13" s="474">
        <f t="shared" si="13"/>
        <v>0</v>
      </c>
      <c r="I13" s="95">
        <f t="shared" si="3"/>
        <v>8374</v>
      </c>
      <c r="J13" s="1">
        <v>8376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21145</v>
      </c>
      <c r="P13" s="383">
        <v>21151</v>
      </c>
      <c r="Q13" s="474">
        <f t="shared" si="7"/>
        <v>6</v>
      </c>
      <c r="R13" s="250"/>
      <c r="S13" s="245">
        <f t="shared" si="15"/>
        <v>68031</v>
      </c>
      <c r="T13" s="384">
        <v>68113</v>
      </c>
      <c r="U13" s="475">
        <f t="shared" si="16"/>
        <v>82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90080</v>
      </c>
      <c r="Z13" s="384">
        <v>90128</v>
      </c>
      <c r="AA13" s="475">
        <f t="shared" si="18"/>
        <v>48</v>
      </c>
      <c r="AB13" s="606">
        <f t="shared" si="22"/>
        <v>18886</v>
      </c>
      <c r="AC13" s="607">
        <v>18902</v>
      </c>
      <c r="AD13" s="609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30502</v>
      </c>
      <c r="AI13" s="385">
        <v>30529</v>
      </c>
      <c r="AJ13" s="475">
        <f t="shared" si="20"/>
        <v>27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173</v>
      </c>
    </row>
    <row r="14" spans="1:40" ht="23.1" customHeight="1">
      <c r="A14" s="57">
        <f>Gen!A19</f>
        <v>44295</v>
      </c>
      <c r="B14" s="4"/>
      <c r="C14" s="95">
        <f t="shared" si="0"/>
        <v>253491</v>
      </c>
      <c r="D14" s="1">
        <v>253538</v>
      </c>
      <c r="E14" s="58">
        <f t="shared" si="1"/>
        <v>47</v>
      </c>
      <c r="F14" s="95">
        <f t="shared" si="2"/>
        <v>75790</v>
      </c>
      <c r="G14" s="387">
        <v>75790</v>
      </c>
      <c r="H14" s="474">
        <f t="shared" si="13"/>
        <v>0</v>
      </c>
      <c r="I14" s="95">
        <f t="shared" si="3"/>
        <v>8376</v>
      </c>
      <c r="J14" s="1">
        <v>8377</v>
      </c>
      <c r="K14" s="474">
        <f t="shared" ref="K14:K27" si="28">IF((J14-J13)&lt;0,"0",(J14-J13))</f>
        <v>1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21151</v>
      </c>
      <c r="P14" s="383">
        <v>21155</v>
      </c>
      <c r="Q14" s="474">
        <f t="shared" si="7"/>
        <v>4</v>
      </c>
      <c r="R14" s="250"/>
      <c r="S14" s="245">
        <f t="shared" si="15"/>
        <v>68113</v>
      </c>
      <c r="T14" s="384">
        <v>68194</v>
      </c>
      <c r="U14" s="475">
        <f t="shared" si="16"/>
        <v>81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90128</v>
      </c>
      <c r="Z14" s="384">
        <v>90129</v>
      </c>
      <c r="AA14" s="475">
        <f t="shared" si="18"/>
        <v>1</v>
      </c>
      <c r="AB14" s="606">
        <f t="shared" si="22"/>
        <v>18902</v>
      </c>
      <c r="AC14" s="610">
        <v>18918</v>
      </c>
      <c r="AD14" s="609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30529</v>
      </c>
      <c r="AI14" s="385">
        <v>30557</v>
      </c>
      <c r="AJ14" s="475">
        <f t="shared" si="20"/>
        <v>28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126</v>
      </c>
    </row>
    <row r="15" spans="1:40" ht="23.1" customHeight="1">
      <c r="A15" s="57">
        <f>Gen!A20</f>
        <v>44296</v>
      </c>
      <c r="B15" s="4"/>
      <c r="C15" s="95">
        <f t="shared" si="0"/>
        <v>253538</v>
      </c>
      <c r="D15" s="1">
        <v>253584</v>
      </c>
      <c r="E15" s="58">
        <f t="shared" si="1"/>
        <v>46</v>
      </c>
      <c r="F15" s="95">
        <f t="shared" si="2"/>
        <v>75790</v>
      </c>
      <c r="G15" s="387">
        <v>75790</v>
      </c>
      <c r="H15" s="474">
        <f t="shared" si="13"/>
        <v>0</v>
      </c>
      <c r="I15" s="95">
        <f t="shared" si="3"/>
        <v>8377</v>
      </c>
      <c r="J15" s="1">
        <v>8379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21155</v>
      </c>
      <c r="P15" s="383">
        <v>21158</v>
      </c>
      <c r="Q15" s="474">
        <f t="shared" si="7"/>
        <v>3</v>
      </c>
      <c r="R15" s="250"/>
      <c r="S15" s="245">
        <f t="shared" si="15"/>
        <v>68194</v>
      </c>
      <c r="T15" s="384">
        <v>68194</v>
      </c>
      <c r="U15" s="475">
        <f t="shared" si="16"/>
        <v>0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90129</v>
      </c>
      <c r="Z15" s="384">
        <v>90129</v>
      </c>
      <c r="AA15" s="475">
        <f t="shared" si="18"/>
        <v>0</v>
      </c>
      <c r="AB15" s="606">
        <f t="shared" si="22"/>
        <v>18918</v>
      </c>
      <c r="AC15" s="610">
        <v>18935</v>
      </c>
      <c r="AD15" s="609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30557</v>
      </c>
      <c r="AI15" s="385">
        <v>30584</v>
      </c>
      <c r="AJ15" s="475">
        <f t="shared" si="20"/>
        <v>27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44</v>
      </c>
    </row>
    <row r="16" spans="1:40" ht="23.1" customHeight="1">
      <c r="A16" s="57">
        <f>Gen!A21</f>
        <v>44297</v>
      </c>
      <c r="B16" s="4"/>
      <c r="C16" s="95">
        <f t="shared" si="0"/>
        <v>253584</v>
      </c>
      <c r="D16" s="1">
        <v>253634</v>
      </c>
      <c r="E16" s="58">
        <f>IF((D16-D15)&lt;0,"0",(D16-D15))</f>
        <v>50</v>
      </c>
      <c r="F16" s="95">
        <f t="shared" si="2"/>
        <v>75790</v>
      </c>
      <c r="G16" s="387">
        <v>75790</v>
      </c>
      <c r="H16" s="474">
        <f t="shared" si="13"/>
        <v>0</v>
      </c>
      <c r="I16" s="95">
        <f t="shared" si="3"/>
        <v>8379</v>
      </c>
      <c r="J16" s="1">
        <v>8381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21158</v>
      </c>
      <c r="P16" s="383">
        <v>21161</v>
      </c>
      <c r="Q16" s="474">
        <f t="shared" si="7"/>
        <v>3</v>
      </c>
      <c r="R16" s="250"/>
      <c r="S16" s="245">
        <f t="shared" si="15"/>
        <v>68194</v>
      </c>
      <c r="T16" s="384">
        <v>68194</v>
      </c>
      <c r="U16" s="475">
        <f t="shared" si="16"/>
        <v>0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90129</v>
      </c>
      <c r="Z16" s="384">
        <v>90129</v>
      </c>
      <c r="AA16" s="475">
        <f t="shared" si="18"/>
        <v>0</v>
      </c>
      <c r="AB16" s="606">
        <f t="shared" si="22"/>
        <v>18935</v>
      </c>
      <c r="AC16" s="610">
        <v>18952</v>
      </c>
      <c r="AD16" s="609">
        <f t="shared" si="23"/>
        <v>17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30584</v>
      </c>
      <c r="AI16" s="385">
        <v>30610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43</v>
      </c>
    </row>
    <row r="17" spans="1:40" ht="23.1" customHeight="1">
      <c r="A17" s="57">
        <f>Gen!A22</f>
        <v>44298</v>
      </c>
      <c r="B17" s="4"/>
      <c r="C17" s="95">
        <f t="shared" si="0"/>
        <v>253634</v>
      </c>
      <c r="D17" s="1">
        <v>253695</v>
      </c>
      <c r="E17" s="474">
        <f>IF((D17-D16)&lt;0,"0",(D17-D16))</f>
        <v>61</v>
      </c>
      <c r="F17" s="95">
        <f t="shared" si="2"/>
        <v>75790</v>
      </c>
      <c r="G17" s="387">
        <v>75790</v>
      </c>
      <c r="H17" s="474">
        <f t="shared" si="13"/>
        <v>0</v>
      </c>
      <c r="I17" s="95">
        <f t="shared" si="3"/>
        <v>8381</v>
      </c>
      <c r="J17" s="1">
        <v>8382</v>
      </c>
      <c r="K17" s="474">
        <f t="shared" si="28"/>
        <v>1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21161</v>
      </c>
      <c r="P17" s="383">
        <v>21167</v>
      </c>
      <c r="Q17" s="474">
        <f t="shared" si="7"/>
        <v>6</v>
      </c>
      <c r="R17" s="250"/>
      <c r="S17" s="245">
        <f t="shared" si="15"/>
        <v>68194</v>
      </c>
      <c r="T17" s="384">
        <v>68194</v>
      </c>
      <c r="U17" s="475">
        <f t="shared" si="16"/>
        <v>0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90129</v>
      </c>
      <c r="Z17" s="384">
        <v>90129</v>
      </c>
      <c r="AA17" s="475">
        <f>IF((Z17-Z16)&lt;0,"0",(Z17-Z16))</f>
        <v>0</v>
      </c>
      <c r="AB17" s="606">
        <f t="shared" si="22"/>
        <v>18952</v>
      </c>
      <c r="AC17" s="610">
        <v>18968</v>
      </c>
      <c r="AD17" s="609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30610</v>
      </c>
      <c r="AI17" s="385">
        <v>30643</v>
      </c>
      <c r="AJ17" s="475">
        <f t="shared" si="20"/>
        <v>33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49</v>
      </c>
    </row>
    <row r="18" spans="1:40" ht="23.1" customHeight="1">
      <c r="A18" s="57">
        <f>Gen!A23</f>
        <v>44299</v>
      </c>
      <c r="B18" s="4"/>
      <c r="C18" s="95">
        <f t="shared" si="0"/>
        <v>253695</v>
      </c>
      <c r="D18" s="1">
        <v>253876</v>
      </c>
      <c r="E18" s="474">
        <f t="shared" ref="E18:E37" si="29">IF((D18-D17)&lt;0,"0",(D18-D17))</f>
        <v>181</v>
      </c>
      <c r="F18" s="95">
        <f t="shared" si="2"/>
        <v>75790</v>
      </c>
      <c r="G18" s="387">
        <v>75790</v>
      </c>
      <c r="H18" s="474">
        <f t="shared" si="13"/>
        <v>0</v>
      </c>
      <c r="I18" s="95"/>
      <c r="J18" s="1">
        <v>8383</v>
      </c>
      <c r="K18" s="474">
        <f t="shared" si="28"/>
        <v>1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21167</v>
      </c>
      <c r="P18" s="383">
        <v>21169</v>
      </c>
      <c r="Q18" s="474">
        <f t="shared" si="7"/>
        <v>2</v>
      </c>
      <c r="R18" s="250"/>
      <c r="S18" s="245">
        <f t="shared" si="15"/>
        <v>68194</v>
      </c>
      <c r="T18" s="384">
        <v>68194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90129</v>
      </c>
      <c r="Z18" s="384">
        <v>90129</v>
      </c>
      <c r="AA18" s="475">
        <f t="shared" si="18"/>
        <v>0</v>
      </c>
      <c r="AB18" s="606">
        <f t="shared" si="22"/>
        <v>18968</v>
      </c>
      <c r="AC18" s="610">
        <v>18984</v>
      </c>
      <c r="AD18" s="609">
        <f t="shared" si="23"/>
        <v>16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30643</v>
      </c>
      <c r="AI18" s="385">
        <v>30672</v>
      </c>
      <c r="AJ18" s="475">
        <f t="shared" si="20"/>
        <v>29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45</v>
      </c>
    </row>
    <row r="19" spans="1:40" ht="23.1" customHeight="1">
      <c r="A19" s="57">
        <f>Gen!A24</f>
        <v>44300</v>
      </c>
      <c r="B19" s="4"/>
      <c r="C19" s="95">
        <f t="shared" si="0"/>
        <v>253876</v>
      </c>
      <c r="D19" s="1">
        <v>253922</v>
      </c>
      <c r="E19" s="474">
        <f t="shared" si="29"/>
        <v>46</v>
      </c>
      <c r="F19" s="95">
        <f t="shared" si="2"/>
        <v>75790</v>
      </c>
      <c r="G19" s="387">
        <v>75790</v>
      </c>
      <c r="H19" s="474">
        <f t="shared" si="13"/>
        <v>0</v>
      </c>
      <c r="I19" s="95">
        <f t="shared" si="3"/>
        <v>8383</v>
      </c>
      <c r="J19" s="1">
        <v>8384</v>
      </c>
      <c r="K19" s="474">
        <f t="shared" si="28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21169</v>
      </c>
      <c r="P19" s="383">
        <v>21171</v>
      </c>
      <c r="Q19" s="474">
        <f t="shared" si="7"/>
        <v>2</v>
      </c>
      <c r="R19" s="250"/>
      <c r="S19" s="245">
        <f t="shared" si="15"/>
        <v>68194</v>
      </c>
      <c r="T19" s="384">
        <v>68283</v>
      </c>
      <c r="U19" s="475">
        <f t="shared" si="16"/>
        <v>89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90129</v>
      </c>
      <c r="Z19" s="384">
        <v>90129</v>
      </c>
      <c r="AA19" s="475">
        <f t="shared" si="18"/>
        <v>0</v>
      </c>
      <c r="AB19" s="606">
        <f t="shared" si="22"/>
        <v>18984</v>
      </c>
      <c r="AC19" s="610">
        <v>19001</v>
      </c>
      <c r="AD19" s="609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30672</v>
      </c>
      <c r="AI19" s="385">
        <v>30691</v>
      </c>
      <c r="AJ19" s="475">
        <f t="shared" si="20"/>
        <v>19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125</v>
      </c>
    </row>
    <row r="20" spans="1:40" ht="23.1" customHeight="1">
      <c r="A20" s="57">
        <f>Gen!A25</f>
        <v>44301</v>
      </c>
      <c r="B20" s="4"/>
      <c r="C20" s="95">
        <f t="shared" si="0"/>
        <v>253922</v>
      </c>
      <c r="D20" s="1"/>
      <c r="E20" s="474" t="str">
        <f t="shared" si="29"/>
        <v>0</v>
      </c>
      <c r="F20" s="95">
        <f t="shared" si="2"/>
        <v>75790</v>
      </c>
      <c r="G20" s="387"/>
      <c r="H20" s="474" t="str">
        <f t="shared" si="13"/>
        <v>0</v>
      </c>
      <c r="I20" s="95">
        <f t="shared" si="3"/>
        <v>8384</v>
      </c>
      <c r="J20" s="1"/>
      <c r="K20" s="474" t="str">
        <f t="shared" si="28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21171</v>
      </c>
      <c r="P20" s="383"/>
      <c r="Q20" s="474" t="str">
        <f t="shared" si="7"/>
        <v>0</v>
      </c>
      <c r="R20" s="250"/>
      <c r="S20" s="245">
        <f t="shared" si="15"/>
        <v>68283</v>
      </c>
      <c r="T20" s="384"/>
      <c r="U20" s="475" t="str">
        <f t="shared" si="16"/>
        <v>0</v>
      </c>
      <c r="V20" s="245">
        <f t="shared" si="8"/>
        <v>73031</v>
      </c>
      <c r="W20" s="384"/>
      <c r="X20" s="475" t="str">
        <f t="shared" si="17"/>
        <v>0</v>
      </c>
      <c r="Y20" s="245">
        <f t="shared" si="9"/>
        <v>90129</v>
      </c>
      <c r="Z20" s="384"/>
      <c r="AA20" s="475" t="str">
        <f t="shared" si="18"/>
        <v>0</v>
      </c>
      <c r="AB20" s="606">
        <f t="shared" si="22"/>
        <v>19001</v>
      </c>
      <c r="AC20" s="610"/>
      <c r="AD20" s="609" t="str">
        <f t="shared" si="23"/>
        <v>0</v>
      </c>
      <c r="AE20" s="245">
        <f t="shared" si="27"/>
        <v>0</v>
      </c>
      <c r="AF20" s="385"/>
      <c r="AG20" s="475" t="str">
        <f t="shared" si="19"/>
        <v>0</v>
      </c>
      <c r="AH20" s="245">
        <f t="shared" si="11"/>
        <v>30691</v>
      </c>
      <c r="AI20" s="385"/>
      <c r="AJ20" s="475" t="str">
        <f t="shared" si="20"/>
        <v>0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0</v>
      </c>
    </row>
    <row r="21" spans="1:40" ht="23.1" customHeight="1">
      <c r="A21" s="57">
        <f>Gen!A26</f>
        <v>44302</v>
      </c>
      <c r="B21" s="4"/>
      <c r="C21" s="95">
        <f t="shared" si="0"/>
        <v>0</v>
      </c>
      <c r="D21" s="1"/>
      <c r="E21" s="474">
        <f t="shared" si="29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8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5" si="31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6">
        <f t="shared" si="22"/>
        <v>0</v>
      </c>
      <c r="AC21" s="610"/>
      <c r="AD21" s="609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0</v>
      </c>
    </row>
    <row r="22" spans="1:40" ht="23.1" customHeight="1">
      <c r="A22" s="57">
        <f>Gen!A27</f>
        <v>44303</v>
      </c>
      <c r="B22" s="4"/>
      <c r="C22" s="95">
        <f t="shared" si="0"/>
        <v>0</v>
      </c>
      <c r="D22" s="1"/>
      <c r="E22" s="474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1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6">
        <f t="shared" si="22"/>
        <v>0</v>
      </c>
      <c r="AC22" s="610"/>
      <c r="AD22" s="609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44304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6">
        <f t="shared" si="22"/>
        <v>0</v>
      </c>
      <c r="AC23" s="607"/>
      <c r="AD23" s="609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44305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6">
        <f t="shared" si="22"/>
        <v>0</v>
      </c>
      <c r="AC24" s="607"/>
      <c r="AD24" s="609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44306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6">
        <f t="shared" si="22"/>
        <v>0</v>
      </c>
      <c r="AC25" s="607"/>
      <c r="AD25" s="609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44307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6">
        <f t="shared" si="22"/>
        <v>0</v>
      </c>
      <c r="AC26" s="607"/>
      <c r="AD26" s="609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44308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6">
        <f t="shared" si="22"/>
        <v>0</v>
      </c>
      <c r="AC27" s="607"/>
      <c r="AD27" s="609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44309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44310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44311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44312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44313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44314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44315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44316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0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827</v>
      </c>
    </row>
    <row r="38" spans="1:41" ht="18.75">
      <c r="A38" s="57"/>
      <c r="B38" s="21"/>
      <c r="C38" s="927" t="s">
        <v>6</v>
      </c>
      <c r="D38" s="927"/>
      <c r="E38" s="22">
        <f>SUM(E6:E36)</f>
        <v>1278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22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1278</v>
      </c>
      <c r="S38" s="247"/>
      <c r="T38" s="247"/>
      <c r="U38" s="257">
        <f>SUM(U6:U37)</f>
        <v>827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827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53"/>
      <c r="B42" s="277"/>
      <c r="C42" s="950" t="s">
        <v>222</v>
      </c>
      <c r="D42" s="951"/>
      <c r="E42" s="951"/>
      <c r="F42" s="951"/>
      <c r="G42" s="951"/>
      <c r="H42" s="951"/>
      <c r="I42" s="951"/>
      <c r="J42" s="951"/>
      <c r="K42" s="952"/>
      <c r="R42" s="19"/>
    </row>
    <row r="43" spans="1:41" ht="24.75" customHeight="1">
      <c r="A43" s="954"/>
      <c r="B43" s="19"/>
      <c r="C43" s="956" t="s">
        <v>216</v>
      </c>
      <c r="D43" s="957"/>
      <c r="E43" s="958" t="s">
        <v>237</v>
      </c>
      <c r="F43" s="959"/>
      <c r="G43" s="960" t="s">
        <v>217</v>
      </c>
      <c r="H43" s="961"/>
      <c r="I43" s="960" t="s">
        <v>238</v>
      </c>
      <c r="J43" s="961"/>
      <c r="K43" s="948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54"/>
      <c r="B44" s="19"/>
      <c r="C44" s="962" t="s">
        <v>218</v>
      </c>
      <c r="D44" s="963"/>
      <c r="E44" s="962" t="s">
        <v>219</v>
      </c>
      <c r="F44" s="963"/>
      <c r="G44" s="962" t="s">
        <v>220</v>
      </c>
      <c r="H44" s="963"/>
      <c r="I44" s="962" t="s">
        <v>221</v>
      </c>
      <c r="J44" s="963"/>
      <c r="K44" s="949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55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44287</v>
      </c>
      <c r="B46" s="19"/>
      <c r="C46" s="62">
        <v>229</v>
      </c>
      <c r="D46" s="325">
        <f t="shared" ref="D46:D77" si="49">C46*217/300</f>
        <v>165.64333333333335</v>
      </c>
      <c r="E46" s="6">
        <v>194</v>
      </c>
      <c r="F46" s="325">
        <f t="shared" ref="F46:F77" si="50">E46*92/305</f>
        <v>58.518032786885243</v>
      </c>
      <c r="G46" s="618">
        <v>145</v>
      </c>
      <c r="H46" s="325">
        <f t="shared" ref="H46:H77" si="51">G46*146/383</f>
        <v>55.274151436031332</v>
      </c>
      <c r="I46" s="6">
        <v>290</v>
      </c>
      <c r="J46" s="325">
        <f t="shared" ref="J46:J77" si="52">I46*213/308</f>
        <v>200.55194805194805</v>
      </c>
      <c r="K46" s="331">
        <f>D46+F46+H46+J46</f>
        <v>479.98746560819797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44288</v>
      </c>
      <c r="B47" s="19"/>
      <c r="C47" s="62">
        <v>125</v>
      </c>
      <c r="D47" s="325">
        <f t="shared" si="49"/>
        <v>90.416666666666671</v>
      </c>
      <c r="E47" s="6">
        <v>90</v>
      </c>
      <c r="F47" s="325">
        <f t="shared" si="50"/>
        <v>27.147540983606557</v>
      </c>
      <c r="G47" s="618">
        <v>225</v>
      </c>
      <c r="H47" s="325">
        <f t="shared" si="51"/>
        <v>85.770234986945169</v>
      </c>
      <c r="I47" s="6">
        <v>288</v>
      </c>
      <c r="J47" s="325">
        <f t="shared" si="52"/>
        <v>199.16883116883116</v>
      </c>
      <c r="K47" s="331">
        <f t="shared" ref="K47:K77" si="53">D47+F47+H47+J47</f>
        <v>402.50327380604955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44289</v>
      </c>
      <c r="B48" s="19"/>
      <c r="C48" s="62">
        <v>140</v>
      </c>
      <c r="D48" s="325">
        <f t="shared" si="49"/>
        <v>101.26666666666667</v>
      </c>
      <c r="E48" s="6">
        <v>100</v>
      </c>
      <c r="F48" s="325">
        <f t="shared" si="50"/>
        <v>30.16393442622951</v>
      </c>
      <c r="G48" s="618">
        <v>300</v>
      </c>
      <c r="H48" s="325">
        <f t="shared" si="51"/>
        <v>114.36031331592689</v>
      </c>
      <c r="I48" s="6">
        <v>290</v>
      </c>
      <c r="J48" s="325">
        <f t="shared" si="52"/>
        <v>200.55194805194805</v>
      </c>
      <c r="K48" s="331">
        <f t="shared" si="53"/>
        <v>446.34286246077113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44290</v>
      </c>
      <c r="B49" s="19"/>
      <c r="C49" s="62">
        <v>145</v>
      </c>
      <c r="D49" s="325">
        <f t="shared" si="49"/>
        <v>104.88333333333334</v>
      </c>
      <c r="E49" s="6">
        <v>110</v>
      </c>
      <c r="F49" s="325">
        <f t="shared" si="50"/>
        <v>33.180327868852459</v>
      </c>
      <c r="G49" s="618">
        <v>5</v>
      </c>
      <c r="H49" s="325">
        <f t="shared" si="51"/>
        <v>1.9060052219321149</v>
      </c>
      <c r="I49" s="6">
        <v>290</v>
      </c>
      <c r="J49" s="325">
        <f t="shared" si="52"/>
        <v>200.55194805194805</v>
      </c>
      <c r="K49" s="331">
        <f t="shared" si="53"/>
        <v>340.52161447606596</v>
      </c>
    </row>
    <row r="50" spans="1:15" ht="13.5">
      <c r="A50" s="293">
        <f>Gen!A15</f>
        <v>44291</v>
      </c>
      <c r="B50" s="19"/>
      <c r="C50" s="62">
        <v>276</v>
      </c>
      <c r="D50" s="325">
        <f t="shared" si="49"/>
        <v>199.64</v>
      </c>
      <c r="E50" s="6">
        <v>240</v>
      </c>
      <c r="F50" s="325">
        <f t="shared" si="50"/>
        <v>72.393442622950815</v>
      </c>
      <c r="G50" s="618">
        <v>114</v>
      </c>
      <c r="H50" s="325">
        <f t="shared" si="51"/>
        <v>43.456919060052222</v>
      </c>
      <c r="I50" s="6">
        <v>155</v>
      </c>
      <c r="J50" s="325">
        <f t="shared" si="52"/>
        <v>107.19155844155844</v>
      </c>
      <c r="K50" s="331">
        <f t="shared" si="53"/>
        <v>422.68192012456143</v>
      </c>
    </row>
    <row r="51" spans="1:15" ht="13.5">
      <c r="A51" s="293">
        <f>Gen!A16</f>
        <v>44292</v>
      </c>
      <c r="B51" s="19"/>
      <c r="C51" s="62">
        <v>100</v>
      </c>
      <c r="D51" s="325">
        <f t="shared" si="49"/>
        <v>72.333333333333329</v>
      </c>
      <c r="E51" s="6">
        <v>55</v>
      </c>
      <c r="F51" s="325">
        <f t="shared" si="50"/>
        <v>16.590163934426229</v>
      </c>
      <c r="G51" s="618">
        <v>300</v>
      </c>
      <c r="H51" s="325">
        <f t="shared" si="51"/>
        <v>114.36031331592689</v>
      </c>
      <c r="I51" s="6">
        <v>275</v>
      </c>
      <c r="J51" s="325">
        <f t="shared" si="52"/>
        <v>190.17857142857142</v>
      </c>
      <c r="K51" s="331">
        <f t="shared" si="53"/>
        <v>393.46238201225788</v>
      </c>
    </row>
    <row r="52" spans="1:15" ht="13.5">
      <c r="A52" s="293">
        <f>Gen!A17</f>
        <v>44293</v>
      </c>
      <c r="B52" s="19"/>
      <c r="C52" s="62">
        <v>238</v>
      </c>
      <c r="D52" s="325">
        <f t="shared" si="49"/>
        <v>172.15333333333334</v>
      </c>
      <c r="E52" s="6">
        <v>202</v>
      </c>
      <c r="F52" s="325">
        <f t="shared" si="50"/>
        <v>60.931147540983609</v>
      </c>
      <c r="G52" s="618">
        <v>63</v>
      </c>
      <c r="H52" s="325">
        <f t="shared" si="51"/>
        <v>24.015665796344649</v>
      </c>
      <c r="I52" s="6">
        <v>281</v>
      </c>
      <c r="J52" s="325">
        <f t="shared" si="52"/>
        <v>194.32792207792207</v>
      </c>
      <c r="K52" s="331">
        <f t="shared" si="53"/>
        <v>451.42806874858366</v>
      </c>
    </row>
    <row r="53" spans="1:15" ht="13.5">
      <c r="A53" s="293">
        <f>Gen!A18</f>
        <v>44294</v>
      </c>
      <c r="B53" s="19"/>
      <c r="C53" s="62">
        <v>209</v>
      </c>
      <c r="D53" s="325">
        <f t="shared" si="49"/>
        <v>151.17666666666668</v>
      </c>
      <c r="E53" s="6">
        <v>174</v>
      </c>
      <c r="F53" s="325">
        <f t="shared" si="50"/>
        <v>52.485245901639345</v>
      </c>
      <c r="G53" s="618">
        <v>300</v>
      </c>
      <c r="H53" s="325">
        <f t="shared" si="51"/>
        <v>114.36031331592689</v>
      </c>
      <c r="I53" s="6">
        <v>284</v>
      </c>
      <c r="J53" s="325">
        <f t="shared" si="52"/>
        <v>196.40259740259739</v>
      </c>
      <c r="K53" s="331">
        <f t="shared" si="53"/>
        <v>514.42482328683036</v>
      </c>
    </row>
    <row r="54" spans="1:15" ht="13.5">
      <c r="A54" s="293">
        <f>Gen!A19</f>
        <v>44295</v>
      </c>
      <c r="B54" s="19"/>
      <c r="C54" s="62">
        <v>300</v>
      </c>
      <c r="D54" s="325">
        <f t="shared" si="49"/>
        <v>217</v>
      </c>
      <c r="E54" s="6">
        <v>295</v>
      </c>
      <c r="F54" s="325">
        <f t="shared" si="50"/>
        <v>88.983606557377044</v>
      </c>
      <c r="G54" s="618">
        <v>236</v>
      </c>
      <c r="H54" s="325">
        <f t="shared" si="51"/>
        <v>89.963446475195823</v>
      </c>
      <c r="I54" s="6">
        <v>279</v>
      </c>
      <c r="J54" s="325">
        <f t="shared" si="52"/>
        <v>192.94480519480518</v>
      </c>
      <c r="K54" s="331">
        <f t="shared" si="53"/>
        <v>588.89185822737807</v>
      </c>
    </row>
    <row r="55" spans="1:15" ht="13.5">
      <c r="A55" s="293">
        <f>Gen!A20</f>
        <v>44296</v>
      </c>
      <c r="B55" s="19"/>
      <c r="C55" s="62">
        <v>300</v>
      </c>
      <c r="D55" s="325">
        <f t="shared" si="49"/>
        <v>217</v>
      </c>
      <c r="E55" s="6">
        <v>290</v>
      </c>
      <c r="F55" s="325">
        <f t="shared" si="50"/>
        <v>87.47540983606558</v>
      </c>
      <c r="G55" s="618">
        <v>295</v>
      </c>
      <c r="H55" s="325">
        <f t="shared" si="51"/>
        <v>112.45430809399478</v>
      </c>
      <c r="I55" s="6">
        <v>290</v>
      </c>
      <c r="J55" s="325">
        <f t="shared" si="52"/>
        <v>200.55194805194805</v>
      </c>
      <c r="K55" s="331">
        <f t="shared" si="53"/>
        <v>617.48166598200839</v>
      </c>
    </row>
    <row r="56" spans="1:15" ht="13.5">
      <c r="A56" s="293">
        <f>Gen!A21</f>
        <v>44297</v>
      </c>
      <c r="B56" s="19"/>
      <c r="C56" s="62">
        <v>298</v>
      </c>
      <c r="D56" s="325">
        <f t="shared" si="49"/>
        <v>215.55333333333334</v>
      </c>
      <c r="E56" s="6">
        <v>274</v>
      </c>
      <c r="F56" s="325">
        <f t="shared" si="50"/>
        <v>82.649180327868848</v>
      </c>
      <c r="G56" s="618">
        <v>217</v>
      </c>
      <c r="H56" s="325">
        <f t="shared" si="51"/>
        <v>82.72062663185379</v>
      </c>
      <c r="I56" s="6">
        <v>291</v>
      </c>
      <c r="J56" s="325">
        <f t="shared" si="52"/>
        <v>201.24350649350649</v>
      </c>
      <c r="K56" s="331">
        <f t="shared" si="53"/>
        <v>582.16664678656252</v>
      </c>
    </row>
    <row r="57" spans="1:15" ht="13.5">
      <c r="A57" s="293">
        <f>Gen!A22</f>
        <v>44298</v>
      </c>
      <c r="B57" s="19"/>
      <c r="C57" s="62">
        <v>280</v>
      </c>
      <c r="D57" s="325">
        <f t="shared" si="49"/>
        <v>202.53333333333333</v>
      </c>
      <c r="E57" s="6">
        <v>245</v>
      </c>
      <c r="F57" s="325">
        <f t="shared" si="50"/>
        <v>73.901639344262293</v>
      </c>
      <c r="G57" s="618">
        <v>185</v>
      </c>
      <c r="H57" s="325">
        <f t="shared" si="51"/>
        <v>70.522193211488258</v>
      </c>
      <c r="I57" s="6">
        <v>289</v>
      </c>
      <c r="J57" s="325">
        <f t="shared" si="52"/>
        <v>199.8603896103896</v>
      </c>
      <c r="K57" s="331">
        <f t="shared" si="53"/>
        <v>546.81755549947343</v>
      </c>
    </row>
    <row r="58" spans="1:15" ht="13.5">
      <c r="A58" s="293">
        <f>Gen!A23</f>
        <v>44299</v>
      </c>
      <c r="B58" s="19"/>
      <c r="C58" s="62">
        <v>260</v>
      </c>
      <c r="D58" s="325">
        <f t="shared" si="49"/>
        <v>188.06666666666666</v>
      </c>
      <c r="E58" s="6">
        <v>225</v>
      </c>
      <c r="F58" s="325">
        <f t="shared" si="50"/>
        <v>67.868852459016395</v>
      </c>
      <c r="G58" s="618">
        <v>120</v>
      </c>
      <c r="H58" s="325">
        <f t="shared" si="51"/>
        <v>45.744125326370757</v>
      </c>
      <c r="I58" s="6">
        <v>290</v>
      </c>
      <c r="J58" s="325">
        <f t="shared" si="52"/>
        <v>200.55194805194805</v>
      </c>
      <c r="K58" s="331">
        <f t="shared" si="53"/>
        <v>502.23159250400187</v>
      </c>
    </row>
    <row r="59" spans="1:15" ht="13.5">
      <c r="A59" s="293">
        <f>Gen!A24</f>
        <v>44300</v>
      </c>
      <c r="B59" s="19"/>
      <c r="C59" s="62">
        <v>258</v>
      </c>
      <c r="D59" s="325">
        <f t="shared" si="49"/>
        <v>186.62</v>
      </c>
      <c r="E59" s="6">
        <v>223</v>
      </c>
      <c r="F59" s="325">
        <f t="shared" si="50"/>
        <v>67.265573770491798</v>
      </c>
      <c r="G59" s="618">
        <v>5</v>
      </c>
      <c r="H59" s="325">
        <f t="shared" si="51"/>
        <v>1.9060052219321149</v>
      </c>
      <c r="I59" s="6">
        <v>146</v>
      </c>
      <c r="J59" s="325">
        <f t="shared" si="52"/>
        <v>100.96753246753246</v>
      </c>
      <c r="K59" s="331">
        <f t="shared" si="53"/>
        <v>356.75911145995639</v>
      </c>
    </row>
    <row r="60" spans="1:15" ht="13.5">
      <c r="A60" s="293">
        <f>Gen!A25</f>
        <v>44301</v>
      </c>
      <c r="B60" s="19"/>
      <c r="C60" s="62">
        <v>125</v>
      </c>
      <c r="D60" s="325">
        <f t="shared" si="49"/>
        <v>90.416666666666671</v>
      </c>
      <c r="E60" s="6">
        <v>90</v>
      </c>
      <c r="F60" s="325">
        <f t="shared" si="50"/>
        <v>27.147540983606557</v>
      </c>
      <c r="G60" s="618">
        <v>300</v>
      </c>
      <c r="H60" s="325">
        <f t="shared" si="51"/>
        <v>114.36031331592689</v>
      </c>
      <c r="I60" s="6">
        <v>170</v>
      </c>
      <c r="J60" s="325">
        <f t="shared" si="52"/>
        <v>117.56493506493507</v>
      </c>
      <c r="K60" s="331">
        <f t="shared" si="53"/>
        <v>349.48945603113521</v>
      </c>
      <c r="L60" t="s">
        <v>249</v>
      </c>
      <c r="O60" t="s">
        <v>250</v>
      </c>
    </row>
    <row r="61" spans="1:15" ht="13.5">
      <c r="A61" s="293">
        <f>Gen!A26</f>
        <v>44302</v>
      </c>
      <c r="B61" s="19"/>
      <c r="C61" s="62"/>
      <c r="D61" s="325">
        <f t="shared" si="49"/>
        <v>0</v>
      </c>
      <c r="E61" s="6"/>
      <c r="F61" s="325">
        <f t="shared" si="50"/>
        <v>0</v>
      </c>
      <c r="G61" s="618"/>
      <c r="H61" s="325">
        <f t="shared" si="51"/>
        <v>0</v>
      </c>
      <c r="I61" s="6"/>
      <c r="J61" s="325">
        <f t="shared" si="52"/>
        <v>0</v>
      </c>
      <c r="K61" s="331">
        <f t="shared" si="53"/>
        <v>0</v>
      </c>
      <c r="L61" t="s">
        <v>252</v>
      </c>
      <c r="N61" t="s">
        <v>251</v>
      </c>
    </row>
    <row r="62" spans="1:15" ht="13.5">
      <c r="A62" s="293">
        <f>Gen!A27</f>
        <v>44303</v>
      </c>
      <c r="B62" s="19"/>
      <c r="C62" s="62"/>
      <c r="D62" s="325">
        <f t="shared" si="49"/>
        <v>0</v>
      </c>
      <c r="E62" s="6"/>
      <c r="F62" s="325">
        <f t="shared" si="50"/>
        <v>0</v>
      </c>
      <c r="G62" s="618"/>
      <c r="H62" s="325">
        <f t="shared" si="51"/>
        <v>0</v>
      </c>
      <c r="I62" s="6"/>
      <c r="J62" s="325">
        <f t="shared" si="52"/>
        <v>0</v>
      </c>
      <c r="K62" s="331">
        <f t="shared" si="53"/>
        <v>0</v>
      </c>
    </row>
    <row r="63" spans="1:15" ht="13.5">
      <c r="A63" s="293">
        <f>Gen!A28</f>
        <v>44304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44305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44306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44307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44308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44309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44310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44311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44312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44313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44314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44315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44316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0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44287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44288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44289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44290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44291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44292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44293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44294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44295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44296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44297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44298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44299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44300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44301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44302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44303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44304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44305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44306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44307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44308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44309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44310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44311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44312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44313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44314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44315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44316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4" t="s">
        <v>316</v>
      </c>
      <c r="B2" s="965"/>
      <c r="C2" s="965"/>
      <c r="D2" s="965"/>
      <c r="E2" s="96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44287</v>
      </c>
      <c r="B5" s="82">
        <v>0</v>
      </c>
      <c r="C5" s="87">
        <f>Gen!B11</f>
        <v>0.156</v>
      </c>
      <c r="D5" s="434">
        <f>SUM(77*C5)</f>
        <v>12.012</v>
      </c>
      <c r="E5" s="74"/>
      <c r="F5" s="70">
        <f>Gen!U11</f>
        <v>0.41777952755905512</v>
      </c>
      <c r="G5" s="85">
        <f>Gen!T11</f>
        <v>3175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89</v>
      </c>
      <c r="L5" s="447">
        <f>'Lpg (2)'!G10</f>
        <v>1247.1799999999873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5.7310606060606064</v>
      </c>
      <c r="U5" s="122">
        <f>SUM(L5*1963)/X5</f>
        <v>1545.5898611110954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44288</v>
      </c>
      <c r="B6" s="82">
        <v>0</v>
      </c>
      <c r="C6" s="87">
        <f>Gen!B12</f>
        <v>0.16900000000000001</v>
      </c>
      <c r="D6" s="434">
        <f t="shared" ref="D6:D35" si="2">SUM(77*C6)</f>
        <v>13.013000000000002</v>
      </c>
      <c r="E6" s="74"/>
      <c r="F6" s="70">
        <f>Gen!U12</f>
        <v>0.4106777533730781</v>
      </c>
      <c r="G6" s="85">
        <f>Gen!T12</f>
        <v>3187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117</v>
      </c>
      <c r="L6" s="447">
        <f>'Lpg (2)'!G11</f>
        <v>86.547999999992328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7.5340909090909092</v>
      </c>
      <c r="U6" s="122">
        <f t="shared" ref="U6:U35" si="6">SUM(L6*1963)/X6</f>
        <v>107.25613888887938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44289</v>
      </c>
      <c r="B7" s="82">
        <v>0</v>
      </c>
      <c r="C7" s="87">
        <f>Gen!B13</f>
        <v>0.23</v>
      </c>
      <c r="D7" s="434">
        <f t="shared" si="2"/>
        <v>17.71</v>
      </c>
      <c r="E7" s="74"/>
      <c r="F7" s="70">
        <f>Gen!U13</f>
        <v>0.40227580372250421</v>
      </c>
      <c r="G7" s="85">
        <f>Gen!T13</f>
        <v>3546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167</v>
      </c>
      <c r="L7" s="447">
        <f>'Lpg (2)'!G12</f>
        <v>88.968000000005134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10.753787878787879</v>
      </c>
      <c r="U7" s="122">
        <f t="shared" si="6"/>
        <v>110.25516666667303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44290</v>
      </c>
      <c r="B8" s="82">
        <v>0</v>
      </c>
      <c r="C8" s="87">
        <f>Gen!B14</f>
        <v>0.247</v>
      </c>
      <c r="D8" s="434">
        <f t="shared" si="2"/>
        <v>19.018999999999998</v>
      </c>
      <c r="E8" s="74"/>
      <c r="F8" s="70">
        <f>Gen!U14</f>
        <v>0.40958834134615379</v>
      </c>
      <c r="G8" s="85">
        <f>Gen!T14</f>
        <v>3328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70</v>
      </c>
      <c r="L8" s="447">
        <f>'Lpg (2)'!G13</f>
        <v>86.372000000020492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4.5075757575757578</v>
      </c>
      <c r="U8" s="122">
        <f t="shared" si="6"/>
        <v>107.03802777780318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44291</v>
      </c>
      <c r="B9" s="82">
        <v>0</v>
      </c>
      <c r="C9" s="87">
        <f>Gen!B15</f>
        <v>0.13</v>
      </c>
      <c r="D9" s="434">
        <f t="shared" si="2"/>
        <v>10.01</v>
      </c>
      <c r="E9" s="74"/>
      <c r="F9" s="70">
        <f>Gen!U15</f>
        <v>0.40968615384615387</v>
      </c>
      <c r="G9" s="85">
        <f>Gen!T15</f>
        <v>3250</v>
      </c>
      <c r="H9" s="85">
        <f>[1]Gen!AJ10</f>
        <v>0</v>
      </c>
      <c r="I9" s="85">
        <f t="shared" si="0"/>
        <v>3250</v>
      </c>
      <c r="J9" s="85">
        <f>[1]Gen!AT15</f>
        <v>37525.210000000021</v>
      </c>
      <c r="K9" s="69">
        <f>'Water-Meter'!E10</f>
        <v>59</v>
      </c>
      <c r="L9" s="447">
        <f>'Lpg (2)'!G14</f>
        <v>88.527999999979514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7182012.5</v>
      </c>
      <c r="R9" s="76">
        <f t="shared" si="3"/>
        <v>452.95692312737765</v>
      </c>
      <c r="S9" s="438" t="e">
        <f t="shared" si="4"/>
        <v>#DIV/0!</v>
      </c>
      <c r="T9" s="76">
        <f t="shared" si="5"/>
        <v>3.7992424242424243</v>
      </c>
      <c r="U9" s="122">
        <f t="shared" si="6"/>
        <v>109.7098888888635</v>
      </c>
      <c r="V9" s="17">
        <f t="shared" si="7"/>
        <v>7182126.0091313124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44292</v>
      </c>
      <c r="B10" s="82">
        <v>0</v>
      </c>
      <c r="C10" s="87">
        <f>Gen!B16</f>
        <v>9.0999999999999998E-2</v>
      </c>
      <c r="D10" s="434">
        <f t="shared" si="2"/>
        <v>7.0069999999999997</v>
      </c>
      <c r="E10" s="74"/>
      <c r="F10" s="70">
        <f>Gen!U16</f>
        <v>0.41273615635179151</v>
      </c>
      <c r="G10" s="85">
        <f>Gen!T16</f>
        <v>3070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210</v>
      </c>
      <c r="L10" s="447">
        <f>'Lpg (2)'!G15</f>
        <v>82.895999999984639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13.522727272727273</v>
      </c>
      <c r="U10" s="122">
        <f t="shared" si="6"/>
        <v>102.73033333331429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44293</v>
      </c>
      <c r="B11" s="82">
        <v>0</v>
      </c>
      <c r="C11" s="87">
        <f>Gen!B17</f>
        <v>6.5000000000000002E-2</v>
      </c>
      <c r="D11" s="434">
        <f t="shared" si="2"/>
        <v>5.0049999999999999</v>
      </c>
      <c r="E11" s="74"/>
      <c r="F11" s="70">
        <f>Gen!U17</f>
        <v>0.40155218554861732</v>
      </c>
      <c r="G11" s="85">
        <f>Gen!T17</f>
        <v>3363</v>
      </c>
      <c r="H11" s="85">
        <f>[1]Gen!AJ25</f>
        <v>80.56</v>
      </c>
      <c r="I11" s="85">
        <f t="shared" si="0"/>
        <v>3443.56</v>
      </c>
      <c r="J11" s="85">
        <f>[1]Gen!AT17</f>
        <v>47513.140000000029</v>
      </c>
      <c r="K11" s="69">
        <f>'Water-Meter'!E12</f>
        <v>60</v>
      </c>
      <c r="L11" s="447">
        <f>'Lpg (2)'!G16</f>
        <v>80.212000000046103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7609751.0659999996</v>
      </c>
      <c r="R11" s="76">
        <f t="shared" si="3"/>
        <v>959.8672875104694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99.404138888946022</v>
      </c>
      <c r="V11" s="17">
        <f t="shared" si="7"/>
        <v>7609854.3337752521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44294</v>
      </c>
      <c r="B12" s="82">
        <v>0</v>
      </c>
      <c r="C12" s="87">
        <f>Gen!B18</f>
        <v>9.0999999999999998E-2</v>
      </c>
      <c r="D12" s="434">
        <f t="shared" si="2"/>
        <v>7.0069999999999997</v>
      </c>
      <c r="E12" s="74"/>
      <c r="F12" s="70">
        <f>Gen!U18</f>
        <v>0.40188175460902731</v>
      </c>
      <c r="G12" s="85">
        <f>Gen!T18</f>
        <v>3146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75</v>
      </c>
      <c r="L12" s="447">
        <f>'Lpg (2)'!G17</f>
        <v>83.995999999984633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4.8295454545454541</v>
      </c>
      <c r="U12" s="122">
        <f t="shared" si="6"/>
        <v>104.09352777775874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44295</v>
      </c>
      <c r="B13" s="82">
        <v>0</v>
      </c>
      <c r="C13" s="87">
        <f>Gen!B19</f>
        <v>6.5000000000000002E-2</v>
      </c>
      <c r="D13" s="434">
        <f t="shared" si="2"/>
        <v>5.0049999999999999</v>
      </c>
      <c r="E13" s="74"/>
      <c r="F13" s="70">
        <f>Gen!U19</f>
        <v>0.39417320458660227</v>
      </c>
      <c r="G13" s="85">
        <f>Gen!T19</f>
        <v>3314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47</v>
      </c>
      <c r="L13" s="447">
        <f>'Lpg (2)'!G18</f>
        <v>115.05999999997439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3.0265151515151514</v>
      </c>
      <c r="U13" s="122">
        <f t="shared" si="6"/>
        <v>142.59013888885715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44296</v>
      </c>
      <c r="B14" s="82">
        <v>0</v>
      </c>
      <c r="C14" s="87">
        <f>Gen!B20</f>
        <v>5.1999999999999998E-2</v>
      </c>
      <c r="D14" s="434">
        <f t="shared" si="2"/>
        <v>4.0039999999999996</v>
      </c>
      <c r="E14" s="74"/>
      <c r="F14" s="70">
        <f>Gen!U20</f>
        <v>0.39324810606060606</v>
      </c>
      <c r="G14" s="85">
        <f>Gen!T20</f>
        <v>3168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46</v>
      </c>
      <c r="L14" s="447">
        <f>'Lpg (2)'!G19</f>
        <v>74.18400000000257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2.9621212121212119</v>
      </c>
      <c r="U14" s="122">
        <f t="shared" si="6"/>
        <v>91.933833333336523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44297</v>
      </c>
      <c r="B15" s="82">
        <v>0</v>
      </c>
      <c r="C15" s="87">
        <f>Gen!B21</f>
        <v>0.104</v>
      </c>
      <c r="D15" s="434">
        <f t="shared" si="2"/>
        <v>8.0079999999999991</v>
      </c>
      <c r="E15" s="74"/>
      <c r="F15" s="70">
        <f>Gen!U21</f>
        <v>0.39665739882607354</v>
      </c>
      <c r="G15" s="85">
        <f>Gen!T21</f>
        <v>3237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50</v>
      </c>
      <c r="L15" s="447">
        <f>'Lpg (2)'!G20</f>
        <v>64.328000000043545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3.2196969696969697</v>
      </c>
      <c r="U15" s="122">
        <f t="shared" si="6"/>
        <v>79.719611111165079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44298</v>
      </c>
      <c r="B16" s="82">
        <v>0</v>
      </c>
      <c r="C16" s="87">
        <f>Gen!B22</f>
        <v>0.104</v>
      </c>
      <c r="D16" s="434">
        <f t="shared" si="2"/>
        <v>8.0079999999999991</v>
      </c>
      <c r="E16" s="74"/>
      <c r="F16" s="70">
        <f>Gen!U22</f>
        <v>0.35691342918323649</v>
      </c>
      <c r="G16" s="85">
        <f>Gen!T22</f>
        <v>3269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61</v>
      </c>
      <c r="L16" s="447">
        <f>'Lpg (2)'!G21</f>
        <v>63.227999999979517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3.9280303030303032</v>
      </c>
      <c r="U16" s="122">
        <f t="shared" si="6"/>
        <v>78.35641666664128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44299</v>
      </c>
      <c r="B17" s="82">
        <v>0</v>
      </c>
      <c r="C17" s="87">
        <f>Gen!B23</f>
        <v>1.2999999999999999E-2</v>
      </c>
      <c r="D17" s="434">
        <f t="shared" si="2"/>
        <v>1.0009999999999999</v>
      </c>
      <c r="E17" s="74"/>
      <c r="F17" s="70">
        <f>Gen!U23</f>
        <v>0.406656660412758</v>
      </c>
      <c r="G17" s="85">
        <f>Gen!T23</f>
        <v>2665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181</v>
      </c>
      <c r="L17" s="447">
        <f>'Lpg (2)'!G22</f>
        <v>59.708000000030736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11.655303030303031</v>
      </c>
      <c r="U17" s="122">
        <f t="shared" si="6"/>
        <v>73.994194444482531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44300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>
        <f>Gen!U24</f>
        <v>0.40256905032160423</v>
      </c>
      <c r="G18" s="85">
        <f>Gen!T24</f>
        <v>2643</v>
      </c>
      <c r="H18" s="85">
        <f>[1]Gen!AJ27</f>
        <v>597.9</v>
      </c>
      <c r="I18" s="85">
        <f t="shared" si="0"/>
        <v>3240.9</v>
      </c>
      <c r="J18" s="85">
        <f>[1]Gen!AT24</f>
        <v>29915.45000000003</v>
      </c>
      <c r="K18" s="69">
        <f>'Water-Meter'!E19</f>
        <v>46</v>
      </c>
      <c r="L18" s="447">
        <f>'Lpg (2)'!G23</f>
        <v>59.091999999969268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7161902.8650000002</v>
      </c>
      <c r="R18" s="76" t="e">
        <f t="shared" si="3"/>
        <v>#DIV/0!</v>
      </c>
      <c r="S18" s="438" t="e">
        <f t="shared" si="4"/>
        <v>#DIV/0!</v>
      </c>
      <c r="T18" s="76">
        <f t="shared" si="5"/>
        <v>2.9621212121212119</v>
      </c>
      <c r="U18" s="122">
        <f t="shared" si="6"/>
        <v>73.230805555517463</v>
      </c>
      <c r="V18" s="17">
        <f t="shared" si="7"/>
        <v>7161979.0579267675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44301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>
        <f>Gen!U25</f>
        <v>0.4014820473644003</v>
      </c>
      <c r="G19" s="85">
        <f>Gen!T25</f>
        <v>2618</v>
      </c>
      <c r="H19" s="85">
        <f>[1]Gen!AJ28</f>
        <v>227.73000000000002</v>
      </c>
      <c r="I19" s="85">
        <f t="shared" si="0"/>
        <v>2845.73</v>
      </c>
      <c r="J19" s="85">
        <f>[1]Gen!AT25</f>
        <v>42248.240000000034</v>
      </c>
      <c r="K19" s="69" t="str">
        <f>'Water-Meter'!E20</f>
        <v>0</v>
      </c>
      <c r="L19" s="447">
        <f>'Lpg (2)'!G24</f>
        <v>-334510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6288636.4404999996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-414547.43055555556</v>
      </c>
      <c r="V19" s="17">
        <f t="shared" si="7"/>
        <v>5874089.0099444436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44302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44303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44304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44305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44306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44307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44308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44309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44310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44311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44312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44313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44314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44315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44316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1278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1220.9258426966294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7" t="s">
        <v>180</v>
      </c>
      <c r="B1" s="968"/>
      <c r="C1" s="968"/>
      <c r="D1" s="968"/>
      <c r="E1" s="968"/>
      <c r="F1" s="968"/>
      <c r="G1" s="969"/>
    </row>
    <row r="2" spans="1:7" ht="13.5" thickBot="1">
      <c r="A2" s="300"/>
      <c r="B2" s="970" t="s">
        <v>175</v>
      </c>
      <c r="C2" s="971"/>
      <c r="D2" s="972"/>
      <c r="E2" s="970" t="s">
        <v>176</v>
      </c>
      <c r="F2" s="971"/>
      <c r="G2" s="97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7" t="s">
        <v>230</v>
      </c>
      <c r="B1" s="968"/>
      <c r="C1" s="968"/>
      <c r="D1" s="96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3"/>
      <c r="C76" s="974"/>
      <c r="D76" s="974"/>
      <c r="E76" s="975"/>
      <c r="H76" s="973"/>
      <c r="I76" s="974"/>
      <c r="J76" s="974"/>
      <c r="K76" s="974"/>
      <c r="L76" s="975"/>
    </row>
    <row r="77" spans="1:12">
      <c r="B77" s="976"/>
      <c r="C77" s="977"/>
      <c r="D77" s="977"/>
      <c r="E77" s="978"/>
      <c r="H77" s="976"/>
      <c r="I77" s="977"/>
      <c r="J77" s="977"/>
      <c r="K77" s="977"/>
      <c r="L77" s="978"/>
    </row>
    <row r="78" spans="1:12">
      <c r="B78" s="976"/>
      <c r="C78" s="977"/>
      <c r="D78" s="977"/>
      <c r="E78" s="978"/>
      <c r="H78" s="976"/>
      <c r="I78" s="977"/>
      <c r="J78" s="977"/>
      <c r="K78" s="977"/>
      <c r="L78" s="978"/>
    </row>
    <row r="79" spans="1:12">
      <c r="B79" s="976"/>
      <c r="C79" s="977"/>
      <c r="D79" s="977"/>
      <c r="E79" s="978"/>
      <c r="H79" s="976"/>
      <c r="I79" s="977"/>
      <c r="J79" s="977"/>
      <c r="K79" s="977"/>
      <c r="L79" s="978"/>
    </row>
    <row r="80" spans="1:12">
      <c r="B80" s="976"/>
      <c r="C80" s="977"/>
      <c r="D80" s="977"/>
      <c r="E80" s="978"/>
      <c r="H80" s="976"/>
      <c r="I80" s="977"/>
      <c r="J80" s="977"/>
      <c r="K80" s="977"/>
      <c r="L80" s="978"/>
    </row>
    <row r="81" spans="2:12">
      <c r="B81" s="976"/>
      <c r="C81" s="977"/>
      <c r="D81" s="977"/>
      <c r="E81" s="978"/>
      <c r="H81" s="976"/>
      <c r="I81" s="977"/>
      <c r="J81" s="977"/>
      <c r="K81" s="977"/>
      <c r="L81" s="978"/>
    </row>
    <row r="82" spans="2:12">
      <c r="B82" s="976"/>
      <c r="C82" s="977"/>
      <c r="D82" s="977"/>
      <c r="E82" s="978"/>
      <c r="H82" s="976"/>
      <c r="I82" s="977"/>
      <c r="J82" s="977"/>
      <c r="K82" s="977"/>
      <c r="L82" s="978"/>
    </row>
    <row r="83" spans="2:12">
      <c r="B83" s="976"/>
      <c r="C83" s="977"/>
      <c r="D83" s="977"/>
      <c r="E83" s="978"/>
      <c r="H83" s="976"/>
      <c r="I83" s="977"/>
      <c r="J83" s="977"/>
      <c r="K83" s="977"/>
      <c r="L83" s="978"/>
    </row>
    <row r="84" spans="2:12">
      <c r="B84" s="976"/>
      <c r="C84" s="977"/>
      <c r="D84" s="977"/>
      <c r="E84" s="978"/>
      <c r="H84" s="976"/>
      <c r="I84" s="977"/>
      <c r="J84" s="977"/>
      <c r="K84" s="977"/>
      <c r="L84" s="978"/>
    </row>
    <row r="85" spans="2:12">
      <c r="B85" s="976"/>
      <c r="C85" s="977"/>
      <c r="D85" s="977"/>
      <c r="E85" s="978"/>
      <c r="H85" s="976"/>
      <c r="I85" s="977"/>
      <c r="J85" s="977"/>
      <c r="K85" s="977"/>
      <c r="L85" s="978"/>
    </row>
    <row r="86" spans="2:12">
      <c r="B86" s="976"/>
      <c r="C86" s="977"/>
      <c r="D86" s="977"/>
      <c r="E86" s="978"/>
      <c r="H86" s="976"/>
      <c r="I86" s="977"/>
      <c r="J86" s="977"/>
      <c r="K86" s="977"/>
      <c r="L86" s="978"/>
    </row>
    <row r="87" spans="2:12">
      <c r="B87" s="976"/>
      <c r="C87" s="977"/>
      <c r="D87" s="977"/>
      <c r="E87" s="978"/>
      <c r="H87" s="976"/>
      <c r="I87" s="977"/>
      <c r="J87" s="977"/>
      <c r="K87" s="977"/>
      <c r="L87" s="978"/>
    </row>
    <row r="88" spans="2:12">
      <c r="B88" s="976"/>
      <c r="C88" s="977"/>
      <c r="D88" s="977"/>
      <c r="E88" s="978"/>
      <c r="H88" s="976"/>
      <c r="I88" s="977"/>
      <c r="J88" s="977"/>
      <c r="K88" s="977"/>
      <c r="L88" s="978"/>
    </row>
    <row r="89" spans="2:12">
      <c r="B89" s="976"/>
      <c r="C89" s="977"/>
      <c r="D89" s="977"/>
      <c r="E89" s="978"/>
      <c r="H89" s="976"/>
      <c r="I89" s="977"/>
      <c r="J89" s="977"/>
      <c r="K89" s="977"/>
      <c r="L89" s="978"/>
    </row>
    <row r="90" spans="2:12" ht="13.5" thickBot="1">
      <c r="B90" s="979"/>
      <c r="C90" s="980"/>
      <c r="D90" s="980"/>
      <c r="E90" s="981"/>
      <c r="H90" s="979"/>
      <c r="I90" s="980"/>
      <c r="J90" s="980"/>
      <c r="K90" s="980"/>
      <c r="L90" s="981"/>
    </row>
    <row r="91" spans="2:12">
      <c r="B91" s="982" t="s">
        <v>312</v>
      </c>
      <c r="C91" s="983"/>
      <c r="D91" s="983"/>
      <c r="E91" s="984"/>
      <c r="H91" s="982" t="s">
        <v>313</v>
      </c>
      <c r="I91" s="983"/>
      <c r="J91" s="983"/>
      <c r="K91" s="983"/>
      <c r="L91" s="984"/>
    </row>
    <row r="92" spans="2:12">
      <c r="B92" s="985"/>
      <c r="C92" s="986"/>
      <c r="D92" s="986"/>
      <c r="E92" s="987"/>
      <c r="H92" s="985"/>
      <c r="I92" s="986"/>
      <c r="J92" s="986"/>
      <c r="K92" s="986"/>
      <c r="L92" s="987"/>
    </row>
    <row r="93" spans="2:12" ht="13.5" thickBot="1">
      <c r="B93" s="988"/>
      <c r="C93" s="989"/>
      <c r="D93" s="989"/>
      <c r="E93" s="990"/>
      <c r="H93" s="988"/>
      <c r="I93" s="989"/>
      <c r="J93" s="989"/>
      <c r="K93" s="989"/>
      <c r="L93" s="99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D26" sqref="D2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1" t="s">
        <v>254</v>
      </c>
      <c r="B1" s="991"/>
      <c r="C1" s="991"/>
      <c r="D1" s="991"/>
      <c r="E1" s="991"/>
      <c r="F1" s="991"/>
      <c r="G1" s="991"/>
      <c r="H1" s="991"/>
      <c r="I1" s="991"/>
      <c r="J1" s="991"/>
    </row>
    <row r="2" spans="1:10" ht="19.5" thickBot="1">
      <c r="A2" s="1000">
        <f>A5</f>
        <v>44287</v>
      </c>
      <c r="B2" s="1001"/>
      <c r="C2" s="1001"/>
      <c r="D2" s="1001"/>
      <c r="E2" s="1001"/>
      <c r="F2" s="1001"/>
      <c r="G2" s="1001"/>
      <c r="H2" s="1001"/>
      <c r="I2" s="1001"/>
      <c r="J2" s="1001"/>
    </row>
    <row r="3" spans="1:10" ht="15.75" thickBot="1">
      <c r="A3" s="992" t="s">
        <v>7</v>
      </c>
      <c r="B3" s="994" t="s">
        <v>255</v>
      </c>
      <c r="C3" s="440"/>
      <c r="D3" s="996" t="s">
        <v>256</v>
      </c>
      <c r="E3" s="997"/>
      <c r="F3" s="998" t="s">
        <v>257</v>
      </c>
      <c r="G3" s="999"/>
      <c r="H3" s="997"/>
      <c r="I3" s="998" t="s">
        <v>258</v>
      </c>
      <c r="J3" s="997"/>
    </row>
    <row r="4" spans="1:10" ht="30.75" thickBot="1">
      <c r="A4" s="993"/>
      <c r="B4" s="99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44287</v>
      </c>
      <c r="B5" s="399">
        <f>Gen!B11</f>
        <v>0.156</v>
      </c>
      <c r="C5" s="443">
        <f>Gen!AJ11</f>
        <v>145.43</v>
      </c>
      <c r="D5" s="444">
        <f>Gen!S11</f>
        <v>1326.45</v>
      </c>
      <c r="E5" s="395">
        <f>Gen!C11</f>
        <v>34515.97</v>
      </c>
      <c r="F5" s="396">
        <f>'Water-Meter'!E6</f>
        <v>89</v>
      </c>
      <c r="G5" s="397">
        <f>'Water-Meter'!AN6</f>
        <v>122</v>
      </c>
      <c r="H5" s="395">
        <f>'Utility report '!AC6</f>
        <v>0</v>
      </c>
      <c r="I5" s="394">
        <f>'Kit report'!F4</f>
        <v>240</v>
      </c>
      <c r="J5" s="395">
        <f>'Kit report'!X4</f>
        <v>400</v>
      </c>
    </row>
    <row r="6" spans="1:10" ht="17.100000000000001" customHeight="1" thickBot="1">
      <c r="A6" s="217">
        <f>Gen!A12</f>
        <v>44288</v>
      </c>
      <c r="B6" s="399">
        <f>Gen!B12</f>
        <v>0.16900000000000001</v>
      </c>
      <c r="C6" s="443">
        <f>Gen!AJ12</f>
        <v>224.9</v>
      </c>
      <c r="D6" s="444">
        <f>Gen!S12</f>
        <v>1308.83</v>
      </c>
      <c r="E6" s="395">
        <f>Gen!C12</f>
        <v>33044.090000000004</v>
      </c>
      <c r="F6" s="396">
        <f>'Water-Meter'!E7</f>
        <v>117</v>
      </c>
      <c r="G6" s="397">
        <f>'Water-Meter'!AN7</f>
        <v>127</v>
      </c>
      <c r="H6" s="395">
        <f>'Utility report '!AC7</f>
        <v>0</v>
      </c>
      <c r="I6" s="394">
        <f>'Kit report'!F5</f>
        <v>360</v>
      </c>
      <c r="J6" s="395">
        <f>'Kit report'!X5</f>
        <v>600</v>
      </c>
    </row>
    <row r="7" spans="1:10" ht="17.100000000000001" customHeight="1" thickBot="1">
      <c r="A7" s="217">
        <f>Gen!A13</f>
        <v>44289</v>
      </c>
      <c r="B7" s="399">
        <f>Gen!B13</f>
        <v>0.23</v>
      </c>
      <c r="C7" s="443">
        <f>Gen!AJ13</f>
        <v>139.29000000000002</v>
      </c>
      <c r="D7" s="444">
        <f>Gen!S13</f>
        <v>1426.47</v>
      </c>
      <c r="E7" s="395">
        <f>Gen!C13</f>
        <v>31510.360000000004</v>
      </c>
      <c r="F7" s="396">
        <f>'Water-Meter'!E8</f>
        <v>167</v>
      </c>
      <c r="G7" s="397">
        <f>'Water-Meter'!AN8</f>
        <v>172</v>
      </c>
      <c r="H7" s="395">
        <f>'Utility report '!AC8</f>
        <v>0</v>
      </c>
      <c r="I7" s="394">
        <f>'Kit report'!F6</f>
        <v>324.00000000008731</v>
      </c>
      <c r="J7" s="395">
        <f>'Kit report'!X6</f>
        <v>400</v>
      </c>
    </row>
    <row r="8" spans="1:10" ht="17.100000000000001" customHeight="1" thickBot="1">
      <c r="A8" s="217">
        <f>Gen!A14</f>
        <v>44290</v>
      </c>
      <c r="B8" s="399">
        <f>Gen!B14</f>
        <v>0.247</v>
      </c>
      <c r="C8" s="443">
        <f>Gen!AJ14</f>
        <v>0</v>
      </c>
      <c r="D8" s="444">
        <f>Gen!S14</f>
        <v>1363.11</v>
      </c>
      <c r="E8" s="395">
        <f>Gen!C14</f>
        <v>29944.600000000006</v>
      </c>
      <c r="F8" s="396">
        <f>'Water-Meter'!E9</f>
        <v>70</v>
      </c>
      <c r="G8" s="397">
        <f>'Water-Meter'!AN9</f>
        <v>186</v>
      </c>
      <c r="H8" s="395">
        <f>'Utility report '!AC9</f>
        <v>0</v>
      </c>
      <c r="I8" s="394">
        <f>'Kit report'!F7</f>
        <v>300</v>
      </c>
      <c r="J8" s="395">
        <f>'Kit report'!X7</f>
        <v>360.00000000003638</v>
      </c>
    </row>
    <row r="9" spans="1:10" ht="17.100000000000001" customHeight="1" thickBot="1">
      <c r="A9" s="217">
        <f>Gen!A15</f>
        <v>44291</v>
      </c>
      <c r="B9" s="399">
        <f>Gen!B15</f>
        <v>0.13</v>
      </c>
      <c r="C9" s="443">
        <f>Gen!AJ15</f>
        <v>218.51</v>
      </c>
      <c r="D9" s="444">
        <f>Gen!S15</f>
        <v>1331.48</v>
      </c>
      <c r="E9" s="395">
        <f>Gen!C15</f>
        <v>28581.490000000005</v>
      </c>
      <c r="F9" s="396">
        <f>'Water-Meter'!E10</f>
        <v>59</v>
      </c>
      <c r="G9" s="397">
        <f>'Water-Meter'!AN10</f>
        <v>166</v>
      </c>
      <c r="H9" s="395">
        <f>'Utility report '!AC10</f>
        <v>0</v>
      </c>
      <c r="I9" s="394">
        <f>'Kit report'!F8</f>
        <v>300</v>
      </c>
      <c r="J9" s="395">
        <f>'Kit report'!X8</f>
        <v>439.99999999996362</v>
      </c>
    </row>
    <row r="10" spans="1:10" ht="17.100000000000001" customHeight="1" thickBot="1">
      <c r="A10" s="217">
        <f>Gen!A16</f>
        <v>44292</v>
      </c>
      <c r="B10" s="399">
        <f>Gen!B16</f>
        <v>9.0999999999999998E-2</v>
      </c>
      <c r="C10" s="443">
        <f>Gen!AJ16</f>
        <v>42.44</v>
      </c>
      <c r="D10" s="444">
        <f>Gen!S16</f>
        <v>1267.0999999999999</v>
      </c>
      <c r="E10" s="395">
        <f>Gen!C16</f>
        <v>27031.500000000004</v>
      </c>
      <c r="F10" s="396">
        <f>'Water-Meter'!E11</f>
        <v>210</v>
      </c>
      <c r="G10" s="397">
        <f>'Water-Meter'!AN11</f>
        <v>178</v>
      </c>
      <c r="H10" s="395">
        <f>'Utility report '!AC11</f>
        <v>0</v>
      </c>
      <c r="I10" s="394">
        <f>'Kit report'!F9</f>
        <v>311.99999999982538</v>
      </c>
      <c r="J10" s="395">
        <f>'Kit report'!X9</f>
        <v>500</v>
      </c>
    </row>
    <row r="11" spans="1:10" ht="17.100000000000001" customHeight="1" thickBot="1">
      <c r="A11" s="217">
        <f>Gen!A17</f>
        <v>44293</v>
      </c>
      <c r="B11" s="399">
        <f>Gen!B17</f>
        <v>6.5000000000000002E-2</v>
      </c>
      <c r="C11" s="443">
        <f>Gen!AJ17</f>
        <v>119.14</v>
      </c>
      <c r="D11" s="444">
        <f>Gen!S17</f>
        <v>1350.42</v>
      </c>
      <c r="E11" s="395">
        <f>Gen!C17</f>
        <v>43721.960000000006</v>
      </c>
      <c r="F11" s="396">
        <f>'Water-Meter'!E12</f>
        <v>60</v>
      </c>
      <c r="G11" s="397">
        <f>'Water-Meter'!AN12</f>
        <v>172</v>
      </c>
      <c r="H11" s="395">
        <f>'Utility report '!AC12</f>
        <v>101</v>
      </c>
      <c r="I11" s="394">
        <f>'Kit report'!F10</f>
        <v>288.00000000017462</v>
      </c>
      <c r="J11" s="395">
        <f>'Kit report'!X10</f>
        <v>379.99999999992724</v>
      </c>
    </row>
    <row r="12" spans="1:10" ht="17.100000000000001" customHeight="1" thickBot="1">
      <c r="A12" s="217">
        <f>Gen!A18</f>
        <v>44294</v>
      </c>
      <c r="B12" s="399">
        <f>Gen!B18</f>
        <v>9.0999999999999998E-2</v>
      </c>
      <c r="C12" s="443">
        <f>Gen!AJ18</f>
        <v>156.32</v>
      </c>
      <c r="D12" s="444">
        <f>Gen!S18</f>
        <v>1264.32</v>
      </c>
      <c r="E12" s="395">
        <f>Gen!C18</f>
        <v>42252.400000000009</v>
      </c>
      <c r="F12" s="396">
        <f>'Water-Meter'!E13</f>
        <v>75</v>
      </c>
      <c r="G12" s="397">
        <f>'Water-Meter'!AN13</f>
        <v>173</v>
      </c>
      <c r="H12" s="395">
        <f>'Utility report '!AC13</f>
        <v>12</v>
      </c>
      <c r="I12" s="394">
        <f>'Kit report'!F11</f>
        <v>275.99999999991269</v>
      </c>
      <c r="J12" s="395">
        <f>'Kit report'!X11</f>
        <v>360.00000000003638</v>
      </c>
    </row>
    <row r="13" spans="1:10" ht="17.100000000000001" customHeight="1" thickBot="1">
      <c r="A13" s="217">
        <f>Gen!A19</f>
        <v>44295</v>
      </c>
      <c r="B13" s="399">
        <f>Gen!B19</f>
        <v>6.5000000000000002E-2</v>
      </c>
      <c r="C13" s="443">
        <f>Gen!AJ19</f>
        <v>302.11</v>
      </c>
      <c r="D13" s="444">
        <f>Gen!S19</f>
        <v>1306.29</v>
      </c>
      <c r="E13" s="395">
        <f>Gen!C19</f>
        <v>40831.760000000009</v>
      </c>
      <c r="F13" s="396">
        <f>'Water-Meter'!E14</f>
        <v>47</v>
      </c>
      <c r="G13" s="397">
        <f>'Water-Meter'!AN14</f>
        <v>126</v>
      </c>
      <c r="H13" s="395">
        <f>'Utility report '!AC14</f>
        <v>0</v>
      </c>
      <c r="I13" s="394">
        <f>'Kit report'!F12</f>
        <v>240</v>
      </c>
      <c r="J13" s="395">
        <f>'Kit report'!X12</f>
        <v>420.00000000007276</v>
      </c>
    </row>
    <row r="14" spans="1:10" ht="17.100000000000001" customHeight="1" thickBot="1">
      <c r="A14" s="217">
        <f>Gen!A20</f>
        <v>44296</v>
      </c>
      <c r="B14" s="399">
        <f>Gen!B20</f>
        <v>5.1999999999999998E-2</v>
      </c>
      <c r="C14" s="443">
        <f>Gen!AJ20</f>
        <v>112</v>
      </c>
      <c r="D14" s="444">
        <f>Gen!S20</f>
        <v>1245.81</v>
      </c>
      <c r="E14" s="395">
        <f>Gen!C20</f>
        <v>39223.360000000008</v>
      </c>
      <c r="F14" s="396">
        <f>'Water-Meter'!E15</f>
        <v>46</v>
      </c>
      <c r="G14" s="397">
        <f>'Water-Meter'!AN15</f>
        <v>44</v>
      </c>
      <c r="H14" s="395">
        <f>'Utility report '!AC15</f>
        <v>0</v>
      </c>
      <c r="I14" s="394">
        <f>'Kit report'!F13</f>
        <v>215.99999999991269</v>
      </c>
      <c r="J14" s="395">
        <f>'Kit report'!X13</f>
        <v>260.00000000003638</v>
      </c>
    </row>
    <row r="15" spans="1:10" ht="17.100000000000001" customHeight="1" thickBot="1">
      <c r="A15" s="217">
        <f>Gen!A21</f>
        <v>44297</v>
      </c>
      <c r="B15" s="399">
        <f>Gen!B21</f>
        <v>0.104</v>
      </c>
      <c r="C15" s="443">
        <f>Gen!AJ21</f>
        <v>25</v>
      </c>
      <c r="D15" s="444">
        <f>Gen!S21</f>
        <v>1283.98</v>
      </c>
      <c r="E15" s="395">
        <f>Gen!C21</f>
        <v>37865.55000000001</v>
      </c>
      <c r="F15" s="396">
        <f>'Water-Meter'!E16</f>
        <v>50</v>
      </c>
      <c r="G15" s="397">
        <f>'Water-Meter'!AN16</f>
        <v>43</v>
      </c>
      <c r="H15" s="395">
        <f>'Utility report '!AC16</f>
        <v>0</v>
      </c>
      <c r="I15" s="394">
        <f>'Kit report'!F14</f>
        <v>216.00000000013097</v>
      </c>
      <c r="J15" s="395">
        <f>'Kit report'!X14</f>
        <v>279.99999999992724</v>
      </c>
    </row>
    <row r="16" spans="1:10" ht="17.100000000000001" customHeight="1" thickBot="1">
      <c r="A16" s="217">
        <f>Gen!A22</f>
        <v>44298</v>
      </c>
      <c r="B16" s="399">
        <f>Gen!B22</f>
        <v>0.104</v>
      </c>
      <c r="C16" s="443">
        <f>Gen!AJ22</f>
        <v>250.64</v>
      </c>
      <c r="D16" s="444">
        <f>Gen!S22</f>
        <v>1166.75</v>
      </c>
      <c r="E16" s="395">
        <f>Gen!C22</f>
        <v>36556.570000000007</v>
      </c>
      <c r="F16" s="396">
        <f>'Water-Meter'!E17</f>
        <v>61</v>
      </c>
      <c r="G16" s="397">
        <f>'Water-Meter'!AN17</f>
        <v>49</v>
      </c>
      <c r="H16" s="395">
        <f>'Utility report '!AC17</f>
        <v>0</v>
      </c>
      <c r="I16" s="394">
        <f>'Kit report'!F15</f>
        <v>240</v>
      </c>
      <c r="J16" s="395">
        <f>'Kit report'!X15</f>
        <v>239.99999999996362</v>
      </c>
    </row>
    <row r="17" spans="1:10" ht="17.100000000000001" customHeight="1" thickBot="1">
      <c r="A17" s="217">
        <f>Gen!A23</f>
        <v>44299</v>
      </c>
      <c r="B17" s="399">
        <f>Gen!B23</f>
        <v>1.2999999999999999E-2</v>
      </c>
      <c r="C17" s="443">
        <f>Gen!AJ23</f>
        <v>22.54</v>
      </c>
      <c r="D17" s="444">
        <f>Gen!S23</f>
        <v>1083.74</v>
      </c>
      <c r="E17" s="395">
        <f>Gen!C23</f>
        <v>35139.180000000008</v>
      </c>
      <c r="F17" s="396">
        <f>'Water-Meter'!E18</f>
        <v>181</v>
      </c>
      <c r="G17" s="397">
        <f>'Water-Meter'!AN18</f>
        <v>45</v>
      </c>
      <c r="H17" s="395">
        <f>'Utility report '!AC18</f>
        <v>-48865</v>
      </c>
      <c r="I17" s="394">
        <f>'Kit report'!F16</f>
        <v>215.99999999991269</v>
      </c>
      <c r="J17" s="395">
        <f>'Kit report'!X16</f>
        <v>300</v>
      </c>
    </row>
    <row r="18" spans="1:10" ht="17.100000000000001" customHeight="1" thickBot="1">
      <c r="A18" s="217">
        <f>Gen!A24</f>
        <v>44300</v>
      </c>
      <c r="B18" s="399">
        <f>Gen!B24</f>
        <v>0</v>
      </c>
      <c r="C18" s="443">
        <f>Gen!AJ24</f>
        <v>160.49</v>
      </c>
      <c r="D18" s="444">
        <f>Gen!S24</f>
        <v>1063.99</v>
      </c>
      <c r="E18" s="395">
        <f>Gen!C24</f>
        <v>34032.900000000009</v>
      </c>
      <c r="F18" s="396">
        <f>'Water-Meter'!E19</f>
        <v>46</v>
      </c>
      <c r="G18" s="397">
        <f>'Water-Meter'!AN19</f>
        <v>125</v>
      </c>
      <c r="H18" s="395">
        <f>'Utility report '!AC19</f>
        <v>177</v>
      </c>
      <c r="I18" s="394">
        <f>'Kit report'!F17</f>
        <v>227.99999999995634</v>
      </c>
      <c r="J18" s="395">
        <f>'Kit report'!X17</f>
        <v>180.00000000010914</v>
      </c>
    </row>
    <row r="19" spans="1:10" ht="17.100000000000001" customHeight="1" thickBot="1">
      <c r="A19" s="217">
        <f>Gen!A25</f>
        <v>44301</v>
      </c>
      <c r="B19" s="399">
        <f>Gen!B25</f>
        <v>0</v>
      </c>
      <c r="C19" s="443">
        <f>Gen!AJ25</f>
        <v>101.91</v>
      </c>
      <c r="D19" s="444">
        <f>Gen!S25</f>
        <v>1051.08</v>
      </c>
      <c r="E19" s="395">
        <f>Gen!C25</f>
        <v>32808.420000000006</v>
      </c>
      <c r="F19" s="396" t="str">
        <f>'Water-Meter'!E20</f>
        <v>0</v>
      </c>
      <c r="G19" s="397">
        <f>'Water-Meter'!AN20</f>
        <v>0</v>
      </c>
      <c r="H19" s="395">
        <f>'Utility report '!AC20</f>
        <v>-202</v>
      </c>
      <c r="I19" s="394">
        <f>'Kit report'!F18</f>
        <v>216.00000000013097</v>
      </c>
      <c r="J19" s="395">
        <f>'Kit report'!X18</f>
        <v>300</v>
      </c>
    </row>
    <row r="20" spans="1:10" ht="17.100000000000001" customHeight="1" thickBot="1">
      <c r="A20" s="217">
        <f>Gen!A26</f>
        <v>44302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31655.430000000004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-1108452</v>
      </c>
      <c r="J20" s="395">
        <f>'Kit report'!X19</f>
        <v>-1620020</v>
      </c>
    </row>
    <row r="21" spans="1:10" ht="15.75" thickBot="1">
      <c r="A21" s="217">
        <f>Gen!A27</f>
        <v>44303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31655.430000000004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44304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31655.430000000004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 t="e">
        <f>'Kit report'!X21</f>
        <v>#VALUE!</v>
      </c>
    </row>
    <row r="23" spans="1:10" ht="15" customHeight="1" thickBot="1">
      <c r="A23" s="217">
        <f>Gen!A29</f>
        <v>44305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31655.430000000004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 t="e">
        <f>'Kit report'!X22</f>
        <v>#VALUE!</v>
      </c>
    </row>
    <row r="24" spans="1:10" ht="15" customHeight="1" thickBot="1">
      <c r="A24" s="217">
        <f>Gen!A30</f>
        <v>44306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31655.430000000004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44307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31655.430000000004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44308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31655.430000000004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44309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31655.430000000004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44310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31655.430000000004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44311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31655.430000000004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44312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31655.430000000004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44313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31655.430000000004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44314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31655.430000000004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44315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31655.430000000004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44316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31655.430000000004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31655.430000000004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31655.430000000004</v>
      </c>
      <c r="F36" s="396">
        <f>'Water-Meter'!E37</f>
        <v>0</v>
      </c>
      <c r="G36" s="397">
        <f>'Water-Meter'!AN37</f>
        <v>827</v>
      </c>
      <c r="H36" s="395">
        <f>'Utility report '!AC37</f>
        <v>0</v>
      </c>
      <c r="I36" s="394">
        <f>'Kit report'!F35</f>
        <v>924.00000000008731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2020-08-16T05:05:58Z</cp:lastPrinted>
  <dcterms:created xsi:type="dcterms:W3CDTF">2009-01-25T09:02:38Z</dcterms:created>
  <dcterms:modified xsi:type="dcterms:W3CDTF">2021-04-16T08:27:25Z</dcterms:modified>
</cp:coreProperties>
</file>