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0595B5B0-01A3-41A8-851D-CB83538DB3B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" l="1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L4" i="4"/>
  <c r="N4" i="4" s="1"/>
  <c r="L5" i="4"/>
  <c r="N5" i="4" s="1"/>
  <c r="L6" i="4"/>
  <c r="N6" i="4" s="1"/>
  <c r="L7" i="4"/>
  <c r="L8" i="4"/>
  <c r="N8" i="4" s="1"/>
  <c r="L9" i="4"/>
  <c r="L10" i="4"/>
  <c r="N10" i="4" s="1"/>
  <c r="L11" i="4"/>
  <c r="N11" i="4" s="1"/>
  <c r="L12" i="4"/>
  <c r="N12" i="4" s="1"/>
  <c r="L13" i="4"/>
  <c r="L14" i="4"/>
  <c r="N14" i="4" s="1"/>
  <c r="L15" i="4"/>
  <c r="L16" i="4"/>
  <c r="N16" i="4" s="1"/>
  <c r="L17" i="4"/>
  <c r="N17" i="4" s="1"/>
  <c r="L18" i="4"/>
  <c r="N18" i="4" s="1"/>
  <c r="L19" i="4"/>
  <c r="L20" i="4"/>
  <c r="N20" i="4" s="1"/>
  <c r="L21" i="4"/>
  <c r="L22" i="4"/>
  <c r="N22" i="4" s="1"/>
  <c r="L23" i="4"/>
  <c r="N23" i="4" s="1"/>
  <c r="L24" i="4"/>
  <c r="N24" i="4" s="1"/>
  <c r="L25" i="4"/>
  <c r="L26" i="4"/>
  <c r="N26" i="4" s="1"/>
  <c r="L27" i="4"/>
  <c r="L28" i="4"/>
  <c r="N28" i="4" s="1"/>
  <c r="L29" i="4"/>
  <c r="N29" i="4" s="1"/>
  <c r="L30" i="4"/>
  <c r="N30" i="4" s="1"/>
  <c r="L31" i="4"/>
  <c r="L32" i="4"/>
  <c r="N32" i="4" s="1"/>
  <c r="L2" i="4"/>
  <c r="N2" i="4"/>
  <c r="N3" i="4"/>
  <c r="O3" i="4"/>
  <c r="O4" i="4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N7" i="4"/>
  <c r="N9" i="4"/>
  <c r="N13" i="4"/>
  <c r="N15" i="4"/>
  <c r="N19" i="4"/>
  <c r="N21" i="4"/>
  <c r="N25" i="4"/>
  <c r="N27" i="4"/>
  <c r="N31" i="4"/>
  <c r="D7" i="2" l="1"/>
  <c r="D8" i="2"/>
  <c r="D9" i="2"/>
  <c r="D10" i="2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6" i="2"/>
  <c r="D2" i="4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C8" i="1"/>
  <c r="C9" i="1"/>
  <c r="C10" i="1"/>
  <c r="C11" i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7" i="1"/>
  <c r="F32" i="4" l="1"/>
  <c r="G32" i="4"/>
  <c r="E36" i="2"/>
  <c r="F36" i="2"/>
  <c r="G35" i="2"/>
  <c r="E37" i="1"/>
  <c r="F37" i="1"/>
  <c r="H36" i="1"/>
  <c r="I36" i="1"/>
  <c r="J36" i="1" s="1"/>
  <c r="K36" i="1" s="1"/>
  <c r="G36" i="1"/>
  <c r="E32" i="4" s="1"/>
  <c r="L36" i="1" l="1"/>
  <c r="J32" i="4" s="1"/>
  <c r="G31" i="4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G40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I6" i="1"/>
  <c r="H6" i="1"/>
  <c r="G34" i="1"/>
  <c r="E30" i="4" s="1"/>
  <c r="H34" i="1"/>
  <c r="I34" i="1"/>
  <c r="J34" i="1" l="1"/>
  <c r="K34" i="1" s="1"/>
  <c r="L34" i="1" l="1"/>
  <c r="J30" i="4" s="1"/>
  <c r="C37" i="1"/>
  <c r="G6" i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7" i="1" l="1"/>
  <c r="I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7" i="1" s="1"/>
  <c r="J2" i="4" l="1"/>
</calcChain>
</file>

<file path=xl/sharedStrings.xml><?xml version="1.0" encoding="utf-8"?>
<sst xmlns="http://schemas.openxmlformats.org/spreadsheetml/2006/main" count="117" uniqueCount="46">
  <si>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</si>
  <si>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</si>
  <si>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</si>
  <si>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</si>
  <si>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</si>
  <si>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</si>
  <si>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</si>
  <si>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</si>
  <si>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</si>
  <si>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</si>
  <si>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</si>
  <si>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</si>
  <si>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</si>
  <si>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</si>
  <si>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</si>
  <si>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</si>
  <si>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</si>
  <si>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</si>
  <si>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</si>
  <si>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</si>
  <si>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</si>
  <si>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</si>
  <si>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</si>
  <si>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</si>
  <si>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</si>
  <si>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</si>
  <si>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</si>
  <si>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</si>
  <si>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</si>
  <si>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</si>
  <si>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</si>
  <si>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</si>
  <si>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</si>
  <si>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</si>
  <si>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</si>
  <si>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</si>
  <si>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</si>
  <si>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1035.79</t>
  </si>
  <si>
    <t>Electricity Distribution 2018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</si>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</sst>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C1" workbookViewId="0">
      <selection activeCell="O3" sqref="O3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40</v>
      </c>
      <c r="I1" s="50" t="s">
        <v>41</v>
      </c>
      <c r="J1" s="51" t="s">
        <v>27</v>
      </c>
      <c r="K1" s="54" t="s">
        <v>42</v>
      </c>
      <c r="L1" s="54" t="s">
        <v>29</v>
      </c>
      <c r="M1" s="54" t="s">
        <v>43</v>
      </c>
      <c r="N1" s="54" t="s">
        <v>36</v>
      </c>
      <c r="O1" s="50" t="s">
        <v>44</v>
      </c>
    </row>
    <row r="2" spans="1:15" x14ac:dyDescent="0.25">
      <c r="A2" s="48" t="s">
        <v>45</v>
      </c>
      <c r="B2" s="45">
        <v>1</v>
      </c>
      <c r="C2" s="45">
        <v>8</v>
      </c>
      <c r="D2" s="45">
        <f>Water!D5</f>
        <v>2018</v>
      </c>
      <c r="E2" s="43">
        <f>Electricity!G6</f>
        <v>21800.000000000637</v>
      </c>
      <c r="F2" s="43">
        <f>Electricity!E6</f>
        <v>4679.9999999998363</v>
      </c>
      <c r="G2" s="43">
        <f>Electricity!F6</f>
        <v>17120.0000000008</v>
      </c>
      <c r="H2" s="47">
        <v>1553.67</v>
      </c>
      <c r="I2" s="57" t="s">
        <v>28</v>
      </c>
      <c r="J2" s="106">
        <f>Electricity!L6</f>
        <v>25603818.700800586</v>
      </c>
      <c r="K2" s="43">
        <f>J2/E2</f>
        <v>1174.487096366965</v>
      </c>
      <c r="L2" s="58">
        <f>Water!G5</f>
        <v>449</v>
      </c>
      <c r="M2" s="58">
        <v>12550</v>
      </c>
      <c r="N2" s="106">
        <f>M2*L2</f>
        <v>5634950</v>
      </c>
      <c r="O2" s="43">
        <f>Electricity!C6</f>
        <v>161</v>
      </c>
    </row>
    <row r="3" spans="1:15" x14ac:dyDescent="0.25">
      <c r="A3" s="48" t="s">
        <v>45</v>
      </c>
      <c r="B3" s="45">
        <v>2</v>
      </c>
      <c r="C3" s="45">
        <v>8</v>
      </c>
      <c r="D3" s="45">
        <f>D2</f>
        <v>2018</v>
      </c>
      <c r="E3" s="43">
        <f>Electricity!G7</f>
        <v>29480.000000000473</v>
      </c>
      <c r="F3" s="43">
        <f>Electricity!E7</f>
        <v>4800.0000000001819</v>
      </c>
      <c r="G3" s="43">
        <f>Electricity!F7</f>
        <v>24680.000000000291</v>
      </c>
      <c r="H3" s="47">
        <v>1553.67</v>
      </c>
      <c r="I3" s="57" t="s">
        <v>28</v>
      </c>
      <c r="J3" s="106">
        <f>Electricity!L7</f>
        <v>33813162.393600598</v>
      </c>
      <c r="K3" s="43">
        <f t="shared" ref="K3:K32" si="0">J3/E3</f>
        <v>1146.9865126730006</v>
      </c>
      <c r="L3" s="58">
        <f>Water!G6</f>
        <v>358</v>
      </c>
      <c r="M3" s="58">
        <v>12550</v>
      </c>
      <c r="N3" s="106">
        <f t="shared" ref="N3:N32" si="1">M3*L3</f>
        <v>4492900</v>
      </c>
      <c r="O3" s="43">
        <f>O2</f>
        <v>161</v>
      </c>
    </row>
    <row r="4" spans="1:15" x14ac:dyDescent="0.25">
      <c r="A4" s="48" t="s">
        <v>45</v>
      </c>
      <c r="B4" s="45">
        <v>3</v>
      </c>
      <c r="C4" s="45">
        <v>8</v>
      </c>
      <c r="D4" s="45">
        <f t="shared" ref="D4:D32" si="2">D3</f>
        <v>2018</v>
      </c>
      <c r="E4" s="43">
        <f>Electricity!G8</f>
        <v>26360.000000000127</v>
      </c>
      <c r="F4" s="43">
        <f>Electricity!E8</f>
        <v>5360.0000000001273</v>
      </c>
      <c r="G4" s="43">
        <f>Electricity!F8</f>
        <v>21000</v>
      </c>
      <c r="H4" s="47">
        <v>1553.67</v>
      </c>
      <c r="I4" s="57" t="s">
        <v>28</v>
      </c>
      <c r="J4" s="106">
        <f>Electricity!L8</f>
        <v>30800948.428800203</v>
      </c>
      <c r="K4" s="43">
        <f t="shared" si="0"/>
        <v>1168.4730056449187</v>
      </c>
      <c r="L4" s="58">
        <f>Water!G7</f>
        <v>236</v>
      </c>
      <c r="M4" s="58">
        <v>12550</v>
      </c>
      <c r="N4" s="106">
        <f t="shared" si="1"/>
        <v>2961800</v>
      </c>
      <c r="O4" s="43">
        <f t="shared" ref="O4:O32" si="3">O3</f>
        <v>161</v>
      </c>
    </row>
    <row r="5" spans="1:15" x14ac:dyDescent="0.25">
      <c r="A5" s="48" t="s">
        <v>45</v>
      </c>
      <c r="B5" s="45">
        <v>4</v>
      </c>
      <c r="C5" s="45">
        <v>8</v>
      </c>
      <c r="D5" s="45">
        <f t="shared" si="2"/>
        <v>2018</v>
      </c>
      <c r="E5" s="43">
        <f>Electricity!G9</f>
        <v>24000</v>
      </c>
      <c r="F5" s="43">
        <f>Electricity!E9</f>
        <v>4000</v>
      </c>
      <c r="G5" s="43">
        <f>Electricity!F9</f>
        <v>20000</v>
      </c>
      <c r="H5" s="47">
        <v>1553.67</v>
      </c>
      <c r="I5" s="57" t="s">
        <v>28</v>
      </c>
      <c r="J5" s="106">
        <f>Electricity!L9</f>
        <v>27576606.719999999</v>
      </c>
      <c r="K5" s="43">
        <f t="shared" si="0"/>
        <v>1149.0252799999998</v>
      </c>
      <c r="L5" s="58">
        <f>Water!G8</f>
        <v>280</v>
      </c>
      <c r="M5" s="58">
        <v>12550</v>
      </c>
      <c r="N5" s="106">
        <f t="shared" si="1"/>
        <v>3514000</v>
      </c>
      <c r="O5" s="43">
        <f t="shared" si="3"/>
        <v>161</v>
      </c>
    </row>
    <row r="6" spans="1:15" x14ac:dyDescent="0.25">
      <c r="A6" s="48" t="s">
        <v>45</v>
      </c>
      <c r="B6" s="45">
        <v>5</v>
      </c>
      <c r="C6" s="45">
        <v>8</v>
      </c>
      <c r="D6" s="45">
        <f t="shared" si="2"/>
        <v>2018</v>
      </c>
      <c r="E6" s="43">
        <f>Electricity!G10</f>
        <v>25719.999999998436</v>
      </c>
      <c r="F6" s="43">
        <f>Electricity!E10</f>
        <v>5199.9999999998181</v>
      </c>
      <c r="G6" s="43">
        <f>Electricity!F10</f>
        <v>20519.999999998618</v>
      </c>
      <c r="H6" s="47">
        <v>1553.67</v>
      </c>
      <c r="I6" s="57" t="s">
        <v>28</v>
      </c>
      <c r="J6" s="106">
        <f>Electricity!L10</f>
        <v>30037288.550398242</v>
      </c>
      <c r="K6" s="43">
        <f t="shared" si="0"/>
        <v>1167.8572531259747</v>
      </c>
      <c r="L6" s="58">
        <f>Water!G9</f>
        <v>324</v>
      </c>
      <c r="M6" s="58">
        <v>12550</v>
      </c>
      <c r="N6" s="106">
        <f t="shared" si="1"/>
        <v>4066200</v>
      </c>
      <c r="O6" s="43">
        <f t="shared" si="3"/>
        <v>161</v>
      </c>
    </row>
    <row r="7" spans="1:15" x14ac:dyDescent="0.25">
      <c r="A7" s="48" t="s">
        <v>45</v>
      </c>
      <c r="B7" s="45">
        <v>6</v>
      </c>
      <c r="C7" s="45">
        <v>8</v>
      </c>
      <c r="D7" s="45">
        <f t="shared" si="2"/>
        <v>2018</v>
      </c>
      <c r="E7" s="43">
        <f>Electricity!G11</f>
        <v>37960.000000000495</v>
      </c>
      <c r="F7" s="43">
        <f>Electricity!E11</f>
        <v>5360.0000000001273</v>
      </c>
      <c r="G7" s="43">
        <f>Electricity!F11</f>
        <v>32600.000000000364</v>
      </c>
      <c r="H7" s="47">
        <v>1553.67</v>
      </c>
      <c r="I7" s="57" t="s">
        <v>28</v>
      </c>
      <c r="J7" s="106">
        <f>Electricity!L11</f>
        <v>43104357.580800585</v>
      </c>
      <c r="K7" s="43">
        <f t="shared" si="0"/>
        <v>1135.5204842149637</v>
      </c>
      <c r="L7" s="58">
        <f>Water!G10</f>
        <v>357</v>
      </c>
      <c r="M7" s="58">
        <v>12550</v>
      </c>
      <c r="N7" s="106">
        <f t="shared" si="1"/>
        <v>4480350</v>
      </c>
      <c r="O7" s="43">
        <f t="shared" si="3"/>
        <v>161</v>
      </c>
    </row>
    <row r="8" spans="1:15" x14ac:dyDescent="0.25">
      <c r="A8" s="48" t="s">
        <v>45</v>
      </c>
      <c r="B8" s="45">
        <v>7</v>
      </c>
      <c r="C8" s="45">
        <v>8</v>
      </c>
      <c r="D8" s="45">
        <f t="shared" si="2"/>
        <v>2018</v>
      </c>
      <c r="E8" s="43">
        <f>Electricity!G12</f>
        <v>13119.999999999891</v>
      </c>
      <c r="F8" s="43">
        <f>Electricity!E12</f>
        <v>4880.0000000001091</v>
      </c>
      <c r="G8" s="43">
        <f>Electricity!F12</f>
        <v>8239.9999999997817</v>
      </c>
      <c r="H8" s="47">
        <v>1553.67</v>
      </c>
      <c r="I8" s="57" t="s">
        <v>28</v>
      </c>
      <c r="J8" s="106">
        <f>Electricity!L12</f>
        <v>16503538.483199941</v>
      </c>
      <c r="K8" s="43">
        <f t="shared" si="0"/>
        <v>1257.8916526829328</v>
      </c>
      <c r="L8" s="58">
        <f>Water!G11</f>
        <v>280</v>
      </c>
      <c r="M8" s="58">
        <v>12550</v>
      </c>
      <c r="N8" s="106">
        <f t="shared" si="1"/>
        <v>3514000</v>
      </c>
      <c r="O8" s="43">
        <f t="shared" si="3"/>
        <v>161</v>
      </c>
    </row>
    <row r="9" spans="1:15" x14ac:dyDescent="0.25">
      <c r="A9" s="48" t="s">
        <v>45</v>
      </c>
      <c r="B9" s="45">
        <v>8</v>
      </c>
      <c r="C9" s="45">
        <v>8</v>
      </c>
      <c r="D9" s="45">
        <f t="shared" si="2"/>
        <v>2018</v>
      </c>
      <c r="E9" s="43">
        <f>Electricity!G13</f>
        <v>26800.000000000182</v>
      </c>
      <c r="F9" s="43">
        <f>Electricity!E13</f>
        <v>4960.0000000000364</v>
      </c>
      <c r="G9" s="43">
        <f>Electricity!F13</f>
        <v>21840.000000000146</v>
      </c>
      <c r="H9" s="47">
        <v>1553.67</v>
      </c>
      <c r="I9" s="57" t="s">
        <v>28</v>
      </c>
      <c r="J9" s="106">
        <f>Electricity!L13</f>
        <v>31055501.721600212</v>
      </c>
      <c r="K9" s="43">
        <f t="shared" si="0"/>
        <v>1158.7873776716419</v>
      </c>
      <c r="L9" s="58">
        <f>Water!G12</f>
        <v>444</v>
      </c>
      <c r="M9" s="58">
        <v>12550</v>
      </c>
      <c r="N9" s="106">
        <f t="shared" si="1"/>
        <v>5572200</v>
      </c>
      <c r="O9" s="43">
        <f t="shared" si="3"/>
        <v>161</v>
      </c>
    </row>
    <row r="10" spans="1:15" x14ac:dyDescent="0.25">
      <c r="A10" s="48" t="s">
        <v>45</v>
      </c>
      <c r="B10" s="45">
        <v>9</v>
      </c>
      <c r="C10" s="45">
        <v>8</v>
      </c>
      <c r="D10" s="45">
        <f t="shared" si="2"/>
        <v>2018</v>
      </c>
      <c r="E10" s="43">
        <f>Electricity!G14</f>
        <v>9050.4699999997447</v>
      </c>
      <c r="F10" s="43">
        <f>Electricity!E14</f>
        <v>5279.9999999997453</v>
      </c>
      <c r="G10" s="43">
        <f>Electricity!F14</f>
        <v>3770.47</v>
      </c>
      <c r="H10" s="47">
        <v>1553.67</v>
      </c>
      <c r="I10" s="57" t="s">
        <v>28</v>
      </c>
      <c r="J10" s="106">
        <f>Electricity!L14</f>
        <v>12399365.136997994</v>
      </c>
      <c r="K10" s="43">
        <f t="shared" si="0"/>
        <v>1370.0244448076558</v>
      </c>
      <c r="L10" s="58">
        <f>Water!G13</f>
        <v>254</v>
      </c>
      <c r="M10" s="58">
        <v>12550</v>
      </c>
      <c r="N10" s="106">
        <f t="shared" si="1"/>
        <v>3187700</v>
      </c>
      <c r="O10" s="43">
        <f t="shared" si="3"/>
        <v>161</v>
      </c>
    </row>
    <row r="11" spans="1:15" x14ac:dyDescent="0.25">
      <c r="A11" s="48" t="s">
        <v>45</v>
      </c>
      <c r="B11" s="45">
        <v>10</v>
      </c>
      <c r="C11" s="45">
        <v>8</v>
      </c>
      <c r="D11" s="45">
        <f t="shared" si="2"/>
        <v>2018</v>
      </c>
      <c r="E11" s="43">
        <f>Electricity!G15</f>
        <v>25120.00000000171</v>
      </c>
      <c r="F11" s="43">
        <f>Electricity!E15</f>
        <v>3880.0000000001091</v>
      </c>
      <c r="G11" s="43">
        <f>Electricity!F15</f>
        <v>21240.000000001601</v>
      </c>
      <c r="H11" s="47">
        <v>1553.67</v>
      </c>
      <c r="I11" s="57" t="s">
        <v>28</v>
      </c>
      <c r="J11" s="106">
        <f>Electricity!L15</f>
        <v>28700883.76320187</v>
      </c>
      <c r="K11" s="43">
        <f t="shared" si="0"/>
        <v>1142.5511052229267</v>
      </c>
      <c r="L11" s="58">
        <f>Water!G14</f>
        <v>399</v>
      </c>
      <c r="M11" s="58">
        <v>12550</v>
      </c>
      <c r="N11" s="106">
        <f t="shared" si="1"/>
        <v>5007450</v>
      </c>
      <c r="O11" s="43">
        <f t="shared" si="3"/>
        <v>161</v>
      </c>
    </row>
    <row r="12" spans="1:15" x14ac:dyDescent="0.25">
      <c r="A12" s="48" t="s">
        <v>45</v>
      </c>
      <c r="B12" s="45">
        <v>11</v>
      </c>
      <c r="C12" s="45">
        <v>8</v>
      </c>
      <c r="D12" s="45">
        <f t="shared" si="2"/>
        <v>2018</v>
      </c>
      <c r="E12" s="43">
        <f>Electricity!G16</f>
        <v>27079.999999999018</v>
      </c>
      <c r="F12" s="43">
        <f>Electricity!E16</f>
        <v>5279.9999999997453</v>
      </c>
      <c r="G12" s="43">
        <f>Electricity!F16</f>
        <v>21799.999999999272</v>
      </c>
      <c r="H12" s="47">
        <v>1553.67</v>
      </c>
      <c r="I12" s="57" t="s">
        <v>28</v>
      </c>
      <c r="J12" s="106">
        <f>Electricity!L16</f>
        <v>31522182.758398823</v>
      </c>
      <c r="K12" s="43">
        <f t="shared" si="0"/>
        <v>1164.0392451403238</v>
      </c>
      <c r="L12" s="58">
        <f>Water!G15</f>
        <v>257</v>
      </c>
      <c r="M12" s="58">
        <v>12550</v>
      </c>
      <c r="N12" s="106">
        <f t="shared" si="1"/>
        <v>3225350</v>
      </c>
      <c r="O12" s="43">
        <f t="shared" si="3"/>
        <v>161</v>
      </c>
    </row>
    <row r="13" spans="1:15" x14ac:dyDescent="0.25">
      <c r="A13" s="48" t="s">
        <v>45</v>
      </c>
      <c r="B13" s="45">
        <v>12</v>
      </c>
      <c r="C13" s="45">
        <v>8</v>
      </c>
      <c r="D13" s="45">
        <f t="shared" si="2"/>
        <v>2018</v>
      </c>
      <c r="E13" s="43">
        <f>Electricity!G17</f>
        <v>26520.000000000437</v>
      </c>
      <c r="F13" s="43">
        <f>Electricity!E17</f>
        <v>4840.0000000001455</v>
      </c>
      <c r="G13" s="43">
        <f>Electricity!F17</f>
        <v>21680.000000000291</v>
      </c>
      <c r="H13" s="47">
        <v>1553.67</v>
      </c>
      <c r="I13" s="57" t="s">
        <v>28</v>
      </c>
      <c r="J13" s="106">
        <f>Electricity!L17</f>
        <v>30694884.556800537</v>
      </c>
      <c r="K13" s="43">
        <f t="shared" si="0"/>
        <v>1157.4240028959289</v>
      </c>
      <c r="L13" s="58">
        <f>Water!G16</f>
        <v>490</v>
      </c>
      <c r="M13" s="58">
        <v>12550</v>
      </c>
      <c r="N13" s="106">
        <f t="shared" si="1"/>
        <v>6149500</v>
      </c>
      <c r="O13" s="43">
        <f t="shared" si="3"/>
        <v>161</v>
      </c>
    </row>
    <row r="14" spans="1:15" x14ac:dyDescent="0.25">
      <c r="A14" s="48" t="s">
        <v>45</v>
      </c>
      <c r="B14" s="45">
        <v>13</v>
      </c>
      <c r="C14" s="45">
        <v>8</v>
      </c>
      <c r="D14" s="45">
        <f t="shared" si="2"/>
        <v>2018</v>
      </c>
      <c r="E14" s="43">
        <f>Electricity!G18</f>
        <v>28559.999999999491</v>
      </c>
      <c r="F14" s="43">
        <f>Electricity!E18</f>
        <v>6159.9999999998545</v>
      </c>
      <c r="G14" s="43">
        <f>Electricity!F18</f>
        <v>22399.999999999636</v>
      </c>
      <c r="H14" s="47">
        <v>1553.67</v>
      </c>
      <c r="I14" s="57" t="s">
        <v>28</v>
      </c>
      <c r="J14" s="106">
        <f>Electricity!L18</f>
        <v>33558609.100799382</v>
      </c>
      <c r="K14" s="43">
        <f t="shared" si="0"/>
        <v>1175.0213270588229</v>
      </c>
      <c r="L14" s="58">
        <f>Water!G17</f>
        <v>262</v>
      </c>
      <c r="M14" s="58">
        <v>12550</v>
      </c>
      <c r="N14" s="106">
        <f t="shared" si="1"/>
        <v>3288100</v>
      </c>
      <c r="O14" s="43">
        <f t="shared" si="3"/>
        <v>161</v>
      </c>
    </row>
    <row r="15" spans="1:15" x14ac:dyDescent="0.25">
      <c r="A15" s="48" t="s">
        <v>45</v>
      </c>
      <c r="B15" s="45">
        <v>14</v>
      </c>
      <c r="C15" s="45">
        <v>8</v>
      </c>
      <c r="D15" s="45">
        <f t="shared" si="2"/>
        <v>2018</v>
      </c>
      <c r="E15" s="43">
        <f>Electricity!G19</f>
        <v>26799.999999999727</v>
      </c>
      <c r="F15" s="43">
        <f>Electricity!E19</f>
        <v>5240.0000000002365</v>
      </c>
      <c r="G15" s="43">
        <f>Electricity!F19</f>
        <v>21559.999999999491</v>
      </c>
      <c r="H15" s="47">
        <v>1553.67</v>
      </c>
      <c r="I15" s="57" t="s">
        <v>28</v>
      </c>
      <c r="J15" s="106">
        <f>Electricity!L19</f>
        <v>31203991.142399833</v>
      </c>
      <c r="K15" s="43">
        <f t="shared" si="0"/>
        <v>1164.3280277014981</v>
      </c>
      <c r="L15" s="58">
        <f>Water!G18</f>
        <v>513</v>
      </c>
      <c r="M15" s="58">
        <v>12550</v>
      </c>
      <c r="N15" s="106">
        <f t="shared" si="1"/>
        <v>6438150</v>
      </c>
      <c r="O15" s="43">
        <f t="shared" si="3"/>
        <v>161</v>
      </c>
    </row>
    <row r="16" spans="1:15" x14ac:dyDescent="0.25">
      <c r="A16" s="48" t="s">
        <v>45</v>
      </c>
      <c r="B16" s="45">
        <v>15</v>
      </c>
      <c r="C16" s="45">
        <v>8</v>
      </c>
      <c r="D16" s="45">
        <f t="shared" si="2"/>
        <v>2018</v>
      </c>
      <c r="E16" s="43">
        <f>Electricity!G20</f>
        <v>24920.000000000982</v>
      </c>
      <c r="F16" s="43">
        <f>Electricity!E20</f>
        <v>4880.0000000001091</v>
      </c>
      <c r="G16" s="43">
        <f>Electricity!F20</f>
        <v>20040.000000000873</v>
      </c>
      <c r="H16" s="47">
        <v>1553.67</v>
      </c>
      <c r="I16" s="57" t="s">
        <v>28</v>
      </c>
      <c r="J16" s="106">
        <f>Electricity!L20</f>
        <v>29019075.379201099</v>
      </c>
      <c r="K16" s="43">
        <f t="shared" si="0"/>
        <v>1164.4893811877992</v>
      </c>
      <c r="L16" s="58">
        <f>Water!G19</f>
        <v>262</v>
      </c>
      <c r="M16" s="58">
        <v>12550</v>
      </c>
      <c r="N16" s="106">
        <f t="shared" si="1"/>
        <v>3288100</v>
      </c>
      <c r="O16" s="43">
        <f t="shared" si="3"/>
        <v>161</v>
      </c>
    </row>
    <row r="17" spans="1:15" x14ac:dyDescent="0.25">
      <c r="A17" s="48" t="s">
        <v>45</v>
      </c>
      <c r="B17" s="45">
        <v>16</v>
      </c>
      <c r="C17" s="45">
        <v>8</v>
      </c>
      <c r="D17" s="45">
        <f t="shared" si="2"/>
        <v>2018</v>
      </c>
      <c r="E17" s="43">
        <f>Electricity!G21</f>
        <v>25919.999999998709</v>
      </c>
      <c r="F17" s="43">
        <f>Electricity!E21</f>
        <v>4559.9999999999454</v>
      </c>
      <c r="G17" s="43">
        <f>Electricity!F21</f>
        <v>21359.999999998763</v>
      </c>
      <c r="H17" s="47">
        <v>1553.67</v>
      </c>
      <c r="I17" s="57" t="s">
        <v>28</v>
      </c>
      <c r="J17" s="106">
        <f>Electricity!L21</f>
        <v>29910011.903998602</v>
      </c>
      <c r="K17" s="43">
        <f t="shared" si="0"/>
        <v>1153.9356444444479</v>
      </c>
      <c r="L17" s="58">
        <f>Water!G20</f>
        <v>299</v>
      </c>
      <c r="M17" s="58">
        <v>12550</v>
      </c>
      <c r="N17" s="106">
        <f t="shared" si="1"/>
        <v>3752450</v>
      </c>
      <c r="O17" s="43">
        <f t="shared" si="3"/>
        <v>161</v>
      </c>
    </row>
    <row r="18" spans="1:15" x14ac:dyDescent="0.25">
      <c r="A18" s="48" t="s">
        <v>45</v>
      </c>
      <c r="B18" s="45">
        <v>17</v>
      </c>
      <c r="C18" s="45">
        <v>8</v>
      </c>
      <c r="D18" s="45">
        <f t="shared" si="2"/>
        <v>2018</v>
      </c>
      <c r="E18" s="43">
        <f>Electricity!G22</f>
        <v>21720.000000001164</v>
      </c>
      <c r="F18" s="43">
        <f>Electricity!E22</f>
        <v>5079.9999999999272</v>
      </c>
      <c r="G18" s="43">
        <f>Electricity!F22</f>
        <v>16640.000000001237</v>
      </c>
      <c r="H18" s="47">
        <v>1553.67</v>
      </c>
      <c r="I18" s="57" t="s">
        <v>28</v>
      </c>
      <c r="J18" s="106">
        <f>Electricity!L22</f>
        <v>25731095.347201195</v>
      </c>
      <c r="K18" s="43">
        <f t="shared" si="0"/>
        <v>1184.6728981215385</v>
      </c>
      <c r="L18" s="58">
        <f>Water!G21</f>
        <v>419</v>
      </c>
      <c r="M18" s="58">
        <v>12550</v>
      </c>
      <c r="N18" s="106">
        <f t="shared" si="1"/>
        <v>5258450</v>
      </c>
      <c r="O18" s="43">
        <f t="shared" si="3"/>
        <v>161</v>
      </c>
    </row>
    <row r="19" spans="1:15" x14ac:dyDescent="0.25">
      <c r="A19" s="48" t="s">
        <v>45</v>
      </c>
      <c r="B19" s="45">
        <v>18</v>
      </c>
      <c r="C19" s="45">
        <v>8</v>
      </c>
      <c r="D19" s="45">
        <f t="shared" si="2"/>
        <v>2018</v>
      </c>
      <c r="E19" s="43">
        <f>Electricity!G23</f>
        <v>29320.000000000164</v>
      </c>
      <c r="F19" s="43">
        <f>Electricity!E23</f>
        <v>4480.0000000000182</v>
      </c>
      <c r="G19" s="43">
        <f>Electricity!F23</f>
        <v>24840.000000000146</v>
      </c>
      <c r="H19" s="47">
        <v>1553.67</v>
      </c>
      <c r="I19" s="57" t="s">
        <v>28</v>
      </c>
      <c r="J19" s="106">
        <f>Electricity!L23</f>
        <v>33473758.003200181</v>
      </c>
      <c r="K19" s="43">
        <f t="shared" si="0"/>
        <v>1141.6697818281034</v>
      </c>
      <c r="L19" s="58">
        <f>Water!G22</f>
        <v>210</v>
      </c>
      <c r="M19" s="58">
        <v>12550</v>
      </c>
      <c r="N19" s="106">
        <f t="shared" si="1"/>
        <v>2635500</v>
      </c>
      <c r="O19" s="43">
        <f t="shared" si="3"/>
        <v>161</v>
      </c>
    </row>
    <row r="20" spans="1:15" x14ac:dyDescent="0.25">
      <c r="A20" s="48" t="s">
        <v>45</v>
      </c>
      <c r="B20" s="45">
        <v>19</v>
      </c>
      <c r="C20" s="45">
        <v>8</v>
      </c>
      <c r="D20" s="45">
        <f t="shared" si="2"/>
        <v>2018</v>
      </c>
      <c r="E20" s="43">
        <f>Electricity!G24</f>
        <v>24759.999999998854</v>
      </c>
      <c r="F20" s="43">
        <f>Electricity!E24</f>
        <v>4559.9999999999454</v>
      </c>
      <c r="G20" s="43">
        <f>Electricity!F24</f>
        <v>20199.999999998909</v>
      </c>
      <c r="H20" s="47">
        <v>1553.67</v>
      </c>
      <c r="I20" s="57" t="s">
        <v>28</v>
      </c>
      <c r="J20" s="106">
        <f>Electricity!L24</f>
        <v>28679670.988798752</v>
      </c>
      <c r="K20" s="43">
        <f t="shared" si="0"/>
        <v>1158.3065827463683</v>
      </c>
      <c r="L20" s="58">
        <f>Water!G23</f>
        <v>307</v>
      </c>
      <c r="M20" s="58">
        <v>12550</v>
      </c>
      <c r="N20" s="106">
        <f t="shared" si="1"/>
        <v>3852850</v>
      </c>
      <c r="O20" s="43">
        <f t="shared" si="3"/>
        <v>161</v>
      </c>
    </row>
    <row r="21" spans="1:15" x14ac:dyDescent="0.25">
      <c r="A21" s="48" t="s">
        <v>45</v>
      </c>
      <c r="B21" s="45">
        <v>20</v>
      </c>
      <c r="C21" s="45">
        <v>8</v>
      </c>
      <c r="D21" s="45">
        <f t="shared" si="2"/>
        <v>2018</v>
      </c>
      <c r="E21" s="43">
        <f>Electricity!G25</f>
        <v>25480.000000000928</v>
      </c>
      <c r="F21" s="43">
        <f>Electricity!E25</f>
        <v>4679.9999999998363</v>
      </c>
      <c r="G21" s="43">
        <f>Electricity!F25</f>
        <v>20800.000000001091</v>
      </c>
      <c r="H21" s="47">
        <v>1553.67</v>
      </c>
      <c r="I21" s="57" t="s">
        <v>28</v>
      </c>
      <c r="J21" s="106">
        <f>Electricity!L25</f>
        <v>29506969.190400895</v>
      </c>
      <c r="K21" s="43">
        <f t="shared" si="0"/>
        <v>1158.0443167346868</v>
      </c>
      <c r="L21" s="58">
        <f>Water!G24</f>
        <v>449</v>
      </c>
      <c r="M21" s="58">
        <v>12550</v>
      </c>
      <c r="N21" s="106">
        <f t="shared" si="1"/>
        <v>5634950</v>
      </c>
      <c r="O21" s="43">
        <f t="shared" si="3"/>
        <v>161</v>
      </c>
    </row>
    <row r="22" spans="1:15" x14ac:dyDescent="0.25">
      <c r="A22" s="48" t="s">
        <v>45</v>
      </c>
      <c r="B22" s="45">
        <v>21</v>
      </c>
      <c r="C22" s="45">
        <v>8</v>
      </c>
      <c r="D22" s="45">
        <f t="shared" si="2"/>
        <v>2018</v>
      </c>
      <c r="E22" s="43">
        <f>Electricity!G26</f>
        <v>27720.000000000255</v>
      </c>
      <c r="F22" s="43">
        <f>Electricity!E26</f>
        <v>5560.0000000004002</v>
      </c>
      <c r="G22" s="43">
        <f>Electricity!F26</f>
        <v>22159.999999999854</v>
      </c>
      <c r="H22" s="47">
        <v>1553.67</v>
      </c>
      <c r="I22" s="57" t="s">
        <v>28</v>
      </c>
      <c r="J22" s="106">
        <f>Electricity!L26</f>
        <v>32349480.960000481</v>
      </c>
      <c r="K22" s="43">
        <f t="shared" si="0"/>
        <v>1167.0086926406993</v>
      </c>
      <c r="L22" s="58">
        <f>Water!G25</f>
        <v>275</v>
      </c>
      <c r="M22" s="58">
        <v>12550</v>
      </c>
      <c r="N22" s="106">
        <f t="shared" si="1"/>
        <v>3451250</v>
      </c>
      <c r="O22" s="43">
        <f t="shared" si="3"/>
        <v>161</v>
      </c>
    </row>
    <row r="23" spans="1:15" x14ac:dyDescent="0.25">
      <c r="A23" s="48" t="s">
        <v>45</v>
      </c>
      <c r="B23" s="45">
        <v>22</v>
      </c>
      <c r="C23" s="45">
        <v>8</v>
      </c>
      <c r="D23" s="45">
        <f t="shared" si="2"/>
        <v>2018</v>
      </c>
      <c r="E23" s="43">
        <f>Electricity!G27</f>
        <v>25439.999999999145</v>
      </c>
      <c r="F23" s="43">
        <f>Electricity!E27</f>
        <v>4799.9999999997272</v>
      </c>
      <c r="G23" s="43">
        <f>Electricity!F27</f>
        <v>20639.999999999418</v>
      </c>
      <c r="H23" s="47">
        <v>1553.67</v>
      </c>
      <c r="I23" s="57" t="s">
        <v>28</v>
      </c>
      <c r="J23" s="106">
        <f>Electricity!L27</f>
        <v>29528181.964798946</v>
      </c>
      <c r="K23" s="43">
        <f t="shared" si="0"/>
        <v>1160.6989766037711</v>
      </c>
      <c r="L23" s="58">
        <f>Water!G26</f>
        <v>249</v>
      </c>
      <c r="M23" s="58">
        <v>12550</v>
      </c>
      <c r="N23" s="106">
        <f t="shared" si="1"/>
        <v>3124950</v>
      </c>
      <c r="O23" s="43">
        <f t="shared" si="3"/>
        <v>161</v>
      </c>
    </row>
    <row r="24" spans="1:15" x14ac:dyDescent="0.25">
      <c r="A24" s="48" t="s">
        <v>45</v>
      </c>
      <c r="B24" s="45">
        <v>23</v>
      </c>
      <c r="C24" s="45">
        <v>8</v>
      </c>
      <c r="D24" s="45">
        <f t="shared" si="2"/>
        <v>2018</v>
      </c>
      <c r="E24" s="43">
        <f>Electricity!G28</f>
        <v>24920.000000000982</v>
      </c>
      <c r="F24" s="43">
        <f>Electricity!E28</f>
        <v>4039.9999999999636</v>
      </c>
      <c r="G24" s="43">
        <f>Electricity!F28</f>
        <v>20880.000000001019</v>
      </c>
      <c r="H24" s="47">
        <v>1553.67</v>
      </c>
      <c r="I24" s="57" t="s">
        <v>28</v>
      </c>
      <c r="J24" s="106">
        <f>Electricity!L28</f>
        <v>28573607.116801016</v>
      </c>
      <c r="K24" s="43">
        <f t="shared" si="0"/>
        <v>1146.6134477046505</v>
      </c>
      <c r="L24" s="58">
        <f>Water!G27</f>
        <v>599</v>
      </c>
      <c r="M24" s="58">
        <v>12550</v>
      </c>
      <c r="N24" s="106">
        <f t="shared" si="1"/>
        <v>7517450</v>
      </c>
      <c r="O24" s="43">
        <f t="shared" si="3"/>
        <v>161</v>
      </c>
    </row>
    <row r="25" spans="1:15" x14ac:dyDescent="0.25">
      <c r="A25" s="48" t="s">
        <v>45</v>
      </c>
      <c r="B25" s="45">
        <v>24</v>
      </c>
      <c r="C25" s="45">
        <v>8</v>
      </c>
      <c r="D25" s="45">
        <f t="shared" si="2"/>
        <v>2018</v>
      </c>
      <c r="E25" s="43">
        <f>Electricity!G29</f>
        <v>26199.999999999818</v>
      </c>
      <c r="F25" s="43">
        <f>Electricity!E29</f>
        <v>5640.0000000003274</v>
      </c>
      <c r="G25" s="43">
        <f>Electricity!F29</f>
        <v>20559.999999999491</v>
      </c>
      <c r="H25" s="47">
        <v>1553.67</v>
      </c>
      <c r="I25" s="57" t="s">
        <v>28</v>
      </c>
      <c r="J25" s="106">
        <f>Electricity!L29</f>
        <v>30779735.65439998</v>
      </c>
      <c r="K25" s="43">
        <f t="shared" si="0"/>
        <v>1174.7990707786334</v>
      </c>
      <c r="L25" s="58">
        <f>Water!G28</f>
        <v>600</v>
      </c>
      <c r="M25" s="58">
        <v>12550</v>
      </c>
      <c r="N25" s="106">
        <f t="shared" si="1"/>
        <v>7530000</v>
      </c>
      <c r="O25" s="43">
        <f t="shared" si="3"/>
        <v>161</v>
      </c>
    </row>
    <row r="26" spans="1:15" x14ac:dyDescent="0.25">
      <c r="A26" s="48" t="s">
        <v>45</v>
      </c>
      <c r="B26" s="45">
        <v>25</v>
      </c>
      <c r="C26" s="45">
        <v>8</v>
      </c>
      <c r="D26" s="45">
        <f t="shared" si="2"/>
        <v>2018</v>
      </c>
      <c r="E26" s="43">
        <f>Electricity!G30</f>
        <v>26319.999999998799</v>
      </c>
      <c r="F26" s="43">
        <f>Electricity!E30</f>
        <v>5119.9999999998909</v>
      </c>
      <c r="G26" s="43">
        <f>Electricity!F30</f>
        <v>21199.999999998909</v>
      </c>
      <c r="H26" s="47">
        <v>1553.67</v>
      </c>
      <c r="I26" s="57" t="s">
        <v>28</v>
      </c>
      <c r="J26" s="106">
        <f>Electricity!L30</f>
        <v>30631246.233598668</v>
      </c>
      <c r="K26" s="43">
        <f t="shared" si="0"/>
        <v>1163.8011486930116</v>
      </c>
      <c r="L26" s="58">
        <f>Water!G29</f>
        <v>507</v>
      </c>
      <c r="M26" s="58">
        <v>12550</v>
      </c>
      <c r="N26" s="106">
        <f t="shared" si="1"/>
        <v>6362850</v>
      </c>
      <c r="O26" s="43">
        <f t="shared" si="3"/>
        <v>161</v>
      </c>
    </row>
    <row r="27" spans="1:15" x14ac:dyDescent="0.25">
      <c r="A27" s="48" t="s">
        <v>45</v>
      </c>
      <c r="B27" s="45">
        <v>26</v>
      </c>
      <c r="C27" s="45">
        <v>8</v>
      </c>
      <c r="D27" s="45">
        <f t="shared" si="2"/>
        <v>2018</v>
      </c>
      <c r="E27" s="43">
        <f>Electricity!G31</f>
        <v>24639.999999999873</v>
      </c>
      <c r="F27" s="43">
        <f>Electricity!E31</f>
        <v>3799.9999999997272</v>
      </c>
      <c r="G27" s="43">
        <f>Electricity!F31</f>
        <v>20840.000000000146</v>
      </c>
      <c r="H27" s="47">
        <v>1553.67</v>
      </c>
      <c r="I27" s="57" t="s">
        <v>28</v>
      </c>
      <c r="J27" s="106">
        <f>Electricity!L31</f>
        <v>28149351.628799722</v>
      </c>
      <c r="K27" s="43">
        <f t="shared" si="0"/>
        <v>1142.4249849350595</v>
      </c>
      <c r="L27" s="58">
        <f>Water!G30</f>
        <v>279</v>
      </c>
      <c r="M27" s="58">
        <v>12550</v>
      </c>
      <c r="N27" s="106">
        <f t="shared" si="1"/>
        <v>3501450</v>
      </c>
      <c r="O27" s="43">
        <f t="shared" si="3"/>
        <v>161</v>
      </c>
    </row>
    <row r="28" spans="1:15" x14ac:dyDescent="0.25">
      <c r="A28" s="48" t="s">
        <v>45</v>
      </c>
      <c r="B28" s="45">
        <v>27</v>
      </c>
      <c r="C28" s="45">
        <v>8</v>
      </c>
      <c r="D28" s="45">
        <f t="shared" si="2"/>
        <v>2018</v>
      </c>
      <c r="E28" s="43">
        <f>Electricity!G32</f>
        <v>25920.000000000982</v>
      </c>
      <c r="F28" s="43">
        <f>Electricity!E32</f>
        <v>5640.0000000003274</v>
      </c>
      <c r="G28" s="43">
        <f>Electricity!F32</f>
        <v>20280.000000000655</v>
      </c>
      <c r="H28" s="47">
        <v>1553.67</v>
      </c>
      <c r="I28" s="57" t="s">
        <v>28</v>
      </c>
      <c r="J28" s="106">
        <f>Electricity!L32</f>
        <v>30482756.812801216</v>
      </c>
      <c r="K28" s="43">
        <f t="shared" si="0"/>
        <v>1176.0322844444468</v>
      </c>
      <c r="L28" s="58">
        <f>Water!G31</f>
        <v>254</v>
      </c>
      <c r="M28" s="58">
        <v>12550</v>
      </c>
      <c r="N28" s="106">
        <f t="shared" si="1"/>
        <v>3187700</v>
      </c>
      <c r="O28" s="43">
        <f t="shared" si="3"/>
        <v>161</v>
      </c>
    </row>
    <row r="29" spans="1:15" x14ac:dyDescent="0.25">
      <c r="A29" s="48" t="s">
        <v>45</v>
      </c>
      <c r="B29" s="45">
        <v>28</v>
      </c>
      <c r="C29" s="45">
        <v>8</v>
      </c>
      <c r="D29" s="45">
        <f t="shared" si="2"/>
        <v>2018</v>
      </c>
      <c r="E29" s="43">
        <f>Electricity!G33</f>
        <v>27600.000000000819</v>
      </c>
      <c r="F29" s="43">
        <f>Electricity!E33</f>
        <v>4480.0000000000182</v>
      </c>
      <c r="G29" s="43">
        <f>Electricity!F33</f>
        <v>23120.0000000008</v>
      </c>
      <c r="H29" s="47">
        <v>1553.67</v>
      </c>
      <c r="I29" s="57" t="s">
        <v>28</v>
      </c>
      <c r="J29" s="106">
        <f>Electricity!L33</f>
        <v>31649459.404800877</v>
      </c>
      <c r="K29" s="43">
        <f t="shared" si="0"/>
        <v>1146.7195436521718</v>
      </c>
      <c r="L29" s="58">
        <f>Water!G32</f>
        <v>387</v>
      </c>
      <c r="M29" s="58">
        <v>12550</v>
      </c>
      <c r="N29" s="106">
        <f t="shared" si="1"/>
        <v>4856850</v>
      </c>
      <c r="O29" s="43">
        <f t="shared" si="3"/>
        <v>161</v>
      </c>
    </row>
    <row r="30" spans="1:15" s="43" customFormat="1" x14ac:dyDescent="0.25">
      <c r="A30" s="48" t="s">
        <v>45</v>
      </c>
      <c r="B30" s="45">
        <v>29</v>
      </c>
      <c r="C30" s="45">
        <v>8</v>
      </c>
      <c r="D30" s="45">
        <f t="shared" si="2"/>
        <v>2018</v>
      </c>
      <c r="E30" s="43">
        <f>Electricity!G34</f>
        <v>27519.999999998618</v>
      </c>
      <c r="F30" s="43">
        <f>Electricity!E34</f>
        <v>6000</v>
      </c>
      <c r="G30" s="43">
        <f>Electricity!F34</f>
        <v>21519.999999998618</v>
      </c>
      <c r="H30" s="47">
        <v>1553.67</v>
      </c>
      <c r="I30" s="57" t="s">
        <v>28</v>
      </c>
      <c r="J30" s="106">
        <f>Electricity!L34</f>
        <v>32370693.734398533</v>
      </c>
      <c r="K30" s="43">
        <f t="shared" si="0"/>
        <v>1176.260673488378</v>
      </c>
      <c r="L30" s="58">
        <f>Water!G33</f>
        <v>333</v>
      </c>
      <c r="M30" s="58">
        <v>12550</v>
      </c>
      <c r="N30" s="106">
        <f t="shared" si="1"/>
        <v>4179150</v>
      </c>
      <c r="O30" s="43">
        <f t="shared" si="3"/>
        <v>161</v>
      </c>
    </row>
    <row r="31" spans="1:15" s="43" customFormat="1" x14ac:dyDescent="0.25">
      <c r="A31" s="48" t="s">
        <v>45</v>
      </c>
      <c r="B31" s="45">
        <v>30</v>
      </c>
      <c r="C31" s="45">
        <v>8</v>
      </c>
      <c r="D31" s="45">
        <f t="shared" si="2"/>
        <v>2018</v>
      </c>
      <c r="E31" s="43">
        <f>Electricity!G35</f>
        <v>22480.000000000018</v>
      </c>
      <c r="F31" s="43">
        <f>Electricity!E35</f>
        <v>879.99999999965439</v>
      </c>
      <c r="G31" s="43">
        <f>Electricity!F35</f>
        <v>21600.000000000364</v>
      </c>
      <c r="H31" s="47">
        <v>1553.67</v>
      </c>
      <c r="I31" s="57" t="s">
        <v>28</v>
      </c>
      <c r="J31" s="106">
        <f>Electricity!L35</f>
        <v>24309839.462399833</v>
      </c>
      <c r="K31" s="43">
        <f t="shared" si="0"/>
        <v>1081.3985525978565</v>
      </c>
      <c r="L31" s="58">
        <f>Water!G34</f>
        <v>237</v>
      </c>
      <c r="M31" s="58">
        <v>12550</v>
      </c>
      <c r="N31" s="106">
        <f t="shared" si="1"/>
        <v>2974350</v>
      </c>
      <c r="O31" s="43">
        <f t="shared" si="3"/>
        <v>161</v>
      </c>
    </row>
    <row r="32" spans="1:15" s="43" customFormat="1" x14ac:dyDescent="0.25">
      <c r="A32" s="48" t="s">
        <v>45</v>
      </c>
      <c r="B32" s="45">
        <v>31</v>
      </c>
      <c r="C32" s="45">
        <v>8</v>
      </c>
      <c r="D32" s="45">
        <f t="shared" si="2"/>
        <v>2018</v>
      </c>
      <c r="E32" s="43">
        <f>Electricity!G36</f>
        <v>30879.999999999654</v>
      </c>
      <c r="F32" s="43">
        <f>Electricity!E36</f>
        <v>9160.0000000003092</v>
      </c>
      <c r="G32" s="43">
        <f>Electricity!F36</f>
        <v>21719.999999999345</v>
      </c>
      <c r="H32" s="47">
        <v>1554.67</v>
      </c>
      <c r="I32" s="57" t="s">
        <v>37</v>
      </c>
      <c r="J32" s="106">
        <f>Electricity!L36</f>
        <v>37610249.011199802</v>
      </c>
      <c r="K32" s="43">
        <f t="shared" si="0"/>
        <v>1217.9484783419762</v>
      </c>
      <c r="L32" s="58">
        <f>Water!G35</f>
        <v>197</v>
      </c>
      <c r="M32" s="58">
        <v>12550</v>
      </c>
      <c r="N32" s="106">
        <f t="shared" si="1"/>
        <v>2472350</v>
      </c>
      <c r="O32" s="43">
        <f t="shared" si="3"/>
        <v>161</v>
      </c>
    </row>
    <row r="33" spans="1:13" s="43" customFormat="1" x14ac:dyDescent="0.25">
      <c r="A33" s="44"/>
      <c r="B33" s="46"/>
      <c r="C33" s="46"/>
      <c r="D33" s="45"/>
      <c r="I33" s="47"/>
      <c r="K33" s="47"/>
      <c r="L33" s="47"/>
    </row>
    <row r="34" spans="1:13" s="43" customFormat="1" x14ac:dyDescent="0.25">
      <c r="A34" s="44"/>
      <c r="B34" s="46"/>
      <c r="C34" s="46"/>
      <c r="D34" s="45"/>
      <c r="I34" s="47"/>
      <c r="J34" s="47"/>
      <c r="K34" s="47"/>
      <c r="L34" s="47"/>
      <c r="M34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38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39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43313</v>
      </c>
      <c r="C6" s="59">
        <v>161</v>
      </c>
      <c r="D6" s="87">
        <v>1035.78</v>
      </c>
      <c r="E6" s="115">
        <v>4679.9999999998363</v>
      </c>
      <c r="F6" s="115">
        <v>17120.0000000008</v>
      </c>
      <c r="G6" s="80">
        <f>F6+E6</f>
        <v>21800.000000000637</v>
      </c>
      <c r="H6" s="81">
        <f t="shared" ref="H6:H33" si="0">E6*1.5*D6</f>
        <v>7271175.5999997454</v>
      </c>
      <c r="I6" s="81">
        <f t="shared" ref="I6:I33" si="1">F6*D6</f>
        <v>17732553.600000829</v>
      </c>
      <c r="J6" s="81">
        <f t="shared" ref="J6:J30" si="2">I6+H6</f>
        <v>25003729.200000573</v>
      </c>
      <c r="K6" s="81">
        <f>J6*0.024</f>
        <v>600089.50080001378</v>
      </c>
      <c r="L6" s="104">
        <f>J6+K6</f>
        <v>25603818.700800586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43314</v>
      </c>
      <c r="C7" s="59">
        <f>C6</f>
        <v>161</v>
      </c>
      <c r="D7" s="87">
        <v>1035.78</v>
      </c>
      <c r="E7" s="115">
        <v>4800.0000000001819</v>
      </c>
      <c r="F7" s="115">
        <v>24680.000000000291</v>
      </c>
      <c r="G7" s="80">
        <f t="shared" ref="G7:G33" si="3">F7+E7</f>
        <v>29480.000000000473</v>
      </c>
      <c r="H7" s="81">
        <f t="shared" si="0"/>
        <v>7457616.0000002822</v>
      </c>
      <c r="I7" s="81">
        <f t="shared" si="1"/>
        <v>25563050.4000003</v>
      </c>
      <c r="J7" s="81">
        <f t="shared" si="2"/>
        <v>33020666.400000583</v>
      </c>
      <c r="K7" s="81">
        <f t="shared" ref="K7:K36" si="4">J7*0.024</f>
        <v>792495.99360001402</v>
      </c>
      <c r="L7" s="104">
        <f>J7+K7</f>
        <v>33813162.393600598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43315</v>
      </c>
      <c r="C8" s="59">
        <f t="shared" ref="C8:C36" si="5">C7</f>
        <v>161</v>
      </c>
      <c r="D8" s="87">
        <v>1035.78</v>
      </c>
      <c r="E8" s="115">
        <v>5360.0000000001273</v>
      </c>
      <c r="F8" s="115">
        <v>21000</v>
      </c>
      <c r="G8" s="80">
        <f t="shared" si="3"/>
        <v>26360.000000000127</v>
      </c>
      <c r="H8" s="81">
        <f t="shared" si="0"/>
        <v>8327671.2000001976</v>
      </c>
      <c r="I8" s="81">
        <f t="shared" si="1"/>
        <v>21751380</v>
      </c>
      <c r="J8" s="81">
        <f t="shared" si="2"/>
        <v>30079051.200000197</v>
      </c>
      <c r="K8" s="81">
        <f t="shared" si="4"/>
        <v>721897.2288000047</v>
      </c>
      <c r="L8" s="104">
        <f t="shared" ref="L8:L30" si="6">J8+K8</f>
        <v>30800948.428800203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43316</v>
      </c>
      <c r="C9" s="59">
        <f t="shared" si="5"/>
        <v>161</v>
      </c>
      <c r="D9" s="87">
        <v>1035.78</v>
      </c>
      <c r="E9" s="115">
        <v>4000</v>
      </c>
      <c r="F9" s="115">
        <v>20000</v>
      </c>
      <c r="G9" s="80">
        <f t="shared" si="3"/>
        <v>24000</v>
      </c>
      <c r="H9" s="81">
        <f t="shared" si="0"/>
        <v>6214680</v>
      </c>
      <c r="I9" s="81">
        <f t="shared" si="1"/>
        <v>20715600</v>
      </c>
      <c r="J9" s="81">
        <f t="shared" si="2"/>
        <v>26930280</v>
      </c>
      <c r="K9" s="81">
        <f t="shared" si="4"/>
        <v>646326.72</v>
      </c>
      <c r="L9" s="104">
        <f t="shared" si="6"/>
        <v>27576606.719999999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43317</v>
      </c>
      <c r="C10" s="59">
        <f t="shared" si="5"/>
        <v>161</v>
      </c>
      <c r="D10" s="87">
        <v>1035.78</v>
      </c>
      <c r="E10" s="115">
        <v>5199.9999999998181</v>
      </c>
      <c r="F10" s="115">
        <v>20519.999999998618</v>
      </c>
      <c r="G10" s="80">
        <f t="shared" si="3"/>
        <v>25719.999999998436</v>
      </c>
      <c r="H10" s="81">
        <f t="shared" si="0"/>
        <v>8079083.9999997169</v>
      </c>
      <c r="I10" s="81">
        <f t="shared" si="1"/>
        <v>21254205.599998567</v>
      </c>
      <c r="J10" s="81">
        <f t="shared" si="2"/>
        <v>29333289.599998284</v>
      </c>
      <c r="K10" s="81">
        <f t="shared" si="4"/>
        <v>703998.95039995888</v>
      </c>
      <c r="L10" s="104">
        <f t="shared" si="6"/>
        <v>30037288.550398242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43318</v>
      </c>
      <c r="C11" s="59">
        <f t="shared" si="5"/>
        <v>161</v>
      </c>
      <c r="D11" s="87">
        <v>1035.78</v>
      </c>
      <c r="E11" s="115">
        <v>5360.0000000001273</v>
      </c>
      <c r="F11" s="115">
        <v>32600.000000000364</v>
      </c>
      <c r="G11" s="80">
        <f t="shared" si="3"/>
        <v>37960.000000000495</v>
      </c>
      <c r="H11" s="81">
        <f t="shared" si="0"/>
        <v>8327671.2000001976</v>
      </c>
      <c r="I11" s="81">
        <f t="shared" si="1"/>
        <v>33766428.000000373</v>
      </c>
      <c r="J11" s="81">
        <f t="shared" si="2"/>
        <v>42094099.200000569</v>
      </c>
      <c r="K11" s="81">
        <f t="shared" si="4"/>
        <v>1010258.3808000137</v>
      </c>
      <c r="L11" s="104">
        <f t="shared" si="6"/>
        <v>43104357.580800585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43319</v>
      </c>
      <c r="C12" s="59">
        <f t="shared" si="5"/>
        <v>161</v>
      </c>
      <c r="D12" s="87">
        <v>1035.78</v>
      </c>
      <c r="E12" s="115">
        <v>4880.0000000001091</v>
      </c>
      <c r="F12" s="115">
        <v>8239.9999999997817</v>
      </c>
      <c r="G12" s="80">
        <f t="shared" si="3"/>
        <v>13119.999999999891</v>
      </c>
      <c r="H12" s="81">
        <f t="shared" si="0"/>
        <v>7581909.6000001691</v>
      </c>
      <c r="I12" s="81">
        <f t="shared" si="1"/>
        <v>8534827.1999997739</v>
      </c>
      <c r="J12" s="81">
        <f t="shared" si="2"/>
        <v>16116736.799999943</v>
      </c>
      <c r="K12" s="81">
        <f t="shared" si="4"/>
        <v>386801.68319999863</v>
      </c>
      <c r="L12" s="104">
        <f t="shared" si="6"/>
        <v>16503538.483199941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43320</v>
      </c>
      <c r="C13" s="59">
        <f t="shared" si="5"/>
        <v>161</v>
      </c>
      <c r="D13" s="87">
        <v>1035.78</v>
      </c>
      <c r="E13" s="115">
        <v>4960.0000000000364</v>
      </c>
      <c r="F13" s="115">
        <v>21840.000000000146</v>
      </c>
      <c r="G13" s="80">
        <f t="shared" si="3"/>
        <v>26800.000000000182</v>
      </c>
      <c r="H13" s="81">
        <f t="shared" si="0"/>
        <v>7706203.2000000561</v>
      </c>
      <c r="I13" s="81">
        <f t="shared" si="1"/>
        <v>22621435.200000152</v>
      </c>
      <c r="J13" s="81">
        <f t="shared" si="2"/>
        <v>30327638.400000207</v>
      </c>
      <c r="K13" s="81">
        <f t="shared" si="4"/>
        <v>727863.32160000503</v>
      </c>
      <c r="L13" s="104">
        <f t="shared" si="6"/>
        <v>31055501.721600212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43321</v>
      </c>
      <c r="C14" s="59">
        <f t="shared" si="5"/>
        <v>161</v>
      </c>
      <c r="D14" s="87">
        <v>1035.78</v>
      </c>
      <c r="E14" s="115">
        <v>5279.9999999997453</v>
      </c>
      <c r="F14" s="115">
        <v>3770.47</v>
      </c>
      <c r="G14" s="80">
        <f t="shared" si="3"/>
        <v>9050.4699999997447</v>
      </c>
      <c r="H14" s="81">
        <f t="shared" si="0"/>
        <v>8203377.5999996038</v>
      </c>
      <c r="I14" s="81">
        <f t="shared" si="1"/>
        <v>3905377.4165999996</v>
      </c>
      <c r="J14" s="81">
        <f t="shared" si="2"/>
        <v>12108755.016599603</v>
      </c>
      <c r="K14" s="81">
        <f t="shared" si="4"/>
        <v>290610.12039839046</v>
      </c>
      <c r="L14" s="104">
        <f t="shared" si="6"/>
        <v>12399365.136997994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43322</v>
      </c>
      <c r="C15" s="59">
        <f t="shared" si="5"/>
        <v>161</v>
      </c>
      <c r="D15" s="87">
        <v>1035.78</v>
      </c>
      <c r="E15" s="115">
        <v>3880.0000000001091</v>
      </c>
      <c r="F15" s="115">
        <v>21240.000000001601</v>
      </c>
      <c r="G15" s="80">
        <f t="shared" si="3"/>
        <v>25120.00000000171</v>
      </c>
      <c r="H15" s="81">
        <f t="shared" si="0"/>
        <v>6028239.6000001691</v>
      </c>
      <c r="I15" s="81">
        <f t="shared" si="1"/>
        <v>21999967.200001657</v>
      </c>
      <c r="J15" s="81">
        <f t="shared" si="2"/>
        <v>28028206.800001826</v>
      </c>
      <c r="K15" s="81">
        <f t="shared" si="4"/>
        <v>672676.96320004389</v>
      </c>
      <c r="L15" s="104">
        <f t="shared" si="6"/>
        <v>28700883.76320187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43323</v>
      </c>
      <c r="C16" s="59">
        <f t="shared" si="5"/>
        <v>161</v>
      </c>
      <c r="D16" s="87">
        <v>1035.78</v>
      </c>
      <c r="E16" s="115">
        <v>5279.9999999997453</v>
      </c>
      <c r="F16" s="115">
        <v>21799.999999999272</v>
      </c>
      <c r="G16" s="80">
        <f t="shared" si="3"/>
        <v>27079.999999999018</v>
      </c>
      <c r="H16" s="81">
        <f t="shared" si="0"/>
        <v>8203377.5999996038</v>
      </c>
      <c r="I16" s="81">
        <f t="shared" si="1"/>
        <v>22580003.999999247</v>
      </c>
      <c r="J16" s="81">
        <f t="shared" si="2"/>
        <v>30783381.59999885</v>
      </c>
      <c r="K16" s="81">
        <f t="shared" si="4"/>
        <v>738801.15839997237</v>
      </c>
      <c r="L16" s="104">
        <f t="shared" si="6"/>
        <v>31522182.758398823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43324</v>
      </c>
      <c r="C17" s="59">
        <f t="shared" si="5"/>
        <v>161</v>
      </c>
      <c r="D17" s="87">
        <v>1035.78</v>
      </c>
      <c r="E17" s="115">
        <v>4840.0000000001455</v>
      </c>
      <c r="F17" s="115">
        <v>21680.000000000291</v>
      </c>
      <c r="G17" s="80">
        <f t="shared" si="3"/>
        <v>26520.000000000437</v>
      </c>
      <c r="H17" s="81">
        <f t="shared" si="0"/>
        <v>7519762.8000002261</v>
      </c>
      <c r="I17" s="81">
        <f t="shared" si="1"/>
        <v>22455710.4000003</v>
      </c>
      <c r="J17" s="81">
        <f t="shared" si="2"/>
        <v>29975473.200000525</v>
      </c>
      <c r="K17" s="81">
        <f t="shared" si="4"/>
        <v>719411.35680001264</v>
      </c>
      <c r="L17" s="104">
        <f t="shared" si="6"/>
        <v>30694884.556800537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43325</v>
      </c>
      <c r="C18" s="59">
        <f t="shared" si="5"/>
        <v>161</v>
      </c>
      <c r="D18" s="87">
        <v>1035.78</v>
      </c>
      <c r="E18" s="115">
        <v>6159.9999999998545</v>
      </c>
      <c r="F18" s="115">
        <v>22399.999999999636</v>
      </c>
      <c r="G18" s="80">
        <f t="shared" si="3"/>
        <v>28559.999999999491</v>
      </c>
      <c r="H18" s="81">
        <f t="shared" si="0"/>
        <v>9570607.1999997739</v>
      </c>
      <c r="I18" s="81">
        <f t="shared" si="1"/>
        <v>23201471.999999624</v>
      </c>
      <c r="J18" s="81">
        <f t="shared" si="2"/>
        <v>32772079.199999399</v>
      </c>
      <c r="K18" s="81">
        <f t="shared" si="4"/>
        <v>786529.90079998563</v>
      </c>
      <c r="L18" s="104">
        <f t="shared" si="6"/>
        <v>33558609.100799382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43326</v>
      </c>
      <c r="C19" s="59">
        <f t="shared" si="5"/>
        <v>161</v>
      </c>
      <c r="D19" s="87">
        <v>1035.78</v>
      </c>
      <c r="E19" s="115">
        <v>5240.0000000002365</v>
      </c>
      <c r="F19" s="115">
        <v>21559.999999999491</v>
      </c>
      <c r="G19" s="80">
        <f t="shared" si="3"/>
        <v>26799.999999999727</v>
      </c>
      <c r="H19" s="81">
        <f t="shared" si="0"/>
        <v>8141230.8000003668</v>
      </c>
      <c r="I19" s="81">
        <f t="shared" si="1"/>
        <v>22331416.799999472</v>
      </c>
      <c r="J19" s="81">
        <f t="shared" si="2"/>
        <v>30472647.599999838</v>
      </c>
      <c r="K19" s="81">
        <f t="shared" si="4"/>
        <v>731343.54239999608</v>
      </c>
      <c r="L19" s="104">
        <f t="shared" si="6"/>
        <v>31203991.142399833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43327</v>
      </c>
      <c r="C20" s="59">
        <f t="shared" si="5"/>
        <v>161</v>
      </c>
      <c r="D20" s="87">
        <v>1035.78</v>
      </c>
      <c r="E20" s="115">
        <v>4880.0000000001091</v>
      </c>
      <c r="F20" s="115">
        <v>20040.000000000873</v>
      </c>
      <c r="G20" s="80">
        <f t="shared" si="3"/>
        <v>24920.000000000982</v>
      </c>
      <c r="H20" s="81">
        <f t="shared" si="0"/>
        <v>7581909.6000001691</v>
      </c>
      <c r="I20" s="81">
        <f t="shared" si="1"/>
        <v>20757031.200000905</v>
      </c>
      <c r="J20" s="81">
        <f t="shared" si="2"/>
        <v>28338940.800001074</v>
      </c>
      <c r="K20" s="81">
        <f t="shared" si="4"/>
        <v>680134.57920002576</v>
      </c>
      <c r="L20" s="104">
        <f t="shared" si="6"/>
        <v>29019075.379201099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43328</v>
      </c>
      <c r="C21" s="59">
        <f t="shared" si="5"/>
        <v>161</v>
      </c>
      <c r="D21" s="87">
        <v>1035.78</v>
      </c>
      <c r="E21" s="115">
        <v>4559.9999999999454</v>
      </c>
      <c r="F21" s="115">
        <v>21359.999999998763</v>
      </c>
      <c r="G21" s="80">
        <f t="shared" si="3"/>
        <v>25919.999999998709</v>
      </c>
      <c r="H21" s="81">
        <f t="shared" si="0"/>
        <v>7084735.1999999154</v>
      </c>
      <c r="I21" s="81">
        <f t="shared" si="1"/>
        <v>22124260.799998719</v>
      </c>
      <c r="J21" s="81">
        <f t="shared" si="2"/>
        <v>29208995.999998637</v>
      </c>
      <c r="K21" s="81">
        <f t="shared" si="4"/>
        <v>701015.90399996727</v>
      </c>
      <c r="L21" s="104">
        <f t="shared" si="6"/>
        <v>29910011.903998602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43329</v>
      </c>
      <c r="C22" s="59">
        <f t="shared" si="5"/>
        <v>161</v>
      </c>
      <c r="D22" s="87">
        <v>1035.78</v>
      </c>
      <c r="E22" s="115">
        <v>5079.9999999999272</v>
      </c>
      <c r="F22" s="115">
        <v>16640.000000001237</v>
      </c>
      <c r="G22" s="80">
        <f t="shared" si="3"/>
        <v>21720.000000001164</v>
      </c>
      <c r="H22" s="81">
        <f t="shared" si="0"/>
        <v>7892643.5999998869</v>
      </c>
      <c r="I22" s="81">
        <f t="shared" si="1"/>
        <v>17235379.200001281</v>
      </c>
      <c r="J22" s="81">
        <f t="shared" si="2"/>
        <v>25128022.800001167</v>
      </c>
      <c r="K22" s="81">
        <f t="shared" si="4"/>
        <v>603072.54720002797</v>
      </c>
      <c r="L22" s="104">
        <f t="shared" si="6"/>
        <v>25731095.347201195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43330</v>
      </c>
      <c r="C23" s="59">
        <f t="shared" si="5"/>
        <v>161</v>
      </c>
      <c r="D23" s="87">
        <v>1035.78</v>
      </c>
      <c r="E23" s="115">
        <v>4480.0000000000182</v>
      </c>
      <c r="F23" s="115">
        <v>24840.000000000146</v>
      </c>
      <c r="G23" s="80">
        <f t="shared" si="3"/>
        <v>29320.000000000164</v>
      </c>
      <c r="H23" s="81">
        <f t="shared" si="0"/>
        <v>6960441.6000000285</v>
      </c>
      <c r="I23" s="81">
        <f t="shared" si="1"/>
        <v>25728775.200000148</v>
      </c>
      <c r="J23" s="81">
        <f t="shared" si="2"/>
        <v>32689216.800000176</v>
      </c>
      <c r="K23" s="81">
        <f t="shared" si="4"/>
        <v>784541.20320000418</v>
      </c>
      <c r="L23" s="104">
        <f t="shared" si="6"/>
        <v>33473758.003200181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43331</v>
      </c>
      <c r="C24" s="59">
        <f t="shared" si="5"/>
        <v>161</v>
      </c>
      <c r="D24" s="87">
        <v>1035.78</v>
      </c>
      <c r="E24" s="115">
        <v>4559.9999999999454</v>
      </c>
      <c r="F24" s="115">
        <v>20199.999999998909</v>
      </c>
      <c r="G24" s="80">
        <f t="shared" si="3"/>
        <v>24759.999999998854</v>
      </c>
      <c r="H24" s="81">
        <f t="shared" si="0"/>
        <v>7084735.1999999154</v>
      </c>
      <c r="I24" s="81">
        <f t="shared" si="1"/>
        <v>20922755.999998868</v>
      </c>
      <c r="J24" s="81">
        <f t="shared" si="2"/>
        <v>28007491.199998781</v>
      </c>
      <c r="K24" s="81">
        <f t="shared" si="4"/>
        <v>672179.78879997076</v>
      </c>
      <c r="L24" s="104">
        <f t="shared" si="6"/>
        <v>28679670.988798752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43332</v>
      </c>
      <c r="C25" s="59">
        <f t="shared" si="5"/>
        <v>161</v>
      </c>
      <c r="D25" s="87">
        <v>1035.78</v>
      </c>
      <c r="E25" s="115">
        <v>4679.9999999998363</v>
      </c>
      <c r="F25" s="115">
        <v>20800.000000001091</v>
      </c>
      <c r="G25" s="80">
        <f t="shared" si="3"/>
        <v>25480.000000000928</v>
      </c>
      <c r="H25" s="81">
        <f t="shared" si="0"/>
        <v>7271175.5999997454</v>
      </c>
      <c r="I25" s="81">
        <f t="shared" si="1"/>
        <v>21544224.000001129</v>
      </c>
      <c r="J25" s="81">
        <f t="shared" si="2"/>
        <v>28815399.600000873</v>
      </c>
      <c r="K25" s="81">
        <f t="shared" si="4"/>
        <v>691569.59040002094</v>
      </c>
      <c r="L25" s="104">
        <f t="shared" si="6"/>
        <v>29506969.190400895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43333</v>
      </c>
      <c r="C26" s="59">
        <f t="shared" si="5"/>
        <v>161</v>
      </c>
      <c r="D26" s="87">
        <v>1035.78</v>
      </c>
      <c r="E26" s="115">
        <v>5560.0000000004002</v>
      </c>
      <c r="F26" s="115">
        <v>22159.999999999854</v>
      </c>
      <c r="G26" s="80">
        <f t="shared" si="3"/>
        <v>27720.000000000255</v>
      </c>
      <c r="H26" s="81">
        <f t="shared" si="0"/>
        <v>8638405.2000006214</v>
      </c>
      <c r="I26" s="81">
        <f t="shared" si="1"/>
        <v>22952884.799999848</v>
      </c>
      <c r="J26" s="81">
        <f t="shared" si="2"/>
        <v>31591290.000000469</v>
      </c>
      <c r="K26" s="81">
        <f t="shared" si="4"/>
        <v>758190.96000001126</v>
      </c>
      <c r="L26" s="104">
        <f>J26+K26</f>
        <v>32349480.960000481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43334</v>
      </c>
      <c r="C27" s="59">
        <f t="shared" si="5"/>
        <v>161</v>
      </c>
      <c r="D27" s="87">
        <v>1035.78</v>
      </c>
      <c r="E27" s="115">
        <v>4799.9999999997272</v>
      </c>
      <c r="F27" s="115">
        <v>20639.999999999418</v>
      </c>
      <c r="G27" s="80">
        <f t="shared" si="3"/>
        <v>25439.999999999145</v>
      </c>
      <c r="H27" s="81">
        <f t="shared" si="0"/>
        <v>7457615.9999995762</v>
      </c>
      <c r="I27" s="81">
        <f t="shared" si="1"/>
        <v>21378499.199999396</v>
      </c>
      <c r="J27" s="81">
        <f t="shared" si="2"/>
        <v>28836115.199998971</v>
      </c>
      <c r="K27" s="81">
        <f t="shared" si="4"/>
        <v>692066.76479997532</v>
      </c>
      <c r="L27" s="104">
        <f t="shared" si="6"/>
        <v>29528181.964798946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43335</v>
      </c>
      <c r="C28" s="59">
        <f t="shared" si="5"/>
        <v>161</v>
      </c>
      <c r="D28" s="87">
        <v>1035.78</v>
      </c>
      <c r="E28" s="115">
        <v>4039.9999999999636</v>
      </c>
      <c r="F28" s="115">
        <v>20880.000000001019</v>
      </c>
      <c r="G28" s="80">
        <f t="shared" si="3"/>
        <v>24920.000000000982</v>
      </c>
      <c r="H28" s="81">
        <f t="shared" si="0"/>
        <v>6276826.799999943</v>
      </c>
      <c r="I28" s="81">
        <f t="shared" si="1"/>
        <v>21627086.400001053</v>
      </c>
      <c r="J28" s="81">
        <f t="shared" si="2"/>
        <v>27903913.200000994</v>
      </c>
      <c r="K28" s="81">
        <f t="shared" si="4"/>
        <v>669693.91680002387</v>
      </c>
      <c r="L28" s="104">
        <f t="shared" si="6"/>
        <v>28573607.116801016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43336</v>
      </c>
      <c r="C29" s="59">
        <f t="shared" si="5"/>
        <v>161</v>
      </c>
      <c r="D29" s="87">
        <v>1035.78</v>
      </c>
      <c r="E29" s="115">
        <v>5640.0000000003274</v>
      </c>
      <c r="F29" s="115">
        <v>20559.999999999491</v>
      </c>
      <c r="G29" s="80">
        <f t="shared" si="3"/>
        <v>26199.999999999818</v>
      </c>
      <c r="H29" s="81">
        <f t="shared" si="0"/>
        <v>8762698.8000005092</v>
      </c>
      <c r="I29" s="81">
        <f t="shared" si="1"/>
        <v>21295636.799999472</v>
      </c>
      <c r="J29" s="81">
        <f t="shared" si="2"/>
        <v>30058335.599999979</v>
      </c>
      <c r="K29" s="81">
        <f t="shared" si="4"/>
        <v>721400.05439999956</v>
      </c>
      <c r="L29" s="104">
        <f t="shared" si="6"/>
        <v>30779735.65439998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43337</v>
      </c>
      <c r="C30" s="59">
        <f t="shared" si="5"/>
        <v>161</v>
      </c>
      <c r="D30" s="87">
        <v>1035.78</v>
      </c>
      <c r="E30" s="115">
        <v>5119.9999999998909</v>
      </c>
      <c r="F30" s="115">
        <v>21199.999999998909</v>
      </c>
      <c r="G30" s="80">
        <f t="shared" si="3"/>
        <v>26319.999999998799</v>
      </c>
      <c r="H30" s="81">
        <f t="shared" si="0"/>
        <v>7954790.3999998299</v>
      </c>
      <c r="I30" s="81">
        <f t="shared" si="1"/>
        <v>21958535.999998868</v>
      </c>
      <c r="J30" s="81">
        <f t="shared" si="2"/>
        <v>29913326.399998698</v>
      </c>
      <c r="K30" s="81">
        <f t="shared" si="4"/>
        <v>717919.83359996881</v>
      </c>
      <c r="L30" s="104">
        <f t="shared" si="6"/>
        <v>30631246.233598668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43338</v>
      </c>
      <c r="C31" s="59">
        <f t="shared" si="5"/>
        <v>161</v>
      </c>
      <c r="D31" s="87">
        <v>1035.78</v>
      </c>
      <c r="E31" s="115">
        <v>3799.9999999997272</v>
      </c>
      <c r="F31" s="115">
        <v>20840.000000000146</v>
      </c>
      <c r="G31" s="80">
        <f t="shared" si="3"/>
        <v>24639.999999999873</v>
      </c>
      <c r="H31" s="81">
        <f t="shared" si="0"/>
        <v>5903945.9999995762</v>
      </c>
      <c r="I31" s="81">
        <f t="shared" si="1"/>
        <v>21585655.200000152</v>
      </c>
      <c r="J31" s="81">
        <f t="shared" ref="J31:J33" si="7">I31+H31</f>
        <v>27489601.199999727</v>
      </c>
      <c r="K31" s="81">
        <f t="shared" si="4"/>
        <v>659750.42879999347</v>
      </c>
      <c r="L31" s="104">
        <f t="shared" ref="L31:L33" si="8">J31+K31</f>
        <v>28149351.628799722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43339</v>
      </c>
      <c r="C32" s="59">
        <f t="shared" si="5"/>
        <v>161</v>
      </c>
      <c r="D32" s="87">
        <v>1035.78</v>
      </c>
      <c r="E32" s="115">
        <v>5640.0000000003274</v>
      </c>
      <c r="F32" s="115">
        <v>20280.000000000655</v>
      </c>
      <c r="G32" s="80">
        <f t="shared" si="3"/>
        <v>25920.000000000982</v>
      </c>
      <c r="H32" s="81">
        <f t="shared" si="0"/>
        <v>8762698.8000005092</v>
      </c>
      <c r="I32" s="81">
        <f t="shared" si="1"/>
        <v>21005618.400000677</v>
      </c>
      <c r="J32" s="81">
        <f t="shared" si="7"/>
        <v>29768317.200001188</v>
      </c>
      <c r="K32" s="81">
        <f t="shared" si="4"/>
        <v>714439.61280002852</v>
      </c>
      <c r="L32" s="104">
        <f t="shared" si="8"/>
        <v>30482756.812801216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43340</v>
      </c>
      <c r="C33" s="59">
        <f t="shared" si="5"/>
        <v>161</v>
      </c>
      <c r="D33" s="87">
        <v>1035.78</v>
      </c>
      <c r="E33" s="115">
        <v>4480.0000000000182</v>
      </c>
      <c r="F33" s="115">
        <v>23120.0000000008</v>
      </c>
      <c r="G33" s="80">
        <f t="shared" si="3"/>
        <v>27600.000000000819</v>
      </c>
      <c r="H33" s="81">
        <f t="shared" si="0"/>
        <v>6960441.6000000285</v>
      </c>
      <c r="I33" s="81">
        <f t="shared" si="1"/>
        <v>23947233.600000829</v>
      </c>
      <c r="J33" s="81">
        <f t="shared" si="7"/>
        <v>30907675.200000856</v>
      </c>
      <c r="K33" s="81">
        <f t="shared" si="4"/>
        <v>741784.20480002055</v>
      </c>
      <c r="L33" s="104">
        <f t="shared" si="8"/>
        <v>31649459.404800877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43341</v>
      </c>
      <c r="C34" s="59">
        <f t="shared" si="5"/>
        <v>161</v>
      </c>
      <c r="D34" s="87">
        <v>1035.78</v>
      </c>
      <c r="E34" s="115">
        <v>6000</v>
      </c>
      <c r="F34" s="115">
        <v>21519.999999998618</v>
      </c>
      <c r="G34" s="80">
        <f t="shared" ref="G34" si="9">F34+E34</f>
        <v>27519.999999998618</v>
      </c>
      <c r="H34" s="81">
        <f t="shared" ref="H34" si="10">E34*1.5*D34</f>
        <v>9322020</v>
      </c>
      <c r="I34" s="81">
        <f t="shared" ref="I34" si="11">F34*D34</f>
        <v>22289985.599998567</v>
      </c>
      <c r="J34" s="81">
        <f t="shared" ref="J34" si="12">I34+H34</f>
        <v>31612005.599998567</v>
      </c>
      <c r="K34" s="81">
        <f t="shared" si="4"/>
        <v>758688.13439996564</v>
      </c>
      <c r="L34" s="104">
        <f t="shared" ref="L34" si="13">J34+K34</f>
        <v>32370693.734398533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43342</v>
      </c>
      <c r="C35" s="59">
        <f t="shared" si="5"/>
        <v>161</v>
      </c>
      <c r="D35" s="87">
        <v>1035.78</v>
      </c>
      <c r="E35" s="115">
        <v>879.99999999965439</v>
      </c>
      <c r="F35" s="115">
        <v>21600.000000000364</v>
      </c>
      <c r="G35" s="80">
        <f t="shared" ref="G35:G36" si="14">F35+E35</f>
        <v>22480.000000000018</v>
      </c>
      <c r="H35" s="81">
        <f t="shared" ref="H35" si="15">E35*1.5*D35</f>
        <v>1367229.599999463</v>
      </c>
      <c r="I35" s="81">
        <f t="shared" ref="I35" si="16">F35*D35</f>
        <v>22372848.000000376</v>
      </c>
      <c r="J35" s="81">
        <f t="shared" ref="J35" si="17">I35+H35</f>
        <v>23740077.599999838</v>
      </c>
      <c r="K35" s="81">
        <f t="shared" si="4"/>
        <v>569761.86239999614</v>
      </c>
      <c r="L35" s="104">
        <f t="shared" ref="L35" si="18">J35+K35</f>
        <v>24309839.462399833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43343</v>
      </c>
      <c r="C36" s="59">
        <f t="shared" si="5"/>
        <v>161</v>
      </c>
      <c r="D36" s="87">
        <v>1035.78</v>
      </c>
      <c r="E36" s="115">
        <v>9160.0000000003092</v>
      </c>
      <c r="F36" s="115">
        <v>21719.999999999345</v>
      </c>
      <c r="G36" s="80">
        <f t="shared" si="14"/>
        <v>30879.999999999654</v>
      </c>
      <c r="H36" s="81">
        <f t="shared" ref="H36" si="19">E36*1.5*D36</f>
        <v>14231617.20000048</v>
      </c>
      <c r="I36" s="81">
        <f t="shared" ref="I36" si="20">F36*D36</f>
        <v>22497141.59999932</v>
      </c>
      <c r="J36" s="81">
        <f t="shared" ref="J36" si="21">I36+H36</f>
        <v>36728758.799999803</v>
      </c>
      <c r="K36" s="81">
        <f t="shared" si="4"/>
        <v>881490.21119999525</v>
      </c>
      <c r="L36" s="104">
        <f t="shared" ref="L36" si="22">J36+K36</f>
        <v>37610249.011199802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4508</v>
      </c>
      <c r="D37" s="88"/>
      <c r="E37" s="82">
        <f t="shared" ref="E37:G37" si="23">SUM(E6:E35)</f>
        <v>144119.99999999985</v>
      </c>
      <c r="F37" s="82">
        <f t="shared" si="23"/>
        <v>615130.47000000055</v>
      </c>
      <c r="G37" s="82">
        <f t="shared" si="23"/>
        <v>759250.47000000032</v>
      </c>
      <c r="H37" s="82">
        <f>SUM(H6:H35)</f>
        <v>223914920.39999989</v>
      </c>
      <c r="I37" s="82">
        <f>SUM(I6:I35)</f>
        <v>637139838.21660054</v>
      </c>
      <c r="J37" s="82">
        <f>SUM(J6:J35)</f>
        <v>861054758.61660039</v>
      </c>
      <c r="K37" s="82">
        <f>SUM(K6:K35)</f>
        <v>20665314.206798412</v>
      </c>
      <c r="L37" s="82">
        <f>SUM(L6:L36)</f>
        <v>919330321.83459866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F40" sqref="F40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8</v>
      </c>
      <c r="D5" s="78">
        <v>2018</v>
      </c>
      <c r="E5" s="113">
        <v>92</v>
      </c>
      <c r="F5" s="108">
        <v>357</v>
      </c>
      <c r="G5" s="56">
        <f>E5+F5</f>
        <v>449</v>
      </c>
    </row>
    <row r="6" spans="1:43" ht="15.75" x14ac:dyDescent="0.25">
      <c r="B6" s="78">
        <v>2</v>
      </c>
      <c r="C6" s="78">
        <v>8</v>
      </c>
      <c r="D6" s="78">
        <f>D5</f>
        <v>2018</v>
      </c>
      <c r="E6" s="113">
        <v>73</v>
      </c>
      <c r="F6" s="108">
        <v>285</v>
      </c>
      <c r="G6" s="56">
        <f t="shared" ref="G6:G35" si="0">E6+F6</f>
        <v>358</v>
      </c>
    </row>
    <row r="7" spans="1:43" ht="15.75" x14ac:dyDescent="0.25">
      <c r="B7" s="78">
        <v>3</v>
      </c>
      <c r="C7" s="78">
        <v>8</v>
      </c>
      <c r="D7" s="78">
        <f t="shared" ref="D7:D35" si="1">D6</f>
        <v>2018</v>
      </c>
      <c r="E7" s="113">
        <v>47</v>
      </c>
      <c r="F7" s="108">
        <v>189</v>
      </c>
      <c r="G7" s="56">
        <f t="shared" si="0"/>
        <v>236</v>
      </c>
    </row>
    <row r="8" spans="1:43" ht="15.75" x14ac:dyDescent="0.25">
      <c r="B8" s="78">
        <v>4</v>
      </c>
      <c r="C8" s="78">
        <v>8</v>
      </c>
      <c r="D8" s="78">
        <f t="shared" si="1"/>
        <v>2018</v>
      </c>
      <c r="E8" s="113">
        <v>55</v>
      </c>
      <c r="F8" s="108">
        <v>225</v>
      </c>
      <c r="G8" s="56">
        <f t="shared" si="0"/>
        <v>280</v>
      </c>
    </row>
    <row r="9" spans="1:43" ht="15.75" x14ac:dyDescent="0.25">
      <c r="B9" s="78">
        <v>5</v>
      </c>
      <c r="C9" s="78">
        <v>8</v>
      </c>
      <c r="D9" s="78">
        <f t="shared" si="1"/>
        <v>2018</v>
      </c>
      <c r="E9" s="114">
        <v>64</v>
      </c>
      <c r="F9" s="109">
        <v>260</v>
      </c>
      <c r="G9" s="56">
        <f t="shared" si="0"/>
        <v>324</v>
      </c>
    </row>
    <row r="10" spans="1:43" ht="15.75" x14ac:dyDescent="0.25">
      <c r="B10" s="78">
        <v>6</v>
      </c>
      <c r="C10" s="78">
        <v>8</v>
      </c>
      <c r="D10" s="78">
        <f t="shared" si="1"/>
        <v>2018</v>
      </c>
      <c r="E10" s="113">
        <v>72</v>
      </c>
      <c r="F10" s="108">
        <v>285</v>
      </c>
      <c r="G10" s="56">
        <f t="shared" si="0"/>
        <v>357</v>
      </c>
    </row>
    <row r="11" spans="1:43" ht="15.75" x14ac:dyDescent="0.25">
      <c r="B11" s="78">
        <v>7</v>
      </c>
      <c r="C11" s="78">
        <v>8</v>
      </c>
      <c r="D11" s="78">
        <f t="shared" si="1"/>
        <v>2018</v>
      </c>
      <c r="E11" s="113">
        <v>55</v>
      </c>
      <c r="F11" s="108">
        <v>225</v>
      </c>
      <c r="G11" s="56">
        <f t="shared" si="0"/>
        <v>280</v>
      </c>
    </row>
    <row r="12" spans="1:43" ht="15.75" x14ac:dyDescent="0.25">
      <c r="B12" s="78">
        <v>8</v>
      </c>
      <c r="C12" s="78">
        <v>8</v>
      </c>
      <c r="D12" s="78">
        <f t="shared" si="1"/>
        <v>2018</v>
      </c>
      <c r="E12" s="113">
        <v>89</v>
      </c>
      <c r="F12" s="108">
        <v>355</v>
      </c>
      <c r="G12" s="56">
        <f t="shared" si="0"/>
        <v>444</v>
      </c>
    </row>
    <row r="13" spans="1:43" ht="15.75" x14ac:dyDescent="0.25">
      <c r="B13" s="78">
        <v>9</v>
      </c>
      <c r="C13" s="78">
        <v>8</v>
      </c>
      <c r="D13" s="78">
        <f t="shared" si="1"/>
        <v>2018</v>
      </c>
      <c r="E13" s="113">
        <v>51</v>
      </c>
      <c r="F13" s="108">
        <v>203</v>
      </c>
      <c r="G13" s="56">
        <f t="shared" si="0"/>
        <v>254</v>
      </c>
    </row>
    <row r="14" spans="1:43" ht="15.75" x14ac:dyDescent="0.25">
      <c r="B14" s="78">
        <v>10</v>
      </c>
      <c r="C14" s="78">
        <v>8</v>
      </c>
      <c r="D14" s="78">
        <f t="shared" si="1"/>
        <v>2018</v>
      </c>
      <c r="E14" s="113">
        <v>80</v>
      </c>
      <c r="F14" s="108">
        <v>319</v>
      </c>
      <c r="G14" s="56">
        <f t="shared" si="0"/>
        <v>399</v>
      </c>
    </row>
    <row r="15" spans="1:43" ht="15.75" x14ac:dyDescent="0.25">
      <c r="B15" s="78">
        <v>11</v>
      </c>
      <c r="C15" s="78">
        <v>8</v>
      </c>
      <c r="D15" s="78">
        <f t="shared" si="1"/>
        <v>2018</v>
      </c>
      <c r="E15" s="113">
        <v>52</v>
      </c>
      <c r="F15" s="109">
        <v>205</v>
      </c>
      <c r="G15" s="56">
        <f t="shared" si="0"/>
        <v>257</v>
      </c>
    </row>
    <row r="16" spans="1:43" ht="15.75" x14ac:dyDescent="0.25">
      <c r="B16" s="78">
        <v>12</v>
      </c>
      <c r="C16" s="78">
        <v>8</v>
      </c>
      <c r="D16" s="78">
        <f t="shared" si="1"/>
        <v>2018</v>
      </c>
      <c r="E16" s="114">
        <v>100</v>
      </c>
      <c r="F16" s="109">
        <v>390</v>
      </c>
      <c r="G16" s="56">
        <f t="shared" si="0"/>
        <v>490</v>
      </c>
    </row>
    <row r="17" spans="2:7" ht="15.75" x14ac:dyDescent="0.25">
      <c r="B17" s="78">
        <v>13</v>
      </c>
      <c r="C17" s="78">
        <v>8</v>
      </c>
      <c r="D17" s="78">
        <f t="shared" si="1"/>
        <v>2018</v>
      </c>
      <c r="E17" s="113">
        <v>53</v>
      </c>
      <c r="F17" s="109">
        <v>209</v>
      </c>
      <c r="G17" s="56">
        <f t="shared" si="0"/>
        <v>262</v>
      </c>
    </row>
    <row r="18" spans="2:7" ht="15.75" x14ac:dyDescent="0.25">
      <c r="B18" s="78">
        <v>14</v>
      </c>
      <c r="C18" s="78">
        <v>8</v>
      </c>
      <c r="D18" s="78">
        <f t="shared" si="1"/>
        <v>2018</v>
      </c>
      <c r="E18" s="113">
        <v>104</v>
      </c>
      <c r="F18" s="108">
        <v>409</v>
      </c>
      <c r="G18" s="56">
        <f t="shared" si="0"/>
        <v>513</v>
      </c>
    </row>
    <row r="19" spans="2:7" ht="15.75" x14ac:dyDescent="0.25">
      <c r="B19" s="78">
        <v>15</v>
      </c>
      <c r="C19" s="78">
        <v>8</v>
      </c>
      <c r="D19" s="78">
        <f t="shared" si="1"/>
        <v>2018</v>
      </c>
      <c r="E19" s="113">
        <v>54</v>
      </c>
      <c r="F19" s="108">
        <v>208</v>
      </c>
      <c r="G19" s="56">
        <f t="shared" si="0"/>
        <v>262</v>
      </c>
    </row>
    <row r="20" spans="2:7" ht="15.75" x14ac:dyDescent="0.25">
      <c r="B20" s="78">
        <v>16</v>
      </c>
      <c r="C20" s="78">
        <v>8</v>
      </c>
      <c r="D20" s="78">
        <f t="shared" si="1"/>
        <v>2018</v>
      </c>
      <c r="E20" s="113">
        <v>61</v>
      </c>
      <c r="F20" s="108">
        <v>238</v>
      </c>
      <c r="G20" s="56">
        <f t="shared" si="0"/>
        <v>299</v>
      </c>
    </row>
    <row r="21" spans="2:7" ht="15.75" x14ac:dyDescent="0.25">
      <c r="B21" s="78">
        <v>17</v>
      </c>
      <c r="C21" s="78">
        <v>8</v>
      </c>
      <c r="D21" s="78">
        <f t="shared" si="1"/>
        <v>2018</v>
      </c>
      <c r="E21" s="113">
        <v>85</v>
      </c>
      <c r="F21" s="108">
        <v>334</v>
      </c>
      <c r="G21" s="56">
        <f t="shared" si="0"/>
        <v>419</v>
      </c>
    </row>
    <row r="22" spans="2:7" ht="15.75" x14ac:dyDescent="0.25">
      <c r="B22" s="78">
        <v>18</v>
      </c>
      <c r="C22" s="78">
        <v>8</v>
      </c>
      <c r="D22" s="78">
        <f t="shared" si="1"/>
        <v>2018</v>
      </c>
      <c r="E22" s="113">
        <v>43</v>
      </c>
      <c r="F22" s="108">
        <v>167</v>
      </c>
      <c r="G22" s="56">
        <f t="shared" si="0"/>
        <v>210</v>
      </c>
    </row>
    <row r="23" spans="2:7" ht="15.75" x14ac:dyDescent="0.25">
      <c r="B23" s="78">
        <v>19</v>
      </c>
      <c r="C23" s="78">
        <v>8</v>
      </c>
      <c r="D23" s="78">
        <f t="shared" si="1"/>
        <v>2018</v>
      </c>
      <c r="E23" s="114">
        <v>64</v>
      </c>
      <c r="F23" s="109">
        <v>243</v>
      </c>
      <c r="G23" s="56">
        <f t="shared" si="0"/>
        <v>307</v>
      </c>
    </row>
    <row r="24" spans="2:7" ht="15.75" x14ac:dyDescent="0.25">
      <c r="B24" s="78">
        <v>20</v>
      </c>
      <c r="C24" s="78">
        <v>8</v>
      </c>
      <c r="D24" s="78">
        <f t="shared" si="1"/>
        <v>2018</v>
      </c>
      <c r="E24" s="113">
        <v>94</v>
      </c>
      <c r="F24" s="108">
        <v>355</v>
      </c>
      <c r="G24" s="56">
        <f t="shared" si="0"/>
        <v>449</v>
      </c>
    </row>
    <row r="25" spans="2:7" ht="15.75" x14ac:dyDescent="0.25">
      <c r="B25" s="78">
        <v>21</v>
      </c>
      <c r="C25" s="78">
        <v>8</v>
      </c>
      <c r="D25" s="78">
        <f t="shared" si="1"/>
        <v>2018</v>
      </c>
      <c r="E25" s="113">
        <v>57</v>
      </c>
      <c r="F25" s="108">
        <v>218</v>
      </c>
      <c r="G25" s="56">
        <f t="shared" si="0"/>
        <v>275</v>
      </c>
    </row>
    <row r="26" spans="2:7" ht="15.75" x14ac:dyDescent="0.25">
      <c r="B26" s="78">
        <v>22</v>
      </c>
      <c r="C26" s="78">
        <v>8</v>
      </c>
      <c r="D26" s="78">
        <f t="shared" si="1"/>
        <v>2018</v>
      </c>
      <c r="E26" s="113">
        <v>52</v>
      </c>
      <c r="F26" s="108">
        <v>197</v>
      </c>
      <c r="G26" s="56">
        <f t="shared" si="0"/>
        <v>249</v>
      </c>
    </row>
    <row r="27" spans="2:7" ht="15.75" x14ac:dyDescent="0.25">
      <c r="B27" s="78">
        <v>23</v>
      </c>
      <c r="C27" s="78">
        <v>8</v>
      </c>
      <c r="D27" s="78">
        <f t="shared" si="1"/>
        <v>2018</v>
      </c>
      <c r="E27" s="113">
        <v>127</v>
      </c>
      <c r="F27" s="108">
        <v>472</v>
      </c>
      <c r="G27" s="56">
        <f t="shared" si="0"/>
        <v>599</v>
      </c>
    </row>
    <row r="28" spans="2:7" ht="15.75" x14ac:dyDescent="0.25">
      <c r="B28" s="78">
        <v>24</v>
      </c>
      <c r="C28" s="78">
        <v>8</v>
      </c>
      <c r="D28" s="78">
        <f t="shared" si="1"/>
        <v>2018</v>
      </c>
      <c r="E28" s="113">
        <v>128</v>
      </c>
      <c r="F28" s="108">
        <v>472</v>
      </c>
      <c r="G28" s="56">
        <f t="shared" si="0"/>
        <v>600</v>
      </c>
    </row>
    <row r="29" spans="2:7" ht="15.75" x14ac:dyDescent="0.25">
      <c r="B29" s="78">
        <v>25</v>
      </c>
      <c r="C29" s="78">
        <v>8</v>
      </c>
      <c r="D29" s="78">
        <f t="shared" si="1"/>
        <v>2018</v>
      </c>
      <c r="E29" s="113">
        <v>106</v>
      </c>
      <c r="F29" s="108">
        <v>401</v>
      </c>
      <c r="G29" s="56">
        <f t="shared" si="0"/>
        <v>507</v>
      </c>
    </row>
    <row r="30" spans="2:7" ht="15.75" x14ac:dyDescent="0.25">
      <c r="B30" s="78">
        <v>26</v>
      </c>
      <c r="C30" s="78">
        <v>8</v>
      </c>
      <c r="D30" s="78">
        <f t="shared" si="1"/>
        <v>2018</v>
      </c>
      <c r="E30" s="114">
        <v>59</v>
      </c>
      <c r="F30" s="109">
        <v>220</v>
      </c>
      <c r="G30" s="56">
        <f t="shared" si="0"/>
        <v>279</v>
      </c>
    </row>
    <row r="31" spans="2:7" ht="15.75" x14ac:dyDescent="0.25">
      <c r="B31" s="78">
        <v>27</v>
      </c>
      <c r="C31" s="78">
        <v>8</v>
      </c>
      <c r="D31" s="78">
        <f t="shared" si="1"/>
        <v>2018</v>
      </c>
      <c r="E31" s="113">
        <v>54</v>
      </c>
      <c r="F31" s="108">
        <v>200</v>
      </c>
      <c r="G31" s="56">
        <f t="shared" si="0"/>
        <v>254</v>
      </c>
    </row>
    <row r="32" spans="2:7" ht="15.75" x14ac:dyDescent="0.25">
      <c r="B32" s="78">
        <v>28</v>
      </c>
      <c r="C32" s="78">
        <v>8</v>
      </c>
      <c r="D32" s="78">
        <f t="shared" si="1"/>
        <v>2018</v>
      </c>
      <c r="E32" s="113">
        <v>82</v>
      </c>
      <c r="F32" s="108">
        <v>305</v>
      </c>
      <c r="G32" s="56">
        <f t="shared" si="0"/>
        <v>387</v>
      </c>
    </row>
    <row r="33" spans="2:9" ht="15.75" x14ac:dyDescent="0.25">
      <c r="B33" s="78">
        <v>29</v>
      </c>
      <c r="C33" s="78">
        <v>8</v>
      </c>
      <c r="D33" s="78">
        <f t="shared" si="1"/>
        <v>2018</v>
      </c>
      <c r="E33" s="113">
        <v>71</v>
      </c>
      <c r="F33" s="108">
        <v>262</v>
      </c>
      <c r="G33" s="56">
        <f t="shared" si="0"/>
        <v>333</v>
      </c>
    </row>
    <row r="34" spans="2:9" ht="15.75" x14ac:dyDescent="0.25">
      <c r="B34" s="78">
        <v>30</v>
      </c>
      <c r="C34" s="78">
        <v>8</v>
      </c>
      <c r="D34" s="78">
        <f t="shared" si="1"/>
        <v>2018</v>
      </c>
      <c r="E34" s="113">
        <v>51</v>
      </c>
      <c r="F34" s="108">
        <v>186</v>
      </c>
      <c r="G34" s="56">
        <f t="shared" si="0"/>
        <v>237</v>
      </c>
    </row>
    <row r="35" spans="2:9" ht="15.75" x14ac:dyDescent="0.25">
      <c r="B35" s="78">
        <v>31</v>
      </c>
      <c r="C35" s="78">
        <v>8</v>
      </c>
      <c r="D35" s="78">
        <f t="shared" si="1"/>
        <v>2018</v>
      </c>
      <c r="E35" s="113">
        <v>48</v>
      </c>
      <c r="F35" s="108">
        <v>149</v>
      </c>
      <c r="G35" s="56">
        <f t="shared" si="0"/>
        <v>197</v>
      </c>
    </row>
    <row r="36" spans="2:9" ht="21" x14ac:dyDescent="0.35">
      <c r="B36" s="64"/>
      <c r="C36" s="64"/>
      <c r="D36" s="64"/>
      <c r="E36" s="14">
        <f>SUM(E5:E35)</f>
        <v>2223</v>
      </c>
      <c r="F36" s="14">
        <f>SUM(F5:F35)</f>
        <v>8543</v>
      </c>
      <c r="G36" s="14">
        <f>SUM(G5:G35)</f>
        <v>10766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10766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135113300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2023-03-10T08:28:39Z</dcterms:modified>
</cp:coreProperties>
</file>