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23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L5" i="4"/>
  <c r="L6" i="4"/>
  <c r="L7" i="4"/>
  <c r="L8" i="4"/>
  <c r="L9" i="4"/>
  <c r="L10" i="4"/>
  <c r="M10" i="4" s="1"/>
  <c r="K11" i="4"/>
  <c r="L11" i="4"/>
  <c r="M11" i="4" s="1"/>
  <c r="K12" i="4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K18" i="4"/>
  <c r="L18" i="4"/>
  <c r="M18" i="4" s="1"/>
  <c r="K19" i="4"/>
  <c r="L19" i="4"/>
  <c r="M19" i="4" s="1"/>
  <c r="K20" i="4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K26" i="4"/>
  <c r="L26" i="4"/>
  <c r="M26" i="4" s="1"/>
  <c r="K27" i="4"/>
  <c r="L27" i="4"/>
  <c r="M27" i="4" s="1"/>
  <c r="K28" i="4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J12" i="4"/>
  <c r="J13" i="4"/>
  <c r="K13" i="4" s="1"/>
  <c r="J14" i="4"/>
  <c r="K14" i="4" s="1"/>
  <c r="J15" i="4"/>
  <c r="K15" i="4" s="1"/>
  <c r="J16" i="4"/>
  <c r="K16" i="4" s="1"/>
  <c r="J17" i="4"/>
  <c r="K17" i="4" s="1"/>
  <c r="J18" i="4"/>
  <c r="J19" i="4"/>
  <c r="J20" i="4"/>
  <c r="J21" i="4"/>
  <c r="K21" i="4" s="1"/>
  <c r="J22" i="4"/>
  <c r="K22" i="4" s="1"/>
  <c r="J23" i="4"/>
  <c r="K23" i="4" s="1"/>
  <c r="J24" i="4"/>
  <c r="K24" i="4" s="1"/>
  <c r="J25" i="4"/>
  <c r="K25" i="4" s="1"/>
  <c r="J26" i="4"/>
  <c r="J27" i="4"/>
  <c r="J28" i="4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M11" i="3" s="1"/>
  <c r="I11" i="3"/>
  <c r="J11" i="3"/>
  <c r="K11" i="3"/>
  <c r="H12" i="3"/>
  <c r="M12" i="3" s="1"/>
  <c r="I12" i="3"/>
  <c r="J12" i="3"/>
  <c r="K12" i="3"/>
  <c r="H13" i="3"/>
  <c r="M13" i="3" s="1"/>
  <c r="I13" i="3"/>
  <c r="J13" i="3"/>
  <c r="K13" i="3"/>
  <c r="H14" i="3"/>
  <c r="M14" i="3" s="1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M27" i="3"/>
  <c r="M30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9" i="4" l="1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<sst xmlns="http://schemas.openxmlformats.org/spreadsheetml/2006/main" count="606" uniqueCount="76">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</sst>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workbookViewId="0">
      <selection activeCell="S12" sqref="S1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 t="e">
        <f>'Electricity '!I10+'Electricity '!O10</f>
        <v>#VALUE!</v>
      </c>
      <c r="F8" s="141">
        <v>2.06</v>
      </c>
      <c r="G8" s="4" t="str">
        <f>'Gas Water'!M11</f>
        <v/>
      </c>
      <c r="H8" s="141">
        <v>6.17</v>
      </c>
      <c r="I8" s="2" t="str">
        <f>'Gas Water'!L11</f>
        <v/>
      </c>
      <c r="J8" s="141">
        <v>14.95</v>
      </c>
      <c r="K8" s="5"/>
      <c r="L8" s="5"/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 t="e">
        <f>'Electricity '!I12+'Electricity '!O11</f>
        <v>#VALUE!</v>
      </c>
      <c r="F9" s="141">
        <v>2.06</v>
      </c>
      <c r="G9" s="4" t="str">
        <f>'Gas Water'!M12</f>
        <v/>
      </c>
      <c r="H9" s="141">
        <v>6.17</v>
      </c>
      <c r="I9" s="2" t="str">
        <f>'Gas Water'!L12</f>
        <v/>
      </c>
      <c r="J9" s="141">
        <v>14.95</v>
      </c>
      <c r="K9" s="5"/>
      <c r="L9" s="5"/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 t="e">
        <f>'Electricity '!I13+'Electricity '!O12</f>
        <v>#VALUE!</v>
      </c>
      <c r="F10" s="141">
        <v>2.06</v>
      </c>
      <c r="G10" s="4" t="str">
        <f>'Gas Water'!M13</f>
        <v/>
      </c>
      <c r="H10" s="141">
        <v>6.17</v>
      </c>
      <c r="I10" s="2" t="str">
        <f>'Gas Water'!L13</f>
        <v/>
      </c>
      <c r="J10" s="141">
        <v>14.95</v>
      </c>
      <c r="K10" s="5"/>
      <c r="L10" s="5"/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 t="e">
        <f>'Electricity '!I14+'Electricity '!O13</f>
        <v>#VALUE!</v>
      </c>
      <c r="F11" s="141">
        <v>2.06</v>
      </c>
      <c r="G11" s="4" t="str">
        <f>'Gas Water'!M14</f>
        <v/>
      </c>
      <c r="H11" s="141">
        <v>6.17</v>
      </c>
      <c r="I11" s="2" t="str">
        <f>'Gas Water'!L14</f>
        <v/>
      </c>
      <c r="J11" s="141">
        <v>14.95</v>
      </c>
      <c r="K11" s="5"/>
      <c r="L11" s="5"/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 t="e">
        <f>'Electricity '!I14+'Electricity '!O14</f>
        <v>#VALUE!</v>
      </c>
      <c r="F12" s="141">
        <v>2.06</v>
      </c>
      <c r="G12" s="4" t="str">
        <f>'Gas Water'!M15</f>
        <v/>
      </c>
      <c r="H12" s="141">
        <v>6.17</v>
      </c>
      <c r="I12" s="2" t="str">
        <f>'Gas Water'!L15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 t="e">
        <f>'Electricity '!I15+'Electricity '!O15</f>
        <v>#VALUE!</v>
      </c>
      <c r="F13" s="141">
        <v>2.06</v>
      </c>
      <c r="G13" s="4" t="str">
        <f>'Gas Water'!M16</f>
        <v/>
      </c>
      <c r="H13" s="141">
        <v>6.17</v>
      </c>
      <c r="I13" s="2" t="str">
        <f>'Gas Water'!L16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workbookViewId="0">
      <selection activeCell="Q9" sqref="Q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161"/>
      <c r="D11" s="162"/>
      <c r="E11" s="163"/>
      <c r="F11" s="164"/>
      <c r="G11" s="165"/>
      <c r="H11" s="28" t="str">
        <f t="shared" si="1"/>
        <v/>
      </c>
      <c r="I11" s="28" t="str">
        <f t="shared" si="6"/>
        <v/>
      </c>
      <c r="J11" s="28" t="str">
        <f t="shared" si="2"/>
        <v/>
      </c>
      <c r="K11" s="28" t="str">
        <f t="shared" si="7"/>
        <v/>
      </c>
      <c r="L11" s="29" t="str">
        <f t="shared" si="4"/>
        <v/>
      </c>
      <c r="M11" s="30" t="str">
        <f t="shared" si="0"/>
        <v/>
      </c>
      <c r="Q11" s="20">
        <f t="shared" si="5"/>
        <v>1</v>
      </c>
    </row>
    <row r="12" spans="1:23" s="10" customFormat="1" ht="12.95" customHeight="1" x14ac:dyDescent="0.2">
      <c r="B12" s="22">
        <v>44204</v>
      </c>
      <c r="C12" s="161"/>
      <c r="D12" s="162"/>
      <c r="E12" s="163"/>
      <c r="F12" s="164"/>
      <c r="G12" s="165"/>
      <c r="H12" s="28" t="str">
        <f t="shared" si="1"/>
        <v/>
      </c>
      <c r="I12" s="28" t="str">
        <f t="shared" si="6"/>
        <v/>
      </c>
      <c r="J12" s="28" t="str">
        <f t="shared" si="2"/>
        <v/>
      </c>
      <c r="K12" s="28" t="str">
        <f t="shared" si="7"/>
        <v/>
      </c>
      <c r="L12" s="29" t="str">
        <f t="shared" si="4"/>
        <v/>
      </c>
      <c r="M12" s="30" t="str">
        <f t="shared" si="0"/>
        <v/>
      </c>
      <c r="O12" s="31"/>
      <c r="Q12" s="20">
        <f t="shared" si="5"/>
        <v>1</v>
      </c>
    </row>
    <row r="13" spans="1:23" s="10" customFormat="1" ht="12.95" customHeight="1" x14ac:dyDescent="0.2">
      <c r="B13" s="22">
        <v>44205</v>
      </c>
      <c r="C13" s="161"/>
      <c r="D13" s="162"/>
      <c r="E13" s="163"/>
      <c r="F13" s="164"/>
      <c r="G13" s="165"/>
      <c r="H13" s="28" t="str">
        <f t="shared" si="1"/>
        <v/>
      </c>
      <c r="I13" s="28" t="str">
        <f t="shared" si="6"/>
        <v/>
      </c>
      <c r="J13" s="28" t="str">
        <f t="shared" si="2"/>
        <v/>
      </c>
      <c r="K13" s="28" t="str">
        <f t="shared" si="7"/>
        <v/>
      </c>
      <c r="L13" s="29" t="str">
        <f t="shared" si="4"/>
        <v/>
      </c>
      <c r="M13" s="30" t="str">
        <f t="shared" si="0"/>
        <v/>
      </c>
      <c r="Q13" s="20">
        <f t="shared" si="5"/>
        <v>1</v>
      </c>
    </row>
    <row r="14" spans="1:23" s="10" customFormat="1" ht="12.95" customHeight="1" x14ac:dyDescent="0.2">
      <c r="B14" s="22">
        <v>44206</v>
      </c>
      <c r="C14" s="161"/>
      <c r="D14" s="162"/>
      <c r="E14" s="163"/>
      <c r="F14" s="164"/>
      <c r="G14" s="165"/>
      <c r="H14" s="28" t="str">
        <f t="shared" si="1"/>
        <v/>
      </c>
      <c r="I14" s="28" t="str">
        <f t="shared" si="6"/>
        <v/>
      </c>
      <c r="J14" s="28" t="str">
        <f t="shared" si="2"/>
        <v/>
      </c>
      <c r="K14" s="28" t="str">
        <f t="shared" si="7"/>
        <v/>
      </c>
      <c r="L14" s="29" t="str">
        <f t="shared" si="4"/>
        <v/>
      </c>
      <c r="M14" s="30" t="str">
        <f t="shared" si="0"/>
        <v/>
      </c>
      <c r="Q14" s="20">
        <f t="shared" si="5"/>
        <v>1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1366</v>
      </c>
      <c r="O28" s="32">
        <f>SUM(M4:M34)</f>
        <v>17644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195.14285714285714</v>
      </c>
      <c r="O31" s="32">
        <f>AVERAGE(M4:M34)</f>
        <v>2520.5714285714284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0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workbookViewId="0">
      <selection activeCell="Y7" sqref="Y7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145"/>
      <c r="E10" s="146"/>
      <c r="F10" s="147"/>
      <c r="G10" s="148">
        <v>183.90899999999999</v>
      </c>
      <c r="H10" s="58">
        <v>4140</v>
      </c>
      <c r="I10" s="58" t="str">
        <f t="shared" si="2"/>
        <v/>
      </c>
      <c r="J10" s="58" t="str">
        <f t="shared" si="2"/>
        <v/>
      </c>
      <c r="K10" s="59" t="str">
        <f t="shared" si="4"/>
        <v/>
      </c>
      <c r="L10" s="58" t="str">
        <f t="shared" si="5"/>
        <v/>
      </c>
      <c r="M10" s="59" t="str">
        <f t="shared" si="6"/>
        <v/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145"/>
      <c r="E11" s="146"/>
      <c r="F11" s="147"/>
      <c r="G11" s="148">
        <v>183.94399999999999</v>
      </c>
      <c r="H11" s="58">
        <v>4140</v>
      </c>
      <c r="I11" s="58" t="str">
        <f t="shared" si="2"/>
        <v/>
      </c>
      <c r="J11" s="58" t="str">
        <f t="shared" si="2"/>
        <v/>
      </c>
      <c r="K11" s="59" t="str">
        <f t="shared" si="4"/>
        <v/>
      </c>
      <c r="L11" s="58" t="str">
        <f t="shared" si="5"/>
        <v/>
      </c>
      <c r="M11" s="59" t="str">
        <f t="shared" si="6"/>
        <v/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145"/>
      <c r="E12" s="146"/>
      <c r="F12" s="147"/>
      <c r="G12" s="148">
        <v>183.98599999999999</v>
      </c>
      <c r="H12" s="58">
        <v>4140</v>
      </c>
      <c r="I12" s="58" t="str">
        <f t="shared" si="2"/>
        <v/>
      </c>
      <c r="J12" s="58" t="str">
        <f t="shared" si="2"/>
        <v/>
      </c>
      <c r="K12" s="59" t="str">
        <f t="shared" si="4"/>
        <v/>
      </c>
      <c r="L12" s="58" t="str">
        <f t="shared" si="5"/>
        <v/>
      </c>
      <c r="M12" s="59" t="str">
        <f t="shared" si="6"/>
        <v/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145"/>
      <c r="E13" s="146"/>
      <c r="F13" s="147"/>
      <c r="G13" s="148">
        <v>184.02799999999999</v>
      </c>
      <c r="H13" s="58">
        <v>4140</v>
      </c>
      <c r="I13" s="58" t="str">
        <f t="shared" si="2"/>
        <v/>
      </c>
      <c r="J13" s="58" t="str">
        <f t="shared" si="2"/>
        <v/>
      </c>
      <c r="K13" s="59" t="str">
        <f t="shared" si="4"/>
        <v/>
      </c>
      <c r="L13" s="58" t="str">
        <f t="shared" si="5"/>
        <v/>
      </c>
      <c r="M13" s="59" t="str">
        <f t="shared" si="6"/>
        <v/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1.364442123290072E-2</v>
      </c>
      <c r="Q24" s="69">
        <f>IF(L3="",0,+SUM(L3:L33)/SUM(I3:I33))</f>
        <v>1.364442123290072E-2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-0.34329371954493365</v>
      </c>
      <c r="Q25" s="70">
        <f>IF(L3="",0,+(+(LOOKUP(9.99999999999999E+307,F3:F33)-F2))/(+(LOOKUP(9.99999999999999E+307,D3:D33)-D2)))</f>
        <v>2.1863400939647584E-2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2022-01-07T05:59:35Z</dcterms:modified>
  <cp:category/>
  <cp:contentStatus/>
</cp:coreProperties>
</file>