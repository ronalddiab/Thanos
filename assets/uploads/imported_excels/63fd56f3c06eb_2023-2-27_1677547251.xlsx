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19" documentId="8_{9B439D3B-B023-4087-B27B-CB56FE35C246}" xr6:coauthVersionLast="47" xr6:coauthVersionMax="47" xr10:uidLastSave="{73594F40-BDDE-4E54-B5F7-2CA4929CB9C8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V43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<sst xmlns="http://schemas.openxmlformats.org/spreadsheetml/2006/main" count="91" uniqueCount="53">
  <si>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</si>
  <si>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</si>
  <si>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</si>
  <si>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</si>
  <si>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</si>
  <si>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</si>
  <si>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</si>
  <si>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</si>
  <si>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</si>
  <si>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</si>
  <si>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</si>
  <si>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</si>
  <si>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</si>
  <si>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</si>
  <si>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</si>
  <si>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</si>
  <si>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AUGUST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</si>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</sst>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8</v>
      </c>
      <c r="D2" s="97">
        <v>2018</v>
      </c>
      <c r="E2" s="99">
        <f>'Localize Daily Bali Jimbaran'!P7</f>
        <v>12999.999999999887</v>
      </c>
      <c r="F2" s="100">
        <f>'Localize Daily Bali Jimbaran'!O7/'Localize Daily Bali Jimbaran'!P7</f>
        <v>1261.5800400000003</v>
      </c>
      <c r="G2" s="99">
        <f>'Localize Daily Bali Jimbaran'!AC7</f>
        <v>111.73672000002109</v>
      </c>
      <c r="H2" s="100">
        <f>'Localize Daily Bali Jimbaran'!AD7/'Localize Daily Bali Jimbaran'!AC7</f>
        <v>10153</v>
      </c>
      <c r="I2" s="99">
        <f>'Localize Daily Bali Jimbaran'!AH7</f>
        <v>808.61000000007334</v>
      </c>
      <c r="J2" s="101">
        <f>'Localize Daily Bali Jimbaran'!AI7/'Localize Daily Bali Jimbaran'!AH7</f>
        <v>9500</v>
      </c>
      <c r="K2" s="99">
        <f>'Localize Daily Bali Jimbaran'!Q7</f>
        <v>756.69999999999709</v>
      </c>
      <c r="L2" s="100">
        <f>'Localize Daily Bali Jimbaran'!V7/'Localize Daily Bali Jimbaran'!Q7</f>
        <v>9774.2816386943505</v>
      </c>
      <c r="M2" s="99">
        <f>'Localize Daily Bali Jimbaran'!C7</f>
        <v>65</v>
      </c>
      <c r="N2" s="99">
        <v>168</v>
      </c>
    </row>
    <row r="3" spans="1:14" ht="15">
      <c r="A3" s="96" t="s">
        <v>14</v>
      </c>
      <c r="B3" s="97">
        <v>2</v>
      </c>
      <c r="C3" s="98">
        <v>8</v>
      </c>
      <c r="D3" s="97">
        <v>2018</v>
      </c>
      <c r="E3" s="99">
        <f>'Localize Daily Bali Jimbaran'!P8</f>
        <v>23140.000000000495</v>
      </c>
      <c r="F3" s="100">
        <f>'Localize Daily Bali Jimbaran'!O8/'Localize Daily Bali Jimbaran'!P8</f>
        <v>1179.6880682800329</v>
      </c>
      <c r="G3" s="99">
        <f>'Localize Daily Bali Jimbaran'!AC8</f>
        <v>383.64216000000465</v>
      </c>
      <c r="H3" s="100">
        <f>'Localize Daily Bali Jimbaran'!AD8/'Localize Daily Bali Jimbaran'!AC8</f>
        <v>10907.812766146444</v>
      </c>
      <c r="I3" s="99">
        <f>'Localize Daily Bali Jimbaran'!AH8</f>
        <v>638.11000000004424</v>
      </c>
      <c r="J3" s="101">
        <f>'Localize Daily Bali Jimbaran'!AI8/'Localize Daily Bali Jimbaran'!AH8</f>
        <v>9500</v>
      </c>
      <c r="K3" s="99">
        <f>'Localize Daily Bali Jimbaran'!Q8</f>
        <v>452.80000000000291</v>
      </c>
      <c r="L3" s="100">
        <f>'Localize Daily Bali Jimbaran'!V8/'Localize Daily Bali Jimbaran'!Q8</f>
        <v>11460.830044169568</v>
      </c>
      <c r="M3" s="99">
        <f>'Localize Daily Bali Jimbaran'!C8</f>
        <v>66</v>
      </c>
      <c r="N3" s="99">
        <v>181</v>
      </c>
    </row>
    <row r="4" spans="1:14" ht="15">
      <c r="A4" s="96" t="s">
        <v>14</v>
      </c>
      <c r="B4" s="97">
        <v>3</v>
      </c>
      <c r="C4" s="98">
        <v>8</v>
      </c>
      <c r="D4" s="97">
        <v>2018</v>
      </c>
      <c r="E4" s="99">
        <f>'Localize Daily Bali Jimbaran'!P9</f>
        <v>21760.000000000051</v>
      </c>
      <c r="F4" s="100">
        <f>'Localize Daily Bali Jimbaran'!O9/'Localize Daily Bali Jimbaran'!P9</f>
        <v>1183.5309705882401</v>
      </c>
      <c r="G4" s="99">
        <f>'Localize Daily Bali Jimbaran'!AC9</f>
        <v>596.21296000002815</v>
      </c>
      <c r="H4" s="100">
        <f>'Localize Daily Bali Jimbaran'!AD9/'Localize Daily Bali Jimbaran'!AC9</f>
        <v>10950.221851735623</v>
      </c>
      <c r="I4" s="99">
        <f>'Localize Daily Bali Jimbaran'!AH9</f>
        <v>511.40999999991618</v>
      </c>
      <c r="J4" s="101">
        <f>'Localize Daily Bali Jimbaran'!AI9/'Localize Daily Bali Jimbaran'!AH9</f>
        <v>9500</v>
      </c>
      <c r="K4" s="99">
        <f>'Localize Daily Bali Jimbaran'!Q9</f>
        <v>840.69999999999709</v>
      </c>
      <c r="L4" s="100">
        <f>'Localize Daily Bali Jimbaran'!V9/'Localize Daily Bali Jimbaran'!Q9</f>
        <v>8980.904765076737</v>
      </c>
      <c r="M4" s="99">
        <f>'Localize Daily Bali Jimbaran'!C9</f>
        <v>74</v>
      </c>
      <c r="N4" s="99">
        <v>204</v>
      </c>
    </row>
    <row r="5" spans="1:14" ht="15">
      <c r="A5" s="96" t="s">
        <v>14</v>
      </c>
      <c r="B5" s="97">
        <v>4</v>
      </c>
      <c r="C5" s="98">
        <v>8</v>
      </c>
      <c r="D5" s="97">
        <v>2018</v>
      </c>
      <c r="E5" s="99">
        <f>'Localize Daily Bali Jimbaran'!P10</f>
        <v>22120.000000000062</v>
      </c>
      <c r="F5" s="100">
        <f>'Localize Daily Bali Jimbaran'!O10/'Localize Daily Bali Jimbaran'!P10</f>
        <v>1185.9025443037958</v>
      </c>
      <c r="G5" s="99">
        <f>'Localize Daily Bali Jimbaran'!AC10</f>
        <v>12</v>
      </c>
      <c r="H5" s="100">
        <f>'Localize Daily Bali Jimbaran'!AD10/'Localize Daily Bali Jimbaran'!AC10</f>
        <v>11625</v>
      </c>
      <c r="I5" s="99">
        <f>'Localize Daily Bali Jimbaran'!AH10</f>
        <v>574.78000000001339</v>
      </c>
      <c r="J5" s="101">
        <f>'Localize Daily Bali Jimbaran'!AI10/'Localize Daily Bali Jimbaran'!AH10</f>
        <v>9500</v>
      </c>
      <c r="K5" s="99">
        <f>'Localize Daily Bali Jimbaran'!Q10</f>
        <v>738.5</v>
      </c>
      <c r="L5" s="100">
        <f>'Localize Daily Bali Jimbaran'!V10/'Localize Daily Bali Jimbaran'!Q10</f>
        <v>9054.0651049424505</v>
      </c>
      <c r="M5" s="99">
        <f>'Localize Daily Bali Jimbaran'!C10</f>
        <v>78</v>
      </c>
      <c r="N5" s="99">
        <v>212</v>
      </c>
    </row>
    <row r="6" spans="1:14" ht="15">
      <c r="A6" s="96" t="s">
        <v>14</v>
      </c>
      <c r="B6" s="97">
        <v>5</v>
      </c>
      <c r="C6" s="98">
        <v>8</v>
      </c>
      <c r="D6" s="97">
        <v>2018</v>
      </c>
      <c r="E6" s="99">
        <f>'Localize Daily Bali Jimbaran'!P11</f>
        <v>20819.999999999709</v>
      </c>
      <c r="F6" s="100">
        <f>'Localize Daily Bali Jimbaran'!O11/'Localize Daily Bali Jimbaran'!P11</f>
        <v>1183.6846080691673</v>
      </c>
      <c r="G6" s="99">
        <f>'Localize Daily Bali Jimbaran'!AC11</f>
        <v>123.77699999999999</v>
      </c>
      <c r="H6" s="100">
        <f>'Localize Daily Bali Jimbaran'!AD11/'Localize Daily Bali Jimbaran'!AC11</f>
        <v>10295.708257592283</v>
      </c>
      <c r="I6" s="99">
        <f>'Localize Daily Bali Jimbaran'!AH11</f>
        <v>747.27000000000407</v>
      </c>
      <c r="J6" s="101">
        <f>'Localize Daily Bali Jimbaran'!AI11/'Localize Daily Bali Jimbaran'!AH11</f>
        <v>9500</v>
      </c>
      <c r="K6" s="99">
        <f>'Localize Daily Bali Jimbaran'!Q11</f>
        <v>688.09999999999127</v>
      </c>
      <c r="L6" s="100">
        <f>'Localize Daily Bali Jimbaran'!V11/'Localize Daily Bali Jimbaran'!Q11</f>
        <v>9412.9601627670982</v>
      </c>
      <c r="M6" s="99">
        <f>'Localize Daily Bali Jimbaran'!C11</f>
        <v>66</v>
      </c>
      <c r="N6" s="99">
        <v>186</v>
      </c>
    </row>
    <row r="7" spans="1:14" ht="15">
      <c r="A7" s="96" t="s">
        <v>14</v>
      </c>
      <c r="B7" s="97">
        <v>6</v>
      </c>
      <c r="C7" s="98">
        <v>8</v>
      </c>
      <c r="D7" s="97">
        <v>2018</v>
      </c>
      <c r="E7" s="99">
        <f>'Localize Daily Bali Jimbaran'!P12</f>
        <v>23099.999999999567</v>
      </c>
      <c r="F7" s="100">
        <f>'Localize Daily Bali Jimbaran'!O12/'Localize Daily Bali Jimbaran'!P12</f>
        <v>1221.2787818181832</v>
      </c>
      <c r="G7" s="99">
        <f>'Localize Daily Bali Jimbaran'!AC12</f>
        <v>204.47748000001405</v>
      </c>
      <c r="H7" s="100">
        <f>'Localize Daily Bali Jimbaran'!AD12/'Localize Daily Bali Jimbaran'!AC12</f>
        <v>10757.702287997638</v>
      </c>
      <c r="I7" s="99">
        <f>'Localize Daily Bali Jimbaran'!AH12</f>
        <v>586.36000000000058</v>
      </c>
      <c r="J7" s="101">
        <f>'Localize Daily Bali Jimbaran'!AI12/'Localize Daily Bali Jimbaran'!AH12</f>
        <v>9500</v>
      </c>
      <c r="K7" s="99">
        <f>'Localize Daily Bali Jimbaran'!Q12</f>
        <v>728.60000000000582</v>
      </c>
      <c r="L7" s="100">
        <f>'Localize Daily Bali Jimbaran'!V12/'Localize Daily Bali Jimbaran'!Q12</f>
        <v>9751.8321822673224</v>
      </c>
      <c r="M7" s="99">
        <f>'Localize Daily Bali Jimbaran'!C12</f>
        <v>69</v>
      </c>
      <c r="N7" s="99">
        <v>186</v>
      </c>
    </row>
    <row r="8" spans="1:14" ht="15">
      <c r="A8" s="96" t="s">
        <v>14</v>
      </c>
      <c r="B8" s="97">
        <v>7</v>
      </c>
      <c r="C8" s="98">
        <v>8</v>
      </c>
      <c r="D8" s="97">
        <v>2018</v>
      </c>
      <c r="E8" s="99">
        <f>'Localize Daily Bali Jimbaran'!P13</f>
        <v>20200.000000000047</v>
      </c>
      <c r="F8" s="100">
        <f>'Localize Daily Bali Jimbaran'!O13/'Localize Daily Bali Jimbaran'!P13</f>
        <v>1148.9466564356426</v>
      </c>
      <c r="G8" s="99">
        <f>'Localize Daily Bali Jimbaran'!AC13</f>
        <v>371.44419999997655</v>
      </c>
      <c r="H8" s="100">
        <f>'Localize Daily Bali Jimbaran'!AD13/'Localize Daily Bali Jimbaran'!AC13</f>
        <v>10837.490429518124</v>
      </c>
      <c r="I8" s="99">
        <f>'Localize Daily Bali Jimbaran'!AH13</f>
        <v>610.77999999999884</v>
      </c>
      <c r="J8" s="101">
        <f>'Localize Daily Bali Jimbaran'!AI13/'Localize Daily Bali Jimbaran'!AH13</f>
        <v>9500</v>
      </c>
      <c r="K8" s="99">
        <f>'Localize Daily Bali Jimbaran'!Q13</f>
        <v>574</v>
      </c>
      <c r="L8" s="100">
        <f>'Localize Daily Bali Jimbaran'!V13/'Localize Daily Bali Jimbaran'!Q13</f>
        <v>6857.6782578397206</v>
      </c>
      <c r="M8" s="99">
        <f>'Localize Daily Bali Jimbaran'!C13</f>
        <v>76</v>
      </c>
      <c r="N8" s="99">
        <v>199</v>
      </c>
    </row>
    <row r="9" spans="1:14" ht="15">
      <c r="A9" s="96" t="s">
        <v>14</v>
      </c>
      <c r="B9" s="97">
        <v>8</v>
      </c>
      <c r="C9" s="98">
        <v>8</v>
      </c>
      <c r="D9" s="97">
        <v>2018</v>
      </c>
      <c r="E9" s="99">
        <f>'Localize Daily Bali Jimbaran'!P14</f>
        <v>24640.000000000895</v>
      </c>
      <c r="F9" s="100">
        <f>'Localize Daily Bali Jimbaran'!O14/'Localize Daily Bali Jimbaran'!P14</f>
        <v>1182.9078409090887</v>
      </c>
      <c r="G9" s="99">
        <f>'Localize Daily Bali Jimbaran'!AC14</f>
        <v>527.56332000000941</v>
      </c>
      <c r="H9" s="100">
        <f>'Localize Daily Bali Jimbaran'!AD14/'Localize Daily Bali Jimbaran'!AC14</f>
        <v>10957.574510600911</v>
      </c>
      <c r="I9" s="99">
        <f>'Localize Daily Bali Jimbaran'!AH14</f>
        <v>758.60999999992782</v>
      </c>
      <c r="J9" s="101">
        <f>'Localize Daily Bali Jimbaran'!AI14/'Localize Daily Bali Jimbaran'!AH14</f>
        <v>9500</v>
      </c>
      <c r="K9" s="99">
        <f>'Localize Daily Bali Jimbaran'!Q14</f>
        <v>682</v>
      </c>
      <c r="L9" s="100">
        <f>'Localize Daily Bali Jimbaran'!V14/'Localize Daily Bali Jimbaran'!Q14</f>
        <v>8247.2162170087959</v>
      </c>
      <c r="M9" s="99">
        <f>'Localize Daily Bali Jimbaran'!C14</f>
        <v>82</v>
      </c>
      <c r="N9" s="99">
        <v>210</v>
      </c>
    </row>
    <row r="10" spans="1:14" ht="15">
      <c r="A10" s="96" t="s">
        <v>14</v>
      </c>
      <c r="B10" s="97">
        <v>9</v>
      </c>
      <c r="C10" s="98">
        <v>8</v>
      </c>
      <c r="D10" s="97">
        <v>2018</v>
      </c>
      <c r="E10" s="99">
        <f>'Localize Daily Bali Jimbaran'!P15</f>
        <v>23519.999999999127</v>
      </c>
      <c r="F10" s="100">
        <f>'Localize Daily Bali Jimbaran'!O15/'Localize Daily Bali Jimbaran'!P15</f>
        <v>1188.3725892857171</v>
      </c>
      <c r="G10" s="99">
        <f>'Localize Daily Bali Jimbaran'!AC15</f>
        <v>169.59132000000938</v>
      </c>
      <c r="H10" s="100">
        <f>'Localize Daily Bali Jimbaran'!AD15/'Localize Daily Bali Jimbaran'!AC15</f>
        <v>10452.838458713553</v>
      </c>
      <c r="I10" s="99">
        <f>'Localize Daily Bali Jimbaran'!AH15</f>
        <v>626.11000000000058</v>
      </c>
      <c r="J10" s="101">
        <f>'Localize Daily Bali Jimbaran'!AI15/'Localize Daily Bali Jimbaran'!AH15</f>
        <v>9500</v>
      </c>
      <c r="K10" s="99">
        <f>'Localize Daily Bali Jimbaran'!Q15</f>
        <v>630</v>
      </c>
      <c r="L10" s="100">
        <f>'Localize Daily Bali Jimbaran'!V15/'Localize Daily Bali Jimbaran'!Q15</f>
        <v>9954.7736507936515</v>
      </c>
      <c r="M10" s="99">
        <f>'Localize Daily Bali Jimbaran'!C15</f>
        <v>95</v>
      </c>
      <c r="N10" s="99">
        <v>238</v>
      </c>
    </row>
    <row r="11" spans="1:14" ht="15">
      <c r="A11" s="96" t="s">
        <v>14</v>
      </c>
      <c r="B11" s="97">
        <v>10</v>
      </c>
      <c r="C11" s="98">
        <v>8</v>
      </c>
      <c r="D11" s="97">
        <v>2018</v>
      </c>
      <c r="E11" s="99">
        <f>'Localize Daily Bali Jimbaran'!P16</f>
        <v>22840.000000000658</v>
      </c>
      <c r="F11" s="100">
        <f>'Localize Daily Bali Jimbaran'!O16/'Localize Daily Bali Jimbaran'!P16</f>
        <v>1190.4214098073523</v>
      </c>
      <c r="G11" s="99">
        <f>'Localize Daily Bali Jimbaran'!AC16</f>
        <v>148.58603999997183</v>
      </c>
      <c r="H11" s="100">
        <f>'Localize Daily Bali Jimbaran'!AD16/'Localize Daily Bali Jimbaran'!AC16</f>
        <v>10390.761232481913</v>
      </c>
      <c r="I11" s="99">
        <f>'Localize Daily Bali Jimbaran'!AH16</f>
        <v>546.31000000001222</v>
      </c>
      <c r="J11" s="101">
        <f>'Localize Daily Bali Jimbaran'!AI16/'Localize Daily Bali Jimbaran'!AH16</f>
        <v>9500</v>
      </c>
      <c r="K11" s="99">
        <f>'Localize Daily Bali Jimbaran'!Q16</f>
        <v>650</v>
      </c>
      <c r="L11" s="100">
        <f>'Localize Daily Bali Jimbaran'!V16/'Localize Daily Bali Jimbaran'!Q16</f>
        <v>10078.736615384616</v>
      </c>
      <c r="M11" s="99">
        <f>'Localize Daily Bali Jimbaran'!C16</f>
        <v>113</v>
      </c>
      <c r="N11" s="99">
        <v>282</v>
      </c>
    </row>
    <row r="12" spans="1:14" ht="15">
      <c r="A12" s="96" t="s">
        <v>14</v>
      </c>
      <c r="B12" s="97">
        <v>11</v>
      </c>
      <c r="C12" s="98">
        <v>8</v>
      </c>
      <c r="D12" s="97">
        <v>2018</v>
      </c>
      <c r="E12" s="99">
        <f>'Localize Daily Bali Jimbaran'!P17</f>
        <v>23399.999999999807</v>
      </c>
      <c r="F12" s="100">
        <f>'Localize Daily Bali Jimbaran'!O17/'Localize Daily Bali Jimbaran'!P17</f>
        <v>1185.171346153847</v>
      </c>
      <c r="G12" s="99">
        <f>'Localize Daily Bali Jimbaran'!AC17</f>
        <v>135.69988000002576</v>
      </c>
      <c r="H12" s="100">
        <f>'Localize Daily Bali Jimbaran'!AD17/'Localize Daily Bali Jimbaran'!AC17</f>
        <v>10283.169606634854</v>
      </c>
      <c r="I12" s="99">
        <f>'Localize Daily Bali Jimbaran'!AH17</f>
        <v>385.17999999999302</v>
      </c>
      <c r="J12" s="101">
        <f>'Localize Daily Bali Jimbaran'!AI17/'Localize Daily Bali Jimbaran'!AH17</f>
        <v>9500</v>
      </c>
      <c r="K12" s="99">
        <f>'Localize Daily Bali Jimbaran'!Q17</f>
        <v>690</v>
      </c>
      <c r="L12" s="100">
        <f>'Localize Daily Bali Jimbaran'!V17/'Localize Daily Bali Jimbaran'!Q17</f>
        <v>10767.319420289854</v>
      </c>
      <c r="M12" s="99">
        <f>'Localize Daily Bali Jimbaran'!C17</f>
        <v>120</v>
      </c>
      <c r="N12" s="99">
        <v>292</v>
      </c>
    </row>
    <row r="13" spans="1:14" ht="15">
      <c r="A13" s="96" t="s">
        <v>14</v>
      </c>
      <c r="B13" s="97">
        <v>12</v>
      </c>
      <c r="C13" s="98">
        <v>8</v>
      </c>
      <c r="D13" s="97">
        <v>2018</v>
      </c>
      <c r="E13" s="99">
        <f>'Localize Daily Bali Jimbaran'!P18</f>
        <v>23900.000000000033</v>
      </c>
      <c r="F13" s="100">
        <f>'Localize Daily Bali Jimbaran'!O18/'Localize Daily Bali Jimbaran'!P18</f>
        <v>1183.1294560669453</v>
      </c>
      <c r="G13" s="99">
        <f>'Localize Daily Bali Jimbaran'!AC18</f>
        <v>128.81199999999998</v>
      </c>
      <c r="H13" s="100">
        <f>'Localize Daily Bali Jimbaran'!AD18/'Localize Daily Bali Jimbaran'!AC18</f>
        <v>10290.13008104835</v>
      </c>
      <c r="I13" s="99">
        <f>'Localize Daily Bali Jimbaran'!AH18</f>
        <v>561.24000000000524</v>
      </c>
      <c r="J13" s="101">
        <f>'Localize Daily Bali Jimbaran'!AI18/'Localize Daily Bali Jimbaran'!AH18</f>
        <v>9500</v>
      </c>
      <c r="K13" s="99">
        <f>'Localize Daily Bali Jimbaran'!Q18</f>
        <v>478.10000000000582</v>
      </c>
      <c r="L13" s="100">
        <f>'Localize Daily Bali Jimbaran'!V18/'Localize Daily Bali Jimbaran'!Q18</f>
        <v>12047.10539217728</v>
      </c>
      <c r="M13" s="99">
        <f>'Localize Daily Bali Jimbaran'!C18</f>
        <v>110</v>
      </c>
      <c r="N13" s="99">
        <v>274</v>
      </c>
    </row>
    <row r="14" spans="1:14" ht="15">
      <c r="A14" s="96" t="s">
        <v>14</v>
      </c>
      <c r="B14" s="97">
        <v>13</v>
      </c>
      <c r="C14" s="98">
        <v>8</v>
      </c>
      <c r="D14" s="97">
        <v>2018</v>
      </c>
      <c r="E14" s="99">
        <f>'Localize Daily Bali Jimbaran'!P19</f>
        <v>22879.99999999988</v>
      </c>
      <c r="F14" s="100">
        <f>'Localize Daily Bali Jimbaran'!O19/'Localize Daily Bali Jimbaran'!P19</f>
        <v>1188.3402534965046</v>
      </c>
      <c r="G14" s="99">
        <f>'Localize Daily Bali Jimbaran'!AC19</f>
        <v>791.98356000001638</v>
      </c>
      <c r="H14" s="100">
        <f>'Localize Daily Bali Jimbaran'!AD19/'Localize Daily Bali Jimbaran'!AC19</f>
        <v>11009.979910037509</v>
      </c>
      <c r="I14" s="99">
        <f>'Localize Daily Bali Jimbaran'!AH19</f>
        <v>866.41000000000349</v>
      </c>
      <c r="J14" s="101">
        <f>'Localize Daily Bali Jimbaran'!AI19/'Localize Daily Bali Jimbaran'!AH19</f>
        <v>9500</v>
      </c>
      <c r="K14" s="99">
        <f>'Localize Daily Bali Jimbaran'!Q19</f>
        <v>503</v>
      </c>
      <c r="L14" s="100">
        <f>'Localize Daily Bali Jimbaran'!V19/'Localize Daily Bali Jimbaran'!Q19</f>
        <v>12686.402664015905</v>
      </c>
      <c r="M14" s="99">
        <f>'Localize Daily Bali Jimbaran'!C19</f>
        <v>105</v>
      </c>
      <c r="N14" s="99">
        <v>270</v>
      </c>
    </row>
    <row r="15" spans="1:14" ht="15">
      <c r="A15" s="96" t="s">
        <v>14</v>
      </c>
      <c r="B15" s="97">
        <v>14</v>
      </c>
      <c r="C15" s="98">
        <v>8</v>
      </c>
      <c r="D15" s="97">
        <v>2018</v>
      </c>
      <c r="E15" s="99">
        <f>'Localize Daily Bali Jimbaran'!P20</f>
        <v>24179.999999999894</v>
      </c>
      <c r="F15" s="100">
        <f>'Localize Daily Bali Jimbaran'!O20/'Localize Daily Bali Jimbaran'!P20</f>
        <v>1185.1713461538461</v>
      </c>
      <c r="G15" s="99">
        <f>'Localize Daily Bali Jimbaran'!AC20</f>
        <v>122.1692399999484</v>
      </c>
      <c r="H15" s="100">
        <f>'Localize Daily Bali Jimbaran'!AD20/'Localize Daily Bali Jimbaran'!AC20</f>
        <v>10153</v>
      </c>
      <c r="I15" s="99">
        <f>'Localize Daily Bali Jimbaran'!AH20</f>
        <v>613.51000000000931</v>
      </c>
      <c r="J15" s="101">
        <f>'Localize Daily Bali Jimbaran'!AI20/'Localize Daily Bali Jimbaran'!AH20</f>
        <v>9500</v>
      </c>
      <c r="K15" s="99">
        <f>'Localize Daily Bali Jimbaran'!Q20</f>
        <v>500</v>
      </c>
      <c r="L15" s="100">
        <f>'Localize Daily Bali Jimbaran'!V20/'Localize Daily Bali Jimbaran'!Q20</f>
        <v>12601.545199999999</v>
      </c>
      <c r="M15" s="99">
        <f>'Localize Daily Bali Jimbaran'!C20</f>
        <v>92</v>
      </c>
      <c r="N15" s="99">
        <v>240</v>
      </c>
    </row>
    <row r="16" spans="1:14" ht="15">
      <c r="A16" s="96" t="s">
        <v>14</v>
      </c>
      <c r="B16" s="97">
        <v>15</v>
      </c>
      <c r="C16" s="98">
        <v>8</v>
      </c>
      <c r="D16" s="97">
        <v>2018</v>
      </c>
      <c r="E16" s="99">
        <f>'Localize Daily Bali Jimbaran'!P21</f>
        <v>23859.999999999844</v>
      </c>
      <c r="F16" s="100">
        <f>'Localize Daily Bali Jimbaran'!O21/'Localize Daily Bali Jimbaran'!P21</f>
        <v>1183.7454706621961</v>
      </c>
      <c r="G16" s="99">
        <f>'Localize Daily Bali Jimbaran'!AC21</f>
        <v>195.44764000001874</v>
      </c>
      <c r="H16" s="100">
        <f>'Localize Daily Bali Jimbaran'!AD21/'Localize Daily Bali Jimbaran'!AC21</f>
        <v>10503.54912916827</v>
      </c>
      <c r="I16" s="99">
        <f>'Localize Daily Bali Jimbaran'!AH21</f>
        <v>554.11000000000058</v>
      </c>
      <c r="J16" s="101">
        <f>'Localize Daily Bali Jimbaran'!AI21/'Localize Daily Bali Jimbaran'!AH21</f>
        <v>9500</v>
      </c>
      <c r="K16" s="99">
        <f>'Localize Daily Bali Jimbaran'!Q21</f>
        <v>492</v>
      </c>
      <c r="L16" s="100">
        <f>'Localize Daily Bali Jimbaran'!V21/'Localize Daily Bali Jimbaran'!Q21</f>
        <v>12460.231219512194</v>
      </c>
      <c r="M16" s="99">
        <f>'Localize Daily Bali Jimbaran'!C21</f>
        <v>91</v>
      </c>
      <c r="N16" s="99">
        <v>233</v>
      </c>
    </row>
    <row r="17" spans="1:14" ht="15">
      <c r="A17" s="96" t="s">
        <v>14</v>
      </c>
      <c r="B17" s="97">
        <v>16</v>
      </c>
      <c r="C17" s="98">
        <v>8</v>
      </c>
      <c r="D17" s="97">
        <v>2018</v>
      </c>
      <c r="E17" s="99">
        <f>'Localize Daily Bali Jimbaran'!P22</f>
        <v>22600.000000000477</v>
      </c>
      <c r="F17" s="100">
        <f>'Localize Daily Bali Jimbaran'!O22/'Localize Daily Bali Jimbaran'!P22</f>
        <v>1185.257719911504</v>
      </c>
      <c r="G17" s="99">
        <f>'Localize Daily Bali Jimbaran'!AC22</f>
        <v>131.03083999999529</v>
      </c>
      <c r="H17" s="100">
        <f>'Localize Daily Bali Jimbaran'!AD22/'Localize Daily Bali Jimbaran'!AC22</f>
        <v>10153</v>
      </c>
      <c r="I17" s="99">
        <f>'Localize Daily Bali Jimbaran'!AH22</f>
        <v>520.16000000000349</v>
      </c>
      <c r="J17" s="101">
        <f>'Localize Daily Bali Jimbaran'!AI22/'Localize Daily Bali Jimbaran'!AH22</f>
        <v>9500</v>
      </c>
      <c r="K17" s="99">
        <f>'Localize Daily Bali Jimbaran'!Q22</f>
        <v>570</v>
      </c>
      <c r="L17" s="100">
        <f>'Localize Daily Bali Jimbaran'!V22/'Localize Daily Bali Jimbaran'!Q22</f>
        <v>10509.857192982456</v>
      </c>
      <c r="M17" s="99">
        <f>'Localize Daily Bali Jimbaran'!C22</f>
        <v>93</v>
      </c>
      <c r="N17" s="99">
        <v>232</v>
      </c>
    </row>
    <row r="18" spans="1:14" ht="15">
      <c r="A18" s="96" t="s">
        <v>14</v>
      </c>
      <c r="B18" s="97">
        <v>17</v>
      </c>
      <c r="C18" s="98">
        <v>8</v>
      </c>
      <c r="D18" s="97">
        <v>2018</v>
      </c>
      <c r="E18" s="99">
        <f>'Localize Daily Bali Jimbaran'!P23</f>
        <v>21480.000000000018</v>
      </c>
      <c r="F18" s="100">
        <f>'Localize Daily Bali Jimbaran'!O23/'Localize Daily Bali Jimbaran'!P23</f>
        <v>1186.8071396648063</v>
      </c>
      <c r="G18" s="99">
        <f>'Localize Daily Bali Jimbaran'!AC23</f>
        <v>161.1568399999953</v>
      </c>
      <c r="H18" s="100">
        <f>'Localize Daily Bali Jimbaran'!AD23/'Localize Daily Bali Jimbaran'!AC23</f>
        <v>10262.607510298665</v>
      </c>
      <c r="I18" s="99">
        <f>'Localize Daily Bali Jimbaran'!AH23</f>
        <v>538.76000000000931</v>
      </c>
      <c r="J18" s="101">
        <f>'Localize Daily Bali Jimbaran'!AI23/'Localize Daily Bali Jimbaran'!AH23</f>
        <v>9500</v>
      </c>
      <c r="K18" s="99">
        <f>'Localize Daily Bali Jimbaran'!Q23</f>
        <v>518</v>
      </c>
      <c r="L18" s="100">
        <f>'Localize Daily Bali Jimbaran'!V23/'Localize Daily Bali Jimbaran'!Q23</f>
        <v>11838.907220077219</v>
      </c>
      <c r="M18" s="99">
        <f>'Localize Daily Bali Jimbaran'!C23</f>
        <v>123</v>
      </c>
      <c r="N18" s="99">
        <v>300</v>
      </c>
    </row>
    <row r="19" spans="1:14" ht="15">
      <c r="A19" s="96" t="s">
        <v>14</v>
      </c>
      <c r="B19" s="97">
        <v>18</v>
      </c>
      <c r="C19" s="98">
        <v>8</v>
      </c>
      <c r="D19" s="97">
        <v>2018</v>
      </c>
      <c r="E19" s="99">
        <f>'Localize Daily Bali Jimbaran'!P24</f>
        <v>22419.999999999673</v>
      </c>
      <c r="F19" s="100">
        <f>'Localize Daily Bali Jimbaran'!O24/'Localize Daily Bali Jimbaran'!P24</f>
        <v>1181.1911306868872</v>
      </c>
      <c r="G19" s="99">
        <f>'Localize Daily Bali Jimbaran'!AC24</f>
        <v>531.47048000001405</v>
      </c>
      <c r="H19" s="100">
        <f>'Localize Daily Bali Jimbaran'!AD24/'Localize Daily Bali Jimbaran'!AC24</f>
        <v>10951.659598177474</v>
      </c>
      <c r="I19" s="99">
        <f>'Localize Daily Bali Jimbaran'!AH24</f>
        <v>571.07999999999311</v>
      </c>
      <c r="J19" s="101">
        <f>'Localize Daily Bali Jimbaran'!AI24/'Localize Daily Bali Jimbaran'!AH24</f>
        <v>9500</v>
      </c>
      <c r="K19" s="99">
        <f>'Localize Daily Bali Jimbaran'!Q24</f>
        <v>492</v>
      </c>
      <c r="L19" s="100">
        <f>'Localize Daily Bali Jimbaran'!V24/'Localize Daily Bali Jimbaran'!Q24</f>
        <v>11541.906422764228</v>
      </c>
      <c r="M19" s="99">
        <f>'Localize Daily Bali Jimbaran'!C24</f>
        <v>116</v>
      </c>
      <c r="N19" s="99">
        <v>293</v>
      </c>
    </row>
    <row r="20" spans="1:14" ht="15">
      <c r="A20" s="96" t="s">
        <v>14</v>
      </c>
      <c r="B20" s="97">
        <v>19</v>
      </c>
      <c r="C20" s="98">
        <v>8</v>
      </c>
      <c r="D20" s="97">
        <v>2018</v>
      </c>
      <c r="E20" s="99">
        <f>'Localize Daily Bali Jimbaran'!P25</f>
        <v>23700.00000000044</v>
      </c>
      <c r="F20" s="100">
        <f>'Localize Daily Bali Jimbaran'!O25/'Localize Daily Bali Jimbaran'!P25</f>
        <v>1189.4425518987323</v>
      </c>
      <c r="G20" s="99">
        <f>'Localize Daily Bali Jimbaran'!AC25</f>
        <v>377.16051999998592</v>
      </c>
      <c r="H20" s="100">
        <f>'Localize Daily Bali Jimbaran'!AD25/'Localize Daily Bali Jimbaran'!AC25</f>
        <v>10873.950326402164</v>
      </c>
      <c r="I20" s="99">
        <f>'Localize Daily Bali Jimbaran'!AH25</f>
        <v>574.78000000001339</v>
      </c>
      <c r="J20" s="101">
        <f>'Localize Daily Bali Jimbaran'!AI25/'Localize Daily Bali Jimbaran'!AH25</f>
        <v>9500</v>
      </c>
      <c r="K20" s="99">
        <f>'Localize Daily Bali Jimbaran'!Q25</f>
        <v>265</v>
      </c>
      <c r="L20" s="100">
        <f>'Localize Daily Bali Jimbaran'!V25/'Localize Daily Bali Jimbaran'!Q25</f>
        <v>5283.2324528301879</v>
      </c>
      <c r="M20" s="99">
        <f>'Localize Daily Bali Jimbaran'!C25</f>
        <v>84</v>
      </c>
      <c r="N20" s="99">
        <v>235</v>
      </c>
    </row>
    <row r="21" spans="1:14" ht="15">
      <c r="A21" s="96" t="s">
        <v>14</v>
      </c>
      <c r="B21" s="97">
        <v>20</v>
      </c>
      <c r="C21" s="98">
        <v>8</v>
      </c>
      <c r="D21" s="97">
        <v>2018</v>
      </c>
      <c r="E21" s="99">
        <f>'Localize Daily Bali Jimbaran'!P26</f>
        <v>23679.999999999607</v>
      </c>
      <c r="F21" s="100">
        <f>'Localize Daily Bali Jimbaran'!O26/'Localize Daily Bali Jimbaran'!P26</f>
        <v>1184.4765418074346</v>
      </c>
      <c r="G21" s="99">
        <f>'Localize Daily Bali Jimbaran'!AC26</f>
        <v>125.14652000004453</v>
      </c>
      <c r="H21" s="100">
        <f>'Localize Daily Bali Jimbaran'!AD26/'Localize Daily Bali Jimbaran'!AC26</f>
        <v>10294.146553655617</v>
      </c>
      <c r="I21" s="99">
        <f>'Localize Daily Bali Jimbaran'!AH26</f>
        <v>747.2699999999968</v>
      </c>
      <c r="J21" s="101">
        <f>'Localize Daily Bali Jimbaran'!AI26/'Localize Daily Bali Jimbaran'!AH26</f>
        <v>9500</v>
      </c>
      <c r="K21" s="99">
        <f>'Localize Daily Bali Jimbaran'!Q26</f>
        <v>523</v>
      </c>
      <c r="L21" s="100">
        <f>'Localize Daily Bali Jimbaran'!V26/'Localize Daily Bali Jimbaran'!Q26</f>
        <v>9814.0180497131914</v>
      </c>
      <c r="M21" s="99">
        <f>'Localize Daily Bali Jimbaran'!C26</f>
        <v>73</v>
      </c>
      <c r="N21" s="99">
        <v>209</v>
      </c>
    </row>
    <row r="22" spans="1:14" ht="15">
      <c r="A22" s="96" t="s">
        <v>14</v>
      </c>
      <c r="B22" s="97">
        <v>21</v>
      </c>
      <c r="C22" s="98">
        <v>8</v>
      </c>
      <c r="D22" s="97">
        <v>2018</v>
      </c>
      <c r="E22" s="99">
        <f>'Localize Daily Bali Jimbaran'!P27</f>
        <v>24140.000000000102</v>
      </c>
      <c r="F22" s="100">
        <f>'Localize Daily Bali Jimbaran'!O27/'Localize Daily Bali Jimbaran'!P27</f>
        <v>1184.4320219552596</v>
      </c>
      <c r="G22" s="99">
        <f>'Localize Daily Bali Jimbaran'!AC27</f>
        <v>196.9345599999578</v>
      </c>
      <c r="H22" s="100">
        <f>'Localize Daily Bali Jimbaran'!AD27/'Localize Daily Bali Jimbaran'!AC27</f>
        <v>10590.597138866933</v>
      </c>
      <c r="I22" s="99">
        <f>'Localize Daily Bali Jimbaran'!AH27</f>
        <v>586.36000000000058</v>
      </c>
      <c r="J22" s="101">
        <f>'Localize Daily Bali Jimbaran'!AI27/'Localize Daily Bali Jimbaran'!AH27</f>
        <v>9500</v>
      </c>
      <c r="K22" s="99">
        <f>'Localize Daily Bali Jimbaran'!Q27</f>
        <v>375</v>
      </c>
      <c r="L22" s="100">
        <f>'Localize Daily Bali Jimbaran'!V27/'Localize Daily Bali Jimbaran'!Q27</f>
        <v>4681.4799999999996</v>
      </c>
      <c r="M22" s="99">
        <f>'Localize Daily Bali Jimbaran'!C27</f>
        <v>77</v>
      </c>
      <c r="N22" s="99">
        <v>214</v>
      </c>
    </row>
    <row r="23" spans="1:14" ht="15">
      <c r="A23" s="96" t="s">
        <v>14</v>
      </c>
      <c r="B23" s="97">
        <v>22</v>
      </c>
      <c r="C23" s="98">
        <v>8</v>
      </c>
      <c r="D23" s="97">
        <v>2018</v>
      </c>
      <c r="E23" s="99">
        <f>'Localize Daily Bali Jimbaran'!P28</f>
        <v>23100.000000000138</v>
      </c>
      <c r="F23" s="100">
        <f>'Localize Daily Bali Jimbaran'!O28/'Localize Daily Bali Jimbaran'!P28</f>
        <v>1186.9097181818181</v>
      </c>
      <c r="G23" s="99">
        <f>'Localize Daily Bali Jimbaran'!AC28</f>
        <v>145.40391999999764</v>
      </c>
      <c r="H23" s="100">
        <f>'Localize Daily Bali Jimbaran'!AD28/'Localize Daily Bali Jimbaran'!AC28</f>
        <v>10395.96456381644</v>
      </c>
      <c r="I23" s="99">
        <f>'Localize Daily Bali Jimbaran'!AH28</f>
        <v>610.77999999999884</v>
      </c>
      <c r="J23" s="101">
        <f>'Localize Daily Bali Jimbaran'!AI28/'Localize Daily Bali Jimbaran'!AH28</f>
        <v>9500</v>
      </c>
      <c r="K23" s="99">
        <f>'Localize Daily Bali Jimbaran'!Q28</f>
        <v>402</v>
      </c>
      <c r="L23" s="100">
        <f>'Localize Daily Bali Jimbaran'!V28/'Localize Daily Bali Jimbaran'!Q28</f>
        <v>4681.4799999999996</v>
      </c>
      <c r="M23" s="99">
        <f>'Localize Daily Bali Jimbaran'!C28</f>
        <v>77</v>
      </c>
      <c r="N23" s="99">
        <v>210</v>
      </c>
    </row>
    <row r="24" spans="1:14" ht="15">
      <c r="A24" s="96" t="s">
        <v>14</v>
      </c>
      <c r="B24" s="97">
        <v>23</v>
      </c>
      <c r="C24" s="98">
        <v>8</v>
      </c>
      <c r="D24" s="97">
        <v>2018</v>
      </c>
      <c r="E24" s="99">
        <f>'Localize Daily Bali Jimbaran'!P29</f>
        <v>27259.999999999534</v>
      </c>
      <c r="F24" s="100">
        <f>'Localize Daily Bali Jimbaran'!O29/'Localize Daily Bali Jimbaran'!P29</f>
        <v>1167.3612964049903</v>
      </c>
      <c r="G24" s="99">
        <f>'Localize Daily Bali Jimbaran'!AC29</f>
        <v>123.69988000002577</v>
      </c>
      <c r="H24" s="100">
        <f>'Localize Daily Bali Jimbaran'!AD29/'Localize Daily Bali Jimbaran'!AC29</f>
        <v>10153</v>
      </c>
      <c r="I24" s="99">
        <f>'Localize Daily Bali Jimbaran'!AH29</f>
        <v>555.79000000000815</v>
      </c>
      <c r="J24" s="101">
        <f>'Localize Daily Bali Jimbaran'!AI29/'Localize Daily Bali Jimbaran'!AH29</f>
        <v>9500</v>
      </c>
      <c r="K24" s="99">
        <f>'Localize Daily Bali Jimbaran'!Q29</f>
        <v>488</v>
      </c>
      <c r="L24" s="100">
        <f>'Localize Daily Bali Jimbaran'!V29/'Localize Daily Bali Jimbaran'!Q29</f>
        <v>11897.679795081967</v>
      </c>
      <c r="M24" s="99">
        <f>'Localize Daily Bali Jimbaran'!C29</f>
        <v>76</v>
      </c>
      <c r="N24" s="99">
        <v>208</v>
      </c>
    </row>
    <row r="25" spans="1:14" ht="15">
      <c r="A25" s="96" t="s">
        <v>14</v>
      </c>
      <c r="B25" s="97">
        <v>24</v>
      </c>
      <c r="C25" s="98">
        <v>8</v>
      </c>
      <c r="D25" s="97">
        <v>2018</v>
      </c>
      <c r="E25" s="99">
        <f>'Localize Daily Bali Jimbaran'!P30</f>
        <v>18060.000000000346</v>
      </c>
      <c r="F25" s="100">
        <f>'Localize Daily Bali Jimbaran'!O30/'Localize Daily Bali Jimbaran'!P30</f>
        <v>1205.5997441860445</v>
      </c>
      <c r="G25" s="99">
        <f>'Localize Daily Bali Jimbaran'!AC30</f>
        <v>832.49148000001401</v>
      </c>
      <c r="H25" s="100">
        <f>'Localize Daily Bali Jimbaran'!AD30/'Localize Daily Bali Jimbaran'!AC30</f>
        <v>11053.153356524426</v>
      </c>
      <c r="I25" s="99">
        <f>'Localize Daily Bali Jimbaran'!AH30</f>
        <v>607.5</v>
      </c>
      <c r="J25" s="101">
        <f>'Localize Daily Bali Jimbaran'!AI30/'Localize Daily Bali Jimbaran'!AH30</f>
        <v>9500</v>
      </c>
      <c r="K25" s="99">
        <f>'Localize Daily Bali Jimbaran'!Q30</f>
        <v>637</v>
      </c>
      <c r="L25" s="100">
        <f>'Localize Daily Bali Jimbaran'!V30/'Localize Daily Bali Jimbaran'!Q30</f>
        <v>8978.9245839874402</v>
      </c>
      <c r="M25" s="99">
        <f>'Localize Daily Bali Jimbaran'!C30</f>
        <v>77</v>
      </c>
      <c r="N25" s="99">
        <v>212</v>
      </c>
    </row>
    <row r="26" spans="1:14" ht="15">
      <c r="A26" s="96" t="s">
        <v>14</v>
      </c>
      <c r="B26" s="97">
        <v>25</v>
      </c>
      <c r="C26" s="98">
        <v>8</v>
      </c>
      <c r="D26" s="97">
        <v>2018</v>
      </c>
      <c r="E26" s="99">
        <f>'Localize Daily Bali Jimbaran'!P31</f>
        <v>21959.999999999753</v>
      </c>
      <c r="F26" s="100">
        <f>'Localize Daily Bali Jimbaran'!O31/'Localize Daily Bali Jimbaran'!P31</f>
        <v>1185.133250000001</v>
      </c>
      <c r="G26" s="99">
        <f>'Localize Daily Bali Jimbaran'!AC31</f>
        <v>126.15351999998592</v>
      </c>
      <c r="H26" s="100">
        <f>'Localize Daily Bali Jimbaran'!AD31/'Localize Daily Bali Jimbaran'!AC31</f>
        <v>10293.019874197738</v>
      </c>
      <c r="I26" s="99">
        <f>'Localize Daily Bali Jimbaran'!AH31</f>
        <v>604.25999999999476</v>
      </c>
      <c r="J26" s="101">
        <f>'Localize Daily Bali Jimbaran'!AI31/'Localize Daily Bali Jimbaran'!AH31</f>
        <v>9500</v>
      </c>
      <c r="K26" s="99">
        <f>'Localize Daily Bali Jimbaran'!Q31</f>
        <v>664.89999999999418</v>
      </c>
      <c r="L26" s="100">
        <f>'Localize Daily Bali Jimbaran'!V31/'Localize Daily Bali Jimbaran'!Q31</f>
        <v>8418.8644187096124</v>
      </c>
      <c r="M26" s="99">
        <f>'Localize Daily Bali Jimbaran'!C31</f>
        <v>69</v>
      </c>
      <c r="N26" s="99">
        <v>194</v>
      </c>
    </row>
    <row r="27" spans="1:14" ht="15">
      <c r="A27" s="96" t="s">
        <v>14</v>
      </c>
      <c r="B27" s="97">
        <v>26</v>
      </c>
      <c r="C27" s="98">
        <v>8</v>
      </c>
      <c r="D27" s="97">
        <v>2018</v>
      </c>
      <c r="E27" s="99">
        <f>'Localize Daily Bali Jimbaran'!P32</f>
        <v>22700.000000000335</v>
      </c>
      <c r="F27" s="100">
        <f>'Localize Daily Bali Jimbaran'!O32/'Localize Daily Bali Jimbaran'!P32</f>
        <v>1184.3482678414034</v>
      </c>
      <c r="G27" s="99">
        <f>'Localize Daily Bali Jimbaran'!AC32</f>
        <v>123.05195999996951</v>
      </c>
      <c r="H27" s="100">
        <f>'Localize Daily Bali Jimbaran'!AD32/'Localize Daily Bali Jimbaran'!AC32</f>
        <v>10296.549115349357</v>
      </c>
      <c r="I27" s="99">
        <f>'Localize Daily Bali Jimbaran'!AH32</f>
        <v>610.86000000001513</v>
      </c>
      <c r="J27" s="101">
        <f>'Localize Daily Bali Jimbaran'!AI32/'Localize Daily Bali Jimbaran'!AH32</f>
        <v>9500</v>
      </c>
      <c r="K27" s="99">
        <f>'Localize Daily Bali Jimbaran'!Q32</f>
        <v>645</v>
      </c>
      <c r="L27" s="100">
        <f>'Localize Daily Bali Jimbaran'!V32/'Localize Daily Bali Jimbaran'!Q32</f>
        <v>8225.1333333333332</v>
      </c>
      <c r="M27" s="99">
        <f>'Localize Daily Bali Jimbaran'!C32</f>
        <v>59</v>
      </c>
      <c r="N27" s="99">
        <v>167</v>
      </c>
    </row>
    <row r="28" spans="1:14" ht="15">
      <c r="A28" s="96" t="s">
        <v>14</v>
      </c>
      <c r="B28" s="97">
        <v>27</v>
      </c>
      <c r="C28" s="98">
        <v>8</v>
      </c>
      <c r="D28" s="97">
        <v>2018</v>
      </c>
      <c r="E28" s="99">
        <f>'Localize Daily Bali Jimbaran'!P33</f>
        <v>21979.999999999622</v>
      </c>
      <c r="F28" s="100">
        <f>'Localize Daily Bali Jimbaran'!O33/'Localize Daily Bali Jimbaran'!P33</f>
        <v>1187.5184713375818</v>
      </c>
      <c r="G28" s="99">
        <f>'Localize Daily Bali Jimbaran'!AC33</f>
        <v>188.63688000002577</v>
      </c>
      <c r="H28" s="100">
        <f>'Localize Daily Bali Jimbaran'!AD33/'Localize Daily Bali Jimbaran'!AC33</f>
        <v>10609.845978368538</v>
      </c>
      <c r="I28" s="99">
        <f>'Localize Daily Bali Jimbaran'!AH33</f>
        <v>503.61000000000058</v>
      </c>
      <c r="J28" s="101">
        <f>'Localize Daily Bali Jimbaran'!AI33/'Localize Daily Bali Jimbaran'!AH33</f>
        <v>9500</v>
      </c>
      <c r="K28" s="99">
        <f>'Localize Daily Bali Jimbaran'!Q33</f>
        <v>665</v>
      </c>
      <c r="L28" s="100">
        <f>'Localize Daily Bali Jimbaran'!V33/'Localize Daily Bali Jimbaran'!Q33</f>
        <v>7678.9311278195473</v>
      </c>
      <c r="M28" s="99">
        <f>'Localize Daily Bali Jimbaran'!C33</f>
        <v>43</v>
      </c>
      <c r="N28" s="99">
        <v>118</v>
      </c>
    </row>
    <row r="29" spans="1:14" ht="15">
      <c r="A29" s="96" t="s">
        <v>14</v>
      </c>
      <c r="B29" s="97">
        <v>28</v>
      </c>
      <c r="C29" s="98">
        <v>8</v>
      </c>
      <c r="D29" s="97">
        <v>2018</v>
      </c>
      <c r="E29" s="99">
        <f>'Localize Daily Bali Jimbaran'!P34</f>
        <v>22239.999999999669</v>
      </c>
      <c r="F29" s="100">
        <f>'Localize Daily Bali Jimbaran'!O34/'Localize Daily Bali Jimbaran'!P34</f>
        <v>1186.8390121402908</v>
      </c>
      <c r="G29" s="99">
        <f>'Localize Daily Bali Jimbaran'!AC34</f>
        <v>110.89083999999529</v>
      </c>
      <c r="H29" s="100">
        <f>'Localize Daily Bali Jimbaran'!AD34/'Localize Daily Bali Jimbaran'!AC34</f>
        <v>10153</v>
      </c>
      <c r="I29" s="99">
        <f>'Localize Daily Bali Jimbaran'!AH34</f>
        <v>866.41000000000349</v>
      </c>
      <c r="J29" s="101">
        <f>'Localize Daily Bali Jimbaran'!AI34/'Localize Daily Bali Jimbaran'!AH34</f>
        <v>9500</v>
      </c>
      <c r="K29" s="99">
        <f>'Localize Daily Bali Jimbaran'!Q34</f>
        <v>509</v>
      </c>
      <c r="L29" s="100">
        <f>'Localize Daily Bali Jimbaran'!V34/'Localize Daily Bali Jimbaran'!Q34</f>
        <v>4681.4799999999996</v>
      </c>
      <c r="M29" s="99">
        <f>'Localize Daily Bali Jimbaran'!C34</f>
        <v>37</v>
      </c>
      <c r="N29" s="99">
        <v>96</v>
      </c>
    </row>
    <row r="30" spans="1:14" ht="15">
      <c r="A30" s="96" t="s">
        <v>14</v>
      </c>
      <c r="B30" s="97">
        <v>29</v>
      </c>
      <c r="C30" s="98">
        <v>8</v>
      </c>
      <c r="D30" s="97">
        <v>2018</v>
      </c>
      <c r="E30" s="99">
        <f>'Localize Daily Bali Jimbaran'!P35</f>
        <v>21580.000000000156</v>
      </c>
      <c r="F30" s="100">
        <f>'Localize Daily Bali Jimbaran'!O35/'Localize Daily Bali Jimbaran'!P35</f>
        <v>1179.2916867469896</v>
      </c>
      <c r="G30" s="99">
        <f>'Localize Daily Bali Jimbaran'!AC35</f>
        <v>760.24635999998122</v>
      </c>
      <c r="H30" s="100">
        <f>'Localize Daily Bali Jimbaran'!AD35/'Localize Daily Bali Jimbaran'!AC35</f>
        <v>11022.520769556879</v>
      </c>
      <c r="I30" s="99">
        <f>'Localize Daily Bali Jimbaran'!AH35</f>
        <v>613.51000000000931</v>
      </c>
      <c r="J30" s="101">
        <f>'Localize Daily Bali Jimbaran'!AI35/'Localize Daily Bali Jimbaran'!AH35</f>
        <v>9500</v>
      </c>
      <c r="K30" s="99">
        <f>'Localize Daily Bali Jimbaran'!Q35</f>
        <v>486</v>
      </c>
      <c r="L30" s="100">
        <f>'Localize Daily Bali Jimbaran'!V35/'Localize Daily Bali Jimbaran'!Q35</f>
        <v>4681.4799999999996</v>
      </c>
      <c r="M30" s="99">
        <f>'Localize Daily Bali Jimbaran'!C35</f>
        <v>37</v>
      </c>
      <c r="N30" s="99">
        <v>104</v>
      </c>
    </row>
    <row r="31" spans="1:14" ht="15">
      <c r="A31" s="96" t="s">
        <v>14</v>
      </c>
      <c r="B31" s="97">
        <v>30</v>
      </c>
      <c r="C31" s="98">
        <v>8</v>
      </c>
      <c r="D31" s="97">
        <v>2018</v>
      </c>
      <c r="E31" s="99">
        <f>'Localize Daily Bali Jimbaran'!P36</f>
        <v>20699.999999999985</v>
      </c>
      <c r="F31" s="100">
        <f>'Localize Daily Bali Jimbaran'!O36/'Localize Daily Bali Jimbaran'!P36</f>
        <v>1187.3941739130412</v>
      </c>
      <c r="G31" s="99">
        <f>'Localize Daily Bali Jimbaran'!AC36</f>
        <v>147.33736000003984</v>
      </c>
      <c r="H31" s="100">
        <f>'Localize Daily Bali Jimbaran'!AD36/'Localize Daily Bali Jimbaran'!AC36</f>
        <v>10392.776252268879</v>
      </c>
      <c r="I31" s="99">
        <f>'Localize Daily Bali Jimbaran'!AH36</f>
        <v>554.11000000000058</v>
      </c>
      <c r="J31" s="101">
        <f>'Localize Daily Bali Jimbaran'!AI36/'Localize Daily Bali Jimbaran'!AH36</f>
        <v>9500</v>
      </c>
      <c r="K31" s="99">
        <f>'Localize Daily Bali Jimbaran'!Q36</f>
        <v>712</v>
      </c>
      <c r="L31" s="100">
        <f>'Localize Daily Bali Jimbaran'!V36/'Localize Daily Bali Jimbaran'!Q36</f>
        <v>8096.974522471909</v>
      </c>
      <c r="M31" s="99">
        <f>'Localize Daily Bali Jimbaran'!C36</f>
        <v>33</v>
      </c>
      <c r="N31" s="99">
        <v>95</v>
      </c>
    </row>
    <row r="32" spans="1:14" ht="15">
      <c r="A32" s="96" t="s">
        <v>14</v>
      </c>
      <c r="B32" s="97">
        <v>31</v>
      </c>
      <c r="C32" s="98">
        <v>8</v>
      </c>
      <c r="D32" s="97">
        <v>2018</v>
      </c>
      <c r="E32" s="99">
        <f>'Localize Daily Bali Jimbaran'!P37</f>
        <v>31160.000000000025</v>
      </c>
      <c r="F32" s="100">
        <f>'Localize Daily Bali Jimbaran'!O37/'Localize Daily Bali Jimbaran'!P37</f>
        <v>1154.9312647625172</v>
      </c>
      <c r="G32" s="99">
        <f>'Localize Daily Bali Jimbaran'!AC37</f>
        <v>133.36363999996013</v>
      </c>
      <c r="H32" s="100">
        <f>'Localize Daily Bali Jimbaran'!AD37/'Localize Daily Bali Jimbaran'!AC37</f>
        <v>10285.449894139101</v>
      </c>
      <c r="I32" s="99">
        <f>'Localize Daily Bali Jimbaran'!AH37</f>
        <v>758.4600000000064</v>
      </c>
      <c r="J32" s="101">
        <f>'Localize Daily Bali Jimbaran'!AI37/'Localize Daily Bali Jimbaran'!AH37</f>
        <v>9500</v>
      </c>
      <c r="K32" s="99">
        <f>'Localize Daily Bali Jimbaran'!Q37</f>
        <v>742</v>
      </c>
      <c r="L32" s="100">
        <f>'Localize Daily Bali Jimbaran'!V37/'Localize Daily Bali Jimbaran'!Q37</f>
        <v>7779.7887601078164</v>
      </c>
      <c r="M32" s="99">
        <f>'Localize Daily Bali Jimbaran'!C37</f>
        <v>35</v>
      </c>
      <c r="N32" s="99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P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65</v>
      </c>
      <c r="D7" s="103">
        <v>576</v>
      </c>
      <c r="E7" s="156">
        <v>7640.0000000001</v>
      </c>
      <c r="F7" s="156">
        <v>8309027.1600001091</v>
      </c>
      <c r="G7" s="116">
        <v>3639.9999999999864</v>
      </c>
      <c r="H7" s="157">
        <v>5938126.7399999788</v>
      </c>
      <c r="I7" s="105">
        <f>F7+H7</f>
        <v>14247153.900000088</v>
      </c>
      <c r="J7" s="115">
        <v>1199.9999999998181</v>
      </c>
      <c r="K7" s="115">
        <v>1305082.7999998024</v>
      </c>
      <c r="L7" s="119">
        <v>519.99999999998181</v>
      </c>
      <c r="M7" s="121">
        <v>848303.81999997038</v>
      </c>
      <c r="N7" s="107">
        <f>K7+M7</f>
        <v>2153386.6199997729</v>
      </c>
      <c r="O7" s="105">
        <f>I7+N7</f>
        <v>16400540.519999862</v>
      </c>
      <c r="P7" s="107">
        <f>E7+G7+J7+L7</f>
        <v>12999.999999999887</v>
      </c>
      <c r="Q7" s="123">
        <f>R7+T7</f>
        <v>756.69999999999709</v>
      </c>
      <c r="R7" s="115">
        <v>290</v>
      </c>
      <c r="S7" s="115">
        <v>5211352.2</v>
      </c>
      <c r="T7" s="115">
        <v>466.69999999999709</v>
      </c>
      <c r="U7" s="115">
        <v>2184846.715999986</v>
      </c>
      <c r="V7" s="115">
        <f>S7+U7</f>
        <v>7396198.9159999862</v>
      </c>
      <c r="W7" s="115">
        <v>111.73672000002109</v>
      </c>
      <c r="X7" s="106"/>
      <c r="Y7" s="110"/>
      <c r="Z7" s="108"/>
      <c r="AA7" s="108"/>
      <c r="AB7" s="112">
        <v>0</v>
      </c>
      <c r="AC7" s="123">
        <f>W7+X7+Y7+Z7+AA7+AB7</f>
        <v>111.73672000002109</v>
      </c>
      <c r="AD7" s="104">
        <v>1134462.9181602141</v>
      </c>
      <c r="AE7" s="109"/>
      <c r="AF7" s="128">
        <v>808.61000000007334</v>
      </c>
      <c r="AG7" s="130">
        <v>0</v>
      </c>
      <c r="AH7" s="130">
        <f>AF7+AG7</f>
        <v>808.61000000007334</v>
      </c>
      <c r="AI7" s="132">
        <v>7681795.0000006966</v>
      </c>
      <c r="AJ7" s="18"/>
    </row>
    <row r="8" spans="1:36" ht="15">
      <c r="A8" s="19"/>
      <c r="B8" s="64">
        <v>2</v>
      </c>
      <c r="C8" s="65">
        <v>66</v>
      </c>
      <c r="D8" s="65">
        <v>612</v>
      </c>
      <c r="E8" s="124">
        <v>17279.999999999971</v>
      </c>
      <c r="F8" s="124">
        <v>18793192.319999967</v>
      </c>
      <c r="G8" s="111">
        <v>3400.0000000000341</v>
      </c>
      <c r="H8" s="111">
        <v>5546601.9000000563</v>
      </c>
      <c r="I8" s="105">
        <f>F8+H8</f>
        <v>24339794.220000021</v>
      </c>
      <c r="J8" s="158">
        <v>1940.0000000005093</v>
      </c>
      <c r="K8" s="158">
        <v>2109883.860000554</v>
      </c>
      <c r="L8" s="120">
        <v>519.99999999998181</v>
      </c>
      <c r="M8" s="122">
        <v>848303.81999997038</v>
      </c>
      <c r="N8" s="107">
        <f>K8+M8</f>
        <v>2958187.6800005245</v>
      </c>
      <c r="O8" s="105">
        <f>I8+N8</f>
        <v>27297981.900000546</v>
      </c>
      <c r="P8" s="107">
        <f>E8+G8+J8+L8</f>
        <v>23140.000000000495</v>
      </c>
      <c r="Q8" s="123">
        <f>R8+T8</f>
        <v>452.80000000000291</v>
      </c>
      <c r="R8" s="124">
        <v>231</v>
      </c>
      <c r="S8" s="124">
        <v>4151111.58</v>
      </c>
      <c r="T8" s="117">
        <v>221.80000000000291</v>
      </c>
      <c r="U8" s="117">
        <v>1038352.2640000135</v>
      </c>
      <c r="V8" s="115">
        <f>S8+U8</f>
        <v>5189463.8440000135</v>
      </c>
      <c r="W8" s="126">
        <v>109.64216000000468</v>
      </c>
      <c r="X8" s="112">
        <v>250</v>
      </c>
      <c r="Y8" s="110"/>
      <c r="Z8" s="112"/>
      <c r="AA8" s="112"/>
      <c r="AB8" s="112">
        <v>24</v>
      </c>
      <c r="AC8" s="123">
        <f>W8+X8+Y8+Z8+AA8+AB8</f>
        <v>383.64216000000465</v>
      </c>
      <c r="AD8" s="110">
        <v>4184696.8504800475</v>
      </c>
      <c r="AE8" s="113"/>
      <c r="AF8" s="129">
        <v>638.11000000004424</v>
      </c>
      <c r="AG8" s="131">
        <v>0</v>
      </c>
      <c r="AH8" s="130">
        <f>AF8+AG8</f>
        <v>638.11000000004424</v>
      </c>
      <c r="AI8" s="133">
        <v>6062045.00000042</v>
      </c>
      <c r="AJ8" s="21"/>
    </row>
    <row r="9" spans="1:36" ht="15">
      <c r="A9" s="19"/>
      <c r="B9" s="81">
        <v>3</v>
      </c>
      <c r="C9" s="65">
        <v>74</v>
      </c>
      <c r="D9" s="65">
        <v>647</v>
      </c>
      <c r="E9" s="124">
        <v>15799.999999999955</v>
      </c>
      <c r="F9" s="124">
        <v>17183590.199999951</v>
      </c>
      <c r="G9" s="111">
        <v>3319.9999999999932</v>
      </c>
      <c r="H9" s="111">
        <v>5416093.6199999889</v>
      </c>
      <c r="I9" s="105">
        <f>F9+H9</f>
        <v>22599683.819999941</v>
      </c>
      <c r="J9" s="158">
        <v>2119.9999999998909</v>
      </c>
      <c r="K9" s="158">
        <v>2305646.2799998815</v>
      </c>
      <c r="L9" s="120">
        <v>520.00000000020918</v>
      </c>
      <c r="M9" s="122">
        <v>848303.82000034139</v>
      </c>
      <c r="N9" s="107">
        <f>K9+M9</f>
        <v>3153950.1000002231</v>
      </c>
      <c r="O9" s="105">
        <f>I9+N9</f>
        <v>25753633.920000166</v>
      </c>
      <c r="P9" s="107">
        <f>E9+G9+J9+L9</f>
        <v>21760.000000000051</v>
      </c>
      <c r="Q9" s="123">
        <f>R9+T9</f>
        <v>840.69999999999709</v>
      </c>
      <c r="R9" s="124">
        <v>272</v>
      </c>
      <c r="S9" s="124">
        <v>4887888.96</v>
      </c>
      <c r="T9" s="117">
        <v>568.69999999999709</v>
      </c>
      <c r="U9" s="117">
        <v>2662357.675999986</v>
      </c>
      <c r="V9" s="115">
        <f>S9+U9</f>
        <v>7550246.635999986</v>
      </c>
      <c r="W9" s="126">
        <v>134.21296000002812</v>
      </c>
      <c r="X9" s="112"/>
      <c r="Y9" s="110">
        <v>400</v>
      </c>
      <c r="Z9" s="112">
        <v>50</v>
      </c>
      <c r="AA9" s="112"/>
      <c r="AB9" s="112">
        <v>12</v>
      </c>
      <c r="AC9" s="123">
        <f>W9+X9+Y9+Z9+AA9+AB9</f>
        <v>596.21296000002815</v>
      </c>
      <c r="AD9" s="110">
        <v>6528664.1828802852</v>
      </c>
      <c r="AE9" s="113"/>
      <c r="AF9" s="129">
        <v>511.40999999991618</v>
      </c>
      <c r="AG9" s="131">
        <v>0</v>
      </c>
      <c r="AH9" s="130">
        <f>AF9+AG9</f>
        <v>511.40999999991618</v>
      </c>
      <c r="AI9" s="133">
        <v>4858394.9999992037</v>
      </c>
      <c r="AJ9" s="21"/>
    </row>
    <row r="10" spans="1:36" ht="15">
      <c r="A10" s="19"/>
      <c r="B10" s="64">
        <v>4</v>
      </c>
      <c r="C10" s="65">
        <v>78</v>
      </c>
      <c r="D10" s="65">
        <v>969</v>
      </c>
      <c r="E10" s="124">
        <v>16080.000000000155</v>
      </c>
      <c r="F10" s="124">
        <v>17488109.520000171</v>
      </c>
      <c r="G10" s="111">
        <v>3479.9999999999613</v>
      </c>
      <c r="H10" s="111">
        <v>5677110.1799999373</v>
      </c>
      <c r="I10" s="105">
        <f>F10+H10</f>
        <v>23165219.700000107</v>
      </c>
      <c r="J10" s="158">
        <v>2039.9999999999636</v>
      </c>
      <c r="K10" s="158">
        <v>2218640.7599999607</v>
      </c>
      <c r="L10" s="120">
        <v>519.99999999998181</v>
      </c>
      <c r="M10" s="122">
        <v>848303.81999997038</v>
      </c>
      <c r="N10" s="107">
        <f>K10+M10</f>
        <v>3066944.5799999312</v>
      </c>
      <c r="O10" s="105">
        <f>I10+N10</f>
        <v>26232164.280000038</v>
      </c>
      <c r="P10" s="107">
        <f>E10+G10+J10+L10</f>
        <v>22120.000000000062</v>
      </c>
      <c r="Q10" s="123">
        <f>R10+T10</f>
        <v>738.5</v>
      </c>
      <c r="R10" s="124">
        <v>243</v>
      </c>
      <c r="S10" s="124">
        <v>4366753.74</v>
      </c>
      <c r="T10" s="117">
        <v>495.5</v>
      </c>
      <c r="U10" s="117">
        <v>2319673.34</v>
      </c>
      <c r="V10" s="115">
        <f>S10+U10</f>
        <v>6686427.0800000001</v>
      </c>
      <c r="W10" s="126">
        <v>0</v>
      </c>
      <c r="X10" s="112"/>
      <c r="Y10" s="110"/>
      <c r="Z10" s="112"/>
      <c r="AA10" s="112"/>
      <c r="AB10" s="112">
        <v>12</v>
      </c>
      <c r="AC10" s="123">
        <f>W10+X10+Y10+Z10+AA10+AB10</f>
        <v>12</v>
      </c>
      <c r="AD10" s="110">
        <v>139500</v>
      </c>
      <c r="AE10" s="113"/>
      <c r="AF10" s="129">
        <v>574.78000000001339</v>
      </c>
      <c r="AG10" s="131">
        <v>0</v>
      </c>
      <c r="AH10" s="130">
        <f>AF10+AG10</f>
        <v>574.78000000001339</v>
      </c>
      <c r="AI10" s="133">
        <v>5460410.0000001276</v>
      </c>
      <c r="AJ10" s="21"/>
    </row>
    <row r="11" spans="1:36" ht="15">
      <c r="A11" s="19"/>
      <c r="B11" s="81">
        <v>5</v>
      </c>
      <c r="C11" s="65">
        <v>66</v>
      </c>
      <c r="D11" s="65">
        <v>734</v>
      </c>
      <c r="E11" s="124">
        <v>15359.9999999999</v>
      </c>
      <c r="F11" s="124">
        <v>16705059.839999892</v>
      </c>
      <c r="G11" s="111">
        <v>3200.0000000000455</v>
      </c>
      <c r="H11" s="111">
        <v>5220331.2000000747</v>
      </c>
      <c r="I11" s="105">
        <f>F11+H11</f>
        <v>21925391.039999966</v>
      </c>
      <c r="J11" s="158">
        <v>1779.9999999997453</v>
      </c>
      <c r="K11" s="158">
        <v>1935872.819999723</v>
      </c>
      <c r="L11" s="120">
        <v>480.00000000001819</v>
      </c>
      <c r="M11" s="122">
        <v>783049.68000002974</v>
      </c>
      <c r="N11" s="107">
        <f>K11+M11</f>
        <v>2718922.4999997527</v>
      </c>
      <c r="O11" s="105">
        <f>I11+N11</f>
        <v>24644313.53999972</v>
      </c>
      <c r="P11" s="107">
        <f>E11+G11+J11+L11</f>
        <v>20819.999999999709</v>
      </c>
      <c r="Q11" s="123">
        <f>R11+T11</f>
        <v>688.09999999999127</v>
      </c>
      <c r="R11" s="124">
        <v>245</v>
      </c>
      <c r="S11" s="124">
        <v>4402694.0999999996</v>
      </c>
      <c r="T11" s="117">
        <v>443.09999999999127</v>
      </c>
      <c r="U11" s="117">
        <v>2074363.787999959</v>
      </c>
      <c r="V11" s="115">
        <f>S11+U11</f>
        <v>6477057.8879999584</v>
      </c>
      <c r="W11" s="126">
        <v>111.77699999999999</v>
      </c>
      <c r="X11" s="112"/>
      <c r="Y11" s="110"/>
      <c r="Z11" s="112"/>
      <c r="AA11" s="112"/>
      <c r="AB11" s="112">
        <v>12</v>
      </c>
      <c r="AC11" s="123">
        <f>W11+X11+Y11+Z11+AA11+AB11</f>
        <v>123.77699999999999</v>
      </c>
      <c r="AD11" s="110">
        <v>1274371.8809999998</v>
      </c>
      <c r="AE11" s="113"/>
      <c r="AF11" s="129">
        <v>747.27000000000407</v>
      </c>
      <c r="AG11" s="131">
        <v>0</v>
      </c>
      <c r="AH11" s="130">
        <f>AF11+AG11</f>
        <v>747.27000000000407</v>
      </c>
      <c r="AI11" s="133">
        <v>7099065.0000000391</v>
      </c>
      <c r="AJ11" s="21"/>
    </row>
    <row r="12" spans="1:36" ht="15">
      <c r="A12" s="19"/>
      <c r="B12" s="64">
        <v>6</v>
      </c>
      <c r="C12" s="65">
        <v>69</v>
      </c>
      <c r="D12" s="65">
        <v>643</v>
      </c>
      <c r="E12" s="124">
        <v>15440.000000000055</v>
      </c>
      <c r="F12" s="124">
        <v>16792065.360000059</v>
      </c>
      <c r="G12" s="111">
        <v>5159.9999999999682</v>
      </c>
      <c r="H12" s="111">
        <v>8417784.0599999484</v>
      </c>
      <c r="I12" s="105">
        <f>F12+H12</f>
        <v>25209849.420000009</v>
      </c>
      <c r="J12" s="158">
        <v>1979.9999999995634</v>
      </c>
      <c r="K12" s="158">
        <v>2153386.6199995251</v>
      </c>
      <c r="L12" s="120">
        <v>519.99999999998181</v>
      </c>
      <c r="M12" s="122">
        <v>848303.81999997038</v>
      </c>
      <c r="N12" s="107">
        <f>K12+M12</f>
        <v>3001690.4399994956</v>
      </c>
      <c r="O12" s="105">
        <f>I12+N12</f>
        <v>28211539.859999504</v>
      </c>
      <c r="P12" s="107">
        <f>E12+G12+J12+L12</f>
        <v>23099.999999999567</v>
      </c>
      <c r="Q12" s="123">
        <f>R12+T12</f>
        <v>728.60000000000582</v>
      </c>
      <c r="R12" s="124">
        <v>278</v>
      </c>
      <c r="S12" s="124">
        <v>4995710.04</v>
      </c>
      <c r="T12" s="117">
        <v>450.60000000000582</v>
      </c>
      <c r="U12" s="117">
        <v>2109474.8880000273</v>
      </c>
      <c r="V12" s="115">
        <f>S12+U12</f>
        <v>7105184.9280000273</v>
      </c>
      <c r="W12" s="126">
        <v>120.47748000001405</v>
      </c>
      <c r="X12" s="112"/>
      <c r="Y12" s="110"/>
      <c r="Z12" s="112"/>
      <c r="AA12" s="112"/>
      <c r="AB12" s="112">
        <v>84</v>
      </c>
      <c r="AC12" s="123">
        <f>W12+X12+Y12+Z12+AA12+AB12</f>
        <v>204.47748000001405</v>
      </c>
      <c r="AD12" s="110">
        <v>2199707.8544401424</v>
      </c>
      <c r="AE12" s="113"/>
      <c r="AF12" s="129">
        <v>586.36000000000058</v>
      </c>
      <c r="AG12" s="131">
        <v>0</v>
      </c>
      <c r="AH12" s="130">
        <f>AF12+AG12</f>
        <v>586.36000000000058</v>
      </c>
      <c r="AI12" s="133">
        <v>5570420.0000000056</v>
      </c>
      <c r="AJ12" s="21"/>
    </row>
    <row r="13" spans="1:36" ht="15">
      <c r="A13" s="19"/>
      <c r="B13" s="81">
        <v>7</v>
      </c>
      <c r="C13" s="65">
        <v>76</v>
      </c>
      <c r="D13" s="65">
        <v>626</v>
      </c>
      <c r="E13" s="124">
        <v>15960.000000000036</v>
      </c>
      <c r="F13" s="124">
        <v>17357601.240000039</v>
      </c>
      <c r="G13" s="111">
        <v>1759.9999999999909</v>
      </c>
      <c r="H13" s="111">
        <v>2871182.1599999857</v>
      </c>
      <c r="I13" s="105">
        <f>F13+H13</f>
        <v>20228783.400000025</v>
      </c>
      <c r="J13" s="158">
        <v>1960.0000000000364</v>
      </c>
      <c r="K13" s="158">
        <v>2131635.2400000393</v>
      </c>
      <c r="L13" s="120">
        <v>519.99999999998181</v>
      </c>
      <c r="M13" s="122">
        <v>848303.81999997038</v>
      </c>
      <c r="N13" s="107">
        <f>K13+M13</f>
        <v>2979939.0600000098</v>
      </c>
      <c r="O13" s="105">
        <f>I13+N13</f>
        <v>23208722.460000034</v>
      </c>
      <c r="P13" s="107">
        <f>E13+G13+J13+L13</f>
        <v>20200.000000000047</v>
      </c>
      <c r="Q13" s="123">
        <f>R13+T13</f>
        <v>574</v>
      </c>
      <c r="R13" s="124">
        <v>94</v>
      </c>
      <c r="S13" s="124">
        <v>1689196.92</v>
      </c>
      <c r="T13" s="117">
        <v>480</v>
      </c>
      <c r="U13" s="117">
        <v>2247110.4</v>
      </c>
      <c r="V13" s="115">
        <f>S13+U13</f>
        <v>3936307.32</v>
      </c>
      <c r="W13" s="126">
        <v>121.44419999997655</v>
      </c>
      <c r="X13" s="112">
        <v>250</v>
      </c>
      <c r="Y13" s="110"/>
      <c r="Z13" s="112"/>
      <c r="AA13" s="112"/>
      <c r="AB13" s="112">
        <v>0</v>
      </c>
      <c r="AC13" s="123">
        <f>W13+X13+Y13+Z13+AA13+AB13</f>
        <v>371.44419999997655</v>
      </c>
      <c r="AD13" s="110">
        <v>4025522.9625997618</v>
      </c>
      <c r="AE13" s="113"/>
      <c r="AF13" s="129">
        <v>610.77999999999884</v>
      </c>
      <c r="AG13" s="131">
        <v>0</v>
      </c>
      <c r="AH13" s="130">
        <f>AF13+AG13</f>
        <v>610.77999999999884</v>
      </c>
      <c r="AI13" s="133">
        <v>5802409.9999999888</v>
      </c>
      <c r="AJ13" s="21"/>
    </row>
    <row r="14" spans="1:36" ht="15">
      <c r="A14" s="19"/>
      <c r="B14" s="64">
        <v>8</v>
      </c>
      <c r="C14" s="65">
        <v>82</v>
      </c>
      <c r="D14" s="65">
        <v>838</v>
      </c>
      <c r="E14" s="124">
        <v>18240.000000000007</v>
      </c>
      <c r="F14" s="124">
        <v>19837258.560000006</v>
      </c>
      <c r="G14" s="111">
        <v>3840.0000000000318</v>
      </c>
      <c r="H14" s="111">
        <v>6264397.4400000526</v>
      </c>
      <c r="I14" s="105">
        <f>F14+H14</f>
        <v>26101656.00000006</v>
      </c>
      <c r="J14" s="158">
        <v>2080.0000000008367</v>
      </c>
      <c r="K14" s="158">
        <v>2262143.5200009099</v>
      </c>
      <c r="L14" s="120">
        <v>480.00000000001819</v>
      </c>
      <c r="M14" s="122">
        <v>783049.68000002974</v>
      </c>
      <c r="N14" s="107">
        <f>K14+M14</f>
        <v>3045193.2000009399</v>
      </c>
      <c r="O14" s="105">
        <f>I14+N14</f>
        <v>29146849.200001001</v>
      </c>
      <c r="P14" s="107">
        <f>E14+G14+J14+L14</f>
        <v>24640.000000000895</v>
      </c>
      <c r="Q14" s="123">
        <f>R14+T14</f>
        <v>682</v>
      </c>
      <c r="R14" s="124">
        <v>183</v>
      </c>
      <c r="S14" s="124">
        <v>3288542.94</v>
      </c>
      <c r="T14" s="117">
        <v>499</v>
      </c>
      <c r="U14" s="117">
        <v>2336058.5199999996</v>
      </c>
      <c r="V14" s="115">
        <f>S14+U14</f>
        <v>5624601.459999999</v>
      </c>
      <c r="W14" s="126">
        <v>115.56332000000937</v>
      </c>
      <c r="X14" s="112"/>
      <c r="Y14" s="110">
        <v>400</v>
      </c>
      <c r="Z14" s="112"/>
      <c r="AA14" s="112"/>
      <c r="AB14" s="112">
        <v>12</v>
      </c>
      <c r="AC14" s="123">
        <f>W14+X14+Y14+Z14+AA14+AB14</f>
        <v>527.56332000000941</v>
      </c>
      <c r="AD14" s="110">
        <v>5780814.387960095</v>
      </c>
      <c r="AE14" s="113"/>
      <c r="AF14" s="129">
        <v>758.60999999992782</v>
      </c>
      <c r="AG14" s="131">
        <v>0</v>
      </c>
      <c r="AH14" s="130">
        <f>AF14+AG14</f>
        <v>758.60999999992782</v>
      </c>
      <c r="AI14" s="133">
        <v>7206794.9999993145</v>
      </c>
      <c r="AJ14" s="21"/>
    </row>
    <row r="15" spans="1:36" ht="15">
      <c r="A15" s="19"/>
      <c r="B15" s="81">
        <v>9</v>
      </c>
      <c r="C15" s="65">
        <v>95</v>
      </c>
      <c r="D15" s="65">
        <v>832</v>
      </c>
      <c r="E15" s="124">
        <v>17279.999999999971</v>
      </c>
      <c r="F15" s="124">
        <v>18793192.319999967</v>
      </c>
      <c r="G15" s="111">
        <v>3839.999999999975</v>
      </c>
      <c r="H15" s="111">
        <v>6264397.4399999604</v>
      </c>
      <c r="I15" s="105">
        <f>F15+H15</f>
        <v>25057589.759999927</v>
      </c>
      <c r="J15" s="158">
        <v>1879.9999999991996</v>
      </c>
      <c r="K15" s="158">
        <v>2044629.7199991297</v>
      </c>
      <c r="L15" s="120">
        <v>519.99999999998181</v>
      </c>
      <c r="M15" s="122">
        <v>848303.81999997038</v>
      </c>
      <c r="N15" s="107">
        <f>K15+M15</f>
        <v>2892933.5399990999</v>
      </c>
      <c r="O15" s="105">
        <f>I15+N15</f>
        <v>27950523.299999028</v>
      </c>
      <c r="P15" s="107">
        <f>E15+G15+J15+L15</f>
        <v>23519.999999999127</v>
      </c>
      <c r="Q15" s="123">
        <f>R15+T15</f>
        <v>630</v>
      </c>
      <c r="R15" s="124">
        <v>250</v>
      </c>
      <c r="S15" s="124">
        <v>4492545</v>
      </c>
      <c r="T15" s="117">
        <v>380</v>
      </c>
      <c r="U15" s="117">
        <v>1778962.4</v>
      </c>
      <c r="V15" s="115">
        <f>S15+U15</f>
        <v>6271507.4000000004</v>
      </c>
      <c r="W15" s="126">
        <v>119.59132000000936</v>
      </c>
      <c r="X15" s="112"/>
      <c r="Y15" s="110"/>
      <c r="Z15" s="112">
        <v>50</v>
      </c>
      <c r="AA15" s="112"/>
      <c r="AB15" s="112">
        <v>0</v>
      </c>
      <c r="AC15" s="123">
        <f>W15+X15+Y15+Z15+AA15+AB15</f>
        <v>169.59132000000938</v>
      </c>
      <c r="AD15" s="110">
        <v>1772710.6719600949</v>
      </c>
      <c r="AE15" s="113"/>
      <c r="AF15" s="129">
        <v>626.11000000000058</v>
      </c>
      <c r="AG15" s="131">
        <v>0</v>
      </c>
      <c r="AH15" s="130">
        <f>AF15+AG15</f>
        <v>626.11000000000058</v>
      </c>
      <c r="AI15" s="133">
        <v>5948045.0000000056</v>
      </c>
      <c r="AJ15" s="21"/>
    </row>
    <row r="16" spans="1:36" ht="15">
      <c r="A16" s="19"/>
      <c r="B16" s="64">
        <v>10</v>
      </c>
      <c r="C16" s="65">
        <v>113</v>
      </c>
      <c r="D16" s="65">
        <v>905</v>
      </c>
      <c r="E16" s="124">
        <v>16319.999999999936</v>
      </c>
      <c r="F16" s="124">
        <v>17749126.079999931</v>
      </c>
      <c r="G16" s="111">
        <v>3800.0000000000114</v>
      </c>
      <c r="H16" s="111">
        <v>6199143.3000000184</v>
      </c>
      <c r="I16" s="105">
        <f>F16+H16</f>
        <v>23948269.379999951</v>
      </c>
      <c r="J16" s="158">
        <v>2200.0000000007276</v>
      </c>
      <c r="K16" s="158">
        <v>2392651.8000007914</v>
      </c>
      <c r="L16" s="120">
        <v>519.99999999998181</v>
      </c>
      <c r="M16" s="122">
        <v>848303.81999997038</v>
      </c>
      <c r="N16" s="107">
        <f>K16+M16</f>
        <v>3240955.6200007619</v>
      </c>
      <c r="O16" s="105">
        <f>I16+N16</f>
        <v>27189225.000000712</v>
      </c>
      <c r="P16" s="107">
        <f>E16+G16+J16+L16</f>
        <v>22840.000000000658</v>
      </c>
      <c r="Q16" s="123">
        <f>R16+T16</f>
        <v>650</v>
      </c>
      <c r="R16" s="124">
        <v>264</v>
      </c>
      <c r="S16" s="124">
        <v>4744127.5200000005</v>
      </c>
      <c r="T16" s="117">
        <v>386</v>
      </c>
      <c r="U16" s="117">
        <v>1807051.2799999998</v>
      </c>
      <c r="V16" s="115">
        <f>S16+U16</f>
        <v>6551178.8000000007</v>
      </c>
      <c r="W16" s="126">
        <v>124.58603999997185</v>
      </c>
      <c r="X16" s="112"/>
      <c r="Y16" s="110"/>
      <c r="Z16" s="112"/>
      <c r="AA16" s="112"/>
      <c r="AB16" s="112">
        <v>24</v>
      </c>
      <c r="AC16" s="123">
        <f>W16+X16+Y16+Z16+AA16+AB16</f>
        <v>148.58603999997183</v>
      </c>
      <c r="AD16" s="110">
        <v>1543922.0641197141</v>
      </c>
      <c r="AE16" s="113"/>
      <c r="AF16" s="129">
        <v>546.31000000001222</v>
      </c>
      <c r="AG16" s="131">
        <v>0</v>
      </c>
      <c r="AH16" s="130">
        <f>AF16+AG16</f>
        <v>546.31000000001222</v>
      </c>
      <c r="AI16" s="133">
        <v>5189945.0000001164</v>
      </c>
      <c r="AJ16" s="21"/>
    </row>
    <row r="17" spans="1:36" ht="15">
      <c r="A17" s="19"/>
      <c r="B17" s="81">
        <v>11</v>
      </c>
      <c r="C17" s="65">
        <v>120</v>
      </c>
      <c r="D17" s="65">
        <v>944</v>
      </c>
      <c r="E17" s="124">
        <v>16880.000000000109</v>
      </c>
      <c r="F17" s="124">
        <v>18358164.720000122</v>
      </c>
      <c r="G17" s="111">
        <v>3680.0000000000068</v>
      </c>
      <c r="H17" s="111">
        <v>6003380.880000012</v>
      </c>
      <c r="I17" s="105">
        <f>F17+H17</f>
        <v>24361545.600000136</v>
      </c>
      <c r="J17" s="158">
        <v>2319.999999999709</v>
      </c>
      <c r="K17" s="158">
        <v>2523160.0799996834</v>
      </c>
      <c r="L17" s="120">
        <v>519.99999999998181</v>
      </c>
      <c r="M17" s="122">
        <v>848303.81999997038</v>
      </c>
      <c r="N17" s="107">
        <f>K17+M17</f>
        <v>3371463.8999996539</v>
      </c>
      <c r="O17" s="105">
        <f>I17+N17</f>
        <v>27733009.499999791</v>
      </c>
      <c r="P17" s="107">
        <f>E17+G17+J17+L17</f>
        <v>23399.999999999807</v>
      </c>
      <c r="Q17" s="123">
        <f>R17+T17</f>
        <v>690</v>
      </c>
      <c r="R17" s="124">
        <v>316</v>
      </c>
      <c r="S17" s="124">
        <v>5678576.8799999999</v>
      </c>
      <c r="T17" s="117">
        <v>374</v>
      </c>
      <c r="U17" s="117">
        <v>1750873.5199999998</v>
      </c>
      <c r="V17" s="115">
        <f>S17+U17</f>
        <v>7429450.3999999994</v>
      </c>
      <c r="W17" s="126">
        <v>123.69988000002577</v>
      </c>
      <c r="X17" s="112"/>
      <c r="Y17" s="110"/>
      <c r="Z17" s="112"/>
      <c r="AA17" s="112"/>
      <c r="AB17" s="112">
        <v>12</v>
      </c>
      <c r="AC17" s="123">
        <f>W17+X17+Y17+Z17+AA17+AB17</f>
        <v>135.69988000002576</v>
      </c>
      <c r="AD17" s="110">
        <v>1395424.8816402617</v>
      </c>
      <c r="AE17" s="113"/>
      <c r="AF17" s="129">
        <v>385.17999999999302</v>
      </c>
      <c r="AG17" s="131">
        <v>0</v>
      </c>
      <c r="AH17" s="130">
        <f>AF17+AG17</f>
        <v>385.17999999999302</v>
      </c>
      <c r="AI17" s="133">
        <v>3659209.9999999339</v>
      </c>
      <c r="AJ17" s="21"/>
    </row>
    <row r="18" spans="1:36" ht="15">
      <c r="A18" s="19"/>
      <c r="B18" s="64">
        <v>12</v>
      </c>
      <c r="C18" s="65">
        <v>110</v>
      </c>
      <c r="D18" s="65">
        <v>1116</v>
      </c>
      <c r="E18" s="124">
        <v>17319.999999999935</v>
      </c>
      <c r="F18" s="124">
        <v>18836695.079999927</v>
      </c>
      <c r="G18" s="111">
        <v>3680.0000000000068</v>
      </c>
      <c r="H18" s="111">
        <v>6003380.880000012</v>
      </c>
      <c r="I18" s="105">
        <f>F18+H18</f>
        <v>24840075.959999941</v>
      </c>
      <c r="J18" s="158">
        <v>2380.0000000001091</v>
      </c>
      <c r="K18" s="158">
        <v>2588414.2200001189</v>
      </c>
      <c r="L18" s="120">
        <v>519.99999999998181</v>
      </c>
      <c r="M18" s="122">
        <v>848303.81999997038</v>
      </c>
      <c r="N18" s="107">
        <f>K18+M18</f>
        <v>3436718.0400000894</v>
      </c>
      <c r="O18" s="105">
        <f>I18+N18</f>
        <v>28276794.00000003</v>
      </c>
      <c r="P18" s="107">
        <f>E18+G18+J18+L18</f>
        <v>23900.000000000033</v>
      </c>
      <c r="Q18" s="123">
        <f>R18+T18</f>
        <v>478.10000000000582</v>
      </c>
      <c r="R18" s="124">
        <v>265</v>
      </c>
      <c r="S18" s="124">
        <v>4762097.7</v>
      </c>
      <c r="T18" s="117">
        <v>213.10000000000582</v>
      </c>
      <c r="U18" s="117">
        <v>997623.38800002716</v>
      </c>
      <c r="V18" s="115">
        <f>S18+U18</f>
        <v>5759721.0880000275</v>
      </c>
      <c r="W18" s="126">
        <v>116.81199999999998</v>
      </c>
      <c r="X18" s="112"/>
      <c r="Y18" s="110"/>
      <c r="Z18" s="112"/>
      <c r="AA18" s="112"/>
      <c r="AB18" s="112">
        <v>12</v>
      </c>
      <c r="AC18" s="123">
        <f>W18+X18+Y18+Z18+AA18+AB18</f>
        <v>128.81199999999998</v>
      </c>
      <c r="AD18" s="110">
        <v>1325492.2359999998</v>
      </c>
      <c r="AE18" s="113"/>
      <c r="AF18" s="129">
        <v>561.24000000000524</v>
      </c>
      <c r="AG18" s="131">
        <v>0</v>
      </c>
      <c r="AH18" s="130">
        <f>AF18+AG18</f>
        <v>561.24000000000524</v>
      </c>
      <c r="AI18" s="133">
        <v>5331780.0000000494</v>
      </c>
      <c r="AJ18" s="21"/>
    </row>
    <row r="19" spans="1:36" ht="15">
      <c r="A19" s="19"/>
      <c r="B19" s="81">
        <v>13</v>
      </c>
      <c r="C19" s="65">
        <v>105</v>
      </c>
      <c r="D19" s="65">
        <v>921</v>
      </c>
      <c r="E19" s="124">
        <v>16559.999999999945</v>
      </c>
      <c r="F19" s="124">
        <v>18010142.639999945</v>
      </c>
      <c r="G19" s="111">
        <v>3759.9999999999909</v>
      </c>
      <c r="H19" s="111">
        <v>6133889.1599999862</v>
      </c>
      <c r="I19" s="105">
        <f>F19+H19</f>
        <v>24144031.79999993</v>
      </c>
      <c r="J19" s="158">
        <v>2079.9999999999272</v>
      </c>
      <c r="K19" s="158">
        <v>2262143.5199999209</v>
      </c>
      <c r="L19" s="120">
        <v>480.00000000001819</v>
      </c>
      <c r="M19" s="122">
        <v>783049.68000002974</v>
      </c>
      <c r="N19" s="107">
        <f>K19+M19</f>
        <v>3045193.1999999508</v>
      </c>
      <c r="O19" s="105">
        <f>I19+N19</f>
        <v>27189224.999999881</v>
      </c>
      <c r="P19" s="107">
        <f>E19+G19+J19+L19</f>
        <v>22879.99999999988</v>
      </c>
      <c r="Q19" s="123">
        <f>R19+T19</f>
        <v>503</v>
      </c>
      <c r="R19" s="124">
        <v>303</v>
      </c>
      <c r="S19" s="124">
        <v>5444964.54</v>
      </c>
      <c r="T19" s="117">
        <v>200</v>
      </c>
      <c r="U19" s="117">
        <v>936295.99999999988</v>
      </c>
      <c r="V19" s="115">
        <f>S19+U19</f>
        <v>6381260.54</v>
      </c>
      <c r="W19" s="126">
        <v>129.98356000001641</v>
      </c>
      <c r="X19" s="112">
        <v>250</v>
      </c>
      <c r="Y19" s="110">
        <v>400</v>
      </c>
      <c r="Z19" s="112"/>
      <c r="AA19" s="112"/>
      <c r="AB19" s="112">
        <v>12</v>
      </c>
      <c r="AC19" s="123">
        <f>W19+X19+Y19+Z19+AA19+AB19</f>
        <v>791.98356000001638</v>
      </c>
      <c r="AD19" s="110">
        <v>8719723.0846801661</v>
      </c>
      <c r="AE19" s="113"/>
      <c r="AF19" s="129">
        <v>866.41000000000349</v>
      </c>
      <c r="AG19" s="131">
        <v>0</v>
      </c>
      <c r="AH19" s="130">
        <f>AF19+AG19</f>
        <v>866.41000000000349</v>
      </c>
      <c r="AI19" s="133">
        <v>8230895.0000000335</v>
      </c>
      <c r="AJ19" s="21"/>
    </row>
    <row r="20" spans="1:36" ht="15">
      <c r="A20" s="19"/>
      <c r="B20" s="64">
        <v>14</v>
      </c>
      <c r="C20" s="65">
        <v>92</v>
      </c>
      <c r="D20" s="65">
        <v>884</v>
      </c>
      <c r="E20" s="124">
        <v>17640.000000000102</v>
      </c>
      <c r="F20" s="124">
        <v>19184717.160000108</v>
      </c>
      <c r="G20" s="111">
        <v>3800.0000000000114</v>
      </c>
      <c r="H20" s="111">
        <v>6199143.3000000184</v>
      </c>
      <c r="I20" s="105">
        <f>F20+H20</f>
        <v>25383860.460000128</v>
      </c>
      <c r="J20" s="158">
        <v>2199.9999999998181</v>
      </c>
      <c r="K20" s="158">
        <v>2392651.7999998019</v>
      </c>
      <c r="L20" s="120">
        <v>539.99999999996362</v>
      </c>
      <c r="M20" s="122">
        <v>880930.88999994064</v>
      </c>
      <c r="N20" s="107">
        <f>K20+M20</f>
        <v>3273582.6899997424</v>
      </c>
      <c r="O20" s="105">
        <f>I20+N20</f>
        <v>28657443.149999872</v>
      </c>
      <c r="P20" s="107">
        <f>E20+G20+J20+L20</f>
        <v>24179.999999999894</v>
      </c>
      <c r="Q20" s="123">
        <f>R20+T20</f>
        <v>500</v>
      </c>
      <c r="R20" s="124">
        <v>298</v>
      </c>
      <c r="S20" s="124">
        <v>5355113.6399999997</v>
      </c>
      <c r="T20" s="117">
        <v>202</v>
      </c>
      <c r="U20" s="117">
        <v>945658.96</v>
      </c>
      <c r="V20" s="115">
        <f>S20+U20</f>
        <v>6300772.5999999996</v>
      </c>
      <c r="W20" s="126">
        <v>122.1692399999484</v>
      </c>
      <c r="X20" s="112"/>
      <c r="Y20" s="110"/>
      <c r="Z20" s="112"/>
      <c r="AA20" s="112"/>
      <c r="AB20" s="112">
        <v>0</v>
      </c>
      <c r="AC20" s="123">
        <f>W20+X20+Y20+Z20+AA20+AB20</f>
        <v>122.1692399999484</v>
      </c>
      <c r="AD20" s="110">
        <v>1240384.2937194761</v>
      </c>
      <c r="AE20" s="113"/>
      <c r="AF20" s="129">
        <v>613.51000000000931</v>
      </c>
      <c r="AG20" s="131">
        <v>0</v>
      </c>
      <c r="AH20" s="130">
        <f>AF20+AG20</f>
        <v>613.51000000000931</v>
      </c>
      <c r="AI20" s="133">
        <v>5828345.0000000885</v>
      </c>
      <c r="AJ20" s="21"/>
    </row>
    <row r="21" spans="1:36" ht="15">
      <c r="A21" s="19"/>
      <c r="B21" s="81">
        <v>15</v>
      </c>
      <c r="C21" s="71">
        <v>91</v>
      </c>
      <c r="D21" s="71">
        <v>754</v>
      </c>
      <c r="E21" s="117">
        <v>17519.999999999982</v>
      </c>
      <c r="F21" s="117">
        <v>19054208.87999998</v>
      </c>
      <c r="G21" s="114">
        <v>3719.9999999999704</v>
      </c>
      <c r="H21" s="114">
        <v>6068635.019999953</v>
      </c>
      <c r="I21" s="105">
        <f>F21+H21</f>
        <v>25122843.899999931</v>
      </c>
      <c r="J21" s="114">
        <v>2119.9999999998909</v>
      </c>
      <c r="K21" s="114">
        <v>2305646.2799998815</v>
      </c>
      <c r="L21" s="114">
        <v>500</v>
      </c>
      <c r="M21" s="117">
        <v>815676.75</v>
      </c>
      <c r="N21" s="107">
        <f>K21+M21</f>
        <v>3121323.0299998815</v>
      </c>
      <c r="O21" s="105">
        <f>I21+N21</f>
        <v>28244166.929999813</v>
      </c>
      <c r="P21" s="107">
        <f>E21+G21+J21+L21</f>
        <v>23859.999999999844</v>
      </c>
      <c r="Q21" s="123">
        <f>R21+T21</f>
        <v>492</v>
      </c>
      <c r="R21" s="124">
        <v>288</v>
      </c>
      <c r="S21" s="124">
        <v>5175411.84</v>
      </c>
      <c r="T21" s="117">
        <v>204</v>
      </c>
      <c r="U21" s="117">
        <v>955021.91999999993</v>
      </c>
      <c r="V21" s="115">
        <f>S21+U21</f>
        <v>6130433.7599999998</v>
      </c>
      <c r="W21" s="126">
        <v>133.44764000001874</v>
      </c>
      <c r="X21" s="112"/>
      <c r="Y21" s="110"/>
      <c r="Z21" s="112">
        <v>50</v>
      </c>
      <c r="AA21" s="112"/>
      <c r="AB21" s="112">
        <v>12</v>
      </c>
      <c r="AC21" s="123">
        <f>W21+X21+Y21+Z21+AA21+AB21</f>
        <v>195.44764000001874</v>
      </c>
      <c r="AD21" s="110">
        <v>2052893.8889201903</v>
      </c>
      <c r="AE21" s="113"/>
      <c r="AF21" s="129">
        <v>554.11000000000058</v>
      </c>
      <c r="AG21" s="131">
        <v>0</v>
      </c>
      <c r="AH21" s="130">
        <f>AF21+AG21</f>
        <v>554.11000000000058</v>
      </c>
      <c r="AI21" s="133">
        <v>5264045.0000000056</v>
      </c>
      <c r="AJ21" s="21"/>
    </row>
    <row r="22" spans="1:36" ht="15">
      <c r="A22" s="19"/>
      <c r="B22" s="64">
        <v>16</v>
      </c>
      <c r="C22" s="71">
        <v>93</v>
      </c>
      <c r="D22" s="71">
        <v>806</v>
      </c>
      <c r="E22" s="117">
        <v>16599.999999999909</v>
      </c>
      <c r="F22" s="117">
        <v>18053645.399999902</v>
      </c>
      <c r="G22" s="114">
        <v>3600.0000000000227</v>
      </c>
      <c r="H22" s="114">
        <v>5872872.6000000378</v>
      </c>
      <c r="I22" s="105">
        <f>F22+H22</f>
        <v>23926517.99999994</v>
      </c>
      <c r="J22" s="114">
        <v>1940.0000000005093</v>
      </c>
      <c r="K22" s="114">
        <v>2109883.860000554</v>
      </c>
      <c r="L22" s="114">
        <v>460.00000000003638</v>
      </c>
      <c r="M22" s="117">
        <v>750422.61000005936</v>
      </c>
      <c r="N22" s="107">
        <f>K22+M22</f>
        <v>2860306.4700006135</v>
      </c>
      <c r="O22" s="105">
        <f>I22+N22</f>
        <v>26786824.470000554</v>
      </c>
      <c r="P22" s="107">
        <f>E22+G22+J22+L22</f>
        <v>22600.000000000477</v>
      </c>
      <c r="Q22" s="123">
        <f>R22+T22</f>
        <v>570</v>
      </c>
      <c r="R22" s="124">
        <v>250</v>
      </c>
      <c r="S22" s="124">
        <v>4492545</v>
      </c>
      <c r="T22" s="117">
        <v>320</v>
      </c>
      <c r="U22" s="117">
        <v>1498073.5999999999</v>
      </c>
      <c r="V22" s="115">
        <f>S22+U22</f>
        <v>5990618.5999999996</v>
      </c>
      <c r="W22" s="126">
        <v>131.03083999999529</v>
      </c>
      <c r="X22" s="112"/>
      <c r="Y22" s="110"/>
      <c r="Z22" s="112"/>
      <c r="AA22" s="112"/>
      <c r="AB22" s="112">
        <v>0</v>
      </c>
      <c r="AC22" s="123">
        <f>W22+X22+Y22+Z22+AA22+AB22</f>
        <v>131.03083999999529</v>
      </c>
      <c r="AD22" s="110">
        <v>1330356.1185199523</v>
      </c>
      <c r="AE22" s="113"/>
      <c r="AF22" s="129">
        <v>520.16000000000349</v>
      </c>
      <c r="AG22" s="131">
        <v>0</v>
      </c>
      <c r="AH22" s="130">
        <f>AF22+AG22</f>
        <v>520.16000000000349</v>
      </c>
      <c r="AI22" s="133">
        <v>4941520.0000000335</v>
      </c>
      <c r="AJ22" s="21"/>
    </row>
    <row r="23" spans="1:36" ht="15">
      <c r="A23" s="19"/>
      <c r="B23" s="81">
        <v>17</v>
      </c>
      <c r="C23" s="71">
        <v>123</v>
      </c>
      <c r="D23" s="71">
        <v>948</v>
      </c>
      <c r="E23" s="117">
        <v>15400.000000000091</v>
      </c>
      <c r="F23" s="117">
        <v>16748562.600000098</v>
      </c>
      <c r="G23" s="114">
        <v>3480.0000000000182</v>
      </c>
      <c r="H23" s="114">
        <v>5677110.1800000304</v>
      </c>
      <c r="I23" s="105">
        <f>F23+H23</f>
        <v>22425672.780000128</v>
      </c>
      <c r="J23" s="114">
        <v>2159.9999999998545</v>
      </c>
      <c r="K23" s="114">
        <v>2349149.0399998422</v>
      </c>
      <c r="L23" s="114">
        <v>440.00000000005457</v>
      </c>
      <c r="M23" s="117">
        <v>717795.54000008909</v>
      </c>
      <c r="N23" s="107">
        <f>K23+M23</f>
        <v>3066944.5799999312</v>
      </c>
      <c r="O23" s="105">
        <f>I23+N23</f>
        <v>25492617.360000059</v>
      </c>
      <c r="P23" s="107">
        <f>E23+G23+J23+L23</f>
        <v>21480.000000000018</v>
      </c>
      <c r="Q23" s="123">
        <f>R23+T23</f>
        <v>518</v>
      </c>
      <c r="R23" s="124">
        <v>279</v>
      </c>
      <c r="S23" s="124">
        <v>5013680.22</v>
      </c>
      <c r="T23" s="117">
        <v>239</v>
      </c>
      <c r="U23" s="117">
        <v>1118873.72</v>
      </c>
      <c r="V23" s="115">
        <f>S23+U23</f>
        <v>6132553.9399999995</v>
      </c>
      <c r="W23" s="126">
        <v>149.1568399999953</v>
      </c>
      <c r="X23" s="112"/>
      <c r="Y23" s="110"/>
      <c r="Z23" s="112"/>
      <c r="AA23" s="112"/>
      <c r="AB23" s="112">
        <v>12</v>
      </c>
      <c r="AC23" s="123">
        <f>W23+X23+Y23+Z23+AA23+AB23</f>
        <v>161.1568399999953</v>
      </c>
      <c r="AD23" s="110">
        <v>1653889.3965199522</v>
      </c>
      <c r="AE23" s="113"/>
      <c r="AF23" s="129">
        <v>538.76000000000931</v>
      </c>
      <c r="AG23" s="131">
        <v>0</v>
      </c>
      <c r="AH23" s="130">
        <f>AF23+AG23</f>
        <v>538.76000000000931</v>
      </c>
      <c r="AI23" s="133">
        <v>5118220.0000000885</v>
      </c>
      <c r="AJ23" s="21"/>
    </row>
    <row r="24" spans="1:36" ht="15">
      <c r="A24" s="19"/>
      <c r="B24" s="64">
        <v>18</v>
      </c>
      <c r="C24" s="71">
        <v>116</v>
      </c>
      <c r="D24" s="71">
        <v>907</v>
      </c>
      <c r="E24" s="117">
        <v>16399.999999999862</v>
      </c>
      <c r="F24" s="117">
        <v>17836131.599999849</v>
      </c>
      <c r="G24" s="114">
        <v>3319.9999999999932</v>
      </c>
      <c r="H24" s="114">
        <v>5416093.6199999889</v>
      </c>
      <c r="I24" s="105">
        <f>F24+H24</f>
        <v>23252225.219999839</v>
      </c>
      <c r="J24" s="114">
        <v>2159.9999999998545</v>
      </c>
      <c r="K24" s="118">
        <v>2349149.0399998422</v>
      </c>
      <c r="L24" s="114">
        <v>539.99999999996362</v>
      </c>
      <c r="M24" s="117">
        <v>880930.88999994064</v>
      </c>
      <c r="N24" s="107">
        <f>K24+M24</f>
        <v>3230079.9299997827</v>
      </c>
      <c r="O24" s="105">
        <f>I24+N24</f>
        <v>26482305.149999622</v>
      </c>
      <c r="P24" s="107">
        <f>E24+G24+J24+L24</f>
        <v>22419.999999999673</v>
      </c>
      <c r="Q24" s="123">
        <f>R24+T24</f>
        <v>492</v>
      </c>
      <c r="R24" s="124">
        <v>254</v>
      </c>
      <c r="S24" s="124">
        <v>4564425.72</v>
      </c>
      <c r="T24" s="117">
        <v>238</v>
      </c>
      <c r="U24" s="117">
        <v>1114192.24</v>
      </c>
      <c r="V24" s="115">
        <f>S24+U24</f>
        <v>5678617.96</v>
      </c>
      <c r="W24" s="126">
        <v>119.47048000001405</v>
      </c>
      <c r="X24" s="112"/>
      <c r="Y24" s="110">
        <v>400</v>
      </c>
      <c r="Z24" s="112"/>
      <c r="AA24" s="112"/>
      <c r="AB24" s="112">
        <v>12</v>
      </c>
      <c r="AC24" s="123">
        <f>W24+X24+Y24+Z24+AA24+AB24</f>
        <v>531.47048000001405</v>
      </c>
      <c r="AD24" s="110">
        <v>5820483.7834401429</v>
      </c>
      <c r="AE24" s="113"/>
      <c r="AF24" s="129">
        <v>428.67999999999302</v>
      </c>
      <c r="AG24" s="131">
        <v>142.40000000000009</v>
      </c>
      <c r="AH24" s="130">
        <f>AF24+AG24</f>
        <v>571.07999999999311</v>
      </c>
      <c r="AI24" s="133">
        <v>5425259.9999999348</v>
      </c>
      <c r="AJ24" s="21"/>
    </row>
    <row r="25" spans="1:36" ht="15">
      <c r="A25" s="19"/>
      <c r="B25" s="81">
        <v>19</v>
      </c>
      <c r="C25" s="71">
        <v>84</v>
      </c>
      <c r="D25" s="71">
        <v>1015</v>
      </c>
      <c r="E25" s="117">
        <v>17160.00000000008</v>
      </c>
      <c r="F25" s="117">
        <v>18662684.040000089</v>
      </c>
      <c r="G25" s="114">
        <v>3959.9999999999795</v>
      </c>
      <c r="H25" s="114">
        <v>6460159.8599999668</v>
      </c>
      <c r="I25" s="105">
        <f>F25+H25</f>
        <v>25122843.900000054</v>
      </c>
      <c r="J25" s="114">
        <v>2100.0000000003638</v>
      </c>
      <c r="K25" s="114">
        <v>2283894.9000003957</v>
      </c>
      <c r="L25" s="114">
        <v>480.00000000001819</v>
      </c>
      <c r="M25" s="117">
        <v>783049.68000002974</v>
      </c>
      <c r="N25" s="107">
        <f>K25+M25</f>
        <v>3066944.5800004257</v>
      </c>
      <c r="O25" s="105">
        <f>I25+N25</f>
        <v>28189788.480000481</v>
      </c>
      <c r="P25" s="107">
        <f>E25+G25+J25+L25</f>
        <v>23700.00000000044</v>
      </c>
      <c r="Q25" s="123">
        <f>R25+T25</f>
        <v>265</v>
      </c>
      <c r="R25" s="124">
        <v>12</v>
      </c>
      <c r="S25" s="124">
        <v>215642.16</v>
      </c>
      <c r="T25" s="117">
        <v>253</v>
      </c>
      <c r="U25" s="117">
        <v>1184414.44</v>
      </c>
      <c r="V25" s="115">
        <f>S25+U25</f>
        <v>1400056.5999999999</v>
      </c>
      <c r="W25" s="126">
        <v>115.16051999998592</v>
      </c>
      <c r="X25" s="112">
        <v>250</v>
      </c>
      <c r="Y25" s="110"/>
      <c r="Z25" s="112"/>
      <c r="AA25" s="112"/>
      <c r="AB25" s="112">
        <v>12</v>
      </c>
      <c r="AC25" s="123">
        <f>W25+X25+Y25+Z25+AA25+AB25</f>
        <v>377.16051999998592</v>
      </c>
      <c r="AD25" s="110">
        <v>4101224.7595598567</v>
      </c>
      <c r="AE25" s="113"/>
      <c r="AF25" s="129">
        <v>574.78000000001339</v>
      </c>
      <c r="AG25" s="131">
        <v>0</v>
      </c>
      <c r="AH25" s="130">
        <f>AF25+AG25</f>
        <v>574.78000000001339</v>
      </c>
      <c r="AI25" s="133">
        <v>5460410.0000001276</v>
      </c>
      <c r="AJ25" s="21"/>
    </row>
    <row r="26" spans="1:36" ht="15">
      <c r="A26" s="19"/>
      <c r="B26" s="64">
        <v>20</v>
      </c>
      <c r="C26" s="71">
        <v>73</v>
      </c>
      <c r="D26" s="71">
        <v>843</v>
      </c>
      <c r="E26" s="117">
        <v>17519.999999999982</v>
      </c>
      <c r="F26" s="117">
        <v>19054208.87999998</v>
      </c>
      <c r="G26" s="114">
        <v>3720.0000000000273</v>
      </c>
      <c r="H26" s="114">
        <v>6068635.0200000443</v>
      </c>
      <c r="I26" s="105">
        <f>F26+H26</f>
        <v>25122843.900000025</v>
      </c>
      <c r="J26" s="114">
        <v>1939.9999999995998</v>
      </c>
      <c r="K26" s="114">
        <v>2109883.8599995649</v>
      </c>
      <c r="L26" s="114">
        <v>500</v>
      </c>
      <c r="M26" s="117">
        <v>815676.75</v>
      </c>
      <c r="N26" s="107">
        <f>K26+M26</f>
        <v>2925560.6099995649</v>
      </c>
      <c r="O26" s="105">
        <f>I26+N26</f>
        <v>28048404.509999588</v>
      </c>
      <c r="P26" s="107">
        <f>E26+G26+J26+L26</f>
        <v>23679.999999999607</v>
      </c>
      <c r="Q26" s="123">
        <f>R26+T26</f>
        <v>523</v>
      </c>
      <c r="R26" s="124">
        <v>202</v>
      </c>
      <c r="S26" s="124">
        <v>3629976.36</v>
      </c>
      <c r="T26" s="117">
        <v>321</v>
      </c>
      <c r="U26" s="117">
        <v>1502755.0799999998</v>
      </c>
      <c r="V26" s="115">
        <f>S26+U26</f>
        <v>5132731.4399999995</v>
      </c>
      <c r="W26" s="126">
        <v>113.14652000004453</v>
      </c>
      <c r="X26" s="112"/>
      <c r="Y26" s="110"/>
      <c r="Z26" s="112"/>
      <c r="AA26" s="112"/>
      <c r="AB26" s="112">
        <v>12</v>
      </c>
      <c r="AC26" s="123">
        <f>W26+X26+Y26+Z26+AA26+AB26</f>
        <v>125.14652000004453</v>
      </c>
      <c r="AD26" s="110">
        <v>1288276.6175604521</v>
      </c>
      <c r="AE26" s="113"/>
      <c r="AF26" s="129">
        <v>747.2699999999968</v>
      </c>
      <c r="AG26" s="131">
        <v>0</v>
      </c>
      <c r="AH26" s="130">
        <f>AF26+AG26</f>
        <v>747.2699999999968</v>
      </c>
      <c r="AI26" s="133">
        <v>7099064.9999999693</v>
      </c>
      <c r="AJ26" s="21"/>
    </row>
    <row r="27" spans="1:36" ht="15">
      <c r="A27" s="19"/>
      <c r="B27" s="81">
        <v>21</v>
      </c>
      <c r="C27" s="65">
        <v>77</v>
      </c>
      <c r="D27" s="65">
        <v>785</v>
      </c>
      <c r="E27" s="124">
        <v>17920.000000000073</v>
      </c>
      <c r="F27" s="124">
        <v>19489236.480000082</v>
      </c>
      <c r="G27" s="111">
        <v>3799.9999999999545</v>
      </c>
      <c r="H27" s="111">
        <v>6199143.2999999262</v>
      </c>
      <c r="I27" s="105">
        <f>F27+H27</f>
        <v>25688379.780000009</v>
      </c>
      <c r="J27" s="158">
        <v>1920.0000000000728</v>
      </c>
      <c r="K27" s="158">
        <v>2088132.4800000791</v>
      </c>
      <c r="L27" s="120">
        <v>500</v>
      </c>
      <c r="M27" s="122">
        <v>815676.75</v>
      </c>
      <c r="N27" s="107">
        <f>K27+M27</f>
        <v>2903809.2300000791</v>
      </c>
      <c r="O27" s="105">
        <f>I27+N27</f>
        <v>28592189.010000087</v>
      </c>
      <c r="P27" s="107">
        <f>E27+G27+J27+L27</f>
        <v>24140.000000000102</v>
      </c>
      <c r="Q27" s="123">
        <f>R27+T27</f>
        <v>375</v>
      </c>
      <c r="R27" s="124">
        <v>0</v>
      </c>
      <c r="S27" s="124">
        <v>0</v>
      </c>
      <c r="T27" s="117">
        <v>375</v>
      </c>
      <c r="U27" s="117">
        <v>1755554.9999999998</v>
      </c>
      <c r="V27" s="115">
        <f>S27+U27</f>
        <v>1755554.9999999998</v>
      </c>
      <c r="W27" s="126">
        <v>122.93455999995778</v>
      </c>
      <c r="X27" s="112"/>
      <c r="Y27" s="110"/>
      <c r="Z27" s="112">
        <v>50</v>
      </c>
      <c r="AA27" s="112"/>
      <c r="AB27" s="112">
        <v>24</v>
      </c>
      <c r="AC27" s="123">
        <f>W27+X27+Y27+Z27+AA27+AB27</f>
        <v>196.9345599999578</v>
      </c>
      <c r="AD27" s="110">
        <v>2085654.5876795715</v>
      </c>
      <c r="AE27" s="113"/>
      <c r="AF27" s="129">
        <v>586.36000000000058</v>
      </c>
      <c r="AG27" s="131">
        <v>0</v>
      </c>
      <c r="AH27" s="130">
        <f>AF27+AG27</f>
        <v>586.36000000000058</v>
      </c>
      <c r="AI27" s="133">
        <v>5570420.0000000056</v>
      </c>
      <c r="AJ27" s="21"/>
    </row>
    <row r="28" spans="1:36" ht="15">
      <c r="A28" s="19"/>
      <c r="B28" s="64">
        <v>22</v>
      </c>
      <c r="C28" s="65">
        <v>77</v>
      </c>
      <c r="D28" s="65">
        <v>705</v>
      </c>
      <c r="E28" s="124">
        <v>16960.000000000036</v>
      </c>
      <c r="F28" s="124">
        <v>18445170.240000039</v>
      </c>
      <c r="G28" s="111">
        <v>3720.0000000000273</v>
      </c>
      <c r="H28" s="111">
        <v>6068635.0200000443</v>
      </c>
      <c r="I28" s="105">
        <f>F28+H28</f>
        <v>24513805.260000084</v>
      </c>
      <c r="J28" s="158">
        <v>1920.0000000000728</v>
      </c>
      <c r="K28" s="158">
        <v>2088132.4800000791</v>
      </c>
      <c r="L28" s="120">
        <v>500</v>
      </c>
      <c r="M28" s="122">
        <v>815676.75</v>
      </c>
      <c r="N28" s="107">
        <f>K28+M28</f>
        <v>2903809.2300000791</v>
      </c>
      <c r="O28" s="105">
        <f>I28+N28</f>
        <v>27417614.490000162</v>
      </c>
      <c r="P28" s="107">
        <f>E28+G28+J28+L28</f>
        <v>23100.000000000138</v>
      </c>
      <c r="Q28" s="123">
        <f>R28+T28</f>
        <v>402</v>
      </c>
      <c r="R28" s="124">
        <v>0</v>
      </c>
      <c r="S28" s="124">
        <v>0</v>
      </c>
      <c r="T28" s="117">
        <v>402</v>
      </c>
      <c r="U28" s="117">
        <v>1881954.9599999997</v>
      </c>
      <c r="V28" s="115">
        <f>S28+U28</f>
        <v>1881954.9599999997</v>
      </c>
      <c r="W28" s="126">
        <v>121.40391999999764</v>
      </c>
      <c r="X28" s="112"/>
      <c r="Y28" s="110"/>
      <c r="Z28" s="112"/>
      <c r="AA28" s="112"/>
      <c r="AB28" s="112">
        <v>24</v>
      </c>
      <c r="AC28" s="123">
        <f>W28+X28+Y28+Z28+AA28+AB28</f>
        <v>145.40391999999764</v>
      </c>
      <c r="AD28" s="110">
        <v>1511613.9997599761</v>
      </c>
      <c r="AE28" s="113"/>
      <c r="AF28" s="129">
        <v>610.77999999999884</v>
      </c>
      <c r="AG28" s="131">
        <v>0</v>
      </c>
      <c r="AH28" s="130">
        <f>AF28+AG28</f>
        <v>610.77999999999884</v>
      </c>
      <c r="AI28" s="133">
        <v>5802409.9999999888</v>
      </c>
      <c r="AJ28" s="21"/>
    </row>
    <row r="29" spans="1:36" ht="15">
      <c r="A29" s="19"/>
      <c r="B29" s="81">
        <v>23</v>
      </c>
      <c r="C29" s="65">
        <v>76</v>
      </c>
      <c r="D29" s="65">
        <v>673</v>
      </c>
      <c r="E29" s="124">
        <v>21319.999999999935</v>
      </c>
      <c r="F29" s="124">
        <v>23186971.079999927</v>
      </c>
      <c r="G29" s="111">
        <v>3519.9999999999818</v>
      </c>
      <c r="H29" s="111">
        <v>5742364.3199999714</v>
      </c>
      <c r="I29" s="105">
        <f>F29+H29</f>
        <v>28929335.399999898</v>
      </c>
      <c r="J29" s="158">
        <v>1939.9999999995998</v>
      </c>
      <c r="K29" s="158">
        <v>2109883.8599995649</v>
      </c>
      <c r="L29" s="120">
        <v>480.00000000001819</v>
      </c>
      <c r="M29" s="122">
        <v>783049.68000002974</v>
      </c>
      <c r="N29" s="107">
        <f>K29+M29</f>
        <v>2892933.5399995949</v>
      </c>
      <c r="O29" s="105">
        <f>I29+N29</f>
        <v>31822268.939999491</v>
      </c>
      <c r="P29" s="107">
        <f>E29+G29+J29+L29</f>
        <v>27259.999999999534</v>
      </c>
      <c r="Q29" s="123">
        <f>R29+T29</f>
        <v>488</v>
      </c>
      <c r="R29" s="124">
        <v>265</v>
      </c>
      <c r="S29" s="124">
        <v>4762097.7</v>
      </c>
      <c r="T29" s="117">
        <v>223</v>
      </c>
      <c r="U29" s="117">
        <v>1043970.0399999999</v>
      </c>
      <c r="V29" s="115">
        <f>S29+U29</f>
        <v>5806067.7400000002</v>
      </c>
      <c r="W29" s="126">
        <v>123.69988000002577</v>
      </c>
      <c r="X29" s="112"/>
      <c r="Y29" s="110"/>
      <c r="Z29" s="112"/>
      <c r="AA29" s="112"/>
      <c r="AB29" s="112">
        <v>0</v>
      </c>
      <c r="AC29" s="123">
        <f>W29+X29+Y29+Z29+AA29+AB29</f>
        <v>123.69988000002577</v>
      </c>
      <c r="AD29" s="110">
        <v>1255924.8816402617</v>
      </c>
      <c r="AE29" s="113"/>
      <c r="AF29" s="129">
        <v>555.79000000000815</v>
      </c>
      <c r="AG29" s="131">
        <v>0</v>
      </c>
      <c r="AH29" s="130">
        <f>AF29+AG29</f>
        <v>555.79000000000815</v>
      </c>
      <c r="AI29" s="133">
        <v>5280005.0000000773</v>
      </c>
      <c r="AJ29" s="21"/>
    </row>
    <row r="30" spans="1:36" ht="15">
      <c r="A30" s="19"/>
      <c r="B30" s="64">
        <v>24</v>
      </c>
      <c r="C30" s="65">
        <v>77</v>
      </c>
      <c r="D30" s="65">
        <v>727</v>
      </c>
      <c r="E30" s="124">
        <v>12119.999999999891</v>
      </c>
      <c r="F30" s="124">
        <v>13181336.27999988</v>
      </c>
      <c r="G30" s="111">
        <v>3439.9999999999977</v>
      </c>
      <c r="H30" s="111">
        <v>5611856.0399999972</v>
      </c>
      <c r="I30" s="105">
        <f>F30+H30</f>
        <v>18793192.319999877</v>
      </c>
      <c r="J30" s="158">
        <v>2020.0000000004366</v>
      </c>
      <c r="K30" s="158">
        <v>2196889.3800004749</v>
      </c>
      <c r="L30" s="120">
        <v>480.00000000001819</v>
      </c>
      <c r="M30" s="122">
        <v>783049.68000002974</v>
      </c>
      <c r="N30" s="107">
        <f>K30+M30</f>
        <v>2979939.0600005044</v>
      </c>
      <c r="O30" s="105">
        <f>I30+N30</f>
        <v>21773131.380000383</v>
      </c>
      <c r="P30" s="107">
        <f>E30+G30+J30+L30</f>
        <v>18060.000000000346</v>
      </c>
      <c r="Q30" s="123">
        <f>R30+T30</f>
        <v>637</v>
      </c>
      <c r="R30" s="124">
        <v>206</v>
      </c>
      <c r="S30" s="124">
        <v>3701857.08</v>
      </c>
      <c r="T30" s="117">
        <v>431</v>
      </c>
      <c r="U30" s="117">
        <v>2017717.88</v>
      </c>
      <c r="V30" s="115">
        <f>S30+U30</f>
        <v>5719574.96</v>
      </c>
      <c r="W30" s="126">
        <v>122.49148000001405</v>
      </c>
      <c r="X30" s="112">
        <v>250</v>
      </c>
      <c r="Y30" s="110">
        <v>400</v>
      </c>
      <c r="Z30" s="112"/>
      <c r="AA30" s="112"/>
      <c r="AB30" s="112">
        <v>60</v>
      </c>
      <c r="AC30" s="123">
        <f>W30+X30+Y30+Z30+AA30+AB30</f>
        <v>832.49148000001401</v>
      </c>
      <c r="AD30" s="110">
        <v>9201655.9964401424</v>
      </c>
      <c r="AE30" s="113"/>
      <c r="AF30" s="129">
        <v>607.5</v>
      </c>
      <c r="AG30" s="131">
        <v>0</v>
      </c>
      <c r="AH30" s="130">
        <f>AF30+AG30</f>
        <v>607.5</v>
      </c>
      <c r="AI30" s="133">
        <v>5771250</v>
      </c>
      <c r="AJ30" s="21"/>
    </row>
    <row r="31" spans="1:36" ht="15">
      <c r="A31" s="19"/>
      <c r="B31" s="81">
        <v>25</v>
      </c>
      <c r="C31" s="65">
        <v>69</v>
      </c>
      <c r="D31" s="65">
        <v>720</v>
      </c>
      <c r="E31" s="124">
        <v>16120.000000000118</v>
      </c>
      <c r="F31" s="124">
        <v>17531612.280000128</v>
      </c>
      <c r="G31" s="111">
        <v>3439.9999999999977</v>
      </c>
      <c r="H31" s="111">
        <v>5611856.0399999972</v>
      </c>
      <c r="I31" s="105">
        <f>F31+H31</f>
        <v>23143468.320000127</v>
      </c>
      <c r="J31" s="158">
        <v>1899.9999999996362</v>
      </c>
      <c r="K31" s="158">
        <v>2066381.0999996043</v>
      </c>
      <c r="L31" s="120">
        <v>500</v>
      </c>
      <c r="M31" s="122">
        <v>815676.75</v>
      </c>
      <c r="N31" s="107">
        <f>K31+M31</f>
        <v>2882057.8499996043</v>
      </c>
      <c r="O31" s="105">
        <f>I31+N31</f>
        <v>26025526.16999973</v>
      </c>
      <c r="P31" s="107">
        <f>E31+G31+J31+L31</f>
        <v>21959.999999999753</v>
      </c>
      <c r="Q31" s="123">
        <f>R31+T31</f>
        <v>664.89999999999418</v>
      </c>
      <c r="R31" s="124">
        <v>187</v>
      </c>
      <c r="S31" s="124">
        <v>3360423.66</v>
      </c>
      <c r="T31" s="117">
        <v>477.89999999999418</v>
      </c>
      <c r="U31" s="117">
        <v>2237279.2919999724</v>
      </c>
      <c r="V31" s="115">
        <f>S31+U31</f>
        <v>5597702.9519999726</v>
      </c>
      <c r="W31" s="126">
        <v>114.15351999998592</v>
      </c>
      <c r="X31" s="112"/>
      <c r="Y31" s="110"/>
      <c r="Z31" s="112"/>
      <c r="AA31" s="112"/>
      <c r="AB31" s="112">
        <v>12</v>
      </c>
      <c r="AC31" s="123">
        <f>W31+X31+Y31+Z31+AA31+AB31</f>
        <v>126.15351999998592</v>
      </c>
      <c r="AD31" s="110">
        <v>1298500.688559857</v>
      </c>
      <c r="AE31" s="113"/>
      <c r="AF31" s="129">
        <v>604.25999999999476</v>
      </c>
      <c r="AG31" s="131">
        <v>0</v>
      </c>
      <c r="AH31" s="130">
        <f>AF31+AG31</f>
        <v>604.25999999999476</v>
      </c>
      <c r="AI31" s="133">
        <v>5740469.9999999506</v>
      </c>
      <c r="AJ31" s="21"/>
    </row>
    <row r="32" spans="1:36" ht="15">
      <c r="A32" s="19"/>
      <c r="B32" s="64">
        <v>26</v>
      </c>
      <c r="C32" s="65">
        <v>59</v>
      </c>
      <c r="D32" s="65">
        <v>695</v>
      </c>
      <c r="E32" s="124">
        <v>16799.999999999956</v>
      </c>
      <c r="F32" s="124">
        <v>18271159.199999955</v>
      </c>
      <c r="G32" s="111">
        <v>3560.0000000000023</v>
      </c>
      <c r="H32" s="111">
        <v>5807618.4600000046</v>
      </c>
      <c r="I32" s="105">
        <f>F32+H32</f>
        <v>24078777.659999959</v>
      </c>
      <c r="J32" s="158">
        <v>1860.0000000005821</v>
      </c>
      <c r="K32" s="158">
        <v>2022878.3400006332</v>
      </c>
      <c r="L32" s="120">
        <v>479.99999999979082</v>
      </c>
      <c r="M32" s="122">
        <v>783049.67999965884</v>
      </c>
      <c r="N32" s="107">
        <f>K32+M32</f>
        <v>2805928.020000292</v>
      </c>
      <c r="O32" s="105">
        <f>I32+N32</f>
        <v>26884705.680000253</v>
      </c>
      <c r="P32" s="107">
        <f>E32+G32+J32+L32</f>
        <v>22700.000000000335</v>
      </c>
      <c r="Q32" s="123">
        <f>R32+T32</f>
        <v>645</v>
      </c>
      <c r="R32" s="124">
        <v>172</v>
      </c>
      <c r="S32" s="124">
        <v>3090870.96</v>
      </c>
      <c r="T32" s="117">
        <v>473</v>
      </c>
      <c r="U32" s="117">
        <v>2214340.0399999996</v>
      </c>
      <c r="V32" s="115">
        <f>S32+U32</f>
        <v>5305211</v>
      </c>
      <c r="W32" s="126">
        <v>111.05195999996951</v>
      </c>
      <c r="X32" s="112"/>
      <c r="Y32" s="110"/>
      <c r="Z32" s="112"/>
      <c r="AA32" s="112"/>
      <c r="AB32" s="112">
        <v>12</v>
      </c>
      <c r="AC32" s="123">
        <f>W32+X32+Y32+Z32+AA32+AB32</f>
        <v>123.05195999996951</v>
      </c>
      <c r="AD32" s="110">
        <v>1267010.5498796904</v>
      </c>
      <c r="AE32" s="113"/>
      <c r="AF32" s="129">
        <v>610.86000000001513</v>
      </c>
      <c r="AG32" s="131">
        <v>0</v>
      </c>
      <c r="AH32" s="130">
        <f>AF32+AG32</f>
        <v>610.86000000001513</v>
      </c>
      <c r="AI32" s="133">
        <v>5803170.0000001434</v>
      </c>
      <c r="AJ32" s="21"/>
    </row>
    <row r="33" spans="1:36" ht="15">
      <c r="A33" s="19"/>
      <c r="B33" s="81">
        <v>27</v>
      </c>
      <c r="C33" s="65">
        <v>43</v>
      </c>
      <c r="D33" s="65">
        <v>566</v>
      </c>
      <c r="E33" s="124">
        <v>16000</v>
      </c>
      <c r="F33" s="124">
        <v>17401104</v>
      </c>
      <c r="G33" s="111">
        <v>3560.0000000000023</v>
      </c>
      <c r="H33" s="111">
        <v>5807618.4600000046</v>
      </c>
      <c r="I33" s="105">
        <f>F33+H33</f>
        <v>23208722.460000005</v>
      </c>
      <c r="J33" s="158">
        <v>1939.9999999995998</v>
      </c>
      <c r="K33" s="158">
        <v>2109883.8599995649</v>
      </c>
      <c r="L33" s="120">
        <v>480.00000000001819</v>
      </c>
      <c r="M33" s="122">
        <v>783049.68000002974</v>
      </c>
      <c r="N33" s="107">
        <f>K33+M33</f>
        <v>2892933.5399995949</v>
      </c>
      <c r="O33" s="105">
        <f>I33+N33</f>
        <v>26101655.999999598</v>
      </c>
      <c r="P33" s="107">
        <f>E33+G33+J33+L33</f>
        <v>21979.999999999622</v>
      </c>
      <c r="Q33" s="123">
        <f>R33+T33</f>
        <v>665</v>
      </c>
      <c r="R33" s="124">
        <v>150</v>
      </c>
      <c r="S33" s="124">
        <v>2695527</v>
      </c>
      <c r="T33" s="117">
        <v>515</v>
      </c>
      <c r="U33" s="117">
        <v>2410962.1999999997</v>
      </c>
      <c r="V33" s="115">
        <f>S33+U33</f>
        <v>5106489.1999999993</v>
      </c>
      <c r="W33" s="126">
        <v>114.63688000002578</v>
      </c>
      <c r="X33" s="112"/>
      <c r="Y33" s="110"/>
      <c r="Z33" s="112">
        <v>50</v>
      </c>
      <c r="AA33" s="112"/>
      <c r="AB33" s="112">
        <v>24</v>
      </c>
      <c r="AC33" s="123">
        <f>W33+X33+Y33+Z33+AA33+AB33</f>
        <v>188.63688000002577</v>
      </c>
      <c r="AD33" s="110">
        <v>2001408.2426402618</v>
      </c>
      <c r="AE33" s="113"/>
      <c r="AF33" s="129">
        <v>503.61000000000058</v>
      </c>
      <c r="AG33" s="131">
        <v>0</v>
      </c>
      <c r="AH33" s="130">
        <f>AF33+AG33</f>
        <v>503.61000000000058</v>
      </c>
      <c r="AI33" s="133">
        <v>4784295.0000000056</v>
      </c>
      <c r="AJ33" s="21"/>
    </row>
    <row r="34" spans="1:36" ht="15">
      <c r="A34" s="19"/>
      <c r="B34" s="64">
        <v>28</v>
      </c>
      <c r="C34" s="65">
        <v>37</v>
      </c>
      <c r="D34" s="65">
        <v>361</v>
      </c>
      <c r="E34" s="124">
        <v>16319.999999999936</v>
      </c>
      <c r="F34" s="124">
        <v>17749126.079999931</v>
      </c>
      <c r="G34" s="111">
        <v>3600.0000000000227</v>
      </c>
      <c r="H34" s="111">
        <v>5872872.6000000378</v>
      </c>
      <c r="I34" s="105">
        <f>F34+H34</f>
        <v>23621998.67999997</v>
      </c>
      <c r="J34" s="158">
        <v>1859.9999999996726</v>
      </c>
      <c r="K34" s="158">
        <v>2022878.3399996439</v>
      </c>
      <c r="L34" s="120">
        <v>460.00000000003638</v>
      </c>
      <c r="M34" s="122">
        <v>750422.61000005936</v>
      </c>
      <c r="N34" s="107">
        <f>K34+M34</f>
        <v>2773300.9499997031</v>
      </c>
      <c r="O34" s="105">
        <f>I34+N34</f>
        <v>26395299.629999675</v>
      </c>
      <c r="P34" s="107">
        <f>E34+G34+J34+L34</f>
        <v>22239.999999999669</v>
      </c>
      <c r="Q34" s="123">
        <f>R34+T34</f>
        <v>509</v>
      </c>
      <c r="R34" s="124">
        <v>0</v>
      </c>
      <c r="S34" s="124">
        <v>0</v>
      </c>
      <c r="T34" s="117">
        <v>509</v>
      </c>
      <c r="U34" s="117">
        <v>2382873.3199999998</v>
      </c>
      <c r="V34" s="115">
        <f>S34+U34</f>
        <v>2382873.3199999998</v>
      </c>
      <c r="W34" s="126">
        <v>110.89083999999529</v>
      </c>
      <c r="X34" s="112"/>
      <c r="Y34" s="110"/>
      <c r="Z34" s="112"/>
      <c r="AA34" s="112"/>
      <c r="AB34" s="112">
        <v>0</v>
      </c>
      <c r="AC34" s="123">
        <f>W34+X34+Y34+Z34+AA34+AB34</f>
        <v>110.89083999999529</v>
      </c>
      <c r="AD34" s="110">
        <v>1125874.6985199521</v>
      </c>
      <c r="AE34" s="113"/>
      <c r="AF34" s="129">
        <v>866.41000000000349</v>
      </c>
      <c r="AG34" s="131">
        <v>0</v>
      </c>
      <c r="AH34" s="130">
        <f>AF34+AG34</f>
        <v>866.41000000000349</v>
      </c>
      <c r="AI34" s="133">
        <v>8230895.0000000335</v>
      </c>
      <c r="AJ34" s="21"/>
    </row>
    <row r="35" spans="1:36" ht="15">
      <c r="A35" s="19"/>
      <c r="B35" s="81">
        <v>29</v>
      </c>
      <c r="C35" s="65">
        <v>37</v>
      </c>
      <c r="D35" s="65">
        <v>396</v>
      </c>
      <c r="E35" s="124">
        <v>16480.000000000018</v>
      </c>
      <c r="F35" s="124">
        <v>17923137.12000002</v>
      </c>
      <c r="G35" s="111">
        <v>3279.9999999999727</v>
      </c>
      <c r="H35" s="111">
        <v>5350839.4799999557</v>
      </c>
      <c r="I35" s="105">
        <f>F35+H35</f>
        <v>23273976.599999975</v>
      </c>
      <c r="J35" s="158">
        <v>1460.0000000000364</v>
      </c>
      <c r="K35" s="158">
        <v>1587850.7400000396</v>
      </c>
      <c r="L35" s="120">
        <v>360.00000000012733</v>
      </c>
      <c r="M35" s="122">
        <v>587287.26000020781</v>
      </c>
      <c r="N35" s="107">
        <f>K35+M35</f>
        <v>2175138.0000002473</v>
      </c>
      <c r="O35" s="105">
        <f>I35+N35</f>
        <v>25449114.600000221</v>
      </c>
      <c r="P35" s="107">
        <f>E35+G35+J35+L35</f>
        <v>21580.000000000156</v>
      </c>
      <c r="Q35" s="123">
        <f>R35+T35</f>
        <v>486</v>
      </c>
      <c r="R35" s="124">
        <v>0</v>
      </c>
      <c r="S35" s="124">
        <v>0</v>
      </c>
      <c r="T35" s="117">
        <v>486</v>
      </c>
      <c r="U35" s="117">
        <v>2275199.2799999998</v>
      </c>
      <c r="V35" s="115">
        <f>S35+U35</f>
        <v>2275199.2799999998</v>
      </c>
      <c r="W35" s="126">
        <v>110.24635999998124</v>
      </c>
      <c r="X35" s="112">
        <v>250</v>
      </c>
      <c r="Y35" s="110">
        <v>400</v>
      </c>
      <c r="Z35" s="112"/>
      <c r="AA35" s="112"/>
      <c r="AB35" s="112">
        <v>0</v>
      </c>
      <c r="AC35" s="123">
        <f>W35+X35+Y35+Z35+AA35+AB35</f>
        <v>760.24635999998122</v>
      </c>
      <c r="AD35" s="110">
        <v>8379831.2930798093</v>
      </c>
      <c r="AE35" s="113"/>
      <c r="AF35" s="129">
        <v>613.51000000000931</v>
      </c>
      <c r="AG35" s="131">
        <v>0</v>
      </c>
      <c r="AH35" s="130">
        <f>AF35+AG35</f>
        <v>613.51000000000931</v>
      </c>
      <c r="AI35" s="133">
        <v>5828345.0000000885</v>
      </c>
      <c r="AJ35" s="21"/>
    </row>
    <row r="36" spans="1:36" ht="15">
      <c r="A36" s="19"/>
      <c r="B36" s="64">
        <v>30</v>
      </c>
      <c r="C36" s="65">
        <v>33</v>
      </c>
      <c r="D36" s="65">
        <v>464</v>
      </c>
      <c r="E36" s="124">
        <v>15440.000000000055</v>
      </c>
      <c r="F36" s="124">
        <v>16792065.360000059</v>
      </c>
      <c r="G36" s="111">
        <v>3400.0000000000341</v>
      </c>
      <c r="H36" s="111">
        <v>5546601.9000000563</v>
      </c>
      <c r="I36" s="105">
        <f>F36+H36</f>
        <v>22338667.260000117</v>
      </c>
      <c r="J36" s="158">
        <v>1460.0000000000364</v>
      </c>
      <c r="K36" s="158">
        <v>1587850.7400000396</v>
      </c>
      <c r="L36" s="120">
        <v>399.99999999986358</v>
      </c>
      <c r="M36" s="122">
        <v>652541.39999977755</v>
      </c>
      <c r="N36" s="107">
        <f>K36+M36</f>
        <v>2240392.1399998171</v>
      </c>
      <c r="O36" s="105">
        <f>I36+N36</f>
        <v>24579059.399999935</v>
      </c>
      <c r="P36" s="107">
        <f>E36+G36+J36+L36</f>
        <v>20699.999999999985</v>
      </c>
      <c r="Q36" s="123">
        <f>R36+T36</f>
        <v>712</v>
      </c>
      <c r="R36" s="124">
        <v>183</v>
      </c>
      <c r="S36" s="124">
        <v>3288542.94</v>
      </c>
      <c r="T36" s="117">
        <v>529</v>
      </c>
      <c r="U36" s="117">
        <v>2476502.92</v>
      </c>
      <c r="V36" s="115">
        <f>S36+U36</f>
        <v>5765045.8599999994</v>
      </c>
      <c r="W36" s="126">
        <v>123.33736000003985</v>
      </c>
      <c r="X36" s="112"/>
      <c r="Y36" s="110"/>
      <c r="Z36" s="112"/>
      <c r="AA36" s="112"/>
      <c r="AB36" s="112">
        <v>24</v>
      </c>
      <c r="AC36" s="123">
        <f>W36+X36+Y36+Z36+AA36+AB36</f>
        <v>147.33736000003984</v>
      </c>
      <c r="AD36" s="110">
        <v>1531244.2160804046</v>
      </c>
      <c r="AE36" s="113"/>
      <c r="AF36" s="129">
        <v>554.11000000000058</v>
      </c>
      <c r="AG36" s="131">
        <v>0</v>
      </c>
      <c r="AH36" s="130">
        <f>AF36+AG36</f>
        <v>554.11000000000058</v>
      </c>
      <c r="AI36" s="133">
        <v>5264045.0000000056</v>
      </c>
      <c r="AJ36" s="21"/>
    </row>
    <row r="37" spans="1:36" ht="15">
      <c r="A37" s="19"/>
      <c r="B37" s="81">
        <v>31</v>
      </c>
      <c r="C37" s="65">
        <v>35</v>
      </c>
      <c r="D37" s="65">
        <v>418</v>
      </c>
      <c r="E37" s="124">
        <v>24720.000000000029</v>
      </c>
      <c r="F37" s="124">
        <v>26884705.680000033</v>
      </c>
      <c r="G37" s="111">
        <v>3439.9999999999977</v>
      </c>
      <c r="H37" s="111">
        <v>5611856.0399999972</v>
      </c>
      <c r="I37" s="105">
        <f>F37+H37</f>
        <v>32496561.720000029</v>
      </c>
      <c r="J37" s="158">
        <v>2579.9999999999272</v>
      </c>
      <c r="K37" s="158">
        <v>2805928.0199999209</v>
      </c>
      <c r="L37" s="120">
        <v>420.00000000007276</v>
      </c>
      <c r="M37" s="122">
        <v>685168.47000011872</v>
      </c>
      <c r="N37" s="107">
        <f>K37+M37</f>
        <v>3491096.4900000393</v>
      </c>
      <c r="O37" s="105">
        <f>I37+N37</f>
        <v>35987658.210000068</v>
      </c>
      <c r="P37" s="107">
        <f>E37+G37+J37+L37</f>
        <v>31160.000000000025</v>
      </c>
      <c r="Q37" s="123">
        <f>R37+T37</f>
        <v>742</v>
      </c>
      <c r="R37" s="124">
        <v>173</v>
      </c>
      <c r="S37" s="124">
        <v>3108841.14</v>
      </c>
      <c r="T37" s="117">
        <v>569</v>
      </c>
      <c r="U37" s="117">
        <v>2663762.1199999996</v>
      </c>
      <c r="V37" s="115">
        <f>S37+U37</f>
        <v>5772603.2599999998</v>
      </c>
      <c r="W37" s="126">
        <v>121.36363999996013</v>
      </c>
      <c r="X37" s="112"/>
      <c r="Y37" s="110"/>
      <c r="Z37" s="112"/>
      <c r="AA37" s="112"/>
      <c r="AB37" s="112">
        <v>12</v>
      </c>
      <c r="AC37" s="123">
        <f>W37+X37+Y37+Z37+AA37+AB37</f>
        <v>133.36363999996013</v>
      </c>
      <c r="AD37" s="110">
        <v>1371705.0369195952</v>
      </c>
      <c r="AE37" s="113"/>
      <c r="AF37" s="129">
        <v>758.4600000000064</v>
      </c>
      <c r="AG37" s="131">
        <v>0</v>
      </c>
      <c r="AH37" s="130">
        <f>AF37+AG37</f>
        <v>758.4600000000064</v>
      </c>
      <c r="AI37" s="133">
        <v>7205370.0000000605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2411</v>
      </c>
      <c r="D43" s="134">
        <f>SUM(D7:D37)</f>
        <v>23030</v>
      </c>
      <c r="E43" s="135">
        <f>SUM(E7:E37)</f>
        <v>514600.00000000012</v>
      </c>
      <c r="F43" s="135">
        <f>SUM(F7:F37)</f>
        <v>559663007.4000001</v>
      </c>
      <c r="G43" s="135">
        <f>SUM(G7:G37)</f>
        <v>110920.00000000003</v>
      </c>
      <c r="H43" s="135">
        <f>SUM(H7:H37)</f>
        <v>180949730.22000003</v>
      </c>
      <c r="I43" s="135">
        <f>SUM(I7:I37)</f>
        <v>740612737.62000048</v>
      </c>
      <c r="J43" s="135">
        <f>SUM(J7:J37)</f>
        <v>61439.9999999996</v>
      </c>
      <c r="K43" s="135">
        <f>SUM(K7:K37)</f>
        <v>66820239.359999567</v>
      </c>
      <c r="L43" s="135">
        <f>SUM(L7:L37)</f>
        <v>15160.000000000082</v>
      </c>
      <c r="M43" s="135">
        <f>SUM(M7:M37)</f>
        <v>24731319.060000133</v>
      </c>
      <c r="N43" s="135">
        <f>SUM(N7:N37)</f>
        <v>91551558.419999719</v>
      </c>
      <c r="O43" s="136">
        <f>SUM(O7:O37)</f>
        <v>832164296.03999984</v>
      </c>
      <c r="P43" s="137">
        <f>SUM(P7:P37)</f>
        <v>702119.99999999977</v>
      </c>
      <c r="Q43" s="138">
        <f>SUM(Q7:Q37)</f>
        <v>18098.399999999994</v>
      </c>
      <c r="R43" s="135">
        <f>SUM(R7:R37)</f>
        <v>6153</v>
      </c>
      <c r="S43" s="135">
        <f>SUM(S7:S37)</f>
        <v>110570517.53999999</v>
      </c>
      <c r="T43" s="135">
        <f>SUM(T7:T37)</f>
        <v>11945.399999999994</v>
      </c>
      <c r="U43" s="135">
        <f>SUM(U7:U37)</f>
        <v>55922151.191999972</v>
      </c>
      <c r="V43" s="139">
        <f>SUM(V7:V37)</f>
        <v>166492668.73199993</v>
      </c>
      <c r="W43" s="140">
        <f>SUM(W7:W37)</f>
        <v>3619.3191200000324</v>
      </c>
      <c r="X43" s="135">
        <f>SUM(X7:X37)</f>
        <v>1500</v>
      </c>
      <c r="Y43" s="135">
        <f>SUM(Y7:Y37)</f>
        <v>2400</v>
      </c>
      <c r="Z43" s="135">
        <f>SUM(Z7:Z37)</f>
        <v>250</v>
      </c>
      <c r="AA43" s="135">
        <f>SUM(AA7:AA37)</f>
        <v>0</v>
      </c>
      <c r="AB43" s="135">
        <f>SUM(AB7:AB37)</f>
        <v>468</v>
      </c>
      <c r="AC43" s="141">
        <f>SUM(AC7:AC37)</f>
        <v>8237.319120000031</v>
      </c>
      <c r="AD43" s="141">
        <f>SUM(AD7:AD37)</f>
        <v>88542947.025360316</v>
      </c>
      <c r="AE43" s="142">
        <f>SUM(AE8:AE39)</f>
        <v>0</v>
      </c>
      <c r="AF43" s="135">
        <f>SUM(AF7:AF37)</f>
        <v>19070.100000000057</v>
      </c>
      <c r="AG43" s="135">
        <f>SUM(AG7:AG37)</f>
        <v>142.40000000000009</v>
      </c>
      <c r="AH43" s="143">
        <f>SUM(AH7:AH37)</f>
        <v>19212.500000000058</v>
      </c>
      <c r="AI43" s="143">
        <f>SUM(AI7:AI37)</f>
        <v>182518750.00000051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1185.2166239958983</v>
      </c>
      <c r="Q45" s="43"/>
      <c r="R45" s="43"/>
      <c r="S45" s="43"/>
      <c r="T45" s="36"/>
      <c r="U45" s="36"/>
      <c r="V45" s="43">
        <f>V43/Q43</f>
        <v>9199.3031832648176</v>
      </c>
      <c r="W45" s="43"/>
      <c r="X45" s="36"/>
      <c r="Y45" s="43"/>
      <c r="Z45" s="43"/>
      <c r="AA45" s="43"/>
      <c r="AB45" s="43"/>
      <c r="AC45" s="36"/>
      <c r="AD45" s="36">
        <f>AD43/AC43</f>
        <v>10749.000461859001</v>
      </c>
      <c r="AE45" s="40"/>
      <c r="AF45" s="40"/>
      <c r="AG45" s="40"/>
      <c r="AH45" s="40"/>
      <c r="AI45" s="43">
        <f>AI43/AH43</f>
        <v>9499.9999999999982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