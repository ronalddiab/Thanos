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558F35C5-001D-4524-83C0-C523086447B1}" xr6:coauthVersionLast="46" xr6:coauthVersionMax="46" xr10:uidLastSave="{00000000-0000-0000-0000-000000000000}"/>
  <bookViews>
    <workbookView xWindow="390" yWindow="390" windowWidth="14355" windowHeight="15585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O2" i="117" l="1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<sst xmlns="http://schemas.openxmlformats.org/spreadsheetml/2006/main" count="63" uniqueCount="31">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</sst>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B34" sqref="B34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3</v>
      </c>
      <c r="D2" s="7">
        <v>2021</v>
      </c>
      <c r="E2" s="9">
        <f>'Marunouchi Daily'!D5</f>
        <v>2655</v>
      </c>
      <c r="F2" s="33">
        <v>15.371801912396213</v>
      </c>
      <c r="G2" s="9">
        <f>'Marunouchi Daily'!F5</f>
        <v>17.650000000001455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9</v>
      </c>
      <c r="L2" s="33">
        <v>866.58593380320269</v>
      </c>
      <c r="M2" s="9">
        <v>0</v>
      </c>
      <c r="N2" s="9">
        <v>0</v>
      </c>
      <c r="O2" s="9">
        <f>'Marunouchi Daily'!M5</f>
        <v>0</v>
      </c>
    </row>
    <row r="3" spans="1:15" ht="15" x14ac:dyDescent="0.25">
      <c r="A3" s="6" t="s">
        <v>24</v>
      </c>
      <c r="B3" s="7">
        <f>B2+1</f>
        <v>2</v>
      </c>
      <c r="C3" s="8">
        <v>3</v>
      </c>
      <c r="D3" s="7">
        <v>2021</v>
      </c>
      <c r="E3" s="9">
        <f>'Marunouchi Daily'!D6</f>
        <v>2746</v>
      </c>
      <c r="F3" s="33">
        <v>15.371801912396213</v>
      </c>
      <c r="G3" s="9">
        <f>'Marunouchi Daily'!F6</f>
        <v>1.1100000000005821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14</v>
      </c>
      <c r="L3" s="33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3</v>
      </c>
      <c r="D4" s="7">
        <v>2021</v>
      </c>
      <c r="E4" s="9">
        <f>'Marunouchi Daily'!D7</f>
        <v>2733</v>
      </c>
      <c r="F4" s="33">
        <v>15.371801912396213</v>
      </c>
      <c r="G4" s="9">
        <f>'Marunouchi Daily'!F7</f>
        <v>31.75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2</v>
      </c>
      <c r="L4" s="33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 x14ac:dyDescent="0.25">
      <c r="A5" s="6" t="s">
        <v>24</v>
      </c>
      <c r="B5" s="7">
        <f t="shared" si="0"/>
        <v>4</v>
      </c>
      <c r="C5" s="8">
        <v>3</v>
      </c>
      <c r="D5" s="7">
        <v>2021</v>
      </c>
      <c r="E5" s="9">
        <f>'Marunouchi Daily'!D8</f>
        <v>2645</v>
      </c>
      <c r="F5" s="33">
        <v>15.371801912396213</v>
      </c>
      <c r="G5" s="9">
        <f>'Marunouchi Daily'!F8</f>
        <v>59.209999999999127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2</v>
      </c>
      <c r="L5" s="33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 x14ac:dyDescent="0.25">
      <c r="A6" s="6" t="s">
        <v>24</v>
      </c>
      <c r="B6" s="7">
        <f t="shared" si="0"/>
        <v>5</v>
      </c>
      <c r="C6" s="8">
        <v>3</v>
      </c>
      <c r="D6" s="7">
        <v>2021</v>
      </c>
      <c r="E6" s="9">
        <f>'Marunouchi Daily'!D9</f>
        <v>2928</v>
      </c>
      <c r="F6" s="33">
        <v>15.371801912396213</v>
      </c>
      <c r="G6" s="9">
        <f>'Marunouchi Daily'!F9</f>
        <v>62.710000000006403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10</v>
      </c>
      <c r="L6" s="33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 x14ac:dyDescent="0.25">
      <c r="A7" s="6" t="s">
        <v>24</v>
      </c>
      <c r="B7" s="7">
        <f t="shared" si="0"/>
        <v>6</v>
      </c>
      <c r="C7" s="8">
        <v>3</v>
      </c>
      <c r="D7" s="7">
        <v>2021</v>
      </c>
      <c r="E7" s="9">
        <f>'Marunouchi Daily'!D10</f>
        <v>3067</v>
      </c>
      <c r="F7" s="33">
        <v>15.371801912396213</v>
      </c>
      <c r="G7" s="9">
        <f>'Marunouchi Daily'!F10</f>
        <v>26.389999999999418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10</v>
      </c>
      <c r="L7" s="33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 x14ac:dyDescent="0.25">
      <c r="A8" s="6" t="s">
        <v>24</v>
      </c>
      <c r="B8" s="7">
        <f t="shared" si="0"/>
        <v>7</v>
      </c>
      <c r="C8" s="8">
        <v>3</v>
      </c>
      <c r="D8" s="7">
        <v>2021</v>
      </c>
      <c r="E8" s="9">
        <f>'Marunouchi Daily'!D11</f>
        <v>2770</v>
      </c>
      <c r="F8" s="33">
        <v>15.371801912396213</v>
      </c>
      <c r="G8" s="9">
        <f>'Marunouchi Daily'!F11</f>
        <v>17.799999999995634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5</v>
      </c>
      <c r="L8" s="33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 x14ac:dyDescent="0.25">
      <c r="A9" s="6" t="s">
        <v>24</v>
      </c>
      <c r="B9" s="7">
        <f t="shared" si="0"/>
        <v>8</v>
      </c>
      <c r="C9" s="8">
        <v>3</v>
      </c>
      <c r="D9" s="7">
        <v>2021</v>
      </c>
      <c r="E9" s="9">
        <f>'Marunouchi Daily'!D12</f>
        <v>2527</v>
      </c>
      <c r="F9" s="33">
        <v>15.371801912396213</v>
      </c>
      <c r="G9" s="9">
        <f>'Marunouchi Daily'!F12</f>
        <v>40.389999999999418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2</v>
      </c>
      <c r="L9" s="33">
        <v>866.58593380320269</v>
      </c>
      <c r="M9" s="9">
        <f>'Marunouchi Daily'!K12</f>
        <v>0</v>
      </c>
      <c r="N9" s="9">
        <f>'Marunouchi Daily'!L12</f>
        <v>0</v>
      </c>
      <c r="O9" s="9">
        <f>'Marunouchi Daily'!M12</f>
        <v>0</v>
      </c>
    </row>
    <row r="10" spans="1:15" ht="15" x14ac:dyDescent="0.25">
      <c r="A10" s="6" t="s">
        <v>24</v>
      </c>
      <c r="B10" s="7">
        <f t="shared" si="0"/>
        <v>9</v>
      </c>
      <c r="C10" s="8">
        <v>3</v>
      </c>
      <c r="D10" s="7">
        <v>2021</v>
      </c>
      <c r="E10" s="9">
        <f>'Marunouchi Daily'!D13</f>
        <v>2693</v>
      </c>
      <c r="F10" s="33">
        <v>15.371801912396213</v>
      </c>
      <c r="G10" s="9">
        <f>'Marunouchi Daily'!F13</f>
        <v>17.160000000003492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3</v>
      </c>
      <c r="L10" s="33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 x14ac:dyDescent="0.25">
      <c r="A11" s="6" t="s">
        <v>24</v>
      </c>
      <c r="B11" s="7">
        <f t="shared" si="0"/>
        <v>10</v>
      </c>
      <c r="C11" s="8">
        <v>3</v>
      </c>
      <c r="D11" s="7">
        <v>2021</v>
      </c>
      <c r="E11" s="9">
        <f>'Marunouchi Daily'!D14</f>
        <v>2714</v>
      </c>
      <c r="F11" s="33">
        <v>15.371801912396213</v>
      </c>
      <c r="G11" s="9">
        <f>'Marunouchi Daily'!F14</f>
        <v>25.919999999998254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5</v>
      </c>
      <c r="L11" s="33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 x14ac:dyDescent="0.25">
      <c r="A12" s="6" t="s">
        <v>24</v>
      </c>
      <c r="B12" s="7">
        <f t="shared" si="0"/>
        <v>11</v>
      </c>
      <c r="C12" s="8">
        <v>3</v>
      </c>
      <c r="D12" s="7">
        <v>2021</v>
      </c>
      <c r="E12" s="9">
        <f>'Marunouchi Daily'!D15</f>
        <v>2726</v>
      </c>
      <c r="F12" s="33">
        <v>15.371801912396213</v>
      </c>
      <c r="G12" s="9">
        <f>'Marunouchi Daily'!F15</f>
        <v>86.009999999994761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4</v>
      </c>
      <c r="L12" s="33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 x14ac:dyDescent="0.25">
      <c r="A13" s="6" t="s">
        <v>24</v>
      </c>
      <c r="B13" s="7">
        <f t="shared" si="0"/>
        <v>12</v>
      </c>
      <c r="C13" s="8">
        <v>3</v>
      </c>
      <c r="D13" s="7">
        <v>2021</v>
      </c>
      <c r="E13" s="9">
        <f>'Marunouchi Daily'!D16</f>
        <v>2743</v>
      </c>
      <c r="F13" s="33">
        <v>15.371801912396213</v>
      </c>
      <c r="G13" s="9">
        <f>'Marunouchi Daily'!F16</f>
        <v>56.450000000004366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14</v>
      </c>
      <c r="L13" s="33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 x14ac:dyDescent="0.25">
      <c r="A14" s="6" t="s">
        <v>24</v>
      </c>
      <c r="B14" s="7">
        <f t="shared" si="0"/>
        <v>13</v>
      </c>
      <c r="C14" s="8">
        <v>3</v>
      </c>
      <c r="D14" s="7">
        <v>2021</v>
      </c>
      <c r="E14" s="9">
        <f>'Marunouchi Daily'!D17</f>
        <v>2743</v>
      </c>
      <c r="F14" s="33">
        <v>15.371801912396213</v>
      </c>
      <c r="G14" s="9">
        <f>'Marunouchi Daily'!F17</f>
        <v>15.639999999999418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7</v>
      </c>
      <c r="L14" s="33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 x14ac:dyDescent="0.25">
      <c r="A15" s="6" t="s">
        <v>24</v>
      </c>
      <c r="B15" s="7">
        <f t="shared" si="0"/>
        <v>14</v>
      </c>
      <c r="C15" s="8">
        <v>3</v>
      </c>
      <c r="D15" s="7">
        <v>2021</v>
      </c>
      <c r="E15" s="9">
        <f>'Marunouchi Daily'!D18</f>
        <v>2532</v>
      </c>
      <c r="F15" s="33">
        <v>15.371801912396213</v>
      </c>
      <c r="G15" s="9">
        <f>'Marunouchi Daily'!F18</f>
        <v>17.659999999996217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2</v>
      </c>
      <c r="L15" s="33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 x14ac:dyDescent="0.25">
      <c r="A16" s="6" t="s">
        <v>24</v>
      </c>
      <c r="B16" s="7">
        <f t="shared" si="0"/>
        <v>15</v>
      </c>
      <c r="C16" s="8">
        <v>3</v>
      </c>
      <c r="D16" s="7">
        <v>2021</v>
      </c>
      <c r="E16" s="9">
        <f>'Marunouchi Daily'!D19</f>
        <v>2527</v>
      </c>
      <c r="F16" s="33">
        <v>15.371801912396213</v>
      </c>
      <c r="G16" s="9">
        <f>'Marunouchi Daily'!F19</f>
        <v>38.440000000002328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10</v>
      </c>
      <c r="L16" s="33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 x14ac:dyDescent="0.25">
      <c r="A17" s="6" t="s">
        <v>24</v>
      </c>
      <c r="B17" s="7">
        <f t="shared" si="0"/>
        <v>16</v>
      </c>
      <c r="C17" s="8">
        <v>3</v>
      </c>
      <c r="D17" s="7">
        <v>2021</v>
      </c>
      <c r="E17" s="9">
        <f>'Marunouchi Daily'!D20</f>
        <v>2439</v>
      </c>
      <c r="F17" s="33">
        <v>15.371801912396213</v>
      </c>
      <c r="G17" s="9">
        <f>'Marunouchi Daily'!F20</f>
        <v>3.8899999999994179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2</v>
      </c>
      <c r="L17" s="33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 x14ac:dyDescent="0.25">
      <c r="A18" s="6" t="s">
        <v>24</v>
      </c>
      <c r="B18" s="7">
        <f t="shared" si="0"/>
        <v>17</v>
      </c>
      <c r="C18" s="8">
        <v>3</v>
      </c>
      <c r="D18" s="7">
        <v>2021</v>
      </c>
      <c r="E18" s="9">
        <f>'Marunouchi Daily'!D21</f>
        <v>2676</v>
      </c>
      <c r="F18" s="33">
        <v>15.371801912396213</v>
      </c>
      <c r="G18" s="9">
        <f>'Marunouchi Daily'!F21</f>
        <v>40.270000000004075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8</v>
      </c>
      <c r="L18" s="33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 x14ac:dyDescent="0.25">
      <c r="A19" s="6" t="s">
        <v>24</v>
      </c>
      <c r="B19" s="7">
        <f t="shared" si="0"/>
        <v>18</v>
      </c>
      <c r="C19" s="8">
        <v>3</v>
      </c>
      <c r="D19" s="7">
        <v>2021</v>
      </c>
      <c r="E19" s="9">
        <f>'Marunouchi Daily'!D22</f>
        <v>2682</v>
      </c>
      <c r="F19" s="33">
        <v>15.371801912396213</v>
      </c>
      <c r="G19" s="9">
        <f>'Marunouchi Daily'!F22</f>
        <v>14.809999999997672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10</v>
      </c>
      <c r="L19" s="33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 x14ac:dyDescent="0.25">
      <c r="A20" s="6" t="s">
        <v>24</v>
      </c>
      <c r="B20" s="7">
        <f t="shared" si="0"/>
        <v>19</v>
      </c>
      <c r="C20" s="8">
        <v>3</v>
      </c>
      <c r="D20" s="7">
        <v>2021</v>
      </c>
      <c r="E20" s="9">
        <f>'Marunouchi Daily'!D23</f>
        <v>2788</v>
      </c>
      <c r="F20" s="33">
        <v>15.371801912396213</v>
      </c>
      <c r="G20" s="9">
        <f>'Marunouchi Daily'!F23</f>
        <v>79.269999999996799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12</v>
      </c>
      <c r="L20" s="33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 x14ac:dyDescent="0.25">
      <c r="A21" s="6" t="s">
        <v>24</v>
      </c>
      <c r="B21" s="7">
        <f t="shared" si="0"/>
        <v>20</v>
      </c>
      <c r="C21" s="8">
        <v>3</v>
      </c>
      <c r="D21" s="7">
        <v>2021</v>
      </c>
      <c r="E21" s="9">
        <f>'Marunouchi Daily'!D24</f>
        <v>2646</v>
      </c>
      <c r="F21" s="33">
        <v>15.371801912396213</v>
      </c>
      <c r="G21" s="9">
        <f>'Marunouchi Daily'!F24</f>
        <v>11.69999999999709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7</v>
      </c>
      <c r="L21" s="33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 x14ac:dyDescent="0.25">
      <c r="A22" s="6" t="s">
        <v>24</v>
      </c>
      <c r="B22" s="7">
        <f t="shared" si="0"/>
        <v>21</v>
      </c>
      <c r="C22" s="8">
        <v>3</v>
      </c>
      <c r="D22" s="7">
        <v>2021</v>
      </c>
      <c r="E22" s="9">
        <f>'Marunouchi Daily'!D25</f>
        <v>2620</v>
      </c>
      <c r="F22" s="33">
        <v>15.371801912396213</v>
      </c>
      <c r="G22" s="9">
        <f>'Marunouchi Daily'!F25</f>
        <v>28.070000000006985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7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3</v>
      </c>
      <c r="D23" s="7">
        <v>2021</v>
      </c>
      <c r="E23" s="9">
        <f>'Marunouchi Daily'!D26</f>
        <v>2552</v>
      </c>
      <c r="F23" s="33">
        <v>15.371801912396213</v>
      </c>
      <c r="G23" s="9">
        <f>'Marunouchi Daily'!F26</f>
        <v>48.559999999997672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10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3</v>
      </c>
      <c r="D24" s="7">
        <v>2021</v>
      </c>
      <c r="E24" s="9">
        <f>'Marunouchi Daily'!D27</f>
        <v>2728</v>
      </c>
      <c r="F24" s="33">
        <v>15.371801912396213</v>
      </c>
      <c r="G24" s="9">
        <f>'Marunouchi Daily'!F27</f>
        <v>12.860000000000582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6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3</v>
      </c>
      <c r="D25" s="7">
        <v>2021</v>
      </c>
      <c r="E25" s="9">
        <f>'Marunouchi Daily'!D28</f>
        <v>2754</v>
      </c>
      <c r="F25" s="33">
        <v>15.371801912396213</v>
      </c>
      <c r="G25" s="9">
        <f>'Marunouchi Daily'!F28</f>
        <v>19.059999999997672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12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3</v>
      </c>
      <c r="D26" s="7">
        <v>2021</v>
      </c>
      <c r="E26" s="9">
        <f>'Marunouchi Daily'!D29</f>
        <v>2862</v>
      </c>
      <c r="F26" s="33">
        <v>15.371801912396213</v>
      </c>
      <c r="G26" s="9">
        <f>'Marunouchi Daily'!F29</f>
        <v>51.519999999996799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12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3</v>
      </c>
      <c r="D27" s="7">
        <v>2021</v>
      </c>
      <c r="E27" s="9">
        <f>'Marunouchi Daily'!D30</f>
        <v>2800</v>
      </c>
      <c r="F27" s="33">
        <v>15.371801912396213</v>
      </c>
      <c r="G27" s="9">
        <f>'Marunouchi Daily'!F30</f>
        <v>53.030000000006112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16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3</v>
      </c>
      <c r="D28" s="7">
        <v>2021</v>
      </c>
      <c r="E28" s="9">
        <f>'Marunouchi Daily'!D31</f>
        <v>2723</v>
      </c>
      <c r="F28" s="33">
        <v>15.371801912396213</v>
      </c>
      <c r="G28" s="9">
        <f>'Marunouchi Daily'!F31</f>
        <v>9.5099999999947613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3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3</v>
      </c>
      <c r="D29" s="7">
        <v>2021</v>
      </c>
      <c r="E29" s="9">
        <f>'Marunouchi Daily'!D32</f>
        <v>2506</v>
      </c>
      <c r="F29" s="33">
        <v>15.371801912396213</v>
      </c>
      <c r="G29" s="9">
        <f>'Marunouchi Daily'!F32</f>
        <v>24.360000000000582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0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3</v>
      </c>
      <c r="D30" s="7">
        <v>2021</v>
      </c>
      <c r="E30" s="9">
        <f>'Marunouchi Daily'!D33</f>
        <v>2589</v>
      </c>
      <c r="F30" s="33">
        <v>15.371801912396213</v>
      </c>
      <c r="G30" s="9">
        <f>'Marunouchi Daily'!F33</f>
        <v>41.670000000012806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10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3</v>
      </c>
      <c r="D31" s="7">
        <v>2021</v>
      </c>
      <c r="E31" s="9">
        <f>'Marunouchi Daily'!D34</f>
        <v>2640</v>
      </c>
      <c r="F31" s="33">
        <v>15.371801912396213</v>
      </c>
      <c r="G31" s="9">
        <f>'Marunouchi Daily'!F34</f>
        <v>23.599999999991269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2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>
        <f t="shared" si="0"/>
        <v>31</v>
      </c>
      <c r="C32" s="8">
        <v>3</v>
      </c>
      <c r="D32" s="7">
        <v>2021</v>
      </c>
      <c r="E32" s="9">
        <f>'Marunouchi Daily'!D35</f>
        <v>3068</v>
      </c>
      <c r="F32" s="33">
        <v>15.371801912396213</v>
      </c>
      <c r="G32" s="9">
        <f>'Marunouchi Daily'!F35</f>
        <v>4.7700000000040745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14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70" zoomScaleNormal="70" workbookViewId="0">
      <pane xSplit="1" topLeftCell="B1" activePane="topRight" state="frozen"/>
      <selection pane="topRight" activeCell="O8" sqref="O8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3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44255</v>
      </c>
      <c r="B4" s="36"/>
      <c r="C4" s="25">
        <v>0</v>
      </c>
      <c r="D4" s="26">
        <v>2525</v>
      </c>
      <c r="E4" s="25">
        <v>0</v>
      </c>
      <c r="F4" s="26">
        <v>32</v>
      </c>
      <c r="G4" s="25">
        <v>0</v>
      </c>
      <c r="H4" s="26">
        <v>0</v>
      </c>
      <c r="I4" s="25">
        <v>0</v>
      </c>
      <c r="J4" s="26">
        <v>1</v>
      </c>
      <c r="K4" s="35">
        <v>0</v>
      </c>
      <c r="L4" s="27">
        <v>0</v>
      </c>
      <c r="M4" s="27">
        <v>0</v>
      </c>
    </row>
    <row r="5" spans="1:13" ht="33" customHeight="1" x14ac:dyDescent="0.25">
      <c r="A5" s="24">
        <v>44256</v>
      </c>
      <c r="B5" s="36"/>
      <c r="C5" s="25">
        <v>0</v>
      </c>
      <c r="D5" s="26">
        <v>2655</v>
      </c>
      <c r="E5" s="25">
        <v>0</v>
      </c>
      <c r="F5" s="26">
        <v>17.650000000001455</v>
      </c>
      <c r="G5" s="25">
        <v>0</v>
      </c>
      <c r="H5" s="26"/>
      <c r="I5" s="25">
        <v>0</v>
      </c>
      <c r="J5" s="26">
        <v>9</v>
      </c>
      <c r="K5" s="35">
        <v>0</v>
      </c>
      <c r="L5" s="27">
        <v>0</v>
      </c>
      <c r="M5" s="27">
        <v>0</v>
      </c>
    </row>
    <row r="6" spans="1:13" ht="45" customHeight="1" x14ac:dyDescent="0.25">
      <c r="A6" s="24">
        <v>44257</v>
      </c>
      <c r="B6" s="36"/>
      <c r="C6" s="25">
        <v>0</v>
      </c>
      <c r="D6" s="26">
        <v>2746</v>
      </c>
      <c r="E6" s="25">
        <v>0</v>
      </c>
      <c r="F6" s="26">
        <v>1.1100000000005821</v>
      </c>
      <c r="G6" s="25">
        <v>0</v>
      </c>
      <c r="H6" s="26"/>
      <c r="I6" s="25">
        <v>0</v>
      </c>
      <c r="J6" s="26">
        <v>14</v>
      </c>
      <c r="K6" s="35">
        <v>0</v>
      </c>
      <c r="L6" s="27">
        <v>0</v>
      </c>
      <c r="M6" s="27">
        <v>0</v>
      </c>
    </row>
    <row r="7" spans="1:13" ht="45" customHeight="1" x14ac:dyDescent="0.25">
      <c r="A7" s="24">
        <v>44258</v>
      </c>
      <c r="B7" s="36"/>
      <c r="C7" s="25">
        <v>0</v>
      </c>
      <c r="D7" s="26">
        <v>2733</v>
      </c>
      <c r="E7" s="25">
        <v>0</v>
      </c>
      <c r="F7" s="26">
        <v>31.75</v>
      </c>
      <c r="G7" s="25">
        <v>0</v>
      </c>
      <c r="H7" s="26"/>
      <c r="I7" s="25">
        <v>0</v>
      </c>
      <c r="J7" s="26">
        <v>2</v>
      </c>
      <c r="K7" s="35">
        <v>0</v>
      </c>
      <c r="L7" s="27">
        <v>0</v>
      </c>
      <c r="M7" s="27">
        <v>0</v>
      </c>
    </row>
    <row r="8" spans="1:13" ht="45" customHeight="1" x14ac:dyDescent="0.25">
      <c r="A8" s="24">
        <v>44259</v>
      </c>
      <c r="B8" s="36"/>
      <c r="C8" s="25">
        <v>0</v>
      </c>
      <c r="D8" s="26">
        <v>2645</v>
      </c>
      <c r="E8" s="25">
        <v>0</v>
      </c>
      <c r="F8" s="26">
        <v>59.209999999999127</v>
      </c>
      <c r="G8" s="25">
        <v>0</v>
      </c>
      <c r="H8" s="26"/>
      <c r="I8" s="25">
        <v>0</v>
      </c>
      <c r="J8" s="26">
        <v>2</v>
      </c>
      <c r="K8" s="35">
        <v>0</v>
      </c>
      <c r="L8" s="27">
        <v>0</v>
      </c>
      <c r="M8" s="27">
        <v>0</v>
      </c>
    </row>
    <row r="9" spans="1:13" ht="45" customHeight="1" x14ac:dyDescent="0.25">
      <c r="A9" s="24">
        <v>44260</v>
      </c>
      <c r="B9" s="36"/>
      <c r="C9" s="25">
        <v>0</v>
      </c>
      <c r="D9" s="26">
        <v>2928</v>
      </c>
      <c r="E9" s="25">
        <v>0</v>
      </c>
      <c r="F9" s="26">
        <v>62.710000000006403</v>
      </c>
      <c r="G9" s="25">
        <v>0</v>
      </c>
      <c r="H9" s="26"/>
      <c r="I9" s="25">
        <v>0</v>
      </c>
      <c r="J9" s="26">
        <v>10</v>
      </c>
      <c r="K9" s="35">
        <v>0</v>
      </c>
      <c r="L9" s="27">
        <v>0</v>
      </c>
      <c r="M9" s="27">
        <v>0</v>
      </c>
    </row>
    <row r="10" spans="1:13" ht="45" customHeight="1" x14ac:dyDescent="0.25">
      <c r="A10" s="24">
        <v>44261</v>
      </c>
      <c r="B10" s="36"/>
      <c r="C10" s="25">
        <v>0</v>
      </c>
      <c r="D10" s="26">
        <v>3067</v>
      </c>
      <c r="E10" s="25">
        <v>0</v>
      </c>
      <c r="F10" s="26">
        <v>26.389999999999418</v>
      </c>
      <c r="G10" s="25">
        <v>0</v>
      </c>
      <c r="H10" s="26"/>
      <c r="I10" s="25">
        <v>0</v>
      </c>
      <c r="J10" s="26">
        <v>10</v>
      </c>
      <c r="K10" s="35">
        <v>0</v>
      </c>
      <c r="L10" s="27">
        <v>0</v>
      </c>
      <c r="M10" s="27">
        <v>0</v>
      </c>
    </row>
    <row r="11" spans="1:13" ht="45" customHeight="1" x14ac:dyDescent="0.25">
      <c r="A11" s="24">
        <v>44262</v>
      </c>
      <c r="B11" s="36"/>
      <c r="C11" s="25">
        <v>0</v>
      </c>
      <c r="D11" s="26">
        <v>2770</v>
      </c>
      <c r="E11" s="25">
        <v>0</v>
      </c>
      <c r="F11" s="26">
        <v>17.799999999995634</v>
      </c>
      <c r="G11" s="25">
        <v>0</v>
      </c>
      <c r="H11" s="26"/>
      <c r="I11" s="25">
        <v>0</v>
      </c>
      <c r="J11" s="26">
        <v>5</v>
      </c>
      <c r="K11" s="35">
        <v>0</v>
      </c>
      <c r="L11" s="27">
        <v>0</v>
      </c>
      <c r="M11" s="27">
        <v>0</v>
      </c>
    </row>
    <row r="12" spans="1:13" ht="45" customHeight="1" x14ac:dyDescent="0.25">
      <c r="A12" s="24">
        <v>44263</v>
      </c>
      <c r="B12" s="36"/>
      <c r="C12" s="25">
        <v>0</v>
      </c>
      <c r="D12" s="26">
        <v>2527</v>
      </c>
      <c r="E12" s="25">
        <v>0</v>
      </c>
      <c r="F12" s="26">
        <v>40.389999999999418</v>
      </c>
      <c r="G12" s="25">
        <v>0</v>
      </c>
      <c r="H12" s="26"/>
      <c r="I12" s="25">
        <v>0</v>
      </c>
      <c r="J12" s="26">
        <v>2</v>
      </c>
      <c r="K12" s="35">
        <v>0</v>
      </c>
      <c r="L12" s="27">
        <v>0</v>
      </c>
      <c r="M12" s="27">
        <v>0</v>
      </c>
    </row>
    <row r="13" spans="1:13" ht="45" customHeight="1" x14ac:dyDescent="0.25">
      <c r="A13" s="24">
        <v>44264</v>
      </c>
      <c r="B13" s="36"/>
      <c r="C13" s="25">
        <v>0</v>
      </c>
      <c r="D13" s="26">
        <v>2693</v>
      </c>
      <c r="E13" s="25">
        <v>0</v>
      </c>
      <c r="F13" s="26">
        <v>17.160000000003492</v>
      </c>
      <c r="G13" s="25">
        <v>0</v>
      </c>
      <c r="H13" s="26"/>
      <c r="I13" s="25">
        <v>0</v>
      </c>
      <c r="J13" s="26">
        <v>3</v>
      </c>
      <c r="K13" s="35">
        <v>0</v>
      </c>
      <c r="L13" s="27">
        <v>0</v>
      </c>
      <c r="M13" s="27">
        <v>0</v>
      </c>
    </row>
    <row r="14" spans="1:13" ht="45" customHeight="1" x14ac:dyDescent="0.25">
      <c r="A14" s="24">
        <v>44265</v>
      </c>
      <c r="B14" s="36"/>
      <c r="C14" s="25">
        <v>0</v>
      </c>
      <c r="D14" s="26">
        <v>2714</v>
      </c>
      <c r="E14" s="25">
        <v>0</v>
      </c>
      <c r="F14" s="26">
        <v>25.919999999998254</v>
      </c>
      <c r="G14" s="25">
        <v>0</v>
      </c>
      <c r="H14" s="26"/>
      <c r="I14" s="25">
        <v>0</v>
      </c>
      <c r="J14" s="26">
        <v>5</v>
      </c>
      <c r="K14" s="35">
        <v>0</v>
      </c>
      <c r="L14" s="27">
        <v>0</v>
      </c>
      <c r="M14" s="27">
        <v>0</v>
      </c>
    </row>
    <row r="15" spans="1:13" ht="45" customHeight="1" x14ac:dyDescent="0.25">
      <c r="A15" s="24">
        <v>44266</v>
      </c>
      <c r="B15" s="36"/>
      <c r="C15" s="25">
        <v>0</v>
      </c>
      <c r="D15" s="26">
        <v>2726</v>
      </c>
      <c r="E15" s="25">
        <v>0</v>
      </c>
      <c r="F15" s="26">
        <v>86.009999999994761</v>
      </c>
      <c r="G15" s="25">
        <v>0</v>
      </c>
      <c r="H15" s="26"/>
      <c r="I15" s="25">
        <v>0</v>
      </c>
      <c r="J15" s="26">
        <v>4</v>
      </c>
      <c r="K15" s="35">
        <v>0</v>
      </c>
      <c r="L15" s="27">
        <v>0</v>
      </c>
      <c r="M15" s="27">
        <v>0</v>
      </c>
    </row>
    <row r="16" spans="1:13" ht="45" customHeight="1" x14ac:dyDescent="0.25">
      <c r="A16" s="24">
        <v>44267</v>
      </c>
      <c r="B16" s="36"/>
      <c r="C16" s="25">
        <v>0</v>
      </c>
      <c r="D16" s="26">
        <v>2743</v>
      </c>
      <c r="E16" s="25">
        <v>0</v>
      </c>
      <c r="F16" s="26">
        <v>56.450000000004366</v>
      </c>
      <c r="G16" s="25">
        <v>0</v>
      </c>
      <c r="H16" s="26"/>
      <c r="I16" s="25">
        <v>0</v>
      </c>
      <c r="J16" s="26">
        <v>14</v>
      </c>
      <c r="K16" s="35">
        <v>0</v>
      </c>
      <c r="L16" s="27">
        <v>0</v>
      </c>
      <c r="M16" s="27">
        <v>0</v>
      </c>
    </row>
    <row r="17" spans="1:13" ht="45" customHeight="1" x14ac:dyDescent="0.25">
      <c r="A17" s="24">
        <v>44268</v>
      </c>
      <c r="B17" s="36"/>
      <c r="C17" s="25">
        <v>0</v>
      </c>
      <c r="D17" s="26">
        <v>2743</v>
      </c>
      <c r="E17" s="25">
        <v>0</v>
      </c>
      <c r="F17" s="26">
        <v>15.639999999999418</v>
      </c>
      <c r="G17" s="25">
        <v>0</v>
      </c>
      <c r="H17" s="26"/>
      <c r="I17" s="25">
        <v>0</v>
      </c>
      <c r="J17" s="26">
        <v>7</v>
      </c>
      <c r="K17" s="35">
        <v>0</v>
      </c>
      <c r="L17" s="27">
        <v>0</v>
      </c>
      <c r="M17" s="27">
        <v>0</v>
      </c>
    </row>
    <row r="18" spans="1:13" ht="45" customHeight="1" x14ac:dyDescent="0.25">
      <c r="A18" s="24">
        <v>44269</v>
      </c>
      <c r="B18" s="36"/>
      <c r="C18" s="25">
        <v>0</v>
      </c>
      <c r="D18" s="26">
        <v>2532</v>
      </c>
      <c r="E18" s="25">
        <v>0</v>
      </c>
      <c r="F18" s="26">
        <v>17.659999999996217</v>
      </c>
      <c r="G18" s="25">
        <v>0</v>
      </c>
      <c r="H18" s="26"/>
      <c r="I18" s="25">
        <v>0</v>
      </c>
      <c r="J18" s="26">
        <v>2</v>
      </c>
      <c r="K18" s="35">
        <v>0</v>
      </c>
      <c r="L18" s="27">
        <v>0</v>
      </c>
      <c r="M18" s="27">
        <v>0</v>
      </c>
    </row>
    <row r="19" spans="1:13" ht="45" customHeight="1" x14ac:dyDescent="0.25">
      <c r="A19" s="24">
        <v>44270</v>
      </c>
      <c r="B19" s="36"/>
      <c r="C19" s="25">
        <v>0</v>
      </c>
      <c r="D19" s="26">
        <v>2527</v>
      </c>
      <c r="E19" s="25">
        <v>0</v>
      </c>
      <c r="F19" s="26">
        <v>38.440000000002328</v>
      </c>
      <c r="G19" s="25">
        <v>0</v>
      </c>
      <c r="H19" s="26"/>
      <c r="I19" s="25">
        <v>0</v>
      </c>
      <c r="J19" s="26">
        <v>10</v>
      </c>
      <c r="K19" s="35">
        <v>0</v>
      </c>
      <c r="L19" s="27">
        <v>0</v>
      </c>
      <c r="M19" s="27">
        <v>0</v>
      </c>
    </row>
    <row r="20" spans="1:13" ht="45" customHeight="1" x14ac:dyDescent="0.25">
      <c r="A20" s="24">
        <v>44271</v>
      </c>
      <c r="B20" s="36"/>
      <c r="C20" s="25">
        <v>0</v>
      </c>
      <c r="D20" s="26">
        <v>2439</v>
      </c>
      <c r="E20" s="25">
        <v>0</v>
      </c>
      <c r="F20" s="26">
        <v>3.8899999999994179</v>
      </c>
      <c r="G20" s="25">
        <v>0</v>
      </c>
      <c r="H20" s="26"/>
      <c r="I20" s="25">
        <v>0</v>
      </c>
      <c r="J20" s="26">
        <v>2</v>
      </c>
      <c r="K20" s="35">
        <v>0</v>
      </c>
      <c r="L20" s="27">
        <v>0</v>
      </c>
      <c r="M20" s="27">
        <v>0</v>
      </c>
    </row>
    <row r="21" spans="1:13" ht="45" customHeight="1" x14ac:dyDescent="0.25">
      <c r="A21" s="24">
        <v>44272</v>
      </c>
      <c r="B21" s="36"/>
      <c r="C21" s="25">
        <v>0</v>
      </c>
      <c r="D21" s="26">
        <v>2676</v>
      </c>
      <c r="E21" s="25">
        <v>0</v>
      </c>
      <c r="F21" s="26">
        <v>40.270000000004075</v>
      </c>
      <c r="G21" s="25">
        <v>0</v>
      </c>
      <c r="H21" s="26"/>
      <c r="I21" s="25">
        <v>0</v>
      </c>
      <c r="J21" s="26">
        <v>8</v>
      </c>
      <c r="K21" s="35">
        <v>0</v>
      </c>
      <c r="L21" s="27">
        <v>0</v>
      </c>
      <c r="M21" s="27">
        <v>0</v>
      </c>
    </row>
    <row r="22" spans="1:13" ht="45" customHeight="1" x14ac:dyDescent="0.25">
      <c r="A22" s="24">
        <v>44273</v>
      </c>
      <c r="B22" s="36"/>
      <c r="C22" s="25">
        <v>0</v>
      </c>
      <c r="D22" s="26">
        <v>2682</v>
      </c>
      <c r="E22" s="25">
        <v>0</v>
      </c>
      <c r="F22" s="26">
        <v>14.809999999997672</v>
      </c>
      <c r="G22" s="25">
        <v>0</v>
      </c>
      <c r="H22" s="26"/>
      <c r="I22" s="25">
        <v>0</v>
      </c>
      <c r="J22" s="26">
        <v>10</v>
      </c>
      <c r="K22" s="35">
        <v>0</v>
      </c>
      <c r="L22" s="27">
        <v>0</v>
      </c>
      <c r="M22" s="27">
        <v>0</v>
      </c>
    </row>
    <row r="23" spans="1:13" ht="45" customHeight="1" x14ac:dyDescent="0.25">
      <c r="A23" s="24">
        <v>44274</v>
      </c>
      <c r="B23" s="36"/>
      <c r="C23" s="25">
        <v>0</v>
      </c>
      <c r="D23" s="26">
        <v>2788</v>
      </c>
      <c r="E23" s="25">
        <v>0</v>
      </c>
      <c r="F23" s="26">
        <v>79.269999999996799</v>
      </c>
      <c r="G23" s="25">
        <v>0</v>
      </c>
      <c r="H23" s="26"/>
      <c r="I23" s="25">
        <v>0</v>
      </c>
      <c r="J23" s="26">
        <v>12</v>
      </c>
      <c r="K23" s="35">
        <v>0</v>
      </c>
      <c r="L23" s="27">
        <v>0</v>
      </c>
      <c r="M23" s="27">
        <v>0</v>
      </c>
    </row>
    <row r="24" spans="1:13" ht="45" customHeight="1" x14ac:dyDescent="0.25">
      <c r="A24" s="24">
        <v>44275</v>
      </c>
      <c r="B24" s="36"/>
      <c r="C24" s="25">
        <v>0</v>
      </c>
      <c r="D24" s="26">
        <v>2646</v>
      </c>
      <c r="E24" s="25">
        <v>0</v>
      </c>
      <c r="F24" s="26">
        <v>11.69999999999709</v>
      </c>
      <c r="G24" s="25">
        <v>0</v>
      </c>
      <c r="H24" s="26"/>
      <c r="I24" s="25">
        <v>0</v>
      </c>
      <c r="J24" s="26">
        <v>7</v>
      </c>
      <c r="K24" s="35">
        <v>0</v>
      </c>
      <c r="L24" s="27">
        <v>0</v>
      </c>
      <c r="M24" s="27">
        <v>0</v>
      </c>
    </row>
    <row r="25" spans="1:13" ht="45" customHeight="1" x14ac:dyDescent="0.25">
      <c r="A25" s="24">
        <v>44276</v>
      </c>
      <c r="B25" s="36"/>
      <c r="C25" s="25">
        <v>0</v>
      </c>
      <c r="D25" s="26">
        <v>2620</v>
      </c>
      <c r="E25" s="25">
        <v>0</v>
      </c>
      <c r="F25" s="26">
        <v>28.070000000006985</v>
      </c>
      <c r="G25" s="25">
        <v>0</v>
      </c>
      <c r="H25" s="26"/>
      <c r="I25" s="25">
        <v>0</v>
      </c>
      <c r="J25" s="26">
        <v>7</v>
      </c>
      <c r="K25" s="35">
        <v>0</v>
      </c>
      <c r="L25" s="27">
        <v>0</v>
      </c>
      <c r="M25" s="27">
        <v>0</v>
      </c>
    </row>
    <row r="26" spans="1:13" ht="45" customHeight="1" x14ac:dyDescent="0.25">
      <c r="A26" s="24">
        <v>44277</v>
      </c>
      <c r="B26" s="36"/>
      <c r="C26" s="25">
        <v>0</v>
      </c>
      <c r="D26" s="26">
        <v>2552</v>
      </c>
      <c r="E26" s="25">
        <v>0</v>
      </c>
      <c r="F26" s="26">
        <v>48.559999999997672</v>
      </c>
      <c r="G26" s="25">
        <v>0</v>
      </c>
      <c r="H26" s="26"/>
      <c r="I26" s="25">
        <v>0</v>
      </c>
      <c r="J26" s="26">
        <v>10</v>
      </c>
      <c r="K26" s="35">
        <v>0</v>
      </c>
      <c r="L26" s="27">
        <v>0</v>
      </c>
      <c r="M26" s="27">
        <v>0</v>
      </c>
    </row>
    <row r="27" spans="1:13" ht="45" customHeight="1" x14ac:dyDescent="0.25">
      <c r="A27" s="24">
        <v>44278</v>
      </c>
      <c r="B27" s="36"/>
      <c r="C27" s="25">
        <v>0</v>
      </c>
      <c r="D27" s="26">
        <v>2728</v>
      </c>
      <c r="E27" s="25">
        <v>0</v>
      </c>
      <c r="F27" s="26">
        <v>12.860000000000582</v>
      </c>
      <c r="G27" s="25">
        <v>0</v>
      </c>
      <c r="H27" s="26"/>
      <c r="I27" s="25">
        <v>0</v>
      </c>
      <c r="J27" s="26">
        <v>6</v>
      </c>
      <c r="K27" s="35">
        <v>0</v>
      </c>
      <c r="L27" s="27">
        <v>0</v>
      </c>
      <c r="M27" s="27">
        <v>0</v>
      </c>
    </row>
    <row r="28" spans="1:13" ht="45" customHeight="1" x14ac:dyDescent="0.25">
      <c r="A28" s="24">
        <v>44279</v>
      </c>
      <c r="B28" s="36"/>
      <c r="C28" s="25">
        <v>0</v>
      </c>
      <c r="D28" s="26">
        <v>2754</v>
      </c>
      <c r="E28" s="25">
        <v>0</v>
      </c>
      <c r="F28" s="26">
        <v>19.059999999997672</v>
      </c>
      <c r="G28" s="25">
        <v>0</v>
      </c>
      <c r="H28" s="26"/>
      <c r="I28" s="25">
        <v>0</v>
      </c>
      <c r="J28" s="26">
        <v>12</v>
      </c>
      <c r="K28" s="35">
        <v>0</v>
      </c>
      <c r="L28" s="27">
        <v>0</v>
      </c>
      <c r="M28" s="27">
        <v>0</v>
      </c>
    </row>
    <row r="29" spans="1:13" ht="45" customHeight="1" x14ac:dyDescent="0.25">
      <c r="A29" s="24">
        <v>44280</v>
      </c>
      <c r="B29" s="36"/>
      <c r="C29" s="25">
        <v>0</v>
      </c>
      <c r="D29" s="26">
        <v>2862</v>
      </c>
      <c r="E29" s="25">
        <v>0</v>
      </c>
      <c r="F29" s="26">
        <v>51.519999999996799</v>
      </c>
      <c r="G29" s="25">
        <v>0</v>
      </c>
      <c r="H29" s="26"/>
      <c r="I29" s="25">
        <v>0</v>
      </c>
      <c r="J29" s="26">
        <v>12</v>
      </c>
      <c r="K29" s="35">
        <v>0</v>
      </c>
      <c r="L29" s="27">
        <v>0</v>
      </c>
      <c r="M29" s="27">
        <v>0</v>
      </c>
    </row>
    <row r="30" spans="1:13" ht="45" customHeight="1" x14ac:dyDescent="0.25">
      <c r="A30" s="24">
        <v>44281</v>
      </c>
      <c r="B30" s="36"/>
      <c r="C30" s="25">
        <v>0</v>
      </c>
      <c r="D30" s="26">
        <v>2800</v>
      </c>
      <c r="E30" s="25">
        <v>0</v>
      </c>
      <c r="F30" s="26">
        <v>53.030000000006112</v>
      </c>
      <c r="G30" s="25">
        <v>0</v>
      </c>
      <c r="H30" s="26"/>
      <c r="I30" s="25">
        <v>0</v>
      </c>
      <c r="J30" s="26">
        <v>16</v>
      </c>
      <c r="K30" s="35">
        <v>0</v>
      </c>
      <c r="L30" s="27">
        <v>0</v>
      </c>
      <c r="M30" s="27">
        <v>0</v>
      </c>
    </row>
    <row r="31" spans="1:13" ht="45" customHeight="1" x14ac:dyDescent="0.25">
      <c r="A31" s="24">
        <v>44282</v>
      </c>
      <c r="B31" s="36"/>
      <c r="C31" s="25">
        <v>0</v>
      </c>
      <c r="D31" s="26">
        <v>2723</v>
      </c>
      <c r="E31" s="25">
        <v>0</v>
      </c>
      <c r="F31" s="26">
        <v>9.5099999999947613</v>
      </c>
      <c r="G31" s="25">
        <v>0</v>
      </c>
      <c r="H31" s="26"/>
      <c r="I31" s="25">
        <v>0</v>
      </c>
      <c r="J31" s="26">
        <v>3</v>
      </c>
      <c r="K31" s="35">
        <v>0</v>
      </c>
      <c r="L31" s="27">
        <v>0</v>
      </c>
      <c r="M31" s="27">
        <v>0</v>
      </c>
    </row>
    <row r="32" spans="1:13" ht="45" customHeight="1" x14ac:dyDescent="0.25">
      <c r="A32" s="24">
        <v>44283</v>
      </c>
      <c r="B32" s="36"/>
      <c r="C32" s="25">
        <v>0</v>
      </c>
      <c r="D32" s="26">
        <v>2506</v>
      </c>
      <c r="E32" s="25">
        <v>0</v>
      </c>
      <c r="F32" s="26">
        <v>24.360000000000582</v>
      </c>
      <c r="G32" s="25">
        <v>0</v>
      </c>
      <c r="H32" s="26"/>
      <c r="I32" s="25">
        <v>0</v>
      </c>
      <c r="J32" s="26">
        <v>0</v>
      </c>
      <c r="K32" s="35">
        <v>0</v>
      </c>
      <c r="L32" s="27">
        <v>0</v>
      </c>
      <c r="M32" s="27">
        <v>0</v>
      </c>
    </row>
    <row r="33" spans="1:13" ht="36" customHeight="1" x14ac:dyDescent="0.25">
      <c r="A33" s="24">
        <v>44284</v>
      </c>
      <c r="C33" s="25">
        <v>0</v>
      </c>
      <c r="D33" s="26">
        <v>2589</v>
      </c>
      <c r="E33" s="25">
        <v>0</v>
      </c>
      <c r="F33" s="26">
        <v>41.670000000012806</v>
      </c>
      <c r="G33" s="25">
        <v>0</v>
      </c>
      <c r="H33" s="26"/>
      <c r="I33" s="25">
        <v>0</v>
      </c>
      <c r="J33" s="26">
        <v>10</v>
      </c>
      <c r="K33" s="35">
        <v>0</v>
      </c>
      <c r="L33" s="27">
        <v>0</v>
      </c>
      <c r="M33" s="27">
        <v>0</v>
      </c>
    </row>
    <row r="34" spans="1:13" ht="45.6" customHeight="1" x14ac:dyDescent="0.25">
      <c r="A34" s="24">
        <v>44285</v>
      </c>
      <c r="C34" s="25">
        <v>0</v>
      </c>
      <c r="D34" s="26">
        <v>2640</v>
      </c>
      <c r="E34" s="25">
        <v>0</v>
      </c>
      <c r="F34" s="26">
        <v>23.599999999991269</v>
      </c>
      <c r="G34" s="25">
        <v>0</v>
      </c>
      <c r="H34" s="26"/>
      <c r="I34" s="25">
        <v>0</v>
      </c>
      <c r="J34" s="26">
        <v>2</v>
      </c>
      <c r="K34" s="35">
        <v>0</v>
      </c>
      <c r="L34" s="27">
        <v>0</v>
      </c>
      <c r="M34" s="27">
        <v>0</v>
      </c>
    </row>
    <row r="35" spans="1:13" ht="47.45" customHeight="1" x14ac:dyDescent="0.25">
      <c r="A35" s="24">
        <v>44286</v>
      </c>
      <c r="C35" s="25">
        <v>0</v>
      </c>
      <c r="D35" s="26">
        <v>3068</v>
      </c>
      <c r="E35" s="25">
        <v>0</v>
      </c>
      <c r="F35" s="26">
        <v>4.7700000000040745</v>
      </c>
      <c r="G35" s="25">
        <v>0</v>
      </c>
      <c r="H35" s="26"/>
      <c r="I35" s="25">
        <v>0</v>
      </c>
      <c r="J35" s="26">
        <v>14</v>
      </c>
      <c r="K35" s="35">
        <v>0</v>
      </c>
      <c r="L35" s="27">
        <v>0</v>
      </c>
      <c r="M35" s="27">
        <v>0</v>
      </c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2021-04-02T11:55:44Z</dcterms:modified>
</cp:coreProperties>
</file>