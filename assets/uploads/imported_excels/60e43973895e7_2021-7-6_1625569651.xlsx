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1/2021.07.04 - 2021M06/"/>
    </mc:Choice>
  </mc:AlternateContent>
  <xr:revisionPtr revIDLastSave="30" documentId="11_9743BF6CC33D4A77815015AF80CEA529EBE74E7D" xr6:coauthVersionLast="47" xr6:coauthVersionMax="47" xr10:uidLastSave="{ECBD9226-9207-4772-87F0-C3CB78624383}"/>
  <bookViews>
    <workbookView xWindow="-28920" yWindow="-120" windowWidth="29040" windowHeight="1644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7" l="1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E25" i="5" s="1"/>
  <c r="AB25" i="7"/>
  <c r="AD25" i="7"/>
  <c r="AE25" i="7"/>
  <c r="X26" i="7"/>
  <c r="E26" i="5" s="1"/>
  <c r="Y26" i="7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G13" i="5" s="1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G15" i="5" s="1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I4" i="5" s="1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I27" i="5" s="1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I10" i="5" s="1"/>
  <c r="E11" i="7"/>
  <c r="I11" i="5" s="1"/>
  <c r="E12" i="7"/>
  <c r="I12" i="5" s="1"/>
  <c r="E13" i="7"/>
  <c r="I13" i="5" s="1"/>
  <c r="E14" i="7"/>
  <c r="I14" i="5" s="1"/>
  <c r="E15" i="7"/>
  <c r="E16" i="7"/>
  <c r="E17" i="7"/>
  <c r="E18" i="7"/>
  <c r="E19" i="7"/>
  <c r="E20" i="7"/>
  <c r="I20" i="5" s="1"/>
  <c r="E21" i="7"/>
  <c r="E22" i="7"/>
  <c r="E23" i="7"/>
  <c r="I23" i="5" s="1"/>
  <c r="E24" i="7"/>
  <c r="E25" i="7"/>
  <c r="E26" i="7"/>
  <c r="E27" i="7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16" i="5"/>
  <c r="G23" i="7"/>
  <c r="AA13" i="7"/>
  <c r="Z30" i="7"/>
  <c r="Z20" i="7"/>
  <c r="AC20" i="7"/>
  <c r="E2" i="5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E19" i="5" l="1"/>
  <c r="E20" i="5"/>
  <c r="G28" i="5"/>
  <c r="G8" i="5"/>
  <c r="E29" i="5"/>
  <c r="G12" i="5"/>
  <c r="I24" i="5"/>
  <c r="I22" i="5"/>
  <c r="G31" i="5"/>
  <c r="G9" i="5"/>
  <c r="E22" i="5"/>
  <c r="E7" i="5"/>
  <c r="E17" i="5"/>
  <c r="I3" i="5"/>
  <c r="E6" i="5"/>
  <c r="E28" i="5"/>
  <c r="I28" i="5"/>
  <c r="I2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<sst xmlns="http://schemas.openxmlformats.org/spreadsheetml/2006/main" count="233" uniqueCount="158">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</sst>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8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7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wrapText="1"/>
    </xf>
    <xf numFmtId="1" fontId="21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2" fillId="0" borderId="1" xfId="0" applyFont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5" fillId="17" borderId="7" xfId="0" applyNumberFormat="1" applyFont="1" applyFill="1" applyBorder="1" applyAlignment="1">
      <alignment horizontal="center" vertical="center"/>
    </xf>
    <xf numFmtId="49" fontId="25" fillId="15" borderId="19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8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2" fontId="11" fillId="10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/>
    <xf numFmtId="0" fontId="11" fillId="2" borderId="7" xfId="0" applyFont="1" applyFill="1" applyBorder="1" applyAlignment="1"/>
    <xf numFmtId="0" fontId="1" fillId="2" borderId="7" xfId="0" applyFont="1" applyFill="1" applyBorder="1" applyAlignment="1"/>
    <xf numFmtId="165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2" fontId="12" fillId="0" borderId="7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6" fillId="6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13" borderId="21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" fillId="5" borderId="20" xfId="0" applyNumberFormat="1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11" fillId="2" borderId="7" xfId="0" applyNumberFormat="1" applyFont="1" applyFill="1" applyBorder="1" applyAlignment="1">
      <alignment horizontal="center"/>
    </xf>
    <xf numFmtId="2" fontId="26" fillId="2" borderId="7" xfId="0" applyNumberFormat="1" applyFont="1" applyFill="1" applyBorder="1" applyAlignment="1">
      <alignment horizontal="center"/>
    </xf>
    <xf numFmtId="0" fontId="26" fillId="2" borderId="7" xfId="0" applyFont="1" applyFill="1" applyBorder="1" applyAlignment="1">
      <alignment horizontal="right"/>
    </xf>
    <xf numFmtId="0" fontId="25" fillId="2" borderId="7" xfId="0" applyFont="1" applyFill="1" applyBorder="1" applyAlignment="1">
      <alignment horizontal="center"/>
    </xf>
    <xf numFmtId="1" fontId="25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2" fillId="14" borderId="7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center"/>
    </xf>
    <xf numFmtId="0" fontId="1" fillId="21" borderId="7" xfId="0" applyNumberFormat="1" applyFont="1" applyFill="1" applyBorder="1" applyAlignment="1">
      <alignment horizontal="center"/>
    </xf>
    <xf numFmtId="1" fontId="25" fillId="21" borderId="7" xfId="0" applyNumberFormat="1" applyFont="1" applyFill="1" applyBorder="1" applyAlignment="1">
      <alignment horizontal="center"/>
    </xf>
    <xf numFmtId="1" fontId="25" fillId="4" borderId="7" xfId="0" applyNumberFormat="1" applyFont="1" applyFill="1" applyBorder="1" applyAlignment="1">
      <alignment horizontal="center"/>
    </xf>
    <xf numFmtId="164" fontId="18" fillId="0" borderId="0" xfId="0" applyNumberFormat="1" applyFont="1" applyFill="1"/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zoomScaleNormal="100" workbookViewId="0">
      <selection activeCell="C34" sqref="C34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2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92" t="s">
        <v>5</v>
      </c>
      <c r="G1" s="7" t="s">
        <v>6</v>
      </c>
      <c r="H1" s="92" t="s">
        <v>7</v>
      </c>
      <c r="I1" s="6" t="s">
        <v>8</v>
      </c>
      <c r="J1" s="92" t="s">
        <v>9</v>
      </c>
      <c r="K1" s="6" t="s">
        <v>10</v>
      </c>
      <c r="L1" s="6" t="s">
        <v>11</v>
      </c>
    </row>
    <row r="2" spans="1:12" s="14" customFormat="1" x14ac:dyDescent="0.25">
      <c r="A2" s="12" t="s">
        <v>12</v>
      </c>
      <c r="B2" s="12">
        <v>1</v>
      </c>
      <c r="C2" s="3">
        <v>6</v>
      </c>
      <c r="D2" s="12">
        <v>2021</v>
      </c>
      <c r="E2" s="13">
        <f>Submetering!X2+Submetering!Y2</f>
        <v>16719.9999999998</v>
      </c>
      <c r="F2" s="3">
        <v>7.7909227967643713E-2</v>
      </c>
      <c r="G2" s="13">
        <f>Submetering!T2+Submetering!U2</f>
        <v>1649</v>
      </c>
      <c r="H2" s="3">
        <v>0.24162482260951298</v>
      </c>
      <c r="I2" s="13">
        <f>Submetering!E2+Submetering!H2</f>
        <v>118</v>
      </c>
      <c r="J2" s="159">
        <v>1.686569936015061</v>
      </c>
      <c r="K2" s="12">
        <f>Submetering!AF2</f>
        <v>55</v>
      </c>
      <c r="L2" s="12">
        <f>Submetering!AG2</f>
        <v>59</v>
      </c>
    </row>
    <row r="3" spans="1:12" s="16" customFormat="1" x14ac:dyDescent="0.25">
      <c r="A3" s="12" t="s">
        <v>12</v>
      </c>
      <c r="B3" s="15">
        <f>B2+1</f>
        <v>2</v>
      </c>
      <c r="C3" s="3">
        <v>6</v>
      </c>
      <c r="D3" s="12">
        <v>2021</v>
      </c>
      <c r="E3" s="13">
        <f>Submetering!X3+Submetering!Y3</f>
        <v>14695.99999999964</v>
      </c>
      <c r="F3" s="3">
        <v>7.7909227967643713E-2</v>
      </c>
      <c r="G3" s="13">
        <f>Submetering!T3+Submetering!U3</f>
        <v>1512</v>
      </c>
      <c r="H3" s="3">
        <v>0.24162482260951298</v>
      </c>
      <c r="I3" s="13">
        <f>Submetering!E3+Submetering!H3</f>
        <v>122</v>
      </c>
      <c r="J3" s="159">
        <f>J2</f>
        <v>1.686569936015061</v>
      </c>
      <c r="K3" s="12">
        <f>Submetering!AF3</f>
        <v>63</v>
      </c>
      <c r="L3" s="12">
        <f>Submetering!AG3</f>
        <v>65</v>
      </c>
    </row>
    <row r="4" spans="1:12" s="16" customFormat="1" x14ac:dyDescent="0.25">
      <c r="A4" s="12" t="s">
        <v>12</v>
      </c>
      <c r="B4" s="15">
        <f t="shared" ref="B4:B31" si="0">B3+1</f>
        <v>3</v>
      </c>
      <c r="C4" s="3">
        <v>6</v>
      </c>
      <c r="D4" s="12">
        <v>2021</v>
      </c>
      <c r="E4" s="13">
        <f>Submetering!X4+Submetering!Y4</f>
        <v>15356.00000000004</v>
      </c>
      <c r="F4" s="3">
        <v>7.7909227967643713E-2</v>
      </c>
      <c r="G4" s="13">
        <f>Submetering!T4+Submetering!U4</f>
        <v>1299</v>
      </c>
      <c r="H4" s="3">
        <v>0.24162482260951298</v>
      </c>
      <c r="I4" s="13">
        <f>Submetering!E4+Submetering!H4</f>
        <v>100</v>
      </c>
      <c r="J4" s="159">
        <f t="shared" ref="J4:J31" si="1">J3</f>
        <v>1.686569936015061</v>
      </c>
      <c r="K4" s="12">
        <f>Submetering!AF4</f>
        <v>62</v>
      </c>
      <c r="L4" s="12">
        <f>Submetering!AG4</f>
        <v>63</v>
      </c>
    </row>
    <row r="5" spans="1:12" s="16" customFormat="1" x14ac:dyDescent="0.25">
      <c r="A5" s="12" t="s">
        <v>12</v>
      </c>
      <c r="B5" s="15">
        <f t="shared" si="0"/>
        <v>4</v>
      </c>
      <c r="C5" s="3">
        <v>6</v>
      </c>
      <c r="D5" s="12">
        <v>2021</v>
      </c>
      <c r="E5" s="13">
        <f>Submetering!X5+Submetering!Y5</f>
        <v>16543.99999999996</v>
      </c>
      <c r="F5" s="3">
        <v>7.7909227967643713E-2</v>
      </c>
      <c r="G5" s="13">
        <f>Submetering!T5+Submetering!U5</f>
        <v>0</v>
      </c>
      <c r="H5" s="3">
        <v>0.24162482260951298</v>
      </c>
      <c r="I5" s="13">
        <f>Submetering!E5+Submetering!H5</f>
        <v>98</v>
      </c>
      <c r="J5" s="159">
        <f t="shared" si="1"/>
        <v>1.686569936015061</v>
      </c>
      <c r="K5" s="12">
        <f>Submetering!AF5</f>
        <v>69</v>
      </c>
      <c r="L5" s="12">
        <f>Submetering!AG5</f>
        <v>81</v>
      </c>
    </row>
    <row r="6" spans="1:12" s="16" customFormat="1" x14ac:dyDescent="0.25">
      <c r="A6" s="12" t="s">
        <v>12</v>
      </c>
      <c r="B6" s="15">
        <f t="shared" si="0"/>
        <v>5</v>
      </c>
      <c r="C6" s="3">
        <v>6</v>
      </c>
      <c r="D6" s="12">
        <v>2021</v>
      </c>
      <c r="E6" s="13">
        <f>Submetering!X6+Submetering!Y6</f>
        <v>16192.00000000028</v>
      </c>
      <c r="F6" s="3">
        <v>7.7909227967643713E-2</v>
      </c>
      <c r="G6" s="13">
        <f>Submetering!T6+Submetering!U6</f>
        <v>744</v>
      </c>
      <c r="H6" s="3">
        <v>0.24162482260951298</v>
      </c>
      <c r="I6" s="13">
        <f>Submetering!E6+Submetering!H6</f>
        <v>97</v>
      </c>
      <c r="J6" s="159">
        <f t="shared" si="1"/>
        <v>1.686569936015061</v>
      </c>
      <c r="K6" s="12">
        <f>Submetering!AF6</f>
        <v>77</v>
      </c>
      <c r="L6" s="12">
        <f>Submetering!AG6</f>
        <v>91</v>
      </c>
    </row>
    <row r="7" spans="1:12" s="16" customFormat="1" x14ac:dyDescent="0.25">
      <c r="A7" s="12" t="s">
        <v>12</v>
      </c>
      <c r="B7" s="15">
        <f t="shared" si="0"/>
        <v>6</v>
      </c>
      <c r="C7" s="3">
        <v>6</v>
      </c>
      <c r="D7" s="12">
        <v>2021</v>
      </c>
      <c r="E7" s="13">
        <f>Submetering!X7+Submetering!Y7</f>
        <v>16500</v>
      </c>
      <c r="F7" s="3">
        <v>7.7909227967643713E-2</v>
      </c>
      <c r="G7" s="13">
        <f>Submetering!T7+Submetering!U7</f>
        <v>710</v>
      </c>
      <c r="H7" s="3">
        <v>0.24162482260951298</v>
      </c>
      <c r="I7" s="13">
        <f>Submetering!E7+Submetering!H7</f>
        <v>96</v>
      </c>
      <c r="J7" s="159">
        <f t="shared" si="1"/>
        <v>1.686569936015061</v>
      </c>
      <c r="K7" s="12">
        <f>Submetering!AF7</f>
        <v>71</v>
      </c>
      <c r="L7" s="12">
        <f>Submetering!AG7</f>
        <v>80</v>
      </c>
    </row>
    <row r="8" spans="1:12" s="16" customFormat="1" x14ac:dyDescent="0.25">
      <c r="A8" s="12" t="s">
        <v>12</v>
      </c>
      <c r="B8" s="15">
        <f t="shared" si="0"/>
        <v>7</v>
      </c>
      <c r="C8" s="3">
        <v>6</v>
      </c>
      <c r="D8" s="12">
        <v>2021</v>
      </c>
      <c r="E8" s="13">
        <f>Submetering!X8+Submetering!Y8</f>
        <v>16631.99999999988</v>
      </c>
      <c r="F8" s="3">
        <v>7.7909227967643713E-2</v>
      </c>
      <c r="G8" s="13">
        <f>Submetering!T8+Submetering!U8</f>
        <v>936</v>
      </c>
      <c r="H8" s="3">
        <v>0.24162482260951298</v>
      </c>
      <c r="I8" s="13">
        <f>Submetering!E8+Submetering!H8</f>
        <v>106</v>
      </c>
      <c r="J8" s="159">
        <f t="shared" si="1"/>
        <v>1.686569936015061</v>
      </c>
      <c r="K8" s="12">
        <f>Submetering!AF8</f>
        <v>71</v>
      </c>
      <c r="L8" s="12">
        <f>Submetering!AG8</f>
        <v>77</v>
      </c>
    </row>
    <row r="9" spans="1:12" s="16" customFormat="1" x14ac:dyDescent="0.25">
      <c r="A9" s="12" t="s">
        <v>12</v>
      </c>
      <c r="B9" s="15">
        <f t="shared" si="0"/>
        <v>8</v>
      </c>
      <c r="C9" s="3">
        <v>6</v>
      </c>
      <c r="D9" s="12">
        <v>2021</v>
      </c>
      <c r="E9" s="13">
        <f>Submetering!X9+Submetering!Y9</f>
        <v>15883.99999999956</v>
      </c>
      <c r="F9" s="3">
        <v>7.7909227967643713E-2</v>
      </c>
      <c r="G9" s="13">
        <f>Submetering!T9+Submetering!U9</f>
        <v>1203</v>
      </c>
      <c r="H9" s="3">
        <v>0.24162482260951298</v>
      </c>
      <c r="I9" s="13">
        <f>Submetering!E9+Submetering!H9</f>
        <v>151</v>
      </c>
      <c r="J9" s="159">
        <f t="shared" si="1"/>
        <v>1.686569936015061</v>
      </c>
      <c r="K9" s="12">
        <f>Submetering!AF9</f>
        <v>73</v>
      </c>
      <c r="L9" s="12">
        <f>Submetering!AG9</f>
        <v>83</v>
      </c>
    </row>
    <row r="10" spans="1:12" s="16" customFormat="1" x14ac:dyDescent="0.25">
      <c r="A10" s="12" t="s">
        <v>12</v>
      </c>
      <c r="B10" s="15">
        <f t="shared" si="0"/>
        <v>9</v>
      </c>
      <c r="C10" s="3">
        <v>6</v>
      </c>
      <c r="D10" s="12">
        <v>2021</v>
      </c>
      <c r="E10" s="13">
        <f>Submetering!X10+Submetering!Y10</f>
        <v>16720.0000000008</v>
      </c>
      <c r="F10" s="3">
        <v>7.7909227967643713E-2</v>
      </c>
      <c r="G10" s="13">
        <f>Submetering!T10+Submetering!U10</f>
        <v>1195</v>
      </c>
      <c r="H10" s="3">
        <v>0.24162482260951298</v>
      </c>
      <c r="I10" s="13">
        <f>Submetering!E10+Submetering!H10</f>
        <v>143</v>
      </c>
      <c r="J10" s="159">
        <f t="shared" si="1"/>
        <v>1.686569936015061</v>
      </c>
      <c r="K10" s="12">
        <f>Submetering!AF10</f>
        <v>74</v>
      </c>
      <c r="L10" s="12">
        <f>Submetering!AG10</f>
        <v>83</v>
      </c>
    </row>
    <row r="11" spans="1:12" s="16" customFormat="1" x14ac:dyDescent="0.25">
      <c r="A11" s="12" t="s">
        <v>12</v>
      </c>
      <c r="B11" s="15">
        <f t="shared" si="0"/>
        <v>10</v>
      </c>
      <c r="C11" s="3">
        <v>6</v>
      </c>
      <c r="D11" s="12">
        <v>2021</v>
      </c>
      <c r="E11" s="13">
        <f>Submetering!X11+Submetering!Y11</f>
        <v>17379.9999999992</v>
      </c>
      <c r="F11" s="3">
        <v>7.7909227967643713E-2</v>
      </c>
      <c r="G11" s="13">
        <f>Submetering!T11+Submetering!U11</f>
        <v>857</v>
      </c>
      <c r="H11" s="3">
        <v>0.24162482260951298</v>
      </c>
      <c r="I11" s="13">
        <f>Submetering!E11+Submetering!H11</f>
        <v>103</v>
      </c>
      <c r="J11" s="159">
        <f t="shared" si="1"/>
        <v>1.686569936015061</v>
      </c>
      <c r="K11" s="12">
        <f>Submetering!AF11</f>
        <v>65</v>
      </c>
      <c r="L11" s="12">
        <f>Submetering!AG11</f>
        <v>76</v>
      </c>
    </row>
    <row r="12" spans="1:12" s="16" customFormat="1" x14ac:dyDescent="0.25">
      <c r="A12" s="12" t="s">
        <v>12</v>
      </c>
      <c r="B12" s="15">
        <f t="shared" si="0"/>
        <v>11</v>
      </c>
      <c r="C12" s="3">
        <v>6</v>
      </c>
      <c r="D12" s="12">
        <v>2021</v>
      </c>
      <c r="E12" s="13">
        <f>Submetering!X12+Submetering!Y12</f>
        <v>17028.00000000052</v>
      </c>
      <c r="F12" s="3">
        <v>7.7909227967643713E-2</v>
      </c>
      <c r="G12" s="13">
        <f>Submetering!T12+Submetering!U12</f>
        <v>796</v>
      </c>
      <c r="H12" s="3">
        <v>0.24162482260951298</v>
      </c>
      <c r="I12" s="13">
        <f>Submetering!E12+Submetering!H12</f>
        <v>102</v>
      </c>
      <c r="J12" s="159">
        <f t="shared" si="1"/>
        <v>1.686569936015061</v>
      </c>
      <c r="K12" s="12">
        <f>Submetering!AF12</f>
        <v>52</v>
      </c>
      <c r="L12" s="12">
        <f>Submetering!AG12</f>
        <v>61</v>
      </c>
    </row>
    <row r="13" spans="1:12" s="16" customFormat="1" x14ac:dyDescent="0.25">
      <c r="A13" s="12" t="s">
        <v>12</v>
      </c>
      <c r="B13" s="15">
        <f t="shared" si="0"/>
        <v>12</v>
      </c>
      <c r="C13" s="3">
        <v>6</v>
      </c>
      <c r="D13" s="12">
        <v>2021</v>
      </c>
      <c r="E13" s="13">
        <f>Submetering!X13+Submetering!Y13</f>
        <v>17292.00000000028</v>
      </c>
      <c r="F13" s="3">
        <v>7.7909227967643713E-2</v>
      </c>
      <c r="G13" s="13">
        <f>Submetering!T13+Submetering!U13</f>
        <v>804</v>
      </c>
      <c r="H13" s="3">
        <v>0.24162482260951298</v>
      </c>
      <c r="I13" s="13">
        <f>Submetering!E13+Submetering!H13</f>
        <v>99</v>
      </c>
      <c r="J13" s="159">
        <f t="shared" si="1"/>
        <v>1.686569936015061</v>
      </c>
      <c r="K13" s="12">
        <f>Submetering!AF13</f>
        <v>54</v>
      </c>
      <c r="L13" s="12">
        <f>Submetering!AG13</f>
        <v>65</v>
      </c>
    </row>
    <row r="14" spans="1:12" s="16" customFormat="1" x14ac:dyDescent="0.25">
      <c r="A14" s="12" t="s">
        <v>12</v>
      </c>
      <c r="B14" s="15">
        <f t="shared" si="0"/>
        <v>13</v>
      </c>
      <c r="C14" s="3">
        <v>6</v>
      </c>
      <c r="D14" s="12">
        <v>2021</v>
      </c>
      <c r="E14" s="13">
        <f>Submetering!X14+Submetering!Y14</f>
        <v>15443.99999999996</v>
      </c>
      <c r="F14" s="3">
        <v>7.7909227967643713E-2</v>
      </c>
      <c r="G14" s="13">
        <f>Submetering!T14+Submetering!U14</f>
        <v>853</v>
      </c>
      <c r="H14" s="3">
        <v>0.24162482260951298</v>
      </c>
      <c r="I14" s="13">
        <f>Submetering!E14+Submetering!H14</f>
        <v>76</v>
      </c>
      <c r="J14" s="159">
        <f t="shared" si="1"/>
        <v>1.686569936015061</v>
      </c>
      <c r="K14" s="12">
        <f>Submetering!AF14</f>
        <v>51</v>
      </c>
      <c r="L14" s="12">
        <f>Submetering!AG14</f>
        <v>63</v>
      </c>
    </row>
    <row r="15" spans="1:12" s="16" customFormat="1" x14ac:dyDescent="0.25">
      <c r="A15" s="12" t="s">
        <v>12</v>
      </c>
      <c r="B15" s="15">
        <f t="shared" si="0"/>
        <v>14</v>
      </c>
      <c r="C15" s="3">
        <v>6</v>
      </c>
      <c r="D15" s="12">
        <v>2021</v>
      </c>
      <c r="E15" s="13">
        <f>Submetering!X15+Submetering!Y15</f>
        <v>15795.99999999964</v>
      </c>
      <c r="F15" s="3">
        <v>7.7909227967643713E-2</v>
      </c>
      <c r="G15" s="13">
        <f>Submetering!T15+Submetering!U15</f>
        <v>997</v>
      </c>
      <c r="H15" s="3">
        <v>0.24162482260951298</v>
      </c>
      <c r="I15" s="13">
        <f>Submetering!E15+Submetering!H15</f>
        <v>97</v>
      </c>
      <c r="J15" s="159">
        <f t="shared" si="1"/>
        <v>1.686569936015061</v>
      </c>
      <c r="K15" s="12">
        <f>Submetering!AF15</f>
        <v>50</v>
      </c>
      <c r="L15" s="12">
        <f>Submetering!AG15</f>
        <v>59</v>
      </c>
    </row>
    <row r="16" spans="1:12" s="16" customFormat="1" x14ac:dyDescent="0.25">
      <c r="A16" s="12" t="s">
        <v>12</v>
      </c>
      <c r="B16" s="15">
        <f t="shared" si="0"/>
        <v>15</v>
      </c>
      <c r="C16" s="3">
        <v>6</v>
      </c>
      <c r="D16" s="12">
        <v>2021</v>
      </c>
      <c r="E16" s="13">
        <f>Submetering!X16+Submetering!Y16</f>
        <v>15839.9999999996</v>
      </c>
      <c r="F16" s="3">
        <v>7.7909227967643713E-2</v>
      </c>
      <c r="G16" s="13">
        <f>Submetering!T16+Submetering!U16</f>
        <v>1214</v>
      </c>
      <c r="H16" s="3">
        <v>0.24162482260951298</v>
      </c>
      <c r="I16" s="13">
        <f>Submetering!E16+Submetering!H16</f>
        <v>122</v>
      </c>
      <c r="J16" s="159">
        <f t="shared" si="1"/>
        <v>1.686569936015061</v>
      </c>
      <c r="K16" s="12">
        <f>Submetering!AF16</f>
        <v>53</v>
      </c>
      <c r="L16" s="12">
        <f>Submetering!AG16</f>
        <v>62</v>
      </c>
    </row>
    <row r="17" spans="1:12" s="16" customFormat="1" x14ac:dyDescent="0.25">
      <c r="A17" s="12" t="s">
        <v>12</v>
      </c>
      <c r="B17" s="15">
        <f t="shared" si="0"/>
        <v>16</v>
      </c>
      <c r="C17" s="3">
        <v>6</v>
      </c>
      <c r="D17" s="12">
        <v>2021</v>
      </c>
      <c r="E17" s="13">
        <f>Submetering!X17+Submetering!Y17</f>
        <v>16720.0000000008</v>
      </c>
      <c r="F17" s="3">
        <v>7.7909227967643713E-2</v>
      </c>
      <c r="G17" s="13">
        <f>Submetering!T17+Submetering!U17</f>
        <v>1180</v>
      </c>
      <c r="H17" s="3">
        <v>0.24162482260951298</v>
      </c>
      <c r="I17" s="13">
        <f>Submetering!E17+Submetering!H17</f>
        <v>141</v>
      </c>
      <c r="J17" s="159">
        <f t="shared" si="1"/>
        <v>1.686569936015061</v>
      </c>
      <c r="K17" s="12">
        <f>Submetering!AF17</f>
        <v>48</v>
      </c>
      <c r="L17" s="12">
        <f>Submetering!AG17</f>
        <v>57</v>
      </c>
    </row>
    <row r="18" spans="1:12" s="16" customFormat="1" x14ac:dyDescent="0.25">
      <c r="A18" s="12" t="s">
        <v>12</v>
      </c>
      <c r="B18" s="15">
        <f t="shared" si="0"/>
        <v>17</v>
      </c>
      <c r="C18" s="3">
        <v>6</v>
      </c>
      <c r="D18" s="12">
        <v>2021</v>
      </c>
      <c r="E18" s="13">
        <f>Submetering!X18+Submetering!Y18</f>
        <v>16412.00000000008</v>
      </c>
      <c r="F18" s="3">
        <v>7.7909227967643713E-2</v>
      </c>
      <c r="G18" s="13">
        <f>Submetering!T18+Submetering!U18</f>
        <v>1046</v>
      </c>
      <c r="H18" s="3">
        <v>0.24162482260951298</v>
      </c>
      <c r="I18" s="13">
        <f>Submetering!E18+Submetering!H18</f>
        <v>119</v>
      </c>
      <c r="J18" s="159">
        <f t="shared" si="1"/>
        <v>1.686569936015061</v>
      </c>
      <c r="K18" s="12">
        <f>Submetering!AF18</f>
        <v>44</v>
      </c>
      <c r="L18" s="12">
        <f>Submetering!AG18</f>
        <v>52</v>
      </c>
    </row>
    <row r="19" spans="1:12" s="16" customFormat="1" x14ac:dyDescent="0.25">
      <c r="A19" s="12" t="s">
        <v>12</v>
      </c>
      <c r="B19" s="15">
        <f t="shared" si="0"/>
        <v>18</v>
      </c>
      <c r="C19" s="3">
        <v>6</v>
      </c>
      <c r="D19" s="12">
        <v>2021</v>
      </c>
      <c r="E19" s="13">
        <f>Submetering!X19+Submetering!Y19</f>
        <v>17951.99999999968</v>
      </c>
      <c r="F19" s="3">
        <v>7.7909227967643713E-2</v>
      </c>
      <c r="G19" s="13">
        <f>Submetering!T19+Submetering!U19</f>
        <v>762</v>
      </c>
      <c r="H19" s="3">
        <v>0.24162482260951298</v>
      </c>
      <c r="I19" s="13">
        <f>Submetering!E19+Submetering!H19</f>
        <v>108</v>
      </c>
      <c r="J19" s="159">
        <f t="shared" si="1"/>
        <v>1.686569936015061</v>
      </c>
      <c r="K19" s="12">
        <f>Submetering!AF19</f>
        <v>49</v>
      </c>
      <c r="L19" s="12">
        <f>Submetering!AG19</f>
        <v>65</v>
      </c>
    </row>
    <row r="20" spans="1:12" s="16" customFormat="1" x14ac:dyDescent="0.25">
      <c r="A20" s="12" t="s">
        <v>12</v>
      </c>
      <c r="B20" s="15">
        <f t="shared" si="0"/>
        <v>19</v>
      </c>
      <c r="C20" s="3">
        <v>6</v>
      </c>
      <c r="D20" s="12">
        <v>2021</v>
      </c>
      <c r="E20" s="13">
        <f>Submetering!X20+Submetering!Y20</f>
        <v>17556.00000000004</v>
      </c>
      <c r="F20" s="3">
        <v>7.7909227967643713E-2</v>
      </c>
      <c r="G20" s="13">
        <f>Submetering!T20+Submetering!U20</f>
        <v>662</v>
      </c>
      <c r="H20" s="3">
        <v>0.24162482260951298</v>
      </c>
      <c r="I20" s="13">
        <f>Submetering!E20+Submetering!H20</f>
        <v>112</v>
      </c>
      <c r="J20" s="159">
        <f t="shared" si="1"/>
        <v>1.686569936015061</v>
      </c>
      <c r="K20" s="12">
        <f>Submetering!AF20</f>
        <v>40</v>
      </c>
      <c r="L20" s="12">
        <f>Submetering!AG20</f>
        <v>57</v>
      </c>
    </row>
    <row r="21" spans="1:12" s="16" customFormat="1" x14ac:dyDescent="0.25">
      <c r="A21" s="12" t="s">
        <v>12</v>
      </c>
      <c r="B21" s="15">
        <f t="shared" si="0"/>
        <v>20</v>
      </c>
      <c r="C21" s="3">
        <v>6</v>
      </c>
      <c r="D21" s="12">
        <v>2021</v>
      </c>
      <c r="E21" s="13">
        <f>Submetering!X21+Submetering!Y21</f>
        <v>17863.99999999976</v>
      </c>
      <c r="F21" s="3">
        <v>7.7909227967643713E-2</v>
      </c>
      <c r="G21" s="13">
        <f>Submetering!T21+Submetering!U21</f>
        <v>738</v>
      </c>
      <c r="H21" s="3">
        <v>0.24162482260951298</v>
      </c>
      <c r="I21" s="13">
        <f>Submetering!E21+Submetering!H21</f>
        <v>109</v>
      </c>
      <c r="J21" s="159">
        <f t="shared" si="1"/>
        <v>1.686569936015061</v>
      </c>
      <c r="K21" s="12">
        <f>Submetering!AF21</f>
        <v>28</v>
      </c>
      <c r="L21" s="12">
        <f>Submetering!AG21</f>
        <v>38</v>
      </c>
    </row>
    <row r="22" spans="1:12" s="16" customFormat="1" x14ac:dyDescent="0.25">
      <c r="A22" s="12" t="s">
        <v>12</v>
      </c>
      <c r="B22" s="15">
        <f t="shared" si="0"/>
        <v>21</v>
      </c>
      <c r="C22" s="3">
        <v>6</v>
      </c>
      <c r="D22" s="12">
        <v>2021</v>
      </c>
      <c r="E22" s="13">
        <f>Submetering!X22+Submetering!Y22</f>
        <v>18039.9999999996</v>
      </c>
      <c r="F22" s="3">
        <v>7.7909227967643713E-2</v>
      </c>
      <c r="G22" s="13">
        <f>Submetering!T22+Submetering!U22</f>
        <v>1087</v>
      </c>
      <c r="H22" s="3">
        <v>0.24162482260951298</v>
      </c>
      <c r="I22" s="13">
        <f>Submetering!E22+Submetering!H22</f>
        <v>139</v>
      </c>
      <c r="J22" s="159">
        <f t="shared" si="1"/>
        <v>1.686569936015061</v>
      </c>
      <c r="K22" s="12">
        <f>Submetering!AF22</f>
        <v>38</v>
      </c>
      <c r="L22" s="12">
        <f>Submetering!AG22</f>
        <v>47</v>
      </c>
    </row>
    <row r="23" spans="1:12" s="16" customFormat="1" x14ac:dyDescent="0.25">
      <c r="A23" s="12" t="s">
        <v>12</v>
      </c>
      <c r="B23" s="15">
        <f t="shared" si="0"/>
        <v>22</v>
      </c>
      <c r="C23" s="3">
        <v>6</v>
      </c>
      <c r="D23" s="12">
        <v>2021</v>
      </c>
      <c r="E23" s="13">
        <f>Submetering!X23+Submetering!Y23</f>
        <v>13420.0000000008</v>
      </c>
      <c r="F23" s="3">
        <v>7.7909227967643713E-2</v>
      </c>
      <c r="G23" s="13">
        <f>Submetering!T23+Submetering!U23</f>
        <v>1040</v>
      </c>
      <c r="H23" s="3">
        <v>0.24162482260951298</v>
      </c>
      <c r="I23" s="13">
        <f>Submetering!E23+Submetering!H23</f>
        <v>143</v>
      </c>
      <c r="J23" s="159">
        <f t="shared" si="1"/>
        <v>1.686569936015061</v>
      </c>
      <c r="K23" s="12">
        <f>Submetering!AF23</f>
        <v>65</v>
      </c>
      <c r="L23" s="12">
        <f>Submetering!AG23</f>
        <v>86</v>
      </c>
    </row>
    <row r="24" spans="1:12" s="16" customFormat="1" x14ac:dyDescent="0.25">
      <c r="A24" s="12" t="s">
        <v>12</v>
      </c>
      <c r="B24" s="15">
        <f t="shared" si="0"/>
        <v>23</v>
      </c>
      <c r="C24" s="3">
        <v>6</v>
      </c>
      <c r="D24" s="12">
        <v>2021</v>
      </c>
      <c r="E24" s="13">
        <f>Submetering!X24+Submetering!Y24</f>
        <v>24112.00000000008</v>
      </c>
      <c r="F24" s="3">
        <v>7.7909227967643713E-2</v>
      </c>
      <c r="G24" s="13">
        <f>Submetering!T24+Submetering!U24</f>
        <v>911</v>
      </c>
      <c r="H24" s="3">
        <v>0.24162482260951298</v>
      </c>
      <c r="I24" s="13">
        <f>Submetering!E24+Submetering!H24</f>
        <v>130</v>
      </c>
      <c r="J24" s="159">
        <f t="shared" si="1"/>
        <v>1.686569936015061</v>
      </c>
      <c r="K24" s="12">
        <f>Submetering!AF24</f>
        <v>71</v>
      </c>
      <c r="L24" s="12">
        <f>Submetering!AG24</f>
        <v>99</v>
      </c>
    </row>
    <row r="25" spans="1:12" s="16" customFormat="1" x14ac:dyDescent="0.25">
      <c r="A25" s="12" t="s">
        <v>12</v>
      </c>
      <c r="B25" s="15">
        <f t="shared" si="0"/>
        <v>24</v>
      </c>
      <c r="C25" s="3">
        <v>6</v>
      </c>
      <c r="D25" s="12">
        <v>2021</v>
      </c>
      <c r="E25" s="13">
        <f>Submetering!X25+Submetering!Y25</f>
        <v>20151.99999999968</v>
      </c>
      <c r="F25" s="3">
        <v>7.7909227967643713E-2</v>
      </c>
      <c r="G25" s="13">
        <f>Submetering!T25+Submetering!U25</f>
        <v>701</v>
      </c>
      <c r="H25" s="3">
        <v>0.24162482260951298</v>
      </c>
      <c r="I25" s="13">
        <f>Submetering!E25+Submetering!H25</f>
        <v>125</v>
      </c>
      <c r="J25" s="159">
        <f t="shared" si="1"/>
        <v>1.686569936015061</v>
      </c>
      <c r="K25" s="12">
        <f>Submetering!AF25</f>
        <v>31</v>
      </c>
      <c r="L25" s="12">
        <f>Submetering!AG25</f>
        <v>38</v>
      </c>
    </row>
    <row r="26" spans="1:12" s="16" customFormat="1" x14ac:dyDescent="0.25">
      <c r="A26" s="12" t="s">
        <v>12</v>
      </c>
      <c r="B26" s="15">
        <f>B25+1</f>
        <v>25</v>
      </c>
      <c r="C26" s="3">
        <v>6</v>
      </c>
      <c r="D26" s="12">
        <v>2021</v>
      </c>
      <c r="E26" s="13">
        <f>Submetering!X26+Submetering!Y26</f>
        <v>18568.00000000012</v>
      </c>
      <c r="F26" s="3">
        <v>7.7909227967643713E-2</v>
      </c>
      <c r="G26" s="13">
        <f>Submetering!T26+Submetering!U26</f>
        <v>698</v>
      </c>
      <c r="H26" s="3">
        <v>0.24162482260951298</v>
      </c>
      <c r="I26" s="13">
        <f>Submetering!E26+Submetering!H26</f>
        <v>106</v>
      </c>
      <c r="J26" s="159">
        <f t="shared" si="1"/>
        <v>1.686569936015061</v>
      </c>
      <c r="K26" s="12">
        <f>Submetering!AF26</f>
        <v>32</v>
      </c>
      <c r="L26" s="12">
        <f>Submetering!AG26</f>
        <v>40</v>
      </c>
    </row>
    <row r="27" spans="1:12" s="16" customFormat="1" x14ac:dyDescent="0.25">
      <c r="A27" s="12" t="s">
        <v>12</v>
      </c>
      <c r="B27" s="15">
        <f t="shared" si="0"/>
        <v>26</v>
      </c>
      <c r="C27" s="3">
        <v>6</v>
      </c>
      <c r="D27" s="12">
        <v>2021</v>
      </c>
      <c r="E27" s="13">
        <f>Submetering!X27+Submetering!Y27</f>
        <v>17292.00000000028</v>
      </c>
      <c r="F27" s="3">
        <v>7.7909227967643713E-2</v>
      </c>
      <c r="G27" s="13">
        <f>Submetering!T27+Submetering!U27</f>
        <v>725</v>
      </c>
      <c r="H27" s="3">
        <v>0.24162482260951298</v>
      </c>
      <c r="I27" s="13">
        <f>Submetering!E27+Submetering!H27</f>
        <v>104</v>
      </c>
      <c r="J27" s="159">
        <f t="shared" si="1"/>
        <v>1.686569936015061</v>
      </c>
      <c r="K27" s="12">
        <f>Submetering!AF27</f>
        <v>33</v>
      </c>
      <c r="L27" s="12">
        <f>Submetering!AG27</f>
        <v>42</v>
      </c>
    </row>
    <row r="28" spans="1:12" s="16" customFormat="1" x14ac:dyDescent="0.25">
      <c r="A28" s="12" t="s">
        <v>12</v>
      </c>
      <c r="B28" s="15">
        <f t="shared" si="0"/>
        <v>27</v>
      </c>
      <c r="C28" s="3">
        <v>6</v>
      </c>
      <c r="D28" s="12">
        <v>2021</v>
      </c>
      <c r="E28" s="13">
        <f>Submetering!X28+Submetering!Y28</f>
        <v>16279.9999999992</v>
      </c>
      <c r="F28" s="3">
        <v>7.7909227967643713E-2</v>
      </c>
      <c r="G28" s="13">
        <f>Submetering!T28+Submetering!U28</f>
        <v>625</v>
      </c>
      <c r="H28" s="3">
        <v>0.24162482260951298</v>
      </c>
      <c r="I28" s="13">
        <f>Submetering!E28+Submetering!H28</f>
        <v>94</v>
      </c>
      <c r="J28" s="159">
        <f t="shared" si="1"/>
        <v>1.686569936015061</v>
      </c>
      <c r="K28" s="12">
        <f>Submetering!AF28</f>
        <v>41</v>
      </c>
      <c r="L28" s="12">
        <f>Submetering!AG28</f>
        <v>54</v>
      </c>
    </row>
    <row r="29" spans="1:12" s="16" customFormat="1" x14ac:dyDescent="0.25">
      <c r="A29" s="12" t="s">
        <v>12</v>
      </c>
      <c r="B29" s="15">
        <f t="shared" si="0"/>
        <v>28</v>
      </c>
      <c r="C29" s="3">
        <v>6</v>
      </c>
      <c r="D29" s="12">
        <v>2021</v>
      </c>
      <c r="E29" s="13">
        <f>Submetering!X29+Submetering!Y29</f>
        <v>20812.00000000008</v>
      </c>
      <c r="F29" s="3">
        <v>7.7909227967643713E-2</v>
      </c>
      <c r="G29" s="13">
        <f>Submetering!T29+Submetering!U29</f>
        <v>656</v>
      </c>
      <c r="H29" s="3">
        <v>0.24162482260951298</v>
      </c>
      <c r="I29" s="13">
        <f>Submetering!E29+Submetering!H29</f>
        <v>112</v>
      </c>
      <c r="J29" s="159">
        <f t="shared" si="1"/>
        <v>1.686569936015061</v>
      </c>
      <c r="K29" s="12">
        <f>Submetering!AF29</f>
        <v>29</v>
      </c>
      <c r="L29" s="12">
        <f>Submetering!AG29</f>
        <v>37</v>
      </c>
    </row>
    <row r="30" spans="1:12" s="16" customFormat="1" x14ac:dyDescent="0.25">
      <c r="A30" s="12" t="s">
        <v>12</v>
      </c>
      <c r="B30" s="15">
        <f t="shared" si="0"/>
        <v>29</v>
      </c>
      <c r="C30" s="3">
        <v>6</v>
      </c>
      <c r="D30" s="12">
        <v>2021</v>
      </c>
      <c r="E30" s="13">
        <f>Submetering!X30+Submetering!Y30</f>
        <v>20592.00000000028</v>
      </c>
      <c r="F30" s="3">
        <v>7.7909227967643713E-2</v>
      </c>
      <c r="G30" s="13">
        <f>Submetering!T30+Submetering!U30</f>
        <v>935</v>
      </c>
      <c r="H30" s="3">
        <v>0.24162482260951298</v>
      </c>
      <c r="I30" s="13">
        <f>Submetering!E30+Submetering!H30</f>
        <v>146</v>
      </c>
      <c r="J30" s="159">
        <f t="shared" si="1"/>
        <v>1.686569936015061</v>
      </c>
      <c r="K30" s="12">
        <f>Submetering!AF30</f>
        <v>29</v>
      </c>
      <c r="L30" s="12">
        <f>Submetering!AG30</f>
        <v>37</v>
      </c>
    </row>
    <row r="31" spans="1:12" s="14" customFormat="1" x14ac:dyDescent="0.25">
      <c r="A31" s="12" t="s">
        <v>12</v>
      </c>
      <c r="B31" s="15">
        <f t="shared" si="0"/>
        <v>30</v>
      </c>
      <c r="C31" s="3">
        <v>6</v>
      </c>
      <c r="D31" s="12">
        <v>2021</v>
      </c>
      <c r="E31" s="13">
        <f>Submetering!X31+Submetering!Y31</f>
        <v>19712.00000000008</v>
      </c>
      <c r="F31" s="3">
        <v>7.7909227967643713E-2</v>
      </c>
      <c r="G31" s="13">
        <f>Submetering!T31+Submetering!U31</f>
        <v>780</v>
      </c>
      <c r="H31" s="3">
        <v>0.24162482260951298</v>
      </c>
      <c r="I31" s="13">
        <f>Submetering!E31+Submetering!H31</f>
        <v>112</v>
      </c>
      <c r="J31" s="159">
        <f t="shared" si="1"/>
        <v>1.686569936015061</v>
      </c>
      <c r="K31" s="12">
        <f>Submetering!AF31</f>
        <v>45</v>
      </c>
      <c r="L31" s="12">
        <f>Submetering!AG31</f>
        <v>53</v>
      </c>
    </row>
    <row r="32" spans="1:12" x14ac:dyDescent="0.25">
      <c r="A32" s="12"/>
      <c r="B32" s="15"/>
      <c r="C32" s="3"/>
      <c r="D32" s="12"/>
      <c r="E32" s="13"/>
      <c r="F32" s="3"/>
      <c r="G32" s="13"/>
      <c r="H32" s="3"/>
      <c r="I32" s="13"/>
      <c r="J32" s="159"/>
      <c r="K32" s="12"/>
      <c r="L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E30" sqref="E30"/>
    </sheetView>
  </sheetViews>
  <sheetFormatPr defaultColWidth="11.5703125" defaultRowHeight="15" x14ac:dyDescent="0.25"/>
  <cols>
    <col min="1" max="2" width="11.5703125" style="2"/>
    <col min="3" max="3" width="11.5703125" style="11"/>
    <col min="4" max="20" width="13.42578125" style="2" customWidth="1"/>
    <col min="21" max="21" width="13" style="9" customWidth="1"/>
    <col min="22" max="22" width="12.5703125" style="2" customWidth="1"/>
    <col min="23" max="27" width="13" style="4" customWidth="1"/>
    <col min="28" max="32" width="11.5703125" style="2"/>
  </cols>
  <sheetData>
    <row r="1" spans="1:33" s="93" customFormat="1" ht="75" x14ac:dyDescent="0.25">
      <c r="A1" s="6" t="s">
        <v>0</v>
      </c>
      <c r="B1" s="6" t="s">
        <v>1</v>
      </c>
      <c r="C1" s="92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2.75" x14ac:dyDescent="0.2">
      <c r="A2" s="12" t="s">
        <v>12</v>
      </c>
      <c r="B2" s="12">
        <v>1</v>
      </c>
      <c r="C2" s="3">
        <v>6</v>
      </c>
      <c r="D2" s="12">
        <v>2021</v>
      </c>
      <c r="E2" s="12">
        <f>IF(('FS Budapest'!C5-'FS Budapest'!C4)&lt;0,"0",('FS Budapest'!C5-'FS Budapest'!C4))</f>
        <v>45</v>
      </c>
      <c r="F2" s="12">
        <f>IF(('FS Budapest'!D5-'FS Budapest'!D4)&lt;0,"0",('FS Budapest'!D5-'FS Budapest'!D4))</f>
        <v>54</v>
      </c>
      <c r="G2" s="12">
        <f>IF(('FS Budapest'!E5-'FS Budapest'!Y5)&lt;0,"0",('FS Budapest'!E5-'FS Budapest'!Y5))</f>
        <v>27</v>
      </c>
      <c r="H2" s="12">
        <f>IF(('FS Budapest'!H5-'FS Budapest'!H4)&lt;0,"0",('FS Budapest'!H5-'FS Budapest'!H4))</f>
        <v>73</v>
      </c>
      <c r="I2" s="12">
        <f>IF(('FS Budapest'!I5-'FS Budapest'!I4)&lt;0,"0",('FS Budapest'!I5-'FS Budapest'!I4))</f>
        <v>22</v>
      </c>
      <c r="J2" s="12">
        <f>IF(('FS Budapest'!K5-'FS Budapest'!K4)&lt;0,"0",('FS Budapest'!K5-'FS Budapest'!K4))</f>
        <v>8</v>
      </c>
      <c r="K2" s="12">
        <f>IF(('FS Budapest'!M5-'FS Budapest'!M4)&lt;0,"0",('FS Budapest'!M5-'FS Budapest'!M4))</f>
        <v>6</v>
      </c>
      <c r="L2" s="12">
        <f>IF(('FS Budapest'!O5-'FS Budapest'!O4)&lt;0,"0",('FS Budapest'!O5-'FS Budapest'!O4))</f>
        <v>6</v>
      </c>
      <c r="M2" s="12">
        <f>IF(('FS Budapest'!Q5-'FS Budapest'!Q4)&lt;0,"0",('FS Budapest'!Q5-'FS Budapest'!Q4))</f>
        <v>9</v>
      </c>
      <c r="N2" s="12">
        <f>IF(('FS Budapest'!S5-'FS Budapest'!S4)&lt;0,"0",('FS Budapest'!S5-'FS Budapest'!S4))</f>
        <v>3</v>
      </c>
      <c r="O2" s="12">
        <f>IF(('FS Budapest'!V5-'FS Budapest'!V4)&lt;0,"0",('FS Budapest'!V5-'FS Budapest'!V4))</f>
        <v>8</v>
      </c>
      <c r="P2" s="12">
        <f>IF(('FS Budapest'!X5-'FS Budapest'!X4)&lt;0,"0",('FS Budapest'!X5-'FS Budapest'!X4))</f>
        <v>27</v>
      </c>
      <c r="Q2" s="12">
        <f>'FS Budapest'!AB5</f>
        <v>0</v>
      </c>
      <c r="R2" s="12">
        <f>'FS Budapest'!AE5</f>
        <v>4</v>
      </c>
      <c r="S2" s="12">
        <f>'FS Budapest'!AF5</f>
        <v>20</v>
      </c>
      <c r="T2" s="12">
        <f>IF(('FS Budapest'!AK5-'FS Budapest'!AK4)&lt;0,"0",('FS Budapest'!AK5-'FS Budapest'!AK4))</f>
        <v>1607</v>
      </c>
      <c r="U2" s="12">
        <f>IF(('FS Budapest'!AM5-'FS Budapest'!AM4)&lt;0,"0",('FS Budapest'!AM5-'FS Budapest'!AM4))</f>
        <v>42</v>
      </c>
      <c r="V2" s="12">
        <f>IF(('FS Budapest'!AO5-'FS Budapest'!AO4)&lt;0,"0",('FS Budapest'!AO5-'FS Budapest'!AO4))</f>
        <v>0</v>
      </c>
      <c r="W2" s="12">
        <f>IF(('FS Budapest'!AQ5-'FS Budapest'!AQ4)&lt;0,"0",('FS Budapest'!AQ5-'FS Budapest'!AQ4))</f>
        <v>570</v>
      </c>
      <c r="X2" s="12">
        <f>'FS Budapest'!AY5</f>
        <v>0</v>
      </c>
      <c r="Y2" s="12">
        <f>IF(('FS Budapest'!BA5-'FS Budapest'!BA4)&lt;0,"0",('FS Budapest'!BA5-'FS Budapest'!BA4)*4400)</f>
        <v>16719.9999999998</v>
      </c>
      <c r="Z2" s="12">
        <f>'FS Budapest'!BI5</f>
        <v>16719.9999999998</v>
      </c>
      <c r="AA2" s="12">
        <f>'FS Budapest'!BJ5</f>
        <v>14361.9999999998</v>
      </c>
      <c r="AB2" s="12">
        <f>IF(('FS Budapest'!BK5-'FS Budapest'!BK4)&lt;0,"0",('FS Budapest'!BK5-'FS Budapest'!BK4)*100)</f>
        <v>579.99999999997272</v>
      </c>
      <c r="AC2" s="12">
        <f>'FS Budapest'!BM5</f>
        <v>17299.999999999774</v>
      </c>
      <c r="AD2" s="12">
        <f>IF(('FS Budapest'!BP5-'FS Budapest'!BP4)&lt;0,"0",('FS Budapest'!BP5-'FS Budapest'!BP4))</f>
        <v>39</v>
      </c>
      <c r="AE2" s="12">
        <f>IF(('FS Budapest'!BR5-'FS Budapest'!BR4)&lt;0,"0",('FS Budapest'!BR5-'FS Budapest'!BR4))</f>
        <v>2319</v>
      </c>
      <c r="AF2" s="12">
        <f>'FS Budapest'!BU5</f>
        <v>55</v>
      </c>
      <c r="AG2" s="12">
        <f>'FS Budapest'!BV5</f>
        <v>59</v>
      </c>
    </row>
    <row r="3" spans="1:33" s="16" customFormat="1" x14ac:dyDescent="0.25">
      <c r="A3" s="12" t="s">
        <v>12</v>
      </c>
      <c r="B3" s="15">
        <f>B2+1</f>
        <v>2</v>
      </c>
      <c r="C3" s="3">
        <v>6</v>
      </c>
      <c r="D3" s="12">
        <v>2021</v>
      </c>
      <c r="E3" s="12">
        <f>IF(('FS Budapest'!C6-'FS Budapest'!C5)&lt;0,"0",('FS Budapest'!C6-'FS Budapest'!C5))</f>
        <v>45</v>
      </c>
      <c r="F3" s="12">
        <f>IF(('FS Budapest'!D6-'FS Budapest'!D5)&lt;0,"0",('FS Budapest'!D6-'FS Budapest'!D5))</f>
        <v>33</v>
      </c>
      <c r="G3" s="12">
        <f>IF(('FS Budapest'!E6-'FS Budapest'!Y6)&lt;0,"0",('FS Budapest'!E6-'FS Budapest'!Y6))</f>
        <v>5</v>
      </c>
      <c r="H3" s="12">
        <f>IF(('FS Budapest'!H6-'FS Budapest'!H5)&lt;0,"0",('FS Budapest'!H6-'FS Budapest'!H5))</f>
        <v>77</v>
      </c>
      <c r="I3" s="12">
        <f>IF(('FS Budapest'!I6-'FS Budapest'!I5)&lt;0,"0",('FS Budapest'!I6-'FS Budapest'!I5))</f>
        <v>24</v>
      </c>
      <c r="J3" s="12">
        <f>IF(('FS Budapest'!K6-'FS Budapest'!K5)&lt;0,"0",('FS Budapest'!K6-'FS Budapest'!K5))</f>
        <v>4</v>
      </c>
      <c r="K3" s="12">
        <f>IF(('FS Budapest'!M6-'FS Budapest'!M5)&lt;0,"0",('FS Budapest'!M6-'FS Budapest'!M5))</f>
        <v>5</v>
      </c>
      <c r="L3" s="12">
        <f>IF(('FS Budapest'!O6-'FS Budapest'!O5)&lt;0,"0",('FS Budapest'!O6-'FS Budapest'!O5))</f>
        <v>6</v>
      </c>
      <c r="M3" s="12">
        <f>IF(('FS Budapest'!Q6-'FS Budapest'!Q5)&lt;0,"0",('FS Budapest'!Q6-'FS Budapest'!Q5))</f>
        <v>10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7</v>
      </c>
      <c r="P3" s="12">
        <f>IF(('FS Budapest'!X6-'FS Budapest'!X5)&lt;0,"0",('FS Budapest'!X6-'FS Budapest'!X5))</f>
        <v>28</v>
      </c>
      <c r="Q3" s="12">
        <f>'FS Budapest'!AB6</f>
        <v>0</v>
      </c>
      <c r="R3" s="12">
        <f>'FS Budapest'!AE6</f>
        <v>5</v>
      </c>
      <c r="S3" s="12">
        <f>'FS Budapest'!AF6</f>
        <v>17</v>
      </c>
      <c r="T3" s="12">
        <f>IF(('FS Budapest'!AK6-'FS Budapest'!AK5)&lt;0,"0",('FS Budapest'!AK6-'FS Budapest'!AK5))</f>
        <v>1461</v>
      </c>
      <c r="U3" s="12">
        <f>IF(('FS Budapest'!AM6-'FS Budapest'!AM5)&lt;0,"0",('FS Budapest'!AM6-'FS Budapest'!AM5))</f>
        <v>51</v>
      </c>
      <c r="V3" s="12">
        <f>IF(('FS Budapest'!AO6-'FS Budapest'!AO5)&lt;0,"0",('FS Budapest'!AO6-'FS Budapest'!AO5))</f>
        <v>0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14695.99999999964</v>
      </c>
      <c r="Z3" s="12">
        <f>'FS Budapest'!BI6</f>
        <v>14695.99999999964</v>
      </c>
      <c r="AA3" s="12">
        <f>'FS Budapest'!BJ6</f>
        <v>12333.99999999964</v>
      </c>
      <c r="AB3" s="12">
        <f>IF(('FS Budapest'!BK6-'FS Budapest'!BK5)&lt;0,"0",('FS Budapest'!BK6-'FS Budapest'!BK5)*100)</f>
        <v>568.0000000000291</v>
      </c>
      <c r="AC3" s="12">
        <f>'FS Budapest'!BM6</f>
        <v>15263.999999999669</v>
      </c>
      <c r="AD3" s="12">
        <f>IF(('FS Budapest'!BP6-'FS Budapest'!BP5)&lt;0,"0",('FS Budapest'!BP6-'FS Budapest'!BP5))</f>
        <v>0</v>
      </c>
      <c r="AE3" s="12">
        <f>IF(('FS Budapest'!BR6-'FS Budapest'!BR5)&lt;0,"0",('FS Budapest'!BR6-'FS Budapest'!BR5))</f>
        <v>2362</v>
      </c>
      <c r="AF3" s="12">
        <f>'FS Budapest'!BU6</f>
        <v>63</v>
      </c>
      <c r="AG3" s="12">
        <f>'FS Budapest'!BV6</f>
        <v>65</v>
      </c>
    </row>
    <row r="4" spans="1:33" s="16" customFormat="1" x14ac:dyDescent="0.25">
      <c r="A4" s="12" t="s">
        <v>12</v>
      </c>
      <c r="B4" s="15">
        <f t="shared" ref="B4:B31" si="0">B3+1</f>
        <v>3</v>
      </c>
      <c r="C4" s="3">
        <v>6</v>
      </c>
      <c r="D4" s="12">
        <v>2021</v>
      </c>
      <c r="E4" s="12">
        <f>IF(('FS Budapest'!C7-'FS Budapest'!C6)&lt;0,"0",('FS Budapest'!C7-'FS Budapest'!C6))</f>
        <v>37</v>
      </c>
      <c r="F4" s="12">
        <f>IF(('FS Budapest'!D7-'FS Budapest'!D6)&lt;0,"0",('FS Budapest'!D7-'FS Budapest'!D6))</f>
        <v>77</v>
      </c>
      <c r="G4" s="12">
        <f>IF(('FS Budapest'!E7-'FS Budapest'!Y7)&lt;0,"0",('FS Budapest'!E7-'FS Budapest'!Y7))</f>
        <v>44</v>
      </c>
      <c r="H4" s="12">
        <f>IF(('FS Budapest'!H7-'FS Budapest'!H6)&lt;0,"0",('FS Budapest'!H7-'FS Budapest'!H6))</f>
        <v>63</v>
      </c>
      <c r="I4" s="12">
        <f>IF(('FS Budapest'!I7-'FS Budapest'!I6)&lt;0,"0",('FS Budapest'!I7-'FS Budapest'!I6))</f>
        <v>4</v>
      </c>
      <c r="J4" s="12">
        <f>IF(('FS Budapest'!K7-'FS Budapest'!K6)&lt;0,"0",('FS Budapest'!K7-'FS Budapest'!K6))</f>
        <v>4</v>
      </c>
      <c r="K4" s="12">
        <f>IF(('FS Budapest'!M7-'FS Budapest'!M6)&lt;0,"0",('FS Budapest'!M7-'FS Budapest'!M6))</f>
        <v>6</v>
      </c>
      <c r="L4" s="12">
        <f>IF(('FS Budapest'!O7-'FS Budapest'!O6)&lt;0,"0",('FS Budapest'!O7-'FS Budapest'!O6))</f>
        <v>6</v>
      </c>
      <c r="M4" s="12">
        <f>IF(('FS Budapest'!Q7-'FS Budapest'!Q6)&lt;0,"0",('FS Budapest'!Q7-'FS Budapest'!Q6))</f>
        <v>9</v>
      </c>
      <c r="N4" s="12">
        <f>IF(('FS Budapest'!S7-'FS Budapest'!S6)&lt;0,"0",('FS Budapest'!S7-'FS Budapest'!S6))</f>
        <v>1</v>
      </c>
      <c r="O4" s="12">
        <f>IF(('FS Budapest'!V7-'FS Budapest'!V6)&lt;0,"0",('FS Budapest'!V7-'FS Budapest'!V6))</f>
        <v>5</v>
      </c>
      <c r="P4" s="12">
        <f>IF(('FS Budapest'!X7-'FS Budapest'!X6)&lt;0,"0",('FS Budapest'!X7-'FS Budapest'!X6))</f>
        <v>33</v>
      </c>
      <c r="Q4" s="12">
        <f>'FS Budapest'!AB7</f>
        <v>0</v>
      </c>
      <c r="R4" s="12">
        <f>'FS Budapest'!AE7</f>
        <v>5</v>
      </c>
      <c r="S4" s="12">
        <f>'FS Budapest'!AF7</f>
        <v>15</v>
      </c>
      <c r="T4" s="12">
        <f>IF(('FS Budapest'!AK7-'FS Budapest'!AK6)&lt;0,"0",('FS Budapest'!AK7-'FS Budapest'!AK6))</f>
        <v>1247</v>
      </c>
      <c r="U4" s="12">
        <f>IF(('FS Budapest'!AM7-'FS Budapest'!AM6)&lt;0,"0",('FS Budapest'!AM7-'FS Budapest'!AM6))</f>
        <v>52</v>
      </c>
      <c r="V4" s="12">
        <f>IF(('FS Budapest'!AO7-'FS Budapest'!AO6)&lt;0,"0",('FS Budapest'!AO7-'FS Budapest'!AO6))</f>
        <v>0</v>
      </c>
      <c r="W4" s="12">
        <f>IF(('FS Budapest'!AQ7-'FS Budapest'!AQ6)&lt;0,"0",('FS Budapest'!AQ7-'FS Budapest'!AQ6))</f>
        <v>383</v>
      </c>
      <c r="X4" s="12">
        <f>'FS Budapest'!AY7</f>
        <v>0</v>
      </c>
      <c r="Y4" s="12">
        <f>IF(('FS Budapest'!BA7-'FS Budapest'!BA6)&lt;0,"0",('FS Budapest'!BA7-'FS Budapest'!BA6)*4400)</f>
        <v>15356.00000000004</v>
      </c>
      <c r="Z4" s="12">
        <f>'FS Budapest'!BI7</f>
        <v>15356.00000000004</v>
      </c>
      <c r="AA4" s="12">
        <f>'FS Budapest'!BJ7</f>
        <v>12609.00000000004</v>
      </c>
      <c r="AB4" s="12">
        <f>IF(('FS Budapest'!BK7-'FS Budapest'!BK6)&lt;0,"0",('FS Budapest'!BK7-'FS Budapest'!BK6)*100)</f>
        <v>555.99999999999454</v>
      </c>
      <c r="AC4" s="12">
        <f>'FS Budapest'!BM7</f>
        <v>15912.000000000035</v>
      </c>
      <c r="AD4" s="12">
        <f>IF(('FS Budapest'!BP7-'FS Budapest'!BP6)&lt;0,"0",('FS Budapest'!BP7-'FS Budapest'!BP6))</f>
        <v>59</v>
      </c>
      <c r="AE4" s="12">
        <f>IF(('FS Budapest'!BR7-'FS Budapest'!BR6)&lt;0,"0",('FS Budapest'!BR7-'FS Budapest'!BR6))</f>
        <v>2688</v>
      </c>
      <c r="AF4" s="12">
        <f>'FS Budapest'!BU7</f>
        <v>62</v>
      </c>
      <c r="AG4" s="12">
        <f>'FS Budapest'!BV7</f>
        <v>63</v>
      </c>
    </row>
    <row r="5" spans="1:33" s="16" customFormat="1" x14ac:dyDescent="0.25">
      <c r="A5" s="12" t="s">
        <v>12</v>
      </c>
      <c r="B5" s="15">
        <f t="shared" si="0"/>
        <v>4</v>
      </c>
      <c r="C5" s="3">
        <v>6</v>
      </c>
      <c r="D5" s="12">
        <v>2021</v>
      </c>
      <c r="E5" s="12">
        <f>IF(('FS Budapest'!C8-'FS Budapest'!C7)&lt;0,"0",('FS Budapest'!C8-'FS Budapest'!C7))</f>
        <v>35</v>
      </c>
      <c r="F5" s="12">
        <f>IF(('FS Budapest'!D8-'FS Budapest'!D7)&lt;0,"0",('FS Budapest'!D8-'FS Budapest'!D7))</f>
        <v>64</v>
      </c>
      <c r="G5" s="12">
        <f>IF(('FS Budapest'!E8-'FS Budapest'!Y8)&lt;0,"0",('FS Budapest'!E8-'FS Budapest'!Y8))</f>
        <v>27</v>
      </c>
      <c r="H5" s="12">
        <f>IF(('FS Budapest'!H8-'FS Budapest'!H7)&lt;0,"0",('FS Budapest'!H8-'FS Budapest'!H7))</f>
        <v>63</v>
      </c>
      <c r="I5" s="12" t="str">
        <f>IF(('FS Budapest'!I8-'FS Budapest'!I7)&lt;0,"0",('FS Budapest'!I8-'FS Budapest'!I7))</f>
        <v>0</v>
      </c>
      <c r="J5" s="12">
        <f>IF(('FS Budapest'!K8-'FS Budapest'!K7)&lt;0,"0",('FS Budapest'!K8-'FS Budapest'!K7))</f>
        <v>0</v>
      </c>
      <c r="K5" s="12">
        <f>IF(('FS Budapest'!M8-'FS Budapest'!M7)&lt;0,"0",('FS Budapest'!M8-'FS Budapest'!M7))</f>
        <v>5</v>
      </c>
      <c r="L5" s="12">
        <f>IF(('FS Budapest'!O8-'FS Budapest'!O7)&lt;0,"0",('FS Budapest'!O8-'FS Budapest'!O7))</f>
        <v>6</v>
      </c>
      <c r="M5" s="12">
        <f>IF(('FS Budapest'!Q8-'FS Budapest'!Q7)&lt;0,"0",('FS Budapest'!Q8-'FS Budapest'!Q7))</f>
        <v>0</v>
      </c>
      <c r="N5" s="12">
        <f>IF(('FS Budapest'!S8-'FS Budapest'!S7)&lt;0,"0",('FS Budapest'!S8-'FS Budapest'!S7))</f>
        <v>1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37</v>
      </c>
      <c r="Q5" s="12">
        <f>'FS Budapest'!AB8</f>
        <v>0</v>
      </c>
      <c r="R5" s="12">
        <f>'FS Budapest'!AE8</f>
        <v>4</v>
      </c>
      <c r="S5" s="12">
        <f>'FS Budapest'!AF8</f>
        <v>1</v>
      </c>
      <c r="T5" s="12" t="str">
        <f>IF(('FS Budapest'!AK8-'FS Budapest'!AK7)&lt;0,"0",('FS Budapest'!AK8-'FS Budapest'!AK7))</f>
        <v>0</v>
      </c>
      <c r="U5" s="12" t="str">
        <f>IF(('FS Budapest'!AM8-'FS Budapest'!AM7)&lt;0,"0",('FS Budapest'!AM8-'FS Budapest'!AM7))</f>
        <v>0</v>
      </c>
      <c r="V5" s="12">
        <f>IF(('FS Budapest'!AO8-'FS Budapest'!AO7)&lt;0,"0",('FS Budapest'!AO8-'FS Budapest'!AO7))</f>
        <v>0</v>
      </c>
      <c r="W5" s="12">
        <f>IF(('FS Budapest'!AQ8-'FS Budapest'!AQ7)&lt;0,"0",('FS Budapest'!AQ8-'FS Budapest'!AQ7))</f>
        <v>44</v>
      </c>
      <c r="X5" s="12">
        <f>'FS Budapest'!AY8</f>
        <v>0</v>
      </c>
      <c r="Y5" s="12">
        <f>IF(('FS Budapest'!BA8-'FS Budapest'!BA7)&lt;0,"0",('FS Budapest'!BA8-'FS Budapest'!BA7)*4400)</f>
        <v>16543.99999999996</v>
      </c>
      <c r="Z5" s="12">
        <f>'FS Budapest'!BI8</f>
        <v>16543.99999999996</v>
      </c>
      <c r="AA5" s="12">
        <f>'FS Budapest'!BJ8</f>
        <v>13438.99999999996</v>
      </c>
      <c r="AB5" s="12">
        <f>IF(('FS Budapest'!BK8-'FS Budapest'!BK7)&lt;0,"0",('FS Budapest'!BK8-'FS Budapest'!BK7)*100)</f>
        <v>544.99999999998181</v>
      </c>
      <c r="AC5" s="12">
        <f>'FS Budapest'!BM8</f>
        <v>17088.999999999942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3085</v>
      </c>
      <c r="AF5" s="12">
        <f>'FS Budapest'!BU8</f>
        <v>69</v>
      </c>
      <c r="AG5" s="12">
        <f>'FS Budapest'!BV8</f>
        <v>81</v>
      </c>
    </row>
    <row r="6" spans="1:33" s="16" customFormat="1" x14ac:dyDescent="0.25">
      <c r="A6" s="12" t="s">
        <v>12</v>
      </c>
      <c r="B6" s="15">
        <f t="shared" si="0"/>
        <v>5</v>
      </c>
      <c r="C6" s="3">
        <v>6</v>
      </c>
      <c r="D6" s="12">
        <v>2021</v>
      </c>
      <c r="E6" s="12">
        <f>IF(('FS Budapest'!C9-'FS Budapest'!C8)&lt;0,"0",('FS Budapest'!C9-'FS Budapest'!C8))</f>
        <v>35</v>
      </c>
      <c r="F6" s="12">
        <f>IF(('FS Budapest'!D9-'FS Budapest'!D8)&lt;0,"0",('FS Budapest'!D9-'FS Budapest'!D8))</f>
        <v>66</v>
      </c>
      <c r="G6" s="12">
        <f>IF(('FS Budapest'!E9-'FS Budapest'!Y9)&lt;0,"0",('FS Budapest'!E9-'FS Budapest'!Y9))</f>
        <v>28</v>
      </c>
      <c r="H6" s="12">
        <f>IF(('FS Budapest'!H9-'FS Budapest'!H8)&lt;0,"0",('FS Budapest'!H9-'FS Budapest'!H8))</f>
        <v>62</v>
      </c>
      <c r="I6" s="12">
        <f>IF(('FS Budapest'!I9-'FS Budapest'!I8)&lt;0,"0",('FS Budapest'!I9-'FS Budapest'!I8))</f>
        <v>7</v>
      </c>
      <c r="J6" s="12">
        <f>IF(('FS Budapest'!K9-'FS Budapest'!K8)&lt;0,"0",('FS Budapest'!K9-'FS Budapest'!K8))</f>
        <v>5</v>
      </c>
      <c r="K6" s="12">
        <f>IF(('FS Budapest'!M9-'FS Budapest'!M8)&lt;0,"0",('FS Budapest'!M9-'FS Budapest'!M8))</f>
        <v>6</v>
      </c>
      <c r="L6" s="12">
        <f>IF(('FS Budapest'!O9-'FS Budapest'!O8)&lt;0,"0",('FS Budapest'!O9-'FS Budapest'!O8))</f>
        <v>6</v>
      </c>
      <c r="M6" s="12">
        <f>IF(('FS Budapest'!Q9-'FS Budapest'!Q8)&lt;0,"0",('FS Budapest'!Q9-'FS Budapest'!Q8))</f>
        <v>0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38</v>
      </c>
      <c r="Q6" s="12">
        <f>'FS Budapest'!AB9</f>
        <v>0</v>
      </c>
      <c r="R6" s="12">
        <f>'FS Budapest'!AE9</f>
        <v>3</v>
      </c>
      <c r="S6" s="12">
        <f>'FS Budapest'!AF9</f>
        <v>0</v>
      </c>
      <c r="T6" s="12">
        <f>IF(('FS Budapest'!AK9-'FS Budapest'!AK8)&lt;0,"0",('FS Budapest'!AK9-'FS Budapest'!AK8))</f>
        <v>698</v>
      </c>
      <c r="U6" s="12">
        <f>IF(('FS Budapest'!AM9-'FS Budapest'!AM8)&lt;0,"0",('FS Budapest'!AM9-'FS Budapest'!AM8))</f>
        <v>46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16192.00000000028</v>
      </c>
      <c r="Z6" s="12">
        <f>'FS Budapest'!BI9</f>
        <v>16192.00000000028</v>
      </c>
      <c r="AA6" s="12">
        <f>'FS Budapest'!BJ9</f>
        <v>13045.00000000028</v>
      </c>
      <c r="AB6" s="12">
        <f>IF(('FS Budapest'!BK9-'FS Budapest'!BK8)&lt;0,"0",('FS Budapest'!BK9-'FS Budapest'!BK8)*100)</f>
        <v>457.99999999999272</v>
      </c>
      <c r="AC6" s="12">
        <f>'FS Budapest'!BM9</f>
        <v>16650.000000000273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3127</v>
      </c>
      <c r="AF6" s="12">
        <f>'FS Budapest'!BU9</f>
        <v>77</v>
      </c>
      <c r="AG6" s="12">
        <f>'FS Budapest'!BV9</f>
        <v>91</v>
      </c>
    </row>
    <row r="7" spans="1:33" s="16" customFormat="1" x14ac:dyDescent="0.25">
      <c r="A7" s="12" t="s">
        <v>12</v>
      </c>
      <c r="B7" s="15">
        <f t="shared" si="0"/>
        <v>6</v>
      </c>
      <c r="C7" s="3">
        <v>6</v>
      </c>
      <c r="D7" s="12">
        <v>2021</v>
      </c>
      <c r="E7" s="12">
        <f>IF(('FS Budapest'!C10-'FS Budapest'!C9)&lt;0,"0",('FS Budapest'!C10-'FS Budapest'!C9))</f>
        <v>34</v>
      </c>
      <c r="F7" s="12">
        <f>IF(('FS Budapest'!D10-'FS Budapest'!D9)&lt;0,"0",('FS Budapest'!D10-'FS Budapest'!D9))</f>
        <v>70</v>
      </c>
      <c r="G7" s="12">
        <f>IF(('FS Budapest'!E10-'FS Budapest'!Y10)&lt;0,"0",('FS Budapest'!E10-'FS Budapest'!Y10))</f>
        <v>33</v>
      </c>
      <c r="H7" s="12">
        <f>IF(('FS Budapest'!H10-'FS Budapest'!H9)&lt;0,"0",('FS Budapest'!H10-'FS Budapest'!H9))</f>
        <v>62</v>
      </c>
      <c r="I7" s="12">
        <f>IF(('FS Budapest'!I10-'FS Budapest'!I9)&lt;0,"0",('FS Budapest'!I10-'FS Budapest'!I9))</f>
        <v>3</v>
      </c>
      <c r="J7" s="12">
        <f>IF(('FS Budapest'!K10-'FS Budapest'!K9)&lt;0,"0",('FS Budapest'!K10-'FS Budapest'!K9))</f>
        <v>4</v>
      </c>
      <c r="K7" s="12">
        <f>IF(('FS Budapest'!M10-'FS Budapest'!M9)&lt;0,"0",('FS Budapest'!M10-'FS Budapest'!M9))</f>
        <v>6</v>
      </c>
      <c r="L7" s="12">
        <f>IF(('FS Budapest'!O10-'FS Budapest'!O9)&lt;0,"0",('FS Budapest'!O10-'FS Budapest'!O9))</f>
        <v>10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37</v>
      </c>
      <c r="Q7" s="12">
        <f>'FS Budapest'!AB10</f>
        <v>0</v>
      </c>
      <c r="R7" s="12">
        <f>'FS Budapest'!AE10</f>
        <v>2</v>
      </c>
      <c r="S7" s="12">
        <f>'FS Budapest'!AF10</f>
        <v>0</v>
      </c>
      <c r="T7" s="12">
        <f>IF(('FS Budapest'!AK10-'FS Budapest'!AK9)&lt;0,"0",('FS Budapest'!AK10-'FS Budapest'!AK9))</f>
        <v>672</v>
      </c>
      <c r="U7" s="12">
        <f>IF(('FS Budapest'!AM10-'FS Budapest'!AM9)&lt;0,"0",('FS Budapest'!AM10-'FS Budapest'!AM9))</f>
        <v>38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16500</v>
      </c>
      <c r="Z7" s="12">
        <f>'FS Budapest'!BI10</f>
        <v>16500</v>
      </c>
      <c r="AA7" s="12">
        <f>'FS Budapest'!BJ10</f>
        <v>13249</v>
      </c>
      <c r="AB7" s="12">
        <f>IF(('FS Budapest'!BK10-'FS Budapest'!BK9)&lt;0,"0",('FS Budapest'!BK10-'FS Budapest'!BK9)*100)</f>
        <v>435.00000000003638</v>
      </c>
      <c r="AC7" s="12">
        <f>'FS Budapest'!BM10</f>
        <v>16935.000000000036</v>
      </c>
      <c r="AD7" s="12">
        <f>IF(('FS Budapest'!BP10-'FS Budapest'!BP9)&lt;0,"0",('FS Budapest'!BP10-'FS Budapest'!BP9))</f>
        <v>19</v>
      </c>
      <c r="AE7" s="12">
        <f>IF(('FS Budapest'!BR10-'FS Budapest'!BR9)&lt;0,"0",('FS Budapest'!BR10-'FS Budapest'!BR9))</f>
        <v>3232</v>
      </c>
      <c r="AF7" s="12">
        <f>'FS Budapest'!BU10</f>
        <v>71</v>
      </c>
      <c r="AG7" s="12">
        <f>'FS Budapest'!BV10</f>
        <v>80</v>
      </c>
    </row>
    <row r="8" spans="1:33" s="16" customFormat="1" x14ac:dyDescent="0.25">
      <c r="A8" s="12" t="s">
        <v>12</v>
      </c>
      <c r="B8" s="15">
        <f t="shared" si="0"/>
        <v>7</v>
      </c>
      <c r="C8" s="3">
        <v>6</v>
      </c>
      <c r="D8" s="12">
        <v>2021</v>
      </c>
      <c r="E8" s="12">
        <f>IF(('FS Budapest'!C11-'FS Budapest'!C10)&lt;0,"0",('FS Budapest'!C11-'FS Budapest'!C10))</f>
        <v>38</v>
      </c>
      <c r="F8" s="12">
        <f>IF(('FS Budapest'!D11-'FS Budapest'!D10)&lt;0,"0",('FS Budapest'!D11-'FS Budapest'!D10))</f>
        <v>75</v>
      </c>
      <c r="G8" s="12">
        <f>IF(('FS Budapest'!E11-'FS Budapest'!Y11)&lt;0,"0",('FS Budapest'!E11-'FS Budapest'!Y11))</f>
        <v>33</v>
      </c>
      <c r="H8" s="12">
        <f>IF(('FS Budapest'!H11-'FS Budapest'!H10)&lt;0,"0",('FS Budapest'!H11-'FS Budapest'!H10))</f>
        <v>68</v>
      </c>
      <c r="I8" s="12">
        <f>IF(('FS Budapest'!I11-'FS Budapest'!I10)&lt;0,"0",('FS Budapest'!I11-'FS Budapest'!I10))</f>
        <v>3</v>
      </c>
      <c r="J8" s="12">
        <f>IF(('FS Budapest'!K11-'FS Budapest'!K10)&lt;0,"0",('FS Budapest'!K11-'FS Budapest'!K10))</f>
        <v>4</v>
      </c>
      <c r="K8" s="12">
        <f>IF(('FS Budapest'!M11-'FS Budapest'!M10)&lt;0,"0",('FS Budapest'!M11-'FS Budapest'!M10))</f>
        <v>6</v>
      </c>
      <c r="L8" s="12">
        <f>IF(('FS Budapest'!O11-'FS Budapest'!O10)&lt;0,"0",('FS Budapest'!O11-'FS Budapest'!O10))</f>
        <v>8</v>
      </c>
      <c r="M8" s="12">
        <f>IF(('FS Budapest'!Q11-'FS Budapest'!Q10)&lt;0,"0",('FS Budapest'!Q11-'FS Budapest'!Q10))</f>
        <v>11</v>
      </c>
      <c r="N8" s="12">
        <f>IF(('FS Budapest'!S11-'FS Budapest'!S10)&lt;0,"0",('FS Budapest'!S11-'FS Budapest'!S10))</f>
        <v>0</v>
      </c>
      <c r="O8" s="12">
        <f>IF(('FS Budapest'!V11-'FS Budapest'!V10)&lt;0,"0",('FS Budapest'!V11-'FS Budapest'!V10))</f>
        <v>1</v>
      </c>
      <c r="P8" s="12">
        <f>IF(('FS Budapest'!X11-'FS Budapest'!X10)&lt;0,"0",('FS Budapest'!X11-'FS Budapest'!X10))</f>
        <v>42</v>
      </c>
      <c r="Q8" s="12">
        <f>'FS Budapest'!AB11</f>
        <v>0</v>
      </c>
      <c r="R8" s="12">
        <f>'FS Budapest'!AE11</f>
        <v>4</v>
      </c>
      <c r="S8" s="12">
        <f>'FS Budapest'!AF11</f>
        <v>12</v>
      </c>
      <c r="T8" s="12">
        <f>IF(('FS Budapest'!AK11-'FS Budapest'!AK10)&lt;0,"0",('FS Budapest'!AK11-'FS Budapest'!AK10))</f>
        <v>893</v>
      </c>
      <c r="U8" s="12">
        <f>IF(('FS Budapest'!AM11-'FS Budapest'!AM10)&lt;0,"0",('FS Budapest'!AM11-'FS Budapest'!AM10))</f>
        <v>43</v>
      </c>
      <c r="V8" s="12">
        <f>IF(('FS Budapest'!AO11-'FS Budapest'!AO10)&lt;0,"0",('FS Budapest'!AO11-'FS Budapest'!AO10))</f>
        <v>0</v>
      </c>
      <c r="W8" s="12">
        <f>IF(('FS Budapest'!AQ11-'FS Budapest'!AQ10)&lt;0,"0",('FS Budapest'!AQ11-'FS Budapest'!AQ10))</f>
        <v>127</v>
      </c>
      <c r="X8" s="12">
        <f>'FS Budapest'!AY11</f>
        <v>0</v>
      </c>
      <c r="Y8" s="12">
        <f>IF(('FS Budapest'!BA11-'FS Budapest'!BA10)&lt;0,"0",('FS Budapest'!BA11-'FS Budapest'!BA10)*4400)</f>
        <v>16631.99999999988</v>
      </c>
      <c r="Z8" s="12">
        <f>'FS Budapest'!BI11</f>
        <v>16631.99999999988</v>
      </c>
      <c r="AA8" s="12">
        <f>'FS Budapest'!BJ11</f>
        <v>13665.99999999988</v>
      </c>
      <c r="AB8" s="12">
        <f>IF(('FS Budapest'!BK11-'FS Budapest'!BK10)&lt;0,"0",('FS Budapest'!BK11-'FS Budapest'!BK10)*100)</f>
        <v>563.99999999998727</v>
      </c>
      <c r="AC8" s="12">
        <f>'FS Budapest'!BM11</f>
        <v>17195.999999999869</v>
      </c>
      <c r="AD8" s="12">
        <f>IF(('FS Budapest'!BP11-'FS Budapest'!BP10)&lt;0,"0",('FS Budapest'!BP11-'FS Budapest'!BP10))</f>
        <v>19</v>
      </c>
      <c r="AE8" s="12">
        <f>IF(('FS Budapest'!BR11-'FS Budapest'!BR10)&lt;0,"0",('FS Budapest'!BR11-'FS Budapest'!BR10))</f>
        <v>2947</v>
      </c>
      <c r="AF8" s="12">
        <f>'FS Budapest'!BU11</f>
        <v>71</v>
      </c>
      <c r="AG8" s="12">
        <f>'FS Budapest'!BV11</f>
        <v>77</v>
      </c>
    </row>
    <row r="9" spans="1:33" s="16" customFormat="1" x14ac:dyDescent="0.25">
      <c r="A9" s="12" t="s">
        <v>12</v>
      </c>
      <c r="B9" s="15">
        <f t="shared" si="0"/>
        <v>8</v>
      </c>
      <c r="C9" s="3">
        <v>6</v>
      </c>
      <c r="D9" s="12">
        <v>2021</v>
      </c>
      <c r="E9" s="12">
        <f>IF(('FS Budapest'!C12-'FS Budapest'!C11)&lt;0,"0",('FS Budapest'!C12-'FS Budapest'!C11))</f>
        <v>55</v>
      </c>
      <c r="F9" s="12">
        <f>IF(('FS Budapest'!D12-'FS Budapest'!D11)&lt;0,"0",('FS Budapest'!D12-'FS Budapest'!D11))</f>
        <v>82</v>
      </c>
      <c r="G9" s="12">
        <f>IF(('FS Budapest'!E12-'FS Budapest'!Y12)&lt;0,"0",('FS Budapest'!E12-'FS Budapest'!Y12))</f>
        <v>31</v>
      </c>
      <c r="H9" s="12">
        <f>IF(('FS Budapest'!H12-'FS Budapest'!H11)&lt;0,"0",('FS Budapest'!H12-'FS Budapest'!H11))</f>
        <v>96</v>
      </c>
      <c r="I9" s="12">
        <f>IF(('FS Budapest'!I12-'FS Budapest'!I11)&lt;0,"0",('FS Budapest'!I12-'FS Budapest'!I11))</f>
        <v>26</v>
      </c>
      <c r="J9" s="12">
        <f>IF(('FS Budapest'!K12-'FS Budapest'!K11)&lt;0,"0",('FS Budapest'!K12-'FS Budapest'!K11))</f>
        <v>4</v>
      </c>
      <c r="K9" s="12">
        <f>IF(('FS Budapest'!M12-'FS Budapest'!M11)&lt;0,"0",('FS Budapest'!M12-'FS Budapest'!M11))</f>
        <v>6</v>
      </c>
      <c r="L9" s="12">
        <f>IF(('FS Budapest'!O12-'FS Budapest'!O11)&lt;0,"0",('FS Budapest'!O12-'FS Budapest'!O11))</f>
        <v>7</v>
      </c>
      <c r="M9" s="12">
        <f>IF(('FS Budapest'!Q12-'FS Budapest'!Q11)&lt;0,"0",('FS Budapest'!Q12-'FS Budapest'!Q11))</f>
        <v>13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8</v>
      </c>
      <c r="P9" s="12">
        <f>IF(('FS Budapest'!X12-'FS Budapest'!X11)&lt;0,"0",('FS Budapest'!X12-'FS Budapest'!X11))</f>
        <v>51</v>
      </c>
      <c r="Q9" s="12">
        <f>'FS Budapest'!AB12</f>
        <v>0</v>
      </c>
      <c r="R9" s="12">
        <f>'FS Budapest'!AE12</f>
        <v>5</v>
      </c>
      <c r="S9" s="12">
        <f>'FS Budapest'!AF12</f>
        <v>21</v>
      </c>
      <c r="T9" s="12">
        <f>IF(('FS Budapest'!AK12-'FS Budapest'!AK11)&lt;0,"0",('FS Budapest'!AK12-'FS Budapest'!AK11))</f>
        <v>1169</v>
      </c>
      <c r="U9" s="12">
        <f>IF(('FS Budapest'!AM12-'FS Budapest'!AM11)&lt;0,"0",('FS Budapest'!AM12-'FS Budapest'!AM11))</f>
        <v>34</v>
      </c>
      <c r="V9" s="12">
        <f>IF(('FS Budapest'!AO12-'FS Budapest'!AO11)&lt;0,"0",('FS Budapest'!AO12-'FS Budapest'!AO11))</f>
        <v>0</v>
      </c>
      <c r="W9" s="12">
        <f>IF(('FS Budapest'!AQ12-'FS Budapest'!AQ11)&lt;0,"0",('FS Budapest'!AQ12-'FS Budapest'!AQ11))</f>
        <v>577</v>
      </c>
      <c r="X9" s="12">
        <f>'FS Budapest'!AY12</f>
        <v>0</v>
      </c>
      <c r="Y9" s="12">
        <f>IF(('FS Budapest'!BA12-'FS Budapest'!BA11)&lt;0,"0",('FS Budapest'!BA12-'FS Budapest'!BA11)*4400)</f>
        <v>15883.99999999956</v>
      </c>
      <c r="Z9" s="12">
        <f>'FS Budapest'!BI12</f>
        <v>15883.99999999956</v>
      </c>
      <c r="AA9" s="12">
        <f>'FS Budapest'!BJ12</f>
        <v>12726.99999999956</v>
      </c>
      <c r="AB9" s="12">
        <f>IF(('FS Budapest'!BK12-'FS Budapest'!BK11)&lt;0,"0",('FS Budapest'!BK12-'FS Budapest'!BK11)*100)</f>
        <v>577.99999999997453</v>
      </c>
      <c r="AC9" s="12">
        <f>'FS Budapest'!BM12</f>
        <v>16461.999999999534</v>
      </c>
      <c r="AD9" s="12">
        <f>IF(('FS Budapest'!BP12-'FS Budapest'!BP11)&lt;0,"0",('FS Budapest'!BP12-'FS Budapest'!BP11))</f>
        <v>175</v>
      </c>
      <c r="AE9" s="12">
        <f>IF(('FS Budapest'!BR12-'FS Budapest'!BR11)&lt;0,"0",('FS Budapest'!BR12-'FS Budapest'!BR11))</f>
        <v>2982</v>
      </c>
      <c r="AF9" s="12">
        <f>'FS Budapest'!BU12</f>
        <v>73</v>
      </c>
      <c r="AG9" s="12">
        <f>'FS Budapest'!BV12</f>
        <v>83</v>
      </c>
    </row>
    <row r="10" spans="1:33" s="16" customFormat="1" x14ac:dyDescent="0.25">
      <c r="A10" s="12" t="s">
        <v>12</v>
      </c>
      <c r="B10" s="15">
        <f t="shared" si="0"/>
        <v>9</v>
      </c>
      <c r="C10" s="3">
        <v>6</v>
      </c>
      <c r="D10" s="12">
        <v>2021</v>
      </c>
      <c r="E10" s="12">
        <f>IF(('FS Budapest'!C13-'FS Budapest'!C12)&lt;0,"0",('FS Budapest'!C13-'FS Budapest'!C12))</f>
        <v>52</v>
      </c>
      <c r="F10" s="12">
        <f>IF(('FS Budapest'!D13-'FS Budapest'!D12)&lt;0,"0",('FS Budapest'!D13-'FS Budapest'!D12))</f>
        <v>87</v>
      </c>
      <c r="G10" s="12">
        <f>IF(('FS Budapest'!E13-'FS Budapest'!Y13)&lt;0,"0",('FS Budapest'!E13-'FS Budapest'!Y13))</f>
        <v>35</v>
      </c>
      <c r="H10" s="12">
        <f>IF(('FS Budapest'!H13-'FS Budapest'!H12)&lt;0,"0",('FS Budapest'!H13-'FS Budapest'!H12))</f>
        <v>91</v>
      </c>
      <c r="I10" s="12">
        <f>IF(('FS Budapest'!I13-'FS Budapest'!I12)&lt;0,"0",('FS Budapest'!I13-'FS Budapest'!I12))</f>
        <v>15</v>
      </c>
      <c r="J10" s="12">
        <f>IF(('FS Budapest'!K13-'FS Budapest'!K12)&lt;0,"0",('FS Budapest'!K13-'FS Budapest'!K12))</f>
        <v>4</v>
      </c>
      <c r="K10" s="12">
        <f>IF(('FS Budapest'!M13-'FS Budapest'!M12)&lt;0,"0",('FS Budapest'!M13-'FS Budapest'!M12))</f>
        <v>6</v>
      </c>
      <c r="L10" s="12">
        <f>IF(('FS Budapest'!O13-'FS Budapest'!O12)&lt;0,"0",('FS Budapest'!O13-'FS Budapest'!O12))</f>
        <v>7</v>
      </c>
      <c r="M10" s="12">
        <f>IF(('FS Budapest'!Q13-'FS Budapest'!Q12)&lt;0,"0",('FS Budapest'!Q13-'FS Budapest'!Q12))</f>
        <v>0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8</v>
      </c>
      <c r="P10" s="12">
        <f>IF(('FS Budapest'!X13-'FS Budapest'!X12)&lt;0,"0",('FS Budapest'!X13-'FS Budapest'!X12))</f>
        <v>52</v>
      </c>
      <c r="Q10" s="12">
        <f>'FS Budapest'!AB13</f>
        <v>0</v>
      </c>
      <c r="R10" s="12">
        <f>'FS Budapest'!AE13</f>
        <v>4</v>
      </c>
      <c r="S10" s="12">
        <f>'FS Budapest'!AF13</f>
        <v>8</v>
      </c>
      <c r="T10" s="12">
        <f>IF(('FS Budapest'!AK13-'FS Budapest'!AK12)&lt;0,"0",('FS Budapest'!AK13-'FS Budapest'!AK12))</f>
        <v>1154</v>
      </c>
      <c r="U10" s="12">
        <f>IF(('FS Budapest'!AM13-'FS Budapest'!AM12)&lt;0,"0",('FS Budapest'!AM13-'FS Budapest'!AM12))</f>
        <v>41</v>
      </c>
      <c r="V10" s="12">
        <f>IF(('FS Budapest'!AO13-'FS Budapest'!AO12)&lt;0,"0",('FS Budapest'!AO13-'FS Budapest'!AO12))</f>
        <v>0</v>
      </c>
      <c r="W10" s="12">
        <f>IF(('FS Budapest'!AQ13-'FS Budapest'!AQ12)&lt;0,"0",('FS Budapest'!AQ13-'FS Budapest'!AQ12))</f>
        <v>575</v>
      </c>
      <c r="X10" s="12">
        <f>'FS Budapest'!AY13</f>
        <v>0</v>
      </c>
      <c r="Y10" s="12">
        <f>IF(('FS Budapest'!BA13-'FS Budapest'!BA12)&lt;0,"0",('FS Budapest'!BA13-'FS Budapest'!BA12)*4400)</f>
        <v>16720.0000000008</v>
      </c>
      <c r="Z10" s="12">
        <f>'FS Budapest'!BI13</f>
        <v>16720.0000000008</v>
      </c>
      <c r="AA10" s="12">
        <f>'FS Budapest'!BJ13</f>
        <v>13382.0000000008</v>
      </c>
      <c r="AB10" s="12">
        <f>IF(('FS Budapest'!BK13-'FS Budapest'!BK12)&lt;0,"0",('FS Budapest'!BK13-'FS Budapest'!BK12)*100)</f>
        <v>517.00000000000728</v>
      </c>
      <c r="AC10" s="12">
        <f>'FS Budapest'!BM13</f>
        <v>17237.000000000808</v>
      </c>
      <c r="AD10" s="12">
        <f>IF(('FS Budapest'!BP13-'FS Budapest'!BP12)&lt;0,"0",('FS Budapest'!BP13-'FS Budapest'!BP12))</f>
        <v>24</v>
      </c>
      <c r="AE10" s="12">
        <f>IF(('FS Budapest'!BR13-'FS Budapest'!BR12)&lt;0,"0",('FS Budapest'!BR13-'FS Budapest'!BR12))</f>
        <v>3314</v>
      </c>
      <c r="AF10" s="12">
        <f>'FS Budapest'!BU13</f>
        <v>74</v>
      </c>
      <c r="AG10" s="12">
        <f>'FS Budapest'!BV13</f>
        <v>83</v>
      </c>
    </row>
    <row r="11" spans="1:33" s="16" customFormat="1" x14ac:dyDescent="0.25">
      <c r="A11" s="12" t="s">
        <v>12</v>
      </c>
      <c r="B11" s="15">
        <f t="shared" si="0"/>
        <v>10</v>
      </c>
      <c r="C11" s="3">
        <v>6</v>
      </c>
      <c r="D11" s="12">
        <v>2021</v>
      </c>
      <c r="E11" s="12">
        <f>IF(('FS Budapest'!C14-'FS Budapest'!C13)&lt;0,"0",('FS Budapest'!C14-'FS Budapest'!C13))</f>
        <v>37</v>
      </c>
      <c r="F11" s="12">
        <f>IF(('FS Budapest'!D14-'FS Budapest'!D13)&lt;0,"0",('FS Budapest'!D14-'FS Budapest'!D13))</f>
        <v>75</v>
      </c>
      <c r="G11" s="12">
        <f>IF(('FS Budapest'!E14-'FS Budapest'!Y14)&lt;0,"0",('FS Budapest'!E14-'FS Budapest'!Y14))</f>
        <v>30</v>
      </c>
      <c r="H11" s="12">
        <f>IF(('FS Budapest'!H14-'FS Budapest'!H13)&lt;0,"0",('FS Budapest'!H14-'FS Budapest'!H13))</f>
        <v>66</v>
      </c>
      <c r="I11" s="12">
        <f>IF(('FS Budapest'!I14-'FS Budapest'!I13)&lt;0,"0",('FS Budapest'!I14-'FS Budapest'!I13))</f>
        <v>4</v>
      </c>
      <c r="J11" s="12">
        <f>IF(('FS Budapest'!K14-'FS Budapest'!K13)&lt;0,"0",('FS Budapest'!K14-'FS Budapest'!K13))</f>
        <v>4</v>
      </c>
      <c r="K11" s="12">
        <f>IF(('FS Budapest'!M14-'FS Budapest'!M13)&lt;0,"0",('FS Budapest'!M14-'FS Budapest'!M13))</f>
        <v>6</v>
      </c>
      <c r="L11" s="12">
        <f>IF(('FS Budapest'!O14-'FS Budapest'!O13)&lt;0,"0",('FS Budapest'!O14-'FS Budapest'!O13))</f>
        <v>8</v>
      </c>
      <c r="M11" s="12">
        <f>IF(('FS Budapest'!Q14-'FS Budapest'!Q13)&lt;0,"0",('FS Budapest'!Q14-'FS Budapest'!Q13))</f>
        <v>0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45</v>
      </c>
      <c r="Q11" s="12">
        <f>'FS Budapest'!AB14</f>
        <v>0</v>
      </c>
      <c r="R11" s="12">
        <f>'FS Budapest'!AE14</f>
        <v>3</v>
      </c>
      <c r="S11" s="12">
        <f>'FS Budapest'!AF14</f>
        <v>0</v>
      </c>
      <c r="T11" s="12">
        <f>IF(('FS Budapest'!AK14-'FS Budapest'!AK13)&lt;0,"0",('FS Budapest'!AK14-'FS Budapest'!AK13))</f>
        <v>798</v>
      </c>
      <c r="U11" s="12">
        <f>IF(('FS Budapest'!AM14-'FS Budapest'!AM13)&lt;0,"0",('FS Budapest'!AM14-'FS Budapest'!AM13))</f>
        <v>59</v>
      </c>
      <c r="V11" s="12">
        <f>IF(('FS Budapest'!AO14-'FS Budapest'!AO13)&lt;0,"0",('FS Budapest'!AO14-'FS Budapest'!AO13))</f>
        <v>0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17379.9999999992</v>
      </c>
      <c r="Z11" s="12">
        <f>'FS Budapest'!BI14</f>
        <v>17379.9999999992</v>
      </c>
      <c r="AA11" s="12">
        <f>'FS Budapest'!BJ14</f>
        <v>14188.9999999992</v>
      </c>
      <c r="AB11" s="12">
        <f>IF(('FS Budapest'!BK14-'FS Budapest'!BK13)&lt;0,"0",('FS Budapest'!BK14-'FS Budapest'!BK13)*100)</f>
        <v>505.99999999999454</v>
      </c>
      <c r="AC11" s="12">
        <f>'FS Budapest'!BM14</f>
        <v>17885.999999999192</v>
      </c>
      <c r="AD11" s="12">
        <f>IF(('FS Budapest'!BP14-'FS Budapest'!BP13)&lt;0,"0",('FS Budapest'!BP14-'FS Budapest'!BP13))</f>
        <v>15</v>
      </c>
      <c r="AE11" s="12">
        <f>IF(('FS Budapest'!BR14-'FS Budapest'!BR13)&lt;0,"0",('FS Budapest'!BR14-'FS Budapest'!BR13))</f>
        <v>3176</v>
      </c>
      <c r="AF11" s="12">
        <f>'FS Budapest'!BU14</f>
        <v>65</v>
      </c>
      <c r="AG11" s="12">
        <f>'FS Budapest'!BV14</f>
        <v>76</v>
      </c>
    </row>
    <row r="12" spans="1:33" s="16" customFormat="1" x14ac:dyDescent="0.25">
      <c r="A12" s="12" t="s">
        <v>12</v>
      </c>
      <c r="B12" s="15">
        <f t="shared" si="0"/>
        <v>11</v>
      </c>
      <c r="C12" s="3">
        <v>6</v>
      </c>
      <c r="D12" s="12">
        <v>2021</v>
      </c>
      <c r="E12" s="12">
        <f>IF(('FS Budapest'!C15-'FS Budapest'!C14)&lt;0,"0",('FS Budapest'!C15-'FS Budapest'!C14))</f>
        <v>37</v>
      </c>
      <c r="F12" s="12">
        <f>IF(('FS Budapest'!D15-'FS Budapest'!D14)&lt;0,"0",('FS Budapest'!D15-'FS Budapest'!D14))</f>
        <v>70</v>
      </c>
      <c r="G12" s="12">
        <f>IF(('FS Budapest'!E15-'FS Budapest'!Y15)&lt;0,"0",('FS Budapest'!E15-'FS Budapest'!Y15))</f>
        <v>42</v>
      </c>
      <c r="H12" s="12">
        <f>IF(('FS Budapest'!H15-'FS Budapest'!H14)&lt;0,"0",('FS Budapest'!H15-'FS Budapest'!H14))</f>
        <v>65</v>
      </c>
      <c r="I12" s="12">
        <f>IF(('FS Budapest'!I15-'FS Budapest'!I14)&lt;0,"0",('FS Budapest'!I15-'FS Budapest'!I14))</f>
        <v>5</v>
      </c>
      <c r="J12" s="12">
        <f>IF(('FS Budapest'!K15-'FS Budapest'!K14)&lt;0,"0",('FS Budapest'!K15-'FS Budapest'!K14))</f>
        <v>4</v>
      </c>
      <c r="K12" s="12">
        <f>IF(('FS Budapest'!M15-'FS Budapest'!M14)&lt;0,"0",('FS Budapest'!M15-'FS Budapest'!M14))</f>
        <v>5</v>
      </c>
      <c r="L12" s="12">
        <f>IF(('FS Budapest'!O15-'FS Budapest'!O14)&lt;0,"0",('FS Budapest'!O15-'FS Budapest'!O14))</f>
        <v>6</v>
      </c>
      <c r="M12" s="12">
        <f>IF(('FS Budapest'!Q15-'FS Budapest'!Q14)&lt;0,"0",('FS Budapest'!Q15-'FS Budapest'!Q14))</f>
        <v>0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28</v>
      </c>
      <c r="Q12" s="12">
        <f>'FS Budapest'!AB15</f>
        <v>0</v>
      </c>
      <c r="R12" s="12">
        <f>'FS Budapest'!AE15</f>
        <v>3</v>
      </c>
      <c r="S12" s="12">
        <f>'FS Budapest'!AF15</f>
        <v>0</v>
      </c>
      <c r="T12" s="12">
        <f>IF(('FS Budapest'!AK15-'FS Budapest'!AK14)&lt;0,"0",('FS Budapest'!AK15-'FS Budapest'!AK14))</f>
        <v>752</v>
      </c>
      <c r="U12" s="12">
        <f>IF(('FS Budapest'!AM15-'FS Budapest'!AM14)&lt;0,"0",('FS Budapest'!AM15-'FS Budapest'!AM14))</f>
        <v>44</v>
      </c>
      <c r="V12" s="12">
        <f>IF(('FS Budapest'!AO15-'FS Budapest'!AO14)&lt;0,"0",('FS Budapest'!AO15-'FS Budapest'!AO14))</f>
        <v>0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17028.00000000052</v>
      </c>
      <c r="Z12" s="12">
        <f>'FS Budapest'!BI15</f>
        <v>17028.00000000052</v>
      </c>
      <c r="AA12" s="12">
        <f>'FS Budapest'!BJ15</f>
        <v>13960.00000000052</v>
      </c>
      <c r="AB12" s="12">
        <f>IF(('FS Budapest'!BK15-'FS Budapest'!BK14)&lt;0,"0",('FS Budapest'!BK15-'FS Budapest'!BK14)*100)</f>
        <v>546.00000000000364</v>
      </c>
      <c r="AC12" s="12">
        <f>'FS Budapest'!BM15</f>
        <v>17574.000000000524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3048</v>
      </c>
      <c r="AF12" s="12">
        <f>'FS Budapest'!BU15</f>
        <v>52</v>
      </c>
      <c r="AG12" s="12">
        <f>'FS Budapest'!BV15</f>
        <v>61</v>
      </c>
    </row>
    <row r="13" spans="1:33" s="16" customFormat="1" x14ac:dyDescent="0.25">
      <c r="A13" s="12" t="s">
        <v>12</v>
      </c>
      <c r="B13" s="15">
        <f t="shared" si="0"/>
        <v>12</v>
      </c>
      <c r="C13" s="3">
        <v>6</v>
      </c>
      <c r="D13" s="12">
        <v>2021</v>
      </c>
      <c r="E13" s="12">
        <f>IF(('FS Budapest'!C16-'FS Budapest'!C15)&lt;0,"0",('FS Budapest'!C16-'FS Budapest'!C15))</f>
        <v>35</v>
      </c>
      <c r="F13" s="12">
        <f>IF(('FS Budapest'!D16-'FS Budapest'!D15)&lt;0,"0",('FS Budapest'!D16-'FS Budapest'!D15))</f>
        <v>43</v>
      </c>
      <c r="G13" s="12">
        <f>IF(('FS Budapest'!E16-'FS Budapest'!Y16)&lt;0,"0",('FS Budapest'!E16-'FS Budapest'!Y16))</f>
        <v>31</v>
      </c>
      <c r="H13" s="12">
        <f>IF(('FS Budapest'!H16-'FS Budapest'!H15)&lt;0,"0",('FS Budapest'!H16-'FS Budapest'!H15))</f>
        <v>64</v>
      </c>
      <c r="I13" s="12">
        <f>IF(('FS Budapest'!I16-'FS Budapest'!I15)&lt;0,"0",('FS Budapest'!I16-'FS Budapest'!I15))</f>
        <v>3</v>
      </c>
      <c r="J13" s="12">
        <f>IF(('FS Budapest'!K16-'FS Budapest'!K15)&lt;0,"0",('FS Budapest'!K16-'FS Budapest'!K15))</f>
        <v>5</v>
      </c>
      <c r="K13" s="12">
        <f>IF(('FS Budapest'!M16-'FS Budapest'!M15)&lt;0,"0",('FS Budapest'!M16-'FS Budapest'!M15))</f>
        <v>5</v>
      </c>
      <c r="L13" s="12">
        <f>IF(('FS Budapest'!O16-'FS Budapest'!O15)&lt;0,"0",('FS Budapest'!O16-'FS Budapest'!O15))</f>
        <v>6</v>
      </c>
      <c r="M13" s="12">
        <f>IF(('FS Budapest'!Q16-'FS Budapest'!Q15)&lt;0,"0",('FS Budapest'!Q16-'FS Budapest'!Q15))</f>
        <v>0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12</v>
      </c>
      <c r="Q13" s="12">
        <f>'FS Budapest'!AB16</f>
        <v>0</v>
      </c>
      <c r="R13" s="12">
        <f>'FS Budapest'!AE16</f>
        <v>2</v>
      </c>
      <c r="S13" s="12">
        <f>'FS Budapest'!AF16</f>
        <v>0</v>
      </c>
      <c r="T13" s="12">
        <f>IF(('FS Budapest'!AK16-'FS Budapest'!AK15)&lt;0,"0",('FS Budapest'!AK16-'FS Budapest'!AK15))</f>
        <v>751</v>
      </c>
      <c r="U13" s="12">
        <f>IF(('FS Budapest'!AM16-'FS Budapest'!AM15)&lt;0,"0",('FS Budapest'!AM16-'FS Budapest'!AM15))</f>
        <v>53</v>
      </c>
      <c r="V13" s="12">
        <f>IF(('FS Budapest'!AO16-'FS Budapest'!AO15)&lt;0,"0",('FS Budapest'!AO16-'FS Budapest'!AO15))</f>
        <v>0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17292.00000000028</v>
      </c>
      <c r="Z13" s="12">
        <f>'FS Budapest'!BI16</f>
        <v>17292.00000000028</v>
      </c>
      <c r="AA13" s="12">
        <f>'FS Budapest'!BJ16</f>
        <v>11588.00000000028</v>
      </c>
      <c r="AB13" s="12">
        <f>IF(('FS Budapest'!BK16-'FS Budapest'!BK15)&lt;0,"0",('FS Budapest'!BK16-'FS Budapest'!BK15)*100)</f>
        <v>409.99999999999091</v>
      </c>
      <c r="AC13" s="12">
        <f>'FS Budapest'!BM16</f>
        <v>17702.000000000269</v>
      </c>
      <c r="AD13" s="12">
        <f>IF(('FS Budapest'!BP16-'FS Budapest'!BP15)&lt;0,"0",('FS Budapest'!BP16-'FS Budapest'!BP15))</f>
        <v>19</v>
      </c>
      <c r="AE13" s="12">
        <f>IF(('FS Budapest'!BR16-'FS Budapest'!BR15)&lt;0,"0",('FS Budapest'!BR16-'FS Budapest'!BR15))</f>
        <v>5685</v>
      </c>
      <c r="AF13" s="12">
        <f>'FS Budapest'!BU16</f>
        <v>54</v>
      </c>
      <c r="AG13" s="12">
        <f>'FS Budapest'!BV16</f>
        <v>65</v>
      </c>
    </row>
    <row r="14" spans="1:33" s="16" customFormat="1" x14ac:dyDescent="0.25">
      <c r="A14" s="12" t="s">
        <v>12</v>
      </c>
      <c r="B14" s="15">
        <f t="shared" si="0"/>
        <v>13</v>
      </c>
      <c r="C14" s="3">
        <v>6</v>
      </c>
      <c r="D14" s="12">
        <v>2021</v>
      </c>
      <c r="E14" s="12">
        <f>IF(('FS Budapest'!C17-'FS Budapest'!C16)&lt;0,"0",('FS Budapest'!C17-'FS Budapest'!C16))</f>
        <v>26</v>
      </c>
      <c r="F14" s="12">
        <f>IF(('FS Budapest'!D17-'FS Budapest'!D16)&lt;0,"0",('FS Budapest'!D17-'FS Budapest'!D16))</f>
        <v>81</v>
      </c>
      <c r="G14" s="12">
        <f>IF(('FS Budapest'!E17-'FS Budapest'!Y17)&lt;0,"0",('FS Budapest'!E17-'FS Budapest'!Y17))</f>
        <v>10</v>
      </c>
      <c r="H14" s="12">
        <f>IF(('FS Budapest'!H17-'FS Budapest'!H16)&lt;0,"0",('FS Budapest'!H17-'FS Budapest'!H16))</f>
        <v>50</v>
      </c>
      <c r="I14" s="12">
        <f>IF(('FS Budapest'!I17-'FS Budapest'!I16)&lt;0,"0",('FS Budapest'!I17-'FS Budapest'!I16))</f>
        <v>4</v>
      </c>
      <c r="J14" s="12">
        <f>IF(('FS Budapest'!K17-'FS Budapest'!K16)&lt;0,"0",('FS Budapest'!K17-'FS Budapest'!K16))</f>
        <v>3</v>
      </c>
      <c r="K14" s="12">
        <f>IF(('FS Budapest'!M17-'FS Budapest'!M16)&lt;0,"0",('FS Budapest'!M17-'FS Budapest'!M16))</f>
        <v>8</v>
      </c>
      <c r="L14" s="12">
        <f>IF(('FS Budapest'!O17-'FS Budapest'!O16)&lt;0,"0",('FS Budapest'!O17-'FS Budapest'!O16))</f>
        <v>4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71</v>
      </c>
      <c r="Q14" s="12">
        <f>'FS Budapest'!AB17</f>
        <v>0</v>
      </c>
      <c r="R14" s="12">
        <f>'FS Budapest'!AE17</f>
        <v>4</v>
      </c>
      <c r="S14" s="12">
        <f>'FS Budapest'!AF17</f>
        <v>0</v>
      </c>
      <c r="T14" s="12">
        <f>IF(('FS Budapest'!AK17-'FS Budapest'!AK16)&lt;0,"0",('FS Budapest'!AK17-'FS Budapest'!AK16))</f>
        <v>818</v>
      </c>
      <c r="U14" s="12">
        <f>IF(('FS Budapest'!AM17-'FS Budapest'!AM16)&lt;0,"0",('FS Budapest'!AM17-'FS Budapest'!AM16))</f>
        <v>35</v>
      </c>
      <c r="V14" s="12">
        <f>IF(('FS Budapest'!AO17-'FS Budapest'!AO16)&lt;0,"0",('FS Budapest'!AO17-'FS Budapest'!AO16))</f>
        <v>0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15443.99999999996</v>
      </c>
      <c r="Z14" s="12">
        <f>'FS Budapest'!BI17</f>
        <v>15443.99999999996</v>
      </c>
      <c r="AA14" s="12">
        <f>'FS Budapest'!BJ17</f>
        <v>12982.99999999996</v>
      </c>
      <c r="AB14" s="12">
        <f>IF(('FS Budapest'!BK17-'FS Budapest'!BK16)&lt;0,"0",('FS Budapest'!BK17-'FS Budapest'!BK16)*100)</f>
        <v>522.00000000002547</v>
      </c>
      <c r="AC14" s="12">
        <f>'FS Budapest'!BM17</f>
        <v>15965.999999999985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2441</v>
      </c>
      <c r="AF14" s="12">
        <f>'FS Budapest'!BU17</f>
        <v>51</v>
      </c>
      <c r="AG14" s="12">
        <f>'FS Budapest'!BV17</f>
        <v>63</v>
      </c>
    </row>
    <row r="15" spans="1:33" s="16" customFormat="1" x14ac:dyDescent="0.25">
      <c r="A15" s="12" t="s">
        <v>12</v>
      </c>
      <c r="B15" s="15">
        <f t="shared" si="0"/>
        <v>14</v>
      </c>
      <c r="C15" s="3">
        <v>6</v>
      </c>
      <c r="D15" s="12">
        <v>2021</v>
      </c>
      <c r="E15" s="12">
        <f>IF(('FS Budapest'!C18-'FS Budapest'!C17)&lt;0,"0",('FS Budapest'!C18-'FS Budapest'!C17))</f>
        <v>36</v>
      </c>
      <c r="F15" s="12">
        <f>IF(('FS Budapest'!D18-'FS Budapest'!D17)&lt;0,"0",('FS Budapest'!D18-'FS Budapest'!D17))</f>
        <v>64</v>
      </c>
      <c r="G15" s="12">
        <f>IF(('FS Budapest'!E18-'FS Budapest'!Y18)&lt;0,"0",('FS Budapest'!E18-'FS Budapest'!Y18))</f>
        <v>25</v>
      </c>
      <c r="H15" s="12">
        <f>IF(('FS Budapest'!H18-'FS Budapest'!H17)&lt;0,"0",('FS Budapest'!H18-'FS Budapest'!H17))</f>
        <v>61</v>
      </c>
      <c r="I15" s="12">
        <f>IF(('FS Budapest'!I18-'FS Budapest'!I17)&lt;0,"0",('FS Budapest'!I18-'FS Budapest'!I17))</f>
        <v>4</v>
      </c>
      <c r="J15" s="12">
        <f>IF(('FS Budapest'!K18-'FS Budapest'!K17)&lt;0,"0",('FS Budapest'!K18-'FS Budapest'!K17))</f>
        <v>4</v>
      </c>
      <c r="K15" s="12">
        <f>IF(('FS Budapest'!M18-'FS Budapest'!M17)&lt;0,"0",('FS Budapest'!M18-'FS Budapest'!M17))</f>
        <v>5</v>
      </c>
      <c r="L15" s="12">
        <f>IF(('FS Budapest'!O18-'FS Budapest'!O17)&lt;0,"0",('FS Budapest'!O18-'FS Budapest'!O17))</f>
        <v>13</v>
      </c>
      <c r="M15" s="12">
        <f>IF(('FS Budapest'!Q18-'FS Budapest'!Q17)&lt;0,"0",('FS Budapest'!Q18-'FS Budapest'!Q17))</f>
        <v>0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39</v>
      </c>
      <c r="Q15" s="12">
        <f>'FS Budapest'!AB18</f>
        <v>0</v>
      </c>
      <c r="R15" s="12">
        <f>'FS Budapest'!AE18</f>
        <v>5</v>
      </c>
      <c r="S15" s="12">
        <f>'FS Budapest'!AF18</f>
        <v>1</v>
      </c>
      <c r="T15" s="12">
        <f>IF(('FS Budapest'!AK18-'FS Budapest'!AK17)&lt;0,"0",('FS Budapest'!AK18-'FS Budapest'!AK17))</f>
        <v>967</v>
      </c>
      <c r="U15" s="12">
        <f>IF(('FS Budapest'!AM18-'FS Budapest'!AM17)&lt;0,"0",('FS Budapest'!AM18-'FS Budapest'!AM17))</f>
        <v>30</v>
      </c>
      <c r="V15" s="12">
        <f>IF(('FS Budapest'!AO18-'FS Budapest'!AO17)&lt;0,"0",('FS Budapest'!AO18-'FS Budapest'!AO17))</f>
        <v>154</v>
      </c>
      <c r="W15" s="12">
        <f>IF(('FS Budapest'!AQ18-'FS Budapest'!AQ17)&lt;0,"0",('FS Budapest'!AQ18-'FS Budapest'!AQ17))</f>
        <v>1</v>
      </c>
      <c r="X15" s="12">
        <f>'FS Budapest'!AY18</f>
        <v>0</v>
      </c>
      <c r="Y15" s="12">
        <f>IF(('FS Budapest'!BA18-'FS Budapest'!BA17)&lt;0,"0",('FS Budapest'!BA18-'FS Budapest'!BA17)*4400)</f>
        <v>15795.99999999964</v>
      </c>
      <c r="Z15" s="12">
        <f>'FS Budapest'!BI18</f>
        <v>15795.99999999964</v>
      </c>
      <c r="AA15" s="12">
        <f>'FS Budapest'!BJ18</f>
        <v>12928.99999999964</v>
      </c>
      <c r="AB15" s="12">
        <f>IF(('FS Budapest'!BK18-'FS Budapest'!BK17)&lt;0,"0",('FS Budapest'!BK18-'FS Budapest'!BK17)*100)</f>
        <v>582.00000000001637</v>
      </c>
      <c r="AC15" s="12">
        <f>'FS Budapest'!BM18</f>
        <v>16377.999999999656</v>
      </c>
      <c r="AD15" s="12">
        <f>IF(('FS Budapest'!BP18-'FS Budapest'!BP17)&lt;0,"0",('FS Budapest'!BP18-'FS Budapest'!BP17))</f>
        <v>20</v>
      </c>
      <c r="AE15" s="12">
        <f>IF(('FS Budapest'!BR18-'FS Budapest'!BR17)&lt;0,"0",('FS Budapest'!BR18-'FS Budapest'!BR17))</f>
        <v>2847</v>
      </c>
      <c r="AF15" s="12">
        <f>'FS Budapest'!BU18</f>
        <v>50</v>
      </c>
      <c r="AG15" s="12">
        <f>'FS Budapest'!BV18</f>
        <v>59</v>
      </c>
    </row>
    <row r="16" spans="1:33" s="16" customFormat="1" x14ac:dyDescent="0.25">
      <c r="A16" s="12" t="s">
        <v>12</v>
      </c>
      <c r="B16" s="15">
        <f t="shared" si="0"/>
        <v>15</v>
      </c>
      <c r="C16" s="3">
        <v>6</v>
      </c>
      <c r="D16" s="12">
        <v>2021</v>
      </c>
      <c r="E16" s="12">
        <f>IF(('FS Budapest'!C19-'FS Budapest'!C18)&lt;0,"0",('FS Budapest'!C19-'FS Budapest'!C18))</f>
        <v>44</v>
      </c>
      <c r="F16" s="12">
        <f>IF(('FS Budapest'!D19-'FS Budapest'!D18)&lt;0,"0",('FS Budapest'!D19-'FS Budapest'!D18))</f>
        <v>64</v>
      </c>
      <c r="G16" s="12">
        <f>IF(('FS Budapest'!E19-'FS Budapest'!Y19)&lt;0,"0",('FS Budapest'!E19-'FS Budapest'!Y19))</f>
        <v>23</v>
      </c>
      <c r="H16" s="12">
        <f>IF(('FS Budapest'!H19-'FS Budapest'!H18)&lt;0,"0",('FS Budapest'!H19-'FS Budapest'!H18))</f>
        <v>78</v>
      </c>
      <c r="I16" s="12">
        <f>IF(('FS Budapest'!I19-'FS Budapest'!I18)&lt;0,"0",('FS Budapest'!I19-'FS Budapest'!I18))</f>
        <v>22</v>
      </c>
      <c r="J16" s="12">
        <f>IF(('FS Budapest'!K19-'FS Budapest'!K18)&lt;0,"0",('FS Budapest'!K19-'FS Budapest'!K18))</f>
        <v>4</v>
      </c>
      <c r="K16" s="12">
        <f>IF(('FS Budapest'!M19-'FS Budapest'!M18)&lt;0,"0",('FS Budapest'!M19-'FS Budapest'!M18))</f>
        <v>6</v>
      </c>
      <c r="L16" s="12">
        <f>IF(('FS Budapest'!O19-'FS Budapest'!O18)&lt;0,"0",('FS Budapest'!O19-'FS Budapest'!O18))</f>
        <v>5</v>
      </c>
      <c r="M16" s="12">
        <f>IF(('FS Budapest'!Q19-'FS Budapest'!Q18)&lt;0,"0",('FS Budapest'!Q19-'FS Budapest'!Q18))</f>
        <v>8</v>
      </c>
      <c r="N16" s="12">
        <f>IF(('FS Budapest'!S19-'FS Budapest'!S18)&lt;0,"0",('FS Budapest'!S19-'FS Budapest'!S18))</f>
        <v>0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41</v>
      </c>
      <c r="Q16" s="12">
        <f>'FS Budapest'!AB19</f>
        <v>0</v>
      </c>
      <c r="R16" s="12">
        <f>'FS Budapest'!AE19</f>
        <v>5</v>
      </c>
      <c r="S16" s="12">
        <f>'FS Budapest'!AF19</f>
        <v>13</v>
      </c>
      <c r="T16" s="12">
        <f>IF(('FS Budapest'!AK19-'FS Budapest'!AK18)&lt;0,"0",('FS Budapest'!AK19-'FS Budapest'!AK18))</f>
        <v>1165</v>
      </c>
      <c r="U16" s="12">
        <f>IF(('FS Budapest'!AM19-'FS Budapest'!AM18)&lt;0,"0",('FS Budapest'!AM19-'FS Budapest'!AM18))</f>
        <v>49</v>
      </c>
      <c r="V16" s="12">
        <f>IF(('FS Budapest'!AO19-'FS Budapest'!AO18)&lt;0,"0",('FS Budapest'!AO19-'FS Budapest'!AO18))</f>
        <v>542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15839.9999999996</v>
      </c>
      <c r="Z16" s="12">
        <f>'FS Budapest'!BI19</f>
        <v>15839.9999999996</v>
      </c>
      <c r="AA16" s="12">
        <f>'FS Budapest'!BJ19</f>
        <v>12478.9999999996</v>
      </c>
      <c r="AB16" s="12">
        <f>IF(('FS Budapest'!BK19-'FS Budapest'!BK18)&lt;0,"0",('FS Budapest'!BK19-'FS Budapest'!BK18)*100)</f>
        <v>533.99999999996908</v>
      </c>
      <c r="AC16" s="12">
        <f>'FS Budapest'!BM19</f>
        <v>16373.999999999569</v>
      </c>
      <c r="AD16" s="12">
        <f>IF(('FS Budapest'!BP19-'FS Budapest'!BP18)&lt;0,"0",('FS Budapest'!BP19-'FS Budapest'!BP18))</f>
        <v>20</v>
      </c>
      <c r="AE16" s="12">
        <f>IF(('FS Budapest'!BR19-'FS Budapest'!BR18)&lt;0,"0",('FS Budapest'!BR19-'FS Budapest'!BR18))</f>
        <v>3341</v>
      </c>
      <c r="AF16" s="12">
        <f>'FS Budapest'!BU19</f>
        <v>53</v>
      </c>
      <c r="AG16" s="12">
        <f>'FS Budapest'!BV19</f>
        <v>62</v>
      </c>
    </row>
    <row r="17" spans="1:33" s="16" customFormat="1" x14ac:dyDescent="0.25">
      <c r="A17" s="12" t="s">
        <v>12</v>
      </c>
      <c r="B17" s="15">
        <f t="shared" si="0"/>
        <v>16</v>
      </c>
      <c r="C17" s="3">
        <v>6</v>
      </c>
      <c r="D17" s="12">
        <v>2021</v>
      </c>
      <c r="E17" s="12">
        <f>IF(('FS Budapest'!C20-'FS Budapest'!C19)&lt;0,"0",('FS Budapest'!C20-'FS Budapest'!C19))</f>
        <v>51</v>
      </c>
      <c r="F17" s="12">
        <f>IF(('FS Budapest'!D20-'FS Budapest'!D19)&lt;0,"0",('FS Budapest'!D20-'FS Budapest'!D19))</f>
        <v>81</v>
      </c>
      <c r="G17" s="12">
        <f>IF(('FS Budapest'!E20-'FS Budapest'!Y20)&lt;0,"0",('FS Budapest'!E20-'FS Budapest'!Y20))</f>
        <v>31</v>
      </c>
      <c r="H17" s="12">
        <f>IF(('FS Budapest'!H20-'FS Budapest'!H19)&lt;0,"0",('FS Budapest'!H20-'FS Budapest'!H19))</f>
        <v>90</v>
      </c>
      <c r="I17" s="12">
        <f>IF(('FS Budapest'!I20-'FS Budapest'!I19)&lt;0,"0",('FS Budapest'!I20-'FS Budapest'!I19))</f>
        <v>26</v>
      </c>
      <c r="J17" s="12">
        <f>IF(('FS Budapest'!K20-'FS Budapest'!K19)&lt;0,"0",('FS Budapest'!K20-'FS Budapest'!K19))</f>
        <v>3</v>
      </c>
      <c r="K17" s="12">
        <f>IF(('FS Budapest'!M20-'FS Budapest'!M19)&lt;0,"0",('FS Budapest'!M20-'FS Budapest'!M19))</f>
        <v>6</v>
      </c>
      <c r="L17" s="12">
        <f>IF(('FS Budapest'!O20-'FS Budapest'!O19)&lt;0,"0",('FS Budapest'!O20-'FS Budapest'!O19))</f>
        <v>7</v>
      </c>
      <c r="M17" s="12">
        <f>IF(('FS Budapest'!Q20-'FS Budapest'!Q19)&lt;0,"0",('FS Budapest'!Q20-'FS Budapest'!Q19))</f>
        <v>9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50</v>
      </c>
      <c r="Q17" s="12">
        <f>'FS Budapest'!AB20</f>
        <v>0</v>
      </c>
      <c r="R17" s="12">
        <f>'FS Budapest'!AE20</f>
        <v>4</v>
      </c>
      <c r="S17" s="12">
        <f>'FS Budapest'!AF20</f>
        <v>16</v>
      </c>
      <c r="T17" s="12">
        <f>IF(('FS Budapest'!AK20-'FS Budapest'!AK19)&lt;0,"0",('FS Budapest'!AK20-'FS Budapest'!AK19))</f>
        <v>1133</v>
      </c>
      <c r="U17" s="12">
        <f>IF(('FS Budapest'!AM20-'FS Budapest'!AM19)&lt;0,"0",('FS Budapest'!AM20-'FS Budapest'!AM19))</f>
        <v>47</v>
      </c>
      <c r="V17" s="12">
        <f>IF(('FS Budapest'!AO20-'FS Budapest'!AO19)&lt;0,"0",('FS Budapest'!AO20-'FS Budapest'!AO19))</f>
        <v>389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16720.0000000008</v>
      </c>
      <c r="Z17" s="12">
        <f>'FS Budapest'!BI20</f>
        <v>16720.0000000008</v>
      </c>
      <c r="AA17" s="12">
        <f>'FS Budapest'!BJ20</f>
        <v>13144.0000000008</v>
      </c>
      <c r="AB17" s="12">
        <f>IF(('FS Budapest'!BK20-'FS Budapest'!BK19)&lt;0,"0",('FS Budapest'!BK20-'FS Budapest'!BK19)*100)</f>
        <v>599.00000000002365</v>
      </c>
      <c r="AC17" s="12">
        <f>'FS Budapest'!BM20</f>
        <v>17319.000000000822</v>
      </c>
      <c r="AD17" s="12">
        <f>IF(('FS Budapest'!BP20-'FS Budapest'!BP19)&lt;0,"0",('FS Budapest'!BP20-'FS Budapest'!BP19))</f>
        <v>19</v>
      </c>
      <c r="AE17" s="12">
        <f>IF(('FS Budapest'!BR20-'FS Budapest'!BR19)&lt;0,"0",('FS Budapest'!BR20-'FS Budapest'!BR19))</f>
        <v>3557</v>
      </c>
      <c r="AF17" s="12">
        <f>'FS Budapest'!BU20</f>
        <v>48</v>
      </c>
      <c r="AG17" s="12">
        <f>'FS Budapest'!BV20</f>
        <v>57</v>
      </c>
    </row>
    <row r="18" spans="1:33" s="16" customFormat="1" x14ac:dyDescent="0.25">
      <c r="A18" s="12" t="s">
        <v>12</v>
      </c>
      <c r="B18" s="15">
        <f t="shared" si="0"/>
        <v>17</v>
      </c>
      <c r="C18" s="3">
        <v>6</v>
      </c>
      <c r="D18" s="12">
        <v>2021</v>
      </c>
      <c r="E18" s="12">
        <f>IF(('FS Budapest'!C21-'FS Budapest'!C20)&lt;0,"0",('FS Budapest'!C21-'FS Budapest'!C20))</f>
        <v>36</v>
      </c>
      <c r="F18" s="12">
        <f>IF(('FS Budapest'!D21-'FS Budapest'!D20)&lt;0,"0",('FS Budapest'!D21-'FS Budapest'!D20))</f>
        <v>79</v>
      </c>
      <c r="G18" s="12">
        <f>IF(('FS Budapest'!E21-'FS Budapest'!Y21)&lt;0,"0",('FS Budapest'!E21-'FS Budapest'!Y21))</f>
        <v>43</v>
      </c>
      <c r="H18" s="12">
        <f>IF(('FS Budapest'!H21-'FS Budapest'!H20)&lt;0,"0",('FS Budapest'!H21-'FS Budapest'!H20))</f>
        <v>83</v>
      </c>
      <c r="I18" s="12">
        <f>IF(('FS Budapest'!I21-'FS Budapest'!I20)&lt;0,"0",('FS Budapest'!I21-'FS Budapest'!I20))</f>
        <v>3</v>
      </c>
      <c r="J18" s="12">
        <f>IF(('FS Budapest'!K21-'FS Budapest'!K20)&lt;0,"0",('FS Budapest'!K21-'FS Budapest'!K20))</f>
        <v>4</v>
      </c>
      <c r="K18" s="12">
        <f>IF(('FS Budapest'!M21-'FS Budapest'!M20)&lt;0,"0",('FS Budapest'!M21-'FS Budapest'!M20))</f>
        <v>5</v>
      </c>
      <c r="L18" s="12">
        <f>IF(('FS Budapest'!O21-'FS Budapest'!O20)&lt;0,"0",('FS Budapest'!O21-'FS Budapest'!O20))</f>
        <v>4</v>
      </c>
      <c r="M18" s="12">
        <f>IF(('FS Budapest'!Q21-'FS Budapest'!Q20)&lt;0,"0",('FS Budapest'!Q21-'FS Budapest'!Q20))</f>
        <v>5</v>
      </c>
      <c r="N18" s="12">
        <f>IF(('FS Budapest'!S21-'FS Budapest'!S20)&lt;0,"0",('FS Budapest'!S21-'FS Budapest'!S20))</f>
        <v>0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36</v>
      </c>
      <c r="Q18" s="12">
        <f>'FS Budapest'!AB21</f>
        <v>0</v>
      </c>
      <c r="R18" s="12">
        <f>'FS Budapest'!AE21</f>
        <v>3</v>
      </c>
      <c r="S18" s="12">
        <f>'FS Budapest'!AF21</f>
        <v>7</v>
      </c>
      <c r="T18" s="12">
        <f>IF(('FS Budapest'!AK21-'FS Budapest'!AK20)&lt;0,"0",('FS Budapest'!AK21-'FS Budapest'!AK20))</f>
        <v>1006</v>
      </c>
      <c r="U18" s="12">
        <f>IF(('FS Budapest'!AM21-'FS Budapest'!AM20)&lt;0,"0",('FS Budapest'!AM21-'FS Budapest'!AM20))</f>
        <v>40</v>
      </c>
      <c r="V18" s="12">
        <f>IF(('FS Budapest'!AO21-'FS Budapest'!AO20)&lt;0,"0",('FS Budapest'!AO21-'FS Budapest'!AO20))</f>
        <v>519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16412.00000000008</v>
      </c>
      <c r="Z18" s="12">
        <f>'FS Budapest'!BI21</f>
        <v>16412.00000000008</v>
      </c>
      <c r="AA18" s="12">
        <f>'FS Budapest'!BJ21</f>
        <v>12639.00000000008</v>
      </c>
      <c r="AB18" s="12">
        <f>IF(('FS Budapest'!BK21-'FS Budapest'!BK20)&lt;0,"0",('FS Budapest'!BK21-'FS Budapest'!BK20)*100)</f>
        <v>477.99999999997453</v>
      </c>
      <c r="AC18" s="12">
        <f>'FS Budapest'!BM21</f>
        <v>16890.000000000055</v>
      </c>
      <c r="AD18" s="12">
        <f>IF(('FS Budapest'!BP21-'FS Budapest'!BP20)&lt;0,"0",('FS Budapest'!BP21-'FS Budapest'!BP20))</f>
        <v>20</v>
      </c>
      <c r="AE18" s="12">
        <f>IF(('FS Budapest'!BR21-'FS Budapest'!BR20)&lt;0,"0",('FS Budapest'!BR21-'FS Budapest'!BR20))</f>
        <v>3753</v>
      </c>
      <c r="AF18" s="12">
        <f>'FS Budapest'!BU21</f>
        <v>44</v>
      </c>
      <c r="AG18" s="12">
        <f>'FS Budapest'!BV21</f>
        <v>52</v>
      </c>
    </row>
    <row r="19" spans="1:33" s="16" customFormat="1" x14ac:dyDescent="0.25">
      <c r="A19" s="12" t="s">
        <v>12</v>
      </c>
      <c r="B19" s="15">
        <f t="shared" si="0"/>
        <v>18</v>
      </c>
      <c r="C19" s="3">
        <v>6</v>
      </c>
      <c r="D19" s="12">
        <v>2021</v>
      </c>
      <c r="E19" s="12">
        <f>IF(('FS Budapest'!C22-'FS Budapest'!C21)&lt;0,"0",('FS Budapest'!C22-'FS Budapest'!C21))</f>
        <v>34</v>
      </c>
      <c r="F19" s="12">
        <f>IF(('FS Budapest'!D22-'FS Budapest'!D21)&lt;0,"0",('FS Budapest'!D22-'FS Budapest'!D21))</f>
        <v>79</v>
      </c>
      <c r="G19" s="12">
        <f>IF(('FS Budapest'!E22-'FS Budapest'!Y22)&lt;0,"0",('FS Budapest'!E22-'FS Budapest'!Y22))</f>
        <v>21</v>
      </c>
      <c r="H19" s="12">
        <f>IF(('FS Budapest'!H22-'FS Budapest'!H21)&lt;0,"0",('FS Budapest'!H22-'FS Budapest'!H21))</f>
        <v>74</v>
      </c>
      <c r="I19" s="12">
        <f>IF(('FS Budapest'!I22-'FS Budapest'!I21)&lt;0,"0",('FS Budapest'!I22-'FS Budapest'!I21))</f>
        <v>4</v>
      </c>
      <c r="J19" s="12">
        <f>IF(('FS Budapest'!K22-'FS Budapest'!K21)&lt;0,"0",('FS Budapest'!K22-'FS Budapest'!K21))</f>
        <v>5</v>
      </c>
      <c r="K19" s="12">
        <f>IF(('FS Budapest'!M22-'FS Budapest'!M21)&lt;0,"0",('FS Budapest'!M22-'FS Budapest'!M21))</f>
        <v>6</v>
      </c>
      <c r="L19" s="12">
        <f>IF(('FS Budapest'!O22-'FS Budapest'!O21)&lt;0,"0",('FS Budapest'!O22-'FS Budapest'!O21))</f>
        <v>5</v>
      </c>
      <c r="M19" s="12">
        <f>IF(('FS Budapest'!Q22-'FS Budapest'!Q21)&lt;0,"0",('FS Budapest'!Q22-'FS Budapest'!Q21))</f>
        <v>0</v>
      </c>
      <c r="N19" s="12">
        <f>IF(('FS Budapest'!S22-'FS Budapest'!S21)&lt;0,"0",('FS Budapest'!S22-'FS Budapest'!S21))</f>
        <v>5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58</v>
      </c>
      <c r="Q19" s="12">
        <f>'FS Budapest'!AB22</f>
        <v>0</v>
      </c>
      <c r="R19" s="12">
        <f>'FS Budapest'!AE22</f>
        <v>2</v>
      </c>
      <c r="S19" s="12">
        <f>'FS Budapest'!AF22</f>
        <v>6</v>
      </c>
      <c r="T19" s="12">
        <f>IF(('FS Budapest'!AK22-'FS Budapest'!AK21)&lt;0,"0",('FS Budapest'!AK22-'FS Budapest'!AK21))</f>
        <v>718</v>
      </c>
      <c r="U19" s="12">
        <f>IF(('FS Budapest'!AM22-'FS Budapest'!AM21)&lt;0,"0",('FS Budapest'!AM22-'FS Budapest'!AM21))</f>
        <v>44</v>
      </c>
      <c r="V19" s="12">
        <f>IF(('FS Budapest'!AO22-'FS Budapest'!AO21)&lt;0,"0",('FS Budapest'!AO22-'FS Budapest'!AO21))</f>
        <v>109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17951.99999999968</v>
      </c>
      <c r="Z19" s="12">
        <f>'FS Budapest'!BI22</f>
        <v>17951.99999999968</v>
      </c>
      <c r="AA19" s="12">
        <f>'FS Budapest'!BJ22</f>
        <v>13811.99999999968</v>
      </c>
      <c r="AB19" s="12">
        <f>IF(('FS Budapest'!BK22-'FS Budapest'!BK21)&lt;0,"0",('FS Budapest'!BK22-'FS Budapest'!BK21)*100)</f>
        <v>490.00000000000909</v>
      </c>
      <c r="AC19" s="12">
        <f>'FS Budapest'!BM22</f>
        <v>18441.999999999687</v>
      </c>
      <c r="AD19" s="12">
        <f>IF(('FS Budapest'!BP22-'FS Budapest'!BP21)&lt;0,"0",('FS Budapest'!BP22-'FS Budapest'!BP21))</f>
        <v>19</v>
      </c>
      <c r="AE19" s="12">
        <f>IF(('FS Budapest'!BR22-'FS Budapest'!BR21)&lt;0,"0",('FS Budapest'!BR22-'FS Budapest'!BR21))</f>
        <v>4121</v>
      </c>
      <c r="AF19" s="12">
        <f>'FS Budapest'!BU22</f>
        <v>49</v>
      </c>
      <c r="AG19" s="12">
        <f>'FS Budapest'!BV22</f>
        <v>65</v>
      </c>
    </row>
    <row r="20" spans="1:33" s="16" customFormat="1" x14ac:dyDescent="0.25">
      <c r="A20" s="12" t="s">
        <v>12</v>
      </c>
      <c r="B20" s="15">
        <f t="shared" si="0"/>
        <v>19</v>
      </c>
      <c r="C20" s="3">
        <v>6</v>
      </c>
      <c r="D20" s="12">
        <v>2021</v>
      </c>
      <c r="E20" s="12">
        <f>IF(('FS Budapest'!C23-'FS Budapest'!C22)&lt;0,"0",('FS Budapest'!C23-'FS Budapest'!C22))</f>
        <v>38</v>
      </c>
      <c r="F20" s="12">
        <f>IF(('FS Budapest'!D23-'FS Budapest'!D22)&lt;0,"0",('FS Budapest'!D23-'FS Budapest'!D22))</f>
        <v>83</v>
      </c>
      <c r="G20" s="12">
        <f>IF(('FS Budapest'!E23-'FS Budapest'!Y23)&lt;0,"0",('FS Budapest'!E23-'FS Budapest'!Y23))</f>
        <v>34</v>
      </c>
      <c r="H20" s="12">
        <f>IF(('FS Budapest'!H23-'FS Budapest'!H22)&lt;0,"0",('FS Budapest'!H23-'FS Budapest'!H22))</f>
        <v>74</v>
      </c>
      <c r="I20" s="12">
        <f>IF(('FS Budapest'!I23-'FS Budapest'!I22)&lt;0,"0",('FS Budapest'!I23-'FS Budapest'!I22))</f>
        <v>5</v>
      </c>
      <c r="J20" s="12">
        <f>IF(('FS Budapest'!K23-'FS Budapest'!K22)&lt;0,"0",('FS Budapest'!K23-'FS Budapest'!K22))</f>
        <v>4</v>
      </c>
      <c r="K20" s="12">
        <f>IF(('FS Budapest'!M23-'FS Budapest'!M22)&lt;0,"0",('FS Budapest'!M23-'FS Budapest'!M22))</f>
        <v>6</v>
      </c>
      <c r="L20" s="12">
        <f>IF(('FS Budapest'!O23-'FS Budapest'!O22)&lt;0,"0",('FS Budapest'!O23-'FS Budapest'!O22))</f>
        <v>6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0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49</v>
      </c>
      <c r="Q20" s="12">
        <f>'FS Budapest'!AB23</f>
        <v>2</v>
      </c>
      <c r="R20" s="12">
        <f>'FS Budapest'!AE23</f>
        <v>5</v>
      </c>
      <c r="S20" s="12">
        <f>'FS Budapest'!AF23</f>
        <v>1</v>
      </c>
      <c r="T20" s="12">
        <f>IF(('FS Budapest'!AK23-'FS Budapest'!AK22)&lt;0,"0",('FS Budapest'!AK23-'FS Budapest'!AK22))</f>
        <v>618</v>
      </c>
      <c r="U20" s="12">
        <f>IF(('FS Budapest'!AM23-'FS Budapest'!AM22)&lt;0,"0",('FS Budapest'!AM23-'FS Budapest'!AM22))</f>
        <v>44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17556.00000000004</v>
      </c>
      <c r="Z20" s="12">
        <f>'FS Budapest'!BI23</f>
        <v>17556.00000000004</v>
      </c>
      <c r="AA20" s="12">
        <f>'FS Budapest'!BJ23</f>
        <v>13290.00000000004</v>
      </c>
      <c r="AB20" s="12">
        <f>IF(('FS Budapest'!BK23-'FS Budapest'!BK22)&lt;0,"0",('FS Budapest'!BK23-'FS Budapest'!BK22)*100)</f>
        <v>519.00000000000546</v>
      </c>
      <c r="AC20" s="12">
        <f>'FS Budapest'!BM23</f>
        <v>18075.000000000044</v>
      </c>
      <c r="AD20" s="12">
        <f>IF(('FS Budapest'!BP23-'FS Budapest'!BP22)&lt;0,"0",('FS Budapest'!BP23-'FS Budapest'!BP22))</f>
        <v>20</v>
      </c>
      <c r="AE20" s="12">
        <f>IF(('FS Budapest'!BR23-'FS Budapest'!BR22)&lt;0,"0",('FS Budapest'!BR23-'FS Budapest'!BR22))</f>
        <v>4246</v>
      </c>
      <c r="AF20" s="12">
        <f>'FS Budapest'!BU23</f>
        <v>40</v>
      </c>
      <c r="AG20" s="12">
        <f>'FS Budapest'!BV23</f>
        <v>57</v>
      </c>
    </row>
    <row r="21" spans="1:33" s="16" customFormat="1" x14ac:dyDescent="0.25">
      <c r="A21" s="12" t="s">
        <v>12</v>
      </c>
      <c r="B21" s="15">
        <f t="shared" si="0"/>
        <v>20</v>
      </c>
      <c r="C21" s="3">
        <v>6</v>
      </c>
      <c r="D21" s="12">
        <v>2021</v>
      </c>
      <c r="E21" s="12">
        <f>IF(('FS Budapest'!C24-'FS Budapest'!C23)&lt;0,"0",('FS Budapest'!C24-'FS Budapest'!C23))</f>
        <v>38</v>
      </c>
      <c r="F21" s="12">
        <f>IF(('FS Budapest'!D24-'FS Budapest'!D23)&lt;0,"0",('FS Budapest'!D24-'FS Budapest'!D23))</f>
        <v>86</v>
      </c>
      <c r="G21" s="12">
        <f>IF(('FS Budapest'!E24-'FS Budapest'!Y24)&lt;0,"0",('FS Budapest'!E24-'FS Budapest'!Y24))</f>
        <v>6</v>
      </c>
      <c r="H21" s="12">
        <f>IF(('FS Budapest'!H24-'FS Budapest'!H23)&lt;0,"0",('FS Budapest'!H24-'FS Budapest'!H23))</f>
        <v>71</v>
      </c>
      <c r="I21" s="12">
        <f>IF(('FS Budapest'!I24-'FS Budapest'!I23)&lt;0,"0",('FS Budapest'!I24-'FS Budapest'!I23))</f>
        <v>4</v>
      </c>
      <c r="J21" s="12">
        <f>IF(('FS Budapest'!K24-'FS Budapest'!K23)&lt;0,"0",('FS Budapest'!K24-'FS Budapest'!K23))</f>
        <v>4</v>
      </c>
      <c r="K21" s="12">
        <f>IF(('FS Budapest'!M24-'FS Budapest'!M23)&lt;0,"0",('FS Budapest'!M24-'FS Budapest'!M23))</f>
        <v>5</v>
      </c>
      <c r="L21" s="12">
        <f>IF(('FS Budapest'!O24-'FS Budapest'!O23)&lt;0,"0",('FS Budapest'!O24-'FS Budapest'!O23))</f>
        <v>6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80</v>
      </c>
      <c r="Q21" s="12">
        <f>'FS Budapest'!AB24</f>
        <v>0</v>
      </c>
      <c r="R21" s="12">
        <f>'FS Budapest'!AE24</f>
        <v>3</v>
      </c>
      <c r="S21" s="12">
        <f>'FS Budapest'!AF24</f>
        <v>1</v>
      </c>
      <c r="T21" s="12">
        <f>IF(('FS Budapest'!AK24-'FS Budapest'!AK23)&lt;0,"0",('FS Budapest'!AK24-'FS Budapest'!AK23))</f>
        <v>695</v>
      </c>
      <c r="U21" s="12">
        <f>IF(('FS Budapest'!AM24-'FS Budapest'!AM23)&lt;0,"0",('FS Budapest'!AM24-'FS Budapest'!AM23))</f>
        <v>43</v>
      </c>
      <c r="V21" s="12">
        <f>IF(('FS Budapest'!AO24-'FS Budapest'!AO23)&lt;0,"0",('FS Budapest'!AO24-'FS Budapest'!AO23))</f>
        <v>97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17863.99999999976</v>
      </c>
      <c r="Z21" s="12">
        <f>'FS Budapest'!BI24</f>
        <v>17863.99999999976</v>
      </c>
      <c r="AA21" s="12">
        <f>'FS Budapest'!BJ24</f>
        <v>13323.99999999976</v>
      </c>
      <c r="AB21" s="12">
        <f>IF(('FS Budapest'!BK24-'FS Budapest'!BK23)&lt;0,"0",('FS Budapest'!BK24-'FS Budapest'!BK23)*100)</f>
        <v>380.99999999999454</v>
      </c>
      <c r="AC21" s="12">
        <f>'FS Budapest'!BM24</f>
        <v>18244.999999999753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4520</v>
      </c>
      <c r="AF21" s="12">
        <f>'FS Budapest'!BU24</f>
        <v>28</v>
      </c>
      <c r="AG21" s="12">
        <f>'FS Budapest'!BV24</f>
        <v>38</v>
      </c>
    </row>
    <row r="22" spans="1:33" s="16" customFormat="1" x14ac:dyDescent="0.25">
      <c r="A22" s="12" t="s">
        <v>12</v>
      </c>
      <c r="B22" s="15">
        <f t="shared" si="0"/>
        <v>21</v>
      </c>
      <c r="C22" s="3">
        <v>6</v>
      </c>
      <c r="D22" s="12">
        <v>2021</v>
      </c>
      <c r="E22" s="12">
        <f>IF(('FS Budapest'!C25-'FS Budapest'!C24)&lt;0,"0",('FS Budapest'!C25-'FS Budapest'!C24))</f>
        <v>49</v>
      </c>
      <c r="F22" s="12">
        <f>IF(('FS Budapest'!D25-'FS Budapest'!D24)&lt;0,"0",('FS Budapest'!D25-'FS Budapest'!D24))</f>
        <v>82</v>
      </c>
      <c r="G22" s="12">
        <f>IF(('FS Budapest'!E25-'FS Budapest'!Y25)&lt;0,"0",('FS Budapest'!E25-'FS Budapest'!Y25))</f>
        <v>44</v>
      </c>
      <c r="H22" s="12">
        <f>IF(('FS Budapest'!H25-'FS Budapest'!H24)&lt;0,"0",('FS Budapest'!H25-'FS Budapest'!H24))</f>
        <v>90</v>
      </c>
      <c r="I22" s="12">
        <f>IF(('FS Budapest'!I25-'FS Budapest'!I24)&lt;0,"0",('FS Budapest'!I25-'FS Budapest'!I24))</f>
        <v>23</v>
      </c>
      <c r="J22" s="12">
        <f>IF(('FS Budapest'!K25-'FS Budapest'!K24)&lt;0,"0",('FS Budapest'!K25-'FS Budapest'!K24))</f>
        <v>4</v>
      </c>
      <c r="K22" s="12">
        <f>IF(('FS Budapest'!M25-'FS Budapest'!M24)&lt;0,"0",('FS Budapest'!M25-'FS Budapest'!M24))</f>
        <v>4</v>
      </c>
      <c r="L22" s="12">
        <f>IF(('FS Budapest'!O25-'FS Budapest'!O24)&lt;0,"0",('FS Budapest'!O25-'FS Budapest'!O24))</f>
        <v>5</v>
      </c>
      <c r="M22" s="12">
        <f>IF(('FS Budapest'!Q25-'FS Budapest'!Q24)&lt;0,"0",('FS Budapest'!Q25-'FS Budapest'!Q24))</f>
        <v>12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38</v>
      </c>
      <c r="Q22" s="12">
        <f>'FS Budapest'!AB25</f>
        <v>0</v>
      </c>
      <c r="R22" s="12">
        <f>'FS Budapest'!AE25</f>
        <v>3</v>
      </c>
      <c r="S22" s="12">
        <f>'FS Budapest'!AF25</f>
        <v>18</v>
      </c>
      <c r="T22" s="12">
        <f>IF(('FS Budapest'!AK25-'FS Budapest'!AK24)&lt;0,"0",('FS Budapest'!AK25-'FS Budapest'!AK24))</f>
        <v>1052</v>
      </c>
      <c r="U22" s="12">
        <f>IF(('FS Budapest'!AM25-'FS Budapest'!AM24)&lt;0,"0",('FS Budapest'!AM25-'FS Budapest'!AM24))</f>
        <v>35</v>
      </c>
      <c r="V22" s="12">
        <f>IF(('FS Budapest'!AO25-'FS Budapest'!AO24)&lt;0,"0",('FS Budapest'!AO25-'FS Budapest'!AO24))</f>
        <v>544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18039.9999999996</v>
      </c>
      <c r="Z22" s="12">
        <f>'FS Budapest'!BI25</f>
        <v>18039.9999999996</v>
      </c>
      <c r="AA22" s="12">
        <f>'FS Budapest'!BJ25</f>
        <v>13115.9999999996</v>
      </c>
      <c r="AB22" s="12">
        <f>IF(('FS Budapest'!BK25-'FS Budapest'!BK24)&lt;0,"0",('FS Budapest'!BK25-'FS Budapest'!BK24)*100)</f>
        <v>488.00000000001091</v>
      </c>
      <c r="AC22" s="12">
        <f>'FS Budapest'!BM25</f>
        <v>18527.999999999611</v>
      </c>
      <c r="AD22" s="12">
        <f>IF(('FS Budapest'!BP25-'FS Budapest'!BP24)&lt;0,"0",('FS Budapest'!BP25-'FS Budapest'!BP24))</f>
        <v>20</v>
      </c>
      <c r="AE22" s="12">
        <f>IF(('FS Budapest'!BR25-'FS Budapest'!BR24)&lt;0,"0",('FS Budapest'!BR25-'FS Budapest'!BR24))</f>
        <v>4904</v>
      </c>
      <c r="AF22" s="12">
        <f>'FS Budapest'!BU25</f>
        <v>38</v>
      </c>
      <c r="AG22" s="12">
        <f>'FS Budapest'!BV25</f>
        <v>47</v>
      </c>
    </row>
    <row r="23" spans="1:33" s="16" customFormat="1" x14ac:dyDescent="0.25">
      <c r="A23" s="12" t="s">
        <v>12</v>
      </c>
      <c r="B23" s="15">
        <f t="shared" si="0"/>
        <v>22</v>
      </c>
      <c r="C23" s="3">
        <v>6</v>
      </c>
      <c r="D23" s="12">
        <v>2021</v>
      </c>
      <c r="E23" s="12">
        <f>IF(('FS Budapest'!C26-'FS Budapest'!C25)&lt;0,"0",('FS Budapest'!C26-'FS Budapest'!C25))</f>
        <v>52</v>
      </c>
      <c r="F23" s="12">
        <f>IF(('FS Budapest'!D26-'FS Budapest'!D25)&lt;0,"0",('FS Budapest'!D26-'FS Budapest'!D25))</f>
        <v>89</v>
      </c>
      <c r="G23" s="12">
        <f>IF(('FS Budapest'!E26-'FS Budapest'!Y26)&lt;0,"0",('FS Budapest'!E26-'FS Budapest'!Y26))</f>
        <v>30</v>
      </c>
      <c r="H23" s="12">
        <f>IF(('FS Budapest'!H26-'FS Budapest'!H25)&lt;0,"0",('FS Budapest'!H26-'FS Budapest'!H25))</f>
        <v>91</v>
      </c>
      <c r="I23" s="12">
        <f>IF(('FS Budapest'!I26-'FS Budapest'!I25)&lt;0,"0",('FS Budapest'!I26-'FS Budapest'!I25))</f>
        <v>15</v>
      </c>
      <c r="J23" s="12">
        <f>IF(('FS Budapest'!K26-'FS Budapest'!K25)&lt;0,"0",('FS Budapest'!K26-'FS Budapest'!K25))</f>
        <v>3</v>
      </c>
      <c r="K23" s="12">
        <f>IF(('FS Budapest'!M26-'FS Budapest'!M25)&lt;0,"0",('FS Budapest'!M26-'FS Budapest'!M25))</f>
        <v>4</v>
      </c>
      <c r="L23" s="12">
        <f>IF(('FS Budapest'!O26-'FS Budapest'!O25)&lt;0,"0",('FS Budapest'!O26-'FS Budapest'!O25))</f>
        <v>4</v>
      </c>
      <c r="M23" s="12">
        <f>IF(('FS Budapest'!Q26-'FS Budapest'!Q25)&lt;0,"0",('FS Budapest'!Q26-'FS Budapest'!Q25))</f>
        <v>9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59</v>
      </c>
      <c r="Q23" s="12">
        <f>'FS Budapest'!AB26</f>
        <v>0</v>
      </c>
      <c r="R23" s="12">
        <f>'FS Budapest'!AE26</f>
        <v>4</v>
      </c>
      <c r="S23" s="12">
        <f>'FS Budapest'!AF26</f>
        <v>16</v>
      </c>
      <c r="T23" s="12">
        <f>IF(('FS Budapest'!AK26-'FS Budapest'!AK25)&lt;0,"0",('FS Budapest'!AK26-'FS Budapest'!AK25))</f>
        <v>1001</v>
      </c>
      <c r="U23" s="12">
        <f>IF(('FS Budapest'!AM26-'FS Budapest'!AM25)&lt;0,"0",('FS Budapest'!AM26-'FS Budapest'!AM25))</f>
        <v>39</v>
      </c>
      <c r="V23" s="12">
        <f>IF(('FS Budapest'!AO26-'FS Budapest'!AO25)&lt;0,"0",('FS Budapest'!AO26-'FS Budapest'!AO25))</f>
        <v>522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13420.0000000008</v>
      </c>
      <c r="Z23" s="12">
        <f>'FS Budapest'!BI26</f>
        <v>22220.0000000008</v>
      </c>
      <c r="AA23" s="12">
        <f>'FS Budapest'!BJ26</f>
        <v>17348.0000000008</v>
      </c>
      <c r="AB23" s="12">
        <f>IF(('FS Budapest'!BK26-'FS Budapest'!BK25)&lt;0,"0",('FS Budapest'!BK26-'FS Budapest'!BK25)*100)</f>
        <v>338.99999999998727</v>
      </c>
      <c r="AC23" s="12">
        <f>'FS Budapest'!BM26</f>
        <v>22559.000000000786</v>
      </c>
      <c r="AD23" s="12">
        <f>IF(('FS Budapest'!BP26-'FS Budapest'!BP25)&lt;0,"0",('FS Budapest'!BP26-'FS Budapest'!BP25))</f>
        <v>21</v>
      </c>
      <c r="AE23" s="12">
        <f>IF(('FS Budapest'!BR26-'FS Budapest'!BR25)&lt;0,"0",('FS Budapest'!BR26-'FS Budapest'!BR25))</f>
        <v>4851</v>
      </c>
      <c r="AF23" s="12">
        <f>'FS Budapest'!BU26</f>
        <v>65</v>
      </c>
      <c r="AG23" s="12">
        <f>'FS Budapest'!BV26</f>
        <v>86</v>
      </c>
    </row>
    <row r="24" spans="1:33" s="16" customFormat="1" x14ac:dyDescent="0.25">
      <c r="A24" s="12" t="s">
        <v>12</v>
      </c>
      <c r="B24" s="15">
        <f t="shared" si="0"/>
        <v>23</v>
      </c>
      <c r="C24" s="3">
        <v>6</v>
      </c>
      <c r="D24" s="12">
        <v>2021</v>
      </c>
      <c r="E24" s="12">
        <f>IF(('FS Budapest'!C27-'FS Budapest'!C26)&lt;0,"0",('FS Budapest'!C27-'FS Budapest'!C26))</f>
        <v>46</v>
      </c>
      <c r="F24" s="12">
        <f>IF(('FS Budapest'!D27-'FS Budapest'!D26)&lt;0,"0",('FS Budapest'!D27-'FS Budapest'!D26))</f>
        <v>97</v>
      </c>
      <c r="G24" s="12">
        <f>IF(('FS Budapest'!E27-'FS Budapest'!Y27)&lt;0,"0",('FS Budapest'!E27-'FS Budapest'!Y27))</f>
        <v>32</v>
      </c>
      <c r="H24" s="12">
        <f>IF(('FS Budapest'!H27-'FS Budapest'!H26)&lt;0,"0",('FS Budapest'!H27-'FS Budapest'!H26))</f>
        <v>84</v>
      </c>
      <c r="I24" s="12">
        <f>IF(('FS Budapest'!I27-'FS Budapest'!I26)&lt;0,"0",('FS Budapest'!I27-'FS Budapest'!I26))</f>
        <v>4</v>
      </c>
      <c r="J24" s="12">
        <f>IF(('FS Budapest'!K27-'FS Budapest'!K26)&lt;0,"0",('FS Budapest'!K27-'FS Budapest'!K26))</f>
        <v>5</v>
      </c>
      <c r="K24" s="12">
        <f>IF(('FS Budapest'!M27-'FS Budapest'!M26)&lt;0,"0",('FS Budapest'!M27-'FS Budapest'!M26))</f>
        <v>6</v>
      </c>
      <c r="L24" s="12">
        <f>IF(('FS Budapest'!O27-'FS Budapest'!O26)&lt;0,"0",('FS Budapest'!O27-'FS Budapest'!O26))</f>
        <v>7</v>
      </c>
      <c r="M24" s="12">
        <f>IF(('FS Budapest'!Q27-'FS Budapest'!Q26)&lt;0,"0",('FS Budapest'!Q27-'FS Budapest'!Q26))</f>
        <v>3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65</v>
      </c>
      <c r="Q24" s="12">
        <f>'FS Budapest'!AB27</f>
        <v>0</v>
      </c>
      <c r="R24" s="12">
        <f>'FS Budapest'!AE27</f>
        <v>4</v>
      </c>
      <c r="S24" s="12">
        <f>'FS Budapest'!AF27</f>
        <v>6</v>
      </c>
      <c r="T24" s="12">
        <f>IF(('FS Budapest'!AK27-'FS Budapest'!AK26)&lt;0,"0",('FS Budapest'!AK27-'FS Budapest'!AK26))</f>
        <v>867</v>
      </c>
      <c r="U24" s="12">
        <f>IF(('FS Budapest'!AM27-'FS Budapest'!AM26)&lt;0,"0",('FS Budapest'!AM27-'FS Budapest'!AM26))</f>
        <v>44</v>
      </c>
      <c r="V24" s="12">
        <f>IF(('FS Budapest'!AO27-'FS Budapest'!AO26)&lt;0,"0",('FS Budapest'!AO27-'FS Budapest'!AO26))</f>
        <v>465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24112.00000000008</v>
      </c>
      <c r="Z24" s="12">
        <f>'FS Budapest'!BI27</f>
        <v>15312.00000000008</v>
      </c>
      <c r="AA24" s="12">
        <f>'FS Budapest'!BJ27</f>
        <v>10192.00000000008</v>
      </c>
      <c r="AB24" s="12">
        <f>IF(('FS Budapest'!BK27-'FS Budapest'!BK26)&lt;0,"0",('FS Budapest'!BK27-'FS Budapest'!BK26)*100)</f>
        <v>699.00000000002365</v>
      </c>
      <c r="AC24" s="12">
        <f>'FS Budapest'!BM27</f>
        <v>16011.000000000104</v>
      </c>
      <c r="AD24" s="12">
        <f>IF(('FS Budapest'!BP27-'FS Budapest'!BP26)&lt;0,"0",('FS Budapest'!BP27-'FS Budapest'!BP26))</f>
        <v>19</v>
      </c>
      <c r="AE24" s="12">
        <f>IF(('FS Budapest'!BR27-'FS Budapest'!BR26)&lt;0,"0",('FS Budapest'!BR27-'FS Budapest'!BR26))</f>
        <v>5101</v>
      </c>
      <c r="AF24" s="12">
        <f>'FS Budapest'!BU27</f>
        <v>71</v>
      </c>
      <c r="AG24" s="12">
        <f>'FS Budapest'!BV27</f>
        <v>99</v>
      </c>
    </row>
    <row r="25" spans="1:33" s="16" customFormat="1" x14ac:dyDescent="0.25">
      <c r="A25" s="12" t="s">
        <v>12</v>
      </c>
      <c r="B25" s="15">
        <f t="shared" si="0"/>
        <v>24</v>
      </c>
      <c r="C25" s="3">
        <v>6</v>
      </c>
      <c r="D25" s="12">
        <v>2021</v>
      </c>
      <c r="E25" s="12">
        <f>IF(('FS Budapest'!C28-'FS Budapest'!C27)&lt;0,"0",('FS Budapest'!C28-'FS Budapest'!C27))</f>
        <v>44</v>
      </c>
      <c r="F25" s="12">
        <f>IF(('FS Budapest'!D28-'FS Budapest'!D27)&lt;0,"0",('FS Budapest'!D28-'FS Budapest'!D27))</f>
        <v>96</v>
      </c>
      <c r="G25" s="12">
        <f>IF(('FS Budapest'!E28-'FS Budapest'!Y28)&lt;0,"0",('FS Budapest'!E28-'FS Budapest'!Y28))</f>
        <v>20</v>
      </c>
      <c r="H25" s="12">
        <f>IF(('FS Budapest'!H28-'FS Budapest'!H27)&lt;0,"0",('FS Budapest'!H28-'FS Budapest'!H27))</f>
        <v>81</v>
      </c>
      <c r="I25" s="12">
        <f>IF(('FS Budapest'!I28-'FS Budapest'!I27)&lt;0,"0",('FS Budapest'!I28-'FS Budapest'!I27))</f>
        <v>4</v>
      </c>
      <c r="J25" s="12">
        <f>IF(('FS Budapest'!K28-'FS Budapest'!K27)&lt;0,"0",('FS Budapest'!K28-'FS Budapest'!K27))</f>
        <v>4</v>
      </c>
      <c r="K25" s="12">
        <f>IF(('FS Budapest'!M28-'FS Budapest'!M27)&lt;0,"0",('FS Budapest'!M28-'FS Budapest'!M27))</f>
        <v>15</v>
      </c>
      <c r="L25" s="12">
        <f>IF(('FS Budapest'!O28-'FS Budapest'!O27)&lt;0,"0",('FS Budapest'!O28-'FS Budapest'!O27))</f>
        <v>5</v>
      </c>
      <c r="M25" s="12">
        <f>IF(('FS Budapest'!Q28-'FS Budapest'!Q27)&lt;0,"0",('FS Budapest'!Q28-'FS Budapest'!Q27))</f>
        <v>0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76</v>
      </c>
      <c r="Q25" s="12">
        <f>'FS Budapest'!AB28</f>
        <v>1</v>
      </c>
      <c r="R25" s="12">
        <f>'FS Budapest'!AE28</f>
        <v>4</v>
      </c>
      <c r="S25" s="12">
        <f>'FS Budapest'!AF28</f>
        <v>1</v>
      </c>
      <c r="T25" s="12">
        <f>IF(('FS Budapest'!AK28-'FS Budapest'!AK27)&lt;0,"0",('FS Budapest'!AK28-'FS Budapest'!AK27))</f>
        <v>663</v>
      </c>
      <c r="U25" s="12">
        <f>IF(('FS Budapest'!AM28-'FS Budapest'!AM27)&lt;0,"0",('FS Budapest'!AM28-'FS Budapest'!AM27))</f>
        <v>38</v>
      </c>
      <c r="V25" s="12">
        <f>IF(('FS Budapest'!AO28-'FS Budapest'!AO27)&lt;0,"0",('FS Budapest'!AO28-'FS Budapest'!AO27))</f>
        <v>39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20151.99999999968</v>
      </c>
      <c r="Z25" s="12">
        <f>'FS Budapest'!BI28</f>
        <v>20151.99999999968</v>
      </c>
      <c r="AA25" s="12">
        <f>'FS Budapest'!BJ28</f>
        <v>15776.99999999968</v>
      </c>
      <c r="AB25" s="12">
        <f>IF(('FS Budapest'!BK28-'FS Budapest'!BK27)&lt;0,"0",('FS Budapest'!BK28-'FS Budapest'!BK27)*100)</f>
        <v>552.99999999997453</v>
      </c>
      <c r="AC25" s="12">
        <f>'FS Budapest'!BM28</f>
        <v>20704.999999999654</v>
      </c>
      <c r="AD25" s="12">
        <f>IF(('FS Budapest'!BP28-'FS Budapest'!BP27)&lt;0,"0",('FS Budapest'!BP28-'FS Budapest'!BP27))</f>
        <v>20</v>
      </c>
      <c r="AE25" s="12">
        <f>IF(('FS Budapest'!BR28-'FS Budapest'!BR27)&lt;0,"0",('FS Budapest'!BR28-'FS Budapest'!BR27))</f>
        <v>4355</v>
      </c>
      <c r="AF25" s="12">
        <f>'FS Budapest'!BU28</f>
        <v>31</v>
      </c>
      <c r="AG25" s="12">
        <f>'FS Budapest'!BV28</f>
        <v>38</v>
      </c>
    </row>
    <row r="26" spans="1:33" s="16" customFormat="1" x14ac:dyDescent="0.25">
      <c r="A26" s="12" t="s">
        <v>12</v>
      </c>
      <c r="B26" s="15">
        <f>B25+1</f>
        <v>25</v>
      </c>
      <c r="C26" s="3">
        <v>6</v>
      </c>
      <c r="D26" s="12">
        <v>2021</v>
      </c>
      <c r="E26" s="12">
        <f>IF(('FS Budapest'!C29-'FS Budapest'!C28)&lt;0,"0",('FS Budapest'!C29-'FS Budapest'!C28))</f>
        <v>37</v>
      </c>
      <c r="F26" s="12">
        <f>IF(('FS Budapest'!D29-'FS Budapest'!D28)&lt;0,"0",('FS Budapest'!D29-'FS Budapest'!D28))</f>
        <v>72</v>
      </c>
      <c r="G26" s="12">
        <f>IF(('FS Budapest'!E29-'FS Budapest'!Y29)&lt;0,"0",('FS Budapest'!E29-'FS Budapest'!Y29))</f>
        <v>23</v>
      </c>
      <c r="H26" s="12">
        <f>IF(('FS Budapest'!H29-'FS Budapest'!H28)&lt;0,"0",('FS Budapest'!H29-'FS Budapest'!H28))</f>
        <v>69</v>
      </c>
      <c r="I26" s="12">
        <f>IF(('FS Budapest'!I29-'FS Budapest'!I28)&lt;0,"0",('FS Budapest'!I29-'FS Budapest'!I28))</f>
        <v>3</v>
      </c>
      <c r="J26" s="12">
        <f>IF(('FS Budapest'!K29-'FS Budapest'!K28)&lt;0,"0",('FS Budapest'!K29-'FS Budapest'!K28))</f>
        <v>6</v>
      </c>
      <c r="K26" s="12">
        <f>IF(('FS Budapest'!M29-'FS Budapest'!M28)&lt;0,"0",('FS Budapest'!M29-'FS Budapest'!M28))</f>
        <v>6</v>
      </c>
      <c r="L26" s="12">
        <f>IF(('FS Budapest'!O29-'FS Budapest'!O28)&lt;0,"0",('FS Budapest'!O29-'FS Budapest'!O28))</f>
        <v>3</v>
      </c>
      <c r="M26" s="12">
        <f>IF(('FS Budapest'!Q29-'FS Budapest'!Q28)&lt;0,"0",('FS Budapest'!Q29-'FS Budapest'!Q28))</f>
        <v>0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49</v>
      </c>
      <c r="Q26" s="12">
        <f>'FS Budapest'!AB29</f>
        <v>0</v>
      </c>
      <c r="R26" s="12">
        <f>'FS Budapest'!AE29</f>
        <v>4</v>
      </c>
      <c r="S26" s="12">
        <f>'FS Budapest'!AF29</f>
        <v>0</v>
      </c>
      <c r="T26" s="12">
        <f>IF(('FS Budapest'!AK29-'FS Budapest'!AK28)&lt;0,"0",('FS Budapest'!AK29-'FS Budapest'!AK28))</f>
        <v>653</v>
      </c>
      <c r="U26" s="12">
        <f>IF(('FS Budapest'!AM29-'FS Budapest'!AM28)&lt;0,"0",('FS Budapest'!AM29-'FS Budapest'!AM28))</f>
        <v>45</v>
      </c>
      <c r="V26" s="12">
        <f>IF(('FS Budapest'!AO29-'FS Budapest'!AO28)&lt;0,"0",('FS Budapest'!AO29-'FS Budapest'!AO28))</f>
        <v>46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18568.00000000012</v>
      </c>
      <c r="Z26" s="12">
        <f>'FS Budapest'!BI29</f>
        <v>18568.00000000012</v>
      </c>
      <c r="AA26" s="12">
        <f>'FS Budapest'!BJ29</f>
        <v>14744.00000000012</v>
      </c>
      <c r="AB26" s="12">
        <f>IF(('FS Budapest'!BK29-'FS Budapest'!BK28)&lt;0,"0",('FS Budapest'!BK29-'FS Budapest'!BK28)*100)</f>
        <v>492.00000000000728</v>
      </c>
      <c r="AC26" s="12">
        <f>'FS Budapest'!BM29</f>
        <v>19060.000000000127</v>
      </c>
      <c r="AD26" s="12">
        <f>IF(('FS Budapest'!BP29-'FS Budapest'!BP28)&lt;0,"0",('FS Budapest'!BP29-'FS Budapest'!BP28))</f>
        <v>0</v>
      </c>
      <c r="AE26" s="12">
        <f>IF(('FS Budapest'!BR29-'FS Budapest'!BR28)&lt;0,"0",('FS Budapest'!BR29-'FS Budapest'!BR28))</f>
        <v>3824</v>
      </c>
      <c r="AF26" s="12">
        <f>'FS Budapest'!BU29</f>
        <v>32</v>
      </c>
      <c r="AG26" s="12">
        <f>'FS Budapest'!BV29</f>
        <v>40</v>
      </c>
    </row>
    <row r="27" spans="1:33" s="16" customFormat="1" x14ac:dyDescent="0.25">
      <c r="A27" s="12" t="s">
        <v>12</v>
      </c>
      <c r="B27" s="15">
        <f t="shared" si="0"/>
        <v>26</v>
      </c>
      <c r="C27" s="3">
        <v>6</v>
      </c>
      <c r="D27" s="12">
        <v>2021</v>
      </c>
      <c r="E27" s="12">
        <f>IF(('FS Budapest'!C30-'FS Budapest'!C29)&lt;0,"0",('FS Budapest'!C30-'FS Budapest'!C29))</f>
        <v>36</v>
      </c>
      <c r="F27" s="12">
        <f>IF(('FS Budapest'!D30-'FS Budapest'!D29)&lt;0,"0",('FS Budapest'!D30-'FS Budapest'!D29))</f>
        <v>79</v>
      </c>
      <c r="G27" s="12">
        <f>IF(('FS Budapest'!E30-'FS Budapest'!Y30)&lt;0,"0",('FS Budapest'!E30-'FS Budapest'!Y30))</f>
        <v>23</v>
      </c>
      <c r="H27" s="12">
        <f>IF(('FS Budapest'!H30-'FS Budapest'!H29)&lt;0,"0",('FS Budapest'!H30-'FS Budapest'!H29))</f>
        <v>68</v>
      </c>
      <c r="I27" s="12">
        <f>IF(('FS Budapest'!I30-'FS Budapest'!I29)&lt;0,"0",('FS Budapest'!I30-'FS Budapest'!I29))</f>
        <v>4</v>
      </c>
      <c r="J27" s="12">
        <f>IF(('FS Budapest'!K30-'FS Budapest'!K29)&lt;0,"0",('FS Budapest'!K30-'FS Budapest'!K29))</f>
        <v>4</v>
      </c>
      <c r="K27" s="12">
        <f>IF(('FS Budapest'!M30-'FS Budapest'!M29)&lt;0,"0",('FS Budapest'!M30-'FS Budapest'!M29))</f>
        <v>7</v>
      </c>
      <c r="L27" s="12">
        <f>IF(('FS Budapest'!O30-'FS Budapest'!O29)&lt;0,"0",('FS Budapest'!O30-'FS Budapest'!O29))</f>
        <v>3</v>
      </c>
      <c r="M27" s="12">
        <f>IF(('FS Budapest'!Q30-'FS Budapest'!Q29)&lt;0,"0",('FS Budapest'!Q30-'FS Budapest'!Q29))</f>
        <v>0</v>
      </c>
      <c r="N27" s="12">
        <f>IF(('FS Budapest'!S30-'FS Budapest'!S29)&lt;0,"0",('FS Budapest'!S30-'FS Budapest'!S29))</f>
        <v>1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56</v>
      </c>
      <c r="Q27" s="12">
        <f>'FS Budapest'!AB30</f>
        <v>0</v>
      </c>
      <c r="R27" s="12">
        <f>'FS Budapest'!AE30</f>
        <v>3</v>
      </c>
      <c r="S27" s="12">
        <f>'FS Budapest'!AF30</f>
        <v>1</v>
      </c>
      <c r="T27" s="12">
        <f>IF(('FS Budapest'!AK30-'FS Budapest'!AK29)&lt;0,"0",('FS Budapest'!AK30-'FS Budapest'!AK29))</f>
        <v>682</v>
      </c>
      <c r="U27" s="12">
        <f>IF(('FS Budapest'!AM30-'FS Budapest'!AM29)&lt;0,"0",('FS Budapest'!AM30-'FS Budapest'!AM29))</f>
        <v>43</v>
      </c>
      <c r="V27" s="12">
        <f>IF(('FS Budapest'!AO30-'FS Budapest'!AO29)&lt;0,"0",('FS Budapest'!AO30-'FS Budapest'!AO29))</f>
        <v>46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17292.00000000028</v>
      </c>
      <c r="Z27" s="12">
        <f>'FS Budapest'!BI30</f>
        <v>17292.00000000028</v>
      </c>
      <c r="AA27" s="12">
        <f>'FS Budapest'!BJ30</f>
        <v>14296.00000000028</v>
      </c>
      <c r="AB27" s="12">
        <f>IF(('FS Budapest'!BK30-'FS Budapest'!BK29)&lt;0,"0",('FS Budapest'!BK30-'FS Budapest'!BK29)*100)</f>
        <v>442.00000000000728</v>
      </c>
      <c r="AC27" s="12">
        <f>'FS Budapest'!BM30</f>
        <v>17734.000000000287</v>
      </c>
      <c r="AD27" s="12">
        <f>IF(('FS Budapest'!BP30-'FS Budapest'!BP29)&lt;0,"0",('FS Budapest'!BP30-'FS Budapest'!BP29))</f>
        <v>1255</v>
      </c>
      <c r="AE27" s="12">
        <f>IF(('FS Budapest'!BR30-'FS Budapest'!BR29)&lt;0,"0",('FS Budapest'!BR30-'FS Budapest'!BR29))</f>
        <v>1741</v>
      </c>
      <c r="AF27" s="12">
        <f>'FS Budapest'!BU30</f>
        <v>33</v>
      </c>
      <c r="AG27" s="12">
        <f>'FS Budapest'!BV30</f>
        <v>42</v>
      </c>
    </row>
    <row r="28" spans="1:33" s="16" customFormat="1" x14ac:dyDescent="0.25">
      <c r="A28" s="12" t="s">
        <v>12</v>
      </c>
      <c r="B28" s="15">
        <f t="shared" si="0"/>
        <v>27</v>
      </c>
      <c r="C28" s="3">
        <v>6</v>
      </c>
      <c r="D28" s="12">
        <v>2021</v>
      </c>
      <c r="E28" s="12">
        <f>IF(('FS Budapest'!C31-'FS Budapest'!C30)&lt;0,"0",('FS Budapest'!C31-'FS Budapest'!C30))</f>
        <v>33</v>
      </c>
      <c r="F28" s="12">
        <f>IF(('FS Budapest'!D31-'FS Budapest'!D30)&lt;0,"0",('FS Budapest'!D31-'FS Budapest'!D30))</f>
        <v>67</v>
      </c>
      <c r="G28" s="12">
        <f>IF(('FS Budapest'!E31-'FS Budapest'!Y31)&lt;0,"0",('FS Budapest'!E31-'FS Budapest'!Y31))</f>
        <v>22</v>
      </c>
      <c r="H28" s="12">
        <f>IF(('FS Budapest'!H31-'FS Budapest'!H30)&lt;0,"0",('FS Budapest'!H31-'FS Budapest'!H30))</f>
        <v>61</v>
      </c>
      <c r="I28" s="12">
        <f>IF(('FS Budapest'!I31-'FS Budapest'!I30)&lt;0,"0",('FS Budapest'!I31-'FS Budapest'!I30))</f>
        <v>4</v>
      </c>
      <c r="J28" s="12">
        <f>IF(('FS Budapest'!K31-'FS Budapest'!K30)&lt;0,"0",('FS Budapest'!K31-'FS Budapest'!K30))</f>
        <v>4</v>
      </c>
      <c r="K28" s="12">
        <f>IF(('FS Budapest'!M31-'FS Budapest'!M30)&lt;0,"0",('FS Budapest'!M31-'FS Budapest'!M30))</f>
        <v>4</v>
      </c>
      <c r="L28" s="12">
        <f>IF(('FS Budapest'!O31-'FS Budapest'!O30)&lt;0,"0",('FS Budapest'!O31-'FS Budapest'!O30))</f>
        <v>2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45</v>
      </c>
      <c r="Q28" s="12">
        <f>'FS Budapest'!AB31</f>
        <v>0</v>
      </c>
      <c r="R28" s="12">
        <f>'FS Budapest'!AE31</f>
        <v>2</v>
      </c>
      <c r="S28" s="12">
        <f>'FS Budapest'!AF31</f>
        <v>0</v>
      </c>
      <c r="T28" s="12">
        <f>IF(('FS Budapest'!AK31-'FS Budapest'!AK30)&lt;0,"0",('FS Budapest'!AK31-'FS Budapest'!AK30))</f>
        <v>574</v>
      </c>
      <c r="U28" s="12">
        <f>IF(('FS Budapest'!AM31-'FS Budapest'!AM30)&lt;0,"0",('FS Budapest'!AM31-'FS Budapest'!AM30))</f>
        <v>51</v>
      </c>
      <c r="V28" s="12">
        <f>IF(('FS Budapest'!AO31-'FS Budapest'!AO30)&lt;0,"0",('FS Budapest'!AO31-'FS Budapest'!AO30))</f>
        <v>46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16279.9999999992</v>
      </c>
      <c r="Z28" s="12">
        <f>'FS Budapest'!BI31</f>
        <v>16279.9999999992</v>
      </c>
      <c r="AA28" s="12">
        <f>'FS Budapest'!BJ31</f>
        <v>10606.9999999992</v>
      </c>
      <c r="AB28" s="12">
        <f>IF(('FS Budapest'!BK31-'FS Budapest'!BK30)&lt;0,"0",('FS Budapest'!BK31-'FS Budapest'!BK30)*100)</f>
        <v>440.00000000000909</v>
      </c>
      <c r="AC28" s="12">
        <f>'FS Budapest'!BM31</f>
        <v>16719.999999999207</v>
      </c>
      <c r="AD28" s="12">
        <f>IF(('FS Budapest'!BP31-'FS Budapest'!BP30)&lt;0,"0",('FS Budapest'!BP31-'FS Budapest'!BP30))</f>
        <v>2527</v>
      </c>
      <c r="AE28" s="12">
        <f>IF(('FS Budapest'!BR31-'FS Budapest'!BR30)&lt;0,"0",('FS Budapest'!BR31-'FS Budapest'!BR30))</f>
        <v>3146</v>
      </c>
      <c r="AF28" s="12">
        <f>'FS Budapest'!BU31</f>
        <v>41</v>
      </c>
      <c r="AG28" s="12">
        <f>'FS Budapest'!BV31</f>
        <v>54</v>
      </c>
    </row>
    <row r="29" spans="1:33" s="16" customFormat="1" x14ac:dyDescent="0.25">
      <c r="A29" s="12" t="s">
        <v>12</v>
      </c>
      <c r="B29" s="15">
        <f t="shared" si="0"/>
        <v>28</v>
      </c>
      <c r="C29" s="3">
        <v>6</v>
      </c>
      <c r="D29" s="12">
        <v>2021</v>
      </c>
      <c r="E29" s="12">
        <f>IF(('FS Budapest'!C32-'FS Budapest'!C31)&lt;0,"0",('FS Budapest'!C32-'FS Budapest'!C31))</f>
        <v>39</v>
      </c>
      <c r="F29" s="12">
        <f>IF(('FS Budapest'!D32-'FS Budapest'!D31)&lt;0,"0",('FS Budapest'!D32-'FS Budapest'!D31))</f>
        <v>84</v>
      </c>
      <c r="G29" s="12">
        <f>IF(('FS Budapest'!E32-'FS Budapest'!Y32)&lt;0,"0",('FS Budapest'!E32-'FS Budapest'!Y32))</f>
        <v>47</v>
      </c>
      <c r="H29" s="12">
        <f>IF(('FS Budapest'!H32-'FS Budapest'!H31)&lt;0,"0",('FS Budapest'!H32-'FS Budapest'!H31))</f>
        <v>73</v>
      </c>
      <c r="I29" s="12">
        <f>IF(('FS Budapest'!I32-'FS Budapest'!I31)&lt;0,"0",('FS Budapest'!I32-'FS Budapest'!I31))</f>
        <v>4</v>
      </c>
      <c r="J29" s="12">
        <f>IF(('FS Budapest'!K32-'FS Budapest'!K31)&lt;0,"0",('FS Budapest'!K32-'FS Budapest'!K31))</f>
        <v>3</v>
      </c>
      <c r="K29" s="12">
        <f>IF(('FS Budapest'!M32-'FS Budapest'!M31)&lt;0,"0",('FS Budapest'!M32-'FS Budapest'!M31))</f>
        <v>5</v>
      </c>
      <c r="L29" s="12">
        <f>IF(('FS Budapest'!O32-'FS Budapest'!O31)&lt;0,"0",('FS Budapest'!O32-'FS Budapest'!O31))</f>
        <v>3</v>
      </c>
      <c r="M29" s="12">
        <f>IF(('FS Budapest'!Q32-'FS Budapest'!Q31)&lt;0,"0",('FS Budapest'!Q32-'FS Budapest'!Q31))</f>
        <v>0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37</v>
      </c>
      <c r="Q29" s="12">
        <f>'FS Budapest'!AB32</f>
        <v>1</v>
      </c>
      <c r="R29" s="12">
        <f>'FS Budapest'!AE32</f>
        <v>3</v>
      </c>
      <c r="S29" s="12">
        <f>'FS Budapest'!AF32</f>
        <v>0</v>
      </c>
      <c r="T29" s="12">
        <f>IF(('FS Budapest'!AK32-'FS Budapest'!AK31)&lt;0,"0",('FS Budapest'!AK32-'FS Budapest'!AK31))</f>
        <v>626</v>
      </c>
      <c r="U29" s="12">
        <f>IF(('FS Budapest'!AM32-'FS Budapest'!AM31)&lt;0,"0",('FS Budapest'!AM32-'FS Budapest'!AM31))</f>
        <v>30</v>
      </c>
      <c r="V29" s="12">
        <f>IF(('FS Budapest'!AO32-'FS Budapest'!AO31)&lt;0,"0",('FS Budapest'!AO32-'FS Budapest'!AO31))</f>
        <v>41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20812.00000000008</v>
      </c>
      <c r="Z29" s="12">
        <f>'FS Budapest'!BI32</f>
        <v>20812.00000000008</v>
      </c>
      <c r="AA29" s="12">
        <f>'FS Budapest'!BJ32</f>
        <v>15028.00000000008</v>
      </c>
      <c r="AB29" s="12">
        <f>IF(('FS Budapest'!BK32-'FS Budapest'!BK31)&lt;0,"0",('FS Budapest'!BK32-'FS Budapest'!BK31)*100)</f>
        <v>517.99999999998363</v>
      </c>
      <c r="AC29" s="12">
        <f>'FS Budapest'!BM32</f>
        <v>21330.000000000065</v>
      </c>
      <c r="AD29" s="12">
        <f>IF(('FS Budapest'!BP32-'FS Budapest'!BP31)&lt;0,"0",('FS Budapest'!BP32-'FS Budapest'!BP31))</f>
        <v>2895</v>
      </c>
      <c r="AE29" s="12">
        <f>IF(('FS Budapest'!BR32-'FS Budapest'!BR31)&lt;0,"0",('FS Budapest'!BR32-'FS Budapest'!BR31))</f>
        <v>2889</v>
      </c>
      <c r="AF29" s="12">
        <f>'FS Budapest'!BU32</f>
        <v>29</v>
      </c>
      <c r="AG29" s="12">
        <f>'FS Budapest'!BV32</f>
        <v>37</v>
      </c>
    </row>
    <row r="30" spans="1:33" s="16" customFormat="1" x14ac:dyDescent="0.25">
      <c r="A30" s="12" t="s">
        <v>12</v>
      </c>
      <c r="B30" s="15">
        <f t="shared" si="0"/>
        <v>29</v>
      </c>
      <c r="C30" s="3">
        <v>6</v>
      </c>
      <c r="D30" s="12">
        <v>2021</v>
      </c>
      <c r="E30" s="12">
        <f>IF(('FS Budapest'!C33-'FS Budapest'!C32)&lt;0,"0",('FS Budapest'!C33-'FS Budapest'!C32))</f>
        <v>52</v>
      </c>
      <c r="F30" s="12">
        <f>IF(('FS Budapest'!D33-'FS Budapest'!D32)&lt;0,"0",('FS Budapest'!D33-'FS Budapest'!D32))</f>
        <v>77</v>
      </c>
      <c r="G30" s="12">
        <f>IF(('FS Budapest'!E33-'FS Budapest'!Y33)&lt;0,"0",('FS Budapest'!E33-'FS Budapest'!Y33))</f>
        <v>3</v>
      </c>
      <c r="H30" s="12">
        <f>IF(('FS Budapest'!H33-'FS Budapest'!H32)&lt;0,"0",('FS Budapest'!H33-'FS Budapest'!H32))</f>
        <v>94</v>
      </c>
      <c r="I30" s="12">
        <f>IF(('FS Budapest'!I33-'FS Budapest'!I32)&lt;0,"0",('FS Budapest'!I33-'FS Budapest'!I32))</f>
        <v>25</v>
      </c>
      <c r="J30" s="12">
        <f>IF(('FS Budapest'!K33-'FS Budapest'!K32)&lt;0,"0",('FS Budapest'!K33-'FS Budapest'!K32))</f>
        <v>4</v>
      </c>
      <c r="K30" s="12">
        <f>IF(('FS Budapest'!M33-'FS Budapest'!M32)&lt;0,"0",('FS Budapest'!M33-'FS Budapest'!M32))</f>
        <v>6</v>
      </c>
      <c r="L30" s="12">
        <f>IF(('FS Budapest'!O33-'FS Budapest'!O32)&lt;0,"0",('FS Budapest'!O33-'FS Budapest'!O32))</f>
        <v>2</v>
      </c>
      <c r="M30" s="12">
        <f>IF(('FS Budapest'!Q33-'FS Budapest'!Q32)&lt;0,"0",('FS Budapest'!Q33-'FS Budapest'!Q32))</f>
        <v>18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74</v>
      </c>
      <c r="Q30" s="12">
        <f>'FS Budapest'!AB33</f>
        <v>0</v>
      </c>
      <c r="R30" s="12">
        <f>'FS Budapest'!AE33</f>
        <v>5</v>
      </c>
      <c r="S30" s="12">
        <f>'FS Budapest'!AF33</f>
        <v>25</v>
      </c>
      <c r="T30" s="12">
        <f>IF(('FS Budapest'!AK33-'FS Budapest'!AK32)&lt;0,"0",('FS Budapest'!AK33-'FS Budapest'!AK32))</f>
        <v>906</v>
      </c>
      <c r="U30" s="12">
        <f>IF(('FS Budapest'!AM33-'FS Budapest'!AM32)&lt;0,"0",('FS Budapest'!AM33-'FS Budapest'!AM32))</f>
        <v>29</v>
      </c>
      <c r="V30" s="12">
        <f>IF(('FS Budapest'!AO33-'FS Budapest'!AO32)&lt;0,"0",('FS Budapest'!AO33-'FS Budapest'!AO32))</f>
        <v>675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20592.00000000028</v>
      </c>
      <c r="Z30" s="12">
        <f>'FS Budapest'!BI33</f>
        <v>20592.00000000028</v>
      </c>
      <c r="AA30" s="12">
        <f>'FS Budapest'!BJ33</f>
        <v>15157.00000000028</v>
      </c>
      <c r="AB30" s="12">
        <f>IF(('FS Budapest'!BK33-'FS Budapest'!BK32)&lt;0,"0",('FS Budapest'!BK33-'FS Budapest'!BK32)*100)</f>
        <v>507.99999999999272</v>
      </c>
      <c r="AC30" s="12">
        <f>'FS Budapest'!BM33</f>
        <v>21100.000000000273</v>
      </c>
      <c r="AD30" s="12">
        <f>IF(('FS Budapest'!BP33-'FS Budapest'!BP32)&lt;0,"0",('FS Budapest'!BP33-'FS Budapest'!BP32))</f>
        <v>2705</v>
      </c>
      <c r="AE30" s="12">
        <f>IF(('FS Budapest'!BR33-'FS Budapest'!BR32)&lt;0,"0",('FS Budapest'!BR33-'FS Budapest'!BR32))</f>
        <v>2730</v>
      </c>
      <c r="AF30" s="12">
        <f>'FS Budapest'!BU33</f>
        <v>29</v>
      </c>
      <c r="AG30" s="12">
        <f>'FS Budapest'!BV33</f>
        <v>37</v>
      </c>
    </row>
    <row r="31" spans="1:33" s="14" customFormat="1" x14ac:dyDescent="0.25">
      <c r="A31" s="12" t="s">
        <v>12</v>
      </c>
      <c r="B31" s="15">
        <f t="shared" si="0"/>
        <v>30</v>
      </c>
      <c r="C31" s="3">
        <v>6</v>
      </c>
      <c r="D31" s="12">
        <v>2021</v>
      </c>
      <c r="E31" s="12">
        <f>IF(('FS Budapest'!C34-'FS Budapest'!C33)&lt;0,"0",('FS Budapest'!C34-'FS Budapest'!C33))</f>
        <v>27</v>
      </c>
      <c r="F31" s="12">
        <f>IF(('FS Budapest'!D34-'FS Budapest'!D33)&lt;0,"0",('FS Budapest'!D34-'FS Budapest'!D33))</f>
        <v>79</v>
      </c>
      <c r="G31" s="12">
        <f>IF(('FS Budapest'!E34-'FS Budapest'!Y34)&lt;0,"0",('FS Budapest'!E34-'FS Budapest'!Y34))</f>
        <v>18</v>
      </c>
      <c r="H31" s="12">
        <f>IF(('FS Budapest'!H34-'FS Budapest'!H33)&lt;0,"0",('FS Budapest'!H34-'FS Budapest'!H33))</f>
        <v>85</v>
      </c>
      <c r="I31" s="12">
        <f>IF(('FS Budapest'!I34-'FS Budapest'!I33)&lt;0,"0",('FS Budapest'!I34-'FS Budapest'!I33))</f>
        <v>24</v>
      </c>
      <c r="J31" s="12">
        <f>IF(('FS Budapest'!K34-'FS Budapest'!K33)&lt;0,"0",('FS Budapest'!K34-'FS Budapest'!K33))</f>
        <v>4</v>
      </c>
      <c r="K31" s="12">
        <f>IF(('FS Budapest'!M34-'FS Budapest'!M33)&lt;0,"0",('FS Budapest'!M34-'FS Budapest'!M33))</f>
        <v>4</v>
      </c>
      <c r="L31" s="12">
        <f>IF(('FS Budapest'!O34-'FS Budapest'!O33)&lt;0,"0",('FS Budapest'!O34-'FS Budapest'!O33))</f>
        <v>2</v>
      </c>
      <c r="M31" s="12">
        <f>IF(('FS Budapest'!Q34-'FS Budapest'!Q33)&lt;0,"0",('FS Budapest'!Q34-'FS Budapest'!Q33))</f>
        <v>9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61</v>
      </c>
      <c r="Q31" s="12">
        <f>'FS Budapest'!AB34</f>
        <v>0</v>
      </c>
      <c r="R31" s="12">
        <f>'FS Budapest'!AE34</f>
        <v>3</v>
      </c>
      <c r="S31" s="12">
        <f>'FS Budapest'!AF34</f>
        <v>15</v>
      </c>
      <c r="T31" s="12">
        <f>IF(('FS Budapest'!AK34-'FS Budapest'!AK33)&lt;0,"0",('FS Budapest'!AK34-'FS Budapest'!AK33))</f>
        <v>746</v>
      </c>
      <c r="U31" s="12">
        <f>IF(('FS Budapest'!AM34-'FS Budapest'!AM33)&lt;0,"0",('FS Budapest'!AM34-'FS Budapest'!AM33))</f>
        <v>34</v>
      </c>
      <c r="V31" s="12">
        <f>IF(('FS Budapest'!AO34-'FS Budapest'!AO33)&lt;0,"0",('FS Budapest'!AO34-'FS Budapest'!AO33))</f>
        <v>521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19712.00000000008</v>
      </c>
      <c r="Z31" s="12">
        <f>'FS Budapest'!BI34</f>
        <v>19712.00000000008</v>
      </c>
      <c r="AA31" s="12">
        <f>'FS Budapest'!BJ34</f>
        <v>16459.00000000008</v>
      </c>
      <c r="AB31" s="12">
        <f>IF(('FS Budapest'!BK34-'FS Budapest'!BK33)&lt;0,"0",('FS Budapest'!BK34-'FS Budapest'!BK33)*100)</f>
        <v>536.00000000001273</v>
      </c>
      <c r="AC31" s="12">
        <f>'FS Budapest'!BM34</f>
        <v>20248.000000000095</v>
      </c>
      <c r="AD31" s="12">
        <f>IF(('FS Budapest'!BP34-'FS Budapest'!BP33)&lt;0,"0",('FS Budapest'!BP34-'FS Budapest'!BP33))</f>
        <v>3117</v>
      </c>
      <c r="AE31" s="12">
        <f>IF(('FS Budapest'!BR34-'FS Budapest'!BR33)&lt;0,"0",('FS Budapest'!BR34-'FS Budapest'!BR33))</f>
        <v>136</v>
      </c>
      <c r="AF31" s="12">
        <f>'FS Budapest'!BU34</f>
        <v>45</v>
      </c>
      <c r="AG31" s="12">
        <f>'FS Budapest'!BV34</f>
        <v>53</v>
      </c>
    </row>
    <row r="32" spans="1:33" x14ac:dyDescent="0.25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 x14ac:dyDescent="0.25">
      <c r="D33" s="12"/>
    </row>
    <row r="34" spans="4:4" x14ac:dyDescent="0.25">
      <c r="D34" s="12"/>
    </row>
    <row r="35" spans="4:4" x14ac:dyDescent="0.25">
      <c r="D35" s="12"/>
    </row>
    <row r="36" spans="4:4" x14ac:dyDescent="0.25">
      <c r="D36" s="12"/>
    </row>
    <row r="37" spans="4:4" x14ac:dyDescent="0.25">
      <c r="D37" s="12"/>
    </row>
    <row r="38" spans="4:4" x14ac:dyDescent="0.25">
      <c r="D38" s="12"/>
    </row>
    <row r="39" spans="4:4" x14ac:dyDescent="0.25">
      <c r="D39" s="12"/>
    </row>
    <row r="40" spans="4:4" x14ac:dyDescent="0.25">
      <c r="D40" s="12"/>
    </row>
    <row r="41" spans="4:4" x14ac:dyDescent="0.25">
      <c r="D41" s="12"/>
    </row>
    <row r="42" spans="4:4" x14ac:dyDescent="0.25">
      <c r="D42" s="12"/>
    </row>
    <row r="43" spans="4:4" x14ac:dyDescent="0.25">
      <c r="D43" s="12"/>
    </row>
    <row r="44" spans="4:4" x14ac:dyDescent="0.25">
      <c r="D44" s="12"/>
    </row>
    <row r="45" spans="4:4" x14ac:dyDescent="0.25">
      <c r="D45" s="12"/>
    </row>
    <row r="46" spans="4:4" x14ac:dyDescent="0.25">
      <c r="D46" s="12"/>
    </row>
    <row r="47" spans="4:4" x14ac:dyDescent="0.25">
      <c r="D47" s="12"/>
    </row>
    <row r="48" spans="4:4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5"/>
  <sheetViews>
    <sheetView tabSelected="1" topLeftCell="AA1" zoomScale="70" zoomScaleNormal="70" workbookViewId="0">
      <selection activeCell="AQ12" sqref="AQ12"/>
    </sheetView>
  </sheetViews>
  <sheetFormatPr defaultColWidth="9.140625" defaultRowHeight="18.75" x14ac:dyDescent="0.25"/>
  <cols>
    <col min="1" max="1" width="4.42578125" style="52" customWidth="1"/>
    <col min="2" max="2" width="15" style="18" customWidth="1"/>
    <col min="3" max="3" width="18.85546875" style="18" customWidth="1"/>
    <col min="4" max="4" width="20.140625" style="18" customWidth="1"/>
    <col min="5" max="5" width="20.28515625" style="18" customWidth="1"/>
    <col min="6" max="6" width="28.140625" style="18" customWidth="1"/>
    <col min="7" max="8" width="15" style="18" customWidth="1"/>
    <col min="9" max="10" width="23.5703125" style="18" customWidth="1"/>
    <col min="11" max="11" width="18.140625" style="18" customWidth="1"/>
    <col min="12" max="12" width="24.85546875" style="18" customWidth="1"/>
    <col min="13" max="13" width="17.7109375" style="18" customWidth="1"/>
    <col min="14" max="14" width="6" style="53" customWidth="1"/>
    <col min="15" max="15" width="19.28515625" style="54" customWidth="1"/>
    <col min="16" max="16" width="6" style="53" customWidth="1"/>
    <col min="17" max="17" width="21" style="55" customWidth="1"/>
    <col min="18" max="18" width="25.7109375" style="18" customWidth="1"/>
    <col min="19" max="19" width="20.140625" style="18" customWidth="1"/>
    <col min="20" max="20" width="26.85546875" style="18" customWidth="1"/>
    <col min="21" max="21" width="24" style="18" customWidth="1"/>
    <col min="22" max="22" width="24.85546875" style="18" customWidth="1"/>
    <col min="23" max="23" width="25.42578125" style="18" customWidth="1"/>
    <col min="24" max="24" width="15.42578125" style="18" customWidth="1"/>
    <col min="25" max="25" width="22" style="18" customWidth="1"/>
    <col min="26" max="26" width="20.7109375" style="18" customWidth="1"/>
    <col min="27" max="27" width="24.5703125" style="18" customWidth="1"/>
    <col min="28" max="28" width="15.5703125" style="18" customWidth="1"/>
    <col min="29" max="30" width="19.5703125" style="18" customWidth="1"/>
    <col min="31" max="31" width="16.42578125" style="18" customWidth="1"/>
    <col min="32" max="32" width="13.85546875" style="18" customWidth="1"/>
    <col min="33" max="33" width="10.85546875" style="18" customWidth="1"/>
    <col min="34" max="34" width="9.28515625" style="18" bestFit="1" customWidth="1"/>
    <col min="35" max="35" width="13.42578125" style="18" customWidth="1"/>
    <col min="36" max="36" width="17.140625" style="18" customWidth="1"/>
    <col min="37" max="37" width="17" style="18" customWidth="1"/>
    <col min="38" max="38" width="18.140625" style="18" customWidth="1"/>
    <col min="39" max="39" width="17" style="18" customWidth="1"/>
    <col min="40" max="40" width="15.85546875" style="18" customWidth="1"/>
    <col min="41" max="41" width="19" style="18" customWidth="1"/>
    <col min="42" max="42" width="13.28515625" style="18" bestFit="1" customWidth="1"/>
    <col min="43" max="43" width="19" style="18" customWidth="1"/>
    <col min="44" max="44" width="7.5703125" style="18" bestFit="1" customWidth="1"/>
    <col min="45" max="45" width="12.42578125" style="18" customWidth="1"/>
    <col min="46" max="46" width="9.28515625" style="18" bestFit="1" customWidth="1"/>
    <col min="47" max="47" width="13.42578125" style="18" customWidth="1"/>
    <col min="48" max="48" width="17.140625" style="18" customWidth="1"/>
    <col min="49" max="49" width="5.140625" style="18" customWidth="1"/>
    <col min="50" max="50" width="11" style="18" customWidth="1"/>
    <col min="51" max="51" width="14.28515625" style="18" customWidth="1"/>
    <col min="52" max="52" width="5.140625" style="18" customWidth="1"/>
    <col min="53" max="53" width="14.140625" style="18" customWidth="1"/>
    <col min="54" max="54" width="23.5703125" style="18" customWidth="1"/>
    <col min="55" max="55" width="11.42578125" style="18" customWidth="1"/>
    <col min="56" max="56" width="39.5703125" style="18" customWidth="1"/>
    <col min="57" max="57" width="41.7109375" style="18" customWidth="1"/>
    <col min="58" max="58" width="17.28515625" style="57" customWidth="1"/>
    <col min="59" max="59" width="44.42578125" style="58" customWidth="1"/>
    <col min="60" max="60" width="40.7109375" style="58" customWidth="1"/>
    <col min="61" max="61" width="40.28515625" style="18" bestFit="1" customWidth="1"/>
    <col min="62" max="62" width="48.7109375" style="18" bestFit="1" customWidth="1"/>
    <col min="63" max="63" width="17.28515625" style="18" customWidth="1"/>
    <col min="64" max="64" width="26.85546875" style="18" bestFit="1" customWidth="1"/>
    <col min="65" max="65" width="28.140625" style="18" bestFit="1" customWidth="1"/>
    <col min="66" max="66" width="13.42578125" style="18" customWidth="1"/>
    <col min="67" max="67" width="13.85546875" style="18" bestFit="1" customWidth="1"/>
    <col min="68" max="68" width="12.42578125" style="18" customWidth="1"/>
    <col min="69" max="69" width="18.5703125" style="18" bestFit="1" customWidth="1"/>
    <col min="70" max="70" width="12.42578125" style="18" customWidth="1"/>
    <col min="71" max="71" width="18.5703125" style="18" bestFit="1" customWidth="1"/>
    <col min="72" max="72" width="21.5703125" style="18" bestFit="1" customWidth="1"/>
    <col min="73" max="73" width="18.5703125" style="18" bestFit="1" customWidth="1"/>
    <col min="74" max="74" width="15.7109375" style="18" bestFit="1" customWidth="1"/>
    <col min="75" max="84" width="75.7109375" style="18" customWidth="1"/>
    <col min="85" max="16384" width="9.140625" style="18"/>
  </cols>
  <sheetData>
    <row r="1" spans="1:74" s="67" customFormat="1" ht="30" customHeight="1" thickBot="1" x14ac:dyDescent="0.35">
      <c r="A1" s="59"/>
      <c r="B1" s="163" t="s">
        <v>40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5"/>
      <c r="AK1" s="166" t="s">
        <v>41</v>
      </c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8"/>
      <c r="AW1" s="169" t="s">
        <v>42</v>
      </c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1"/>
      <c r="BO1" s="89"/>
      <c r="BP1" s="90"/>
      <c r="BQ1" s="90"/>
      <c r="BR1" s="90"/>
      <c r="BS1" s="90"/>
      <c r="BT1" s="91"/>
      <c r="BU1" s="94" t="s">
        <v>43</v>
      </c>
      <c r="BV1" s="94" t="s">
        <v>43</v>
      </c>
    </row>
    <row r="2" spans="1:74" s="67" customFormat="1" ht="30" customHeight="1" thickBot="1" x14ac:dyDescent="0.35">
      <c r="A2" s="59"/>
      <c r="B2" s="68"/>
      <c r="C2" s="69" t="s">
        <v>44</v>
      </c>
      <c r="D2" s="69"/>
      <c r="E2" s="69" t="s">
        <v>45</v>
      </c>
      <c r="F2" s="69"/>
      <c r="G2" s="69"/>
      <c r="H2" s="69" t="s">
        <v>46</v>
      </c>
      <c r="I2" s="69" t="s">
        <v>47</v>
      </c>
      <c r="J2" s="69"/>
      <c r="K2" s="69" t="s">
        <v>48</v>
      </c>
      <c r="L2" s="69"/>
      <c r="M2" s="69" t="s">
        <v>49</v>
      </c>
      <c r="N2" s="69"/>
      <c r="O2" s="69" t="s">
        <v>50</v>
      </c>
      <c r="P2" s="69"/>
      <c r="Q2" s="69" t="s">
        <v>51</v>
      </c>
      <c r="R2" s="69"/>
      <c r="S2" s="69" t="s">
        <v>52</v>
      </c>
      <c r="T2" s="69"/>
      <c r="U2" s="69" t="s">
        <v>53</v>
      </c>
      <c r="V2" s="69" t="s">
        <v>54</v>
      </c>
      <c r="W2" s="69"/>
      <c r="X2" s="69" t="s">
        <v>55</v>
      </c>
      <c r="Y2" s="69"/>
      <c r="Z2" s="69" t="s">
        <v>56</v>
      </c>
      <c r="AA2" s="69" t="s">
        <v>57</v>
      </c>
      <c r="AB2" s="69"/>
      <c r="AC2" s="69" t="s">
        <v>58</v>
      </c>
      <c r="AD2" s="69" t="s">
        <v>59</v>
      </c>
      <c r="AE2" s="69"/>
      <c r="AF2" s="69"/>
      <c r="AG2" s="69"/>
      <c r="AH2" s="70"/>
      <c r="AI2" s="71"/>
      <c r="AJ2" s="17"/>
      <c r="AK2" s="72" t="s">
        <v>60</v>
      </c>
      <c r="AL2" s="72"/>
      <c r="AM2" s="72" t="s">
        <v>61</v>
      </c>
      <c r="AN2" s="72"/>
      <c r="AO2" s="72" t="s">
        <v>62</v>
      </c>
      <c r="AP2" s="72"/>
      <c r="AQ2" s="72" t="s">
        <v>63</v>
      </c>
      <c r="AR2" s="17"/>
      <c r="AS2" s="19"/>
      <c r="AT2" s="19"/>
      <c r="AU2" s="60"/>
      <c r="AV2" s="60"/>
      <c r="AW2" s="160" t="s">
        <v>64</v>
      </c>
      <c r="AX2" s="161"/>
      <c r="AY2" s="162"/>
      <c r="AZ2" s="160" t="s">
        <v>65</v>
      </c>
      <c r="BA2" s="161"/>
      <c r="BB2" s="162"/>
      <c r="BC2" s="61"/>
      <c r="BD2" s="62"/>
      <c r="BE2" s="63"/>
      <c r="BF2" s="64"/>
      <c r="BG2" s="62"/>
      <c r="BH2" s="73"/>
      <c r="BI2" s="74"/>
      <c r="BJ2" s="74"/>
      <c r="BK2" s="75" t="s">
        <v>66</v>
      </c>
      <c r="BL2" s="76"/>
      <c r="BM2" s="61"/>
      <c r="BN2" s="77"/>
      <c r="BO2" s="65"/>
      <c r="BP2" s="62" t="s">
        <v>67</v>
      </c>
      <c r="BQ2" s="62"/>
      <c r="BR2" s="62" t="s">
        <v>68</v>
      </c>
      <c r="BS2" s="62"/>
      <c r="BT2" s="66"/>
    </row>
    <row r="3" spans="1:74" ht="63.75" customHeight="1" thickBot="1" x14ac:dyDescent="0.3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95" t="s">
        <v>43</v>
      </c>
      <c r="BV3" s="95" t="s">
        <v>126</v>
      </c>
    </row>
    <row r="4" spans="1:74" s="67" customFormat="1" ht="30" customHeight="1" x14ac:dyDescent="0.3">
      <c r="A4" s="97" t="s">
        <v>127</v>
      </c>
      <c r="B4" s="78"/>
      <c r="C4" s="78">
        <v>77979</v>
      </c>
      <c r="D4" s="78">
        <v>245059</v>
      </c>
      <c r="E4" s="139">
        <v>57</v>
      </c>
      <c r="F4" s="140">
        <v>29</v>
      </c>
      <c r="G4" s="78">
        <v>11</v>
      </c>
      <c r="H4" s="78">
        <v>146450</v>
      </c>
      <c r="I4" s="78">
        <v>79291</v>
      </c>
      <c r="J4" s="141">
        <v>4</v>
      </c>
      <c r="K4" s="78">
        <v>15886</v>
      </c>
      <c r="L4" s="140">
        <v>6</v>
      </c>
      <c r="M4" s="101">
        <v>1444</v>
      </c>
      <c r="N4" s="99">
        <v>9</v>
      </c>
      <c r="O4" s="101">
        <v>1543</v>
      </c>
      <c r="P4" s="99">
        <v>15</v>
      </c>
      <c r="Q4" s="142">
        <v>58339</v>
      </c>
      <c r="R4" s="113">
        <v>0</v>
      </c>
      <c r="S4" s="142">
        <v>25445</v>
      </c>
      <c r="T4" s="113">
        <v>0</v>
      </c>
      <c r="U4" s="142">
        <v>9826</v>
      </c>
      <c r="V4" s="143">
        <v>2125</v>
      </c>
      <c r="W4" s="113">
        <v>1</v>
      </c>
      <c r="X4" s="143">
        <v>40097</v>
      </c>
      <c r="Y4" s="113">
        <v>28</v>
      </c>
      <c r="Z4" s="144">
        <v>8158</v>
      </c>
      <c r="AA4" s="144">
        <v>7255</v>
      </c>
      <c r="AB4" s="113">
        <v>0</v>
      </c>
      <c r="AC4" s="142">
        <v>2759</v>
      </c>
      <c r="AD4" s="143">
        <v>1894</v>
      </c>
      <c r="AE4" s="113">
        <v>3</v>
      </c>
      <c r="AF4" s="83">
        <v>1</v>
      </c>
      <c r="AG4" s="145">
        <v>224440</v>
      </c>
      <c r="AH4" s="104">
        <v>89</v>
      </c>
      <c r="AI4" s="110">
        <v>30</v>
      </c>
      <c r="AJ4" s="110">
        <v>-59</v>
      </c>
      <c r="AK4" s="86">
        <v>2280052</v>
      </c>
      <c r="AL4" s="146">
        <v>1597</v>
      </c>
      <c r="AM4" s="86">
        <v>70331</v>
      </c>
      <c r="AN4" s="147">
        <v>52</v>
      </c>
      <c r="AO4" s="86">
        <v>143596</v>
      </c>
      <c r="AP4" s="113">
        <v>0</v>
      </c>
      <c r="AQ4" s="86">
        <v>166682</v>
      </c>
      <c r="AR4" s="113">
        <v>155</v>
      </c>
      <c r="AS4" s="86">
        <v>2351980</v>
      </c>
      <c r="AT4" s="114">
        <v>1648</v>
      </c>
      <c r="AU4" s="110">
        <v>800</v>
      </c>
      <c r="AV4" s="110">
        <v>-848</v>
      </c>
      <c r="AW4" s="86"/>
      <c r="AX4" s="86">
        <v>0</v>
      </c>
      <c r="AY4" s="146">
        <v>0</v>
      </c>
      <c r="AZ4" s="84">
        <v>1150.1500000000001</v>
      </c>
      <c r="BA4" s="148">
        <v>1150.1500000000001</v>
      </c>
      <c r="BB4" s="149">
        <v>12936.00000000024</v>
      </c>
      <c r="BC4" s="117">
        <v>1150.1500000000001</v>
      </c>
      <c r="BD4" s="118">
        <v>1150.1500000000001</v>
      </c>
      <c r="BE4" s="119">
        <v>5060660</v>
      </c>
      <c r="BF4" s="146">
        <v>1150.1500000000001</v>
      </c>
      <c r="BG4" s="150">
        <v>2.9400000000000546</v>
      </c>
      <c r="BH4" s="151">
        <v>12936.00000000024</v>
      </c>
      <c r="BI4" s="151">
        <v>12936.00000000024</v>
      </c>
      <c r="BJ4" s="152">
        <v>10762.00000000024</v>
      </c>
      <c r="BK4" s="153">
        <v>2717.34</v>
      </c>
      <c r="BL4" s="151">
        <v>592.00000000000728</v>
      </c>
      <c r="BM4" s="154">
        <v>13528.000000000247</v>
      </c>
      <c r="BN4" s="110">
        <v>10000</v>
      </c>
      <c r="BO4" s="155">
        <v>-3528.0000000002474</v>
      </c>
      <c r="BP4" s="156">
        <v>2857994</v>
      </c>
      <c r="BQ4" s="157">
        <v>20</v>
      </c>
      <c r="BR4" s="156">
        <v>4242759</v>
      </c>
      <c r="BS4" s="157">
        <v>2154</v>
      </c>
      <c r="BT4" s="158">
        <v>2174</v>
      </c>
      <c r="BU4" s="102">
        <v>82</v>
      </c>
      <c r="BV4" s="102">
        <v>97</v>
      </c>
    </row>
    <row r="5" spans="1:74" ht="24.95" customHeight="1" x14ac:dyDescent="0.3">
      <c r="A5" s="51" t="s">
        <v>128</v>
      </c>
      <c r="B5" s="78"/>
      <c r="C5" s="78">
        <v>78024</v>
      </c>
      <c r="D5" s="78">
        <v>245113</v>
      </c>
      <c r="E5" s="98">
        <v>54</v>
      </c>
      <c r="F5" s="98">
        <v>27</v>
      </c>
      <c r="G5" s="78"/>
      <c r="H5" s="78">
        <v>146523</v>
      </c>
      <c r="I5" s="103">
        <v>79313</v>
      </c>
      <c r="J5" s="79">
        <v>22</v>
      </c>
      <c r="K5" s="104">
        <v>15894</v>
      </c>
      <c r="L5" s="105">
        <v>8</v>
      </c>
      <c r="M5" s="101">
        <v>1450</v>
      </c>
      <c r="N5" s="105">
        <v>6</v>
      </c>
      <c r="O5" s="101">
        <v>1549</v>
      </c>
      <c r="P5" s="105">
        <v>6</v>
      </c>
      <c r="Q5" s="106">
        <v>58348</v>
      </c>
      <c r="R5" s="126">
        <v>9</v>
      </c>
      <c r="S5" s="107">
        <v>25448</v>
      </c>
      <c r="T5" s="108">
        <v>3</v>
      </c>
      <c r="U5" s="80">
        <v>9826</v>
      </c>
      <c r="V5" s="80">
        <v>2133</v>
      </c>
      <c r="W5" s="81">
        <v>8</v>
      </c>
      <c r="X5" s="82">
        <v>40124</v>
      </c>
      <c r="Y5" s="109">
        <v>27</v>
      </c>
      <c r="Z5" s="100">
        <v>8158</v>
      </c>
      <c r="AA5" s="100">
        <v>7255</v>
      </c>
      <c r="AB5" s="81">
        <v>0</v>
      </c>
      <c r="AC5" s="82">
        <v>2761</v>
      </c>
      <c r="AD5" s="82">
        <v>1896</v>
      </c>
      <c r="AE5" s="109">
        <v>4</v>
      </c>
      <c r="AF5" s="83">
        <v>20</v>
      </c>
      <c r="AG5" s="84">
        <v>224547</v>
      </c>
      <c r="AH5" s="85">
        <v>107</v>
      </c>
      <c r="AI5" s="110">
        <v>190</v>
      </c>
      <c r="AJ5" s="110">
        <v>83</v>
      </c>
      <c r="AK5" s="111">
        <v>2281659</v>
      </c>
      <c r="AL5" s="112">
        <v>1140</v>
      </c>
      <c r="AM5" s="111">
        <v>70373</v>
      </c>
      <c r="AN5" s="112">
        <v>42</v>
      </c>
      <c r="AO5" s="86">
        <v>143596</v>
      </c>
      <c r="AP5" s="113">
        <v>0</v>
      </c>
      <c r="AQ5" s="86">
        <v>167252</v>
      </c>
      <c r="AR5" s="113">
        <v>1096</v>
      </c>
      <c r="AS5" s="86">
        <v>2353172</v>
      </c>
      <c r="AT5" s="114">
        <v>1182</v>
      </c>
      <c r="AU5" s="110">
        <v>1200</v>
      </c>
      <c r="AV5" s="110">
        <v>18</v>
      </c>
      <c r="AW5" s="115">
        <v>0</v>
      </c>
      <c r="AX5" s="115">
        <v>0</v>
      </c>
      <c r="AY5" s="115">
        <v>0</v>
      </c>
      <c r="AZ5" s="115">
        <v>1153.95</v>
      </c>
      <c r="BA5" s="116">
        <v>1153.95</v>
      </c>
      <c r="BB5" s="116">
        <v>16719.9999999998</v>
      </c>
      <c r="BC5" s="117">
        <v>1153.95</v>
      </c>
      <c r="BD5" s="118">
        <v>1153.95</v>
      </c>
      <c r="BE5" s="119">
        <v>5077380</v>
      </c>
      <c r="BF5" s="120">
        <v>1153.95</v>
      </c>
      <c r="BG5" s="121">
        <v>3.7999999999999545</v>
      </c>
      <c r="BH5" s="87">
        <v>16719.9999999998</v>
      </c>
      <c r="BI5" s="122">
        <v>16719.9999999998</v>
      </c>
      <c r="BJ5" s="123">
        <v>14361.9999999998</v>
      </c>
      <c r="BK5" s="87">
        <v>2723.14</v>
      </c>
      <c r="BL5" s="87">
        <v>579.99999999997272</v>
      </c>
      <c r="BM5" s="124">
        <v>17299.999999999774</v>
      </c>
      <c r="BN5" s="110">
        <v>20400</v>
      </c>
      <c r="BO5" s="125">
        <v>3100.0000000002256</v>
      </c>
      <c r="BP5" s="88">
        <v>2858033</v>
      </c>
      <c r="BQ5" s="88">
        <v>39</v>
      </c>
      <c r="BR5" s="88">
        <v>4245078</v>
      </c>
      <c r="BS5" s="88">
        <v>2319</v>
      </c>
      <c r="BT5" s="88">
        <v>2358</v>
      </c>
      <c r="BU5" s="96">
        <v>55</v>
      </c>
      <c r="BV5" s="96">
        <v>59</v>
      </c>
    </row>
    <row r="6" spans="1:74" ht="24.95" customHeight="1" x14ac:dyDescent="0.3">
      <c r="A6" s="51" t="s">
        <v>129</v>
      </c>
      <c r="B6" s="78"/>
      <c r="C6" s="78">
        <v>78069</v>
      </c>
      <c r="D6" s="78">
        <v>245146</v>
      </c>
      <c r="E6" s="98">
        <v>33</v>
      </c>
      <c r="F6" s="98">
        <v>5</v>
      </c>
      <c r="G6" s="78"/>
      <c r="H6" s="78">
        <v>146600</v>
      </c>
      <c r="I6" s="103">
        <v>79337</v>
      </c>
      <c r="J6" s="79">
        <v>24</v>
      </c>
      <c r="K6" s="104">
        <v>15898</v>
      </c>
      <c r="L6" s="105">
        <v>4</v>
      </c>
      <c r="M6" s="101">
        <v>1455</v>
      </c>
      <c r="N6" s="105">
        <v>5</v>
      </c>
      <c r="O6" s="101">
        <v>1555</v>
      </c>
      <c r="P6" s="105">
        <v>6</v>
      </c>
      <c r="Q6" s="106">
        <v>58358</v>
      </c>
      <c r="R6" s="126">
        <v>10</v>
      </c>
      <c r="S6" s="107">
        <v>25448</v>
      </c>
      <c r="T6" s="108">
        <v>0</v>
      </c>
      <c r="U6" s="80">
        <v>9826</v>
      </c>
      <c r="V6" s="80">
        <v>2140</v>
      </c>
      <c r="W6" s="81">
        <v>7</v>
      </c>
      <c r="X6" s="82">
        <v>40152</v>
      </c>
      <c r="Y6" s="109">
        <v>28</v>
      </c>
      <c r="Z6" s="100">
        <v>8158</v>
      </c>
      <c r="AA6" s="100">
        <v>7255</v>
      </c>
      <c r="AB6" s="81">
        <v>0</v>
      </c>
      <c r="AC6" s="82">
        <v>2764</v>
      </c>
      <c r="AD6" s="82">
        <v>1898</v>
      </c>
      <c r="AE6" s="109">
        <v>5</v>
      </c>
      <c r="AF6" s="83">
        <v>17</v>
      </c>
      <c r="AG6" s="84">
        <v>224669</v>
      </c>
      <c r="AH6" s="85">
        <v>122</v>
      </c>
      <c r="AI6" s="110">
        <v>190</v>
      </c>
      <c r="AJ6" s="110">
        <v>68</v>
      </c>
      <c r="AK6" s="111">
        <v>2283120</v>
      </c>
      <c r="AL6" s="112">
        <v>994</v>
      </c>
      <c r="AM6" s="111">
        <v>70424</v>
      </c>
      <c r="AN6" s="112">
        <v>51</v>
      </c>
      <c r="AO6" s="86">
        <v>143596</v>
      </c>
      <c r="AP6" s="113">
        <v>0</v>
      </c>
      <c r="AQ6" s="86">
        <v>167252</v>
      </c>
      <c r="AR6" s="113">
        <v>0</v>
      </c>
      <c r="AS6" s="86">
        <v>2354538</v>
      </c>
      <c r="AT6" s="114">
        <v>1045</v>
      </c>
      <c r="AU6" s="110">
        <v>1200</v>
      </c>
      <c r="AV6" s="110">
        <v>155</v>
      </c>
      <c r="AW6" s="115">
        <v>0</v>
      </c>
      <c r="AX6" s="115">
        <v>0</v>
      </c>
      <c r="AY6" s="115">
        <v>0</v>
      </c>
      <c r="AZ6" s="115">
        <v>1157.29</v>
      </c>
      <c r="BA6" s="116">
        <v>1157.29</v>
      </c>
      <c r="BB6" s="116">
        <v>14695.99999999964</v>
      </c>
      <c r="BC6" s="117">
        <v>1157.29</v>
      </c>
      <c r="BD6" s="118">
        <v>1157.29</v>
      </c>
      <c r="BE6" s="119">
        <v>5092076</v>
      </c>
      <c r="BF6" s="120">
        <v>1157.29</v>
      </c>
      <c r="BG6" s="121">
        <v>3.3399999999999181</v>
      </c>
      <c r="BH6" s="87">
        <v>14695.99999999964</v>
      </c>
      <c r="BI6" s="122">
        <v>14695.99999999964</v>
      </c>
      <c r="BJ6" s="123">
        <v>12333.99999999964</v>
      </c>
      <c r="BK6" s="87">
        <v>2728.82</v>
      </c>
      <c r="BL6" s="87">
        <v>568.0000000000291</v>
      </c>
      <c r="BM6" s="124">
        <v>15263.999999999669</v>
      </c>
      <c r="BN6" s="110">
        <v>20400</v>
      </c>
      <c r="BO6" s="125">
        <v>5136.0000000003311</v>
      </c>
      <c r="BP6" s="88">
        <v>2858033</v>
      </c>
      <c r="BQ6" s="88">
        <v>0</v>
      </c>
      <c r="BR6" s="88">
        <v>4247440</v>
      </c>
      <c r="BS6" s="88">
        <v>2362</v>
      </c>
      <c r="BT6" s="88">
        <v>2362</v>
      </c>
      <c r="BU6" s="96">
        <v>63</v>
      </c>
      <c r="BV6" s="96">
        <v>65</v>
      </c>
    </row>
    <row r="7" spans="1:74" ht="24.95" customHeight="1" x14ac:dyDescent="0.3">
      <c r="A7" s="51" t="s">
        <v>130</v>
      </c>
      <c r="B7" s="78"/>
      <c r="C7" s="78">
        <v>78106</v>
      </c>
      <c r="D7" s="78">
        <v>245223</v>
      </c>
      <c r="E7" s="98">
        <v>77</v>
      </c>
      <c r="F7" s="98">
        <v>44</v>
      </c>
      <c r="G7" s="78"/>
      <c r="H7" s="78">
        <v>146663</v>
      </c>
      <c r="I7" s="79">
        <v>79341</v>
      </c>
      <c r="J7" s="79">
        <v>4</v>
      </c>
      <c r="K7" s="104">
        <v>15902</v>
      </c>
      <c r="L7" s="105">
        <v>4</v>
      </c>
      <c r="M7" s="101">
        <v>1461</v>
      </c>
      <c r="N7" s="105">
        <v>6</v>
      </c>
      <c r="O7" s="101">
        <v>1561</v>
      </c>
      <c r="P7" s="105">
        <v>6</v>
      </c>
      <c r="Q7" s="106">
        <v>58367</v>
      </c>
      <c r="R7" s="126">
        <v>9</v>
      </c>
      <c r="S7" s="107">
        <v>25449</v>
      </c>
      <c r="T7" s="108">
        <v>1</v>
      </c>
      <c r="U7" s="80">
        <v>9826</v>
      </c>
      <c r="V7" s="80">
        <v>2145</v>
      </c>
      <c r="W7" s="81">
        <v>5</v>
      </c>
      <c r="X7" s="82">
        <v>40185</v>
      </c>
      <c r="Y7" s="109">
        <v>33</v>
      </c>
      <c r="Z7" s="100">
        <v>8158</v>
      </c>
      <c r="AA7" s="100">
        <v>7255</v>
      </c>
      <c r="AB7" s="81">
        <v>0</v>
      </c>
      <c r="AC7" s="82">
        <v>2767</v>
      </c>
      <c r="AD7" s="82">
        <v>1900</v>
      </c>
      <c r="AE7" s="109">
        <v>5</v>
      </c>
      <c r="AF7" s="83">
        <v>15</v>
      </c>
      <c r="AG7" s="84">
        <v>224769</v>
      </c>
      <c r="AH7" s="85">
        <v>100</v>
      </c>
      <c r="AI7" s="110">
        <v>190</v>
      </c>
      <c r="AJ7" s="110">
        <v>90</v>
      </c>
      <c r="AK7" s="111">
        <v>2284367</v>
      </c>
      <c r="AL7" s="112">
        <v>1247</v>
      </c>
      <c r="AM7" s="111">
        <v>70476</v>
      </c>
      <c r="AN7" s="112">
        <v>52</v>
      </c>
      <c r="AO7" s="86">
        <v>143596</v>
      </c>
      <c r="AP7" s="113">
        <v>0</v>
      </c>
      <c r="AQ7" s="86">
        <v>167635</v>
      </c>
      <c r="AR7" s="113">
        <v>383</v>
      </c>
      <c r="AS7" s="86">
        <v>2356090</v>
      </c>
      <c r="AT7" s="114">
        <v>1299</v>
      </c>
      <c r="AU7" s="110">
        <v>1200</v>
      </c>
      <c r="AV7" s="110">
        <v>-99</v>
      </c>
      <c r="AW7" s="115">
        <v>0</v>
      </c>
      <c r="AX7" s="115">
        <v>0</v>
      </c>
      <c r="AY7" s="115">
        <v>0</v>
      </c>
      <c r="AZ7" s="115">
        <v>1160.78</v>
      </c>
      <c r="BA7" s="116">
        <v>1160.78</v>
      </c>
      <c r="BB7" s="116">
        <v>15356.00000000004</v>
      </c>
      <c r="BC7" s="117">
        <v>1160.78</v>
      </c>
      <c r="BD7" s="118">
        <v>1160.78</v>
      </c>
      <c r="BE7" s="119">
        <v>5107432</v>
      </c>
      <c r="BF7" s="120">
        <v>1160.78</v>
      </c>
      <c r="BG7" s="121">
        <v>3.4900000000000091</v>
      </c>
      <c r="BH7" s="87">
        <v>15356.00000000004</v>
      </c>
      <c r="BI7" s="122">
        <v>15356.00000000004</v>
      </c>
      <c r="BJ7" s="123">
        <v>12609.00000000004</v>
      </c>
      <c r="BK7" s="87">
        <v>2734.38</v>
      </c>
      <c r="BL7" s="87">
        <v>555.99999999999454</v>
      </c>
      <c r="BM7" s="124">
        <v>15912.000000000035</v>
      </c>
      <c r="BN7" s="110">
        <v>20400</v>
      </c>
      <c r="BO7" s="125">
        <v>4487.9999999999654</v>
      </c>
      <c r="BP7" s="88">
        <v>2858092</v>
      </c>
      <c r="BQ7" s="88">
        <v>59</v>
      </c>
      <c r="BR7" s="88">
        <v>4250128</v>
      </c>
      <c r="BS7" s="88">
        <v>2688</v>
      </c>
      <c r="BT7" s="88">
        <v>2747</v>
      </c>
      <c r="BU7" s="96">
        <v>62</v>
      </c>
      <c r="BV7" s="96">
        <v>63</v>
      </c>
    </row>
    <row r="8" spans="1:74" ht="24.95" customHeight="1" x14ac:dyDescent="0.3">
      <c r="A8" s="51" t="s">
        <v>131</v>
      </c>
      <c r="B8" s="78"/>
      <c r="C8" s="78">
        <v>78141</v>
      </c>
      <c r="D8" s="78">
        <v>245287</v>
      </c>
      <c r="E8" s="98">
        <v>64</v>
      </c>
      <c r="F8" s="98">
        <v>27</v>
      </c>
      <c r="G8" s="78"/>
      <c r="H8" s="78">
        <v>146726</v>
      </c>
      <c r="I8" s="79">
        <v>79340</v>
      </c>
      <c r="J8" s="79">
        <v>-1</v>
      </c>
      <c r="K8" s="104">
        <v>15902</v>
      </c>
      <c r="L8" s="105">
        <v>0</v>
      </c>
      <c r="M8" s="101">
        <v>1466</v>
      </c>
      <c r="N8" s="105">
        <v>5</v>
      </c>
      <c r="O8" s="101">
        <v>1567</v>
      </c>
      <c r="P8" s="105">
        <v>6</v>
      </c>
      <c r="Q8" s="106">
        <v>58367</v>
      </c>
      <c r="R8" s="126">
        <v>0</v>
      </c>
      <c r="S8" s="107">
        <v>25450</v>
      </c>
      <c r="T8" s="108">
        <v>1</v>
      </c>
      <c r="U8" s="80">
        <v>9826</v>
      </c>
      <c r="V8" s="80">
        <v>2145</v>
      </c>
      <c r="W8" s="81">
        <v>0</v>
      </c>
      <c r="X8" s="82">
        <v>40222</v>
      </c>
      <c r="Y8" s="109">
        <v>37</v>
      </c>
      <c r="Z8" s="100">
        <v>8158</v>
      </c>
      <c r="AA8" s="100">
        <v>7255</v>
      </c>
      <c r="AB8" s="81">
        <v>0</v>
      </c>
      <c r="AC8" s="82">
        <v>2770</v>
      </c>
      <c r="AD8" s="82">
        <v>1901</v>
      </c>
      <c r="AE8" s="109">
        <v>4</v>
      </c>
      <c r="AF8" s="83">
        <v>1</v>
      </c>
      <c r="AG8" s="84">
        <v>224867</v>
      </c>
      <c r="AH8" s="85">
        <v>98</v>
      </c>
      <c r="AI8" s="110">
        <v>190</v>
      </c>
      <c r="AJ8" s="110">
        <v>92</v>
      </c>
      <c r="AK8" s="111">
        <v>116958</v>
      </c>
      <c r="AL8" s="112">
        <v>643</v>
      </c>
      <c r="AM8" s="111">
        <v>2757</v>
      </c>
      <c r="AN8" s="112">
        <v>57</v>
      </c>
      <c r="AO8" s="86">
        <v>143596</v>
      </c>
      <c r="AP8" s="113">
        <v>0</v>
      </c>
      <c r="AQ8" s="86">
        <v>167679</v>
      </c>
      <c r="AR8" s="113">
        <v>44</v>
      </c>
      <c r="AS8" s="86">
        <v>120358</v>
      </c>
      <c r="AT8" s="114">
        <v>700</v>
      </c>
      <c r="AU8" s="110">
        <v>1200</v>
      </c>
      <c r="AV8" s="110">
        <v>500</v>
      </c>
      <c r="AW8" s="115">
        <v>0</v>
      </c>
      <c r="AX8" s="115">
        <v>0</v>
      </c>
      <c r="AY8" s="115">
        <v>0</v>
      </c>
      <c r="AZ8" s="115">
        <v>1164.54</v>
      </c>
      <c r="BA8" s="116">
        <v>1164.54</v>
      </c>
      <c r="BB8" s="116">
        <v>16543.99999999996</v>
      </c>
      <c r="BC8" s="117">
        <v>1164.54</v>
      </c>
      <c r="BD8" s="118">
        <v>1164.54</v>
      </c>
      <c r="BE8" s="119">
        <v>5123976</v>
      </c>
      <c r="BF8" s="120">
        <v>1164.54</v>
      </c>
      <c r="BG8" s="121">
        <v>3.7599999999999909</v>
      </c>
      <c r="BH8" s="87">
        <v>16543.99999999996</v>
      </c>
      <c r="BI8" s="122">
        <v>16543.99999999996</v>
      </c>
      <c r="BJ8" s="123">
        <v>13438.99999999996</v>
      </c>
      <c r="BK8" s="87">
        <v>2739.83</v>
      </c>
      <c r="BL8" s="87">
        <v>544.99999999998181</v>
      </c>
      <c r="BM8" s="124">
        <v>17088.999999999942</v>
      </c>
      <c r="BN8" s="110">
        <v>20400</v>
      </c>
      <c r="BO8" s="125">
        <v>3311.0000000000582</v>
      </c>
      <c r="BP8" s="88">
        <v>2858112</v>
      </c>
      <c r="BQ8" s="88">
        <v>20</v>
      </c>
      <c r="BR8" s="88">
        <v>4253213</v>
      </c>
      <c r="BS8" s="88">
        <v>3085</v>
      </c>
      <c r="BT8" s="88">
        <v>3105</v>
      </c>
      <c r="BU8" s="96">
        <v>69</v>
      </c>
      <c r="BV8" s="96">
        <v>81</v>
      </c>
    </row>
    <row r="9" spans="1:74" ht="24.95" customHeight="1" x14ac:dyDescent="0.3">
      <c r="A9" s="51" t="s">
        <v>132</v>
      </c>
      <c r="B9" s="78"/>
      <c r="C9" s="78">
        <v>78176</v>
      </c>
      <c r="D9" s="78">
        <v>245353</v>
      </c>
      <c r="E9" s="98">
        <v>66</v>
      </c>
      <c r="F9" s="98">
        <v>28</v>
      </c>
      <c r="G9" s="78"/>
      <c r="H9" s="78">
        <v>146788</v>
      </c>
      <c r="I9" s="79">
        <v>79347</v>
      </c>
      <c r="J9" s="79">
        <v>7</v>
      </c>
      <c r="K9" s="104">
        <v>15907</v>
      </c>
      <c r="L9" s="105">
        <v>5</v>
      </c>
      <c r="M9" s="101">
        <v>1472</v>
      </c>
      <c r="N9" s="105">
        <v>6</v>
      </c>
      <c r="O9" s="101">
        <v>1573</v>
      </c>
      <c r="P9" s="105">
        <v>6</v>
      </c>
      <c r="Q9" s="106">
        <v>58367</v>
      </c>
      <c r="R9" s="126">
        <v>0</v>
      </c>
      <c r="S9" s="107">
        <v>25450</v>
      </c>
      <c r="T9" s="108">
        <v>0</v>
      </c>
      <c r="U9" s="80">
        <v>9826</v>
      </c>
      <c r="V9" s="80">
        <v>2145</v>
      </c>
      <c r="W9" s="81">
        <v>0</v>
      </c>
      <c r="X9" s="82">
        <v>40260</v>
      </c>
      <c r="Y9" s="109">
        <v>38</v>
      </c>
      <c r="Z9" s="100">
        <v>8158</v>
      </c>
      <c r="AA9" s="100">
        <v>7255</v>
      </c>
      <c r="AB9" s="81">
        <v>0</v>
      </c>
      <c r="AC9" s="82">
        <v>2772</v>
      </c>
      <c r="AD9" s="82">
        <v>1902</v>
      </c>
      <c r="AE9" s="109">
        <v>3</v>
      </c>
      <c r="AF9" s="83">
        <v>0</v>
      </c>
      <c r="AG9" s="84">
        <v>224964</v>
      </c>
      <c r="AH9" s="85">
        <v>97</v>
      </c>
      <c r="AI9" s="110">
        <v>190</v>
      </c>
      <c r="AJ9" s="110">
        <v>93</v>
      </c>
      <c r="AK9" s="111">
        <v>117656</v>
      </c>
      <c r="AL9" s="112">
        <v>698</v>
      </c>
      <c r="AM9" s="111">
        <v>2803</v>
      </c>
      <c r="AN9" s="112">
        <v>46</v>
      </c>
      <c r="AO9" s="86">
        <v>143596</v>
      </c>
      <c r="AP9" s="113">
        <v>0</v>
      </c>
      <c r="AQ9" s="86">
        <v>167679</v>
      </c>
      <c r="AR9" s="113">
        <v>0</v>
      </c>
      <c r="AS9" s="86">
        <v>121157</v>
      </c>
      <c r="AT9" s="114">
        <v>744</v>
      </c>
      <c r="AU9" s="110">
        <v>1200</v>
      </c>
      <c r="AV9" s="110">
        <v>456</v>
      </c>
      <c r="AW9" s="115">
        <v>0</v>
      </c>
      <c r="AX9" s="115">
        <v>0</v>
      </c>
      <c r="AY9" s="115">
        <v>0</v>
      </c>
      <c r="AZ9" s="115">
        <v>1168.22</v>
      </c>
      <c r="BA9" s="116">
        <v>1168.22</v>
      </c>
      <c r="BB9" s="116">
        <v>16192.00000000028</v>
      </c>
      <c r="BC9" s="117">
        <v>1168.22</v>
      </c>
      <c r="BD9" s="118">
        <v>1168.22</v>
      </c>
      <c r="BE9" s="119">
        <v>5140168</v>
      </c>
      <c r="BF9" s="120">
        <v>1168.22</v>
      </c>
      <c r="BG9" s="121">
        <v>3.6800000000000637</v>
      </c>
      <c r="BH9" s="87">
        <v>16192.00000000028</v>
      </c>
      <c r="BI9" s="122">
        <v>16192.00000000028</v>
      </c>
      <c r="BJ9" s="123">
        <v>13045.00000000028</v>
      </c>
      <c r="BK9" s="87">
        <v>2744.41</v>
      </c>
      <c r="BL9" s="87">
        <v>457.99999999999272</v>
      </c>
      <c r="BM9" s="124">
        <v>16650.000000000273</v>
      </c>
      <c r="BN9" s="110">
        <v>20400</v>
      </c>
      <c r="BO9" s="125">
        <v>3749.9999999997272</v>
      </c>
      <c r="BP9" s="88">
        <v>2858132</v>
      </c>
      <c r="BQ9" s="88">
        <v>20</v>
      </c>
      <c r="BR9" s="88">
        <v>4256340</v>
      </c>
      <c r="BS9" s="88">
        <v>3127</v>
      </c>
      <c r="BT9" s="88">
        <v>3147</v>
      </c>
      <c r="BU9" s="96">
        <v>77</v>
      </c>
      <c r="BV9" s="96">
        <v>91</v>
      </c>
    </row>
    <row r="10" spans="1:74" ht="24.95" customHeight="1" x14ac:dyDescent="0.3">
      <c r="A10" s="51" t="s">
        <v>133</v>
      </c>
      <c r="B10" s="78"/>
      <c r="C10" s="78">
        <v>78210</v>
      </c>
      <c r="D10" s="78">
        <v>245423</v>
      </c>
      <c r="E10" s="98">
        <v>70</v>
      </c>
      <c r="F10" s="98">
        <v>33</v>
      </c>
      <c r="G10" s="78"/>
      <c r="H10" s="78">
        <v>146850</v>
      </c>
      <c r="I10" s="79">
        <v>79350</v>
      </c>
      <c r="J10" s="79">
        <v>3</v>
      </c>
      <c r="K10" s="104">
        <v>15911</v>
      </c>
      <c r="L10" s="105">
        <v>4</v>
      </c>
      <c r="M10" s="101">
        <v>1478</v>
      </c>
      <c r="N10" s="105">
        <v>6</v>
      </c>
      <c r="O10" s="101">
        <v>1583</v>
      </c>
      <c r="P10" s="105">
        <v>10</v>
      </c>
      <c r="Q10" s="106">
        <v>58367</v>
      </c>
      <c r="R10" s="126">
        <v>0</v>
      </c>
      <c r="S10" s="107">
        <v>25450</v>
      </c>
      <c r="T10" s="108">
        <v>0</v>
      </c>
      <c r="U10" s="80">
        <v>9826</v>
      </c>
      <c r="V10" s="80">
        <v>2145</v>
      </c>
      <c r="W10" s="81">
        <v>0</v>
      </c>
      <c r="X10" s="82">
        <v>40297</v>
      </c>
      <c r="Y10" s="109">
        <v>37</v>
      </c>
      <c r="Z10" s="100">
        <v>8158</v>
      </c>
      <c r="AA10" s="100">
        <v>7255</v>
      </c>
      <c r="AB10" s="81">
        <v>0</v>
      </c>
      <c r="AC10" s="82">
        <v>2774</v>
      </c>
      <c r="AD10" s="82">
        <v>1902</v>
      </c>
      <c r="AE10" s="109">
        <v>2</v>
      </c>
      <c r="AF10" s="83">
        <v>0</v>
      </c>
      <c r="AG10" s="84">
        <v>225060</v>
      </c>
      <c r="AH10" s="85">
        <v>96</v>
      </c>
      <c r="AI10" s="110">
        <v>190</v>
      </c>
      <c r="AJ10" s="110">
        <v>94</v>
      </c>
      <c r="AK10" s="111">
        <v>118328</v>
      </c>
      <c r="AL10" s="112">
        <v>672</v>
      </c>
      <c r="AM10" s="111">
        <v>2841</v>
      </c>
      <c r="AN10" s="112">
        <v>38</v>
      </c>
      <c r="AO10" s="86">
        <v>143596</v>
      </c>
      <c r="AP10" s="113">
        <v>0</v>
      </c>
      <c r="AQ10" s="86">
        <v>167679</v>
      </c>
      <c r="AR10" s="113">
        <v>0</v>
      </c>
      <c r="AS10" s="86">
        <v>121841</v>
      </c>
      <c r="AT10" s="114">
        <v>710</v>
      </c>
      <c r="AU10" s="110">
        <v>1200</v>
      </c>
      <c r="AV10" s="110">
        <v>490</v>
      </c>
      <c r="AW10" s="115">
        <v>0</v>
      </c>
      <c r="AX10" s="115">
        <v>0</v>
      </c>
      <c r="AY10" s="115">
        <v>0</v>
      </c>
      <c r="AZ10" s="115">
        <v>1171.97</v>
      </c>
      <c r="BA10" s="116">
        <v>1171.97</v>
      </c>
      <c r="BB10" s="116">
        <v>16500</v>
      </c>
      <c r="BC10" s="117">
        <v>1171.97</v>
      </c>
      <c r="BD10" s="118">
        <v>1171.97</v>
      </c>
      <c r="BE10" s="119">
        <v>5156668</v>
      </c>
      <c r="BF10" s="120">
        <v>1171.97</v>
      </c>
      <c r="BG10" s="121">
        <v>3.75</v>
      </c>
      <c r="BH10" s="87">
        <v>16500</v>
      </c>
      <c r="BI10" s="122">
        <v>16500</v>
      </c>
      <c r="BJ10" s="123">
        <v>13249</v>
      </c>
      <c r="BK10" s="87">
        <v>2748.76</v>
      </c>
      <c r="BL10" s="87">
        <v>435.00000000003638</v>
      </c>
      <c r="BM10" s="124">
        <v>16935.000000000036</v>
      </c>
      <c r="BN10" s="110">
        <v>20400</v>
      </c>
      <c r="BO10" s="125">
        <v>3464.9999999999636</v>
      </c>
      <c r="BP10" s="88">
        <v>2858151</v>
      </c>
      <c r="BQ10" s="88">
        <v>19</v>
      </c>
      <c r="BR10" s="88">
        <v>4259572</v>
      </c>
      <c r="BS10" s="88">
        <v>3232</v>
      </c>
      <c r="BT10" s="88">
        <v>3251</v>
      </c>
      <c r="BU10" s="96">
        <v>71</v>
      </c>
      <c r="BV10" s="96">
        <v>80</v>
      </c>
    </row>
    <row r="11" spans="1:74" ht="24.95" customHeight="1" x14ac:dyDescent="0.3">
      <c r="A11" s="51" t="s">
        <v>134</v>
      </c>
      <c r="B11" s="78"/>
      <c r="C11" s="78">
        <v>78248</v>
      </c>
      <c r="D11" s="78">
        <v>245498</v>
      </c>
      <c r="E11" s="98">
        <v>75</v>
      </c>
      <c r="F11" s="98">
        <v>33</v>
      </c>
      <c r="G11" s="78"/>
      <c r="H11" s="78">
        <v>146918</v>
      </c>
      <c r="I11" s="79">
        <v>79353</v>
      </c>
      <c r="J11" s="79">
        <v>3</v>
      </c>
      <c r="K11" s="104">
        <v>15915</v>
      </c>
      <c r="L11" s="105">
        <v>4</v>
      </c>
      <c r="M11" s="101">
        <v>1484</v>
      </c>
      <c r="N11" s="105">
        <v>6</v>
      </c>
      <c r="O11" s="101">
        <v>1591</v>
      </c>
      <c r="P11" s="105">
        <v>8</v>
      </c>
      <c r="Q11" s="106">
        <v>58378</v>
      </c>
      <c r="R11" s="126">
        <v>11</v>
      </c>
      <c r="S11" s="107">
        <v>25450</v>
      </c>
      <c r="T11" s="108">
        <v>0</v>
      </c>
      <c r="U11" s="80">
        <v>9826</v>
      </c>
      <c r="V11" s="80">
        <v>2146</v>
      </c>
      <c r="W11" s="81">
        <v>1</v>
      </c>
      <c r="X11" s="82">
        <v>40339</v>
      </c>
      <c r="Y11" s="109">
        <v>42</v>
      </c>
      <c r="Z11" s="100">
        <v>8158</v>
      </c>
      <c r="AA11" s="100">
        <v>7255</v>
      </c>
      <c r="AB11" s="81">
        <v>0</v>
      </c>
      <c r="AC11" s="82">
        <v>2776</v>
      </c>
      <c r="AD11" s="82">
        <v>1904</v>
      </c>
      <c r="AE11" s="109">
        <v>4</v>
      </c>
      <c r="AF11" s="83">
        <v>12</v>
      </c>
      <c r="AG11" s="84">
        <v>225166</v>
      </c>
      <c r="AH11" s="85">
        <v>106</v>
      </c>
      <c r="AI11" s="110">
        <v>190</v>
      </c>
      <c r="AJ11" s="110">
        <v>84</v>
      </c>
      <c r="AK11" s="111">
        <v>119221</v>
      </c>
      <c r="AL11" s="112">
        <v>893</v>
      </c>
      <c r="AM11" s="111">
        <v>2884</v>
      </c>
      <c r="AN11" s="112">
        <v>43</v>
      </c>
      <c r="AO11" s="86">
        <v>143596</v>
      </c>
      <c r="AP11" s="113">
        <v>0</v>
      </c>
      <c r="AQ11" s="86">
        <v>167806</v>
      </c>
      <c r="AR11" s="113">
        <v>127</v>
      </c>
      <c r="AS11" s="86">
        <v>122998</v>
      </c>
      <c r="AT11" s="114">
        <v>936</v>
      </c>
      <c r="AU11" s="110">
        <v>1200</v>
      </c>
      <c r="AV11" s="110">
        <v>264</v>
      </c>
      <c r="AW11" s="115">
        <v>0</v>
      </c>
      <c r="AX11" s="115">
        <v>0</v>
      </c>
      <c r="AY11" s="115">
        <v>0</v>
      </c>
      <c r="AZ11" s="115">
        <v>1175.75</v>
      </c>
      <c r="BA11" s="116">
        <v>1175.75</v>
      </c>
      <c r="BB11" s="116">
        <v>16631.99999999988</v>
      </c>
      <c r="BC11" s="117">
        <v>1175.75</v>
      </c>
      <c r="BD11" s="118">
        <v>1175.75</v>
      </c>
      <c r="BE11" s="119">
        <v>5173300</v>
      </c>
      <c r="BF11" s="120">
        <v>1175.75</v>
      </c>
      <c r="BG11" s="121">
        <v>3.7799999999999727</v>
      </c>
      <c r="BH11" s="87">
        <v>16631.99999999988</v>
      </c>
      <c r="BI11" s="122">
        <v>16631.99999999988</v>
      </c>
      <c r="BJ11" s="123">
        <v>13665.99999999988</v>
      </c>
      <c r="BK11" s="87">
        <v>2754.4</v>
      </c>
      <c r="BL11" s="87">
        <v>563.99999999998727</v>
      </c>
      <c r="BM11" s="124">
        <v>17195.999999999869</v>
      </c>
      <c r="BN11" s="110">
        <v>20400</v>
      </c>
      <c r="BO11" s="125">
        <v>3204.000000000131</v>
      </c>
      <c r="BP11" s="88">
        <v>2858170</v>
      </c>
      <c r="BQ11" s="88">
        <v>19</v>
      </c>
      <c r="BR11" s="88">
        <v>4262519</v>
      </c>
      <c r="BS11" s="88">
        <v>2947</v>
      </c>
      <c r="BT11" s="88">
        <v>2966</v>
      </c>
      <c r="BU11" s="96">
        <v>71</v>
      </c>
      <c r="BV11" s="96">
        <v>77</v>
      </c>
    </row>
    <row r="12" spans="1:74" ht="24.95" customHeight="1" x14ac:dyDescent="0.3">
      <c r="A12" s="51" t="s">
        <v>135</v>
      </c>
      <c r="B12" s="78"/>
      <c r="C12" s="78">
        <v>78303</v>
      </c>
      <c r="D12" s="78">
        <v>245580</v>
      </c>
      <c r="E12" s="98">
        <v>82</v>
      </c>
      <c r="F12" s="98">
        <v>31</v>
      </c>
      <c r="G12" s="78"/>
      <c r="H12" s="78">
        <v>147014</v>
      </c>
      <c r="I12" s="79">
        <v>79379</v>
      </c>
      <c r="J12" s="79">
        <v>26</v>
      </c>
      <c r="K12" s="104">
        <v>15919</v>
      </c>
      <c r="L12" s="105">
        <v>4</v>
      </c>
      <c r="M12" s="101">
        <v>1490</v>
      </c>
      <c r="N12" s="105">
        <v>6</v>
      </c>
      <c r="O12" s="101">
        <v>1598</v>
      </c>
      <c r="P12" s="105">
        <v>7</v>
      </c>
      <c r="Q12" s="106">
        <v>58391</v>
      </c>
      <c r="R12" s="126">
        <v>13</v>
      </c>
      <c r="S12" s="107">
        <v>25450</v>
      </c>
      <c r="T12" s="108">
        <v>0</v>
      </c>
      <c r="U12" s="80">
        <v>9826</v>
      </c>
      <c r="V12" s="80">
        <v>2154</v>
      </c>
      <c r="W12" s="81">
        <v>8</v>
      </c>
      <c r="X12" s="82">
        <v>40390</v>
      </c>
      <c r="Y12" s="109">
        <v>51</v>
      </c>
      <c r="Z12" s="100">
        <v>8158</v>
      </c>
      <c r="AA12" s="100">
        <v>7255</v>
      </c>
      <c r="AB12" s="81">
        <v>0</v>
      </c>
      <c r="AC12" s="82">
        <v>2779</v>
      </c>
      <c r="AD12" s="82">
        <v>1906</v>
      </c>
      <c r="AE12" s="109">
        <v>5</v>
      </c>
      <c r="AF12" s="83">
        <v>21</v>
      </c>
      <c r="AG12" s="84">
        <v>225317</v>
      </c>
      <c r="AH12" s="85">
        <v>151</v>
      </c>
      <c r="AI12" s="110">
        <v>190</v>
      </c>
      <c r="AJ12" s="110">
        <v>39</v>
      </c>
      <c r="AK12" s="111">
        <v>120390</v>
      </c>
      <c r="AL12" s="112">
        <v>1169</v>
      </c>
      <c r="AM12" s="111">
        <v>2918</v>
      </c>
      <c r="AN12" s="112">
        <v>34</v>
      </c>
      <c r="AO12" s="86">
        <v>143596</v>
      </c>
      <c r="AP12" s="113">
        <v>0</v>
      </c>
      <c r="AQ12" s="86">
        <v>168383</v>
      </c>
      <c r="AR12" s="113">
        <v>577</v>
      </c>
      <c r="AS12" s="86">
        <v>124477</v>
      </c>
      <c r="AT12" s="114">
        <v>1203</v>
      </c>
      <c r="AU12" s="110">
        <v>1200</v>
      </c>
      <c r="AV12" s="110">
        <v>-3</v>
      </c>
      <c r="AW12" s="115">
        <v>0</v>
      </c>
      <c r="AX12" s="115">
        <v>0</v>
      </c>
      <c r="AY12" s="115">
        <v>0</v>
      </c>
      <c r="AZ12" s="115">
        <v>1179.3599999999999</v>
      </c>
      <c r="BA12" s="116">
        <v>1179.3599999999999</v>
      </c>
      <c r="BB12" s="116">
        <v>15883.99999999956</v>
      </c>
      <c r="BC12" s="117">
        <v>1179.3599999999999</v>
      </c>
      <c r="BD12" s="118">
        <v>1179.3599999999999</v>
      </c>
      <c r="BE12" s="119">
        <v>5189184</v>
      </c>
      <c r="BF12" s="120">
        <v>1179.3599999999999</v>
      </c>
      <c r="BG12" s="121">
        <v>3.6099999999999</v>
      </c>
      <c r="BH12" s="87">
        <v>15883.99999999956</v>
      </c>
      <c r="BI12" s="122">
        <v>15883.99999999956</v>
      </c>
      <c r="BJ12" s="123">
        <v>12726.99999999956</v>
      </c>
      <c r="BK12" s="87">
        <v>2760.18</v>
      </c>
      <c r="BL12" s="87">
        <v>577.99999999997453</v>
      </c>
      <c r="BM12" s="124">
        <v>16461.999999999534</v>
      </c>
      <c r="BN12" s="110">
        <v>20400</v>
      </c>
      <c r="BO12" s="125">
        <v>3938.0000000004657</v>
      </c>
      <c r="BP12" s="88">
        <v>2858345</v>
      </c>
      <c r="BQ12" s="88">
        <v>175</v>
      </c>
      <c r="BR12" s="88">
        <v>4265501</v>
      </c>
      <c r="BS12" s="88">
        <v>2982</v>
      </c>
      <c r="BT12" s="88">
        <v>3157</v>
      </c>
      <c r="BU12" s="96">
        <v>73</v>
      </c>
      <c r="BV12" s="96">
        <v>83</v>
      </c>
    </row>
    <row r="13" spans="1:74" ht="24.95" customHeight="1" x14ac:dyDescent="0.3">
      <c r="A13" s="51" t="s">
        <v>136</v>
      </c>
      <c r="B13" s="78"/>
      <c r="C13" s="78">
        <v>78355</v>
      </c>
      <c r="D13" s="78">
        <v>245667</v>
      </c>
      <c r="E13" s="98">
        <v>87</v>
      </c>
      <c r="F13" s="98">
        <v>35</v>
      </c>
      <c r="G13" s="78"/>
      <c r="H13" s="78">
        <v>147105</v>
      </c>
      <c r="I13" s="79">
        <v>79394</v>
      </c>
      <c r="J13" s="79">
        <v>15</v>
      </c>
      <c r="K13" s="104">
        <v>15923</v>
      </c>
      <c r="L13" s="105">
        <v>4</v>
      </c>
      <c r="M13" s="101">
        <v>1496</v>
      </c>
      <c r="N13" s="105">
        <v>6</v>
      </c>
      <c r="O13" s="101">
        <v>1605</v>
      </c>
      <c r="P13" s="105">
        <v>7</v>
      </c>
      <c r="Q13" s="106">
        <v>58391</v>
      </c>
      <c r="R13" s="126">
        <v>0</v>
      </c>
      <c r="S13" s="107">
        <v>25450</v>
      </c>
      <c r="T13" s="108">
        <v>0</v>
      </c>
      <c r="U13" s="80">
        <v>9826</v>
      </c>
      <c r="V13" s="80">
        <v>2162</v>
      </c>
      <c r="W13" s="81">
        <v>8</v>
      </c>
      <c r="X13" s="82">
        <v>40442</v>
      </c>
      <c r="Y13" s="109">
        <v>52</v>
      </c>
      <c r="Z13" s="100">
        <v>8158</v>
      </c>
      <c r="AA13" s="100">
        <v>7255</v>
      </c>
      <c r="AB13" s="81">
        <v>0</v>
      </c>
      <c r="AC13" s="82">
        <v>2782</v>
      </c>
      <c r="AD13" s="82">
        <v>1907</v>
      </c>
      <c r="AE13" s="109">
        <v>4</v>
      </c>
      <c r="AF13" s="83">
        <v>8</v>
      </c>
      <c r="AG13" s="84">
        <v>225460</v>
      </c>
      <c r="AH13" s="85">
        <v>143</v>
      </c>
      <c r="AI13" s="110">
        <v>190</v>
      </c>
      <c r="AJ13" s="110">
        <v>47</v>
      </c>
      <c r="AK13" s="111">
        <v>121544</v>
      </c>
      <c r="AL13" s="112">
        <v>1154</v>
      </c>
      <c r="AM13" s="111">
        <v>2959</v>
      </c>
      <c r="AN13" s="112">
        <v>41</v>
      </c>
      <c r="AO13" s="86">
        <v>143596</v>
      </c>
      <c r="AP13" s="113">
        <v>0</v>
      </c>
      <c r="AQ13" s="86">
        <v>168958</v>
      </c>
      <c r="AR13" s="113">
        <v>575</v>
      </c>
      <c r="AS13" s="86">
        <v>125657</v>
      </c>
      <c r="AT13" s="114">
        <v>1195</v>
      </c>
      <c r="AU13" s="110">
        <v>1200</v>
      </c>
      <c r="AV13" s="110">
        <v>5</v>
      </c>
      <c r="AW13" s="115">
        <v>0</v>
      </c>
      <c r="AX13" s="115">
        <v>0</v>
      </c>
      <c r="AY13" s="115">
        <v>0</v>
      </c>
      <c r="AZ13" s="115">
        <v>1183.1600000000001</v>
      </c>
      <c r="BA13" s="116">
        <v>1183.1600000000001</v>
      </c>
      <c r="BB13" s="116">
        <v>16720.0000000008</v>
      </c>
      <c r="BC13" s="117">
        <v>1183.1600000000001</v>
      </c>
      <c r="BD13" s="118">
        <v>1183.1600000000001</v>
      </c>
      <c r="BE13" s="119">
        <v>5205904</v>
      </c>
      <c r="BF13" s="120">
        <v>1183.1600000000001</v>
      </c>
      <c r="BG13" s="121">
        <v>3.8000000000001819</v>
      </c>
      <c r="BH13" s="87">
        <v>16720.0000000008</v>
      </c>
      <c r="BI13" s="122">
        <v>16720.0000000008</v>
      </c>
      <c r="BJ13" s="123">
        <v>13382.0000000008</v>
      </c>
      <c r="BK13" s="87">
        <v>2765.35</v>
      </c>
      <c r="BL13" s="87">
        <v>517.00000000000728</v>
      </c>
      <c r="BM13" s="124">
        <v>17237.000000000808</v>
      </c>
      <c r="BN13" s="110">
        <v>20400</v>
      </c>
      <c r="BO13" s="125">
        <v>3162.9999999991924</v>
      </c>
      <c r="BP13" s="88">
        <v>2858369</v>
      </c>
      <c r="BQ13" s="88">
        <v>24</v>
      </c>
      <c r="BR13" s="88">
        <v>4268815</v>
      </c>
      <c r="BS13" s="88">
        <v>3314</v>
      </c>
      <c r="BT13" s="88">
        <v>3338</v>
      </c>
      <c r="BU13" s="96">
        <v>74</v>
      </c>
      <c r="BV13" s="96">
        <v>83</v>
      </c>
    </row>
    <row r="14" spans="1:74" ht="24.95" customHeight="1" x14ac:dyDescent="0.3">
      <c r="A14" s="51" t="s">
        <v>137</v>
      </c>
      <c r="B14" s="78"/>
      <c r="C14" s="78">
        <v>78392</v>
      </c>
      <c r="D14" s="78">
        <v>245742</v>
      </c>
      <c r="E14" s="98">
        <v>75</v>
      </c>
      <c r="F14" s="98">
        <v>30</v>
      </c>
      <c r="G14" s="78"/>
      <c r="H14" s="78">
        <v>147171</v>
      </c>
      <c r="I14" s="79">
        <v>79398</v>
      </c>
      <c r="J14" s="79">
        <v>4</v>
      </c>
      <c r="K14" s="104">
        <v>15927</v>
      </c>
      <c r="L14" s="105">
        <v>4</v>
      </c>
      <c r="M14" s="101">
        <v>1502</v>
      </c>
      <c r="N14" s="105">
        <v>6</v>
      </c>
      <c r="O14" s="101">
        <v>1613</v>
      </c>
      <c r="P14" s="105">
        <v>8</v>
      </c>
      <c r="Q14" s="106">
        <v>58391</v>
      </c>
      <c r="R14" s="126">
        <v>0</v>
      </c>
      <c r="S14" s="107">
        <v>25450</v>
      </c>
      <c r="T14" s="108">
        <v>0</v>
      </c>
      <c r="U14" s="80">
        <v>9826</v>
      </c>
      <c r="V14" s="80">
        <v>2162</v>
      </c>
      <c r="W14" s="81">
        <v>0</v>
      </c>
      <c r="X14" s="82">
        <v>40487</v>
      </c>
      <c r="Y14" s="109">
        <v>45</v>
      </c>
      <c r="Z14" s="100">
        <v>8158</v>
      </c>
      <c r="AA14" s="100">
        <v>7255</v>
      </c>
      <c r="AB14" s="81">
        <v>0</v>
      </c>
      <c r="AC14" s="82">
        <v>2784</v>
      </c>
      <c r="AD14" s="82">
        <v>1908</v>
      </c>
      <c r="AE14" s="109">
        <v>3</v>
      </c>
      <c r="AF14" s="83">
        <v>0</v>
      </c>
      <c r="AG14" s="84">
        <v>225563</v>
      </c>
      <c r="AH14" s="85">
        <v>103</v>
      </c>
      <c r="AI14" s="110">
        <v>190</v>
      </c>
      <c r="AJ14" s="110">
        <v>87</v>
      </c>
      <c r="AK14" s="111">
        <v>122342</v>
      </c>
      <c r="AL14" s="112">
        <v>798</v>
      </c>
      <c r="AM14" s="111">
        <v>3018</v>
      </c>
      <c r="AN14" s="112">
        <v>59</v>
      </c>
      <c r="AO14" s="86">
        <v>143596</v>
      </c>
      <c r="AP14" s="113">
        <v>0</v>
      </c>
      <c r="AQ14" s="86">
        <v>168958</v>
      </c>
      <c r="AR14" s="113">
        <v>0</v>
      </c>
      <c r="AS14" s="86">
        <v>126158</v>
      </c>
      <c r="AT14" s="114">
        <v>857</v>
      </c>
      <c r="AU14" s="110">
        <v>1200</v>
      </c>
      <c r="AV14" s="110">
        <v>343</v>
      </c>
      <c r="AW14" s="115">
        <v>0</v>
      </c>
      <c r="AX14" s="115">
        <v>0</v>
      </c>
      <c r="AY14" s="115">
        <v>0</v>
      </c>
      <c r="AZ14" s="115">
        <v>1187.1099999999999</v>
      </c>
      <c r="BA14" s="116">
        <v>1187.1099999999999</v>
      </c>
      <c r="BB14" s="116">
        <v>17379.9999999992</v>
      </c>
      <c r="BC14" s="117">
        <v>1187.1099999999999</v>
      </c>
      <c r="BD14" s="118">
        <v>1187.1099999999999</v>
      </c>
      <c r="BE14" s="119">
        <v>5223284</v>
      </c>
      <c r="BF14" s="120">
        <v>1187.1099999999999</v>
      </c>
      <c r="BG14" s="121">
        <v>3.9499999999998181</v>
      </c>
      <c r="BH14" s="87">
        <v>17379.9999999992</v>
      </c>
      <c r="BI14" s="122">
        <v>17379.9999999992</v>
      </c>
      <c r="BJ14" s="123">
        <v>14188.9999999992</v>
      </c>
      <c r="BK14" s="87">
        <v>2770.41</v>
      </c>
      <c r="BL14" s="87">
        <v>505.99999999999454</v>
      </c>
      <c r="BM14" s="124">
        <v>17885.999999999192</v>
      </c>
      <c r="BN14" s="110">
        <v>20400</v>
      </c>
      <c r="BO14" s="125">
        <v>2514.0000000008076</v>
      </c>
      <c r="BP14" s="88">
        <v>2858384</v>
      </c>
      <c r="BQ14" s="88">
        <v>15</v>
      </c>
      <c r="BR14" s="88">
        <v>4271991</v>
      </c>
      <c r="BS14" s="88">
        <v>3176</v>
      </c>
      <c r="BT14" s="88">
        <v>3191</v>
      </c>
      <c r="BU14" s="96">
        <v>65</v>
      </c>
      <c r="BV14" s="96">
        <v>76</v>
      </c>
    </row>
    <row r="15" spans="1:74" ht="24.95" customHeight="1" x14ac:dyDescent="0.3">
      <c r="A15" s="51" t="s">
        <v>138</v>
      </c>
      <c r="B15" s="78"/>
      <c r="C15" s="78">
        <v>78429</v>
      </c>
      <c r="D15" s="78">
        <v>245812</v>
      </c>
      <c r="E15" s="98">
        <v>70</v>
      </c>
      <c r="F15" s="98">
        <v>42</v>
      </c>
      <c r="G15" s="78"/>
      <c r="H15" s="78">
        <v>147236</v>
      </c>
      <c r="I15" s="79">
        <v>79403</v>
      </c>
      <c r="J15" s="79">
        <v>5</v>
      </c>
      <c r="K15" s="104">
        <v>15931</v>
      </c>
      <c r="L15" s="105">
        <v>4</v>
      </c>
      <c r="M15" s="101">
        <v>1507</v>
      </c>
      <c r="N15" s="105">
        <v>5</v>
      </c>
      <c r="O15" s="101">
        <v>1619</v>
      </c>
      <c r="P15" s="105">
        <v>6</v>
      </c>
      <c r="Q15" s="106">
        <v>58391</v>
      </c>
      <c r="R15" s="126">
        <v>0</v>
      </c>
      <c r="S15" s="107">
        <v>25450</v>
      </c>
      <c r="T15" s="108">
        <v>0</v>
      </c>
      <c r="U15" s="80">
        <v>9826</v>
      </c>
      <c r="V15" s="80">
        <v>2162</v>
      </c>
      <c r="W15" s="81">
        <v>0</v>
      </c>
      <c r="X15" s="82">
        <v>40515</v>
      </c>
      <c r="Y15" s="109">
        <v>28</v>
      </c>
      <c r="Z15" s="100">
        <v>8158</v>
      </c>
      <c r="AA15" s="100">
        <v>7255</v>
      </c>
      <c r="AB15" s="81">
        <v>0</v>
      </c>
      <c r="AC15" s="82">
        <v>2786</v>
      </c>
      <c r="AD15" s="82">
        <v>1909</v>
      </c>
      <c r="AE15" s="109">
        <v>3</v>
      </c>
      <c r="AF15" s="83">
        <v>0</v>
      </c>
      <c r="AG15" s="84">
        <v>225665</v>
      </c>
      <c r="AH15" s="85">
        <v>102</v>
      </c>
      <c r="AI15" s="110">
        <v>190</v>
      </c>
      <c r="AJ15" s="110">
        <v>88</v>
      </c>
      <c r="AK15" s="111">
        <v>123094</v>
      </c>
      <c r="AL15" s="112">
        <v>752</v>
      </c>
      <c r="AM15" s="111">
        <v>3062</v>
      </c>
      <c r="AN15" s="112">
        <v>44</v>
      </c>
      <c r="AO15" s="86">
        <v>143596</v>
      </c>
      <c r="AP15" s="113">
        <v>0</v>
      </c>
      <c r="AQ15" s="86">
        <v>168958</v>
      </c>
      <c r="AR15" s="113">
        <v>0</v>
      </c>
      <c r="AS15" s="86">
        <v>126908</v>
      </c>
      <c r="AT15" s="114">
        <v>796</v>
      </c>
      <c r="AU15" s="110">
        <v>1200</v>
      </c>
      <c r="AV15" s="110">
        <v>404</v>
      </c>
      <c r="AW15" s="115">
        <v>0</v>
      </c>
      <c r="AX15" s="115">
        <v>0</v>
      </c>
      <c r="AY15" s="115">
        <v>0</v>
      </c>
      <c r="AZ15" s="115">
        <v>1190.98</v>
      </c>
      <c r="BA15" s="116">
        <v>1190.98</v>
      </c>
      <c r="BB15" s="116">
        <v>17028.00000000052</v>
      </c>
      <c r="BC15" s="117">
        <v>1190.98</v>
      </c>
      <c r="BD15" s="118">
        <v>1190.98</v>
      </c>
      <c r="BE15" s="119">
        <v>5240312</v>
      </c>
      <c r="BF15" s="120">
        <v>1190.98</v>
      </c>
      <c r="BG15" s="121">
        <v>3.8700000000001182</v>
      </c>
      <c r="BH15" s="87">
        <v>17028.00000000052</v>
      </c>
      <c r="BI15" s="122">
        <v>17028.00000000052</v>
      </c>
      <c r="BJ15" s="123">
        <v>13960.00000000052</v>
      </c>
      <c r="BK15" s="87">
        <v>2775.87</v>
      </c>
      <c r="BL15" s="87">
        <v>546.00000000000364</v>
      </c>
      <c r="BM15" s="124">
        <v>17574.000000000524</v>
      </c>
      <c r="BN15" s="110">
        <v>20400</v>
      </c>
      <c r="BO15" s="125">
        <v>2825.9999999994761</v>
      </c>
      <c r="BP15" s="88">
        <v>2858404</v>
      </c>
      <c r="BQ15" s="88">
        <v>20</v>
      </c>
      <c r="BR15" s="88">
        <v>4275039</v>
      </c>
      <c r="BS15" s="88">
        <v>3048</v>
      </c>
      <c r="BT15" s="88">
        <v>3068</v>
      </c>
      <c r="BU15" s="96">
        <v>52</v>
      </c>
      <c r="BV15" s="96">
        <v>61</v>
      </c>
    </row>
    <row r="16" spans="1:74" ht="24.95" customHeight="1" x14ac:dyDescent="0.3">
      <c r="A16" s="51" t="s">
        <v>139</v>
      </c>
      <c r="B16" s="78"/>
      <c r="C16" s="78">
        <v>78464</v>
      </c>
      <c r="D16" s="78">
        <v>245855</v>
      </c>
      <c r="E16" s="98">
        <v>43</v>
      </c>
      <c r="F16" s="98">
        <v>31</v>
      </c>
      <c r="G16" s="78"/>
      <c r="H16" s="78">
        <v>147300</v>
      </c>
      <c r="I16" s="79">
        <v>79406</v>
      </c>
      <c r="J16" s="79">
        <v>3</v>
      </c>
      <c r="K16" s="104">
        <v>15936</v>
      </c>
      <c r="L16" s="105">
        <v>5</v>
      </c>
      <c r="M16" s="101">
        <v>1512</v>
      </c>
      <c r="N16" s="105">
        <v>5</v>
      </c>
      <c r="O16" s="101">
        <v>1625</v>
      </c>
      <c r="P16" s="105">
        <v>6</v>
      </c>
      <c r="Q16" s="106">
        <v>58391</v>
      </c>
      <c r="R16" s="126">
        <v>0</v>
      </c>
      <c r="S16" s="107">
        <v>25450</v>
      </c>
      <c r="T16" s="108">
        <v>0</v>
      </c>
      <c r="U16" s="80">
        <v>9826</v>
      </c>
      <c r="V16" s="80">
        <v>2162</v>
      </c>
      <c r="W16" s="81">
        <v>0</v>
      </c>
      <c r="X16" s="82">
        <v>40527</v>
      </c>
      <c r="Y16" s="109">
        <v>12</v>
      </c>
      <c r="Z16" s="100">
        <v>8158</v>
      </c>
      <c r="AA16" s="100">
        <v>7255</v>
      </c>
      <c r="AB16" s="81">
        <v>0</v>
      </c>
      <c r="AC16" s="82">
        <v>2787</v>
      </c>
      <c r="AD16" s="82">
        <v>1910</v>
      </c>
      <c r="AE16" s="109">
        <v>2</v>
      </c>
      <c r="AF16" s="83">
        <v>0</v>
      </c>
      <c r="AG16" s="84">
        <v>225764</v>
      </c>
      <c r="AH16" s="85">
        <v>99</v>
      </c>
      <c r="AI16" s="110">
        <v>190</v>
      </c>
      <c r="AJ16" s="110">
        <v>91</v>
      </c>
      <c r="AK16" s="111">
        <v>123845</v>
      </c>
      <c r="AL16" s="112">
        <v>751</v>
      </c>
      <c r="AM16" s="111">
        <v>3115</v>
      </c>
      <c r="AN16" s="112">
        <v>53</v>
      </c>
      <c r="AO16" s="86">
        <v>143596</v>
      </c>
      <c r="AP16" s="113">
        <v>0</v>
      </c>
      <c r="AQ16" s="86">
        <v>168958</v>
      </c>
      <c r="AR16" s="113">
        <v>0</v>
      </c>
      <c r="AS16" s="86">
        <v>127711</v>
      </c>
      <c r="AT16" s="114">
        <v>804</v>
      </c>
      <c r="AU16" s="110">
        <v>1200</v>
      </c>
      <c r="AV16" s="110">
        <v>396</v>
      </c>
      <c r="AW16" s="115">
        <v>0</v>
      </c>
      <c r="AX16" s="115">
        <v>0</v>
      </c>
      <c r="AY16" s="115">
        <v>0</v>
      </c>
      <c r="AZ16" s="115">
        <v>1194.9100000000001</v>
      </c>
      <c r="BA16" s="116">
        <v>1194.9100000000001</v>
      </c>
      <c r="BB16" s="116">
        <v>17292.00000000028</v>
      </c>
      <c r="BC16" s="117">
        <v>1194.9100000000001</v>
      </c>
      <c r="BD16" s="118">
        <v>1194.9100000000001</v>
      </c>
      <c r="BE16" s="119">
        <v>5257604</v>
      </c>
      <c r="BF16" s="120">
        <v>1194.9100000000001</v>
      </c>
      <c r="BG16" s="121">
        <v>3.9300000000000637</v>
      </c>
      <c r="BH16" s="87">
        <v>17292.00000000028</v>
      </c>
      <c r="BI16" s="122">
        <v>17292.00000000028</v>
      </c>
      <c r="BJ16" s="123">
        <v>11588.00000000028</v>
      </c>
      <c r="BK16" s="87">
        <v>2779.97</v>
      </c>
      <c r="BL16" s="87">
        <v>409.99999999999091</v>
      </c>
      <c r="BM16" s="124">
        <v>17702.000000000269</v>
      </c>
      <c r="BN16" s="110">
        <v>20400</v>
      </c>
      <c r="BO16" s="125">
        <v>2697.9999999997308</v>
      </c>
      <c r="BP16" s="88">
        <v>2858423</v>
      </c>
      <c r="BQ16" s="88">
        <v>19</v>
      </c>
      <c r="BR16" s="88">
        <v>4280724</v>
      </c>
      <c r="BS16" s="88">
        <v>5685</v>
      </c>
      <c r="BT16" s="88">
        <v>5704</v>
      </c>
      <c r="BU16" s="96">
        <v>54</v>
      </c>
      <c r="BV16" s="96">
        <v>65</v>
      </c>
    </row>
    <row r="17" spans="1:74" ht="24.95" customHeight="1" x14ac:dyDescent="0.3">
      <c r="A17" s="51" t="s">
        <v>140</v>
      </c>
      <c r="B17" s="78"/>
      <c r="C17" s="78">
        <v>78490</v>
      </c>
      <c r="D17" s="78">
        <v>245936</v>
      </c>
      <c r="E17" s="98">
        <v>81</v>
      </c>
      <c r="F17" s="98">
        <v>10</v>
      </c>
      <c r="G17" s="78"/>
      <c r="H17" s="78">
        <v>147350</v>
      </c>
      <c r="I17" s="79">
        <v>79410</v>
      </c>
      <c r="J17" s="79">
        <v>4</v>
      </c>
      <c r="K17" s="104">
        <v>15939</v>
      </c>
      <c r="L17" s="105">
        <v>3</v>
      </c>
      <c r="M17" s="101">
        <v>1520</v>
      </c>
      <c r="N17" s="105">
        <v>8</v>
      </c>
      <c r="O17" s="101">
        <v>1629</v>
      </c>
      <c r="P17" s="105">
        <v>4</v>
      </c>
      <c r="Q17" s="106">
        <v>58391</v>
      </c>
      <c r="R17" s="126">
        <v>0</v>
      </c>
      <c r="S17" s="107">
        <v>25450</v>
      </c>
      <c r="T17" s="108">
        <v>0</v>
      </c>
      <c r="U17" s="80">
        <v>9826</v>
      </c>
      <c r="V17" s="80">
        <v>2162</v>
      </c>
      <c r="W17" s="81">
        <v>0</v>
      </c>
      <c r="X17" s="82">
        <v>40598</v>
      </c>
      <c r="Y17" s="109">
        <v>71</v>
      </c>
      <c r="Z17" s="100">
        <v>8158</v>
      </c>
      <c r="AA17" s="100">
        <v>7255</v>
      </c>
      <c r="AB17" s="81">
        <v>0</v>
      </c>
      <c r="AC17" s="82">
        <v>2789</v>
      </c>
      <c r="AD17" s="82">
        <v>1912</v>
      </c>
      <c r="AE17" s="109">
        <v>4</v>
      </c>
      <c r="AF17" s="83">
        <v>0</v>
      </c>
      <c r="AG17" s="84">
        <v>225840</v>
      </c>
      <c r="AH17" s="85">
        <v>76</v>
      </c>
      <c r="AI17" s="110">
        <v>190</v>
      </c>
      <c r="AJ17" s="110">
        <v>114</v>
      </c>
      <c r="AK17" s="111">
        <v>124663</v>
      </c>
      <c r="AL17" s="112">
        <v>818</v>
      </c>
      <c r="AM17" s="111">
        <v>3150</v>
      </c>
      <c r="AN17" s="112">
        <v>35</v>
      </c>
      <c r="AO17" s="86">
        <v>143596</v>
      </c>
      <c r="AP17" s="113">
        <v>0</v>
      </c>
      <c r="AQ17" s="86">
        <v>168958</v>
      </c>
      <c r="AR17" s="113">
        <v>0</v>
      </c>
      <c r="AS17" s="86">
        <v>128631</v>
      </c>
      <c r="AT17" s="114">
        <v>853</v>
      </c>
      <c r="AU17" s="110">
        <v>1200</v>
      </c>
      <c r="AV17" s="110">
        <v>347</v>
      </c>
      <c r="AW17" s="115">
        <v>0</v>
      </c>
      <c r="AX17" s="115">
        <v>0</v>
      </c>
      <c r="AY17" s="115">
        <v>0</v>
      </c>
      <c r="AZ17" s="115">
        <v>1198.42</v>
      </c>
      <c r="BA17" s="116">
        <v>1198.42</v>
      </c>
      <c r="BB17" s="116">
        <v>15443.99999999996</v>
      </c>
      <c r="BC17" s="117">
        <v>1198.42</v>
      </c>
      <c r="BD17" s="118">
        <v>1198.42</v>
      </c>
      <c r="BE17" s="119">
        <v>5273048</v>
      </c>
      <c r="BF17" s="120">
        <v>1198.42</v>
      </c>
      <c r="BG17" s="121">
        <v>3.5099999999999909</v>
      </c>
      <c r="BH17" s="87">
        <v>15443.99999999996</v>
      </c>
      <c r="BI17" s="122">
        <v>15443.99999999996</v>
      </c>
      <c r="BJ17" s="123">
        <v>12982.99999999996</v>
      </c>
      <c r="BK17" s="87">
        <v>2785.19</v>
      </c>
      <c r="BL17" s="87">
        <v>522.00000000002547</v>
      </c>
      <c r="BM17" s="124">
        <v>15965.999999999985</v>
      </c>
      <c r="BN17" s="110">
        <v>20400</v>
      </c>
      <c r="BO17" s="125">
        <v>4434.0000000000146</v>
      </c>
      <c r="BP17" s="88">
        <v>2858443</v>
      </c>
      <c r="BQ17" s="88">
        <v>20</v>
      </c>
      <c r="BR17" s="88">
        <v>4283165</v>
      </c>
      <c r="BS17" s="88">
        <v>2441</v>
      </c>
      <c r="BT17" s="88">
        <v>2461</v>
      </c>
      <c r="BU17" s="96">
        <v>51</v>
      </c>
      <c r="BV17" s="96">
        <v>63</v>
      </c>
    </row>
    <row r="18" spans="1:74" ht="24.95" customHeight="1" x14ac:dyDescent="0.3">
      <c r="A18" s="51" t="s">
        <v>141</v>
      </c>
      <c r="B18" s="78"/>
      <c r="C18" s="78">
        <v>78526</v>
      </c>
      <c r="D18" s="78">
        <v>246000</v>
      </c>
      <c r="E18" s="98">
        <v>64</v>
      </c>
      <c r="F18" s="98">
        <v>25</v>
      </c>
      <c r="G18" s="78"/>
      <c r="H18" s="78">
        <v>147411</v>
      </c>
      <c r="I18" s="79">
        <v>79414</v>
      </c>
      <c r="J18" s="79">
        <v>4</v>
      </c>
      <c r="K18" s="104">
        <v>15943</v>
      </c>
      <c r="L18" s="105">
        <v>4</v>
      </c>
      <c r="M18" s="101">
        <v>1525</v>
      </c>
      <c r="N18" s="105">
        <v>5</v>
      </c>
      <c r="O18" s="101">
        <v>1642</v>
      </c>
      <c r="P18" s="105">
        <v>13</v>
      </c>
      <c r="Q18" s="106">
        <v>58391</v>
      </c>
      <c r="R18" s="126">
        <v>0</v>
      </c>
      <c r="S18" s="107">
        <v>25450</v>
      </c>
      <c r="T18" s="108">
        <v>0</v>
      </c>
      <c r="U18" s="80">
        <v>9827</v>
      </c>
      <c r="V18" s="80">
        <v>2162</v>
      </c>
      <c r="W18" s="81">
        <v>1</v>
      </c>
      <c r="X18" s="82">
        <v>40637</v>
      </c>
      <c r="Y18" s="109">
        <v>39</v>
      </c>
      <c r="Z18" s="100">
        <v>8158</v>
      </c>
      <c r="AA18" s="100">
        <v>7255</v>
      </c>
      <c r="AB18" s="81">
        <v>0</v>
      </c>
      <c r="AC18" s="82">
        <v>2792</v>
      </c>
      <c r="AD18" s="82">
        <v>1914</v>
      </c>
      <c r="AE18" s="109">
        <v>5</v>
      </c>
      <c r="AF18" s="83">
        <v>1</v>
      </c>
      <c r="AG18" s="84">
        <v>225937</v>
      </c>
      <c r="AH18" s="85">
        <v>97</v>
      </c>
      <c r="AI18" s="110">
        <v>190</v>
      </c>
      <c r="AJ18" s="110">
        <v>93</v>
      </c>
      <c r="AK18" s="111">
        <v>125630</v>
      </c>
      <c r="AL18" s="112">
        <v>967</v>
      </c>
      <c r="AM18" s="111">
        <v>3180</v>
      </c>
      <c r="AN18" s="112">
        <v>30</v>
      </c>
      <c r="AO18" s="86">
        <v>143750</v>
      </c>
      <c r="AP18" s="113">
        <v>154</v>
      </c>
      <c r="AQ18" s="86">
        <v>168959</v>
      </c>
      <c r="AR18" s="113">
        <v>1</v>
      </c>
      <c r="AS18" s="86">
        <v>129777</v>
      </c>
      <c r="AT18" s="114">
        <v>997</v>
      </c>
      <c r="AU18" s="110">
        <v>1200</v>
      </c>
      <c r="AV18" s="110">
        <v>203</v>
      </c>
      <c r="AW18" s="115">
        <v>0</v>
      </c>
      <c r="AX18" s="115">
        <v>0</v>
      </c>
      <c r="AY18" s="115">
        <v>0</v>
      </c>
      <c r="AZ18" s="115">
        <v>1202.01</v>
      </c>
      <c r="BA18" s="116">
        <v>1202.01</v>
      </c>
      <c r="BB18" s="116">
        <v>15795.99999999964</v>
      </c>
      <c r="BC18" s="117">
        <v>1202.01</v>
      </c>
      <c r="BD18" s="118">
        <v>1202.01</v>
      </c>
      <c r="BE18" s="119">
        <v>5288844</v>
      </c>
      <c r="BF18" s="120">
        <v>1202.01</v>
      </c>
      <c r="BG18" s="121">
        <v>3.5899999999999181</v>
      </c>
      <c r="BH18" s="87">
        <v>15795.99999999964</v>
      </c>
      <c r="BI18" s="122">
        <v>15795.99999999964</v>
      </c>
      <c r="BJ18" s="123">
        <v>12928.99999999964</v>
      </c>
      <c r="BK18" s="87">
        <v>2791.01</v>
      </c>
      <c r="BL18" s="87">
        <v>582.00000000001637</v>
      </c>
      <c r="BM18" s="124">
        <v>16377.999999999656</v>
      </c>
      <c r="BN18" s="110">
        <v>20400</v>
      </c>
      <c r="BO18" s="125">
        <v>4022.0000000003438</v>
      </c>
      <c r="BP18" s="88">
        <v>2858463</v>
      </c>
      <c r="BQ18" s="88">
        <v>20</v>
      </c>
      <c r="BR18" s="88">
        <v>4286012</v>
      </c>
      <c r="BS18" s="88">
        <v>2847</v>
      </c>
      <c r="BT18" s="88">
        <v>2867</v>
      </c>
      <c r="BU18" s="96">
        <v>50</v>
      </c>
      <c r="BV18" s="96">
        <v>59</v>
      </c>
    </row>
    <row r="19" spans="1:74" ht="24.95" customHeight="1" x14ac:dyDescent="0.3">
      <c r="A19" s="51" t="s">
        <v>142</v>
      </c>
      <c r="B19" s="78"/>
      <c r="C19" s="78">
        <v>78570</v>
      </c>
      <c r="D19" s="78">
        <v>246064</v>
      </c>
      <c r="E19" s="98">
        <v>64</v>
      </c>
      <c r="F19" s="98">
        <v>23</v>
      </c>
      <c r="G19" s="78"/>
      <c r="H19" s="78">
        <v>147489</v>
      </c>
      <c r="I19" s="79">
        <v>79436</v>
      </c>
      <c r="J19" s="79">
        <v>22</v>
      </c>
      <c r="K19" s="104">
        <v>15947</v>
      </c>
      <c r="L19" s="105">
        <v>4</v>
      </c>
      <c r="M19" s="101">
        <v>1531</v>
      </c>
      <c r="N19" s="105">
        <v>6</v>
      </c>
      <c r="O19" s="101">
        <v>1647</v>
      </c>
      <c r="P19" s="105">
        <v>5</v>
      </c>
      <c r="Q19" s="106">
        <v>58399</v>
      </c>
      <c r="R19" s="126">
        <v>8</v>
      </c>
      <c r="S19" s="107">
        <v>25450</v>
      </c>
      <c r="T19" s="108">
        <v>0</v>
      </c>
      <c r="U19" s="80">
        <v>9832</v>
      </c>
      <c r="V19" s="80">
        <v>2162</v>
      </c>
      <c r="W19" s="81">
        <v>5</v>
      </c>
      <c r="X19" s="82">
        <v>40678</v>
      </c>
      <c r="Y19" s="109">
        <v>41</v>
      </c>
      <c r="Z19" s="100">
        <v>8158</v>
      </c>
      <c r="AA19" s="100">
        <v>7255</v>
      </c>
      <c r="AB19" s="81">
        <v>0</v>
      </c>
      <c r="AC19" s="82">
        <v>2795</v>
      </c>
      <c r="AD19" s="82">
        <v>1916</v>
      </c>
      <c r="AE19" s="109">
        <v>5</v>
      </c>
      <c r="AF19" s="83">
        <v>13</v>
      </c>
      <c r="AG19" s="84">
        <v>226059</v>
      </c>
      <c r="AH19" s="85">
        <v>122</v>
      </c>
      <c r="AI19" s="110">
        <v>190</v>
      </c>
      <c r="AJ19" s="110">
        <v>68</v>
      </c>
      <c r="AK19" s="111">
        <v>126795</v>
      </c>
      <c r="AL19" s="112">
        <v>1165</v>
      </c>
      <c r="AM19" s="111">
        <v>3229</v>
      </c>
      <c r="AN19" s="112">
        <v>49</v>
      </c>
      <c r="AO19" s="86">
        <v>144292</v>
      </c>
      <c r="AP19" s="113">
        <v>542</v>
      </c>
      <c r="AQ19" s="86">
        <v>168959</v>
      </c>
      <c r="AR19" s="113">
        <v>0</v>
      </c>
      <c r="AS19" s="86">
        <v>131189</v>
      </c>
      <c r="AT19" s="114">
        <v>1214</v>
      </c>
      <c r="AU19" s="110">
        <v>1200</v>
      </c>
      <c r="AV19" s="110">
        <v>-14</v>
      </c>
      <c r="AW19" s="115">
        <v>0</v>
      </c>
      <c r="AX19" s="115">
        <v>0</v>
      </c>
      <c r="AY19" s="115">
        <v>0</v>
      </c>
      <c r="AZ19" s="115">
        <v>1205.6099999999999</v>
      </c>
      <c r="BA19" s="116">
        <v>1205.6099999999999</v>
      </c>
      <c r="BB19" s="116">
        <v>15839.9999999996</v>
      </c>
      <c r="BC19" s="117">
        <v>1205.6099999999999</v>
      </c>
      <c r="BD19" s="118">
        <v>1205.6099999999999</v>
      </c>
      <c r="BE19" s="119">
        <v>5304684</v>
      </c>
      <c r="BF19" s="120">
        <v>1205.6099999999999</v>
      </c>
      <c r="BG19" s="121">
        <v>3.5999999999999091</v>
      </c>
      <c r="BH19" s="87">
        <v>15839.9999999996</v>
      </c>
      <c r="BI19" s="122">
        <v>15839.9999999996</v>
      </c>
      <c r="BJ19" s="123">
        <v>12478.9999999996</v>
      </c>
      <c r="BK19" s="87">
        <v>2796.35</v>
      </c>
      <c r="BL19" s="87">
        <v>533.99999999996908</v>
      </c>
      <c r="BM19" s="124">
        <v>16373.999999999569</v>
      </c>
      <c r="BN19" s="110">
        <v>20400</v>
      </c>
      <c r="BO19" s="125">
        <v>4026.0000000004311</v>
      </c>
      <c r="BP19" s="88">
        <v>2858483</v>
      </c>
      <c r="BQ19" s="88">
        <v>20</v>
      </c>
      <c r="BR19" s="88">
        <v>4289353</v>
      </c>
      <c r="BS19" s="88">
        <v>3341</v>
      </c>
      <c r="BT19" s="88">
        <v>3361</v>
      </c>
      <c r="BU19" s="96">
        <v>53</v>
      </c>
      <c r="BV19" s="96">
        <v>62</v>
      </c>
    </row>
    <row r="20" spans="1:74" ht="24.95" customHeight="1" x14ac:dyDescent="0.3">
      <c r="A20" s="51" t="s">
        <v>143</v>
      </c>
      <c r="B20" s="78"/>
      <c r="C20" s="78">
        <v>78621</v>
      </c>
      <c r="D20" s="78">
        <v>246145</v>
      </c>
      <c r="E20" s="98">
        <v>81</v>
      </c>
      <c r="F20" s="98">
        <v>31</v>
      </c>
      <c r="G20" s="78"/>
      <c r="H20" s="78">
        <v>147579</v>
      </c>
      <c r="I20" s="79">
        <v>79462</v>
      </c>
      <c r="J20" s="79">
        <v>26</v>
      </c>
      <c r="K20" s="104">
        <v>15950</v>
      </c>
      <c r="L20" s="105">
        <v>3</v>
      </c>
      <c r="M20" s="101">
        <v>1537</v>
      </c>
      <c r="N20" s="105">
        <v>6</v>
      </c>
      <c r="O20" s="101">
        <v>1654</v>
      </c>
      <c r="P20" s="105">
        <v>7</v>
      </c>
      <c r="Q20" s="106">
        <v>58408</v>
      </c>
      <c r="R20" s="126">
        <v>9</v>
      </c>
      <c r="S20" s="107">
        <v>25450</v>
      </c>
      <c r="T20" s="108">
        <v>0</v>
      </c>
      <c r="U20" s="80">
        <v>9839</v>
      </c>
      <c r="V20" s="80">
        <v>2162</v>
      </c>
      <c r="W20" s="81">
        <v>7</v>
      </c>
      <c r="X20" s="82">
        <v>40728</v>
      </c>
      <c r="Y20" s="109">
        <v>50</v>
      </c>
      <c r="Z20" s="100">
        <v>8158</v>
      </c>
      <c r="AA20" s="100">
        <v>7255</v>
      </c>
      <c r="AB20" s="81">
        <v>0</v>
      </c>
      <c r="AC20" s="82">
        <v>2797</v>
      </c>
      <c r="AD20" s="82">
        <v>1918</v>
      </c>
      <c r="AE20" s="109">
        <v>4</v>
      </c>
      <c r="AF20" s="83">
        <v>16</v>
      </c>
      <c r="AG20" s="84">
        <v>226200</v>
      </c>
      <c r="AH20" s="85">
        <v>141</v>
      </c>
      <c r="AI20" s="110">
        <v>190</v>
      </c>
      <c r="AJ20" s="110">
        <v>49</v>
      </c>
      <c r="AK20" s="111">
        <v>127928</v>
      </c>
      <c r="AL20" s="112">
        <v>1133</v>
      </c>
      <c r="AM20" s="111">
        <v>3276</v>
      </c>
      <c r="AN20" s="112">
        <v>47</v>
      </c>
      <c r="AO20" s="86">
        <v>144681</v>
      </c>
      <c r="AP20" s="113">
        <v>389</v>
      </c>
      <c r="AQ20" s="86">
        <v>168959</v>
      </c>
      <c r="AR20" s="113">
        <v>0</v>
      </c>
      <c r="AS20" s="86">
        <v>132337</v>
      </c>
      <c r="AT20" s="114">
        <v>1180</v>
      </c>
      <c r="AU20" s="110">
        <v>1200</v>
      </c>
      <c r="AV20" s="110">
        <v>20</v>
      </c>
      <c r="AW20" s="115">
        <v>0</v>
      </c>
      <c r="AX20" s="115">
        <v>0</v>
      </c>
      <c r="AY20" s="115">
        <v>0</v>
      </c>
      <c r="AZ20" s="115">
        <v>1209.4100000000001</v>
      </c>
      <c r="BA20" s="116">
        <v>1209.4100000000001</v>
      </c>
      <c r="BB20" s="116">
        <v>16720.0000000008</v>
      </c>
      <c r="BC20" s="117">
        <v>1209.4100000000001</v>
      </c>
      <c r="BD20" s="118">
        <v>1209.4100000000001</v>
      </c>
      <c r="BE20" s="119">
        <v>5321404</v>
      </c>
      <c r="BF20" s="120">
        <v>1209.4100000000001</v>
      </c>
      <c r="BG20" s="121">
        <v>3.8000000000001819</v>
      </c>
      <c r="BH20" s="87">
        <v>16720.0000000008</v>
      </c>
      <c r="BI20" s="122">
        <v>16720.0000000008</v>
      </c>
      <c r="BJ20" s="123">
        <v>13144.0000000008</v>
      </c>
      <c r="BK20" s="87">
        <v>2802.34</v>
      </c>
      <c r="BL20" s="87">
        <v>599.00000000002365</v>
      </c>
      <c r="BM20" s="124">
        <v>17319.000000000822</v>
      </c>
      <c r="BN20" s="110">
        <v>20400</v>
      </c>
      <c r="BO20" s="125">
        <v>3080.9999999991778</v>
      </c>
      <c r="BP20" s="88">
        <v>2858502</v>
      </c>
      <c r="BQ20" s="88">
        <v>19</v>
      </c>
      <c r="BR20" s="88">
        <v>4292910</v>
      </c>
      <c r="BS20" s="88">
        <v>3557</v>
      </c>
      <c r="BT20" s="88">
        <v>3576</v>
      </c>
      <c r="BU20" s="96">
        <v>48</v>
      </c>
      <c r="BV20" s="96">
        <v>57</v>
      </c>
    </row>
    <row r="21" spans="1:74" ht="24.95" customHeight="1" x14ac:dyDescent="0.3">
      <c r="A21" s="51" t="s">
        <v>144</v>
      </c>
      <c r="B21" s="78"/>
      <c r="C21" s="78">
        <v>78657</v>
      </c>
      <c r="D21" s="78">
        <v>246224</v>
      </c>
      <c r="E21" s="98">
        <v>79</v>
      </c>
      <c r="F21" s="98">
        <v>43</v>
      </c>
      <c r="G21" s="78"/>
      <c r="H21" s="78">
        <v>147662</v>
      </c>
      <c r="I21" s="79">
        <v>79465</v>
      </c>
      <c r="J21" s="79">
        <v>3</v>
      </c>
      <c r="K21" s="104">
        <v>15954</v>
      </c>
      <c r="L21" s="105">
        <v>4</v>
      </c>
      <c r="M21" s="101">
        <v>1542</v>
      </c>
      <c r="N21" s="105">
        <v>5</v>
      </c>
      <c r="O21" s="101">
        <v>1658</v>
      </c>
      <c r="P21" s="105">
        <v>4</v>
      </c>
      <c r="Q21" s="106">
        <v>58413</v>
      </c>
      <c r="R21" s="126">
        <v>5</v>
      </c>
      <c r="S21" s="107">
        <v>25450</v>
      </c>
      <c r="T21" s="108">
        <v>0</v>
      </c>
      <c r="U21" s="80">
        <v>9841</v>
      </c>
      <c r="V21" s="80">
        <v>2162</v>
      </c>
      <c r="W21" s="81">
        <v>2</v>
      </c>
      <c r="X21" s="82">
        <v>40764</v>
      </c>
      <c r="Y21" s="109">
        <v>36</v>
      </c>
      <c r="Z21" s="100">
        <v>8158</v>
      </c>
      <c r="AA21" s="100">
        <v>7255</v>
      </c>
      <c r="AB21" s="81">
        <v>0</v>
      </c>
      <c r="AC21" s="82">
        <v>2799</v>
      </c>
      <c r="AD21" s="82">
        <v>1919</v>
      </c>
      <c r="AE21" s="109">
        <v>3</v>
      </c>
      <c r="AF21" s="83">
        <v>7</v>
      </c>
      <c r="AG21" s="84">
        <v>226319</v>
      </c>
      <c r="AH21" s="85">
        <v>119</v>
      </c>
      <c r="AI21" s="110">
        <v>190</v>
      </c>
      <c r="AJ21" s="110">
        <v>71</v>
      </c>
      <c r="AK21" s="111">
        <v>128934</v>
      </c>
      <c r="AL21" s="112">
        <v>1006</v>
      </c>
      <c r="AM21" s="111">
        <v>3316</v>
      </c>
      <c r="AN21" s="112">
        <v>40</v>
      </c>
      <c r="AO21" s="86">
        <v>145200</v>
      </c>
      <c r="AP21" s="113">
        <v>519</v>
      </c>
      <c r="AQ21" s="86">
        <v>168959</v>
      </c>
      <c r="AR21" s="113">
        <v>0</v>
      </c>
      <c r="AS21" s="86">
        <v>133256</v>
      </c>
      <c r="AT21" s="114">
        <v>1046</v>
      </c>
      <c r="AU21" s="110">
        <v>1200</v>
      </c>
      <c r="AV21" s="110">
        <v>154</v>
      </c>
      <c r="AW21" s="115">
        <v>0</v>
      </c>
      <c r="AX21" s="115">
        <v>0</v>
      </c>
      <c r="AY21" s="115">
        <v>0</v>
      </c>
      <c r="AZ21" s="115">
        <v>1213.1400000000001</v>
      </c>
      <c r="BA21" s="116">
        <v>1213.1400000000001</v>
      </c>
      <c r="BB21" s="116">
        <v>16412.00000000008</v>
      </c>
      <c r="BC21" s="117">
        <v>1213.1400000000001</v>
      </c>
      <c r="BD21" s="118">
        <v>1213.1400000000001</v>
      </c>
      <c r="BE21" s="119">
        <v>5337816</v>
      </c>
      <c r="BF21" s="120">
        <v>1213.1400000000001</v>
      </c>
      <c r="BG21" s="121">
        <v>3.7300000000000182</v>
      </c>
      <c r="BH21" s="87">
        <v>16412.00000000008</v>
      </c>
      <c r="BI21" s="122">
        <v>16412.00000000008</v>
      </c>
      <c r="BJ21" s="123">
        <v>12639.00000000008</v>
      </c>
      <c r="BK21" s="87">
        <v>2807.12</v>
      </c>
      <c r="BL21" s="87">
        <v>477.99999999997453</v>
      </c>
      <c r="BM21" s="124">
        <v>16890.000000000055</v>
      </c>
      <c r="BN21" s="110">
        <v>20400</v>
      </c>
      <c r="BO21" s="125">
        <v>3509.9999999999454</v>
      </c>
      <c r="BP21" s="88">
        <v>2858522</v>
      </c>
      <c r="BQ21" s="88">
        <v>20</v>
      </c>
      <c r="BR21" s="88">
        <v>4296663</v>
      </c>
      <c r="BS21" s="88">
        <v>3753</v>
      </c>
      <c r="BT21" s="88">
        <v>3773</v>
      </c>
      <c r="BU21" s="96">
        <v>44</v>
      </c>
      <c r="BV21" s="96">
        <v>52</v>
      </c>
    </row>
    <row r="22" spans="1:74" ht="24.95" customHeight="1" x14ac:dyDescent="0.3">
      <c r="A22" s="51" t="s">
        <v>145</v>
      </c>
      <c r="B22" s="78"/>
      <c r="C22" s="78">
        <v>78691</v>
      </c>
      <c r="D22" s="78">
        <v>246303</v>
      </c>
      <c r="E22" s="98">
        <v>79</v>
      </c>
      <c r="F22" s="98">
        <v>21</v>
      </c>
      <c r="G22" s="78"/>
      <c r="H22" s="78">
        <v>147736</v>
      </c>
      <c r="I22" s="79">
        <v>79469</v>
      </c>
      <c r="J22" s="79">
        <v>4</v>
      </c>
      <c r="K22" s="104">
        <v>15959</v>
      </c>
      <c r="L22" s="105">
        <v>5</v>
      </c>
      <c r="M22" s="101">
        <v>1548</v>
      </c>
      <c r="N22" s="105">
        <v>6</v>
      </c>
      <c r="O22" s="101">
        <v>1663</v>
      </c>
      <c r="P22" s="105">
        <v>5</v>
      </c>
      <c r="Q22" s="106">
        <v>58413</v>
      </c>
      <c r="R22" s="126">
        <v>0</v>
      </c>
      <c r="S22" s="107">
        <v>25455</v>
      </c>
      <c r="T22" s="108">
        <v>5</v>
      </c>
      <c r="U22" s="80">
        <v>9842</v>
      </c>
      <c r="V22" s="80">
        <v>2162</v>
      </c>
      <c r="W22" s="81">
        <v>1</v>
      </c>
      <c r="X22" s="82">
        <v>40822</v>
      </c>
      <c r="Y22" s="109">
        <v>58</v>
      </c>
      <c r="Z22" s="100">
        <v>8158</v>
      </c>
      <c r="AA22" s="100">
        <v>7255</v>
      </c>
      <c r="AB22" s="81">
        <v>0</v>
      </c>
      <c r="AC22" s="82">
        <v>2800</v>
      </c>
      <c r="AD22" s="82">
        <v>1920</v>
      </c>
      <c r="AE22" s="109">
        <v>2</v>
      </c>
      <c r="AF22" s="83">
        <v>6</v>
      </c>
      <c r="AG22" s="84">
        <v>226427</v>
      </c>
      <c r="AH22" s="85">
        <v>108</v>
      </c>
      <c r="AI22" s="110">
        <v>190</v>
      </c>
      <c r="AJ22" s="110">
        <v>82</v>
      </c>
      <c r="AK22" s="111">
        <v>129652</v>
      </c>
      <c r="AL22" s="112">
        <v>718</v>
      </c>
      <c r="AM22" s="111">
        <v>3360</v>
      </c>
      <c r="AN22" s="112">
        <v>44</v>
      </c>
      <c r="AO22" s="86">
        <v>145309</v>
      </c>
      <c r="AP22" s="113">
        <v>109</v>
      </c>
      <c r="AQ22" s="86">
        <v>168959</v>
      </c>
      <c r="AR22" s="113">
        <v>0</v>
      </c>
      <c r="AS22" s="86">
        <v>133730</v>
      </c>
      <c r="AT22" s="114">
        <v>762</v>
      </c>
      <c r="AU22" s="110">
        <v>1200</v>
      </c>
      <c r="AV22" s="110">
        <v>438</v>
      </c>
      <c r="AW22" s="115">
        <v>0</v>
      </c>
      <c r="AX22" s="115">
        <v>0</v>
      </c>
      <c r="AY22" s="115">
        <v>0</v>
      </c>
      <c r="AZ22" s="115">
        <v>1217.22</v>
      </c>
      <c r="BA22" s="116">
        <v>1217.22</v>
      </c>
      <c r="BB22" s="116">
        <v>17951.99999999968</v>
      </c>
      <c r="BC22" s="117">
        <v>1217.22</v>
      </c>
      <c r="BD22" s="118">
        <v>1217.22</v>
      </c>
      <c r="BE22" s="119">
        <v>5355768</v>
      </c>
      <c r="BF22" s="120">
        <v>1217.22</v>
      </c>
      <c r="BG22" s="121">
        <v>4.0799999999999272</v>
      </c>
      <c r="BH22" s="87">
        <v>17951.99999999968</v>
      </c>
      <c r="BI22" s="122">
        <v>17951.99999999968</v>
      </c>
      <c r="BJ22" s="123">
        <v>13811.99999999968</v>
      </c>
      <c r="BK22" s="87">
        <v>2812.02</v>
      </c>
      <c r="BL22" s="87">
        <v>490.00000000000909</v>
      </c>
      <c r="BM22" s="124">
        <v>18441.999999999687</v>
      </c>
      <c r="BN22" s="110">
        <v>20400</v>
      </c>
      <c r="BO22" s="125">
        <v>1958.0000000003129</v>
      </c>
      <c r="BP22" s="88">
        <v>2858541</v>
      </c>
      <c r="BQ22" s="88">
        <v>19</v>
      </c>
      <c r="BR22" s="88">
        <v>4300784</v>
      </c>
      <c r="BS22" s="88">
        <v>4121</v>
      </c>
      <c r="BT22" s="88">
        <v>4140</v>
      </c>
      <c r="BU22" s="96">
        <v>49</v>
      </c>
      <c r="BV22" s="96">
        <v>65</v>
      </c>
    </row>
    <row r="23" spans="1:74" ht="24.95" customHeight="1" x14ac:dyDescent="0.3">
      <c r="A23" s="51" t="s">
        <v>146</v>
      </c>
      <c r="B23" s="78"/>
      <c r="C23" s="78">
        <v>78729</v>
      </c>
      <c r="D23" s="78">
        <v>246386</v>
      </c>
      <c r="E23" s="98">
        <v>83</v>
      </c>
      <c r="F23" s="98">
        <v>34</v>
      </c>
      <c r="G23" s="78"/>
      <c r="H23" s="78">
        <v>147810</v>
      </c>
      <c r="I23" s="79">
        <v>79474</v>
      </c>
      <c r="J23" s="79">
        <v>5</v>
      </c>
      <c r="K23" s="104">
        <v>15963</v>
      </c>
      <c r="L23" s="105">
        <v>4</v>
      </c>
      <c r="M23" s="101">
        <v>1554</v>
      </c>
      <c r="N23" s="105">
        <v>6</v>
      </c>
      <c r="O23" s="101">
        <v>1669</v>
      </c>
      <c r="P23" s="105">
        <v>6</v>
      </c>
      <c r="Q23" s="106">
        <v>58413</v>
      </c>
      <c r="R23" s="126">
        <v>0</v>
      </c>
      <c r="S23" s="107">
        <v>25455</v>
      </c>
      <c r="T23" s="108">
        <v>0</v>
      </c>
      <c r="U23" s="80">
        <v>9843</v>
      </c>
      <c r="V23" s="80">
        <v>2162</v>
      </c>
      <c r="W23" s="81">
        <v>1</v>
      </c>
      <c r="X23" s="82">
        <v>40871</v>
      </c>
      <c r="Y23" s="109">
        <v>49</v>
      </c>
      <c r="Z23" s="100">
        <v>8158</v>
      </c>
      <c r="AA23" s="100">
        <v>7257</v>
      </c>
      <c r="AB23" s="81">
        <v>2</v>
      </c>
      <c r="AC23" s="82">
        <v>2803</v>
      </c>
      <c r="AD23" s="82">
        <v>1922</v>
      </c>
      <c r="AE23" s="109">
        <v>5</v>
      </c>
      <c r="AF23" s="83">
        <v>1</v>
      </c>
      <c r="AG23" s="84">
        <v>226539</v>
      </c>
      <c r="AH23" s="85">
        <v>112</v>
      </c>
      <c r="AI23" s="110">
        <v>190</v>
      </c>
      <c r="AJ23" s="110">
        <v>78</v>
      </c>
      <c r="AK23" s="111">
        <v>130270</v>
      </c>
      <c r="AL23" s="112">
        <v>618</v>
      </c>
      <c r="AM23" s="111">
        <v>3404</v>
      </c>
      <c r="AN23" s="112">
        <v>44</v>
      </c>
      <c r="AO23" s="86">
        <v>145309</v>
      </c>
      <c r="AP23" s="113">
        <v>0</v>
      </c>
      <c r="AQ23" s="86">
        <v>168959</v>
      </c>
      <c r="AR23" s="113">
        <v>0</v>
      </c>
      <c r="AS23" s="86">
        <v>134292</v>
      </c>
      <c r="AT23" s="114">
        <v>662</v>
      </c>
      <c r="AU23" s="110">
        <v>1200</v>
      </c>
      <c r="AV23" s="110">
        <v>538</v>
      </c>
      <c r="AW23" s="115">
        <v>0</v>
      </c>
      <c r="AX23" s="115">
        <v>0</v>
      </c>
      <c r="AY23" s="115">
        <v>0</v>
      </c>
      <c r="AZ23" s="115">
        <v>1221.21</v>
      </c>
      <c r="BA23" s="116">
        <v>1221.21</v>
      </c>
      <c r="BB23" s="116">
        <v>17556.00000000004</v>
      </c>
      <c r="BC23" s="117">
        <v>1221.21</v>
      </c>
      <c r="BD23" s="118">
        <v>1221.21</v>
      </c>
      <c r="BE23" s="119">
        <v>5373324</v>
      </c>
      <c r="BF23" s="120">
        <v>1221.21</v>
      </c>
      <c r="BG23" s="121">
        <v>3.9900000000000091</v>
      </c>
      <c r="BH23" s="87">
        <v>17556.00000000004</v>
      </c>
      <c r="BI23" s="122">
        <v>17556.00000000004</v>
      </c>
      <c r="BJ23" s="123">
        <v>13290.00000000004</v>
      </c>
      <c r="BK23" s="87">
        <v>2817.21</v>
      </c>
      <c r="BL23" s="87">
        <v>519.00000000000546</v>
      </c>
      <c r="BM23" s="124">
        <v>18075.000000000044</v>
      </c>
      <c r="BN23" s="110">
        <v>20400</v>
      </c>
      <c r="BO23" s="125">
        <v>2324.9999999999563</v>
      </c>
      <c r="BP23" s="88">
        <v>2858561</v>
      </c>
      <c r="BQ23" s="88">
        <v>20</v>
      </c>
      <c r="BR23" s="88">
        <v>4305030</v>
      </c>
      <c r="BS23" s="88">
        <v>4246</v>
      </c>
      <c r="BT23" s="88">
        <v>4266</v>
      </c>
      <c r="BU23" s="96">
        <v>40</v>
      </c>
      <c r="BV23" s="96">
        <v>57</v>
      </c>
    </row>
    <row r="24" spans="1:74" ht="24.95" customHeight="1" x14ac:dyDescent="0.3">
      <c r="A24" s="51" t="s">
        <v>147</v>
      </c>
      <c r="B24" s="78"/>
      <c r="C24" s="78">
        <v>78767</v>
      </c>
      <c r="D24" s="78">
        <v>246472</v>
      </c>
      <c r="E24" s="98">
        <v>86</v>
      </c>
      <c r="F24" s="98">
        <v>6</v>
      </c>
      <c r="G24" s="78"/>
      <c r="H24" s="78">
        <v>147881</v>
      </c>
      <c r="I24" s="79">
        <v>79478</v>
      </c>
      <c r="J24" s="79">
        <v>4</v>
      </c>
      <c r="K24" s="104">
        <v>15967</v>
      </c>
      <c r="L24" s="105">
        <v>4</v>
      </c>
      <c r="M24" s="101">
        <v>1559</v>
      </c>
      <c r="N24" s="105">
        <v>5</v>
      </c>
      <c r="O24" s="101">
        <v>1675</v>
      </c>
      <c r="P24" s="105">
        <v>6</v>
      </c>
      <c r="Q24" s="106">
        <v>58413</v>
      </c>
      <c r="R24" s="126">
        <v>0</v>
      </c>
      <c r="S24" s="107">
        <v>25455</v>
      </c>
      <c r="T24" s="108">
        <v>0</v>
      </c>
      <c r="U24" s="80">
        <v>9844</v>
      </c>
      <c r="V24" s="80">
        <v>2162</v>
      </c>
      <c r="W24" s="81">
        <v>1</v>
      </c>
      <c r="X24" s="82">
        <v>40951</v>
      </c>
      <c r="Y24" s="109">
        <v>80</v>
      </c>
      <c r="Z24" s="100">
        <v>8158</v>
      </c>
      <c r="AA24" s="100">
        <v>7257</v>
      </c>
      <c r="AB24" s="81">
        <v>0</v>
      </c>
      <c r="AC24" s="82">
        <v>2805</v>
      </c>
      <c r="AD24" s="82">
        <v>1923</v>
      </c>
      <c r="AE24" s="109">
        <v>3</v>
      </c>
      <c r="AF24" s="83">
        <v>1</v>
      </c>
      <c r="AG24" s="84">
        <v>226648</v>
      </c>
      <c r="AH24" s="85">
        <v>109</v>
      </c>
      <c r="AI24" s="110">
        <v>190</v>
      </c>
      <c r="AJ24" s="110">
        <v>81</v>
      </c>
      <c r="AK24" s="111">
        <v>130965</v>
      </c>
      <c r="AL24" s="112">
        <v>695</v>
      </c>
      <c r="AM24" s="111">
        <v>3447</v>
      </c>
      <c r="AN24" s="112">
        <v>43</v>
      </c>
      <c r="AO24" s="86">
        <v>145406</v>
      </c>
      <c r="AP24" s="113">
        <v>97</v>
      </c>
      <c r="AQ24" s="86">
        <v>168959</v>
      </c>
      <c r="AR24" s="113">
        <v>0</v>
      </c>
      <c r="AS24" s="86">
        <v>135107</v>
      </c>
      <c r="AT24" s="114">
        <v>738</v>
      </c>
      <c r="AU24" s="110">
        <v>1200</v>
      </c>
      <c r="AV24" s="110">
        <v>462</v>
      </c>
      <c r="AW24" s="115">
        <v>0</v>
      </c>
      <c r="AX24" s="115">
        <v>0</v>
      </c>
      <c r="AY24" s="115">
        <v>0</v>
      </c>
      <c r="AZ24" s="115">
        <v>1225.27</v>
      </c>
      <c r="BA24" s="116">
        <v>1225.27</v>
      </c>
      <c r="BB24" s="116">
        <v>17863.99999999976</v>
      </c>
      <c r="BC24" s="117">
        <v>1225.27</v>
      </c>
      <c r="BD24" s="118">
        <v>1225.27</v>
      </c>
      <c r="BE24" s="119">
        <v>5391188</v>
      </c>
      <c r="BF24" s="120">
        <v>1225.27</v>
      </c>
      <c r="BG24" s="121">
        <v>4.0599999999999454</v>
      </c>
      <c r="BH24" s="87">
        <v>17863.99999999976</v>
      </c>
      <c r="BI24" s="122">
        <v>17863.99999999976</v>
      </c>
      <c r="BJ24" s="123">
        <v>13323.99999999976</v>
      </c>
      <c r="BK24" s="87">
        <v>2821.02</v>
      </c>
      <c r="BL24" s="87">
        <v>380.99999999999454</v>
      </c>
      <c r="BM24" s="124">
        <v>18244.999999999753</v>
      </c>
      <c r="BN24" s="110">
        <v>20400</v>
      </c>
      <c r="BO24" s="125">
        <v>2155.0000000002474</v>
      </c>
      <c r="BP24" s="88">
        <v>2858581</v>
      </c>
      <c r="BQ24" s="88">
        <v>20</v>
      </c>
      <c r="BR24" s="88">
        <v>4309550</v>
      </c>
      <c r="BS24" s="88">
        <v>4520</v>
      </c>
      <c r="BT24" s="88">
        <v>4540</v>
      </c>
      <c r="BU24" s="96">
        <v>28</v>
      </c>
      <c r="BV24" s="96">
        <v>38</v>
      </c>
    </row>
    <row r="25" spans="1:74" ht="24.95" customHeight="1" x14ac:dyDescent="0.3">
      <c r="A25" s="51" t="s">
        <v>148</v>
      </c>
      <c r="B25" s="78"/>
      <c r="C25" s="78">
        <v>78816</v>
      </c>
      <c r="D25" s="78">
        <v>246554</v>
      </c>
      <c r="E25" s="98">
        <v>82</v>
      </c>
      <c r="F25" s="98">
        <v>44</v>
      </c>
      <c r="G25" s="78"/>
      <c r="H25" s="78">
        <v>147971</v>
      </c>
      <c r="I25" s="79">
        <v>79501</v>
      </c>
      <c r="J25" s="79">
        <v>23</v>
      </c>
      <c r="K25" s="104">
        <v>15971</v>
      </c>
      <c r="L25" s="105">
        <v>4</v>
      </c>
      <c r="M25" s="101">
        <v>1563</v>
      </c>
      <c r="N25" s="105">
        <v>4</v>
      </c>
      <c r="O25" s="101">
        <v>1680</v>
      </c>
      <c r="P25" s="105">
        <v>5</v>
      </c>
      <c r="Q25" s="106">
        <v>58425</v>
      </c>
      <c r="R25" s="126">
        <v>12</v>
      </c>
      <c r="S25" s="107">
        <v>25455</v>
      </c>
      <c r="T25" s="108">
        <v>0</v>
      </c>
      <c r="U25" s="80">
        <v>9850</v>
      </c>
      <c r="V25" s="80">
        <v>2162</v>
      </c>
      <c r="W25" s="81">
        <v>6</v>
      </c>
      <c r="X25" s="82">
        <v>40989</v>
      </c>
      <c r="Y25" s="109">
        <v>38</v>
      </c>
      <c r="Z25" s="100">
        <v>8158</v>
      </c>
      <c r="AA25" s="100">
        <v>7257</v>
      </c>
      <c r="AB25" s="81">
        <v>0</v>
      </c>
      <c r="AC25" s="82">
        <v>2807</v>
      </c>
      <c r="AD25" s="82">
        <v>1924</v>
      </c>
      <c r="AE25" s="109">
        <v>3</v>
      </c>
      <c r="AF25" s="83">
        <v>18</v>
      </c>
      <c r="AG25" s="84">
        <v>226787</v>
      </c>
      <c r="AH25" s="85">
        <v>139</v>
      </c>
      <c r="AI25" s="110">
        <v>190</v>
      </c>
      <c r="AJ25" s="110">
        <v>51</v>
      </c>
      <c r="AK25" s="111">
        <v>132017</v>
      </c>
      <c r="AL25" s="112">
        <v>1052</v>
      </c>
      <c r="AM25" s="111">
        <v>3482</v>
      </c>
      <c r="AN25" s="112">
        <v>35</v>
      </c>
      <c r="AO25" s="86">
        <v>145950</v>
      </c>
      <c r="AP25" s="113">
        <v>544</v>
      </c>
      <c r="AQ25" s="86">
        <v>168959</v>
      </c>
      <c r="AR25" s="113">
        <v>0</v>
      </c>
      <c r="AS25" s="86">
        <v>136551</v>
      </c>
      <c r="AT25" s="114">
        <v>1087</v>
      </c>
      <c r="AU25" s="110">
        <v>1200</v>
      </c>
      <c r="AV25" s="110">
        <v>113</v>
      </c>
      <c r="AW25" s="115">
        <v>0</v>
      </c>
      <c r="AX25" s="115">
        <v>0</v>
      </c>
      <c r="AY25" s="115">
        <v>0</v>
      </c>
      <c r="AZ25" s="115">
        <v>1229.3699999999999</v>
      </c>
      <c r="BA25" s="116">
        <v>1229.3699999999999</v>
      </c>
      <c r="BB25" s="116">
        <v>18039.9999999996</v>
      </c>
      <c r="BC25" s="117">
        <v>1229.3699999999999</v>
      </c>
      <c r="BD25" s="118">
        <v>1229.3699999999999</v>
      </c>
      <c r="BE25" s="119">
        <v>5409227.9999999991</v>
      </c>
      <c r="BF25" s="120">
        <v>1229.3699999999999</v>
      </c>
      <c r="BG25" s="121">
        <v>4.0999999999999091</v>
      </c>
      <c r="BH25" s="87">
        <v>18039.9999999996</v>
      </c>
      <c r="BI25" s="122">
        <v>18039.9999999996</v>
      </c>
      <c r="BJ25" s="123">
        <v>13115.9999999996</v>
      </c>
      <c r="BK25" s="87">
        <v>2825.9</v>
      </c>
      <c r="BL25" s="87">
        <v>488.00000000001091</v>
      </c>
      <c r="BM25" s="124">
        <v>18527.999999999611</v>
      </c>
      <c r="BN25" s="110">
        <v>20400</v>
      </c>
      <c r="BO25" s="125">
        <v>1872.0000000003893</v>
      </c>
      <c r="BP25" s="88">
        <v>2858601</v>
      </c>
      <c r="BQ25" s="88">
        <v>20</v>
      </c>
      <c r="BR25" s="88">
        <v>4314454</v>
      </c>
      <c r="BS25" s="88">
        <v>4904</v>
      </c>
      <c r="BT25" s="88">
        <v>4924</v>
      </c>
      <c r="BU25" s="96">
        <v>38</v>
      </c>
      <c r="BV25" s="96">
        <v>47</v>
      </c>
    </row>
    <row r="26" spans="1:74" ht="24.95" customHeight="1" x14ac:dyDescent="0.3">
      <c r="A26" s="51" t="s">
        <v>149</v>
      </c>
      <c r="B26" s="78"/>
      <c r="C26" s="78">
        <v>78868</v>
      </c>
      <c r="D26" s="78">
        <v>246643</v>
      </c>
      <c r="E26" s="98">
        <v>89</v>
      </c>
      <c r="F26" s="98">
        <v>30</v>
      </c>
      <c r="G26" s="78"/>
      <c r="H26" s="78">
        <v>148062</v>
      </c>
      <c r="I26" s="79">
        <v>79516</v>
      </c>
      <c r="J26" s="79">
        <v>15</v>
      </c>
      <c r="K26" s="104">
        <v>15974</v>
      </c>
      <c r="L26" s="105">
        <v>3</v>
      </c>
      <c r="M26" s="101">
        <v>1567</v>
      </c>
      <c r="N26" s="105">
        <v>4</v>
      </c>
      <c r="O26" s="101">
        <v>1684</v>
      </c>
      <c r="P26" s="105">
        <v>4</v>
      </c>
      <c r="Q26" s="106">
        <v>58434</v>
      </c>
      <c r="R26" s="126">
        <v>9</v>
      </c>
      <c r="S26" s="107">
        <v>25456</v>
      </c>
      <c r="T26" s="108">
        <v>1</v>
      </c>
      <c r="U26" s="80">
        <v>9856</v>
      </c>
      <c r="V26" s="80">
        <v>2162</v>
      </c>
      <c r="W26" s="81">
        <v>6</v>
      </c>
      <c r="X26" s="82">
        <v>41048</v>
      </c>
      <c r="Y26" s="109">
        <v>59</v>
      </c>
      <c r="Z26" s="100">
        <v>8158</v>
      </c>
      <c r="AA26" s="100">
        <v>7257</v>
      </c>
      <c r="AB26" s="81">
        <v>0</v>
      </c>
      <c r="AC26" s="82">
        <v>2809</v>
      </c>
      <c r="AD26" s="82">
        <v>1926</v>
      </c>
      <c r="AE26" s="109">
        <v>4</v>
      </c>
      <c r="AF26" s="83">
        <v>16</v>
      </c>
      <c r="AG26" s="84">
        <v>226930</v>
      </c>
      <c r="AH26" s="85">
        <v>143</v>
      </c>
      <c r="AI26" s="110">
        <v>190</v>
      </c>
      <c r="AJ26" s="110">
        <v>47</v>
      </c>
      <c r="AK26" s="111">
        <v>133018</v>
      </c>
      <c r="AL26" s="112">
        <v>1001</v>
      </c>
      <c r="AM26" s="111">
        <v>3521</v>
      </c>
      <c r="AN26" s="112">
        <v>39</v>
      </c>
      <c r="AO26" s="86">
        <v>146472</v>
      </c>
      <c r="AP26" s="113">
        <v>522</v>
      </c>
      <c r="AQ26" s="86">
        <v>168959</v>
      </c>
      <c r="AR26" s="113">
        <v>0</v>
      </c>
      <c r="AS26" s="86">
        <v>137540</v>
      </c>
      <c r="AT26" s="114">
        <v>1040</v>
      </c>
      <c r="AU26" s="110">
        <v>1200</v>
      </c>
      <c r="AV26" s="110">
        <v>160</v>
      </c>
      <c r="AW26" s="115">
        <v>0</v>
      </c>
      <c r="AX26" s="115">
        <v>0</v>
      </c>
      <c r="AY26" s="115">
        <v>0</v>
      </c>
      <c r="AZ26" s="115">
        <v>1234.42</v>
      </c>
      <c r="BA26" s="116">
        <v>1232.42</v>
      </c>
      <c r="BB26" s="116">
        <v>22220.0000000008</v>
      </c>
      <c r="BC26" s="117">
        <v>1234.42</v>
      </c>
      <c r="BD26" s="118">
        <v>1234.42</v>
      </c>
      <c r="BE26" s="119">
        <v>5431448</v>
      </c>
      <c r="BF26" s="120">
        <v>1232.42</v>
      </c>
      <c r="BG26" s="121">
        <v>3.0500000000001819</v>
      </c>
      <c r="BH26" s="87">
        <v>13420.0000000008</v>
      </c>
      <c r="BI26" s="122">
        <v>22220.0000000008</v>
      </c>
      <c r="BJ26" s="123">
        <v>17348.0000000008</v>
      </c>
      <c r="BK26" s="87">
        <v>2829.29</v>
      </c>
      <c r="BL26" s="87">
        <v>338.99999999998727</v>
      </c>
      <c r="BM26" s="124">
        <v>22559.000000000786</v>
      </c>
      <c r="BN26" s="110">
        <v>20400</v>
      </c>
      <c r="BO26" s="125">
        <v>-2159.0000000007858</v>
      </c>
      <c r="BP26" s="88">
        <v>2858622</v>
      </c>
      <c r="BQ26" s="88">
        <v>21</v>
      </c>
      <c r="BR26" s="88">
        <v>4319305</v>
      </c>
      <c r="BS26" s="88">
        <v>4851</v>
      </c>
      <c r="BT26" s="88">
        <v>4872</v>
      </c>
      <c r="BU26" s="96">
        <v>65</v>
      </c>
      <c r="BV26" s="96">
        <v>86</v>
      </c>
    </row>
    <row r="27" spans="1:74" ht="24.95" customHeight="1" x14ac:dyDescent="0.3">
      <c r="A27" s="51" t="s">
        <v>150</v>
      </c>
      <c r="B27" s="78"/>
      <c r="C27" s="78">
        <v>78914</v>
      </c>
      <c r="D27" s="78">
        <v>246740</v>
      </c>
      <c r="E27" s="98">
        <v>97</v>
      </c>
      <c r="F27" s="98">
        <v>32</v>
      </c>
      <c r="G27" s="78"/>
      <c r="H27" s="78">
        <v>148146</v>
      </c>
      <c r="I27" s="79">
        <v>79520</v>
      </c>
      <c r="J27" s="79">
        <v>4</v>
      </c>
      <c r="K27" s="104">
        <v>15979</v>
      </c>
      <c r="L27" s="105">
        <v>5</v>
      </c>
      <c r="M27" s="101">
        <v>1573</v>
      </c>
      <c r="N27" s="105">
        <v>6</v>
      </c>
      <c r="O27" s="101">
        <v>1691</v>
      </c>
      <c r="P27" s="105">
        <v>7</v>
      </c>
      <c r="Q27" s="106">
        <v>58437</v>
      </c>
      <c r="R27" s="126">
        <v>3</v>
      </c>
      <c r="S27" s="107">
        <v>25456</v>
      </c>
      <c r="T27" s="108">
        <v>0</v>
      </c>
      <c r="U27" s="80">
        <v>9859</v>
      </c>
      <c r="V27" s="80">
        <v>2162</v>
      </c>
      <c r="W27" s="81">
        <v>3</v>
      </c>
      <c r="X27" s="82">
        <v>41113</v>
      </c>
      <c r="Y27" s="109">
        <v>65</v>
      </c>
      <c r="Z27" s="100">
        <v>8158</v>
      </c>
      <c r="AA27" s="100">
        <v>7257</v>
      </c>
      <c r="AB27" s="81">
        <v>0</v>
      </c>
      <c r="AC27" s="82">
        <v>2812</v>
      </c>
      <c r="AD27" s="82">
        <v>1927</v>
      </c>
      <c r="AE27" s="109">
        <v>4</v>
      </c>
      <c r="AF27" s="83">
        <v>6</v>
      </c>
      <c r="AG27" s="84">
        <v>227060</v>
      </c>
      <c r="AH27" s="85">
        <v>130</v>
      </c>
      <c r="AI27" s="110">
        <v>190</v>
      </c>
      <c r="AJ27" s="110">
        <v>60</v>
      </c>
      <c r="AK27" s="111">
        <v>133885</v>
      </c>
      <c r="AL27" s="112">
        <v>867</v>
      </c>
      <c r="AM27" s="111">
        <v>3565</v>
      </c>
      <c r="AN27" s="112">
        <v>44</v>
      </c>
      <c r="AO27" s="86">
        <v>146937</v>
      </c>
      <c r="AP27" s="113">
        <v>465</v>
      </c>
      <c r="AQ27" s="86">
        <v>168959</v>
      </c>
      <c r="AR27" s="113">
        <v>0</v>
      </c>
      <c r="AS27" s="86">
        <v>138317</v>
      </c>
      <c r="AT27" s="114">
        <v>911</v>
      </c>
      <c r="AU27" s="110">
        <v>1200</v>
      </c>
      <c r="AV27" s="110">
        <v>289</v>
      </c>
      <c r="AW27" s="115">
        <v>0</v>
      </c>
      <c r="AX27" s="115">
        <v>0</v>
      </c>
      <c r="AY27" s="115">
        <v>0</v>
      </c>
      <c r="AZ27" s="115">
        <v>1237.9000000000001</v>
      </c>
      <c r="BA27" s="116">
        <v>1237.9000000000001</v>
      </c>
      <c r="BB27" s="116">
        <v>15312.00000000008</v>
      </c>
      <c r="BC27" s="117">
        <v>1237.9000000000001</v>
      </c>
      <c r="BD27" s="118">
        <v>1237.9000000000001</v>
      </c>
      <c r="BE27" s="119">
        <v>5446760</v>
      </c>
      <c r="BF27" s="120">
        <v>1237.9000000000001</v>
      </c>
      <c r="BG27" s="121">
        <v>5.4800000000000182</v>
      </c>
      <c r="BH27" s="87">
        <v>24112.00000000008</v>
      </c>
      <c r="BI27" s="122">
        <v>15312.00000000008</v>
      </c>
      <c r="BJ27" s="123">
        <v>10192.00000000008</v>
      </c>
      <c r="BK27" s="87">
        <v>2836.28</v>
      </c>
      <c r="BL27" s="87">
        <v>699.00000000002365</v>
      </c>
      <c r="BM27" s="124">
        <v>16011.000000000104</v>
      </c>
      <c r="BN27" s="110">
        <v>20400</v>
      </c>
      <c r="BO27" s="125">
        <v>4388.9999999998963</v>
      </c>
      <c r="BP27" s="88">
        <v>2858641</v>
      </c>
      <c r="BQ27" s="88">
        <v>19</v>
      </c>
      <c r="BR27" s="88">
        <v>4324406</v>
      </c>
      <c r="BS27" s="88">
        <v>5101</v>
      </c>
      <c r="BT27" s="88">
        <v>5120</v>
      </c>
      <c r="BU27" s="96">
        <v>71</v>
      </c>
      <c r="BV27" s="96">
        <v>99</v>
      </c>
    </row>
    <row r="28" spans="1:74" ht="24.95" customHeight="1" x14ac:dyDescent="0.3">
      <c r="A28" s="51" t="s">
        <v>151</v>
      </c>
      <c r="B28" s="78"/>
      <c r="C28" s="78">
        <v>78958</v>
      </c>
      <c r="D28" s="78">
        <v>246836</v>
      </c>
      <c r="E28" s="98">
        <v>96</v>
      </c>
      <c r="F28" s="98">
        <v>20</v>
      </c>
      <c r="G28" s="78"/>
      <c r="H28" s="78">
        <v>148227</v>
      </c>
      <c r="I28" s="79">
        <v>79524</v>
      </c>
      <c r="J28" s="79">
        <v>4</v>
      </c>
      <c r="K28" s="104">
        <v>15983</v>
      </c>
      <c r="L28" s="105">
        <v>4</v>
      </c>
      <c r="M28" s="101">
        <v>1588</v>
      </c>
      <c r="N28" s="105">
        <v>15</v>
      </c>
      <c r="O28" s="101">
        <v>1696</v>
      </c>
      <c r="P28" s="105">
        <v>5</v>
      </c>
      <c r="Q28" s="106">
        <v>58437</v>
      </c>
      <c r="R28" s="126">
        <v>0</v>
      </c>
      <c r="S28" s="107">
        <v>25456</v>
      </c>
      <c r="T28" s="108">
        <v>0</v>
      </c>
      <c r="U28" s="80">
        <v>9860</v>
      </c>
      <c r="V28" s="80">
        <v>2162</v>
      </c>
      <c r="W28" s="81">
        <v>1</v>
      </c>
      <c r="X28" s="82">
        <v>41189</v>
      </c>
      <c r="Y28" s="109">
        <v>76</v>
      </c>
      <c r="Z28" s="100">
        <v>8158</v>
      </c>
      <c r="AA28" s="100">
        <v>7258</v>
      </c>
      <c r="AB28" s="81">
        <v>1</v>
      </c>
      <c r="AC28" s="82">
        <v>2814</v>
      </c>
      <c r="AD28" s="82">
        <v>1929</v>
      </c>
      <c r="AE28" s="109">
        <v>4</v>
      </c>
      <c r="AF28" s="83">
        <v>1</v>
      </c>
      <c r="AG28" s="84">
        <v>227185</v>
      </c>
      <c r="AH28" s="85">
        <v>125</v>
      </c>
      <c r="AI28" s="110">
        <v>190</v>
      </c>
      <c r="AJ28" s="110">
        <v>65</v>
      </c>
      <c r="AK28" s="111">
        <v>134548</v>
      </c>
      <c r="AL28" s="112">
        <v>663</v>
      </c>
      <c r="AM28" s="111">
        <v>3603</v>
      </c>
      <c r="AN28" s="112">
        <v>38</v>
      </c>
      <c r="AO28" s="86">
        <v>146976</v>
      </c>
      <c r="AP28" s="113">
        <v>39</v>
      </c>
      <c r="AQ28" s="86">
        <v>168959</v>
      </c>
      <c r="AR28" s="113">
        <v>0</v>
      </c>
      <c r="AS28" s="86">
        <v>138814</v>
      </c>
      <c r="AT28" s="114">
        <v>701</v>
      </c>
      <c r="AU28" s="110">
        <v>1200</v>
      </c>
      <c r="AV28" s="110">
        <v>499</v>
      </c>
      <c r="AW28" s="115">
        <v>0</v>
      </c>
      <c r="AX28" s="115">
        <v>0</v>
      </c>
      <c r="AY28" s="115">
        <v>0</v>
      </c>
      <c r="AZ28" s="115">
        <v>1242.48</v>
      </c>
      <c r="BA28" s="116">
        <v>1242.48</v>
      </c>
      <c r="BB28" s="116">
        <v>20151.99999999968</v>
      </c>
      <c r="BC28" s="117">
        <v>1242.48</v>
      </c>
      <c r="BD28" s="118">
        <v>1242.48</v>
      </c>
      <c r="BE28" s="119">
        <v>5466912</v>
      </c>
      <c r="BF28" s="120">
        <v>1242.48</v>
      </c>
      <c r="BG28" s="121">
        <v>4.5799999999999272</v>
      </c>
      <c r="BH28" s="87">
        <v>20151.99999999968</v>
      </c>
      <c r="BI28" s="122">
        <v>20151.99999999968</v>
      </c>
      <c r="BJ28" s="123">
        <v>15776.99999999968</v>
      </c>
      <c r="BK28" s="87">
        <v>2841.81</v>
      </c>
      <c r="BL28" s="87">
        <v>552.99999999997453</v>
      </c>
      <c r="BM28" s="124">
        <v>20704.999999999654</v>
      </c>
      <c r="BN28" s="110">
        <v>20400</v>
      </c>
      <c r="BO28" s="125">
        <v>-304.99999999965439</v>
      </c>
      <c r="BP28" s="88">
        <v>2858661</v>
      </c>
      <c r="BQ28" s="88">
        <v>20</v>
      </c>
      <c r="BR28" s="88">
        <v>4328761</v>
      </c>
      <c r="BS28" s="88">
        <v>4355</v>
      </c>
      <c r="BT28" s="88">
        <v>4375</v>
      </c>
      <c r="BU28" s="96">
        <v>31</v>
      </c>
      <c r="BV28" s="96">
        <v>38</v>
      </c>
    </row>
    <row r="29" spans="1:74" ht="24.95" customHeight="1" x14ac:dyDescent="0.3">
      <c r="A29" s="51" t="s">
        <v>152</v>
      </c>
      <c r="B29" s="78"/>
      <c r="C29" s="78">
        <v>78995</v>
      </c>
      <c r="D29" s="78">
        <v>246908</v>
      </c>
      <c r="E29" s="98">
        <v>72</v>
      </c>
      <c r="F29" s="98">
        <v>23</v>
      </c>
      <c r="G29" s="78"/>
      <c r="H29" s="78">
        <v>148296</v>
      </c>
      <c r="I29" s="79">
        <v>79527</v>
      </c>
      <c r="J29" s="79">
        <v>3</v>
      </c>
      <c r="K29" s="104">
        <v>15989</v>
      </c>
      <c r="L29" s="105">
        <v>6</v>
      </c>
      <c r="M29" s="101">
        <v>1594</v>
      </c>
      <c r="N29" s="105">
        <v>6</v>
      </c>
      <c r="O29" s="101">
        <v>1699</v>
      </c>
      <c r="P29" s="105">
        <v>3</v>
      </c>
      <c r="Q29" s="106">
        <v>58437</v>
      </c>
      <c r="R29" s="126">
        <v>0</v>
      </c>
      <c r="S29" s="107">
        <v>25456</v>
      </c>
      <c r="T29" s="108">
        <v>0</v>
      </c>
      <c r="U29" s="80">
        <v>9860</v>
      </c>
      <c r="V29" s="80">
        <v>2162</v>
      </c>
      <c r="W29" s="81">
        <v>0</v>
      </c>
      <c r="X29" s="82">
        <v>41238</v>
      </c>
      <c r="Y29" s="109">
        <v>49</v>
      </c>
      <c r="Z29" s="100">
        <v>8158</v>
      </c>
      <c r="AA29" s="100">
        <v>7258</v>
      </c>
      <c r="AB29" s="81">
        <v>0</v>
      </c>
      <c r="AC29" s="82">
        <v>2817</v>
      </c>
      <c r="AD29" s="82">
        <v>1930</v>
      </c>
      <c r="AE29" s="109">
        <v>4</v>
      </c>
      <c r="AF29" s="83">
        <v>0</v>
      </c>
      <c r="AG29" s="84">
        <v>227291</v>
      </c>
      <c r="AH29" s="85">
        <v>106</v>
      </c>
      <c r="AI29" s="110">
        <v>190</v>
      </c>
      <c r="AJ29" s="110">
        <v>84</v>
      </c>
      <c r="AK29" s="111">
        <v>135201</v>
      </c>
      <c r="AL29" s="112">
        <v>653</v>
      </c>
      <c r="AM29" s="111">
        <v>3648</v>
      </c>
      <c r="AN29" s="112">
        <v>45</v>
      </c>
      <c r="AO29" s="86">
        <v>147022</v>
      </c>
      <c r="AP29" s="113">
        <v>46</v>
      </c>
      <c r="AQ29" s="86">
        <v>168959</v>
      </c>
      <c r="AR29" s="113">
        <v>0</v>
      </c>
      <c r="AS29" s="86">
        <v>139502</v>
      </c>
      <c r="AT29" s="114">
        <v>698</v>
      </c>
      <c r="AU29" s="110">
        <v>1200</v>
      </c>
      <c r="AV29" s="110">
        <v>502</v>
      </c>
      <c r="AW29" s="115">
        <v>0</v>
      </c>
      <c r="AX29" s="115">
        <v>0</v>
      </c>
      <c r="AY29" s="115">
        <v>0</v>
      </c>
      <c r="AZ29" s="115">
        <v>1246.7</v>
      </c>
      <c r="BA29" s="116">
        <v>1246.7</v>
      </c>
      <c r="BB29" s="116">
        <v>18568.00000000012</v>
      </c>
      <c r="BC29" s="117">
        <v>1246.7</v>
      </c>
      <c r="BD29" s="118">
        <v>1246.7</v>
      </c>
      <c r="BE29" s="119">
        <v>5485480</v>
      </c>
      <c r="BF29" s="120">
        <v>1246.7</v>
      </c>
      <c r="BG29" s="121">
        <v>4.2200000000000273</v>
      </c>
      <c r="BH29" s="87">
        <v>18568.00000000012</v>
      </c>
      <c r="BI29" s="122">
        <v>18568.00000000012</v>
      </c>
      <c r="BJ29" s="123">
        <v>14744.00000000012</v>
      </c>
      <c r="BK29" s="87">
        <v>2846.73</v>
      </c>
      <c r="BL29" s="87">
        <v>492.00000000000728</v>
      </c>
      <c r="BM29" s="124">
        <v>19060.000000000127</v>
      </c>
      <c r="BN29" s="110">
        <v>20400</v>
      </c>
      <c r="BO29" s="125">
        <v>1339.9999999998727</v>
      </c>
      <c r="BP29" s="88">
        <v>2858661</v>
      </c>
      <c r="BQ29" s="88">
        <v>0</v>
      </c>
      <c r="BR29" s="88">
        <v>4332585</v>
      </c>
      <c r="BS29" s="88">
        <v>3824</v>
      </c>
      <c r="BT29" s="88">
        <v>3824</v>
      </c>
      <c r="BU29" s="96">
        <v>32</v>
      </c>
      <c r="BV29" s="96">
        <v>40</v>
      </c>
    </row>
    <row r="30" spans="1:74" ht="24.95" customHeight="1" x14ac:dyDescent="0.3">
      <c r="A30" s="51" t="s">
        <v>153</v>
      </c>
      <c r="B30" s="78"/>
      <c r="C30" s="78">
        <v>79031</v>
      </c>
      <c r="D30" s="78">
        <v>246987</v>
      </c>
      <c r="E30" s="98">
        <v>79</v>
      </c>
      <c r="F30" s="98">
        <v>23</v>
      </c>
      <c r="G30" s="78"/>
      <c r="H30" s="78">
        <v>148364</v>
      </c>
      <c r="I30" s="79">
        <v>79531</v>
      </c>
      <c r="J30" s="79">
        <v>4</v>
      </c>
      <c r="K30" s="104">
        <v>15993</v>
      </c>
      <c r="L30" s="105">
        <v>4</v>
      </c>
      <c r="M30" s="101">
        <v>1601</v>
      </c>
      <c r="N30" s="105">
        <v>7</v>
      </c>
      <c r="O30" s="101">
        <v>1702</v>
      </c>
      <c r="P30" s="105">
        <v>3</v>
      </c>
      <c r="Q30" s="106">
        <v>58437</v>
      </c>
      <c r="R30" s="126">
        <v>0</v>
      </c>
      <c r="S30" s="107">
        <v>25457</v>
      </c>
      <c r="T30" s="108">
        <v>1</v>
      </c>
      <c r="U30" s="80">
        <v>9860</v>
      </c>
      <c r="V30" s="80">
        <v>2162</v>
      </c>
      <c r="W30" s="81">
        <v>0</v>
      </c>
      <c r="X30" s="82">
        <v>41294</v>
      </c>
      <c r="Y30" s="109">
        <v>56</v>
      </c>
      <c r="Z30" s="100">
        <v>8158</v>
      </c>
      <c r="AA30" s="100">
        <v>7258</v>
      </c>
      <c r="AB30" s="81">
        <v>0</v>
      </c>
      <c r="AC30" s="82">
        <v>2819</v>
      </c>
      <c r="AD30" s="82">
        <v>1931</v>
      </c>
      <c r="AE30" s="109">
        <v>3</v>
      </c>
      <c r="AF30" s="83">
        <v>1</v>
      </c>
      <c r="AG30" s="84">
        <v>227395</v>
      </c>
      <c r="AH30" s="85">
        <v>104</v>
      </c>
      <c r="AI30" s="110">
        <v>190</v>
      </c>
      <c r="AJ30" s="110">
        <v>86</v>
      </c>
      <c r="AK30" s="111">
        <v>135883</v>
      </c>
      <c r="AL30" s="112">
        <v>682</v>
      </c>
      <c r="AM30" s="111">
        <v>3691</v>
      </c>
      <c r="AN30" s="112">
        <v>43</v>
      </c>
      <c r="AO30" s="86">
        <v>147068</v>
      </c>
      <c r="AP30" s="113">
        <v>46</v>
      </c>
      <c r="AQ30" s="86">
        <v>168959</v>
      </c>
      <c r="AR30" s="113">
        <v>0</v>
      </c>
      <c r="AS30" s="86">
        <v>140256</v>
      </c>
      <c r="AT30" s="114">
        <v>725</v>
      </c>
      <c r="AU30" s="110">
        <v>1200</v>
      </c>
      <c r="AV30" s="110">
        <v>475</v>
      </c>
      <c r="AW30" s="115">
        <v>0</v>
      </c>
      <c r="AX30" s="115">
        <v>0</v>
      </c>
      <c r="AY30" s="115">
        <v>0</v>
      </c>
      <c r="AZ30" s="115">
        <v>1250.6300000000001</v>
      </c>
      <c r="BA30" s="116">
        <v>1250.6300000000001</v>
      </c>
      <c r="BB30" s="116">
        <v>17292.00000000028</v>
      </c>
      <c r="BC30" s="117">
        <v>1250.6300000000001</v>
      </c>
      <c r="BD30" s="118">
        <v>1250.6300000000001</v>
      </c>
      <c r="BE30" s="119">
        <v>5502772.0000000009</v>
      </c>
      <c r="BF30" s="120">
        <v>1250.6300000000001</v>
      </c>
      <c r="BG30" s="121">
        <v>3.9300000000000637</v>
      </c>
      <c r="BH30" s="87">
        <v>17292.00000000028</v>
      </c>
      <c r="BI30" s="122">
        <v>17292.00000000028</v>
      </c>
      <c r="BJ30" s="123">
        <v>14296.00000000028</v>
      </c>
      <c r="BK30" s="87">
        <v>2851.15</v>
      </c>
      <c r="BL30" s="87">
        <v>442.00000000000728</v>
      </c>
      <c r="BM30" s="124">
        <v>17734.000000000287</v>
      </c>
      <c r="BN30" s="110">
        <v>20400</v>
      </c>
      <c r="BO30" s="125">
        <v>2665.9999999997126</v>
      </c>
      <c r="BP30" s="88">
        <v>2859916</v>
      </c>
      <c r="BQ30" s="88">
        <v>1255</v>
      </c>
      <c r="BR30" s="88">
        <v>4334326</v>
      </c>
      <c r="BS30" s="88">
        <v>1741</v>
      </c>
      <c r="BT30" s="88">
        <v>2996</v>
      </c>
      <c r="BU30" s="96">
        <v>33</v>
      </c>
      <c r="BV30" s="96">
        <v>42</v>
      </c>
    </row>
    <row r="31" spans="1:74" ht="24.95" customHeight="1" x14ac:dyDescent="0.3">
      <c r="A31" s="51" t="s">
        <v>154</v>
      </c>
      <c r="B31" s="78"/>
      <c r="C31" s="78">
        <v>79064</v>
      </c>
      <c r="D31" s="78">
        <v>247054</v>
      </c>
      <c r="E31" s="98">
        <v>67</v>
      </c>
      <c r="F31" s="98">
        <v>22</v>
      </c>
      <c r="G31" s="78"/>
      <c r="H31" s="78">
        <v>148425</v>
      </c>
      <c r="I31" s="79">
        <v>79535</v>
      </c>
      <c r="J31" s="79">
        <v>4</v>
      </c>
      <c r="K31" s="104">
        <v>15997</v>
      </c>
      <c r="L31" s="105">
        <v>4</v>
      </c>
      <c r="M31" s="101">
        <v>1605</v>
      </c>
      <c r="N31" s="105">
        <v>4</v>
      </c>
      <c r="O31" s="101">
        <v>1704</v>
      </c>
      <c r="P31" s="105">
        <v>2</v>
      </c>
      <c r="Q31" s="106">
        <v>58437</v>
      </c>
      <c r="R31" s="126">
        <v>0</v>
      </c>
      <c r="S31" s="107">
        <v>25457</v>
      </c>
      <c r="T31" s="108">
        <v>0</v>
      </c>
      <c r="U31" s="80">
        <v>9860</v>
      </c>
      <c r="V31" s="80">
        <v>2162</v>
      </c>
      <c r="W31" s="81">
        <v>0</v>
      </c>
      <c r="X31" s="82">
        <v>41339</v>
      </c>
      <c r="Y31" s="109">
        <v>45</v>
      </c>
      <c r="Z31" s="100">
        <v>8158</v>
      </c>
      <c r="AA31" s="100">
        <v>7258</v>
      </c>
      <c r="AB31" s="81">
        <v>0</v>
      </c>
      <c r="AC31" s="82">
        <v>2821</v>
      </c>
      <c r="AD31" s="82">
        <v>1931</v>
      </c>
      <c r="AE31" s="109">
        <v>2</v>
      </c>
      <c r="AF31" s="83">
        <v>0</v>
      </c>
      <c r="AG31" s="84">
        <v>227489</v>
      </c>
      <c r="AH31" s="85">
        <v>94</v>
      </c>
      <c r="AI31" s="110">
        <v>190</v>
      </c>
      <c r="AJ31" s="110">
        <v>96</v>
      </c>
      <c r="AK31" s="111">
        <v>136457</v>
      </c>
      <c r="AL31" s="112">
        <v>574</v>
      </c>
      <c r="AM31" s="111">
        <v>3742</v>
      </c>
      <c r="AN31" s="112">
        <v>51</v>
      </c>
      <c r="AO31" s="86">
        <v>147114</v>
      </c>
      <c r="AP31" s="113">
        <v>46</v>
      </c>
      <c r="AQ31" s="86">
        <v>168959</v>
      </c>
      <c r="AR31" s="113">
        <v>0</v>
      </c>
      <c r="AS31" s="86">
        <v>140773</v>
      </c>
      <c r="AT31" s="114">
        <v>625</v>
      </c>
      <c r="AU31" s="110">
        <v>1200</v>
      </c>
      <c r="AV31" s="110">
        <v>575</v>
      </c>
      <c r="AW31" s="115">
        <v>0</v>
      </c>
      <c r="AX31" s="115">
        <v>0</v>
      </c>
      <c r="AY31" s="115">
        <v>0</v>
      </c>
      <c r="AZ31" s="115">
        <v>1254.33</v>
      </c>
      <c r="BA31" s="116">
        <v>1254.33</v>
      </c>
      <c r="BB31" s="116">
        <v>16279.9999999992</v>
      </c>
      <c r="BC31" s="117">
        <v>1254.33</v>
      </c>
      <c r="BD31" s="118">
        <v>1254.33</v>
      </c>
      <c r="BE31" s="119">
        <v>5519052</v>
      </c>
      <c r="BF31" s="120">
        <v>1254.33</v>
      </c>
      <c r="BG31" s="121">
        <v>3.6999999999998181</v>
      </c>
      <c r="BH31" s="87">
        <v>16279.9999999992</v>
      </c>
      <c r="BI31" s="122">
        <v>16279.9999999992</v>
      </c>
      <c r="BJ31" s="123">
        <v>10606.9999999992</v>
      </c>
      <c r="BK31" s="87">
        <v>2855.55</v>
      </c>
      <c r="BL31" s="87">
        <v>440.00000000000909</v>
      </c>
      <c r="BM31" s="124">
        <v>16719.999999999207</v>
      </c>
      <c r="BN31" s="110">
        <v>20400</v>
      </c>
      <c r="BO31" s="125">
        <v>3680.0000000007931</v>
      </c>
      <c r="BP31" s="88">
        <v>2862443</v>
      </c>
      <c r="BQ31" s="88">
        <v>2527</v>
      </c>
      <c r="BR31" s="88">
        <v>4337472</v>
      </c>
      <c r="BS31" s="88">
        <v>3146</v>
      </c>
      <c r="BT31" s="88">
        <v>5673</v>
      </c>
      <c r="BU31" s="96">
        <v>41</v>
      </c>
      <c r="BV31" s="96">
        <v>54</v>
      </c>
    </row>
    <row r="32" spans="1:74" ht="24.95" customHeight="1" x14ac:dyDescent="0.3">
      <c r="A32" s="51" t="s">
        <v>155</v>
      </c>
      <c r="B32" s="78"/>
      <c r="C32" s="78">
        <v>79103</v>
      </c>
      <c r="D32" s="78">
        <v>247138</v>
      </c>
      <c r="E32" s="98">
        <v>84</v>
      </c>
      <c r="F32" s="98">
        <v>47</v>
      </c>
      <c r="G32" s="78"/>
      <c r="H32" s="78">
        <v>148498</v>
      </c>
      <c r="I32" s="79">
        <v>79539</v>
      </c>
      <c r="J32" s="79">
        <v>4</v>
      </c>
      <c r="K32" s="104">
        <v>16000</v>
      </c>
      <c r="L32" s="105">
        <v>3</v>
      </c>
      <c r="M32" s="101">
        <v>1610</v>
      </c>
      <c r="N32" s="105">
        <v>5</v>
      </c>
      <c r="O32" s="101">
        <v>1707</v>
      </c>
      <c r="P32" s="105">
        <v>3</v>
      </c>
      <c r="Q32" s="106">
        <v>58437</v>
      </c>
      <c r="R32" s="126">
        <v>0</v>
      </c>
      <c r="S32" s="107">
        <v>25457</v>
      </c>
      <c r="T32" s="108">
        <v>0</v>
      </c>
      <c r="U32" s="80">
        <v>9860</v>
      </c>
      <c r="V32" s="80">
        <v>2162</v>
      </c>
      <c r="W32" s="81">
        <v>0</v>
      </c>
      <c r="X32" s="82">
        <v>41376</v>
      </c>
      <c r="Y32" s="109">
        <v>37</v>
      </c>
      <c r="Z32" s="100">
        <v>8158</v>
      </c>
      <c r="AA32" s="100">
        <v>7259</v>
      </c>
      <c r="AB32" s="81">
        <v>1</v>
      </c>
      <c r="AC32" s="82">
        <v>2823</v>
      </c>
      <c r="AD32" s="82">
        <v>1932</v>
      </c>
      <c r="AE32" s="109">
        <v>3</v>
      </c>
      <c r="AF32" s="83">
        <v>0</v>
      </c>
      <c r="AG32" s="84">
        <v>227601</v>
      </c>
      <c r="AH32" s="85">
        <v>112</v>
      </c>
      <c r="AI32" s="110">
        <v>190</v>
      </c>
      <c r="AJ32" s="110">
        <v>78</v>
      </c>
      <c r="AK32" s="111">
        <v>137083</v>
      </c>
      <c r="AL32" s="112">
        <v>626</v>
      </c>
      <c r="AM32" s="111">
        <v>3772</v>
      </c>
      <c r="AN32" s="112">
        <v>30</v>
      </c>
      <c r="AO32" s="86">
        <v>147155</v>
      </c>
      <c r="AP32" s="113">
        <v>41</v>
      </c>
      <c r="AQ32" s="86">
        <v>168959</v>
      </c>
      <c r="AR32" s="113">
        <v>0</v>
      </c>
      <c r="AS32" s="86">
        <v>141481</v>
      </c>
      <c r="AT32" s="114">
        <v>656</v>
      </c>
      <c r="AU32" s="110">
        <v>1200</v>
      </c>
      <c r="AV32" s="110">
        <v>544</v>
      </c>
      <c r="AW32" s="115">
        <v>0</v>
      </c>
      <c r="AX32" s="115">
        <v>0</v>
      </c>
      <c r="AY32" s="115">
        <v>0</v>
      </c>
      <c r="AZ32" s="115">
        <v>1259.06</v>
      </c>
      <c r="BA32" s="116">
        <v>1259.06</v>
      </c>
      <c r="BB32" s="116">
        <v>20812.00000000008</v>
      </c>
      <c r="BC32" s="117">
        <v>1259.06</v>
      </c>
      <c r="BD32" s="118">
        <v>1259.06</v>
      </c>
      <c r="BE32" s="119">
        <v>5539864</v>
      </c>
      <c r="BF32" s="120">
        <v>1259.06</v>
      </c>
      <c r="BG32" s="121">
        <v>4.7300000000000182</v>
      </c>
      <c r="BH32" s="87">
        <v>20812.00000000008</v>
      </c>
      <c r="BI32" s="122">
        <v>20812.00000000008</v>
      </c>
      <c r="BJ32" s="123">
        <v>15028.00000000008</v>
      </c>
      <c r="BK32" s="87">
        <v>2860.73</v>
      </c>
      <c r="BL32" s="87">
        <v>517.99999999998363</v>
      </c>
      <c r="BM32" s="124">
        <v>21330.000000000065</v>
      </c>
      <c r="BN32" s="110">
        <v>20400</v>
      </c>
      <c r="BO32" s="125">
        <v>-930.00000000006548</v>
      </c>
      <c r="BP32" s="88">
        <v>2865338</v>
      </c>
      <c r="BQ32" s="88">
        <v>2895</v>
      </c>
      <c r="BR32" s="88">
        <v>4340361</v>
      </c>
      <c r="BS32" s="88">
        <v>2889</v>
      </c>
      <c r="BT32" s="88">
        <v>5784</v>
      </c>
      <c r="BU32" s="96">
        <v>29</v>
      </c>
      <c r="BV32" s="96">
        <v>37</v>
      </c>
    </row>
    <row r="33" spans="1:74" ht="24.95" customHeight="1" x14ac:dyDescent="0.3">
      <c r="A33" s="51" t="s">
        <v>156</v>
      </c>
      <c r="B33" s="78"/>
      <c r="C33" s="78">
        <v>79155</v>
      </c>
      <c r="D33" s="78">
        <v>247215</v>
      </c>
      <c r="E33" s="98">
        <v>77</v>
      </c>
      <c r="F33" s="98">
        <v>3</v>
      </c>
      <c r="G33" s="78"/>
      <c r="H33" s="78">
        <v>148592</v>
      </c>
      <c r="I33" s="79">
        <v>79564</v>
      </c>
      <c r="J33" s="79">
        <v>25</v>
      </c>
      <c r="K33" s="104">
        <v>16004</v>
      </c>
      <c r="L33" s="105">
        <v>4</v>
      </c>
      <c r="M33" s="101">
        <v>1616</v>
      </c>
      <c r="N33" s="105">
        <v>6</v>
      </c>
      <c r="O33" s="101">
        <v>1709</v>
      </c>
      <c r="P33" s="105">
        <v>2</v>
      </c>
      <c r="Q33" s="106">
        <v>58455</v>
      </c>
      <c r="R33" s="126">
        <v>18</v>
      </c>
      <c r="S33" s="107">
        <v>25457</v>
      </c>
      <c r="T33" s="108">
        <v>0</v>
      </c>
      <c r="U33" s="80">
        <v>9867</v>
      </c>
      <c r="V33" s="80">
        <v>2162</v>
      </c>
      <c r="W33" s="81">
        <v>7</v>
      </c>
      <c r="X33" s="82">
        <v>41450</v>
      </c>
      <c r="Y33" s="109">
        <v>74</v>
      </c>
      <c r="Z33" s="100">
        <v>8158</v>
      </c>
      <c r="AA33" s="100">
        <v>7259</v>
      </c>
      <c r="AB33" s="81">
        <v>0</v>
      </c>
      <c r="AC33" s="82">
        <v>2826</v>
      </c>
      <c r="AD33" s="82">
        <v>1934</v>
      </c>
      <c r="AE33" s="109">
        <v>5</v>
      </c>
      <c r="AF33" s="83">
        <v>25</v>
      </c>
      <c r="AG33" s="84">
        <v>227747</v>
      </c>
      <c r="AH33" s="85">
        <v>146</v>
      </c>
      <c r="AI33" s="110">
        <v>190</v>
      </c>
      <c r="AJ33" s="110">
        <v>44</v>
      </c>
      <c r="AK33" s="111">
        <v>137989</v>
      </c>
      <c r="AL33" s="112">
        <v>906</v>
      </c>
      <c r="AM33" s="111">
        <v>3801</v>
      </c>
      <c r="AN33" s="112">
        <v>29</v>
      </c>
      <c r="AO33" s="86">
        <v>147830</v>
      </c>
      <c r="AP33" s="113">
        <v>675</v>
      </c>
      <c r="AQ33" s="86">
        <v>168959</v>
      </c>
      <c r="AR33" s="113">
        <v>0</v>
      </c>
      <c r="AS33" s="86">
        <v>142696</v>
      </c>
      <c r="AT33" s="114">
        <v>935</v>
      </c>
      <c r="AU33" s="110">
        <v>1200</v>
      </c>
      <c r="AV33" s="110">
        <v>265</v>
      </c>
      <c r="AW33" s="115">
        <v>0</v>
      </c>
      <c r="AX33" s="115">
        <v>0</v>
      </c>
      <c r="AY33" s="115">
        <v>0</v>
      </c>
      <c r="AZ33" s="115">
        <v>1263.74</v>
      </c>
      <c r="BA33" s="116">
        <v>1263.74</v>
      </c>
      <c r="BB33" s="116">
        <v>20592.00000000028</v>
      </c>
      <c r="BC33" s="117">
        <v>1263.74</v>
      </c>
      <c r="BD33" s="118">
        <v>1263.74</v>
      </c>
      <c r="BE33" s="119">
        <v>5560456</v>
      </c>
      <c r="BF33" s="120">
        <v>1263.74</v>
      </c>
      <c r="BG33" s="121">
        <v>4.6800000000000637</v>
      </c>
      <c r="BH33" s="87">
        <v>20592.00000000028</v>
      </c>
      <c r="BI33" s="122">
        <v>20592.00000000028</v>
      </c>
      <c r="BJ33" s="123">
        <v>15157.00000000028</v>
      </c>
      <c r="BK33" s="87">
        <v>2865.81</v>
      </c>
      <c r="BL33" s="87">
        <v>507.99999999999272</v>
      </c>
      <c r="BM33" s="124">
        <v>21100.000000000273</v>
      </c>
      <c r="BN33" s="110">
        <v>20400</v>
      </c>
      <c r="BO33" s="125">
        <v>-700.00000000027285</v>
      </c>
      <c r="BP33" s="88">
        <v>2868043</v>
      </c>
      <c r="BQ33" s="88">
        <v>2705</v>
      </c>
      <c r="BR33" s="88">
        <v>4343091</v>
      </c>
      <c r="BS33" s="88">
        <v>2730</v>
      </c>
      <c r="BT33" s="88">
        <v>5435</v>
      </c>
      <c r="BU33" s="96">
        <v>29</v>
      </c>
      <c r="BV33" s="96">
        <v>37</v>
      </c>
    </row>
    <row r="34" spans="1:74" ht="24.95" customHeight="1" thickBot="1" x14ac:dyDescent="0.35">
      <c r="A34" s="51" t="s">
        <v>157</v>
      </c>
      <c r="B34" s="127"/>
      <c r="C34" s="128">
        <v>79182</v>
      </c>
      <c r="D34" s="128">
        <v>247294</v>
      </c>
      <c r="E34" s="98">
        <v>79</v>
      </c>
      <c r="F34" s="98">
        <v>18</v>
      </c>
      <c r="G34" s="78"/>
      <c r="H34" s="128">
        <v>148677</v>
      </c>
      <c r="I34" s="129">
        <v>79588</v>
      </c>
      <c r="J34" s="79">
        <v>24</v>
      </c>
      <c r="K34" s="130">
        <v>16008</v>
      </c>
      <c r="L34" s="105">
        <v>4</v>
      </c>
      <c r="M34" s="131">
        <v>1620</v>
      </c>
      <c r="N34" s="105">
        <v>4</v>
      </c>
      <c r="O34" s="131">
        <v>1711</v>
      </c>
      <c r="P34" s="105">
        <v>2</v>
      </c>
      <c r="Q34" s="132">
        <v>58464</v>
      </c>
      <c r="R34" s="126">
        <v>9</v>
      </c>
      <c r="S34" s="107">
        <v>25457</v>
      </c>
      <c r="T34" s="108">
        <v>0</v>
      </c>
      <c r="U34" s="80">
        <v>9873</v>
      </c>
      <c r="V34" s="133">
        <v>2162</v>
      </c>
      <c r="W34" s="81">
        <v>6</v>
      </c>
      <c r="X34" s="134">
        <v>41511</v>
      </c>
      <c r="Y34" s="109">
        <v>61</v>
      </c>
      <c r="Z34" s="135">
        <v>8158</v>
      </c>
      <c r="AA34" s="136">
        <v>7259</v>
      </c>
      <c r="AB34" s="81">
        <v>0</v>
      </c>
      <c r="AC34" s="82">
        <v>2828</v>
      </c>
      <c r="AD34" s="82">
        <v>1935</v>
      </c>
      <c r="AE34" s="109">
        <v>3</v>
      </c>
      <c r="AF34" s="83">
        <v>15</v>
      </c>
      <c r="AG34" s="84">
        <v>227859</v>
      </c>
      <c r="AH34" s="85">
        <v>112</v>
      </c>
      <c r="AI34" s="110">
        <v>190</v>
      </c>
      <c r="AJ34" s="110">
        <v>78</v>
      </c>
      <c r="AK34" s="137">
        <v>138735</v>
      </c>
      <c r="AL34" s="112">
        <v>746</v>
      </c>
      <c r="AM34" s="111">
        <v>3835</v>
      </c>
      <c r="AN34" s="112">
        <v>34</v>
      </c>
      <c r="AO34" s="86">
        <v>148351</v>
      </c>
      <c r="AP34" s="113">
        <v>521</v>
      </c>
      <c r="AQ34" s="86">
        <v>168959</v>
      </c>
      <c r="AR34" s="113">
        <v>0</v>
      </c>
      <c r="AS34" s="86">
        <v>143316</v>
      </c>
      <c r="AT34" s="114">
        <v>780</v>
      </c>
      <c r="AU34" s="110">
        <v>1200</v>
      </c>
      <c r="AV34" s="110">
        <v>420</v>
      </c>
      <c r="AW34" s="115">
        <v>0</v>
      </c>
      <c r="AX34" s="115">
        <v>0</v>
      </c>
      <c r="AY34" s="115">
        <v>0</v>
      </c>
      <c r="AZ34" s="115">
        <v>1268.22</v>
      </c>
      <c r="BA34" s="116">
        <v>1268.22</v>
      </c>
      <c r="BB34" s="116">
        <v>19712.00000000008</v>
      </c>
      <c r="BC34" s="117">
        <v>1268.22</v>
      </c>
      <c r="BD34" s="118">
        <v>1268.22</v>
      </c>
      <c r="BE34" s="119">
        <v>5580168</v>
      </c>
      <c r="BF34" s="120">
        <v>1268.22</v>
      </c>
      <c r="BG34" s="121">
        <v>4.4800000000000182</v>
      </c>
      <c r="BH34" s="87">
        <v>19712.00000000008</v>
      </c>
      <c r="BI34" s="122">
        <v>19712.00000000008</v>
      </c>
      <c r="BJ34" s="123">
        <v>16459.00000000008</v>
      </c>
      <c r="BK34" s="87">
        <v>2871.17</v>
      </c>
      <c r="BL34" s="87">
        <v>536.00000000001273</v>
      </c>
      <c r="BM34" s="124">
        <v>20248.000000000095</v>
      </c>
      <c r="BN34" s="110">
        <v>20400</v>
      </c>
      <c r="BO34" s="125">
        <v>151.99999999990541</v>
      </c>
      <c r="BP34" s="138">
        <v>2871160</v>
      </c>
      <c r="BQ34" s="88">
        <v>3117</v>
      </c>
      <c r="BR34" s="138">
        <v>4343227</v>
      </c>
      <c r="BS34" s="88">
        <v>136</v>
      </c>
      <c r="BT34" s="88">
        <v>3253</v>
      </c>
      <c r="BU34" s="96">
        <v>45</v>
      </c>
      <c r="BV34" s="96">
        <v>53</v>
      </c>
    </row>
    <row r="35" spans="1:74" x14ac:dyDescent="0.25">
      <c r="AH35" s="56"/>
      <c r="AI35" s="56"/>
      <c r="AJ35" s="56"/>
      <c r="AT35" s="56"/>
      <c r="AU35" s="56"/>
      <c r="AV35" s="56"/>
      <c r="BM35" s="56"/>
      <c r="BN35" s="56"/>
      <c r="BO35" s="56"/>
    </row>
  </sheetData>
  <mergeCells count="5">
    <mergeCell ref="AW2:AY2"/>
    <mergeCell ref="AZ2:BB2"/>
    <mergeCell ref="B1:AJ1"/>
    <mergeCell ref="AK1:AV1"/>
    <mergeCell ref="AW1:BN1"/>
  </mergeCells>
  <conditionalFormatting sqref="AH5:AH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Props1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Gáti Gábor</cp:lastModifiedBy>
  <cp:revision/>
  <dcterms:created xsi:type="dcterms:W3CDTF">2017-05-22T13:08:25Z</dcterms:created>
  <dcterms:modified xsi:type="dcterms:W3CDTF">2021-07-06T11:02:02Z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