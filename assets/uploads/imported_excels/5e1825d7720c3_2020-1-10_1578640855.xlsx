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K11" i="3" l="1"/>
  <c r="L11" i="3"/>
  <c r="I11" i="3"/>
  <c r="G11" i="3"/>
  <c r="E11" i="3"/>
  <c r="J11" i="2"/>
  <c r="I11" i="2"/>
  <c r="H11" i="2"/>
  <c r="F11" i="2"/>
  <c r="E11" i="2"/>
  <c r="L10" i="3" l="1"/>
  <c r="I10" i="3"/>
  <c r="G10" i="3"/>
  <c r="E10" i="3"/>
  <c r="K10" i="3"/>
  <c r="J10" i="2"/>
  <c r="I10" i="2"/>
  <c r="H10" i="2"/>
  <c r="F10" i="2"/>
  <c r="E10" i="2"/>
  <c r="L9" i="3" l="1"/>
  <c r="I9" i="3"/>
  <c r="G9" i="3"/>
  <c r="E9" i="3"/>
  <c r="K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I6" i="3"/>
  <c r="G6" i="3"/>
  <c r="E6" i="3"/>
  <c r="K6" i="3"/>
  <c r="J6" i="2"/>
  <c r="I6" i="2"/>
  <c r="H6" i="2"/>
  <c r="F6" i="2"/>
  <c r="E6" i="2"/>
  <c r="L5" i="3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I3" i="2"/>
  <c r="J4" i="2"/>
  <c r="I4" i="2"/>
  <c r="H4" i="2"/>
  <c r="F4" i="2"/>
  <c r="E4" i="2"/>
  <c r="L3" i="3" l="1"/>
  <c r="I3" i="3"/>
  <c r="G3" i="3"/>
  <c r="E3" i="3"/>
  <c r="K3" i="3"/>
  <c r="J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K38" i="1" l="1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15" i="3" l="1"/>
  <c r="K15" i="3"/>
  <c r="I15" i="3"/>
  <c r="G15" i="3"/>
  <c r="E1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<sst xmlns="http://schemas.openxmlformats.org/spreadsheetml/2006/main" count="106" uniqueCount="37">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</sst>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  <row r="8">
          <cell r="B8">
            <v>260286</v>
          </cell>
          <cell r="C8">
            <v>85147</v>
          </cell>
          <cell r="E8">
            <v>7999</v>
          </cell>
          <cell r="F8">
            <v>1487</v>
          </cell>
          <cell r="G8">
            <v>13989</v>
          </cell>
          <cell r="H8">
            <v>14528</v>
          </cell>
          <cell r="I8">
            <v>80344</v>
          </cell>
          <cell r="J8">
            <v>36795051</v>
          </cell>
        </row>
        <row r="9">
          <cell r="B9">
            <v>263947</v>
          </cell>
          <cell r="C9">
            <v>91038</v>
          </cell>
          <cell r="E9">
            <v>8026</v>
          </cell>
          <cell r="F9">
            <v>1491</v>
          </cell>
          <cell r="G9">
            <v>14023</v>
          </cell>
          <cell r="H9">
            <v>14528</v>
          </cell>
          <cell r="I9">
            <v>80434</v>
          </cell>
          <cell r="J9">
            <v>36809493</v>
          </cell>
        </row>
        <row r="10">
          <cell r="B10">
            <v>267656</v>
          </cell>
          <cell r="C10">
            <v>97011</v>
          </cell>
          <cell r="E10">
            <v>8054</v>
          </cell>
          <cell r="F10">
            <v>1497</v>
          </cell>
          <cell r="G10">
            <v>14060</v>
          </cell>
          <cell r="H10">
            <v>14528</v>
          </cell>
          <cell r="I10">
            <v>80547</v>
          </cell>
          <cell r="J10">
            <v>36824187</v>
          </cell>
        </row>
        <row r="11">
          <cell r="B11">
            <v>271449</v>
          </cell>
          <cell r="C11">
            <v>103303</v>
          </cell>
          <cell r="E11">
            <v>8080.63</v>
          </cell>
          <cell r="F11">
            <v>1501</v>
          </cell>
          <cell r="G11">
            <v>14096</v>
          </cell>
          <cell r="H11">
            <v>14528</v>
          </cell>
          <cell r="I11">
            <v>80653</v>
          </cell>
          <cell r="J11">
            <v>36840675</v>
          </cell>
        </row>
        <row r="12">
          <cell r="B12">
            <v>275293</v>
          </cell>
          <cell r="C12">
            <v>109425</v>
          </cell>
          <cell r="E12">
            <v>8107.79</v>
          </cell>
          <cell r="F12">
            <v>1507.09</v>
          </cell>
          <cell r="G12">
            <v>14140</v>
          </cell>
          <cell r="H12">
            <v>14528</v>
          </cell>
          <cell r="I12">
            <v>80767</v>
          </cell>
          <cell r="J12">
            <v>36857012</v>
          </cell>
        </row>
        <row r="13">
          <cell r="B13">
            <v>279006</v>
          </cell>
          <cell r="C13">
            <v>116022</v>
          </cell>
          <cell r="E13">
            <v>8133.66</v>
          </cell>
          <cell r="F13">
            <v>1512.46</v>
          </cell>
          <cell r="G13">
            <v>14181</v>
          </cell>
          <cell r="H13">
            <v>14528</v>
          </cell>
          <cell r="I13">
            <v>80872</v>
          </cell>
          <cell r="J13">
            <v>36873363</v>
          </cell>
        </row>
        <row r="14">
          <cell r="B14">
            <v>282727</v>
          </cell>
          <cell r="C14">
            <v>121690</v>
          </cell>
          <cell r="E14">
            <v>8159.74</v>
          </cell>
          <cell r="F14">
            <v>1516.79</v>
          </cell>
          <cell r="G14">
            <v>14218</v>
          </cell>
          <cell r="H14">
            <v>14528</v>
          </cell>
          <cell r="I14">
            <v>80979</v>
          </cell>
          <cell r="J14">
            <v>36888880</v>
          </cell>
        </row>
        <row r="15">
          <cell r="B15">
            <v>286385</v>
          </cell>
          <cell r="C15">
            <v>127765</v>
          </cell>
          <cell r="E15">
            <v>8191.06</v>
          </cell>
          <cell r="F15">
            <v>1523.61</v>
          </cell>
          <cell r="G15">
            <v>14258.54</v>
          </cell>
          <cell r="H15">
            <v>14528</v>
          </cell>
          <cell r="I15">
            <v>81102</v>
          </cell>
          <cell r="J15">
            <v>36904364</v>
          </cell>
        </row>
        <row r="16">
          <cell r="B16">
            <v>290039</v>
          </cell>
          <cell r="C16">
            <v>133767</v>
          </cell>
          <cell r="E16">
            <v>8213.32</v>
          </cell>
          <cell r="F16">
            <v>1529.07</v>
          </cell>
          <cell r="G16">
            <v>14298</v>
          </cell>
          <cell r="H16">
            <v>14528</v>
          </cell>
          <cell r="I16">
            <v>81230</v>
          </cell>
          <cell r="J16">
            <v>36920415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S13" sqref="S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'[1]12 - 2019'!B8-'[1]12 - 2019'!B7+'[1]12 - 2019'!C8-'[1]12 - 2019'!C7</f>
        <v>8636.3999999999942</v>
      </c>
      <c r="F3" s="25">
        <v>0.11799999999999999</v>
      </c>
      <c r="G3" s="27">
        <f>(('[1]12 - 2019'!E8-'[1]12 - 2019'!E7)+('[1]12 - 2019'!F8-'[1]12 - 2019'!F7)+('[1]12 - 2019'!G8-'[1]12 - 2019'!G7))*1.81</f>
        <v>102.17450000000132</v>
      </c>
      <c r="H3" s="25">
        <v>0.99</v>
      </c>
      <c r="I3" s="27">
        <f>'[1]12 - 2019'!J8-'[1]12 - 2019'!J7</f>
        <v>12112</v>
      </c>
      <c r="J3" s="25">
        <v>8.1000000000000003E-2</v>
      </c>
      <c r="K3" s="27">
        <f>'[1]12 - 2019'!H8-'[1]12 - 2019'!H7</f>
        <v>0</v>
      </c>
      <c r="L3" s="27">
        <f>'[1]12 - 2019'!I8-'[1]12 - 2019'!I7</f>
        <v>73</v>
      </c>
      <c r="M3" s="26">
        <v>4.3936294247669103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'[1]12 - 2019'!B9-'[1]12 - 2019'!B8+'[1]12 - 2019'!C9-'[1]12 - 2019'!C8</f>
        <v>9552</v>
      </c>
      <c r="F4" s="25">
        <v>0.11799999999999999</v>
      </c>
      <c r="G4" s="27">
        <f>(('[1]12 - 2019'!E9-'[1]12 - 2019'!E8)+('[1]12 - 2019'!F9-'[1]12 - 2019'!F8)+('[1]12 - 2019'!G9-'[1]12 - 2019'!G8))*1.81</f>
        <v>117.65</v>
      </c>
      <c r="H4" s="25">
        <v>0.99</v>
      </c>
      <c r="I4" s="27">
        <f>'[1]12 - 2019'!J9-'[1]12 - 2019'!J8</f>
        <v>14442</v>
      </c>
      <c r="J4" s="25">
        <v>8.1000000000000003E-2</v>
      </c>
      <c r="K4" s="27">
        <f>'[1]12 - 2019'!H9-'[1]12 - 2019'!H8</f>
        <v>0</v>
      </c>
      <c r="L4" s="27">
        <f>'[1]12 - 2019'!I9-'[1]12 - 2019'!I8</f>
        <v>90</v>
      </c>
      <c r="M4" s="26">
        <v>4.3936294247669103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'[1]12 - 2019'!B10-'[1]12 - 2019'!B9+'[1]12 - 2019'!C10-'[1]12 - 2019'!C9</f>
        <v>9682</v>
      </c>
      <c r="F5" s="25">
        <v>0.11799999999999999</v>
      </c>
      <c r="G5" s="27">
        <f>(('[1]12 - 2019'!E10-'[1]12 - 2019'!E9)+('[1]12 - 2019'!F10-'[1]12 - 2019'!F9)+('[1]12 - 2019'!G10-'[1]12 - 2019'!G9))*1.81</f>
        <v>128.51</v>
      </c>
      <c r="H5" s="25">
        <v>0.99</v>
      </c>
      <c r="I5" s="27">
        <f>'[1]12 - 2019'!J10-'[1]12 - 2019'!J9</f>
        <v>14694</v>
      </c>
      <c r="J5" s="25">
        <v>8.1000000000000003E-2</v>
      </c>
      <c r="K5" s="27">
        <f>'[1]12 - 2019'!H10-'[1]12 - 2019'!H9</f>
        <v>0</v>
      </c>
      <c r="L5" s="27">
        <f>'[1]12 - 2019'!I10-'[1]12 - 2019'!I9</f>
        <v>113</v>
      </c>
      <c r="M5" s="26">
        <v>4.3936294247669103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'[1]12 - 2019'!B11-'[1]12 - 2019'!B10+'[1]12 - 2019'!C11-'[1]12 - 2019'!C10</f>
        <v>10085</v>
      </c>
      <c r="F6" s="25">
        <v>0.11799999999999999</v>
      </c>
      <c r="G6" s="27">
        <f>(('[1]12 - 2019'!E11-'[1]12 - 2019'!E10)+('[1]12 - 2019'!F11-'[1]12 - 2019'!F10)+('[1]12 - 2019'!G11-'[1]12 - 2019'!G10))*1.81</f>
        <v>120.6003000000002</v>
      </c>
      <c r="H6" s="25">
        <v>0.99</v>
      </c>
      <c r="I6" s="27">
        <f>'[1]12 - 2019'!J11-'[1]12 - 2019'!J10</f>
        <v>16488</v>
      </c>
      <c r="J6" s="25">
        <v>8.1000000000000003E-2</v>
      </c>
      <c r="K6" s="27">
        <f>'[1]12 - 2019'!H11-'[1]12 - 2019'!H10</f>
        <v>0</v>
      </c>
      <c r="L6" s="27">
        <f>'[1]12 - 2019'!I11-'[1]12 - 2019'!I10</f>
        <v>106</v>
      </c>
      <c r="M6" s="26">
        <v>4.3936294247669103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'[1]12 - 2019'!B12-'[1]12 - 2019'!B11+'[1]12 - 2019'!C12-'[1]12 - 2019'!C11</f>
        <v>9966</v>
      </c>
      <c r="F7" s="25">
        <v>0.11799999999999999</v>
      </c>
      <c r="G7" s="27">
        <f>(('[1]12 - 2019'!E12-'[1]12 - 2019'!E11)+('[1]12 - 2019'!F12-'[1]12 - 2019'!F11)+('[1]12 - 2019'!G12-'[1]12 - 2019'!G11))*1.81</f>
        <v>139.82249999999959</v>
      </c>
      <c r="H7" s="25">
        <v>0.99</v>
      </c>
      <c r="I7" s="27">
        <f>'[1]12 - 2019'!J12-'[1]12 - 2019'!J11</f>
        <v>16337</v>
      </c>
      <c r="J7" s="25">
        <v>8.1000000000000003E-2</v>
      </c>
      <c r="K7" s="27">
        <f>'[1]12 - 2019'!H12-'[1]12 - 2019'!H11</f>
        <v>0</v>
      </c>
      <c r="L7" s="27">
        <f>'[1]12 - 2019'!I12-'[1]12 - 2019'!I11</f>
        <v>114</v>
      </c>
      <c r="M7" s="26">
        <v>4.3936294247669103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'[1]12 - 2019'!B13-'[1]12 - 2019'!B12+'[1]12 - 2019'!C13-'[1]12 - 2019'!C12</f>
        <v>10310</v>
      </c>
      <c r="F8" s="25">
        <v>0.11799999999999999</v>
      </c>
      <c r="G8" s="27">
        <f>(('[1]12 - 2019'!E13-'[1]12 - 2019'!E12)+('[1]12 - 2019'!F13-'[1]12 - 2019'!F12)+('[1]12 - 2019'!G13-'[1]12 - 2019'!G12))*1.81</f>
        <v>130.75440000000003</v>
      </c>
      <c r="H8" s="25">
        <v>0.99</v>
      </c>
      <c r="I8" s="27">
        <f>'[1]12 - 2019'!J13-'[1]12 - 2019'!J12</f>
        <v>16351</v>
      </c>
      <c r="J8" s="25">
        <v>8.1000000000000003E-2</v>
      </c>
      <c r="K8" s="27">
        <f>'[1]12 - 2019'!H13-'[1]12 - 2019'!H12</f>
        <v>0</v>
      </c>
      <c r="L8" s="27">
        <f>'[1]12 - 2019'!I13-'[1]12 - 2019'!I12</f>
        <v>105</v>
      </c>
      <c r="M8" s="26">
        <v>4.3936294247669103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'[1]12 - 2019'!B14-'[1]12 - 2019'!B13+'[1]12 - 2019'!C14-'[1]12 - 2019'!C13</f>
        <v>9389</v>
      </c>
      <c r="F9" s="25">
        <v>0.11799999999999999</v>
      </c>
      <c r="G9" s="27">
        <f>(('[1]12 - 2019'!E14-'[1]12 - 2019'!E13)+('[1]12 - 2019'!F14-'[1]12 - 2019'!F13)+('[1]12 - 2019'!G14-'[1]12 - 2019'!G13))*1.81</f>
        <v>122.01209999999973</v>
      </c>
      <c r="H9" s="25">
        <v>0.99</v>
      </c>
      <c r="I9" s="27">
        <f>'[1]12 - 2019'!J14-'[1]12 - 2019'!J13</f>
        <v>15517</v>
      </c>
      <c r="J9" s="25">
        <v>8.1000000000000003E-2</v>
      </c>
      <c r="K9" s="27">
        <f>'[1]12 - 2019'!H14-'[1]12 - 2019'!H13</f>
        <v>0</v>
      </c>
      <c r="L9" s="27">
        <f>'[1]12 - 2019'!I14-'[1]12 - 2019'!I13</f>
        <v>107</v>
      </c>
      <c r="M9" s="26">
        <v>4.3936294247669103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'[1]12 - 2019'!B15-'[1]12 - 2019'!B14+'[1]12 - 2019'!C15-'[1]12 - 2019'!C14</f>
        <v>9733</v>
      </c>
      <c r="F10" s="25">
        <v>0.11799999999999999</v>
      </c>
      <c r="G10" s="27">
        <f>(('[1]12 - 2019'!E15-'[1]12 - 2019'!E14)+('[1]12 - 2019'!F15-'[1]12 - 2019'!F14)+('[1]12 - 2019'!G15-'[1]12 - 2019'!G14))*1.81</f>
        <v>142.41080000000258</v>
      </c>
      <c r="H10" s="25">
        <v>0.99</v>
      </c>
      <c r="I10" s="27">
        <f>'[1]12 - 2019'!J15-'[1]12 - 2019'!J14</f>
        <v>15484</v>
      </c>
      <c r="J10" s="25">
        <v>8.1000000000000003E-2</v>
      </c>
      <c r="K10" s="27">
        <f>'[1]12 - 2019'!H15-'[1]12 - 2019'!H14</f>
        <v>0</v>
      </c>
      <c r="L10" s="27">
        <f>'[1]12 - 2019'!I15-'[1]12 - 2019'!I14</f>
        <v>123</v>
      </c>
      <c r="M10" s="26">
        <v>4.3936294247669103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'[1]12 - 2019'!B16-'[1]12 - 2019'!B15+'[1]12 - 2019'!C16-'[1]12 - 2019'!C15</f>
        <v>9656</v>
      </c>
      <c r="F11" s="25">
        <v>0.11799999999999999</v>
      </c>
      <c r="G11" s="27">
        <f>(('[1]12 - 2019'!E16-'[1]12 - 2019'!E15)+('[1]12 - 2019'!F16-'[1]12 - 2019'!F15)+('[1]12 - 2019'!G16-'[1]12 - 2019'!G15))*1.81</f>
        <v>121.59579999999724</v>
      </c>
      <c r="H11" s="25">
        <v>0.99</v>
      </c>
      <c r="I11" s="27">
        <f>'[1]12 - 2019'!J16-'[1]12 - 2019'!J15</f>
        <v>16051</v>
      </c>
      <c r="J11" s="25">
        <v>8.1000000000000003E-2</v>
      </c>
      <c r="K11" s="27">
        <f>'[1]12 - 2019'!H16-'[1]12 - 2019'!H15</f>
        <v>0</v>
      </c>
      <c r="L11" s="27">
        <f>'[1]12 - 2019'!I16-'[1]12 - 2019'!I15</f>
        <v>128</v>
      </c>
      <c r="M11" s="26">
        <v>4.3936294247669103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v>0</v>
      </c>
      <c r="F12" s="25">
        <v>0.11799999999999999</v>
      </c>
      <c r="G12" s="27">
        <v>0</v>
      </c>
      <c r="H12" s="25">
        <v>0.99</v>
      </c>
      <c r="I12" s="27">
        <v>0</v>
      </c>
      <c r="J12" s="25">
        <v>8.1000000000000003E-2</v>
      </c>
      <c r="K12" s="27">
        <v>0</v>
      </c>
      <c r="L12" s="27"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0</v>
      </c>
      <c r="F13" s="25">
        <v>0.11799999999999999</v>
      </c>
      <c r="G13" s="27">
        <f>(('01 - 2020'!E18-'01 - 2020'!E17)+('01 - 2020'!F18-'01 - 2020'!F17)+('01 - 2020'!G18-'01 - 2020'!G17))*1.81</f>
        <v>0</v>
      </c>
      <c r="H13" s="25">
        <v>0.99</v>
      </c>
      <c r="I13" s="27">
        <f>'01 - 2020'!J18-'01 - 2020'!J17</f>
        <v>0</v>
      </c>
      <c r="J13" s="25">
        <v>8.1000000000000003E-2</v>
      </c>
      <c r="K13" s="27">
        <f>'01 - 2020'!H18-'01 - 2020'!H17</f>
        <v>0</v>
      </c>
      <c r="L13" s="27">
        <f>'01 - 2020'!I18-'01 - 2020'!I17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0</v>
      </c>
      <c r="F14" s="25">
        <v>0.11799999999999999</v>
      </c>
      <c r="G14" s="27">
        <f>(('01 - 2020'!E19-'01 - 2020'!E18)+('01 - 2020'!F19-'01 - 2020'!F18)+('01 - 2020'!G19-'01 - 2020'!G18))*1.81</f>
        <v>0</v>
      </c>
      <c r="H14" s="25">
        <v>0.99</v>
      </c>
      <c r="I14" s="27">
        <f>'01 - 2020'!J19-'01 - 2020'!J18</f>
        <v>0</v>
      </c>
      <c r="J14" s="25">
        <v>8.1000000000000003E-2</v>
      </c>
      <c r="K14" s="27">
        <f>'01 - 2020'!H19-'01 - 2020'!H18</f>
        <v>0</v>
      </c>
      <c r="L14" s="27">
        <f>'01 - 2020'!I19-'01 - 2020'!I18</f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0</v>
      </c>
      <c r="F15" s="25">
        <v>0.11799999999999999</v>
      </c>
      <c r="G15" s="27">
        <f>(('01 - 2020'!E20-'01 - 2020'!E19)+('01 - 2020'!F20-'01 - 2020'!F19)+('01 - 2020'!G20-'01 - 2020'!G19))*1.81</f>
        <v>0</v>
      </c>
      <c r="H15" s="25">
        <v>0.99</v>
      </c>
      <c r="I15" s="27">
        <f>'01 - 2020'!J20-'01 - 2020'!J19</f>
        <v>0</v>
      </c>
      <c r="J15" s="25">
        <v>8.1000000000000003E-2</v>
      </c>
      <c r="K15" s="27">
        <f>'01 - 2020'!H20-'01 - 2020'!H19</f>
        <v>0</v>
      </c>
      <c r="L15" s="27">
        <f>'01 - 2020'!I20-'01 - 2020'!I19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16" sqref="Q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</f>
        <v>3308</v>
      </c>
      <c r="F3" s="27">
        <f>'[1]12 - 2019'!C8-'[1]12 - 2019'!C7</f>
        <v>5328.3999999999942</v>
      </c>
      <c r="G3" s="25">
        <v>0.11799999999999999</v>
      </c>
      <c r="H3" s="27">
        <f>'[1]12 - 2019'!E8-'[1]12 - 2019'!E7</f>
        <v>21.300000000000182</v>
      </c>
      <c r="I3" s="27">
        <f>'[1]12 - 2019'!F8-'[1]12 - 2019'!F7</f>
        <v>4.8800000000001091</v>
      </c>
      <c r="J3" s="27">
        <f>'[1]12 - 2019'!G8-'[1]12 - 2019'!G7</f>
        <v>30.270000000000437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</f>
        <v>3661</v>
      </c>
      <c r="F4" s="27">
        <f>'[1]12 - 2019'!C9-'[1]12 - 2019'!C8</f>
        <v>5891</v>
      </c>
      <c r="G4" s="25">
        <v>0.11799999999999999</v>
      </c>
      <c r="H4" s="27">
        <f>'[1]12 - 2019'!E9-'[1]12 - 2019'!E8</f>
        <v>27</v>
      </c>
      <c r="I4" s="27">
        <f>'[1]12 - 2019'!F9-'[1]12 - 2019'!F8</f>
        <v>4</v>
      </c>
      <c r="J4" s="27">
        <f>'[1]12 - 2019'!G9-'[1]12 - 2019'!G8</f>
        <v>34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</f>
        <v>3709</v>
      </c>
      <c r="F5" s="27">
        <f>'[1]12 - 2019'!C10-'[1]12 - 2019'!C9</f>
        <v>5973</v>
      </c>
      <c r="G5" s="25">
        <v>0.11799999999999999</v>
      </c>
      <c r="H5" s="27">
        <f>'[1]12 - 2019'!E10-'[1]12 - 2019'!E9</f>
        <v>28</v>
      </c>
      <c r="I5" s="27">
        <f>'[1]12 - 2019'!F10-'[1]12 - 2019'!F9</f>
        <v>6</v>
      </c>
      <c r="J5" s="27">
        <f>'[1]12 - 2019'!G10-'[1]12 - 2019'!G9</f>
        <v>37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</f>
        <v>3793</v>
      </c>
      <c r="F6" s="27">
        <f>'[1]12 - 2019'!C11-'[1]12 - 2019'!C10</f>
        <v>6292</v>
      </c>
      <c r="G6" s="25">
        <v>0.11799999999999999</v>
      </c>
      <c r="H6" s="27">
        <f>'[1]12 - 2019'!E11-'[1]12 - 2019'!E10</f>
        <v>26.630000000000109</v>
      </c>
      <c r="I6" s="27">
        <f>'[1]12 - 2019'!F11-'[1]12 - 2019'!F10</f>
        <v>4</v>
      </c>
      <c r="J6" s="27">
        <f>'[1]12 - 2019'!G11-'[1]12 - 2019'!G10</f>
        <v>36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</f>
        <v>3844</v>
      </c>
      <c r="F7" s="27">
        <f>'[1]12 - 2019'!C12-'[1]12 - 2019'!C11</f>
        <v>6122</v>
      </c>
      <c r="G7" s="25">
        <v>0.11799999999999999</v>
      </c>
      <c r="H7" s="27">
        <f>'[1]12 - 2019'!E12-'[1]12 - 2019'!E11</f>
        <v>27.159999999999854</v>
      </c>
      <c r="I7" s="27">
        <f>'[1]12 - 2019'!F12-'[1]12 - 2019'!F11</f>
        <v>6.0899999999999181</v>
      </c>
      <c r="J7" s="27">
        <f>'[1]12 - 2019'!G12-'[1]12 - 2019'!G11</f>
        <v>44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</f>
        <v>3713</v>
      </c>
      <c r="F8" s="27">
        <f>'[1]12 - 2019'!C13-'[1]12 - 2019'!C12</f>
        <v>6597</v>
      </c>
      <c r="G8" s="25">
        <v>0.11799999999999999</v>
      </c>
      <c r="H8" s="27">
        <f>'[1]12 - 2019'!E13-'[1]12 - 2019'!E12</f>
        <v>25.869999999999891</v>
      </c>
      <c r="I8" s="27">
        <f>'[1]12 - 2019'!F13-'[1]12 - 2019'!F12</f>
        <v>5.3700000000001182</v>
      </c>
      <c r="J8" s="27">
        <f>'[1]12 - 2019'!G13-'[1]12 - 2019'!G12</f>
        <v>41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</f>
        <v>3721</v>
      </c>
      <c r="F9" s="27">
        <f>'[1]12 - 2019'!C14-'[1]12 - 2019'!C13</f>
        <v>5668</v>
      </c>
      <c r="G9" s="25">
        <v>0.11799999999999999</v>
      </c>
      <c r="H9" s="27">
        <f>'[1]12 - 2019'!E14-'[1]12 - 2019'!E13</f>
        <v>26.079999999999927</v>
      </c>
      <c r="I9" s="27">
        <f>'[1]12 - 2019'!F14-'[1]12 - 2019'!F13</f>
        <v>4.3299999999999272</v>
      </c>
      <c r="J9" s="27">
        <f>'[1]12 - 2019'!G14-'[1]12 - 2019'!G13</f>
        <v>37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</f>
        <v>3658</v>
      </c>
      <c r="F10" s="27">
        <f>'[1]12 - 2019'!C15-'[1]12 - 2019'!C14</f>
        <v>6075</v>
      </c>
      <c r="G10" s="25">
        <v>0.11799999999999999</v>
      </c>
      <c r="H10" s="27">
        <f>'[1]12 - 2019'!E15-'[1]12 - 2019'!E14</f>
        <v>31.320000000000618</v>
      </c>
      <c r="I10" s="27">
        <f>'[1]12 - 2019'!F15-'[1]12 - 2019'!F14</f>
        <v>6.8199999999999363</v>
      </c>
      <c r="J10" s="27">
        <f>'[1]12 - 2019'!G15-'[1]12 - 2019'!G14</f>
        <v>40.540000000000873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'[1]12 - 2019'!B16-'[1]12 - 2019'!B15</f>
        <v>3654</v>
      </c>
      <c r="F11" s="27">
        <f>'[1]12 - 2019'!C16-'[1]12 - 2019'!C15</f>
        <v>6002</v>
      </c>
      <c r="G11" s="25">
        <v>0.11799999999999999</v>
      </c>
      <c r="H11" s="27">
        <f>'[1]12 - 2019'!E16-'[1]12 - 2019'!E15</f>
        <v>22.259999999999309</v>
      </c>
      <c r="I11" s="27">
        <f>'[1]12 - 2019'!F16-'[1]12 - 2019'!F15</f>
        <v>5.4600000000000364</v>
      </c>
      <c r="J11" s="27">
        <f>'[1]12 - 2019'!G16-'[1]12 - 2019'!G15</f>
        <v>39.459999999999127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v>0</v>
      </c>
      <c r="F12" s="27">
        <v>0</v>
      </c>
      <c r="G12" s="25">
        <v>0.11799999999999999</v>
      </c>
      <c r="H12" s="27">
        <v>0</v>
      </c>
      <c r="I12" s="27">
        <v>0</v>
      </c>
      <c r="J12" s="27"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0</v>
      </c>
      <c r="F13" s="27">
        <f>'01 - 2020'!C18-'01 - 2020'!C17</f>
        <v>0</v>
      </c>
      <c r="G13" s="25">
        <v>0.11799999999999999</v>
      </c>
      <c r="H13" s="27">
        <f>'01 - 2020'!E18-'01 - 2020'!E17</f>
        <v>0</v>
      </c>
      <c r="I13" s="27">
        <f>'01 - 2020'!F18-'01 - 2020'!F17</f>
        <v>0</v>
      </c>
      <c r="J13" s="27">
        <f>'01 - 2020'!G18-'01 - 2020'!G17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0</v>
      </c>
      <c r="F14" s="27">
        <f>'01 - 2020'!C19-'01 - 2020'!C18</f>
        <v>0</v>
      </c>
      <c r="G14" s="25">
        <v>0.11799999999999999</v>
      </c>
      <c r="H14" s="27">
        <f>'01 - 2020'!E19-'01 - 2020'!E18</f>
        <v>0</v>
      </c>
      <c r="I14" s="27">
        <f>'01 - 2020'!F19-'01 - 2020'!F18</f>
        <v>0</v>
      </c>
      <c r="J14" s="27">
        <f>'01 - 2020'!G19-'01 - 2020'!G18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0</v>
      </c>
      <c r="F15" s="27">
        <f>'01 - 2020'!C20-'01 - 2020'!C19</f>
        <v>0</v>
      </c>
      <c r="G15" s="25">
        <v>0.11799999999999999</v>
      </c>
      <c r="H15" s="27">
        <f>'01 - 2020'!E20-'01 - 2020'!E19</f>
        <v>0</v>
      </c>
      <c r="I15" s="27">
        <f>'01 - 2020'!F20-'01 - 2020'!F19</f>
        <v>0</v>
      </c>
      <c r="J15" s="27">
        <f>'01 - 2020'!G20-'01 - 2020'!G19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B16" sqref="B16:J1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43468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43469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43470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43471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43472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43473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43474</v>
      </c>
      <c r="B15" s="51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43475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86747</v>
      </c>
      <c r="J16" s="18">
        <v>37365352</v>
      </c>
      <c r="K16" s="19"/>
      <c r="L16" s="34"/>
    </row>
    <row r="17" spans="1:16" ht="12.75" customHeight="1" x14ac:dyDescent="0.25">
      <c r="A17" s="49">
        <v>43476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43477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43478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2020-01-10T07:14:01Z</dcterms:modified>
</cp:coreProperties>
</file>