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19200" windowHeight="11460" activeTab="3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32" i="5" l="1"/>
  <c r="G32" i="5"/>
  <c r="E32" i="5"/>
  <c r="B32" i="5"/>
  <c r="H4" i="8" l="1"/>
  <c r="G34" i="8" l="1"/>
  <c r="G34" i="9"/>
  <c r="I34" i="9" s="1"/>
  <c r="H34" i="10"/>
  <c r="G5" i="8" l="1"/>
  <c r="G6" i="8"/>
  <c r="G7" i="8"/>
  <c r="H7" i="8" s="1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H30" i="8" s="1"/>
  <c r="G31" i="8"/>
  <c r="G32" i="8"/>
  <c r="G33" i="8"/>
  <c r="H34" i="8" s="1"/>
  <c r="G4" i="8"/>
  <c r="H31" i="8" l="1"/>
  <c r="H17" i="8"/>
  <c r="H5" i="8"/>
  <c r="H13" i="8"/>
  <c r="H9" i="8"/>
  <c r="H29" i="8"/>
  <c r="H28" i="8"/>
  <c r="H16" i="8"/>
  <c r="H32" i="8"/>
  <c r="H20" i="8"/>
  <c r="H14" i="8"/>
  <c r="H24" i="8"/>
  <c r="H18" i="8"/>
  <c r="H6" i="8"/>
  <c r="H26" i="8"/>
  <c r="H25" i="8"/>
  <c r="H23" i="8"/>
  <c r="H22" i="8"/>
  <c r="H19" i="8"/>
  <c r="H12" i="8"/>
  <c r="H11" i="8"/>
  <c r="H10" i="8"/>
  <c r="H8" i="8"/>
  <c r="H27" i="8"/>
  <c r="H33" i="8"/>
  <c r="H15" i="8"/>
  <c r="H21" i="8"/>
  <c r="G5" i="9"/>
  <c r="I5" i="9" s="1"/>
  <c r="G6" i="9"/>
  <c r="I6" i="9" s="1"/>
  <c r="J6" i="9" s="1"/>
  <c r="G7" i="9"/>
  <c r="I7" i="9" s="1"/>
  <c r="G8" i="9"/>
  <c r="I8" i="9" s="1"/>
  <c r="G9" i="9"/>
  <c r="I9" i="9" s="1"/>
  <c r="G10" i="9"/>
  <c r="I10" i="9" s="1"/>
  <c r="G11" i="9"/>
  <c r="I11" i="9" s="1"/>
  <c r="G12" i="9"/>
  <c r="I12" i="9" s="1"/>
  <c r="J12" i="9" s="1"/>
  <c r="G13" i="9"/>
  <c r="I13" i="9" s="1"/>
  <c r="G14" i="9"/>
  <c r="I14" i="9" s="1"/>
  <c r="G15" i="9"/>
  <c r="I15" i="9" s="1"/>
  <c r="G16" i="9"/>
  <c r="I16" i="9" s="1"/>
  <c r="G17" i="9"/>
  <c r="I17" i="9" s="1"/>
  <c r="G18" i="9"/>
  <c r="I18" i="9" s="1"/>
  <c r="G19" i="9"/>
  <c r="I19" i="9" s="1"/>
  <c r="G20" i="9"/>
  <c r="I20" i="9" s="1"/>
  <c r="G21" i="9"/>
  <c r="I21" i="9" s="1"/>
  <c r="G22" i="9"/>
  <c r="I22" i="9" s="1"/>
  <c r="G23" i="9"/>
  <c r="I23" i="9" s="1"/>
  <c r="G24" i="9"/>
  <c r="I24" i="9" s="1"/>
  <c r="G25" i="9"/>
  <c r="I25" i="9" s="1"/>
  <c r="G26" i="9"/>
  <c r="I26" i="9" s="1"/>
  <c r="G27" i="9"/>
  <c r="I27" i="9" s="1"/>
  <c r="G28" i="9"/>
  <c r="I28" i="9" s="1"/>
  <c r="G29" i="9"/>
  <c r="I29" i="9" s="1"/>
  <c r="G30" i="9"/>
  <c r="I30" i="9" s="1"/>
  <c r="J30" i="9" s="1"/>
  <c r="G31" i="9"/>
  <c r="I31" i="9" s="1"/>
  <c r="G32" i="9"/>
  <c r="I32" i="9" s="1"/>
  <c r="G33" i="9"/>
  <c r="I33" i="9" s="1"/>
  <c r="J34" i="9" s="1"/>
  <c r="G4" i="9"/>
  <c r="I4" i="9" s="1"/>
  <c r="J4" i="9" s="1"/>
  <c r="H5" i="10"/>
  <c r="H6" i="10"/>
  <c r="H7" i="10"/>
  <c r="I7" i="10" s="1"/>
  <c r="H8" i="10"/>
  <c r="H9" i="10"/>
  <c r="H10" i="10"/>
  <c r="H11" i="10"/>
  <c r="H12" i="10"/>
  <c r="H13" i="10"/>
  <c r="H14" i="10"/>
  <c r="H15" i="10"/>
  <c r="H16" i="10"/>
  <c r="I16" i="10" s="1"/>
  <c r="H17" i="10"/>
  <c r="H18" i="10"/>
  <c r="H19" i="10"/>
  <c r="H20" i="10"/>
  <c r="H21" i="10"/>
  <c r="H22" i="10"/>
  <c r="H23" i="10"/>
  <c r="H24" i="10"/>
  <c r="H25" i="10"/>
  <c r="H26" i="10"/>
  <c r="H27" i="10"/>
  <c r="I27" i="10" s="1"/>
  <c r="H28" i="10"/>
  <c r="H29" i="10"/>
  <c r="H30" i="10"/>
  <c r="I30" i="10" s="1"/>
  <c r="H31" i="10"/>
  <c r="H32" i="10"/>
  <c r="H33" i="10"/>
  <c r="H4" i="10"/>
  <c r="J23" i="9" l="1"/>
  <c r="I22" i="10"/>
  <c r="J16" i="9"/>
  <c r="I21" i="10"/>
  <c r="I5" i="10"/>
  <c r="J17" i="9"/>
  <c r="J33" i="9"/>
  <c r="J29" i="9"/>
  <c r="J27" i="9"/>
  <c r="J21" i="9"/>
  <c r="J15" i="9"/>
  <c r="J9" i="9"/>
  <c r="I33" i="10"/>
  <c r="I34" i="10"/>
  <c r="I29" i="10"/>
  <c r="I26" i="10"/>
  <c r="I23" i="10"/>
  <c r="I11" i="10"/>
  <c r="I6" i="10"/>
  <c r="I31" i="10"/>
  <c r="J28" i="9"/>
  <c r="I28" i="10"/>
  <c r="J24" i="9"/>
  <c r="I24" i="10"/>
  <c r="J22" i="9"/>
  <c r="I20" i="10"/>
  <c r="J18" i="9"/>
  <c r="I18" i="10"/>
  <c r="I17" i="10"/>
  <c r="I14" i="10"/>
  <c r="I15" i="10"/>
  <c r="I12" i="10"/>
  <c r="J11" i="9"/>
  <c r="J10" i="9"/>
  <c r="I10" i="10"/>
  <c r="I9" i="10"/>
  <c r="J5" i="9"/>
  <c r="J32" i="9"/>
  <c r="J26" i="9"/>
  <c r="J20" i="9"/>
  <c r="J14" i="9"/>
  <c r="J8" i="9"/>
  <c r="J31" i="9"/>
  <c r="J25" i="9"/>
  <c r="J19" i="9"/>
  <c r="J13" i="9"/>
  <c r="J7" i="9"/>
  <c r="I32" i="10"/>
  <c r="I8" i="10"/>
  <c r="I25" i="10"/>
  <c r="I19" i="10"/>
  <c r="I13" i="10"/>
  <c r="E3" i="5"/>
  <c r="E4" i="5"/>
  <c r="E5" i="5"/>
  <c r="I2" i="5"/>
  <c r="I3" i="5"/>
  <c r="I4" i="5"/>
  <c r="G11" i="5" l="1"/>
  <c r="E14" i="5" l="1"/>
  <c r="E11" i="5"/>
  <c r="E9" i="5"/>
  <c r="E7" i="5"/>
  <c r="E6" i="5"/>
  <c r="I12" i="5"/>
  <c r="I8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29" i="5" l="1"/>
  <c r="I28" i="5"/>
  <c r="G21" i="5"/>
  <c r="I24" i="5"/>
  <c r="G23" i="5"/>
  <c r="G30" i="5"/>
  <c r="G19" i="5"/>
  <c r="G27" i="5"/>
  <c r="G10" i="5"/>
  <c r="I23" i="5"/>
  <c r="G26" i="5"/>
  <c r="I13" i="5"/>
  <c r="I19" i="5"/>
  <c r="I18" i="5"/>
  <c r="I29" i="5"/>
  <c r="G15" i="5"/>
  <c r="G20" i="5"/>
  <c r="I9" i="5"/>
  <c r="I15" i="5"/>
  <c r="I14" i="5"/>
  <c r="I25" i="5"/>
  <c r="I31" i="5"/>
  <c r="I30" i="5"/>
  <c r="I20" i="5"/>
  <c r="G17" i="5"/>
  <c r="G22" i="5"/>
  <c r="G28" i="5"/>
  <c r="I11" i="5"/>
  <c r="I10" i="5"/>
  <c r="I21" i="5"/>
  <c r="I26" i="5"/>
  <c r="G6" i="5"/>
  <c r="G12" i="5"/>
  <c r="I16" i="5"/>
  <c r="I27" i="5"/>
  <c r="G24" i="5"/>
  <c r="E13" i="5"/>
  <c r="I6" i="5"/>
  <c r="I22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I5" i="5"/>
  <c r="G3" i="5"/>
  <c r="G4" i="5"/>
  <c r="G7" i="5"/>
  <c r="G13" i="5"/>
  <c r="G5" i="5"/>
  <c r="G8" i="5"/>
  <c r="G25" i="5"/>
  <c r="G14" i="5"/>
  <c r="G31" i="5"/>
  <c r="G16" i="5"/>
  <c r="G18" i="5"/>
  <c r="L37" i="9"/>
  <c r="M37" i="9" s="1"/>
  <c r="G9" i="5"/>
  <c r="I17" i="5" l="1"/>
  <c r="E8" i="5"/>
  <c r="I7" i="5"/>
  <c r="E10" i="5"/>
  <c r="E12" i="5"/>
</calcChain>
</file>

<file path=xl/sharedStrings.xml><?xml version="1.0" encoding="utf-8"?>
<sst xmlns="http://schemas.openxmlformats.org/spreadsheetml/2006/main" count="76" uniqueCount="40">
  <si>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</si>
  <si>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</si>
  <si>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</si>
  <si>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</si>
  <si>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</si>
  <si>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</si>
  <si>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</si>
  <si>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</si>
  <si>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</si>
  <si>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</si>
  <si>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</si>
  <si>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</si>
  <si>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</si>
  <si>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</si>
  <si>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</si>
  <si>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</si>
  <si>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</si>
  <si>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</si>
  <si>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</si>
  <si>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</si>
  <si>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</si>
  <si>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</si>
  <si>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</si>
  <si>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</si>
  <si>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</si>
  <si>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</si>
  <si>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</si>
  <si>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</si>
  <si>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</si>
  <si>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</si>
  <si>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OCCC</t>
  </si>
  <si>
    <t>WEATHER</t>
  </si>
  <si>
    <t>Occ. Rooms</t>
  </si>
  <si>
    <t>Weather C</t>
  </si>
  <si>
    <t>Daily Target   (kWh)</t>
  </si>
  <si>
    <t>BİRİM FİYAT : 0.29 TL/m3 + KDV</t>
  </si>
  <si>
    <t>Istanbul at Sultanahmet</t>
  </si>
  <si>
    <t>NATURAL GAS CONSUMPTION , DEC.2021</t>
  </si>
  <si>
    <t>ELECTRICITY CONSUMPTION , DEC.2021</t>
  </si>
  <si>
    <t>WATER CONSUMPTION , DEC.2021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</si>
</sst>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7" borderId="2" xfId="0" applyFont="1" applyFill="1" applyBorder="1" applyAlignment="1">
      <alignment horizontal="center" vertical="center"/>
    </xf>
    <xf numFmtId="2" fontId="2" fillId="3" borderId="2" xfId="0" applyNumberFormat="1" applyFont="1" applyFill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8" borderId="2" xfId="0" quotePrefix="1" applyFont="1" applyFill="1" applyBorder="1" applyAlignment="1">
      <alignment horizontal="center" vertical="center" wrapText="1"/>
    </xf>
    <xf numFmtId="0" fontId="2" fillId="9" borderId="2" xfId="0" quotePrefix="1" applyFont="1" applyFill="1" applyBorder="1" applyAlignment="1">
      <alignment horizontal="center" vertical="center" wrapText="1"/>
    </xf>
    <xf numFmtId="0" fontId="2" fillId="10" borderId="2" xfId="0" quotePrefix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9" borderId="2" xfId="0" applyNumberFormat="1" applyFont="1" applyFill="1" applyBorder="1" applyAlignment="1">
      <alignment horizontal="center" vertical="center"/>
    </xf>
    <xf numFmtId="166" fontId="2" fillId="10" borderId="2" xfId="0" applyNumberFormat="1" applyFont="1" applyFill="1" applyBorder="1" applyAlignment="1">
      <alignment horizontal="center" vertical="center"/>
    </xf>
    <xf numFmtId="166" fontId="2" fillId="6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6" borderId="2" xfId="0" applyNumberFormat="1" applyFont="1" applyFill="1" applyBorder="1" applyAlignment="1">
      <alignment horizontal="center" vertical="center"/>
    </xf>
    <xf numFmtId="166" fontId="17" fillId="6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66" fontId="17" fillId="9" borderId="2" xfId="0" applyNumberFormat="1" applyFont="1" applyFill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11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166" fontId="2" fillId="4" borderId="2" xfId="0" applyNumberFormat="1" applyFont="1" applyFill="1" applyBorder="1" applyAlignment="1">
      <alignment horizontal="center" vertical="center"/>
    </xf>
    <xf numFmtId="166" fontId="2" fillId="5" borderId="2" xfId="0" applyNumberFormat="1" applyFont="1" applyFill="1" applyBorder="1" applyAlignment="1">
      <alignment horizontal="center" vertical="center"/>
    </xf>
    <xf numFmtId="166" fontId="20" fillId="11" borderId="2" xfId="0" applyNumberFormat="1" applyFont="1" applyFill="1" applyBorder="1" applyAlignment="1">
      <alignment horizontal="center" vertical="center"/>
    </xf>
    <xf numFmtId="166" fontId="20" fillId="3" borderId="2" xfId="0" applyNumberFormat="1" applyFont="1" applyFill="1" applyBorder="1" applyAlignment="1">
      <alignment horizontal="center" vertical="center"/>
    </xf>
    <xf numFmtId="166" fontId="20" fillId="4" borderId="2" xfId="0" applyNumberFormat="1" applyFont="1" applyFill="1" applyBorder="1" applyAlignment="1">
      <alignment horizontal="center" vertical="center"/>
    </xf>
    <xf numFmtId="166" fontId="17" fillId="2" borderId="2" xfId="0" applyNumberFormat="1" applyFont="1" applyFill="1" applyBorder="1" applyAlignment="1">
      <alignment horizontal="center" vertical="center"/>
    </xf>
    <xf numFmtId="166" fontId="17" fillId="5" borderId="2" xfId="0" applyNumberFormat="1" applyFont="1" applyFill="1" applyBorder="1" applyAlignment="1">
      <alignment horizontal="center" vertical="center"/>
    </xf>
    <xf numFmtId="166" fontId="26" fillId="10" borderId="2" xfId="0" applyNumberFormat="1" applyFont="1" applyFill="1" applyBorder="1" applyAlignment="1">
      <alignment vertical="center"/>
    </xf>
    <xf numFmtId="166" fontId="17" fillId="10" borderId="2" xfId="0" applyNumberFormat="1" applyFont="1" applyFill="1" applyBorder="1" applyAlignment="1">
      <alignment horizontal="center" vertical="center"/>
    </xf>
    <xf numFmtId="166" fontId="2" fillId="7" borderId="2" xfId="0" applyNumberFormat="1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166" fontId="2" fillId="12" borderId="2" xfId="0" applyNumberFormat="1" applyFont="1" applyFill="1" applyBorder="1" applyAlignment="1">
      <alignment horizontal="center" vertical="center"/>
    </xf>
    <xf numFmtId="0" fontId="2" fillId="13" borderId="2" xfId="0" quotePrefix="1" applyFont="1" applyFill="1" applyBorder="1" applyAlignment="1">
      <alignment horizontal="center" vertical="center" wrapText="1"/>
    </xf>
    <xf numFmtId="166" fontId="2" fillId="13" borderId="2" xfId="0" applyNumberFormat="1" applyFont="1" applyFill="1" applyBorder="1" applyAlignment="1">
      <alignment horizontal="center" vertical="center"/>
    </xf>
    <xf numFmtId="3" fontId="2" fillId="6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tural%20Gas%20Consumption%20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1"/>
      <sheetName val="Aug.2021"/>
      <sheetName val="Sep.2021"/>
      <sheetName val="Oct.2021"/>
      <sheetName val="Nov.2021"/>
      <sheetName val="Dec.202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3">
          <cell r="G33">
            <v>12450</v>
          </cell>
        </row>
      </sheetData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1"/>
      <sheetName val="Aug.2021"/>
      <sheetName val="Sep.2021"/>
      <sheetName val="Oct.2021"/>
      <sheetName val="Nov.2021"/>
      <sheetName val="Dec.2021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4">
          <cell r="I34">
            <v>1176539.1521959999</v>
          </cell>
        </row>
      </sheetData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zoomScale="110" zoomScaleNormal="110" workbookViewId="0">
      <selection activeCell="A16" sqref="A16:XFD16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36</v>
      </c>
      <c r="B2" s="12">
        <v>1</v>
      </c>
      <c r="C2" s="3">
        <v>12</v>
      </c>
      <c r="D2" s="12">
        <v>2021</v>
      </c>
      <c r="E2" s="13">
        <v>621</v>
      </c>
      <c r="F2" s="3">
        <v>1.2</v>
      </c>
      <c r="G2" s="13">
        <v>0</v>
      </c>
      <c r="H2" s="3">
        <v>1.69</v>
      </c>
      <c r="I2" s="13">
        <f>Water!H4</f>
        <v>0</v>
      </c>
      <c r="J2" s="3">
        <v>14.95</v>
      </c>
      <c r="K2" s="12">
        <v>0</v>
      </c>
    </row>
    <row r="3" spans="1:11" s="16" customFormat="1" x14ac:dyDescent="0.25">
      <c r="A3" s="26" t="s">
        <v>36</v>
      </c>
      <c r="B3" s="15">
        <f>B2+1</f>
        <v>2</v>
      </c>
      <c r="C3" s="3">
        <v>12</v>
      </c>
      <c r="D3" s="12">
        <v>2021</v>
      </c>
      <c r="E3" s="13">
        <f>Electricity!I5</f>
        <v>1540.0800000000745</v>
      </c>
      <c r="F3" s="3">
        <v>1.2</v>
      </c>
      <c r="G3" s="13">
        <f>Gas!J5</f>
        <v>0</v>
      </c>
      <c r="H3" s="3">
        <v>1.69</v>
      </c>
      <c r="I3" s="13">
        <f>Water!H5</f>
        <v>13</v>
      </c>
      <c r="J3" s="3">
        <v>14.95</v>
      </c>
      <c r="K3" s="12">
        <v>0</v>
      </c>
    </row>
    <row r="4" spans="1:11" s="16" customFormat="1" x14ac:dyDescent="0.25">
      <c r="A4" s="26" t="s">
        <v>36</v>
      </c>
      <c r="B4" s="15">
        <f t="shared" ref="B4:B32" si="0">B3+1</f>
        <v>3</v>
      </c>
      <c r="C4" s="3">
        <v>12</v>
      </c>
      <c r="D4" s="12">
        <v>2021</v>
      </c>
      <c r="E4" s="13">
        <f>Electricity!I6</f>
        <v>1592.5199999976903</v>
      </c>
      <c r="F4" s="3">
        <v>1.2</v>
      </c>
      <c r="G4" s="13">
        <f>Gas!J6</f>
        <v>0</v>
      </c>
      <c r="H4" s="3">
        <v>1.69</v>
      </c>
      <c r="I4" s="13">
        <f>Water!H6</f>
        <v>0</v>
      </c>
      <c r="J4" s="3">
        <v>14.95</v>
      </c>
      <c r="K4" s="12">
        <v>0</v>
      </c>
    </row>
    <row r="5" spans="1:11" s="16" customFormat="1" x14ac:dyDescent="0.25">
      <c r="A5" s="26" t="s">
        <v>36</v>
      </c>
      <c r="B5" s="15">
        <f t="shared" si="0"/>
        <v>4</v>
      </c>
      <c r="C5" s="3">
        <v>12</v>
      </c>
      <c r="D5" s="12">
        <v>2021</v>
      </c>
      <c r="E5" s="13">
        <f>Electricity!I7</f>
        <v>1355.160000000149</v>
      </c>
      <c r="F5" s="3">
        <v>1.2</v>
      </c>
      <c r="G5" s="13">
        <f>Gas!J7</f>
        <v>0</v>
      </c>
      <c r="H5" s="3">
        <v>1.69</v>
      </c>
      <c r="I5" s="13">
        <f>Water!H7</f>
        <v>1</v>
      </c>
      <c r="J5" s="3">
        <v>14.95</v>
      </c>
      <c r="K5" s="12">
        <v>0</v>
      </c>
    </row>
    <row r="6" spans="1:11" s="16" customFormat="1" x14ac:dyDescent="0.25">
      <c r="A6" s="26" t="s">
        <v>36</v>
      </c>
      <c r="B6" s="15">
        <f t="shared" si="0"/>
        <v>5</v>
      </c>
      <c r="C6" s="3">
        <v>12</v>
      </c>
      <c r="D6" s="12">
        <v>2021</v>
      </c>
      <c r="E6" s="13">
        <f>Electricity!I8</f>
        <v>1399.320000000298</v>
      </c>
      <c r="F6" s="3">
        <v>1.2</v>
      </c>
      <c r="G6" s="13">
        <f>Gas!J8</f>
        <v>0</v>
      </c>
      <c r="H6" s="3">
        <v>1.69</v>
      </c>
      <c r="I6" s="13">
        <f>Water!H8</f>
        <v>0</v>
      </c>
      <c r="J6" s="3">
        <v>14.95</v>
      </c>
      <c r="K6" s="12">
        <v>0</v>
      </c>
    </row>
    <row r="7" spans="1:11" s="16" customFormat="1" x14ac:dyDescent="0.25">
      <c r="A7" s="26" t="s">
        <v>36</v>
      </c>
      <c r="B7" s="15">
        <f t="shared" si="0"/>
        <v>6</v>
      </c>
      <c r="C7" s="3">
        <v>12</v>
      </c>
      <c r="D7" s="12">
        <v>2021</v>
      </c>
      <c r="E7" s="13">
        <f>Electricity!I9</f>
        <v>1228.1999999992549</v>
      </c>
      <c r="F7" s="3">
        <v>1.2</v>
      </c>
      <c r="G7" s="13">
        <f>Gas!J9</f>
        <v>0</v>
      </c>
      <c r="H7" s="3">
        <v>1.69</v>
      </c>
      <c r="I7" s="13">
        <f>Water!H9</f>
        <v>1</v>
      </c>
      <c r="J7" s="3">
        <v>14.95</v>
      </c>
      <c r="K7" s="12">
        <v>0</v>
      </c>
    </row>
    <row r="8" spans="1:11" s="16" customFormat="1" x14ac:dyDescent="0.25">
      <c r="A8" s="26" t="s">
        <v>36</v>
      </c>
      <c r="B8" s="15">
        <f t="shared" si="0"/>
        <v>7</v>
      </c>
      <c r="C8" s="3">
        <v>12</v>
      </c>
      <c r="D8" s="12">
        <v>2021</v>
      </c>
      <c r="E8" s="13">
        <f>Electricity!I10</f>
        <v>1368.9600000008941</v>
      </c>
      <c r="F8" s="3">
        <v>1.2</v>
      </c>
      <c r="G8" s="13">
        <f>Gas!J10</f>
        <v>0</v>
      </c>
      <c r="H8" s="3">
        <v>1.69</v>
      </c>
      <c r="I8" s="13">
        <f>Water!H10</f>
        <v>15</v>
      </c>
      <c r="J8" s="3">
        <v>14.95</v>
      </c>
      <c r="K8" s="12">
        <v>0</v>
      </c>
    </row>
    <row r="9" spans="1:11" s="16" customFormat="1" x14ac:dyDescent="0.25">
      <c r="A9" s="26" t="s">
        <v>36</v>
      </c>
      <c r="B9" s="15">
        <f t="shared" si="0"/>
        <v>8</v>
      </c>
      <c r="C9" s="3">
        <v>12</v>
      </c>
      <c r="D9" s="12">
        <v>2021</v>
      </c>
      <c r="E9" s="13">
        <f>Electricity!I11</f>
        <v>1349.6399999987334</v>
      </c>
      <c r="F9" s="3">
        <v>1.2</v>
      </c>
      <c r="G9" s="13">
        <f>Gas!J11</f>
        <v>0</v>
      </c>
      <c r="H9" s="3">
        <v>1.69</v>
      </c>
      <c r="I9" s="13">
        <f>Water!H11</f>
        <v>1</v>
      </c>
      <c r="J9" s="3">
        <v>14.95</v>
      </c>
      <c r="K9" s="12">
        <v>0</v>
      </c>
    </row>
    <row r="10" spans="1:11" s="16" customFormat="1" x14ac:dyDescent="0.25">
      <c r="A10" s="26" t="s">
        <v>36</v>
      </c>
      <c r="B10" s="15">
        <f t="shared" si="0"/>
        <v>9</v>
      </c>
      <c r="C10" s="3">
        <v>12</v>
      </c>
      <c r="D10" s="12">
        <v>2021</v>
      </c>
      <c r="E10" s="13">
        <f>Electricity!I12</f>
        <v>1435.2000000011176</v>
      </c>
      <c r="F10" s="3">
        <v>1.2</v>
      </c>
      <c r="G10" s="13">
        <f>Gas!J12</f>
        <v>0</v>
      </c>
      <c r="H10" s="3">
        <v>1.69</v>
      </c>
      <c r="I10" s="13">
        <f>Water!H12</f>
        <v>8</v>
      </c>
      <c r="J10" s="3">
        <v>14.95</v>
      </c>
      <c r="K10" s="12">
        <v>0</v>
      </c>
    </row>
    <row r="11" spans="1:11" s="16" customFormat="1" x14ac:dyDescent="0.25">
      <c r="A11" s="26" t="s">
        <v>36</v>
      </c>
      <c r="B11" s="15">
        <f t="shared" si="0"/>
        <v>10</v>
      </c>
      <c r="C11" s="3">
        <v>12</v>
      </c>
      <c r="D11" s="12">
        <v>2021</v>
      </c>
      <c r="E11" s="13">
        <f>Electricity!I13</f>
        <v>1426.9199999999255</v>
      </c>
      <c r="F11" s="3">
        <v>1.2</v>
      </c>
      <c r="G11" s="13">
        <f>Gas!J13</f>
        <v>0</v>
      </c>
      <c r="H11" s="3">
        <v>1.69</v>
      </c>
      <c r="I11" s="13">
        <f>Water!H13</f>
        <v>1</v>
      </c>
      <c r="J11" s="3">
        <v>14.95</v>
      </c>
      <c r="K11" s="12">
        <v>0</v>
      </c>
    </row>
    <row r="12" spans="1:11" s="16" customFormat="1" x14ac:dyDescent="0.25">
      <c r="A12" s="26" t="s">
        <v>36</v>
      </c>
      <c r="B12" s="15">
        <f t="shared" si="0"/>
        <v>11</v>
      </c>
      <c r="C12" s="3">
        <v>12</v>
      </c>
      <c r="D12" s="12">
        <v>2021</v>
      </c>
      <c r="E12" s="13">
        <f>Electricity!I14</f>
        <v>1418.640000000596</v>
      </c>
      <c r="F12" s="3">
        <v>1.2</v>
      </c>
      <c r="G12" s="13">
        <f>Gas!J14</f>
        <v>0</v>
      </c>
      <c r="H12" s="3">
        <v>1.69</v>
      </c>
      <c r="I12" s="13">
        <f>Water!H14</f>
        <v>0</v>
      </c>
      <c r="J12" s="3">
        <v>14.95</v>
      </c>
      <c r="K12" s="12">
        <v>0</v>
      </c>
    </row>
    <row r="13" spans="1:11" s="16" customFormat="1" x14ac:dyDescent="0.25">
      <c r="A13" s="26" t="s">
        <v>36</v>
      </c>
      <c r="B13" s="15">
        <f t="shared" si="0"/>
        <v>12</v>
      </c>
      <c r="C13" s="3">
        <v>12</v>
      </c>
      <c r="D13" s="12">
        <v>2021</v>
      </c>
      <c r="E13" s="13">
        <f>Electricity!I15</f>
        <v>1297.2000000011176</v>
      </c>
      <c r="F13" s="3">
        <v>1.2</v>
      </c>
      <c r="G13" s="13">
        <f>Gas!J15</f>
        <v>0</v>
      </c>
      <c r="H13" s="3">
        <v>1.69</v>
      </c>
      <c r="I13" s="13">
        <f>Water!H15</f>
        <v>3</v>
      </c>
      <c r="J13" s="3">
        <v>14.95</v>
      </c>
      <c r="K13" s="12">
        <v>0</v>
      </c>
    </row>
    <row r="14" spans="1:11" s="16" customFormat="1" x14ac:dyDescent="0.25">
      <c r="A14" s="26" t="s">
        <v>36</v>
      </c>
      <c r="B14" s="15">
        <f t="shared" si="0"/>
        <v>13</v>
      </c>
      <c r="C14" s="3">
        <v>12</v>
      </c>
      <c r="D14" s="12">
        <v>2021</v>
      </c>
      <c r="E14" s="13">
        <f>Electricity!I16</f>
        <v>1250.2799999974668</v>
      </c>
      <c r="F14" s="3">
        <v>1.2</v>
      </c>
      <c r="G14" s="13">
        <f>Gas!J16</f>
        <v>0</v>
      </c>
      <c r="H14" s="3">
        <v>1.69</v>
      </c>
      <c r="I14" s="13">
        <f>Water!H16</f>
        <v>1</v>
      </c>
      <c r="J14" s="3">
        <v>14.95</v>
      </c>
      <c r="K14" s="12">
        <v>0</v>
      </c>
    </row>
    <row r="15" spans="1:11" s="16" customFormat="1" x14ac:dyDescent="0.25">
      <c r="A15" s="26" t="s">
        <v>36</v>
      </c>
      <c r="B15" s="15">
        <f t="shared" si="0"/>
        <v>14</v>
      </c>
      <c r="C15" s="3">
        <v>12</v>
      </c>
      <c r="D15" s="12">
        <v>2021</v>
      </c>
      <c r="E15" s="13">
        <f>Electricity!I17</f>
        <v>1360.6800000015646</v>
      </c>
      <c r="F15" s="3">
        <v>1.2</v>
      </c>
      <c r="G15" s="13">
        <f>Gas!J17</f>
        <v>0</v>
      </c>
      <c r="H15" s="3">
        <v>1.69</v>
      </c>
      <c r="I15" s="13">
        <f>Water!H17</f>
        <v>1</v>
      </c>
      <c r="J15" s="3">
        <v>14.95</v>
      </c>
      <c r="K15" s="12">
        <v>0</v>
      </c>
    </row>
    <row r="16" spans="1:11" s="16" customFormat="1" x14ac:dyDescent="0.25">
      <c r="A16" s="26" t="s">
        <v>36</v>
      </c>
      <c r="B16" s="15">
        <f t="shared" si="0"/>
        <v>15</v>
      </c>
      <c r="C16" s="3">
        <v>12</v>
      </c>
      <c r="D16" s="12">
        <v>2021</v>
      </c>
      <c r="E16" s="13">
        <f>Electricity!I18</f>
        <v>1380</v>
      </c>
      <c r="F16" s="3">
        <v>1.2</v>
      </c>
      <c r="G16" s="13">
        <f>Gas!J18</f>
        <v>0</v>
      </c>
      <c r="H16" s="3">
        <v>1.69</v>
      </c>
      <c r="I16" s="13">
        <f>Water!H18</f>
        <v>26</v>
      </c>
      <c r="J16" s="3">
        <v>14.95</v>
      </c>
      <c r="K16" s="12">
        <v>0</v>
      </c>
    </row>
    <row r="17" spans="1:11" s="16" customFormat="1" x14ac:dyDescent="0.25">
      <c r="A17" s="26" t="s">
        <v>36</v>
      </c>
      <c r="B17" s="15">
        <f t="shared" si="0"/>
        <v>16</v>
      </c>
      <c r="C17" s="3">
        <v>12</v>
      </c>
      <c r="D17" s="12">
        <v>2021</v>
      </c>
      <c r="E17" s="13">
        <f>Electricity!I19</f>
        <v>1479.359999999404</v>
      </c>
      <c r="F17" s="3">
        <v>1.2</v>
      </c>
      <c r="G17" s="13">
        <f>Gas!J19</f>
        <v>0</v>
      </c>
      <c r="H17" s="3">
        <v>1.69</v>
      </c>
      <c r="I17" s="13">
        <f>Water!H19</f>
        <v>7</v>
      </c>
      <c r="J17" s="3">
        <v>14.95</v>
      </c>
      <c r="K17" s="12">
        <v>0</v>
      </c>
    </row>
    <row r="18" spans="1:11" s="16" customFormat="1" x14ac:dyDescent="0.25">
      <c r="A18" s="26" t="s">
        <v>36</v>
      </c>
      <c r="B18" s="15">
        <f t="shared" si="0"/>
        <v>17</v>
      </c>
      <c r="C18" s="3">
        <v>12</v>
      </c>
      <c r="D18" s="12">
        <v>2021</v>
      </c>
      <c r="E18" s="13">
        <f>Electricity!I20</f>
        <v>1487.640000000596</v>
      </c>
      <c r="F18" s="3">
        <v>1.2</v>
      </c>
      <c r="G18" s="13">
        <f>Gas!J20</f>
        <v>0</v>
      </c>
      <c r="H18" s="3">
        <v>1.69</v>
      </c>
      <c r="I18" s="13">
        <f>Water!H20</f>
        <v>1</v>
      </c>
      <c r="J18" s="3">
        <v>14.95</v>
      </c>
      <c r="K18" s="12">
        <v>0</v>
      </c>
    </row>
    <row r="19" spans="1:11" s="16" customFormat="1" x14ac:dyDescent="0.25">
      <c r="A19" s="26" t="s">
        <v>36</v>
      </c>
      <c r="B19" s="15">
        <f t="shared" si="0"/>
        <v>18</v>
      </c>
      <c r="C19" s="3">
        <v>12</v>
      </c>
      <c r="D19" s="12">
        <v>2021</v>
      </c>
      <c r="E19" s="13">
        <f>Electricity!I21</f>
        <v>1509.7200000006706</v>
      </c>
      <c r="F19" s="3">
        <v>1.2</v>
      </c>
      <c r="G19" s="13">
        <f>Gas!J21</f>
        <v>0</v>
      </c>
      <c r="H19" s="3">
        <v>1.69</v>
      </c>
      <c r="I19" s="13">
        <f>Water!H21</f>
        <v>0</v>
      </c>
      <c r="J19" s="3">
        <v>14.95</v>
      </c>
      <c r="K19" s="12">
        <v>0</v>
      </c>
    </row>
    <row r="20" spans="1:11" s="16" customFormat="1" x14ac:dyDescent="0.25">
      <c r="A20" s="26" t="s">
        <v>36</v>
      </c>
      <c r="B20" s="15">
        <f t="shared" si="0"/>
        <v>19</v>
      </c>
      <c r="C20" s="3">
        <v>12</v>
      </c>
      <c r="D20" s="12">
        <v>2021</v>
      </c>
      <c r="E20" s="13">
        <f>Electricity!I22</f>
        <v>1526.2799999993294</v>
      </c>
      <c r="F20" s="3">
        <v>1.2</v>
      </c>
      <c r="G20" s="13">
        <f>Gas!J22</f>
        <v>0</v>
      </c>
      <c r="H20" s="3">
        <v>1.69</v>
      </c>
      <c r="I20" s="13">
        <f>Water!H22</f>
        <v>0</v>
      </c>
      <c r="J20" s="3">
        <v>14.95</v>
      </c>
      <c r="K20" s="12">
        <v>0</v>
      </c>
    </row>
    <row r="21" spans="1:11" s="16" customFormat="1" x14ac:dyDescent="0.25">
      <c r="A21" s="26" t="s">
        <v>36</v>
      </c>
      <c r="B21" s="15">
        <f t="shared" si="0"/>
        <v>20</v>
      </c>
      <c r="C21" s="3">
        <v>12</v>
      </c>
      <c r="D21" s="12">
        <v>2021</v>
      </c>
      <c r="E21" s="13">
        <f>Electricity!I23</f>
        <v>-13174556.4</v>
      </c>
      <c r="F21" s="3">
        <v>1.2</v>
      </c>
      <c r="G21" s="13">
        <f>Gas!J23</f>
        <v>-1176540.4133199998</v>
      </c>
      <c r="H21" s="3">
        <v>1.69</v>
      </c>
      <c r="I21" s="13">
        <f>Water!H23</f>
        <v>-11464</v>
      </c>
      <c r="J21" s="3">
        <v>14.95</v>
      </c>
      <c r="K21" s="12">
        <v>0</v>
      </c>
    </row>
    <row r="22" spans="1:11" s="16" customFormat="1" x14ac:dyDescent="0.25">
      <c r="A22" s="26" t="s">
        <v>36</v>
      </c>
      <c r="B22" s="15">
        <f t="shared" si="0"/>
        <v>21</v>
      </c>
      <c r="C22" s="3">
        <v>12</v>
      </c>
      <c r="D22" s="12">
        <v>2021</v>
      </c>
      <c r="E22" s="13">
        <f>Electricity!I24</f>
        <v>0</v>
      </c>
      <c r="F22" s="3">
        <v>1.2</v>
      </c>
      <c r="G22" s="13">
        <f>Gas!J24</f>
        <v>0</v>
      </c>
      <c r="H22" s="3">
        <v>1.69</v>
      </c>
      <c r="I22" s="13">
        <f>Water!H24</f>
        <v>0</v>
      </c>
      <c r="J22" s="3">
        <v>14.95</v>
      </c>
      <c r="K22" s="12">
        <v>0</v>
      </c>
    </row>
    <row r="23" spans="1:11" s="16" customFormat="1" x14ac:dyDescent="0.25">
      <c r="A23" s="26" t="s">
        <v>36</v>
      </c>
      <c r="B23" s="15">
        <f t="shared" si="0"/>
        <v>22</v>
      </c>
      <c r="C23" s="3">
        <v>12</v>
      </c>
      <c r="D23" s="12">
        <v>2021</v>
      </c>
      <c r="E23" s="13">
        <f>Electricity!I25</f>
        <v>0</v>
      </c>
      <c r="F23" s="3">
        <v>1.2</v>
      </c>
      <c r="G23" s="13">
        <f>Gas!J25</f>
        <v>0</v>
      </c>
      <c r="H23" s="3">
        <v>1.69</v>
      </c>
      <c r="I23" s="13">
        <f>Water!H25</f>
        <v>0</v>
      </c>
      <c r="J23" s="3">
        <v>14.95</v>
      </c>
      <c r="K23" s="12">
        <v>0</v>
      </c>
    </row>
    <row r="24" spans="1:11" s="16" customFormat="1" x14ac:dyDescent="0.25">
      <c r="A24" s="26" t="s">
        <v>36</v>
      </c>
      <c r="B24" s="15">
        <f t="shared" si="0"/>
        <v>23</v>
      </c>
      <c r="C24" s="3">
        <v>12</v>
      </c>
      <c r="D24" s="12">
        <v>2021</v>
      </c>
      <c r="E24" s="13">
        <f>Electricity!I26</f>
        <v>0</v>
      </c>
      <c r="F24" s="3">
        <v>1.2</v>
      </c>
      <c r="G24" s="13">
        <f>Gas!J26</f>
        <v>0</v>
      </c>
      <c r="H24" s="3">
        <v>1.69</v>
      </c>
      <c r="I24" s="13">
        <f>Water!H26</f>
        <v>0</v>
      </c>
      <c r="J24" s="3">
        <v>14.95</v>
      </c>
      <c r="K24" s="12">
        <v>0</v>
      </c>
    </row>
    <row r="25" spans="1:11" s="16" customFormat="1" x14ac:dyDescent="0.25">
      <c r="A25" s="26" t="s">
        <v>36</v>
      </c>
      <c r="B25" s="15">
        <f t="shared" si="0"/>
        <v>24</v>
      </c>
      <c r="C25" s="3">
        <v>12</v>
      </c>
      <c r="D25" s="12">
        <v>2021</v>
      </c>
      <c r="E25" s="13">
        <f>Electricity!I27</f>
        <v>0</v>
      </c>
      <c r="F25" s="3">
        <v>1.2</v>
      </c>
      <c r="G25" s="13">
        <f>Gas!J27</f>
        <v>0</v>
      </c>
      <c r="H25" s="3">
        <v>1.69</v>
      </c>
      <c r="I25" s="13">
        <f>Water!H27</f>
        <v>0</v>
      </c>
      <c r="J25" s="3">
        <v>14.95</v>
      </c>
      <c r="K25" s="12">
        <v>0</v>
      </c>
    </row>
    <row r="26" spans="1:11" s="16" customFormat="1" x14ac:dyDescent="0.25">
      <c r="A26" s="26" t="s">
        <v>36</v>
      </c>
      <c r="B26" s="15">
        <f>B25+1</f>
        <v>25</v>
      </c>
      <c r="C26" s="3">
        <v>12</v>
      </c>
      <c r="D26" s="12">
        <v>2021</v>
      </c>
      <c r="E26" s="13">
        <f>Electricity!I28</f>
        <v>0</v>
      </c>
      <c r="F26" s="3">
        <v>1.2</v>
      </c>
      <c r="G26" s="13">
        <f>Gas!J28</f>
        <v>0</v>
      </c>
      <c r="H26" s="3">
        <v>1.69</v>
      </c>
      <c r="I26" s="13">
        <f>Water!H28</f>
        <v>0</v>
      </c>
      <c r="J26" s="3">
        <v>14.95</v>
      </c>
      <c r="K26" s="12">
        <v>0</v>
      </c>
    </row>
    <row r="27" spans="1:11" s="16" customFormat="1" x14ac:dyDescent="0.25">
      <c r="A27" s="26" t="s">
        <v>36</v>
      </c>
      <c r="B27" s="15">
        <f t="shared" si="0"/>
        <v>26</v>
      </c>
      <c r="C27" s="3">
        <v>12</v>
      </c>
      <c r="D27" s="12">
        <v>2021</v>
      </c>
      <c r="E27" s="13">
        <f>Electricity!I29</f>
        <v>0</v>
      </c>
      <c r="F27" s="3">
        <v>1.2</v>
      </c>
      <c r="G27" s="13">
        <f>Gas!J29</f>
        <v>0</v>
      </c>
      <c r="H27" s="3">
        <v>1.69</v>
      </c>
      <c r="I27" s="13">
        <f>Water!H29</f>
        <v>0</v>
      </c>
      <c r="J27" s="3">
        <v>14.95</v>
      </c>
      <c r="K27" s="12">
        <v>0</v>
      </c>
    </row>
    <row r="28" spans="1:11" s="16" customFormat="1" x14ac:dyDescent="0.25">
      <c r="A28" s="26" t="s">
        <v>36</v>
      </c>
      <c r="B28" s="15">
        <f t="shared" si="0"/>
        <v>27</v>
      </c>
      <c r="C28" s="3">
        <v>12</v>
      </c>
      <c r="D28" s="12">
        <v>2021</v>
      </c>
      <c r="E28" s="13">
        <f>Electricity!I30</f>
        <v>0</v>
      </c>
      <c r="F28" s="3">
        <v>1.2</v>
      </c>
      <c r="G28" s="13">
        <f>Gas!J30</f>
        <v>0</v>
      </c>
      <c r="H28" s="3">
        <v>1.69</v>
      </c>
      <c r="I28" s="13">
        <f>Water!H30</f>
        <v>0</v>
      </c>
      <c r="J28" s="3">
        <v>14.95</v>
      </c>
      <c r="K28" s="12">
        <v>0</v>
      </c>
    </row>
    <row r="29" spans="1:11" s="16" customFormat="1" x14ac:dyDescent="0.25">
      <c r="A29" s="26" t="s">
        <v>36</v>
      </c>
      <c r="B29" s="15">
        <f t="shared" si="0"/>
        <v>28</v>
      </c>
      <c r="C29" s="3">
        <v>12</v>
      </c>
      <c r="D29" s="12">
        <v>2021</v>
      </c>
      <c r="E29" s="13">
        <f>Electricity!I31</f>
        <v>0</v>
      </c>
      <c r="F29" s="3">
        <v>1.2</v>
      </c>
      <c r="G29" s="13">
        <f>Gas!J31</f>
        <v>0</v>
      </c>
      <c r="H29" s="3">
        <v>1.69</v>
      </c>
      <c r="I29" s="13">
        <f>Water!H31</f>
        <v>0</v>
      </c>
      <c r="J29" s="3">
        <v>14.95</v>
      </c>
      <c r="K29" s="12">
        <v>0</v>
      </c>
    </row>
    <row r="30" spans="1:11" s="16" customFormat="1" x14ac:dyDescent="0.25">
      <c r="A30" s="26" t="s">
        <v>36</v>
      </c>
      <c r="B30" s="15">
        <f t="shared" si="0"/>
        <v>29</v>
      </c>
      <c r="C30" s="3">
        <v>12</v>
      </c>
      <c r="D30" s="12">
        <v>2021</v>
      </c>
      <c r="E30" s="13">
        <f>Electricity!I32</f>
        <v>0</v>
      </c>
      <c r="F30" s="3">
        <v>1.2</v>
      </c>
      <c r="G30" s="13">
        <f>Gas!J32</f>
        <v>0</v>
      </c>
      <c r="H30" s="3">
        <v>1.69</v>
      </c>
      <c r="I30" s="13">
        <f>Water!H32</f>
        <v>0</v>
      </c>
      <c r="J30" s="3">
        <v>14.95</v>
      </c>
      <c r="K30" s="12">
        <v>0</v>
      </c>
    </row>
    <row r="31" spans="1:11" s="14" customFormat="1" x14ac:dyDescent="0.25">
      <c r="A31" s="26" t="s">
        <v>36</v>
      </c>
      <c r="B31" s="15">
        <f t="shared" si="0"/>
        <v>30</v>
      </c>
      <c r="C31" s="3">
        <v>12</v>
      </c>
      <c r="D31" s="12">
        <v>2021</v>
      </c>
      <c r="E31" s="13">
        <f>Electricity!I33</f>
        <v>0</v>
      </c>
      <c r="F31" s="3">
        <v>1.2</v>
      </c>
      <c r="G31" s="13">
        <f>Gas!J33</f>
        <v>0</v>
      </c>
      <c r="H31" s="3">
        <v>1.69</v>
      </c>
      <c r="I31" s="13">
        <f>Water!H33</f>
        <v>0</v>
      </c>
      <c r="J31" s="3">
        <v>14.95</v>
      </c>
      <c r="K31" s="12">
        <v>0</v>
      </c>
    </row>
    <row r="32" spans="1:11" x14ac:dyDescent="0.25">
      <c r="A32" s="26" t="s">
        <v>36</v>
      </c>
      <c r="B32" s="15">
        <f t="shared" si="0"/>
        <v>31</v>
      </c>
      <c r="C32" s="3">
        <v>12</v>
      </c>
      <c r="D32" s="12">
        <v>2021</v>
      </c>
      <c r="E32" s="13">
        <f>Electricity!I34</f>
        <v>0</v>
      </c>
      <c r="F32" s="3">
        <v>1.2</v>
      </c>
      <c r="G32" s="13">
        <f>Gas!J34</f>
        <v>0</v>
      </c>
      <c r="H32" s="3">
        <v>1.69</v>
      </c>
      <c r="I32" s="13">
        <f>Water!H34</f>
        <v>0</v>
      </c>
      <c r="J32" s="3">
        <v>14.95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9"/>
  <sheetViews>
    <sheetView workbookViewId="0">
      <selection activeCell="E23" sqref="E23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11" t="s">
        <v>39</v>
      </c>
      <c r="E1" s="111"/>
      <c r="F1" s="111"/>
      <c r="G1" s="111"/>
      <c r="H1" s="111"/>
      <c r="I1" s="111"/>
      <c r="J1" s="31"/>
      <c r="K1" s="31"/>
      <c r="L1" s="32"/>
    </row>
    <row r="2" spans="2:15" x14ac:dyDescent="0.25">
      <c r="L2" s="32"/>
    </row>
    <row r="3" spans="2:15" s="33" customFormat="1" ht="33.75" x14ac:dyDescent="0.25">
      <c r="B3" s="34" t="s">
        <v>25</v>
      </c>
      <c r="C3" s="34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 t="s">
        <v>27</v>
      </c>
      <c r="J3" s="35">
        <v>2020</v>
      </c>
      <c r="K3" s="108">
        <v>2019</v>
      </c>
      <c r="L3" s="36">
        <v>2018</v>
      </c>
      <c r="M3" s="37">
        <v>2017</v>
      </c>
      <c r="N3" s="38">
        <v>2016</v>
      </c>
    </row>
    <row r="4" spans="2:15" s="33" customFormat="1" ht="11.25" x14ac:dyDescent="0.25">
      <c r="D4" s="39">
        <v>44531</v>
      </c>
      <c r="E4" s="24">
        <v>11385</v>
      </c>
      <c r="F4" s="24">
        <v>1065</v>
      </c>
      <c r="G4" s="24">
        <f>E4+F4</f>
        <v>12450</v>
      </c>
      <c r="H4" s="25">
        <f>+(G4-[1]Nov.2021!$G$33)</f>
        <v>0</v>
      </c>
      <c r="I4" s="25">
        <v>52.5</v>
      </c>
      <c r="J4" s="40">
        <v>1</v>
      </c>
      <c r="K4" s="109">
        <v>80</v>
      </c>
      <c r="L4" s="41">
        <v>53</v>
      </c>
      <c r="M4" s="42">
        <v>70</v>
      </c>
      <c r="N4" s="43">
        <v>28</v>
      </c>
    </row>
    <row r="5" spans="2:15" s="33" customFormat="1" ht="11.25" x14ac:dyDescent="0.25">
      <c r="D5" s="39">
        <v>44532</v>
      </c>
      <c r="E5" s="24">
        <v>11398</v>
      </c>
      <c r="F5" s="24">
        <v>1065</v>
      </c>
      <c r="G5" s="24">
        <f t="shared" ref="G5:G34" si="0">E5+F5</f>
        <v>12463</v>
      </c>
      <c r="H5" s="25">
        <f>G5-G4</f>
        <v>13</v>
      </c>
      <c r="I5" s="25">
        <v>52.5</v>
      </c>
      <c r="J5" s="40">
        <v>6</v>
      </c>
      <c r="K5" s="109">
        <v>40</v>
      </c>
      <c r="L5" s="41">
        <v>56</v>
      </c>
      <c r="M5" s="42">
        <v>37</v>
      </c>
      <c r="N5" s="43">
        <v>31</v>
      </c>
    </row>
    <row r="6" spans="2:15" s="33" customFormat="1" ht="11.25" x14ac:dyDescent="0.25">
      <c r="D6" s="39">
        <v>44533</v>
      </c>
      <c r="E6" s="24">
        <v>11398</v>
      </c>
      <c r="F6" s="24">
        <v>1065</v>
      </c>
      <c r="G6" s="24">
        <f t="shared" si="0"/>
        <v>12463</v>
      </c>
      <c r="H6" s="25">
        <f t="shared" ref="H6:H34" si="1">G6-G5</f>
        <v>0</v>
      </c>
      <c r="I6" s="25">
        <v>52.5</v>
      </c>
      <c r="J6" s="40">
        <v>4</v>
      </c>
      <c r="K6" s="109">
        <v>54</v>
      </c>
      <c r="L6" s="41">
        <v>58</v>
      </c>
      <c r="M6" s="42">
        <v>44</v>
      </c>
      <c r="N6" s="43">
        <v>29</v>
      </c>
    </row>
    <row r="7" spans="2:15" s="33" customFormat="1" ht="11.25" x14ac:dyDescent="0.25">
      <c r="D7" s="39">
        <v>44534</v>
      </c>
      <c r="E7" s="24">
        <v>11399</v>
      </c>
      <c r="F7" s="24">
        <v>1065</v>
      </c>
      <c r="G7" s="24">
        <f t="shared" si="0"/>
        <v>12464</v>
      </c>
      <c r="H7" s="25">
        <f t="shared" si="1"/>
        <v>1</v>
      </c>
      <c r="I7" s="25">
        <v>52.5</v>
      </c>
      <c r="J7" s="40">
        <v>6</v>
      </c>
      <c r="K7" s="109">
        <v>60</v>
      </c>
      <c r="L7" s="41">
        <v>63</v>
      </c>
      <c r="M7" s="42">
        <v>41</v>
      </c>
      <c r="N7" s="43">
        <v>35</v>
      </c>
    </row>
    <row r="8" spans="2:15" s="33" customFormat="1" ht="11.25" x14ac:dyDescent="0.25">
      <c r="D8" s="39">
        <v>44535</v>
      </c>
      <c r="E8" s="24">
        <v>11399</v>
      </c>
      <c r="F8" s="24">
        <v>1065</v>
      </c>
      <c r="G8" s="24">
        <f t="shared" si="0"/>
        <v>12464</v>
      </c>
      <c r="H8" s="25">
        <f t="shared" si="1"/>
        <v>0</v>
      </c>
      <c r="I8" s="25">
        <v>52.5</v>
      </c>
      <c r="J8" s="40">
        <v>0</v>
      </c>
      <c r="K8" s="109">
        <v>61</v>
      </c>
      <c r="L8" s="41">
        <v>46</v>
      </c>
      <c r="M8" s="42">
        <v>49</v>
      </c>
      <c r="N8" s="43">
        <v>27</v>
      </c>
    </row>
    <row r="9" spans="2:15" s="33" customFormat="1" ht="11.25" x14ac:dyDescent="0.25">
      <c r="D9" s="39">
        <v>44536</v>
      </c>
      <c r="E9" s="24">
        <v>11400</v>
      </c>
      <c r="F9" s="24">
        <v>1065</v>
      </c>
      <c r="G9" s="24">
        <f t="shared" si="0"/>
        <v>12465</v>
      </c>
      <c r="H9" s="25">
        <f t="shared" si="1"/>
        <v>1</v>
      </c>
      <c r="I9" s="25">
        <v>52.5</v>
      </c>
      <c r="J9" s="40">
        <v>1</v>
      </c>
      <c r="K9" s="109">
        <v>54</v>
      </c>
      <c r="L9" s="41">
        <v>69</v>
      </c>
      <c r="M9" s="42">
        <v>43</v>
      </c>
      <c r="N9" s="43">
        <v>40</v>
      </c>
    </row>
    <row r="10" spans="2:15" s="33" customFormat="1" ht="11.25" x14ac:dyDescent="0.25">
      <c r="D10" s="39">
        <v>44537</v>
      </c>
      <c r="E10" s="24">
        <v>11415</v>
      </c>
      <c r="F10" s="24">
        <v>1065</v>
      </c>
      <c r="G10" s="24">
        <f t="shared" si="0"/>
        <v>12480</v>
      </c>
      <c r="H10" s="25">
        <f t="shared" si="1"/>
        <v>15</v>
      </c>
      <c r="I10" s="25">
        <v>52.5</v>
      </c>
      <c r="J10" s="40">
        <v>6</v>
      </c>
      <c r="K10" s="109">
        <v>51</v>
      </c>
      <c r="L10" s="41">
        <v>47</v>
      </c>
      <c r="M10" s="42">
        <v>35</v>
      </c>
      <c r="N10" s="43">
        <v>28</v>
      </c>
    </row>
    <row r="11" spans="2:15" s="33" customFormat="1" ht="11.25" x14ac:dyDescent="0.25">
      <c r="D11" s="39">
        <v>44538</v>
      </c>
      <c r="E11" s="24">
        <v>11416</v>
      </c>
      <c r="F11" s="24">
        <v>1065</v>
      </c>
      <c r="G11" s="24">
        <f t="shared" si="0"/>
        <v>12481</v>
      </c>
      <c r="H11" s="25">
        <f t="shared" si="1"/>
        <v>1</v>
      </c>
      <c r="I11" s="25">
        <v>52.5</v>
      </c>
      <c r="J11" s="40">
        <v>6</v>
      </c>
      <c r="K11" s="109">
        <v>51</v>
      </c>
      <c r="L11" s="41">
        <v>46</v>
      </c>
      <c r="M11" s="42">
        <v>47</v>
      </c>
      <c r="N11" s="43">
        <v>39</v>
      </c>
    </row>
    <row r="12" spans="2:15" s="33" customFormat="1" ht="11.25" x14ac:dyDescent="0.25">
      <c r="D12" s="39">
        <v>44539</v>
      </c>
      <c r="E12" s="24">
        <v>11424</v>
      </c>
      <c r="F12" s="24">
        <v>1065</v>
      </c>
      <c r="G12" s="24">
        <f t="shared" si="0"/>
        <v>12489</v>
      </c>
      <c r="H12" s="25">
        <f t="shared" si="1"/>
        <v>8</v>
      </c>
      <c r="I12" s="25">
        <v>52.5</v>
      </c>
      <c r="J12" s="40">
        <v>1</v>
      </c>
      <c r="K12" s="109">
        <v>56</v>
      </c>
      <c r="L12" s="41">
        <v>53</v>
      </c>
      <c r="M12" s="42">
        <v>39</v>
      </c>
      <c r="N12" s="43">
        <v>33</v>
      </c>
    </row>
    <row r="13" spans="2:15" s="33" customFormat="1" ht="11.25" x14ac:dyDescent="0.25">
      <c r="D13" s="39">
        <v>44540</v>
      </c>
      <c r="E13" s="24">
        <v>11425</v>
      </c>
      <c r="F13" s="24">
        <v>1065</v>
      </c>
      <c r="G13" s="24">
        <f t="shared" si="0"/>
        <v>12490</v>
      </c>
      <c r="H13" s="25">
        <f t="shared" si="1"/>
        <v>1</v>
      </c>
      <c r="I13" s="25">
        <v>52.5</v>
      </c>
      <c r="J13" s="40">
        <v>3</v>
      </c>
      <c r="K13" s="109">
        <v>57</v>
      </c>
      <c r="L13" s="41">
        <v>68</v>
      </c>
      <c r="M13" s="42">
        <v>38</v>
      </c>
      <c r="N13" s="43">
        <v>26</v>
      </c>
    </row>
    <row r="14" spans="2:15" s="33" customFormat="1" ht="11.25" x14ac:dyDescent="0.25">
      <c r="D14" s="39">
        <v>44541</v>
      </c>
      <c r="E14" s="24">
        <v>11425</v>
      </c>
      <c r="F14" s="24">
        <v>1065</v>
      </c>
      <c r="G14" s="24">
        <f t="shared" si="0"/>
        <v>12490</v>
      </c>
      <c r="H14" s="25">
        <f t="shared" si="1"/>
        <v>0</v>
      </c>
      <c r="I14" s="25">
        <v>52.5</v>
      </c>
      <c r="J14" s="40">
        <v>6</v>
      </c>
      <c r="K14" s="109">
        <v>51</v>
      </c>
      <c r="L14" s="41">
        <v>50</v>
      </c>
      <c r="M14" s="42">
        <v>51</v>
      </c>
      <c r="N14" s="43">
        <v>27</v>
      </c>
    </row>
    <row r="15" spans="2:15" s="44" customFormat="1" ht="11.25" x14ac:dyDescent="0.25">
      <c r="D15" s="39">
        <v>44542</v>
      </c>
      <c r="E15" s="110">
        <v>11428</v>
      </c>
      <c r="F15" s="24">
        <v>1065</v>
      </c>
      <c r="G15" s="24">
        <f t="shared" si="0"/>
        <v>12493</v>
      </c>
      <c r="H15" s="25">
        <f t="shared" si="1"/>
        <v>3</v>
      </c>
      <c r="I15" s="25">
        <v>52.5</v>
      </c>
      <c r="J15" s="40">
        <v>2</v>
      </c>
      <c r="K15" s="109">
        <v>54</v>
      </c>
      <c r="L15" s="41">
        <v>51</v>
      </c>
      <c r="M15" s="42">
        <v>54</v>
      </c>
      <c r="N15" s="43">
        <v>40</v>
      </c>
      <c r="O15" s="44" t="s">
        <v>28</v>
      </c>
    </row>
    <row r="16" spans="2:15" s="33" customFormat="1" ht="11.25" x14ac:dyDescent="0.25">
      <c r="D16" s="39">
        <v>44543</v>
      </c>
      <c r="E16" s="24">
        <v>11429</v>
      </c>
      <c r="F16" s="24">
        <v>1065</v>
      </c>
      <c r="G16" s="24">
        <f t="shared" si="0"/>
        <v>12494</v>
      </c>
      <c r="H16" s="25">
        <f t="shared" si="1"/>
        <v>1</v>
      </c>
      <c r="I16" s="25">
        <v>52.5</v>
      </c>
      <c r="J16" s="40">
        <v>8</v>
      </c>
      <c r="K16" s="109">
        <v>42</v>
      </c>
      <c r="L16" s="41">
        <v>54</v>
      </c>
      <c r="M16" s="42">
        <v>36</v>
      </c>
      <c r="N16" s="43">
        <v>25</v>
      </c>
    </row>
    <row r="17" spans="4:14" s="33" customFormat="1" ht="11.25" customHeight="1" x14ac:dyDescent="0.25">
      <c r="D17" s="39">
        <v>44544</v>
      </c>
      <c r="E17" s="24">
        <v>11430</v>
      </c>
      <c r="F17" s="24">
        <v>1065</v>
      </c>
      <c r="G17" s="24">
        <f t="shared" si="0"/>
        <v>12495</v>
      </c>
      <c r="H17" s="25">
        <f t="shared" si="1"/>
        <v>1</v>
      </c>
      <c r="I17" s="25">
        <v>52.5</v>
      </c>
      <c r="J17" s="40">
        <v>6</v>
      </c>
      <c r="K17" s="109">
        <v>42</v>
      </c>
      <c r="L17" s="41">
        <v>46</v>
      </c>
      <c r="M17" s="42">
        <v>46</v>
      </c>
      <c r="N17" s="43">
        <v>28</v>
      </c>
    </row>
    <row r="18" spans="4:14" s="33" customFormat="1" ht="11.25" customHeight="1" x14ac:dyDescent="0.25">
      <c r="D18" s="39">
        <v>44545</v>
      </c>
      <c r="E18" s="24">
        <v>11456</v>
      </c>
      <c r="F18" s="24">
        <v>1065</v>
      </c>
      <c r="G18" s="24">
        <f t="shared" si="0"/>
        <v>12521</v>
      </c>
      <c r="H18" s="25">
        <f t="shared" si="1"/>
        <v>26</v>
      </c>
      <c r="I18" s="25">
        <v>52.5</v>
      </c>
      <c r="J18" s="40">
        <v>0</v>
      </c>
      <c r="K18" s="109">
        <v>53</v>
      </c>
      <c r="L18" s="41">
        <v>41</v>
      </c>
      <c r="M18" s="42">
        <v>36</v>
      </c>
      <c r="N18" s="43">
        <v>39</v>
      </c>
    </row>
    <row r="19" spans="4:14" s="33" customFormat="1" ht="11.25" customHeight="1" x14ac:dyDescent="0.25">
      <c r="D19" s="39">
        <v>44546</v>
      </c>
      <c r="E19" s="24">
        <v>11463</v>
      </c>
      <c r="F19" s="24">
        <v>1065</v>
      </c>
      <c r="G19" s="24">
        <f t="shared" si="0"/>
        <v>12528</v>
      </c>
      <c r="H19" s="25">
        <f t="shared" si="1"/>
        <v>7</v>
      </c>
      <c r="I19" s="25">
        <v>52.5</v>
      </c>
      <c r="J19" s="40">
        <v>1</v>
      </c>
      <c r="K19" s="109">
        <v>57</v>
      </c>
      <c r="L19" s="41">
        <v>52</v>
      </c>
      <c r="M19" s="42">
        <v>25</v>
      </c>
      <c r="N19" s="43">
        <v>41</v>
      </c>
    </row>
    <row r="20" spans="4:14" s="33" customFormat="1" ht="11.25" customHeight="1" x14ac:dyDescent="0.25">
      <c r="D20" s="39">
        <v>44547</v>
      </c>
      <c r="E20" s="24">
        <v>11464</v>
      </c>
      <c r="F20" s="24">
        <v>1065</v>
      </c>
      <c r="G20" s="24">
        <f t="shared" si="0"/>
        <v>12529</v>
      </c>
      <c r="H20" s="25">
        <f t="shared" si="1"/>
        <v>1</v>
      </c>
      <c r="I20" s="25">
        <v>52.5</v>
      </c>
      <c r="J20" s="40">
        <v>7</v>
      </c>
      <c r="K20" s="109">
        <v>56</v>
      </c>
      <c r="L20" s="41">
        <v>42</v>
      </c>
      <c r="M20" s="42">
        <v>32</v>
      </c>
      <c r="N20" s="43">
        <v>36</v>
      </c>
    </row>
    <row r="21" spans="4:14" s="33" customFormat="1" ht="11.25" customHeight="1" x14ac:dyDescent="0.25">
      <c r="D21" s="39">
        <v>44548</v>
      </c>
      <c r="E21" s="24">
        <v>11464</v>
      </c>
      <c r="F21" s="24">
        <v>1065</v>
      </c>
      <c r="G21" s="24">
        <f t="shared" si="0"/>
        <v>12529</v>
      </c>
      <c r="H21" s="25">
        <f t="shared" si="1"/>
        <v>0</v>
      </c>
      <c r="I21" s="25">
        <v>52.5</v>
      </c>
      <c r="J21" s="40">
        <v>1</v>
      </c>
      <c r="K21" s="109">
        <v>52</v>
      </c>
      <c r="L21" s="41">
        <v>53</v>
      </c>
      <c r="M21" s="42">
        <v>41</v>
      </c>
      <c r="N21" s="43">
        <v>29</v>
      </c>
    </row>
    <row r="22" spans="4:14" s="33" customFormat="1" ht="11.25" customHeight="1" x14ac:dyDescent="0.25">
      <c r="D22" s="39">
        <v>44549</v>
      </c>
      <c r="E22" s="24">
        <v>11464</v>
      </c>
      <c r="F22" s="24">
        <v>1065</v>
      </c>
      <c r="G22" s="24">
        <f t="shared" si="0"/>
        <v>12529</v>
      </c>
      <c r="H22" s="25">
        <f t="shared" si="1"/>
        <v>0</v>
      </c>
      <c r="I22" s="25">
        <v>52.5</v>
      </c>
      <c r="J22" s="40">
        <v>0</v>
      </c>
      <c r="K22" s="109">
        <v>51</v>
      </c>
      <c r="L22" s="41">
        <v>46</v>
      </c>
      <c r="M22" s="42">
        <v>45</v>
      </c>
      <c r="N22" s="43">
        <v>50</v>
      </c>
    </row>
    <row r="23" spans="4:14" s="33" customFormat="1" ht="11.25" customHeight="1" x14ac:dyDescent="0.25">
      <c r="D23" s="39">
        <v>44550</v>
      </c>
      <c r="E23" s="24"/>
      <c r="F23" s="24">
        <v>1065</v>
      </c>
      <c r="G23" s="24">
        <f t="shared" si="0"/>
        <v>1065</v>
      </c>
      <c r="H23" s="25">
        <f t="shared" si="1"/>
        <v>-11464</v>
      </c>
      <c r="I23" s="25">
        <v>52.5</v>
      </c>
      <c r="J23" s="40">
        <v>5</v>
      </c>
      <c r="K23" s="109">
        <v>44</v>
      </c>
      <c r="L23" s="41">
        <v>48</v>
      </c>
      <c r="M23" s="42">
        <v>36</v>
      </c>
      <c r="N23" s="43">
        <v>35</v>
      </c>
    </row>
    <row r="24" spans="4:14" s="33" customFormat="1" ht="11.25" customHeight="1" x14ac:dyDescent="0.25">
      <c r="D24" s="39">
        <v>44551</v>
      </c>
      <c r="E24" s="24"/>
      <c r="F24" s="24">
        <v>1065</v>
      </c>
      <c r="G24" s="24">
        <f t="shared" si="0"/>
        <v>1065</v>
      </c>
      <c r="H24" s="25">
        <f t="shared" si="1"/>
        <v>0</v>
      </c>
      <c r="I24" s="25">
        <v>52.5</v>
      </c>
      <c r="J24" s="40">
        <v>7</v>
      </c>
      <c r="K24" s="109">
        <v>94</v>
      </c>
      <c r="L24" s="41">
        <v>71</v>
      </c>
      <c r="M24" s="42">
        <v>29</v>
      </c>
      <c r="N24" s="43">
        <v>27</v>
      </c>
    </row>
    <row r="25" spans="4:14" s="33" customFormat="1" ht="11.25" customHeight="1" x14ac:dyDescent="0.25">
      <c r="D25" s="39">
        <v>44552</v>
      </c>
      <c r="E25" s="24"/>
      <c r="F25" s="24">
        <v>1065</v>
      </c>
      <c r="G25" s="24">
        <f t="shared" si="0"/>
        <v>1065</v>
      </c>
      <c r="H25" s="25">
        <f t="shared" si="1"/>
        <v>0</v>
      </c>
      <c r="I25" s="25">
        <v>52.5</v>
      </c>
      <c r="J25" s="40">
        <v>1</v>
      </c>
      <c r="K25" s="109">
        <v>69</v>
      </c>
      <c r="L25" s="41">
        <v>43</v>
      </c>
      <c r="M25" s="42">
        <v>27</v>
      </c>
      <c r="N25" s="43">
        <v>34</v>
      </c>
    </row>
    <row r="26" spans="4:14" s="33" customFormat="1" ht="11.25" customHeight="1" x14ac:dyDescent="0.25">
      <c r="D26" s="39">
        <v>44553</v>
      </c>
      <c r="E26" s="24"/>
      <c r="F26" s="24">
        <v>1065</v>
      </c>
      <c r="G26" s="24">
        <f t="shared" si="0"/>
        <v>1065</v>
      </c>
      <c r="H26" s="25">
        <f t="shared" si="1"/>
        <v>0</v>
      </c>
      <c r="I26" s="25">
        <v>52.5</v>
      </c>
      <c r="J26" s="40">
        <v>0</v>
      </c>
      <c r="K26" s="109">
        <v>46</v>
      </c>
      <c r="L26" s="41">
        <v>46</v>
      </c>
      <c r="M26" s="42">
        <v>45</v>
      </c>
      <c r="N26" s="43">
        <v>27</v>
      </c>
    </row>
    <row r="27" spans="4:14" s="33" customFormat="1" ht="11.25" customHeight="1" x14ac:dyDescent="0.25">
      <c r="D27" s="39">
        <v>44554</v>
      </c>
      <c r="E27" s="24"/>
      <c r="F27" s="24">
        <v>1065</v>
      </c>
      <c r="G27" s="24">
        <f t="shared" si="0"/>
        <v>1065</v>
      </c>
      <c r="H27" s="25">
        <f t="shared" si="1"/>
        <v>0</v>
      </c>
      <c r="I27" s="25">
        <v>52.5</v>
      </c>
      <c r="J27" s="40">
        <v>9</v>
      </c>
      <c r="K27" s="109">
        <v>58</v>
      </c>
      <c r="L27" s="41">
        <v>49</v>
      </c>
      <c r="M27" s="42">
        <v>34</v>
      </c>
      <c r="N27" s="43">
        <v>29</v>
      </c>
    </row>
    <row r="28" spans="4:14" s="33" customFormat="1" ht="11.25" customHeight="1" x14ac:dyDescent="0.25">
      <c r="D28" s="39">
        <v>44555</v>
      </c>
      <c r="E28" s="24"/>
      <c r="F28" s="24">
        <v>1065</v>
      </c>
      <c r="G28" s="24">
        <f t="shared" si="0"/>
        <v>1065</v>
      </c>
      <c r="H28" s="25">
        <f t="shared" si="1"/>
        <v>0</v>
      </c>
      <c r="I28" s="25">
        <v>52.5</v>
      </c>
      <c r="J28" s="40">
        <v>0</v>
      </c>
      <c r="K28" s="109">
        <v>52</v>
      </c>
      <c r="L28" s="41">
        <v>64</v>
      </c>
      <c r="M28" s="42">
        <v>40</v>
      </c>
      <c r="N28" s="43">
        <v>26</v>
      </c>
    </row>
    <row r="29" spans="4:14" s="33" customFormat="1" ht="11.25" customHeight="1" x14ac:dyDescent="0.25">
      <c r="D29" s="39">
        <v>44556</v>
      </c>
      <c r="E29" s="24"/>
      <c r="F29" s="24">
        <v>1065</v>
      </c>
      <c r="G29" s="24">
        <f t="shared" si="0"/>
        <v>1065</v>
      </c>
      <c r="H29" s="25">
        <f t="shared" si="1"/>
        <v>0</v>
      </c>
      <c r="I29" s="25">
        <v>52.5</v>
      </c>
      <c r="J29" s="40">
        <v>7</v>
      </c>
      <c r="K29" s="109">
        <v>48</v>
      </c>
      <c r="L29" s="41">
        <v>46</v>
      </c>
      <c r="M29" s="42">
        <v>33</v>
      </c>
      <c r="N29" s="43">
        <v>38</v>
      </c>
    </row>
    <row r="30" spans="4:14" s="33" customFormat="1" ht="11.25" customHeight="1" x14ac:dyDescent="0.25">
      <c r="D30" s="39">
        <v>44557</v>
      </c>
      <c r="E30" s="24"/>
      <c r="F30" s="24">
        <v>1065</v>
      </c>
      <c r="G30" s="24">
        <f t="shared" si="0"/>
        <v>1065</v>
      </c>
      <c r="H30" s="25">
        <f t="shared" si="1"/>
        <v>0</v>
      </c>
      <c r="I30" s="25">
        <v>52.5</v>
      </c>
      <c r="J30" s="40">
        <v>5</v>
      </c>
      <c r="K30" s="109">
        <v>45</v>
      </c>
      <c r="L30" s="41">
        <v>51</v>
      </c>
      <c r="M30" s="42">
        <v>34</v>
      </c>
      <c r="N30" s="43">
        <v>30</v>
      </c>
    </row>
    <row r="31" spans="4:14" s="33" customFormat="1" ht="11.25" customHeight="1" x14ac:dyDescent="0.25">
      <c r="D31" s="39">
        <v>44558</v>
      </c>
      <c r="E31" s="24"/>
      <c r="F31" s="24">
        <v>1065</v>
      </c>
      <c r="G31" s="24">
        <f t="shared" si="0"/>
        <v>1065</v>
      </c>
      <c r="H31" s="25">
        <f t="shared" si="1"/>
        <v>0</v>
      </c>
      <c r="I31" s="25">
        <v>52.5</v>
      </c>
      <c r="J31" s="40">
        <v>0</v>
      </c>
      <c r="K31" s="109">
        <v>43</v>
      </c>
      <c r="L31" s="41">
        <v>34</v>
      </c>
      <c r="M31" s="42">
        <v>25</v>
      </c>
      <c r="N31" s="43">
        <v>20</v>
      </c>
    </row>
    <row r="32" spans="4:14" s="33" customFormat="1" ht="11.25" customHeight="1" x14ac:dyDescent="0.25">
      <c r="D32" s="39">
        <v>44559</v>
      </c>
      <c r="E32" s="24"/>
      <c r="F32" s="24">
        <v>1065</v>
      </c>
      <c r="G32" s="24">
        <f t="shared" si="0"/>
        <v>1065</v>
      </c>
      <c r="H32" s="25">
        <f t="shared" si="1"/>
        <v>0</v>
      </c>
      <c r="I32" s="25">
        <v>52.5</v>
      </c>
      <c r="J32" s="40">
        <v>6</v>
      </c>
      <c r="K32" s="109">
        <v>51</v>
      </c>
      <c r="L32" s="41">
        <v>42</v>
      </c>
      <c r="M32" s="42">
        <v>39</v>
      </c>
      <c r="N32" s="43">
        <v>37</v>
      </c>
    </row>
    <row r="33" spans="2:14" s="33" customFormat="1" ht="11.25" customHeight="1" x14ac:dyDescent="0.25">
      <c r="B33" s="34"/>
      <c r="C33" s="34"/>
      <c r="D33" s="39">
        <v>44560</v>
      </c>
      <c r="E33" s="24"/>
      <c r="F33" s="24">
        <v>1065</v>
      </c>
      <c r="G33" s="24">
        <f t="shared" si="0"/>
        <v>1065</v>
      </c>
      <c r="H33" s="25">
        <f t="shared" si="1"/>
        <v>0</v>
      </c>
      <c r="I33" s="25">
        <v>52.5</v>
      </c>
      <c r="J33" s="40">
        <v>1</v>
      </c>
      <c r="K33" s="109">
        <v>53</v>
      </c>
      <c r="L33" s="41">
        <v>51</v>
      </c>
      <c r="M33" s="42">
        <v>37</v>
      </c>
      <c r="N33" s="43">
        <v>34</v>
      </c>
    </row>
    <row r="34" spans="2:14" s="33" customFormat="1" ht="11.25" customHeight="1" x14ac:dyDescent="0.25">
      <c r="B34" s="34"/>
      <c r="C34" s="34"/>
      <c r="D34" s="39">
        <v>44561</v>
      </c>
      <c r="E34" s="24"/>
      <c r="F34" s="24">
        <v>1065</v>
      </c>
      <c r="G34" s="24">
        <f t="shared" si="0"/>
        <v>1065</v>
      </c>
      <c r="H34" s="25">
        <f t="shared" si="1"/>
        <v>0</v>
      </c>
      <c r="I34" s="25">
        <v>52.5</v>
      </c>
      <c r="J34" s="40">
        <v>1</v>
      </c>
      <c r="K34" s="109"/>
      <c r="L34" s="41"/>
      <c r="M34" s="42"/>
      <c r="N34" s="43"/>
    </row>
    <row r="35" spans="2:14" s="33" customFormat="1" ht="11.25" customHeight="1" x14ac:dyDescent="0.25">
      <c r="D35" s="45" t="s">
        <v>29</v>
      </c>
      <c r="E35" s="60"/>
      <c r="F35" s="60"/>
      <c r="G35" s="61"/>
      <c r="H35" s="47">
        <v>0</v>
      </c>
      <c r="I35" s="93">
        <v>1575</v>
      </c>
      <c r="J35" s="40">
        <v>106</v>
      </c>
      <c r="K35" s="109">
        <v>1625</v>
      </c>
      <c r="L35" s="41">
        <v>1539</v>
      </c>
      <c r="M35" s="42">
        <v>1188</v>
      </c>
      <c r="N35" s="43">
        <v>968</v>
      </c>
    </row>
    <row r="36" spans="2:14" x14ac:dyDescent="0.25">
      <c r="H36" s="49"/>
      <c r="L36" s="32"/>
    </row>
    <row r="37" spans="2:14" x14ac:dyDescent="0.25">
      <c r="D37" s="50"/>
      <c r="L37" s="32"/>
    </row>
    <row r="38" spans="2:14" x14ac:dyDescent="0.25">
      <c r="L38" s="32"/>
    </row>
    <row r="39" spans="2:14" x14ac:dyDescent="0.25">
      <c r="D39" s="51"/>
      <c r="L39" s="32"/>
    </row>
    <row r="40" spans="2:14" x14ac:dyDescent="0.25">
      <c r="L40" s="32"/>
    </row>
    <row r="41" spans="2:14" x14ac:dyDescent="0.25">
      <c r="L41" s="32"/>
    </row>
    <row r="42" spans="2:14" x14ac:dyDescent="0.25">
      <c r="L42" s="32"/>
    </row>
    <row r="43" spans="2:14" x14ac:dyDescent="0.25">
      <c r="L43" s="32"/>
    </row>
    <row r="44" spans="2:14" x14ac:dyDescent="0.25">
      <c r="L44" s="32"/>
    </row>
    <row r="45" spans="2:14" x14ac:dyDescent="0.25">
      <c r="L45" s="32"/>
    </row>
    <row r="46" spans="2:14" x14ac:dyDescent="0.25">
      <c r="L46" s="32"/>
    </row>
    <row r="47" spans="2:14" x14ac:dyDescent="0.25">
      <c r="L47" s="32"/>
    </row>
    <row r="48" spans="2:14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  <row r="59" spans="12:12" x14ac:dyDescent="0.25">
      <c r="L59" s="32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56"/>
  <sheetViews>
    <sheetView workbookViewId="0">
      <selection activeCell="F23" sqref="F23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9" ht="22.5" customHeight="1" x14ac:dyDescent="0.25">
      <c r="D1" s="111" t="s">
        <v>37</v>
      </c>
      <c r="E1" s="111"/>
      <c r="F1" s="111"/>
      <c r="G1" s="111"/>
      <c r="H1" s="111"/>
      <c r="I1" s="111"/>
      <c r="J1" s="111"/>
      <c r="K1" s="111"/>
    </row>
    <row r="2" spans="2:19" ht="8.1" customHeight="1" x14ac:dyDescent="0.25">
      <c r="D2" s="52"/>
      <c r="E2" s="52"/>
      <c r="F2" s="52"/>
      <c r="G2" s="52"/>
      <c r="H2" s="52"/>
      <c r="I2" s="52"/>
      <c r="J2" s="52"/>
      <c r="K2" s="52"/>
    </row>
    <row r="3" spans="2:19" s="33" customFormat="1" ht="22.5" customHeight="1" x14ac:dyDescent="0.25">
      <c r="B3" s="33" t="s">
        <v>30</v>
      </c>
      <c r="C3" s="33" t="s">
        <v>31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21" t="s">
        <v>27</v>
      </c>
      <c r="L3" s="53">
        <v>2015</v>
      </c>
      <c r="M3" s="54">
        <v>2014</v>
      </c>
      <c r="N3" s="55">
        <v>2013</v>
      </c>
      <c r="O3" s="56">
        <v>2020</v>
      </c>
      <c r="P3" s="41">
        <v>2019</v>
      </c>
      <c r="Q3" s="42">
        <v>2018</v>
      </c>
      <c r="R3" s="43">
        <v>2017</v>
      </c>
      <c r="S3" s="106">
        <v>2016</v>
      </c>
    </row>
    <row r="4" spans="2:19" s="33" customFormat="1" ht="11.25" customHeight="1" x14ac:dyDescent="0.25">
      <c r="D4" s="39">
        <v>44531</v>
      </c>
      <c r="E4" s="24">
        <v>760788</v>
      </c>
      <c r="F4" s="24">
        <v>172142</v>
      </c>
      <c r="G4" s="24">
        <f>E4+F4</f>
        <v>932930</v>
      </c>
      <c r="H4" s="18">
        <v>1.2611239999999999</v>
      </c>
      <c r="I4" s="24">
        <f>H4*G4</f>
        <v>1176540.4133199998</v>
      </c>
      <c r="J4" s="25">
        <f>I4-[2]Oct.2021!$I$34</f>
        <v>1.26112399995327</v>
      </c>
      <c r="K4" s="23">
        <v>791.66600000000005</v>
      </c>
      <c r="L4" s="94">
        <v>426.29932799999369</v>
      </c>
      <c r="M4" s="95">
        <v>646.25</v>
      </c>
      <c r="N4" s="96">
        <v>595.76399999950081</v>
      </c>
      <c r="O4" s="105">
        <v>70.155524999834597</v>
      </c>
      <c r="P4" s="57">
        <v>529.74840400007088</v>
      </c>
      <c r="Q4" s="58">
        <v>445.89521400001831</v>
      </c>
      <c r="R4" s="59">
        <v>528.11395999998786</v>
      </c>
      <c r="S4" s="107">
        <v>358.82758600002853</v>
      </c>
    </row>
    <row r="5" spans="2:19" s="33" customFormat="1" ht="11.25" customHeight="1" x14ac:dyDescent="0.25">
      <c r="D5" s="39">
        <v>44532</v>
      </c>
      <c r="E5" s="24">
        <v>760788</v>
      </c>
      <c r="F5" s="24">
        <v>172142</v>
      </c>
      <c r="G5" s="24">
        <f t="shared" ref="G5:G34" si="0">E5+F5</f>
        <v>932930</v>
      </c>
      <c r="H5" s="18">
        <v>1.2611239999999999</v>
      </c>
      <c r="I5" s="24">
        <f t="shared" ref="I5:I34" si="1">H5*G5</f>
        <v>1176540.4133199998</v>
      </c>
      <c r="J5" s="25">
        <f>I5-I4</f>
        <v>0</v>
      </c>
      <c r="K5" s="23">
        <v>791.66600000000005</v>
      </c>
      <c r="L5" s="94">
        <v>465.63051600003382</v>
      </c>
      <c r="M5" s="95">
        <v>666.25</v>
      </c>
      <c r="N5" s="96">
        <v>599.58300000056624</v>
      </c>
      <c r="O5" s="105">
        <v>68.879970000125468</v>
      </c>
      <c r="P5" s="57">
        <v>632.1579999999376</v>
      </c>
      <c r="Q5" s="58">
        <v>473.1</v>
      </c>
      <c r="R5" s="59">
        <v>656.29696000006516</v>
      </c>
      <c r="S5" s="107">
        <v>376.57877399999416</v>
      </c>
    </row>
    <row r="6" spans="2:19" s="33" customFormat="1" ht="11.25" customHeight="1" x14ac:dyDescent="0.25">
      <c r="D6" s="39">
        <v>44533</v>
      </c>
      <c r="E6" s="24">
        <v>760788</v>
      </c>
      <c r="F6" s="24">
        <v>172142</v>
      </c>
      <c r="G6" s="24">
        <f t="shared" si="0"/>
        <v>932930</v>
      </c>
      <c r="H6" s="18">
        <v>1.2611239999999999</v>
      </c>
      <c r="I6" s="24">
        <f t="shared" si="1"/>
        <v>1176540.4133199998</v>
      </c>
      <c r="J6" s="25">
        <f t="shared" ref="J6:J34" si="2">I6-I5</f>
        <v>0</v>
      </c>
      <c r="K6" s="23">
        <v>791.66600000000005</v>
      </c>
      <c r="L6" s="94">
        <v>464.36176799994428</v>
      </c>
      <c r="M6" s="95">
        <v>645</v>
      </c>
      <c r="N6" s="96">
        <v>614.85900000017136</v>
      </c>
      <c r="O6" s="105">
        <v>67.604414999950677</v>
      </c>
      <c r="P6" s="57">
        <v>666.2945320000872</v>
      </c>
      <c r="Q6" s="58">
        <v>461.64846399996895</v>
      </c>
      <c r="R6" s="59">
        <v>775.50714999996126</v>
      </c>
      <c r="S6" s="107">
        <v>374.04288999998244</v>
      </c>
    </row>
    <row r="7" spans="2:19" s="33" customFormat="1" ht="11.25" customHeight="1" x14ac:dyDescent="0.25">
      <c r="D7" s="39">
        <v>44534</v>
      </c>
      <c r="E7" s="24">
        <v>760788</v>
      </c>
      <c r="F7" s="24">
        <v>172142</v>
      </c>
      <c r="G7" s="24">
        <f t="shared" si="0"/>
        <v>932930</v>
      </c>
      <c r="H7" s="18">
        <v>1.2611239999999999</v>
      </c>
      <c r="I7" s="24">
        <f t="shared" si="1"/>
        <v>1176540.4133199998</v>
      </c>
      <c r="J7" s="25">
        <f t="shared" si="2"/>
        <v>0</v>
      </c>
      <c r="K7" s="23">
        <v>791.66600000000005</v>
      </c>
      <c r="L7" s="94">
        <v>428.83682400005637</v>
      </c>
      <c r="M7" s="95">
        <v>737.5</v>
      </c>
      <c r="N7" s="96">
        <v>575.39599999971688</v>
      </c>
      <c r="O7" s="105">
        <v>72.706634999951348</v>
      </c>
      <c r="P7" s="57">
        <v>627.10073599999305</v>
      </c>
      <c r="Q7" s="58">
        <v>493.53026400005911</v>
      </c>
      <c r="R7" s="59">
        <v>840.88048000005074</v>
      </c>
      <c r="S7" s="107">
        <v>368.9711220000172</v>
      </c>
    </row>
    <row r="8" spans="2:19" s="33" customFormat="1" ht="11.25" customHeight="1" x14ac:dyDescent="0.25">
      <c r="D8" s="39">
        <v>44535</v>
      </c>
      <c r="E8" s="24">
        <v>760788</v>
      </c>
      <c r="F8" s="24">
        <v>172142</v>
      </c>
      <c r="G8" s="24">
        <f t="shared" si="0"/>
        <v>932930</v>
      </c>
      <c r="H8" s="18">
        <v>1.2611239999999999</v>
      </c>
      <c r="I8" s="24">
        <f t="shared" si="1"/>
        <v>1176540.4133199998</v>
      </c>
      <c r="J8" s="25">
        <f t="shared" si="2"/>
        <v>0</v>
      </c>
      <c r="K8" s="23">
        <v>791.66600000000005</v>
      </c>
      <c r="L8" s="94">
        <v>436.44931199995335</v>
      </c>
      <c r="M8" s="95">
        <v>678.75</v>
      </c>
      <c r="N8" s="96">
        <v>557.57400000002235</v>
      </c>
      <c r="O8" s="105">
        <v>67.604415000183508</v>
      </c>
      <c r="P8" s="57">
        <v>534.80566799989901</v>
      </c>
      <c r="Q8" s="58">
        <v>480.7775439999532</v>
      </c>
      <c r="R8" s="59">
        <v>819.0893699999433</v>
      </c>
      <c r="S8" s="107">
        <v>420.95674399996642</v>
      </c>
    </row>
    <row r="9" spans="2:19" s="33" customFormat="1" ht="11.25" customHeight="1" x14ac:dyDescent="0.25">
      <c r="D9" s="39">
        <v>44536</v>
      </c>
      <c r="E9" s="24">
        <v>760788</v>
      </c>
      <c r="F9" s="24">
        <v>172142</v>
      </c>
      <c r="G9" s="24">
        <f t="shared" si="0"/>
        <v>932930</v>
      </c>
      <c r="H9" s="18">
        <v>1.2611239999999999</v>
      </c>
      <c r="I9" s="24">
        <f t="shared" si="1"/>
        <v>1176540.4133199998</v>
      </c>
      <c r="J9" s="25">
        <f t="shared" si="2"/>
        <v>0</v>
      </c>
      <c r="K9" s="23">
        <v>791.66600000000005</v>
      </c>
      <c r="L9" s="94">
        <v>394.58062800002517</v>
      </c>
      <c r="M9" s="95">
        <v>665</v>
      </c>
      <c r="N9" s="96">
        <v>528.29499999992549</v>
      </c>
      <c r="O9" s="105">
        <v>57.399974999949336</v>
      </c>
      <c r="P9" s="57">
        <v>501.93345200002659</v>
      </c>
      <c r="Q9" s="58">
        <v>485.87863200006541</v>
      </c>
      <c r="R9" s="59">
        <v>788.3</v>
      </c>
      <c r="S9" s="107">
        <v>437.4399900000426</v>
      </c>
    </row>
    <row r="10" spans="2:19" s="33" customFormat="1" ht="11.25" x14ac:dyDescent="0.25">
      <c r="D10" s="39">
        <v>44537</v>
      </c>
      <c r="E10" s="24">
        <v>760788</v>
      </c>
      <c r="F10" s="24">
        <v>172142</v>
      </c>
      <c r="G10" s="24">
        <f t="shared" si="0"/>
        <v>932930</v>
      </c>
      <c r="H10" s="18">
        <v>1.2611239999999999</v>
      </c>
      <c r="I10" s="24">
        <f t="shared" si="1"/>
        <v>1176540.4133199998</v>
      </c>
      <c r="J10" s="25">
        <f t="shared" si="2"/>
        <v>0</v>
      </c>
      <c r="K10" s="23">
        <v>791.66600000000005</v>
      </c>
      <c r="L10" s="94">
        <v>418.68683999998029</v>
      </c>
      <c r="M10" s="95">
        <v>586.25</v>
      </c>
      <c r="N10" s="96">
        <v>538.47900000028312</v>
      </c>
      <c r="O10" s="105">
        <v>53.573309999890625</v>
      </c>
      <c r="P10" s="57">
        <v>503.19776800007094</v>
      </c>
      <c r="Q10" s="58">
        <v>476.95172799995635</v>
      </c>
      <c r="R10" s="59">
        <v>747.30689000000712</v>
      </c>
      <c r="S10" s="107">
        <v>409.54526599997189</v>
      </c>
    </row>
    <row r="11" spans="2:19" s="33" customFormat="1" ht="11.25" customHeight="1" x14ac:dyDescent="0.25">
      <c r="D11" s="39">
        <v>44538</v>
      </c>
      <c r="E11" s="24">
        <v>760788</v>
      </c>
      <c r="F11" s="24">
        <v>172142</v>
      </c>
      <c r="G11" s="24">
        <f t="shared" si="0"/>
        <v>932930</v>
      </c>
      <c r="H11" s="18">
        <v>1.2611239999999999</v>
      </c>
      <c r="I11" s="24">
        <f t="shared" si="1"/>
        <v>1176540.4133199998</v>
      </c>
      <c r="J11" s="25">
        <f t="shared" si="2"/>
        <v>0</v>
      </c>
      <c r="K11" s="23">
        <v>791.66600000000005</v>
      </c>
      <c r="L11" s="94">
        <v>492.27422399999341</v>
      </c>
      <c r="M11" s="95">
        <v>570</v>
      </c>
      <c r="N11" s="96">
        <v>560.12000000011176</v>
      </c>
      <c r="O11" s="105">
        <v>45.919980000006035</v>
      </c>
      <c r="P11" s="57">
        <v>496.87618799996562</v>
      </c>
      <c r="Q11" s="58">
        <v>513.9346160000423</v>
      </c>
      <c r="R11" s="59">
        <v>735.7704200000735</v>
      </c>
      <c r="S11" s="107">
        <v>341.0763980000047</v>
      </c>
    </row>
    <row r="12" spans="2:19" s="33" customFormat="1" ht="11.25" customHeight="1" x14ac:dyDescent="0.25">
      <c r="D12" s="39">
        <v>44539</v>
      </c>
      <c r="E12" s="24">
        <v>760788</v>
      </c>
      <c r="F12" s="24">
        <v>172142</v>
      </c>
      <c r="G12" s="24">
        <f t="shared" si="0"/>
        <v>932930</v>
      </c>
      <c r="H12" s="18">
        <v>1.2611239999999999</v>
      </c>
      <c r="I12" s="24">
        <f t="shared" si="1"/>
        <v>1176540.4133199998</v>
      </c>
      <c r="J12" s="25">
        <f t="shared" si="2"/>
        <v>0</v>
      </c>
      <c r="K12" s="23">
        <v>791.66600000000005</v>
      </c>
      <c r="L12" s="94">
        <v>404.73061200004304</v>
      </c>
      <c r="M12" s="95">
        <v>596.25</v>
      </c>
      <c r="N12" s="96">
        <v>569.03099999949336</v>
      </c>
      <c r="O12" s="105">
        <v>44.644425000064075</v>
      </c>
      <c r="P12" s="57">
        <v>514.57661200000439</v>
      </c>
      <c r="Q12" s="58">
        <v>519.03570399992168</v>
      </c>
      <c r="R12" s="59">
        <v>743.7</v>
      </c>
      <c r="S12" s="107">
        <v>352.48787599999923</v>
      </c>
    </row>
    <row r="13" spans="2:19" s="33" customFormat="1" ht="11.25" customHeight="1" x14ac:dyDescent="0.25">
      <c r="D13" s="39">
        <v>44540</v>
      </c>
      <c r="E13" s="24">
        <v>760788</v>
      </c>
      <c r="F13" s="24">
        <v>172142</v>
      </c>
      <c r="G13" s="24">
        <f t="shared" si="0"/>
        <v>932930</v>
      </c>
      <c r="H13" s="18">
        <v>1.2611239999999999</v>
      </c>
      <c r="I13" s="24">
        <f t="shared" si="1"/>
        <v>1176540.4133199998</v>
      </c>
      <c r="J13" s="25">
        <f t="shared" si="2"/>
        <v>0</v>
      </c>
      <c r="K13" s="23">
        <v>791.66600000000005</v>
      </c>
      <c r="L13" s="94">
        <v>418.68683999998029</v>
      </c>
      <c r="M13" s="95">
        <v>592.5</v>
      </c>
      <c r="N13" s="96">
        <v>711.60699999984354</v>
      </c>
      <c r="O13" s="105">
        <v>45.919980000006035</v>
      </c>
      <c r="P13" s="57">
        <v>531.01271999999881</v>
      </c>
      <c r="Q13" s="58">
        <v>543.26587200001813</v>
      </c>
      <c r="R13" s="59">
        <v>704.11298400000669</v>
      </c>
      <c r="S13" s="107">
        <v>330.93286200001603</v>
      </c>
    </row>
    <row r="14" spans="2:19" s="33" customFormat="1" ht="11.25" customHeight="1" x14ac:dyDescent="0.25">
      <c r="D14" s="39">
        <v>44541</v>
      </c>
      <c r="E14" s="24">
        <v>760788</v>
      </c>
      <c r="F14" s="24">
        <v>172142</v>
      </c>
      <c r="G14" s="24">
        <f t="shared" si="0"/>
        <v>932930</v>
      </c>
      <c r="H14" s="18">
        <v>1.2611239999999999</v>
      </c>
      <c r="I14" s="24">
        <f t="shared" si="1"/>
        <v>1176540.4133199998</v>
      </c>
      <c r="J14" s="25">
        <f t="shared" si="2"/>
        <v>0</v>
      </c>
      <c r="K14" s="23">
        <v>791.66600000000005</v>
      </c>
      <c r="L14" s="94">
        <v>395.8493759999983</v>
      </c>
      <c r="M14" s="95">
        <v>561.25</v>
      </c>
      <c r="N14" s="96">
        <v>692.51200000010431</v>
      </c>
      <c r="O14" s="105">
        <v>45.919980000006035</v>
      </c>
      <c r="P14" s="57">
        <v>513.31229599996004</v>
      </c>
      <c r="Q14" s="58">
        <v>557.29386400000658</v>
      </c>
      <c r="R14" s="59">
        <v>696.4595819999231</v>
      </c>
      <c r="S14" s="107">
        <v>374.04288999998244</v>
      </c>
    </row>
    <row r="15" spans="2:19" s="33" customFormat="1" ht="11.25" customHeight="1" x14ac:dyDescent="0.25">
      <c r="D15" s="39">
        <v>44542</v>
      </c>
      <c r="E15" s="24">
        <v>760788</v>
      </c>
      <c r="F15" s="24">
        <v>172142</v>
      </c>
      <c r="G15" s="24">
        <f t="shared" si="0"/>
        <v>932930</v>
      </c>
      <c r="H15" s="18">
        <v>1.2611239999999999</v>
      </c>
      <c r="I15" s="24">
        <f t="shared" si="1"/>
        <v>1176540.4133199998</v>
      </c>
      <c r="J15" s="25">
        <f t="shared" si="2"/>
        <v>0</v>
      </c>
      <c r="K15" s="23">
        <v>791.66600000000005</v>
      </c>
      <c r="L15" s="94">
        <v>411.0743520000251</v>
      </c>
      <c r="M15" s="95">
        <v>567.5</v>
      </c>
      <c r="N15" s="96">
        <v>681.0550000006333</v>
      </c>
      <c r="O15" s="105">
        <v>33.164429999887943</v>
      </c>
      <c r="P15" s="57">
        <v>533.54135199997108</v>
      </c>
      <c r="Q15" s="58">
        <v>521.58624800003599</v>
      </c>
      <c r="R15" s="59">
        <v>718.14422100002412</v>
      </c>
      <c r="S15" s="107">
        <v>423.49262799997814</v>
      </c>
    </row>
    <row r="16" spans="2:19" s="33" customFormat="1" ht="11.25" customHeight="1" x14ac:dyDescent="0.25">
      <c r="D16" s="39">
        <v>44543</v>
      </c>
      <c r="E16" s="24">
        <v>760788</v>
      </c>
      <c r="F16" s="24">
        <v>172142</v>
      </c>
      <c r="G16" s="24">
        <f t="shared" si="0"/>
        <v>932930</v>
      </c>
      <c r="H16" s="18">
        <v>1.2611239999999999</v>
      </c>
      <c r="I16" s="24">
        <f t="shared" si="1"/>
        <v>1176540.4133199998</v>
      </c>
      <c r="J16" s="25">
        <f t="shared" si="2"/>
        <v>0</v>
      </c>
      <c r="K16" s="23">
        <v>791.66600000000005</v>
      </c>
      <c r="L16" s="94">
        <v>405.99935999995796</v>
      </c>
      <c r="M16" s="95">
        <v>547.5</v>
      </c>
      <c r="N16" s="96">
        <v>562.66599999926984</v>
      </c>
      <c r="O16" s="105">
        <v>94.391070000128821</v>
      </c>
      <c r="P16" s="57">
        <v>488.02597600000445</v>
      </c>
      <c r="Q16" s="58">
        <v>548.36696000001393</v>
      </c>
      <c r="R16" s="59">
        <v>647.9880360000534</v>
      </c>
      <c r="S16" s="107">
        <v>424.8</v>
      </c>
    </row>
    <row r="17" spans="4:19" s="33" customFormat="1" ht="11.25" customHeight="1" x14ac:dyDescent="0.25">
      <c r="D17" s="39">
        <v>44544</v>
      </c>
      <c r="E17" s="24">
        <v>760788</v>
      </c>
      <c r="F17" s="24">
        <v>172142</v>
      </c>
      <c r="G17" s="24">
        <f t="shared" si="0"/>
        <v>932930</v>
      </c>
      <c r="H17" s="18">
        <v>1.2611239999999999</v>
      </c>
      <c r="I17" s="24">
        <f t="shared" si="1"/>
        <v>1176540.4133199998</v>
      </c>
      <c r="J17" s="25">
        <f t="shared" si="2"/>
        <v>0</v>
      </c>
      <c r="K17" s="23">
        <v>791.66600000000005</v>
      </c>
      <c r="L17" s="94">
        <v>418.6868400000385</v>
      </c>
      <c r="M17" s="95">
        <v>533.75</v>
      </c>
      <c r="N17" s="96">
        <v>541.02500000037253</v>
      </c>
      <c r="O17" s="105">
        <v>116.07550500007346</v>
      </c>
      <c r="P17" s="57">
        <v>503.19776800007094</v>
      </c>
      <c r="Q17" s="58">
        <v>589.17566399998032</v>
      </c>
      <c r="R17" s="59">
        <v>651.81473699992057</v>
      </c>
      <c r="S17" s="107">
        <v>424</v>
      </c>
    </row>
    <row r="18" spans="4:19" s="33" customFormat="1" ht="11.25" customHeight="1" x14ac:dyDescent="0.25">
      <c r="D18" s="39">
        <v>44545</v>
      </c>
      <c r="E18" s="24">
        <v>760788</v>
      </c>
      <c r="F18" s="24">
        <v>172142</v>
      </c>
      <c r="G18" s="24">
        <f t="shared" si="0"/>
        <v>932930</v>
      </c>
      <c r="H18" s="18">
        <v>1.2611239999999999</v>
      </c>
      <c r="I18" s="24">
        <f t="shared" si="1"/>
        <v>1176540.4133199998</v>
      </c>
      <c r="J18" s="25">
        <f t="shared" si="2"/>
        <v>0</v>
      </c>
      <c r="K18" s="23">
        <v>791.66600000000005</v>
      </c>
      <c r="L18" s="94">
        <v>411.07435199996689</v>
      </c>
      <c r="M18" s="95">
        <v>536.25</v>
      </c>
      <c r="N18" s="96">
        <v>675.96299999952316</v>
      </c>
      <c r="O18" s="105">
        <v>123.72883499995805</v>
      </c>
      <c r="P18" s="57">
        <v>524.69114000000991</v>
      </c>
      <c r="Q18" s="58">
        <v>654.21453599992674</v>
      </c>
      <c r="R18" s="59">
        <v>641.61020100000314</v>
      </c>
      <c r="S18" s="107">
        <v>420.80420100002084</v>
      </c>
    </row>
    <row r="19" spans="4:19" s="33" customFormat="1" ht="11.25" customHeight="1" x14ac:dyDescent="0.25">
      <c r="D19" s="39">
        <v>44546</v>
      </c>
      <c r="E19" s="24">
        <v>760788</v>
      </c>
      <c r="F19" s="24">
        <v>172142</v>
      </c>
      <c r="G19" s="24">
        <f t="shared" si="0"/>
        <v>932930</v>
      </c>
      <c r="H19" s="18">
        <v>1.2611239999999999</v>
      </c>
      <c r="I19" s="24">
        <f t="shared" si="1"/>
        <v>1176540.4133199998</v>
      </c>
      <c r="J19" s="25">
        <f t="shared" si="2"/>
        <v>0</v>
      </c>
      <c r="K19" s="23">
        <v>791.66600000000005</v>
      </c>
      <c r="L19" s="94">
        <v>409.80560399999376</v>
      </c>
      <c r="M19" s="95">
        <v>615</v>
      </c>
      <c r="N19" s="96">
        <v>730.70200000051409</v>
      </c>
      <c r="O19" s="105">
        <v>94.39106999989599</v>
      </c>
      <c r="P19" s="57">
        <v>536.06998399994336</v>
      </c>
      <c r="Q19" s="58">
        <v>702.67487200000323</v>
      </c>
      <c r="R19" s="59">
        <v>616.09886100003496</v>
      </c>
      <c r="S19" s="107">
        <v>458.12322799995309</v>
      </c>
    </row>
    <row r="20" spans="4:19" s="33" customFormat="1" ht="11.25" customHeight="1" x14ac:dyDescent="0.25">
      <c r="D20" s="39">
        <v>44547</v>
      </c>
      <c r="E20" s="24">
        <v>760788</v>
      </c>
      <c r="F20" s="24">
        <v>172142</v>
      </c>
      <c r="G20" s="24">
        <f t="shared" si="0"/>
        <v>932930</v>
      </c>
      <c r="H20" s="18">
        <v>1.2611239999999999</v>
      </c>
      <c r="I20" s="24">
        <f t="shared" si="1"/>
        <v>1176540.4133199998</v>
      </c>
      <c r="J20" s="25">
        <f t="shared" si="2"/>
        <v>0</v>
      </c>
      <c r="K20" s="23">
        <v>791.66600000000005</v>
      </c>
      <c r="L20" s="94">
        <v>425.03058000002056</v>
      </c>
      <c r="M20" s="95">
        <v>600</v>
      </c>
      <c r="N20" s="96">
        <v>698.87700000032783</v>
      </c>
      <c r="O20" s="105">
        <v>93.11551499995403</v>
      </c>
      <c r="P20" s="57">
        <v>557.56335599999875</v>
      </c>
      <c r="Q20" s="58">
        <v>740.93303200008813</v>
      </c>
      <c r="R20" s="59">
        <v>539.56484100001398</v>
      </c>
      <c r="S20" s="107">
        <v>527.61383000004571</v>
      </c>
    </row>
    <row r="21" spans="4:19" s="33" customFormat="1" ht="11.25" customHeight="1" x14ac:dyDescent="0.25">
      <c r="D21" s="39">
        <v>44548</v>
      </c>
      <c r="E21" s="24">
        <v>760788</v>
      </c>
      <c r="F21" s="24">
        <v>172142</v>
      </c>
      <c r="G21" s="24">
        <f t="shared" si="0"/>
        <v>932930</v>
      </c>
      <c r="H21" s="18">
        <v>1.2611239999999999</v>
      </c>
      <c r="I21" s="24">
        <f t="shared" si="1"/>
        <v>1176540.4133199998</v>
      </c>
      <c r="J21" s="25">
        <f t="shared" si="2"/>
        <v>0</v>
      </c>
      <c r="K21" s="23">
        <v>791.66600000000005</v>
      </c>
      <c r="L21" s="94">
        <v>408.53685600002063</v>
      </c>
      <c r="M21" s="95">
        <v>571.25</v>
      </c>
      <c r="N21" s="96">
        <v>700.14999999944121</v>
      </c>
      <c r="O21" s="105">
        <v>76.533300000010058</v>
      </c>
      <c r="P21" s="57">
        <v>566.41356800007634</v>
      </c>
      <c r="Q21" s="58">
        <v>729.45558399998117</v>
      </c>
      <c r="R21" s="59">
        <v>595.68978899996728</v>
      </c>
      <c r="S21" s="107">
        <v>477.42617299995618</v>
      </c>
    </row>
    <row r="22" spans="4:19" s="33" customFormat="1" ht="11.25" customHeight="1" x14ac:dyDescent="0.25">
      <c r="D22" s="39">
        <v>44549</v>
      </c>
      <c r="E22" s="24">
        <v>760788</v>
      </c>
      <c r="F22" s="24">
        <v>172142</v>
      </c>
      <c r="G22" s="24">
        <f t="shared" si="0"/>
        <v>932930</v>
      </c>
      <c r="H22" s="18">
        <v>1.2611239999999999</v>
      </c>
      <c r="I22" s="24">
        <f t="shared" si="1"/>
        <v>1176540.4133199998</v>
      </c>
      <c r="J22" s="25">
        <f t="shared" si="2"/>
        <v>0</v>
      </c>
      <c r="K22" s="23">
        <v>791.66600000000005</v>
      </c>
      <c r="L22" s="94">
        <v>518.917931999953</v>
      </c>
      <c r="M22" s="95">
        <v>521.25</v>
      </c>
      <c r="N22" s="96">
        <v>691.2390000000596</v>
      </c>
      <c r="O22" s="105">
        <v>70.155525000067428</v>
      </c>
      <c r="P22" s="57">
        <v>622.04347199993208</v>
      </c>
      <c r="Q22" s="58">
        <v>706.50068800000008</v>
      </c>
      <c r="R22" s="59">
        <v>558.69834600004833</v>
      </c>
      <c r="S22" s="107">
        <v>535.33500800002366</v>
      </c>
    </row>
    <row r="23" spans="4:19" s="33" customFormat="1" ht="11.25" customHeight="1" x14ac:dyDescent="0.25">
      <c r="D23" s="39">
        <v>44550</v>
      </c>
      <c r="E23" s="24"/>
      <c r="F23" s="24"/>
      <c r="G23" s="24">
        <f t="shared" si="0"/>
        <v>0</v>
      </c>
      <c r="H23" s="18">
        <v>1.2611239999999999</v>
      </c>
      <c r="I23" s="24">
        <f t="shared" si="1"/>
        <v>0</v>
      </c>
      <c r="J23" s="25">
        <f t="shared" si="2"/>
        <v>-1176540.4133199998</v>
      </c>
      <c r="K23" s="23">
        <v>791.66600000000005</v>
      </c>
      <c r="L23" s="94">
        <v>473.24300400004722</v>
      </c>
      <c r="M23" s="95">
        <v>480</v>
      </c>
      <c r="N23" s="96">
        <v>683.60099999979138</v>
      </c>
      <c r="O23" s="105">
        <v>70.155525000067428</v>
      </c>
      <c r="P23" s="57">
        <v>643.53684399998747</v>
      </c>
      <c r="Q23" s="58">
        <v>633.81018399994355</v>
      </c>
      <c r="R23" s="59">
        <v>567.62731499993242</v>
      </c>
      <c r="S23" s="107">
        <v>423.37792699999409</v>
      </c>
    </row>
    <row r="24" spans="4:19" s="33" customFormat="1" ht="11.25" customHeight="1" x14ac:dyDescent="0.25">
      <c r="D24" s="39">
        <v>44551</v>
      </c>
      <c r="E24" s="24"/>
      <c r="F24" s="24"/>
      <c r="G24" s="24">
        <f t="shared" si="0"/>
        <v>0</v>
      </c>
      <c r="H24" s="18">
        <v>1.2611239999999999</v>
      </c>
      <c r="I24" s="24">
        <f t="shared" si="1"/>
        <v>0</v>
      </c>
      <c r="J24" s="25">
        <f t="shared" si="2"/>
        <v>0</v>
      </c>
      <c r="K24" s="23">
        <v>791.66600000000005</v>
      </c>
      <c r="L24" s="94">
        <v>485.93048399995314</v>
      </c>
      <c r="M24" s="95">
        <v>580</v>
      </c>
      <c r="N24" s="96">
        <v>691.2390000000596</v>
      </c>
      <c r="O24" s="105">
        <v>70.155524999834597</v>
      </c>
      <c r="P24" s="57">
        <v>642.27252800005954</v>
      </c>
      <c r="Q24" s="58">
        <v>669.51780000003055</v>
      </c>
      <c r="R24" s="59">
        <v>701.56185000005644</v>
      </c>
      <c r="S24" s="107">
        <v>400.21439300000202</v>
      </c>
    </row>
    <row r="25" spans="4:19" s="33" customFormat="1" ht="11.25" customHeight="1" x14ac:dyDescent="0.25">
      <c r="D25" s="39">
        <v>44552</v>
      </c>
      <c r="E25" s="24"/>
      <c r="F25" s="24"/>
      <c r="G25" s="24">
        <f t="shared" si="0"/>
        <v>0</v>
      </c>
      <c r="H25" s="18">
        <v>1.2611239999999999</v>
      </c>
      <c r="I25" s="24">
        <f t="shared" si="1"/>
        <v>0</v>
      </c>
      <c r="J25" s="25">
        <f t="shared" si="2"/>
        <v>0</v>
      </c>
      <c r="K25" s="23">
        <v>791.66600000000005</v>
      </c>
      <c r="L25" s="94">
        <v>409.80560399999376</v>
      </c>
      <c r="M25" s="95">
        <v>627.5</v>
      </c>
      <c r="N25" s="96">
        <v>617.40500000026077</v>
      </c>
      <c r="O25" s="105">
        <v>71.431080000009388</v>
      </c>
      <c r="P25" s="57">
        <v>619.5148399999598</v>
      </c>
      <c r="Q25" s="58">
        <v>642.73708800005261</v>
      </c>
      <c r="R25" s="59">
        <v>849.52762199996505</v>
      </c>
      <c r="S25" s="107">
        <v>404.074981999991</v>
      </c>
    </row>
    <row r="26" spans="4:19" s="33" customFormat="1" ht="11.25" customHeight="1" x14ac:dyDescent="0.25">
      <c r="D26" s="39">
        <v>44553</v>
      </c>
      <c r="E26" s="24"/>
      <c r="F26" s="24"/>
      <c r="G26" s="24">
        <f t="shared" si="0"/>
        <v>0</v>
      </c>
      <c r="H26" s="18">
        <v>1.2611239999999999</v>
      </c>
      <c r="I26" s="24">
        <f t="shared" si="1"/>
        <v>0</v>
      </c>
      <c r="J26" s="25">
        <f t="shared" si="2"/>
        <v>0</v>
      </c>
      <c r="K26" s="23">
        <v>791.66600000000005</v>
      </c>
      <c r="L26" s="94">
        <v>383.16189600003418</v>
      </c>
      <c r="M26" s="95">
        <v>737.5</v>
      </c>
      <c r="N26" s="96">
        <v>547.38999999966472</v>
      </c>
      <c r="O26" s="105">
        <v>72.706635000184178</v>
      </c>
      <c r="P26" s="57">
        <v>638.47958000004292</v>
      </c>
      <c r="Q26" s="58">
        <v>757.51156799995806</v>
      </c>
      <c r="R26" s="59">
        <v>765.34020000009332</v>
      </c>
      <c r="S26" s="107">
        <v>419.51733800000511</v>
      </c>
    </row>
    <row r="27" spans="4:19" s="33" customFormat="1" ht="11.25" customHeight="1" x14ac:dyDescent="0.25">
      <c r="D27" s="39">
        <v>44554</v>
      </c>
      <c r="E27" s="24"/>
      <c r="F27" s="24"/>
      <c r="G27" s="24">
        <f t="shared" si="0"/>
        <v>0</v>
      </c>
      <c r="H27" s="18">
        <v>1.2611239999999999</v>
      </c>
      <c r="I27" s="24">
        <f t="shared" si="1"/>
        <v>0</v>
      </c>
      <c r="J27" s="25">
        <f t="shared" si="2"/>
        <v>0</v>
      </c>
      <c r="K27" s="23">
        <v>791.66600000000005</v>
      </c>
      <c r="L27" s="94">
        <v>428.8</v>
      </c>
      <c r="M27" s="95">
        <v>745</v>
      </c>
      <c r="N27" s="96">
        <v>689.9660000000149</v>
      </c>
      <c r="O27" s="105">
        <v>72.706634999951348</v>
      </c>
      <c r="P27" s="57">
        <v>634.70000000000005</v>
      </c>
      <c r="Q27" s="58">
        <v>730.73085599998012</v>
      </c>
      <c r="R27" s="59">
        <v>695.18401499988977</v>
      </c>
      <c r="S27" s="107">
        <v>410.50929700001143</v>
      </c>
    </row>
    <row r="28" spans="4:19" s="33" customFormat="1" ht="11.25" customHeight="1" x14ac:dyDescent="0.25">
      <c r="D28" s="39">
        <v>44555</v>
      </c>
      <c r="E28" s="24"/>
      <c r="F28" s="24"/>
      <c r="G28" s="24">
        <f t="shared" si="0"/>
        <v>0</v>
      </c>
      <c r="H28" s="18">
        <v>1.2611239999999999</v>
      </c>
      <c r="I28" s="24">
        <f t="shared" si="1"/>
        <v>0</v>
      </c>
      <c r="J28" s="25">
        <f t="shared" si="2"/>
        <v>0</v>
      </c>
      <c r="K28" s="23">
        <v>791.66600000000005</v>
      </c>
      <c r="L28" s="94">
        <v>431.25178200000664</v>
      </c>
      <c r="M28" s="95">
        <v>895</v>
      </c>
      <c r="N28" s="96">
        <v>748.52400000020862</v>
      </c>
      <c r="O28" s="105">
        <v>70.155525000067428</v>
      </c>
      <c r="P28" s="57">
        <v>619.61437999992631</v>
      </c>
      <c r="Q28" s="58">
        <v>729.45558399998117</v>
      </c>
      <c r="R28" s="59">
        <v>707.93968500010669</v>
      </c>
      <c r="S28" s="107">
        <v>422.09106399997836</v>
      </c>
    </row>
    <row r="29" spans="4:19" s="33" customFormat="1" ht="11.25" customHeight="1" x14ac:dyDescent="0.25">
      <c r="D29" s="39">
        <v>44556</v>
      </c>
      <c r="E29" s="24"/>
      <c r="F29" s="24"/>
      <c r="G29" s="24">
        <f t="shared" si="0"/>
        <v>0</v>
      </c>
      <c r="H29" s="18">
        <v>1.2611239999999999</v>
      </c>
      <c r="I29" s="24">
        <f t="shared" si="1"/>
        <v>0</v>
      </c>
      <c r="J29" s="25">
        <f t="shared" si="2"/>
        <v>0</v>
      </c>
      <c r="K29" s="23">
        <v>791.66600000000005</v>
      </c>
      <c r="L29" s="94">
        <v>435.12530100002186</v>
      </c>
      <c r="M29" s="95">
        <v>852.5</v>
      </c>
      <c r="N29" s="96">
        <v>824.90400000009686</v>
      </c>
      <c r="O29" s="105">
        <v>76.533299999777228</v>
      </c>
      <c r="P29" s="57">
        <v>654.17964500002563</v>
      </c>
      <c r="Q29" s="58">
        <v>695.02324000000954</v>
      </c>
      <c r="R29" s="59">
        <v>707.93968499999028</v>
      </c>
      <c r="S29" s="107">
        <v>437.53341999999247</v>
      </c>
    </row>
    <row r="30" spans="4:19" s="33" customFormat="1" ht="11.25" customHeight="1" x14ac:dyDescent="0.25">
      <c r="D30" s="39">
        <v>44557</v>
      </c>
      <c r="E30" s="24"/>
      <c r="F30" s="24"/>
      <c r="G30" s="24">
        <f t="shared" si="0"/>
        <v>0</v>
      </c>
      <c r="H30" s="18">
        <v>1.2611239999999999</v>
      </c>
      <c r="I30" s="24">
        <f t="shared" si="1"/>
        <v>0</v>
      </c>
      <c r="J30" s="25">
        <f t="shared" si="2"/>
        <v>0</v>
      </c>
      <c r="K30" s="23">
        <v>791.66600000000005</v>
      </c>
      <c r="L30" s="94">
        <v>437.7076469999738</v>
      </c>
      <c r="M30" s="95">
        <v>960</v>
      </c>
      <c r="N30" s="96">
        <v>851.63700000010431</v>
      </c>
      <c r="O30" s="105">
        <v>84.6</v>
      </c>
      <c r="P30" s="57">
        <v>615.77379500004463</v>
      </c>
      <c r="Q30" s="58">
        <v>599.37783999997191</v>
      </c>
      <c r="R30" s="59">
        <v>656.91700499993749</v>
      </c>
      <c r="S30" s="107">
        <v>415.65674900001613</v>
      </c>
    </row>
    <row r="31" spans="4:19" s="33" customFormat="1" ht="11.25" customHeight="1" x14ac:dyDescent="0.25">
      <c r="D31" s="39">
        <v>44558</v>
      </c>
      <c r="E31" s="24"/>
      <c r="F31" s="24"/>
      <c r="G31" s="24">
        <f t="shared" si="0"/>
        <v>0</v>
      </c>
      <c r="H31" s="18">
        <v>1.2611239999999999</v>
      </c>
      <c r="I31" s="24">
        <f t="shared" si="1"/>
        <v>0</v>
      </c>
      <c r="J31" s="25">
        <f t="shared" si="2"/>
        <v>0</v>
      </c>
      <c r="K31" s="23">
        <v>791.66600000000005</v>
      </c>
      <c r="L31" s="94">
        <v>451.91055000002962</v>
      </c>
      <c r="M31" s="95">
        <v>927.5</v>
      </c>
      <c r="N31" s="96">
        <v>894.91899999976158</v>
      </c>
      <c r="O31" s="105">
        <v>77.04480000003241</v>
      </c>
      <c r="P31" s="57">
        <v>634.97671999991871</v>
      </c>
      <c r="Q31" s="58">
        <v>626.15855200006627</v>
      </c>
      <c r="R31" s="59">
        <v>639.05906700005289</v>
      </c>
      <c r="S31" s="107">
        <v>418.23047499998938</v>
      </c>
    </row>
    <row r="32" spans="4:19" s="33" customFormat="1" ht="11.25" customHeight="1" x14ac:dyDescent="0.25">
      <c r="D32" s="39">
        <v>44559</v>
      </c>
      <c r="E32" s="24"/>
      <c r="F32" s="24"/>
      <c r="G32" s="24">
        <f t="shared" si="0"/>
        <v>0</v>
      </c>
      <c r="H32" s="18">
        <v>1.2611239999999999</v>
      </c>
      <c r="I32" s="24">
        <f t="shared" si="1"/>
        <v>0</v>
      </c>
      <c r="J32" s="25">
        <f t="shared" si="2"/>
        <v>0</v>
      </c>
      <c r="K32" s="23">
        <v>791.66600000000005</v>
      </c>
      <c r="L32" s="94">
        <v>526.79858399997465</v>
      </c>
      <c r="M32" s="95">
        <v>923.75</v>
      </c>
      <c r="N32" s="96">
        <v>865.63999999966472</v>
      </c>
      <c r="O32" s="105">
        <v>73.19255999987945</v>
      </c>
      <c r="P32" s="57">
        <v>567.12638500006869</v>
      </c>
      <c r="Q32" s="58">
        <v>700.12432800000533</v>
      </c>
      <c r="R32" s="59">
        <v>684.97947899997234</v>
      </c>
      <c r="S32" s="107">
        <v>459.41009100002702</v>
      </c>
    </row>
    <row r="33" spans="4:19" s="33" customFormat="1" ht="11.25" customHeight="1" x14ac:dyDescent="0.25">
      <c r="D33" s="39">
        <v>44560</v>
      </c>
      <c r="E33" s="24"/>
      <c r="F33" s="24"/>
      <c r="G33" s="24">
        <f t="shared" si="0"/>
        <v>0</v>
      </c>
      <c r="H33" s="18">
        <v>1.2611239999999999</v>
      </c>
      <c r="I33" s="24">
        <f t="shared" si="1"/>
        <v>0</v>
      </c>
      <c r="J33" s="25">
        <f t="shared" si="2"/>
        <v>0</v>
      </c>
      <c r="K33" s="23">
        <v>791.66600000000005</v>
      </c>
      <c r="L33" s="94">
        <v>475.15166400000453</v>
      </c>
      <c r="M33" s="95">
        <v>858.75</v>
      </c>
      <c r="N33" s="96">
        <v>836.36100000049919</v>
      </c>
      <c r="O33" s="105">
        <v>53.93136000004597</v>
      </c>
      <c r="P33" s="57">
        <v>547.92345999996178</v>
      </c>
      <c r="Q33" s="58">
        <v>828.92680000001565</v>
      </c>
      <c r="R33" s="59">
        <v>709.21525200002361</v>
      </c>
      <c r="S33" s="107">
        <v>528.90069300000323</v>
      </c>
    </row>
    <row r="34" spans="4:19" s="33" customFormat="1" ht="11.25" customHeight="1" x14ac:dyDescent="0.25">
      <c r="D34" s="39">
        <v>44561</v>
      </c>
      <c r="E34" s="24"/>
      <c r="F34" s="24"/>
      <c r="G34" s="24">
        <f t="shared" si="0"/>
        <v>0</v>
      </c>
      <c r="H34" s="18">
        <v>1.2611239999999999</v>
      </c>
      <c r="I34" s="24">
        <f t="shared" si="1"/>
        <v>0</v>
      </c>
      <c r="J34" s="25">
        <f t="shared" si="2"/>
        <v>0</v>
      </c>
      <c r="K34" s="23">
        <v>791.66600000000005</v>
      </c>
      <c r="L34" s="94"/>
      <c r="M34" s="95"/>
      <c r="N34" s="96"/>
      <c r="O34" s="105"/>
      <c r="P34" s="57"/>
      <c r="Q34" s="58"/>
      <c r="R34" s="59"/>
      <c r="S34" s="107"/>
    </row>
    <row r="35" spans="4:19" s="33" customFormat="1" ht="11.25" customHeight="1" x14ac:dyDescent="0.25">
      <c r="D35" s="45" t="s">
        <v>29</v>
      </c>
      <c r="E35" s="60"/>
      <c r="F35" s="60"/>
      <c r="G35" s="60"/>
      <c r="H35" s="60"/>
      <c r="I35" s="61"/>
      <c r="J35" s="47">
        <v>0</v>
      </c>
      <c r="K35" s="93">
        <v>23749.980000000003</v>
      </c>
      <c r="L35" s="98">
        <v>13094.398660000017</v>
      </c>
      <c r="M35" s="99">
        <v>20025</v>
      </c>
      <c r="N35" s="100">
        <v>20076.483000000007</v>
      </c>
      <c r="O35" s="105">
        <v>2134.4968049997929</v>
      </c>
      <c r="P35" s="57">
        <v>17200.661169000017</v>
      </c>
      <c r="Q35" s="58">
        <v>18257.593326000053</v>
      </c>
      <c r="R35" s="59">
        <v>20690.438003000105</v>
      </c>
      <c r="S35" s="107">
        <v>12576.013894999993</v>
      </c>
    </row>
    <row r="36" spans="4:19" ht="12" customHeight="1" x14ac:dyDescent="0.25"/>
    <row r="37" spans="4:19" ht="12.75" customHeight="1" x14ac:dyDescent="0.25">
      <c r="L37" s="49">
        <f>+AVERAGE(J4:J8)</f>
        <v>0.252224799990654</v>
      </c>
      <c r="M37" s="17">
        <f>+(L37*31)</f>
        <v>7.8189687997102739</v>
      </c>
    </row>
    <row r="38" spans="4:19" ht="12.75" customHeight="1" x14ac:dyDescent="0.25">
      <c r="D38" s="50"/>
    </row>
    <row r="39" spans="4:19" ht="12.75" customHeight="1" x14ac:dyDescent="0.25">
      <c r="D39" s="51"/>
    </row>
    <row r="40" spans="4:19" ht="12.75" customHeight="1" x14ac:dyDescent="0.25"/>
    <row r="41" spans="4:19" ht="12.75" customHeight="1" x14ac:dyDescent="0.25"/>
    <row r="42" spans="4:19" ht="12.75" customHeight="1" x14ac:dyDescent="0.25"/>
    <row r="43" spans="4:19" ht="12.75" customHeight="1" x14ac:dyDescent="0.25"/>
    <row r="44" spans="4:19" ht="12.75" customHeight="1" x14ac:dyDescent="0.25"/>
    <row r="45" spans="4:19" ht="12.75" customHeight="1" x14ac:dyDescent="0.25"/>
    <row r="46" spans="4:19" ht="12.75" customHeight="1" x14ac:dyDescent="0.25"/>
    <row r="47" spans="4:19" ht="12.75" customHeight="1" x14ac:dyDescent="0.25"/>
    <row r="48" spans="4:19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8.1" customHeight="1" x14ac:dyDescent="0.25"/>
    <row r="56" ht="12.75" customHeight="1" x14ac:dyDescent="0.25"/>
  </sheetData>
  <mergeCells count="1">
    <mergeCell ref="D1:K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4"/>
  <sheetViews>
    <sheetView tabSelected="1" workbookViewId="0">
      <selection activeCell="F23" sqref="F23"/>
    </sheetView>
  </sheetViews>
  <sheetFormatPr defaultRowHeight="15" x14ac:dyDescent="0.25"/>
  <cols>
    <col min="2" max="2" width="3.140625" customWidth="1"/>
    <col min="3" max="3" width="9.140625" style="62" hidden="1" customWidth="1"/>
    <col min="4" max="4" width="7.7109375" style="62" hidden="1" customWidth="1"/>
    <col min="5" max="5" width="9.28515625" customWidth="1"/>
    <col min="6" max="6" width="10.8554687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111" t="s">
        <v>38</v>
      </c>
      <c r="F1" s="111"/>
      <c r="G1" s="111"/>
      <c r="H1" s="111"/>
      <c r="I1" s="111"/>
      <c r="J1" s="111"/>
      <c r="K1" s="31"/>
      <c r="L1" s="31"/>
      <c r="M1" s="31"/>
      <c r="N1" s="31"/>
      <c r="O1" s="17"/>
      <c r="P1" s="17"/>
      <c r="Q1" s="111"/>
      <c r="R1" s="111"/>
      <c r="S1" s="111"/>
      <c r="T1" s="111"/>
      <c r="U1" s="111"/>
      <c r="V1" s="111"/>
      <c r="W1" s="111"/>
      <c r="X1" s="111"/>
      <c r="Y1" s="17"/>
      <c r="Z1" s="111"/>
      <c r="AA1" s="111"/>
      <c r="AB1" s="111"/>
      <c r="AC1" s="111"/>
      <c r="AD1" s="111"/>
      <c r="AE1" s="111"/>
      <c r="AF1" s="111"/>
      <c r="AG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  <c r="AX1" s="111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63" t="s">
        <v>32</v>
      </c>
      <c r="D3" s="63" t="s">
        <v>33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19" t="s">
        <v>34</v>
      </c>
      <c r="K3" s="64">
        <v>2020</v>
      </c>
      <c r="L3" s="35">
        <v>2019</v>
      </c>
      <c r="M3" s="65">
        <v>2018</v>
      </c>
      <c r="N3" s="66">
        <v>2017</v>
      </c>
      <c r="O3" s="44"/>
      <c r="P3" s="33"/>
      <c r="Q3" s="18"/>
      <c r="R3" s="19"/>
      <c r="S3" s="19"/>
      <c r="T3" s="19"/>
      <c r="U3" s="19"/>
      <c r="V3" s="19"/>
      <c r="W3" s="19"/>
      <c r="X3" s="67"/>
      <c r="Y3" s="33"/>
      <c r="Z3" s="18"/>
      <c r="AA3" s="19"/>
      <c r="AB3" s="19"/>
      <c r="AC3" s="19"/>
      <c r="AD3" s="19"/>
      <c r="AE3" s="19"/>
      <c r="AF3" s="19"/>
      <c r="AG3" s="67"/>
      <c r="AI3" s="18"/>
      <c r="AJ3" s="19"/>
      <c r="AK3" s="67"/>
      <c r="AL3" s="67"/>
      <c r="AM3" s="67"/>
      <c r="AN3" s="19"/>
      <c r="AO3" s="112"/>
      <c r="AP3" s="113"/>
      <c r="AQ3" s="112"/>
      <c r="AR3" s="113"/>
      <c r="AS3" s="112"/>
      <c r="AT3" s="113"/>
      <c r="AU3" s="19"/>
      <c r="AV3" s="19"/>
      <c r="AW3" s="19"/>
      <c r="AX3" s="19"/>
    </row>
    <row r="4" spans="3:50" x14ac:dyDescent="0.25">
      <c r="C4" s="68">
        <v>1300</v>
      </c>
      <c r="D4" s="68">
        <v>3200</v>
      </c>
      <c r="E4" s="39">
        <v>44531</v>
      </c>
      <c r="F4" s="92">
        <v>4764.1850000000004</v>
      </c>
      <c r="G4" s="23">
        <v>2760</v>
      </c>
      <c r="H4" s="24">
        <f>G4*F4</f>
        <v>13149150.600000001</v>
      </c>
      <c r="I4" s="25">
        <v>621</v>
      </c>
      <c r="J4" s="47"/>
      <c r="K4" s="48"/>
      <c r="L4" s="69"/>
      <c r="M4" s="70"/>
      <c r="N4" s="97"/>
      <c r="O4" s="71"/>
      <c r="P4" s="72"/>
      <c r="Q4" s="39"/>
      <c r="R4" s="73"/>
      <c r="S4" s="73"/>
      <c r="T4" s="73"/>
      <c r="U4" s="25"/>
      <c r="V4" s="25"/>
      <c r="W4" s="74"/>
      <c r="X4" s="75"/>
      <c r="Y4" s="33"/>
      <c r="Z4" s="39"/>
      <c r="AA4" s="73"/>
      <c r="AB4" s="73"/>
      <c r="AC4" s="73"/>
      <c r="AD4" s="25"/>
      <c r="AE4" s="25"/>
      <c r="AF4" s="74"/>
      <c r="AG4" s="75"/>
      <c r="AI4" s="39"/>
      <c r="AJ4" s="22"/>
      <c r="AK4" s="22"/>
      <c r="AL4" s="22"/>
      <c r="AM4" s="22"/>
      <c r="AN4" s="23"/>
      <c r="AO4" s="23"/>
      <c r="AP4" s="76"/>
      <c r="AQ4" s="23"/>
      <c r="AR4" s="77"/>
      <c r="AS4" s="23"/>
      <c r="AT4" s="78"/>
      <c r="AU4" s="79"/>
      <c r="AV4" s="24"/>
      <c r="AW4" s="25"/>
      <c r="AX4" s="25"/>
    </row>
    <row r="5" spans="3:50" x14ac:dyDescent="0.25">
      <c r="C5" s="68">
        <v>1000</v>
      </c>
      <c r="D5" s="68">
        <v>3400</v>
      </c>
      <c r="E5" s="39">
        <v>44532</v>
      </c>
      <c r="F5" s="92">
        <v>4764.7430000000004</v>
      </c>
      <c r="G5" s="23">
        <v>2760</v>
      </c>
      <c r="H5" s="24">
        <f t="shared" ref="H5:H34" si="0">G5*F5</f>
        <v>13150690.680000002</v>
      </c>
      <c r="I5" s="25">
        <f>+(H5-H4)</f>
        <v>1540.0800000000745</v>
      </c>
      <c r="J5" s="47">
        <v>8166.6660000000002</v>
      </c>
      <c r="K5" s="101">
        <v>1277.8800000008196</v>
      </c>
      <c r="L5" s="69">
        <v>7465.8000000007451</v>
      </c>
      <c r="M5" s="70">
        <v>7446.4799999995103</v>
      </c>
      <c r="N5" s="97">
        <v>5837.4000000003698</v>
      </c>
      <c r="O5" s="71"/>
      <c r="P5" s="72"/>
      <c r="Q5" s="39"/>
      <c r="R5" s="73"/>
      <c r="S5" s="73"/>
      <c r="T5" s="73"/>
      <c r="U5" s="25"/>
      <c r="V5" s="25"/>
      <c r="W5" s="74"/>
      <c r="X5" s="75"/>
      <c r="Y5" s="33"/>
      <c r="Z5" s="39"/>
      <c r="AA5" s="73"/>
      <c r="AB5" s="73"/>
      <c r="AC5" s="18"/>
      <c r="AD5" s="25"/>
      <c r="AE5" s="25"/>
      <c r="AF5" s="74"/>
      <c r="AG5" s="75"/>
      <c r="AI5" s="39"/>
      <c r="AJ5" s="22"/>
      <c r="AK5" s="22"/>
      <c r="AL5" s="22"/>
      <c r="AM5" s="22"/>
      <c r="AN5" s="23"/>
      <c r="AO5" s="23"/>
      <c r="AP5" s="76"/>
      <c r="AQ5" s="23"/>
      <c r="AR5" s="77"/>
      <c r="AS5" s="23"/>
      <c r="AT5" s="78"/>
      <c r="AU5" s="79"/>
      <c r="AV5" s="24"/>
      <c r="AW5" s="25"/>
      <c r="AX5" s="25"/>
    </row>
    <row r="6" spans="3:50" x14ac:dyDescent="0.25">
      <c r="C6" s="68">
        <v>1000</v>
      </c>
      <c r="D6" s="68">
        <v>3200</v>
      </c>
      <c r="E6" s="39">
        <v>44533</v>
      </c>
      <c r="F6" s="92">
        <v>4765.32</v>
      </c>
      <c r="G6" s="23">
        <v>2760</v>
      </c>
      <c r="H6" s="24">
        <f t="shared" si="0"/>
        <v>13152283.199999999</v>
      </c>
      <c r="I6" s="25">
        <f t="shared" ref="I6:I34" si="1">+(H6-H5)</f>
        <v>1592.5199999976903</v>
      </c>
      <c r="J6" s="47">
        <v>8166.6660000000002</v>
      </c>
      <c r="K6" s="101">
        <v>1333.0800000000745</v>
      </c>
      <c r="L6" s="69">
        <v>7992.9600000008941</v>
      </c>
      <c r="M6" s="70">
        <v>7396.8000000007396</v>
      </c>
      <c r="N6" s="97">
        <v>6014.0399999990996</v>
      </c>
      <c r="O6" s="71"/>
      <c r="P6" s="72"/>
      <c r="Q6" s="39"/>
      <c r="R6" s="73"/>
      <c r="S6" s="73"/>
      <c r="T6" s="73"/>
      <c r="U6" s="25"/>
      <c r="V6" s="25"/>
      <c r="W6" s="74"/>
      <c r="X6" s="75"/>
      <c r="Y6" s="33"/>
      <c r="Z6" s="39"/>
      <c r="AA6" s="73"/>
      <c r="AB6" s="73"/>
      <c r="AC6" s="73"/>
      <c r="AD6" s="25"/>
      <c r="AE6" s="25"/>
      <c r="AF6" s="74"/>
      <c r="AG6" s="75"/>
      <c r="AI6" s="39"/>
      <c r="AJ6" s="22"/>
      <c r="AK6" s="22"/>
      <c r="AL6" s="22"/>
      <c r="AM6" s="22"/>
      <c r="AN6" s="23"/>
      <c r="AO6" s="23"/>
      <c r="AP6" s="76"/>
      <c r="AQ6" s="23"/>
      <c r="AR6" s="77"/>
      <c r="AS6" s="23"/>
      <c r="AT6" s="78"/>
      <c r="AU6" s="79"/>
      <c r="AV6" s="24"/>
      <c r="AW6" s="25"/>
      <c r="AX6" s="25"/>
    </row>
    <row r="7" spans="3:50" x14ac:dyDescent="0.25">
      <c r="C7" s="68">
        <v>700</v>
      </c>
      <c r="D7" s="68">
        <v>3300</v>
      </c>
      <c r="E7" s="39">
        <v>44534</v>
      </c>
      <c r="F7" s="92">
        <v>4765.8109999999997</v>
      </c>
      <c r="G7" s="23">
        <v>2760</v>
      </c>
      <c r="H7" s="24">
        <f t="shared" si="0"/>
        <v>13153638.359999999</v>
      </c>
      <c r="I7" s="25">
        <f t="shared" si="1"/>
        <v>1355.160000000149</v>
      </c>
      <c r="J7" s="47">
        <v>8166.6660000000002</v>
      </c>
      <c r="K7" s="101">
        <v>1451.7599999997765</v>
      </c>
      <c r="L7" s="69">
        <v>8346.2399999983609</v>
      </c>
      <c r="M7" s="70">
        <v>7540.320000000298</v>
      </c>
      <c r="N7" s="97">
        <v>6571.5600000005215</v>
      </c>
      <c r="O7" s="71"/>
      <c r="P7" s="72"/>
      <c r="Q7" s="39"/>
      <c r="R7" s="73"/>
      <c r="S7" s="73"/>
      <c r="T7" s="73"/>
      <c r="U7" s="25"/>
      <c r="V7" s="25"/>
      <c r="W7" s="74"/>
      <c r="X7" s="75"/>
      <c r="Y7" s="33"/>
      <c r="Z7" s="39"/>
      <c r="AA7" s="80"/>
      <c r="AB7" s="73"/>
      <c r="AC7" s="73"/>
      <c r="AD7" s="25"/>
      <c r="AE7" s="25"/>
      <c r="AF7" s="74"/>
      <c r="AG7" s="75"/>
      <c r="AI7" s="39"/>
      <c r="AJ7" s="22"/>
      <c r="AK7" s="22"/>
      <c r="AL7" s="22"/>
      <c r="AM7" s="22"/>
      <c r="AN7" s="23"/>
      <c r="AO7" s="23"/>
      <c r="AP7" s="76"/>
      <c r="AQ7" s="23"/>
      <c r="AR7" s="77"/>
      <c r="AS7" s="23"/>
      <c r="AT7" s="78"/>
      <c r="AU7" s="79"/>
      <c r="AV7" s="24"/>
      <c r="AW7" s="25"/>
      <c r="AX7" s="25"/>
    </row>
    <row r="8" spans="3:50" x14ac:dyDescent="0.25">
      <c r="C8" s="68">
        <v>700</v>
      </c>
      <c r="D8" s="68">
        <v>2900</v>
      </c>
      <c r="E8" s="39">
        <v>44535</v>
      </c>
      <c r="F8" s="92">
        <v>4766.3180000000002</v>
      </c>
      <c r="G8" s="23">
        <v>2760</v>
      </c>
      <c r="H8" s="24">
        <f t="shared" si="0"/>
        <v>13155037.68</v>
      </c>
      <c r="I8" s="25">
        <f t="shared" si="1"/>
        <v>1399.320000000298</v>
      </c>
      <c r="J8" s="47">
        <v>8166.6660000000002</v>
      </c>
      <c r="K8" s="101">
        <v>1437.9600000008941</v>
      </c>
      <c r="L8" s="69">
        <v>8260.679999999702</v>
      </c>
      <c r="M8" s="70">
        <v>7245</v>
      </c>
      <c r="N8" s="97">
        <v>6566.0399999991059</v>
      </c>
      <c r="O8" s="71"/>
      <c r="P8" s="72"/>
      <c r="Q8" s="39"/>
      <c r="R8" s="73"/>
      <c r="S8" s="73"/>
      <c r="T8" s="73"/>
      <c r="U8" s="25"/>
      <c r="V8" s="25"/>
      <c r="W8" s="74"/>
      <c r="X8" s="75"/>
      <c r="Y8" s="33"/>
      <c r="Z8" s="39"/>
      <c r="AA8" s="80"/>
      <c r="AB8" s="73"/>
      <c r="AC8" s="73"/>
      <c r="AD8" s="25"/>
      <c r="AE8" s="25"/>
      <c r="AF8" s="74"/>
      <c r="AG8" s="75"/>
      <c r="AI8" s="39"/>
      <c r="AJ8" s="22"/>
      <c r="AK8" s="22"/>
      <c r="AL8" s="22"/>
      <c r="AM8" s="22"/>
      <c r="AN8" s="23"/>
      <c r="AO8" s="23"/>
      <c r="AP8" s="76"/>
      <c r="AQ8" s="23"/>
      <c r="AR8" s="77"/>
      <c r="AS8" s="23"/>
      <c r="AT8" s="78"/>
      <c r="AU8" s="79"/>
      <c r="AV8" s="24"/>
      <c r="AW8" s="25"/>
      <c r="AX8" s="25"/>
    </row>
    <row r="9" spans="3:50" x14ac:dyDescent="0.25">
      <c r="C9" s="68">
        <v>1500</v>
      </c>
      <c r="D9" s="68">
        <v>2600</v>
      </c>
      <c r="E9" s="39">
        <v>44536</v>
      </c>
      <c r="F9" s="92">
        <v>4766.7629999999999</v>
      </c>
      <c r="G9" s="23">
        <v>2760</v>
      </c>
      <c r="H9" s="24">
        <f t="shared" si="0"/>
        <v>13156265.879999999</v>
      </c>
      <c r="I9" s="25">
        <f t="shared" si="1"/>
        <v>1228.1999999992549</v>
      </c>
      <c r="J9" s="47">
        <v>8166.6660000000002</v>
      </c>
      <c r="K9" s="101">
        <v>1501.4399999994785</v>
      </c>
      <c r="L9" s="69">
        <v>8487.0000000018626</v>
      </c>
      <c r="M9" s="70">
        <v>7134.5999999996275</v>
      </c>
      <c r="N9" s="97">
        <v>6397.6800000006333</v>
      </c>
      <c r="O9" s="71"/>
      <c r="P9" s="72"/>
      <c r="Q9" s="39"/>
      <c r="R9" s="73"/>
      <c r="S9" s="73"/>
      <c r="T9" s="73"/>
      <c r="U9" s="25"/>
      <c r="V9" s="25"/>
      <c r="W9" s="74"/>
      <c r="X9" s="75"/>
      <c r="Y9" s="33"/>
      <c r="Z9" s="39"/>
      <c r="AA9" s="80"/>
      <c r="AB9" s="73"/>
      <c r="AC9" s="73"/>
      <c r="AD9" s="25"/>
      <c r="AE9" s="25"/>
      <c r="AF9" s="74"/>
      <c r="AG9" s="75"/>
      <c r="AI9" s="39"/>
      <c r="AJ9" s="22"/>
      <c r="AK9" s="22"/>
      <c r="AL9" s="22"/>
      <c r="AM9" s="22"/>
      <c r="AN9" s="23"/>
      <c r="AO9" s="23"/>
      <c r="AP9" s="76"/>
      <c r="AQ9" s="23"/>
      <c r="AR9" s="77"/>
      <c r="AS9" s="23"/>
      <c r="AT9" s="78"/>
      <c r="AU9" s="79"/>
      <c r="AV9" s="24"/>
      <c r="AW9" s="25"/>
      <c r="AX9" s="25"/>
    </row>
    <row r="10" spans="3:50" x14ac:dyDescent="0.25">
      <c r="C10" s="68">
        <v>1900</v>
      </c>
      <c r="D10" s="68">
        <v>2700</v>
      </c>
      <c r="E10" s="39">
        <v>44537</v>
      </c>
      <c r="F10" s="92">
        <v>4767.259</v>
      </c>
      <c r="G10" s="23">
        <v>2760</v>
      </c>
      <c r="H10" s="24">
        <f t="shared" si="0"/>
        <v>13157634.84</v>
      </c>
      <c r="I10" s="25">
        <f t="shared" si="1"/>
        <v>1368.9600000008941</v>
      </c>
      <c r="J10" s="47">
        <v>8166.6660000000002</v>
      </c>
      <c r="K10" s="101">
        <v>1520.7599999997765</v>
      </c>
      <c r="L10" s="69">
        <v>8567.0399999991059</v>
      </c>
      <c r="M10" s="70">
        <v>7026.95999999996</v>
      </c>
      <c r="N10" s="97">
        <v>6370.0800000000745</v>
      </c>
      <c r="O10" s="71"/>
      <c r="P10" s="72"/>
      <c r="Q10" s="39"/>
      <c r="R10" s="73"/>
      <c r="S10" s="73"/>
      <c r="T10" s="73"/>
      <c r="U10" s="25"/>
      <c r="V10" s="25"/>
      <c r="W10" s="74"/>
      <c r="X10" s="75"/>
      <c r="Y10" s="33"/>
      <c r="Z10" s="39"/>
      <c r="AA10" s="80"/>
      <c r="AB10" s="73"/>
      <c r="AC10" s="73"/>
      <c r="AD10" s="25"/>
      <c r="AE10" s="25"/>
      <c r="AF10" s="74"/>
      <c r="AG10" s="75"/>
      <c r="AI10" s="39"/>
      <c r="AJ10" s="22"/>
      <c r="AK10" s="22"/>
      <c r="AL10" s="22"/>
      <c r="AM10" s="22"/>
      <c r="AN10" s="23"/>
      <c r="AO10" s="23"/>
      <c r="AP10" s="76"/>
      <c r="AQ10" s="23"/>
      <c r="AR10" s="77"/>
      <c r="AS10" s="23"/>
      <c r="AT10" s="78"/>
      <c r="AU10" s="79"/>
      <c r="AV10" s="24"/>
      <c r="AW10" s="25"/>
      <c r="AX10" s="25"/>
    </row>
    <row r="11" spans="3:50" x14ac:dyDescent="0.25">
      <c r="C11" s="68">
        <v>2200</v>
      </c>
      <c r="D11" s="68">
        <v>2700</v>
      </c>
      <c r="E11" s="39">
        <v>44538</v>
      </c>
      <c r="F11" s="92">
        <v>4767.7479999999996</v>
      </c>
      <c r="G11" s="23">
        <v>2760</v>
      </c>
      <c r="H11" s="24">
        <f t="shared" si="0"/>
        <v>13158984.479999999</v>
      </c>
      <c r="I11" s="25">
        <f t="shared" si="1"/>
        <v>1349.6399999987334</v>
      </c>
      <c r="J11" s="47">
        <v>8166.6660000000002</v>
      </c>
      <c r="K11" s="101">
        <v>1506.9600000008941</v>
      </c>
      <c r="L11" s="69">
        <v>8517.3600000012666</v>
      </c>
      <c r="M11" s="70">
        <v>6773.0400000000373</v>
      </c>
      <c r="N11" s="97">
        <v>6577.0800000000745</v>
      </c>
      <c r="O11" s="71"/>
      <c r="P11" s="72"/>
      <c r="Q11" s="39"/>
      <c r="R11" s="73"/>
      <c r="S11" s="73"/>
      <c r="T11" s="73"/>
      <c r="U11" s="25"/>
      <c r="V11" s="25"/>
      <c r="W11" s="74"/>
      <c r="X11" s="75"/>
      <c r="Y11" s="33"/>
      <c r="Z11" s="39"/>
      <c r="AA11" s="80"/>
      <c r="AB11" s="73"/>
      <c r="AC11" s="73"/>
      <c r="AD11" s="25"/>
      <c r="AE11" s="25"/>
      <c r="AF11" s="74"/>
      <c r="AG11" s="75"/>
      <c r="AI11" s="39"/>
      <c r="AJ11" s="22"/>
      <c r="AK11" s="22"/>
      <c r="AL11" s="22"/>
      <c r="AM11" s="22"/>
      <c r="AN11" s="23"/>
      <c r="AO11" s="23"/>
      <c r="AP11" s="76"/>
      <c r="AQ11" s="23"/>
      <c r="AR11" s="77"/>
      <c r="AS11" s="23"/>
      <c r="AT11" s="78"/>
      <c r="AU11" s="79"/>
      <c r="AV11" s="24"/>
      <c r="AW11" s="25"/>
      <c r="AX11" s="25"/>
    </row>
    <row r="12" spans="3:50" x14ac:dyDescent="0.25">
      <c r="C12" s="68">
        <v>2600</v>
      </c>
      <c r="D12" s="68">
        <v>2700</v>
      </c>
      <c r="E12" s="39">
        <v>44539</v>
      </c>
      <c r="F12" s="92">
        <v>4768.268</v>
      </c>
      <c r="G12" s="23">
        <v>2760</v>
      </c>
      <c r="H12" s="24">
        <f t="shared" si="0"/>
        <v>13160419.68</v>
      </c>
      <c r="I12" s="25">
        <f t="shared" si="1"/>
        <v>1435.2000000011176</v>
      </c>
      <c r="J12" s="47">
        <v>8166.6660000000002</v>
      </c>
      <c r="K12" s="101">
        <v>1377.2399999983609</v>
      </c>
      <c r="L12" s="69">
        <v>8208.2399999983609</v>
      </c>
      <c r="M12" s="70">
        <v>7060.08000000007</v>
      </c>
      <c r="N12" s="97">
        <v>6640.5599999995902</v>
      </c>
      <c r="O12" s="71"/>
      <c r="P12" s="72"/>
      <c r="Q12" s="39"/>
      <c r="R12" s="73"/>
      <c r="S12" s="73"/>
      <c r="T12" s="73"/>
      <c r="U12" s="25"/>
      <c r="V12" s="25"/>
      <c r="W12" s="74"/>
      <c r="X12" s="75"/>
      <c r="Y12" s="33"/>
      <c r="Z12" s="39"/>
      <c r="AA12" s="46"/>
      <c r="AB12" s="73"/>
      <c r="AC12" s="73"/>
      <c r="AD12" s="25"/>
      <c r="AE12" s="25"/>
      <c r="AF12" s="74"/>
      <c r="AG12" s="75"/>
      <c r="AI12" s="39"/>
      <c r="AJ12" s="22"/>
      <c r="AK12" s="22"/>
      <c r="AL12" s="22"/>
      <c r="AM12" s="22"/>
      <c r="AN12" s="23"/>
      <c r="AO12" s="23"/>
      <c r="AP12" s="76"/>
      <c r="AQ12" s="23"/>
      <c r="AR12" s="77"/>
      <c r="AS12" s="23"/>
      <c r="AT12" s="78"/>
      <c r="AU12" s="79"/>
      <c r="AV12" s="24"/>
      <c r="AW12" s="25"/>
      <c r="AX12" s="25"/>
    </row>
    <row r="13" spans="3:50" x14ac:dyDescent="0.25">
      <c r="C13" s="68">
        <v>1500</v>
      </c>
      <c r="D13" s="68">
        <v>2700</v>
      </c>
      <c r="E13" s="39">
        <v>44540</v>
      </c>
      <c r="F13" s="92">
        <v>4768.7849999999999</v>
      </c>
      <c r="G13" s="23">
        <v>2760</v>
      </c>
      <c r="H13" s="24">
        <f t="shared" si="0"/>
        <v>13161846.6</v>
      </c>
      <c r="I13" s="25">
        <f t="shared" si="1"/>
        <v>1426.9199999999255</v>
      </c>
      <c r="J13" s="47">
        <v>8166.6660000000002</v>
      </c>
      <c r="K13" s="101">
        <v>1504.2000000011176</v>
      </c>
      <c r="L13" s="69">
        <v>8208.2400000002199</v>
      </c>
      <c r="M13" s="70">
        <v>7322.2799999993204</v>
      </c>
      <c r="N13" s="97">
        <v>6698.5200000004797</v>
      </c>
      <c r="O13" s="71"/>
      <c r="P13" s="72"/>
      <c r="Q13" s="39"/>
      <c r="R13" s="73"/>
      <c r="S13" s="73"/>
      <c r="T13" s="73"/>
      <c r="U13" s="25"/>
      <c r="V13" s="25"/>
      <c r="W13" s="74"/>
      <c r="X13" s="75"/>
      <c r="Y13" s="33"/>
      <c r="Z13" s="39"/>
      <c r="AA13" s="80"/>
      <c r="AB13" s="73"/>
      <c r="AC13" s="73"/>
      <c r="AD13" s="25"/>
      <c r="AE13" s="25"/>
      <c r="AF13" s="74"/>
      <c r="AG13" s="75"/>
      <c r="AI13" s="39"/>
      <c r="AJ13" s="22"/>
      <c r="AK13" s="22"/>
      <c r="AL13" s="22"/>
      <c r="AM13" s="22"/>
      <c r="AN13" s="23"/>
      <c r="AO13" s="23"/>
      <c r="AP13" s="76"/>
      <c r="AQ13" s="23"/>
      <c r="AR13" s="77"/>
      <c r="AS13" s="23"/>
      <c r="AT13" s="78"/>
      <c r="AU13" s="79"/>
      <c r="AV13" s="24"/>
      <c r="AW13" s="25"/>
      <c r="AX13" s="25"/>
    </row>
    <row r="14" spans="3:50" x14ac:dyDescent="0.25">
      <c r="C14" s="68">
        <v>1800</v>
      </c>
      <c r="D14" s="68">
        <v>2700</v>
      </c>
      <c r="E14" s="39">
        <v>44541</v>
      </c>
      <c r="F14" s="92">
        <v>4769.299</v>
      </c>
      <c r="G14" s="23">
        <v>2760</v>
      </c>
      <c r="H14" s="24">
        <f t="shared" si="0"/>
        <v>13163265.24</v>
      </c>
      <c r="I14" s="25">
        <f t="shared" si="1"/>
        <v>1418.640000000596</v>
      </c>
      <c r="J14" s="47">
        <v>8166.6660000000002</v>
      </c>
      <c r="K14" s="101">
        <v>1479.359999999404</v>
      </c>
      <c r="L14" s="69">
        <v>7899.1200000010431</v>
      </c>
      <c r="M14" s="70">
        <v>7214.640000000596</v>
      </c>
      <c r="N14" s="97">
        <v>7087.679999999702</v>
      </c>
      <c r="O14" s="71"/>
      <c r="P14" s="33"/>
      <c r="Q14" s="39"/>
      <c r="R14" s="73"/>
      <c r="S14" s="73"/>
      <c r="T14" s="73"/>
      <c r="U14" s="25"/>
      <c r="V14" s="25"/>
      <c r="W14" s="74"/>
      <c r="X14" s="75"/>
      <c r="Y14" s="33"/>
      <c r="Z14" s="39"/>
      <c r="AA14" s="80"/>
      <c r="AB14" s="73"/>
      <c r="AC14" s="73"/>
      <c r="AD14" s="25"/>
      <c r="AE14" s="25"/>
      <c r="AF14" s="74"/>
      <c r="AG14" s="75"/>
      <c r="AI14" s="39"/>
      <c r="AJ14" s="22"/>
      <c r="AK14" s="22"/>
      <c r="AL14" s="22"/>
      <c r="AM14" s="22"/>
      <c r="AN14" s="23"/>
      <c r="AO14" s="23"/>
      <c r="AP14" s="76"/>
      <c r="AQ14" s="23"/>
      <c r="AR14" s="77"/>
      <c r="AS14" s="23"/>
      <c r="AT14" s="78"/>
      <c r="AU14" s="79"/>
      <c r="AV14" s="24"/>
      <c r="AW14" s="25"/>
      <c r="AX14" s="25"/>
    </row>
    <row r="15" spans="3:50" x14ac:dyDescent="0.25">
      <c r="C15" s="68">
        <v>1400</v>
      </c>
      <c r="D15" s="68">
        <v>2800</v>
      </c>
      <c r="E15" s="39">
        <v>44542</v>
      </c>
      <c r="F15" s="92">
        <v>4769.7690000000002</v>
      </c>
      <c r="G15" s="23">
        <v>2760</v>
      </c>
      <c r="H15" s="24">
        <f t="shared" si="0"/>
        <v>13164562.440000001</v>
      </c>
      <c r="I15" s="25">
        <f t="shared" si="1"/>
        <v>1297.2000000011176</v>
      </c>
      <c r="J15" s="47">
        <v>8166.6660000000002</v>
      </c>
      <c r="K15" s="101">
        <v>1542.839999999851</v>
      </c>
      <c r="L15" s="69">
        <v>8387.6399999987298</v>
      </c>
      <c r="M15" s="70">
        <v>7258.7999999998137</v>
      </c>
      <c r="N15" s="97">
        <v>6701.2799999993294</v>
      </c>
      <c r="O15" s="71"/>
      <c r="P15" s="33"/>
      <c r="Q15" s="39"/>
      <c r="R15" s="73"/>
      <c r="S15" s="73"/>
      <c r="T15" s="73"/>
      <c r="U15" s="25"/>
      <c r="V15" s="25"/>
      <c r="W15" s="81"/>
      <c r="X15" s="75"/>
      <c r="Y15" s="33"/>
      <c r="Z15" s="39"/>
      <c r="AA15" s="80"/>
      <c r="AB15" s="73"/>
      <c r="AC15" s="73"/>
      <c r="AD15" s="25"/>
      <c r="AE15" s="25"/>
      <c r="AF15" s="74"/>
      <c r="AG15" s="75"/>
      <c r="AI15" s="39"/>
      <c r="AJ15" s="22"/>
      <c r="AK15" s="22"/>
      <c r="AL15" s="22"/>
      <c r="AM15" s="22"/>
      <c r="AN15" s="23"/>
      <c r="AO15" s="23"/>
      <c r="AP15" s="76"/>
      <c r="AQ15" s="23"/>
      <c r="AR15" s="77"/>
      <c r="AS15" s="23"/>
      <c r="AT15" s="78"/>
      <c r="AU15" s="79"/>
      <c r="AV15" s="24"/>
      <c r="AW15" s="25"/>
      <c r="AX15" s="25"/>
    </row>
    <row r="16" spans="3:50" x14ac:dyDescent="0.25">
      <c r="C16" s="68">
        <v>1600</v>
      </c>
      <c r="D16" s="68">
        <v>2900</v>
      </c>
      <c r="E16" s="39">
        <v>44543</v>
      </c>
      <c r="F16" s="92">
        <v>4770.2219999999998</v>
      </c>
      <c r="G16" s="23">
        <v>2760</v>
      </c>
      <c r="H16" s="24">
        <f t="shared" si="0"/>
        <v>13165812.719999999</v>
      </c>
      <c r="I16" s="25">
        <f t="shared" si="1"/>
        <v>1250.2799999974668</v>
      </c>
      <c r="J16" s="47">
        <v>8166.6660000000002</v>
      </c>
      <c r="K16" s="101">
        <v>1449</v>
      </c>
      <c r="L16" s="69">
        <v>8026.0800000019372</v>
      </c>
      <c r="M16" s="70">
        <v>6922.0800000000745</v>
      </c>
      <c r="N16" s="97">
        <v>6463.9200000008568</v>
      </c>
      <c r="O16" s="71"/>
      <c r="P16" s="33"/>
      <c r="Q16" s="39"/>
      <c r="R16" s="73"/>
      <c r="S16" s="73"/>
      <c r="T16" s="73"/>
      <c r="U16" s="25"/>
      <c r="V16" s="25"/>
      <c r="W16" s="81"/>
      <c r="X16" s="75"/>
      <c r="Y16" s="33"/>
      <c r="Z16" s="39"/>
      <c r="AA16" s="80"/>
      <c r="AB16" s="73"/>
      <c r="AC16" s="73"/>
      <c r="AD16" s="25"/>
      <c r="AE16" s="25"/>
      <c r="AF16" s="74"/>
      <c r="AG16" s="75"/>
      <c r="AI16" s="39"/>
      <c r="AJ16" s="22"/>
      <c r="AK16" s="22"/>
      <c r="AL16" s="22"/>
      <c r="AM16" s="22"/>
      <c r="AN16" s="23"/>
      <c r="AO16" s="23"/>
      <c r="AP16" s="76"/>
      <c r="AQ16" s="23"/>
      <c r="AR16" s="77"/>
      <c r="AS16" s="23"/>
      <c r="AT16" s="78"/>
      <c r="AU16" s="79"/>
      <c r="AV16" s="24"/>
      <c r="AW16" s="25"/>
      <c r="AX16" s="25"/>
    </row>
    <row r="17" spans="3:50" x14ac:dyDescent="0.25">
      <c r="C17" s="68">
        <v>1700</v>
      </c>
      <c r="D17" s="68">
        <v>3000</v>
      </c>
      <c r="E17" s="39">
        <v>44544</v>
      </c>
      <c r="F17" s="92">
        <v>4770.7150000000001</v>
      </c>
      <c r="G17" s="23">
        <v>2760</v>
      </c>
      <c r="H17" s="24">
        <f t="shared" si="0"/>
        <v>13167173.4</v>
      </c>
      <c r="I17" s="25">
        <f t="shared" si="1"/>
        <v>1360.6800000015646</v>
      </c>
      <c r="J17" s="47">
        <v>8166.6660000000002</v>
      </c>
      <c r="K17" s="101">
        <v>1421.4000000003725</v>
      </c>
      <c r="L17" s="69">
        <v>8100.5999999996275</v>
      </c>
      <c r="M17" s="70">
        <v>6684.7199999997301</v>
      </c>
      <c r="N17" s="97">
        <v>6397.6799999997002</v>
      </c>
      <c r="O17" s="71"/>
      <c r="P17" s="33"/>
      <c r="Q17" s="39"/>
      <c r="R17" s="73"/>
      <c r="S17" s="73"/>
      <c r="T17" s="73"/>
      <c r="U17" s="25"/>
      <c r="V17" s="25"/>
      <c r="W17" s="74"/>
      <c r="X17" s="75"/>
      <c r="Y17" s="33"/>
      <c r="Z17" s="39"/>
      <c r="AA17" s="80"/>
      <c r="AB17" s="73"/>
      <c r="AC17" s="73"/>
      <c r="AD17" s="25"/>
      <c r="AE17" s="25"/>
      <c r="AF17" s="74"/>
      <c r="AG17" s="75"/>
      <c r="AI17" s="39"/>
      <c r="AJ17" s="22"/>
      <c r="AK17" s="22"/>
      <c r="AL17" s="22"/>
      <c r="AM17" s="22"/>
      <c r="AN17" s="23"/>
      <c r="AO17" s="23"/>
      <c r="AP17" s="76"/>
      <c r="AQ17" s="23"/>
      <c r="AR17" s="77"/>
      <c r="AS17" s="23"/>
      <c r="AT17" s="78"/>
      <c r="AU17" s="79"/>
      <c r="AV17" s="24"/>
      <c r="AW17" s="25"/>
      <c r="AX17" s="25"/>
    </row>
    <row r="18" spans="3:50" x14ac:dyDescent="0.25">
      <c r="C18" s="68">
        <v>1100</v>
      </c>
      <c r="D18" s="68">
        <v>3000</v>
      </c>
      <c r="E18" s="39">
        <v>44545</v>
      </c>
      <c r="F18" s="92">
        <v>4771.2150000000001</v>
      </c>
      <c r="G18" s="23">
        <v>2760</v>
      </c>
      <c r="H18" s="24">
        <f t="shared" si="0"/>
        <v>13168553.4</v>
      </c>
      <c r="I18" s="25">
        <f t="shared" si="1"/>
        <v>1380</v>
      </c>
      <c r="J18" s="47">
        <v>8166.6660000000002</v>
      </c>
      <c r="K18" s="101">
        <v>1429.679999999702</v>
      </c>
      <c r="L18" s="69">
        <v>7921.1999999992549</v>
      </c>
      <c r="M18" s="70">
        <v>6593.640000000596</v>
      </c>
      <c r="N18" s="97">
        <v>6662.6399999996647</v>
      </c>
      <c r="O18" s="71"/>
      <c r="P18" s="33"/>
      <c r="Q18" s="39"/>
      <c r="R18" s="73"/>
      <c r="S18" s="73"/>
      <c r="T18" s="73"/>
      <c r="U18" s="25"/>
      <c r="V18" s="25"/>
      <c r="W18" s="74"/>
      <c r="X18" s="75"/>
      <c r="Y18" s="33"/>
      <c r="Z18" s="39"/>
      <c r="AA18" s="80"/>
      <c r="AB18" s="73"/>
      <c r="AC18" s="73"/>
      <c r="AD18" s="25"/>
      <c r="AE18" s="25"/>
      <c r="AF18" s="74"/>
      <c r="AG18" s="75"/>
      <c r="AI18" s="39"/>
      <c r="AJ18" s="22"/>
      <c r="AK18" s="22"/>
      <c r="AL18" s="22"/>
      <c r="AM18" s="22"/>
      <c r="AN18" s="23"/>
      <c r="AO18" s="23"/>
      <c r="AP18" s="76"/>
      <c r="AQ18" s="23"/>
      <c r="AR18" s="77"/>
      <c r="AS18" s="23"/>
      <c r="AT18" s="78"/>
      <c r="AU18" s="79"/>
      <c r="AV18" s="24"/>
      <c r="AW18" s="25"/>
      <c r="AX18" s="25"/>
    </row>
    <row r="19" spans="3:50" x14ac:dyDescent="0.25">
      <c r="C19" s="68">
        <v>500</v>
      </c>
      <c r="D19" s="68">
        <v>3500</v>
      </c>
      <c r="E19" s="39">
        <v>44546</v>
      </c>
      <c r="F19" s="92">
        <v>4771.7510000000002</v>
      </c>
      <c r="G19" s="23">
        <v>2760</v>
      </c>
      <c r="H19" s="24">
        <f t="shared" si="0"/>
        <v>13170032.76</v>
      </c>
      <c r="I19" s="25">
        <f t="shared" si="1"/>
        <v>1479.359999999404</v>
      </c>
      <c r="J19" s="47">
        <v>8166.6660000000002</v>
      </c>
      <c r="K19" s="101">
        <v>1308.2400000020862</v>
      </c>
      <c r="L19" s="69">
        <v>7962.5999999996275</v>
      </c>
      <c r="M19" s="70">
        <v>6541.1999999992549</v>
      </c>
      <c r="N19" s="97">
        <v>6480.480000000447</v>
      </c>
      <c r="O19" s="71"/>
      <c r="P19" s="33"/>
      <c r="Q19" s="39"/>
      <c r="R19" s="73"/>
      <c r="S19" s="73"/>
      <c r="T19" s="73"/>
      <c r="U19" s="25"/>
      <c r="V19" s="25"/>
      <c r="W19" s="74"/>
      <c r="X19" s="75"/>
      <c r="Y19" s="33"/>
      <c r="Z19" s="39"/>
      <c r="AA19" s="80"/>
      <c r="AB19" s="73"/>
      <c r="AC19" s="73"/>
      <c r="AD19" s="25"/>
      <c r="AE19" s="25"/>
      <c r="AF19" s="74"/>
      <c r="AG19" s="75"/>
      <c r="AI19" s="39"/>
      <c r="AJ19" s="22"/>
      <c r="AK19" s="22"/>
      <c r="AL19" s="22"/>
      <c r="AM19" s="22"/>
      <c r="AN19" s="23"/>
      <c r="AO19" s="23"/>
      <c r="AP19" s="76"/>
      <c r="AQ19" s="23"/>
      <c r="AR19" s="77"/>
      <c r="AS19" s="23"/>
      <c r="AT19" s="78"/>
      <c r="AU19" s="79"/>
      <c r="AV19" s="24"/>
      <c r="AW19" s="25"/>
      <c r="AX19" s="25"/>
    </row>
    <row r="20" spans="3:50" x14ac:dyDescent="0.25">
      <c r="C20" s="68">
        <v>500</v>
      </c>
      <c r="D20" s="68">
        <v>2700</v>
      </c>
      <c r="E20" s="39">
        <v>44547</v>
      </c>
      <c r="F20" s="92">
        <v>4772.29</v>
      </c>
      <c r="G20" s="23">
        <v>2760</v>
      </c>
      <c r="H20" s="24">
        <f t="shared" si="0"/>
        <v>13171520.4</v>
      </c>
      <c r="I20" s="25">
        <f t="shared" si="1"/>
        <v>1487.640000000596</v>
      </c>
      <c r="J20" s="47">
        <v>8166.6660000000002</v>
      </c>
      <c r="K20" s="101">
        <v>1426.9199999980628</v>
      </c>
      <c r="L20" s="69">
        <v>8263.4399999994785</v>
      </c>
      <c r="M20" s="70">
        <v>6458.4000000003725</v>
      </c>
      <c r="N20" s="97">
        <v>6240.3600000003353</v>
      </c>
      <c r="O20" s="71"/>
      <c r="P20" s="33"/>
      <c r="Q20" s="39"/>
      <c r="R20" s="73"/>
      <c r="S20" s="73"/>
      <c r="T20" s="73"/>
      <c r="U20" s="25"/>
      <c r="V20" s="25"/>
      <c r="W20" s="74"/>
      <c r="X20" s="75"/>
      <c r="Y20" s="33"/>
      <c r="Z20" s="39"/>
      <c r="AA20" s="80"/>
      <c r="AB20" s="73"/>
      <c r="AC20" s="73"/>
      <c r="AD20" s="25"/>
      <c r="AE20" s="25"/>
      <c r="AF20" s="74"/>
      <c r="AG20" s="75"/>
      <c r="AI20" s="39"/>
      <c r="AJ20" s="22"/>
      <c r="AK20" s="22"/>
      <c r="AL20" s="22"/>
      <c r="AM20" s="22"/>
      <c r="AN20" s="23"/>
      <c r="AO20" s="23"/>
      <c r="AP20" s="76"/>
      <c r="AQ20" s="23"/>
      <c r="AR20" s="77"/>
      <c r="AS20" s="23"/>
      <c r="AT20" s="78"/>
      <c r="AU20" s="79"/>
      <c r="AV20" s="24"/>
      <c r="AW20" s="25"/>
      <c r="AX20" s="25"/>
    </row>
    <row r="21" spans="3:50" x14ac:dyDescent="0.25">
      <c r="C21" s="68">
        <v>900</v>
      </c>
      <c r="D21" s="68">
        <v>2700</v>
      </c>
      <c r="E21" s="39">
        <v>44548</v>
      </c>
      <c r="F21" s="92">
        <v>4772.8370000000004</v>
      </c>
      <c r="G21" s="23">
        <v>2760</v>
      </c>
      <c r="H21" s="24">
        <f t="shared" si="0"/>
        <v>13173030.120000001</v>
      </c>
      <c r="I21" s="25">
        <f t="shared" si="1"/>
        <v>1509.7200000006706</v>
      </c>
      <c r="J21" s="47">
        <v>8166.6660000000002</v>
      </c>
      <c r="K21" s="101">
        <v>1421.4000000022352</v>
      </c>
      <c r="L21" s="69">
        <v>8153.0400000009686</v>
      </c>
      <c r="M21" s="70">
        <v>6720.5999999996275</v>
      </c>
      <c r="N21" s="97">
        <v>5969.8799999998882</v>
      </c>
      <c r="O21" s="71"/>
      <c r="P21" s="33"/>
      <c r="Q21" s="39"/>
      <c r="R21" s="73"/>
      <c r="S21" s="73"/>
      <c r="T21" s="73"/>
      <c r="U21" s="25"/>
      <c r="V21" s="25"/>
      <c r="W21" s="74"/>
      <c r="X21" s="75"/>
      <c r="Y21" s="33"/>
      <c r="Z21" s="39"/>
      <c r="AA21" s="80"/>
      <c r="AB21" s="73"/>
      <c r="AC21" s="73"/>
      <c r="AD21" s="25"/>
      <c r="AE21" s="25"/>
      <c r="AF21" s="74"/>
      <c r="AG21" s="75"/>
      <c r="AI21" s="39"/>
      <c r="AJ21" s="22"/>
      <c r="AK21" s="22"/>
      <c r="AL21" s="22"/>
      <c r="AM21" s="22"/>
      <c r="AN21" s="23"/>
      <c r="AO21" s="23"/>
      <c r="AP21" s="76"/>
      <c r="AQ21" s="23"/>
      <c r="AR21" s="77"/>
      <c r="AS21" s="23"/>
      <c r="AT21" s="78"/>
      <c r="AU21" s="79"/>
      <c r="AV21" s="24"/>
      <c r="AW21" s="25"/>
      <c r="AX21" s="25"/>
    </row>
    <row r="22" spans="3:50" x14ac:dyDescent="0.25">
      <c r="C22" s="68">
        <v>300</v>
      </c>
      <c r="D22" s="68">
        <v>2700</v>
      </c>
      <c r="E22" s="39">
        <v>44549</v>
      </c>
      <c r="F22" s="92">
        <v>4773.3900000000003</v>
      </c>
      <c r="G22" s="23">
        <v>2760</v>
      </c>
      <c r="H22" s="24">
        <f t="shared" si="0"/>
        <v>13174556.4</v>
      </c>
      <c r="I22" s="25">
        <f t="shared" si="1"/>
        <v>1526.2799999993294</v>
      </c>
      <c r="J22" s="47">
        <v>8166.6660000000002</v>
      </c>
      <c r="K22" s="101">
        <v>1457.2799999974668</v>
      </c>
      <c r="L22" s="69">
        <v>7979.160000000149</v>
      </c>
      <c r="M22" s="70">
        <v>6731.6399999996647</v>
      </c>
      <c r="N22" s="97">
        <v>5337.839999999851</v>
      </c>
      <c r="O22" s="71"/>
      <c r="P22" s="33"/>
      <c r="Q22" s="39"/>
      <c r="R22" s="73"/>
      <c r="S22" s="73"/>
      <c r="T22" s="73"/>
      <c r="U22" s="25"/>
      <c r="V22" s="25"/>
      <c r="W22" s="74"/>
      <c r="X22" s="75"/>
      <c r="Y22" s="33"/>
      <c r="Z22" s="39"/>
      <c r="AA22" s="80"/>
      <c r="AB22" s="73"/>
      <c r="AC22" s="73"/>
      <c r="AD22" s="25"/>
      <c r="AE22" s="25"/>
      <c r="AF22" s="74"/>
      <c r="AG22" s="75"/>
      <c r="AI22" s="39"/>
      <c r="AJ22" s="22"/>
      <c r="AK22" s="22"/>
      <c r="AL22" s="22"/>
      <c r="AM22" s="22"/>
      <c r="AN22" s="23"/>
      <c r="AO22" s="23"/>
      <c r="AP22" s="76"/>
      <c r="AQ22" s="23"/>
      <c r="AR22" s="77"/>
      <c r="AS22" s="23"/>
      <c r="AT22" s="78"/>
      <c r="AU22" s="79"/>
      <c r="AV22" s="24"/>
      <c r="AW22" s="25"/>
      <c r="AX22" s="25"/>
    </row>
    <row r="23" spans="3:50" x14ac:dyDescent="0.25">
      <c r="C23" s="68">
        <v>300</v>
      </c>
      <c r="D23" s="68">
        <v>2700</v>
      </c>
      <c r="E23" s="39">
        <v>44550</v>
      </c>
      <c r="F23" s="92"/>
      <c r="G23" s="23">
        <v>2760</v>
      </c>
      <c r="H23" s="24">
        <f t="shared" si="0"/>
        <v>0</v>
      </c>
      <c r="I23" s="25">
        <f t="shared" si="1"/>
        <v>-13174556.4</v>
      </c>
      <c r="J23" s="47">
        <v>8166.6660000000002</v>
      </c>
      <c r="K23" s="101">
        <v>1476.5999999996275</v>
      </c>
      <c r="L23" s="69">
        <v>8202.7199999988079</v>
      </c>
      <c r="M23" s="70">
        <v>6847.5600000005215</v>
      </c>
      <c r="N23" s="97">
        <v>4170.3600000003353</v>
      </c>
      <c r="O23" s="71"/>
      <c r="P23" s="33"/>
      <c r="Q23" s="39"/>
      <c r="R23" s="73"/>
      <c r="S23" s="73"/>
      <c r="T23" s="73"/>
      <c r="U23" s="25"/>
      <c r="V23" s="25"/>
      <c r="W23" s="74"/>
      <c r="X23" s="75"/>
      <c r="Y23" s="33"/>
      <c r="Z23" s="39"/>
      <c r="AA23" s="80"/>
      <c r="AB23" s="73"/>
      <c r="AC23" s="73"/>
      <c r="AD23" s="25"/>
      <c r="AE23" s="25"/>
      <c r="AF23" s="74"/>
      <c r="AG23" s="75"/>
      <c r="AI23" s="39"/>
      <c r="AJ23" s="22"/>
      <c r="AK23" s="22"/>
      <c r="AL23" s="22"/>
      <c r="AM23" s="22"/>
      <c r="AN23" s="23"/>
      <c r="AO23" s="23"/>
      <c r="AP23" s="76"/>
      <c r="AQ23" s="23"/>
      <c r="AR23" s="77"/>
      <c r="AS23" s="23"/>
      <c r="AT23" s="78"/>
      <c r="AU23" s="79"/>
      <c r="AV23" s="24"/>
      <c r="AW23" s="25"/>
      <c r="AX23" s="25"/>
    </row>
    <row r="24" spans="3:50" x14ac:dyDescent="0.25">
      <c r="C24" s="68">
        <v>1800</v>
      </c>
      <c r="D24" s="68">
        <v>2700</v>
      </c>
      <c r="E24" s="39">
        <v>44551</v>
      </c>
      <c r="F24" s="92"/>
      <c r="G24" s="23">
        <v>2760</v>
      </c>
      <c r="H24" s="24">
        <f t="shared" si="0"/>
        <v>0</v>
      </c>
      <c r="I24" s="25">
        <f t="shared" si="1"/>
        <v>0</v>
      </c>
      <c r="J24" s="47">
        <v>8166.6660000000002</v>
      </c>
      <c r="K24" s="101">
        <v>1457.2800000011921</v>
      </c>
      <c r="L24" s="69">
        <v>8188.9199999999255</v>
      </c>
      <c r="M24" s="70">
        <v>6980.0400000000373</v>
      </c>
      <c r="N24" s="97">
        <v>3952.320000000298</v>
      </c>
      <c r="O24" s="71"/>
      <c r="P24" s="33"/>
      <c r="Q24" s="39"/>
      <c r="R24" s="73"/>
      <c r="S24" s="73"/>
      <c r="T24" s="73"/>
      <c r="U24" s="25"/>
      <c r="V24" s="25"/>
      <c r="W24" s="74"/>
      <c r="X24" s="75"/>
      <c r="Y24" s="33"/>
      <c r="Z24" s="39"/>
      <c r="AA24" s="80"/>
      <c r="AB24" s="73"/>
      <c r="AC24" s="73"/>
      <c r="AD24" s="25"/>
      <c r="AE24" s="25"/>
      <c r="AF24" s="74"/>
      <c r="AG24" s="75"/>
      <c r="AI24" s="39"/>
      <c r="AJ24" s="22"/>
      <c r="AK24" s="22"/>
      <c r="AL24" s="22"/>
      <c r="AM24" s="22"/>
      <c r="AN24" s="23"/>
      <c r="AO24" s="23"/>
      <c r="AP24" s="76"/>
      <c r="AQ24" s="23"/>
      <c r="AR24" s="77"/>
      <c r="AS24" s="23"/>
      <c r="AT24" s="78"/>
      <c r="AU24" s="79"/>
      <c r="AV24" s="24"/>
      <c r="AW24" s="25"/>
      <c r="AX24" s="25"/>
    </row>
    <row r="25" spans="3:50" x14ac:dyDescent="0.25">
      <c r="C25" s="68">
        <v>600</v>
      </c>
      <c r="D25" s="68">
        <v>2700</v>
      </c>
      <c r="E25" s="39">
        <v>44552</v>
      </c>
      <c r="F25" s="92"/>
      <c r="G25" s="23">
        <v>2760</v>
      </c>
      <c r="H25" s="24">
        <f t="shared" si="0"/>
        <v>0</v>
      </c>
      <c r="I25" s="25">
        <f t="shared" si="1"/>
        <v>0</v>
      </c>
      <c r="J25" s="47">
        <v>8166.6660000000002</v>
      </c>
      <c r="K25" s="101">
        <v>1449</v>
      </c>
      <c r="L25" s="69">
        <v>8517.359999999404</v>
      </c>
      <c r="M25" s="70">
        <v>6803.4000000003725</v>
      </c>
      <c r="N25" s="97">
        <v>4076.519999999553</v>
      </c>
      <c r="O25" s="71"/>
      <c r="P25" s="33"/>
      <c r="Q25" s="39"/>
      <c r="R25" s="73"/>
      <c r="S25" s="73"/>
      <c r="T25" s="73"/>
      <c r="U25" s="25"/>
      <c r="V25" s="25"/>
      <c r="W25" s="74"/>
      <c r="X25" s="75"/>
      <c r="Y25" s="33"/>
      <c r="Z25" s="39"/>
      <c r="AA25" s="80"/>
      <c r="AB25" s="73"/>
      <c r="AC25" s="73"/>
      <c r="AD25" s="25"/>
      <c r="AE25" s="25"/>
      <c r="AF25" s="74"/>
      <c r="AG25" s="75"/>
      <c r="AI25" s="39"/>
      <c r="AJ25" s="22"/>
      <c r="AK25" s="22"/>
      <c r="AL25" s="22"/>
      <c r="AM25" s="22"/>
      <c r="AN25" s="23"/>
      <c r="AO25" s="23"/>
      <c r="AP25" s="76"/>
      <c r="AQ25" s="23"/>
      <c r="AR25" s="77"/>
      <c r="AS25" s="23"/>
      <c r="AT25" s="78"/>
      <c r="AU25" s="79"/>
      <c r="AV25" s="24"/>
      <c r="AW25" s="25"/>
      <c r="AX25" s="25"/>
    </row>
    <row r="26" spans="3:50" x14ac:dyDescent="0.25">
      <c r="C26" s="68">
        <v>1100</v>
      </c>
      <c r="D26" s="68">
        <v>2700</v>
      </c>
      <c r="E26" s="39">
        <v>44553</v>
      </c>
      <c r="F26" s="92"/>
      <c r="G26" s="23">
        <v>2760</v>
      </c>
      <c r="H26" s="24">
        <f t="shared" si="0"/>
        <v>0</v>
      </c>
      <c r="I26" s="25">
        <f t="shared" si="1"/>
        <v>0</v>
      </c>
      <c r="J26" s="47">
        <v>8166.6660000000002</v>
      </c>
      <c r="K26" s="101">
        <v>1360.679999999702</v>
      </c>
      <c r="L26" s="69">
        <v>8268.9600000008941</v>
      </c>
      <c r="M26" s="70">
        <v>6643.3199999993667</v>
      </c>
      <c r="N26" s="102">
        <v>3935.7599999997765</v>
      </c>
      <c r="O26" s="82"/>
      <c r="P26" s="83"/>
      <c r="Q26" s="39"/>
      <c r="R26" s="73"/>
      <c r="S26" s="84"/>
      <c r="T26" s="73"/>
      <c r="U26" s="25"/>
      <c r="V26" s="85"/>
      <c r="W26" s="86"/>
      <c r="X26" s="75"/>
      <c r="Y26" s="33"/>
      <c r="Z26" s="39"/>
      <c r="AA26" s="80"/>
      <c r="AB26" s="73"/>
      <c r="AC26" s="73"/>
      <c r="AD26" s="25"/>
      <c r="AE26" s="25"/>
      <c r="AF26" s="86"/>
      <c r="AG26" s="75"/>
      <c r="AI26" s="39"/>
      <c r="AJ26" s="22"/>
      <c r="AK26" s="22"/>
      <c r="AL26" s="22"/>
      <c r="AM26" s="22"/>
      <c r="AN26" s="28"/>
      <c r="AO26" s="28"/>
      <c r="AP26" s="76"/>
      <c r="AQ26" s="28"/>
      <c r="AR26" s="77"/>
      <c r="AS26" s="28"/>
      <c r="AT26" s="78"/>
      <c r="AU26" s="79"/>
      <c r="AV26" s="29"/>
      <c r="AW26" s="25"/>
      <c r="AX26" s="25"/>
    </row>
    <row r="27" spans="3:50" x14ac:dyDescent="0.25">
      <c r="C27" s="68">
        <v>700</v>
      </c>
      <c r="D27" s="68">
        <v>3000</v>
      </c>
      <c r="E27" s="39">
        <v>44554</v>
      </c>
      <c r="F27" s="92"/>
      <c r="G27" s="23">
        <v>2760</v>
      </c>
      <c r="H27" s="24">
        <f t="shared" si="0"/>
        <v>0</v>
      </c>
      <c r="I27" s="25">
        <f t="shared" si="1"/>
        <v>0</v>
      </c>
      <c r="J27" s="47">
        <v>8166.6660000000002</v>
      </c>
      <c r="K27" s="101">
        <v>1584.2400000020862</v>
      </c>
      <c r="L27" s="69">
        <v>8263.4400000013411</v>
      </c>
      <c r="M27" s="70">
        <v>6618.480000000447</v>
      </c>
      <c r="N27" s="102">
        <v>4181.4000000003725</v>
      </c>
      <c r="O27" s="82"/>
      <c r="P27" s="83"/>
      <c r="Q27" s="39"/>
      <c r="R27" s="84"/>
      <c r="S27" s="84"/>
      <c r="T27" s="73"/>
      <c r="U27" s="25"/>
      <c r="V27" s="85"/>
      <c r="W27" s="86"/>
      <c r="X27" s="75"/>
      <c r="Y27" s="33"/>
      <c r="Z27" s="39"/>
      <c r="AA27" s="80"/>
      <c r="AB27" s="73"/>
      <c r="AC27" s="73"/>
      <c r="AD27" s="25"/>
      <c r="AE27" s="25"/>
      <c r="AF27" s="86"/>
      <c r="AG27" s="75"/>
      <c r="AI27" s="39"/>
      <c r="AJ27" s="22"/>
      <c r="AK27" s="22"/>
      <c r="AL27" s="27"/>
      <c r="AM27" s="27"/>
      <c r="AN27" s="28"/>
      <c r="AO27" s="28"/>
      <c r="AP27" s="76"/>
      <c r="AQ27" s="28"/>
      <c r="AR27" s="77"/>
      <c r="AS27" s="28"/>
      <c r="AT27" s="78"/>
      <c r="AU27" s="79"/>
      <c r="AV27" s="29"/>
      <c r="AW27" s="25"/>
      <c r="AX27" s="25"/>
    </row>
    <row r="28" spans="3:50" x14ac:dyDescent="0.25">
      <c r="C28" s="68">
        <v>700</v>
      </c>
      <c r="D28" s="68">
        <v>3000</v>
      </c>
      <c r="E28" s="39">
        <v>44555</v>
      </c>
      <c r="F28" s="92"/>
      <c r="G28" s="23">
        <v>2760</v>
      </c>
      <c r="H28" s="24">
        <f t="shared" si="0"/>
        <v>0</v>
      </c>
      <c r="I28" s="25">
        <f t="shared" si="1"/>
        <v>0</v>
      </c>
      <c r="J28" s="47">
        <v>8166.6660000000002</v>
      </c>
      <c r="K28" s="101">
        <v>1575.9599999990314</v>
      </c>
      <c r="L28" s="69">
        <v>8015.0399999991059</v>
      </c>
      <c r="M28" s="70">
        <v>6593.640000000596</v>
      </c>
      <c r="N28" s="102">
        <v>4347</v>
      </c>
      <c r="O28" s="82"/>
      <c r="P28" s="83"/>
      <c r="Q28" s="39"/>
      <c r="R28" s="84"/>
      <c r="S28" s="84"/>
      <c r="T28" s="73"/>
      <c r="U28" s="25"/>
      <c r="V28" s="85"/>
      <c r="W28" s="86"/>
      <c r="X28" s="75"/>
      <c r="Y28" s="33"/>
      <c r="Z28" s="39"/>
      <c r="AA28" s="80"/>
      <c r="AB28" s="73"/>
      <c r="AC28" s="73"/>
      <c r="AD28" s="25"/>
      <c r="AE28" s="25"/>
      <c r="AF28" s="86"/>
      <c r="AG28" s="75"/>
      <c r="AI28" s="39"/>
      <c r="AJ28" s="22"/>
      <c r="AK28" s="27"/>
      <c r="AL28" s="27"/>
      <c r="AM28" s="27"/>
      <c r="AN28" s="28"/>
      <c r="AO28" s="28"/>
      <c r="AP28" s="76"/>
      <c r="AQ28" s="28"/>
      <c r="AR28" s="77"/>
      <c r="AS28" s="28"/>
      <c r="AT28" s="78"/>
      <c r="AU28" s="79"/>
      <c r="AV28" s="29"/>
      <c r="AW28" s="25"/>
      <c r="AX28" s="25"/>
    </row>
    <row r="29" spans="3:50" x14ac:dyDescent="0.25">
      <c r="C29" s="68">
        <v>900</v>
      </c>
      <c r="D29" s="68">
        <v>3000</v>
      </c>
      <c r="E29" s="39">
        <v>44556</v>
      </c>
      <c r="F29" s="92"/>
      <c r="G29" s="23">
        <v>2760</v>
      </c>
      <c r="H29" s="24">
        <f t="shared" si="0"/>
        <v>0</v>
      </c>
      <c r="I29" s="25">
        <f t="shared" si="1"/>
        <v>0</v>
      </c>
      <c r="J29" s="47">
        <v>8166.6660000000002</v>
      </c>
      <c r="K29" s="101">
        <v>1495.9199999980628</v>
      </c>
      <c r="L29" s="69">
        <v>7923.9600000008941</v>
      </c>
      <c r="M29" s="70">
        <v>6679.2000000001863</v>
      </c>
      <c r="N29" s="102">
        <v>4335.9599999990314</v>
      </c>
      <c r="O29" s="82"/>
      <c r="P29" s="83"/>
      <c r="Q29" s="39"/>
      <c r="R29" s="84"/>
      <c r="S29" s="84"/>
      <c r="T29" s="73"/>
      <c r="U29" s="85"/>
      <c r="V29" s="85"/>
      <c r="W29" s="86"/>
      <c r="X29" s="75"/>
      <c r="Y29" s="33"/>
      <c r="Z29" s="39"/>
      <c r="AA29" s="80"/>
      <c r="AB29" s="73"/>
      <c r="AC29" s="73"/>
      <c r="AD29" s="25"/>
      <c r="AE29" s="25"/>
      <c r="AF29" s="86"/>
      <c r="AG29" s="75"/>
      <c r="AI29" s="39"/>
      <c r="AJ29" s="22"/>
      <c r="AK29" s="27"/>
      <c r="AL29" s="27"/>
      <c r="AM29" s="27"/>
      <c r="AN29" s="28"/>
      <c r="AO29" s="28"/>
      <c r="AP29" s="76"/>
      <c r="AQ29" s="28"/>
      <c r="AR29" s="77"/>
      <c r="AS29" s="28"/>
      <c r="AT29" s="78"/>
      <c r="AU29" s="79"/>
      <c r="AV29" s="29"/>
      <c r="AW29" s="25"/>
      <c r="AX29" s="25"/>
    </row>
    <row r="30" spans="3:50" x14ac:dyDescent="0.25">
      <c r="C30" s="68">
        <v>800</v>
      </c>
      <c r="D30" s="68">
        <v>3000</v>
      </c>
      <c r="E30" s="39">
        <v>44557</v>
      </c>
      <c r="F30" s="92"/>
      <c r="G30" s="23">
        <v>2760</v>
      </c>
      <c r="H30" s="24">
        <f t="shared" si="0"/>
        <v>0</v>
      </c>
      <c r="I30" s="25">
        <f t="shared" si="1"/>
        <v>0</v>
      </c>
      <c r="J30" s="47">
        <v>8166.6660000000002</v>
      </c>
      <c r="K30" s="101">
        <v>1479.3600000012666</v>
      </c>
      <c r="L30" s="69">
        <v>7990.1999999992549</v>
      </c>
      <c r="M30" s="70">
        <v>6759.2399999983609</v>
      </c>
      <c r="N30" s="102">
        <v>4363.5600000005215</v>
      </c>
      <c r="O30" s="82"/>
      <c r="P30" s="83"/>
      <c r="Q30" s="39"/>
      <c r="R30" s="84"/>
      <c r="S30" s="84"/>
      <c r="T30" s="73"/>
      <c r="U30" s="85"/>
      <c r="V30" s="85"/>
      <c r="W30" s="86"/>
      <c r="X30" s="75"/>
      <c r="Y30" s="33"/>
      <c r="Z30" s="39"/>
      <c r="AA30" s="80"/>
      <c r="AB30" s="73"/>
      <c r="AC30" s="73"/>
      <c r="AD30" s="25"/>
      <c r="AE30" s="25"/>
      <c r="AF30" s="86"/>
      <c r="AG30" s="75"/>
      <c r="AI30" s="39"/>
      <c r="AJ30" s="22"/>
      <c r="AK30" s="27"/>
      <c r="AL30" s="27"/>
      <c r="AM30" s="27"/>
      <c r="AN30" s="28"/>
      <c r="AO30" s="28"/>
      <c r="AP30" s="76"/>
      <c r="AQ30" s="28"/>
      <c r="AR30" s="77"/>
      <c r="AS30" s="28"/>
      <c r="AT30" s="78"/>
      <c r="AU30" s="79"/>
      <c r="AV30" s="29"/>
      <c r="AW30" s="25"/>
      <c r="AX30" s="25"/>
    </row>
    <row r="31" spans="3:50" x14ac:dyDescent="0.25">
      <c r="C31" s="68">
        <v>700</v>
      </c>
      <c r="D31" s="68">
        <v>3000</v>
      </c>
      <c r="E31" s="39">
        <v>44558</v>
      </c>
      <c r="F31" s="92"/>
      <c r="G31" s="23">
        <v>2760</v>
      </c>
      <c r="H31" s="24">
        <f t="shared" si="0"/>
        <v>0</v>
      </c>
      <c r="I31" s="25">
        <f t="shared" si="1"/>
        <v>0</v>
      </c>
      <c r="J31" s="47">
        <v>8166.6660000000002</v>
      </c>
      <c r="K31" s="101">
        <v>1523.5200000014156</v>
      </c>
      <c r="L31" s="69">
        <v>7761.1199999991804</v>
      </c>
      <c r="M31" s="70">
        <v>6839.2800000002608</v>
      </c>
      <c r="N31" s="102">
        <v>4162.0800000000745</v>
      </c>
      <c r="O31" s="82"/>
      <c r="P31" s="83"/>
      <c r="Q31" s="39"/>
      <c r="R31" s="84"/>
      <c r="S31" s="84"/>
      <c r="T31" s="73"/>
      <c r="U31" s="85"/>
      <c r="V31" s="85"/>
      <c r="W31" s="86"/>
      <c r="X31" s="75"/>
      <c r="Y31" s="33"/>
      <c r="Z31" s="39"/>
      <c r="AA31" s="80"/>
      <c r="AB31" s="73"/>
      <c r="AC31" s="73"/>
      <c r="AD31" s="25"/>
      <c r="AE31" s="25"/>
      <c r="AF31" s="86"/>
      <c r="AG31" s="75"/>
      <c r="AI31" s="39"/>
      <c r="AJ31" s="22"/>
      <c r="AK31" s="27"/>
      <c r="AL31" s="27"/>
      <c r="AM31" s="27"/>
      <c r="AN31" s="28"/>
      <c r="AO31" s="28"/>
      <c r="AP31" s="76"/>
      <c r="AQ31" s="28"/>
      <c r="AR31" s="77"/>
      <c r="AS31" s="28"/>
      <c r="AT31" s="78"/>
      <c r="AU31" s="79"/>
      <c r="AV31" s="29"/>
      <c r="AW31" s="25"/>
      <c r="AX31" s="25"/>
    </row>
    <row r="32" spans="3:50" x14ac:dyDescent="0.25">
      <c r="C32" s="68">
        <v>800</v>
      </c>
      <c r="D32" s="68">
        <v>3000</v>
      </c>
      <c r="E32" s="39">
        <v>44559</v>
      </c>
      <c r="F32" s="92"/>
      <c r="G32" s="23">
        <v>2760</v>
      </c>
      <c r="H32" s="24">
        <f t="shared" si="0"/>
        <v>0</v>
      </c>
      <c r="I32" s="25">
        <f t="shared" si="1"/>
        <v>0</v>
      </c>
      <c r="J32" s="47">
        <v>8166.6660000000002</v>
      </c>
      <c r="K32" s="101">
        <v>1421.3999999985099</v>
      </c>
      <c r="L32" s="69">
        <v>8081.2800000011921</v>
      </c>
      <c r="M32" s="70">
        <v>6693.0000000009313</v>
      </c>
      <c r="N32" s="102">
        <v>4656.1200000001118</v>
      </c>
      <c r="O32" s="82"/>
      <c r="P32" s="83"/>
      <c r="Q32" s="39"/>
      <c r="R32" s="84"/>
      <c r="S32" s="84"/>
      <c r="T32" s="73"/>
      <c r="U32" s="85"/>
      <c r="V32" s="85"/>
      <c r="W32" s="86"/>
      <c r="X32" s="75"/>
      <c r="Y32" s="33"/>
      <c r="Z32" s="39"/>
      <c r="AA32" s="80"/>
      <c r="AB32" s="73"/>
      <c r="AC32" s="73"/>
      <c r="AD32" s="25"/>
      <c r="AE32" s="25"/>
      <c r="AF32" s="86"/>
      <c r="AG32" s="75"/>
      <c r="AI32" s="39"/>
      <c r="AJ32" s="22"/>
      <c r="AK32" s="27"/>
      <c r="AL32" s="27"/>
      <c r="AM32" s="27"/>
      <c r="AN32" s="28"/>
      <c r="AO32" s="28"/>
      <c r="AP32" s="76"/>
      <c r="AQ32" s="28"/>
      <c r="AR32" s="77"/>
      <c r="AS32" s="28"/>
      <c r="AT32" s="78"/>
      <c r="AU32" s="79"/>
      <c r="AV32" s="29"/>
      <c r="AW32" s="25"/>
      <c r="AX32" s="25"/>
    </row>
    <row r="33" spans="3:50" x14ac:dyDescent="0.25">
      <c r="C33" s="68">
        <v>900</v>
      </c>
      <c r="D33" s="68">
        <v>3000</v>
      </c>
      <c r="E33" s="39">
        <v>44560</v>
      </c>
      <c r="F33" s="92"/>
      <c r="G33" s="23">
        <v>2760</v>
      </c>
      <c r="H33" s="24">
        <f t="shared" si="0"/>
        <v>0</v>
      </c>
      <c r="I33" s="25">
        <f t="shared" si="1"/>
        <v>0</v>
      </c>
      <c r="J33" s="47">
        <v>8166.6660000000002</v>
      </c>
      <c r="K33" s="101">
        <v>1302.7199999988079</v>
      </c>
      <c r="L33" s="69">
        <v>7587.2400000002235</v>
      </c>
      <c r="M33" s="70">
        <v>6267.9599999990314</v>
      </c>
      <c r="N33" s="102">
        <v>4416</v>
      </c>
      <c r="O33" s="82"/>
      <c r="P33" s="83"/>
      <c r="Q33" s="39"/>
      <c r="R33" s="84"/>
      <c r="S33" s="84"/>
      <c r="T33" s="73"/>
      <c r="U33" s="85"/>
      <c r="V33" s="85"/>
      <c r="W33" s="86"/>
      <c r="X33" s="75"/>
      <c r="Y33" s="33"/>
      <c r="Z33" s="39"/>
      <c r="AA33" s="80"/>
      <c r="AB33" s="73"/>
      <c r="AC33" s="73"/>
      <c r="AD33" s="25"/>
      <c r="AE33" s="25"/>
      <c r="AF33" s="86"/>
      <c r="AG33" s="75"/>
      <c r="AI33" s="39"/>
      <c r="AJ33" s="22"/>
      <c r="AK33" s="27"/>
      <c r="AL33" s="27"/>
      <c r="AM33" s="27"/>
      <c r="AN33" s="28"/>
      <c r="AO33" s="28"/>
      <c r="AP33" s="76"/>
      <c r="AQ33" s="28"/>
      <c r="AR33" s="77"/>
      <c r="AS33" s="28"/>
      <c r="AT33" s="78"/>
      <c r="AU33" s="79"/>
      <c r="AV33" s="29"/>
      <c r="AW33" s="25"/>
      <c r="AX33" s="25"/>
    </row>
    <row r="34" spans="3:50" x14ac:dyDescent="0.25">
      <c r="C34" s="68"/>
      <c r="D34" s="68"/>
      <c r="E34" s="39">
        <v>44561</v>
      </c>
      <c r="F34" s="92"/>
      <c r="G34" s="23">
        <v>2760</v>
      </c>
      <c r="H34" s="24">
        <f t="shared" si="0"/>
        <v>0</v>
      </c>
      <c r="I34" s="25">
        <f t="shared" si="1"/>
        <v>0</v>
      </c>
      <c r="J34" s="47">
        <v>8166.6660000000002</v>
      </c>
      <c r="K34" s="101">
        <v>1501.4400000013411</v>
      </c>
      <c r="L34" s="69">
        <v>7634.1599999982864</v>
      </c>
      <c r="M34" s="70">
        <v>6306.6000000005588</v>
      </c>
      <c r="N34" s="102">
        <v>4404.9599999999627</v>
      </c>
      <c r="O34" s="82"/>
      <c r="P34" s="83"/>
      <c r="Q34" s="39"/>
      <c r="R34" s="84"/>
      <c r="S34" s="84"/>
      <c r="T34" s="73"/>
      <c r="U34" s="85"/>
      <c r="V34" s="85"/>
      <c r="W34" s="86"/>
      <c r="X34" s="75"/>
      <c r="Y34" s="33"/>
      <c r="Z34" s="39"/>
      <c r="AA34" s="80"/>
      <c r="AB34" s="73"/>
      <c r="AC34" s="73"/>
      <c r="AD34" s="25"/>
      <c r="AE34" s="25"/>
      <c r="AF34" s="86"/>
      <c r="AG34" s="75"/>
      <c r="AI34" s="39"/>
      <c r="AJ34" s="22"/>
      <c r="AK34" s="27"/>
      <c r="AL34" s="27"/>
      <c r="AM34" s="27"/>
      <c r="AN34" s="28"/>
      <c r="AO34" s="28"/>
      <c r="AP34" s="76"/>
      <c r="AQ34" s="28"/>
      <c r="AR34" s="77"/>
      <c r="AS34" s="28"/>
      <c r="AT34" s="78"/>
      <c r="AU34" s="79"/>
      <c r="AV34" s="29"/>
      <c r="AW34" s="25"/>
      <c r="AX34" s="25"/>
    </row>
    <row r="35" spans="3:50" x14ac:dyDescent="0.25">
      <c r="C35" s="68"/>
      <c r="D35" s="68"/>
      <c r="E35" s="45" t="s">
        <v>29</v>
      </c>
      <c r="F35" s="46"/>
      <c r="G35" s="46"/>
      <c r="H35" s="29"/>
      <c r="I35" s="103">
        <v>-12616180.799999999</v>
      </c>
      <c r="J35" s="93">
        <v>244999.98</v>
      </c>
      <c r="K35" s="101">
        <v>43475.520000001416</v>
      </c>
      <c r="L35" s="87">
        <v>243180.83999999985</v>
      </c>
      <c r="M35" s="104">
        <v>206103</v>
      </c>
      <c r="N35" s="102">
        <v>166016.75999999978</v>
      </c>
      <c r="O35" s="82"/>
      <c r="P35" s="83"/>
      <c r="Q35" s="88"/>
      <c r="R35" s="84"/>
      <c r="S35" s="84"/>
      <c r="T35" s="73"/>
      <c r="U35" s="85"/>
      <c r="V35" s="85"/>
      <c r="W35" s="86"/>
      <c r="X35" s="75"/>
      <c r="Y35" s="33"/>
      <c r="Z35" s="39"/>
      <c r="AA35" s="80"/>
      <c r="AB35" s="73"/>
      <c r="AC35" s="73"/>
      <c r="AD35" s="25"/>
      <c r="AE35" s="25"/>
      <c r="AF35" s="86"/>
      <c r="AG35" s="75"/>
      <c r="AI35" s="39"/>
      <c r="AJ35" s="22"/>
      <c r="AK35" s="27"/>
      <c r="AL35" s="27"/>
      <c r="AM35" s="27"/>
      <c r="AN35" s="28"/>
      <c r="AO35" s="28"/>
      <c r="AP35" s="76"/>
      <c r="AQ35" s="28"/>
      <c r="AR35" s="77"/>
      <c r="AS35" s="28"/>
      <c r="AT35" s="78"/>
      <c r="AU35" s="79"/>
      <c r="AV35" s="29"/>
      <c r="AW35" s="25"/>
      <c r="AX35" s="25"/>
    </row>
    <row r="36" spans="3:50" x14ac:dyDescent="0.25">
      <c r="E36" s="17"/>
      <c r="F36" s="17"/>
      <c r="G36" s="17"/>
      <c r="H36" s="17"/>
      <c r="I36" s="49"/>
      <c r="J36" s="17"/>
      <c r="K36" s="17"/>
      <c r="L36" s="17"/>
      <c r="M36" s="17"/>
      <c r="N36" s="17"/>
      <c r="O36" s="17"/>
      <c r="P36" s="33"/>
      <c r="Q36" s="17"/>
      <c r="R36" s="17"/>
      <c r="S36" s="17"/>
      <c r="T36" s="17"/>
      <c r="U36" s="17"/>
      <c r="V36" s="17"/>
      <c r="W36" s="17"/>
      <c r="X36" s="17"/>
      <c r="Y36" s="33"/>
      <c r="Z36" s="17"/>
      <c r="AA36" s="17"/>
      <c r="AB36" s="17"/>
      <c r="AE36" s="89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49"/>
      <c r="AX36" s="17"/>
    </row>
    <row r="37" spans="3:50" x14ac:dyDescent="0.25">
      <c r="D37" s="50" t="s">
        <v>35</v>
      </c>
      <c r="E37" s="50"/>
      <c r="F37" s="90"/>
      <c r="G37" s="32"/>
      <c r="H37" s="17"/>
      <c r="I37" s="17"/>
      <c r="N37" s="91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I37" s="17"/>
      <c r="AJ37" s="50"/>
      <c r="AK37" s="50"/>
      <c r="AL37" s="50"/>
      <c r="AM37" s="50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49"/>
    </row>
    <row r="38" spans="3:50" x14ac:dyDescent="0.25">
      <c r="E38" s="17"/>
      <c r="F38" s="17"/>
      <c r="G38" s="17"/>
      <c r="H38" s="17"/>
      <c r="I38" s="17"/>
      <c r="J38" s="49"/>
      <c r="K38" s="49"/>
      <c r="L38" s="49"/>
      <c r="M38" s="49"/>
      <c r="N38" s="49"/>
      <c r="O38" s="17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0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51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51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51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51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51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51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51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51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Durmus Karakullukci</cp:lastModifiedBy>
  <dcterms:created xsi:type="dcterms:W3CDTF">2017-05-22T13:08:25Z</dcterms:created>
  <dcterms:modified xsi:type="dcterms:W3CDTF">2021-12-19T03:36:53Z</dcterms:modified>
</cp:coreProperties>
</file>