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3" l="1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<sst xmlns="http://schemas.openxmlformats.org/spreadsheetml/2006/main" count="583" uniqueCount="73">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</sst>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195" workbookViewId="0">
      <selection activeCell="Q214" sqref="Q214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5">
        <f>Gas!I8</f>
        <v>482</v>
      </c>
      <c r="M33" s="30">
        <v>0.99</v>
      </c>
      <c r="N33" s="45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5">
        <f>Gas!I9</f>
        <v>401</v>
      </c>
      <c r="M34" s="30">
        <v>0.99</v>
      </c>
      <c r="N34" s="45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5">
        <f>Gas!I10</f>
        <v>378</v>
      </c>
      <c r="M35" s="30">
        <v>0.99</v>
      </c>
      <c r="N35" s="45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5">
        <f>Gas!I11</f>
        <v>356</v>
      </c>
      <c r="M36" s="30">
        <v>0.99</v>
      </c>
      <c r="N36" s="45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5">
        <f>Gas!I12</f>
        <v>499</v>
      </c>
      <c r="M37" s="30">
        <v>0.99</v>
      </c>
      <c r="N37" s="45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5">
        <f>Gas!I13</f>
        <v>392</v>
      </c>
      <c r="M38" s="30">
        <v>0.99</v>
      </c>
      <c r="N38" s="45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5">
        <f>Gas!I14</f>
        <v>458</v>
      </c>
      <c r="M39" s="30">
        <v>0.99</v>
      </c>
      <c r="N39" s="45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5">
        <f>Gas!I15</f>
        <v>454</v>
      </c>
      <c r="M40" s="30">
        <v>0.99</v>
      </c>
      <c r="N40" s="45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5">
        <f>Gas!I16</f>
        <v>371</v>
      </c>
      <c r="M41" s="30">
        <v>0.99</v>
      </c>
      <c r="N41" s="45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5">
        <f>Gas!I17</f>
        <v>489</v>
      </c>
      <c r="M42" s="30">
        <v>0.99</v>
      </c>
      <c r="N42" s="45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5">
        <f>Gas!I18</f>
        <v>476</v>
      </c>
      <c r="M43" s="30">
        <v>0.99</v>
      </c>
      <c r="N43" s="45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5">
        <f>Gas!I19</f>
        <v>367</v>
      </c>
      <c r="M44" s="30">
        <v>0.99</v>
      </c>
      <c r="N44" s="45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5">
        <f>Gas!I20</f>
        <v>495</v>
      </c>
      <c r="M45" s="30">
        <v>0.99</v>
      </c>
      <c r="N45" s="45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5">
        <f>Gas!I21</f>
        <v>492</v>
      </c>
      <c r="M46" s="30">
        <v>0.99</v>
      </c>
      <c r="N46" s="45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5">
        <f>Gas!I22</f>
        <v>482</v>
      </c>
      <c r="M47" s="30">
        <v>0.99</v>
      </c>
      <c r="N47" s="45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5">
        <f>Gas!I23</f>
        <v>343</v>
      </c>
      <c r="M48" s="30">
        <v>0.99</v>
      </c>
      <c r="N48" s="45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5">
        <f>Gas!I24</f>
        <v>404</v>
      </c>
      <c r="M49" s="30">
        <v>0.99</v>
      </c>
      <c r="N49" s="45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5">
        <f>Gas!I25</f>
        <v>465</v>
      </c>
      <c r="M50" s="30">
        <v>0.99</v>
      </c>
      <c r="N50" s="45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5">
        <f>Gas!I26</f>
        <v>409</v>
      </c>
      <c r="M51" s="30">
        <v>0.99</v>
      </c>
      <c r="N51" s="45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5">
        <f>Gas!I27</f>
        <v>482</v>
      </c>
      <c r="M52" s="30">
        <v>0.99</v>
      </c>
      <c r="N52" s="45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5">
        <f>Gas!I28</f>
        <v>450</v>
      </c>
      <c r="M53" s="30">
        <v>0.99</v>
      </c>
      <c r="N53" s="45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5">
        <f>Gas!I29</f>
        <v>351</v>
      </c>
      <c r="M54" s="30">
        <v>0.99</v>
      </c>
      <c r="N54" s="45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5">
        <f>Gas!I30</f>
        <v>414</v>
      </c>
      <c r="M55" s="30">
        <v>0.99</v>
      </c>
      <c r="N55" s="45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5">
        <f>Gas!I31</f>
        <v>423</v>
      </c>
      <c r="M56" s="30">
        <v>0.99</v>
      </c>
      <c r="N56" s="45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5">
        <f>Gas!I32</f>
        <v>409</v>
      </c>
      <c r="M57" s="30">
        <v>0.99</v>
      </c>
      <c r="N57" s="45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5">
        <f>Gas!I33</f>
        <v>542</v>
      </c>
      <c r="M58" s="30">
        <v>0.99</v>
      </c>
      <c r="N58" s="45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5">
        <f>Gas!I34</f>
        <v>414</v>
      </c>
      <c r="M59" s="30">
        <v>0.99</v>
      </c>
      <c r="N59" s="45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5">
        <f>Gas!I35</f>
        <v>432</v>
      </c>
      <c r="M60" s="30">
        <v>0.99</v>
      </c>
      <c r="N60" s="45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5">
        <f>Gas!L8</f>
        <v>443</v>
      </c>
      <c r="M61" s="30">
        <v>0.99</v>
      </c>
      <c r="N61" s="45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5">
        <f>Gas!L9</f>
        <v>416</v>
      </c>
      <c r="M62" s="30">
        <v>0.99</v>
      </c>
      <c r="N62" s="45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5">
        <f>Gas!L10</f>
        <v>473</v>
      </c>
      <c r="M63" s="30">
        <v>0.99</v>
      </c>
      <c r="N63" s="45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5">
        <f>Gas!L11</f>
        <v>339</v>
      </c>
      <c r="M64" s="30">
        <v>0.99</v>
      </c>
      <c r="N64" s="45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5">
        <f>Gas!L12</f>
        <v>432</v>
      </c>
      <c r="M65" s="30">
        <v>0.99</v>
      </c>
      <c r="N65" s="45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5">
        <f>Gas!L13</f>
        <v>464</v>
      </c>
      <c r="M66" s="30">
        <v>0.99</v>
      </c>
      <c r="N66" s="45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5">
        <f>Gas!L14</f>
        <v>454</v>
      </c>
      <c r="M67" s="30">
        <v>0.99</v>
      </c>
      <c r="N67" s="45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5">
        <f>Gas!L15</f>
        <v>426</v>
      </c>
      <c r="M68" s="30">
        <v>0.99</v>
      </c>
      <c r="N68" s="45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5">
        <f>Gas!L16</f>
        <v>424</v>
      </c>
      <c r="M69" s="30">
        <v>0.99</v>
      </c>
      <c r="N69" s="45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5">
        <f>Gas!L17</f>
        <v>411</v>
      </c>
      <c r="M70" s="30">
        <v>0.99</v>
      </c>
      <c r="N70" s="45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5">
        <f>Gas!L18</f>
        <v>460</v>
      </c>
      <c r="M71" s="30">
        <v>0.99</v>
      </c>
      <c r="N71" s="45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5">
        <f>Gas!L19</f>
        <v>466</v>
      </c>
      <c r="M72" s="30">
        <v>0.99</v>
      </c>
      <c r="N72" s="45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5">
        <f>Gas!L20</f>
        <v>444</v>
      </c>
      <c r="M73" s="30">
        <v>0.99</v>
      </c>
      <c r="N73" s="45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5">
        <f>Gas!L21</f>
        <v>527</v>
      </c>
      <c r="M74" s="30">
        <v>0.99</v>
      </c>
      <c r="N74" s="45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5">
        <f>Gas!L22</f>
        <v>514</v>
      </c>
      <c r="M75" s="30">
        <v>0.99</v>
      </c>
      <c r="N75" s="45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5">
        <f>Gas!L23</f>
        <v>427</v>
      </c>
      <c r="M76" s="30">
        <v>0.99</v>
      </c>
      <c r="N76" s="45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5">
        <f>Gas!L24</f>
        <v>419</v>
      </c>
      <c r="M77" s="30">
        <v>0.99</v>
      </c>
      <c r="N77" s="45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5">
        <f>Gas!L25</f>
        <v>445</v>
      </c>
      <c r="M78" s="30">
        <v>0.99</v>
      </c>
      <c r="N78" s="45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5">
        <f>Gas!L26</f>
        <v>481</v>
      </c>
      <c r="M79" s="30">
        <v>0.99</v>
      </c>
      <c r="N79" s="45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5">
        <f>Gas!L27</f>
        <v>446</v>
      </c>
      <c r="M80" s="30">
        <v>0.99</v>
      </c>
      <c r="N80" s="45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5">
        <f>Gas!L28</f>
        <v>488</v>
      </c>
      <c r="M81" s="30">
        <v>0.99</v>
      </c>
      <c r="N81" s="45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5">
        <f>Gas!L29</f>
        <v>500</v>
      </c>
      <c r="M82" s="30">
        <v>0.99</v>
      </c>
      <c r="N82" s="45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5">
        <f>Gas!L30</f>
        <v>491</v>
      </c>
      <c r="M83" s="30">
        <v>0.99</v>
      </c>
      <c r="N83" s="45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5">
        <f>Gas!L31</f>
        <v>477</v>
      </c>
      <c r="M84" s="30">
        <v>0.99</v>
      </c>
      <c r="N84" s="45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5">
        <f>Gas!L32</f>
        <v>482</v>
      </c>
      <c r="M85" s="30">
        <v>0.99</v>
      </c>
      <c r="N85" s="45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5">
        <f>Gas!L33</f>
        <v>479</v>
      </c>
      <c r="M86" s="30">
        <v>0.99</v>
      </c>
      <c r="N86" s="45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5">
        <f>Gas!L34</f>
        <v>514</v>
      </c>
      <c r="M87" s="30">
        <v>0.99</v>
      </c>
      <c r="N87" s="45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5">
        <f>Gas!L35</f>
        <v>462</v>
      </c>
      <c r="M88" s="30">
        <v>0.99</v>
      </c>
      <c r="N88" s="45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5">
        <f>Gas!L36</f>
        <v>461</v>
      </c>
      <c r="M89" s="30">
        <v>0.99</v>
      </c>
      <c r="N89" s="45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5">
        <f>Gas!L37</f>
        <v>445</v>
      </c>
      <c r="M90" s="30">
        <v>0.99</v>
      </c>
      <c r="N90" s="45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5">
        <f>Gas!L38</f>
        <v>458</v>
      </c>
      <c r="M91" s="30">
        <v>0.99</v>
      </c>
      <c r="N91" s="45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5">
        <f>Gas!O8</f>
        <v>473</v>
      </c>
      <c r="M92" s="30">
        <v>0.99</v>
      </c>
      <c r="N92" s="45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5">
        <f>Gas!O9</f>
        <v>481</v>
      </c>
      <c r="M93" s="30">
        <v>0.99</v>
      </c>
      <c r="N93" s="45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5">
        <f>Gas!O10</f>
        <v>528</v>
      </c>
      <c r="M94" s="30">
        <v>0.99</v>
      </c>
      <c r="N94" s="45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5">
        <f>Gas!O11</f>
        <v>529</v>
      </c>
      <c r="M95" s="30">
        <v>0.99</v>
      </c>
      <c r="N95" s="45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5">
        <f>Gas!O12</f>
        <v>438</v>
      </c>
      <c r="M96" s="30">
        <v>0.99</v>
      </c>
      <c r="N96" s="45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5">
        <f>Gas!O13</f>
        <v>576</v>
      </c>
      <c r="M97" s="30">
        <v>0.99</v>
      </c>
      <c r="N97" s="45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5">
        <f>Gas!O14</f>
        <v>461</v>
      </c>
      <c r="M98" s="30">
        <v>0.99</v>
      </c>
      <c r="N98" s="45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5">
        <f>Gas!O15</f>
        <v>491</v>
      </c>
      <c r="M99" s="30">
        <v>0.99</v>
      </c>
      <c r="N99" s="45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5">
        <f>Gas!O16</f>
        <v>490</v>
      </c>
      <c r="M100" s="30">
        <v>0.99</v>
      </c>
      <c r="N100" s="45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5">
        <f>Gas!O17</f>
        <v>490</v>
      </c>
      <c r="M101" s="30">
        <v>0.99</v>
      </c>
      <c r="N101" s="45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5">
        <f>Gas!O18</f>
        <v>491</v>
      </c>
      <c r="M102" s="30">
        <v>0.99</v>
      </c>
      <c r="N102" s="45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5">
        <f>Gas!O19</f>
        <v>633</v>
      </c>
      <c r="M103" s="30">
        <v>0.99</v>
      </c>
      <c r="N103" s="45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5">
        <f>Gas!O20</f>
        <v>598</v>
      </c>
      <c r="M104" s="30">
        <v>0.99</v>
      </c>
      <c r="N104" s="45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5">
        <f>Gas!O21</f>
        <v>471</v>
      </c>
      <c r="M105" s="30">
        <v>0.99</v>
      </c>
      <c r="N105" s="45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5">
        <f>Gas!O22</f>
        <v>439</v>
      </c>
      <c r="M106" s="30">
        <v>0.99</v>
      </c>
      <c r="N106" s="45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5">
        <f>Gas!O23</f>
        <v>492</v>
      </c>
      <c r="M107" s="30">
        <v>0.99</v>
      </c>
      <c r="N107" s="45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5">
        <f>Gas!O24</f>
        <v>493</v>
      </c>
      <c r="M108" s="30">
        <v>0.99</v>
      </c>
      <c r="N108" s="45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5">
        <f>Gas!O25</f>
        <v>617</v>
      </c>
      <c r="M109" s="30">
        <v>0.99</v>
      </c>
      <c r="N109" s="45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5">
        <f>Gas!O26</f>
        <v>498</v>
      </c>
      <c r="M110" s="30">
        <v>0.99</v>
      </c>
      <c r="N110" s="45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5">
        <f>Gas!O27</f>
        <v>452</v>
      </c>
      <c r="M111" s="30">
        <v>0.99</v>
      </c>
      <c r="N111" s="45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5">
        <f>Gas!O28</f>
        <v>524</v>
      </c>
      <c r="M112" s="30">
        <v>0.99</v>
      </c>
      <c r="N112" s="45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5">
        <f>Gas!O29</f>
        <v>670</v>
      </c>
      <c r="M113" s="30">
        <v>0.99</v>
      </c>
      <c r="N113" s="45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5">
        <f>Gas!O30</f>
        <v>626</v>
      </c>
      <c r="M114" s="30">
        <v>0.99</v>
      </c>
      <c r="N114" s="45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5">
        <f>Gas!O31</f>
        <v>633</v>
      </c>
      <c r="M115" s="30">
        <v>0.99</v>
      </c>
      <c r="N115" s="45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5">
        <f>Gas!O32</f>
        <v>562</v>
      </c>
      <c r="M116" s="30">
        <v>0.99</v>
      </c>
      <c r="N116" s="45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5">
        <f>Gas!O33</f>
        <v>522</v>
      </c>
      <c r="M117" s="30">
        <v>0.99</v>
      </c>
      <c r="N117" s="45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5">
        <f>Gas!O34</f>
        <v>513</v>
      </c>
      <c r="M118" s="30">
        <v>0.99</v>
      </c>
      <c r="N118" s="45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5">
        <f>Gas!O35</f>
        <v>478</v>
      </c>
      <c r="M119" s="30">
        <v>0.99</v>
      </c>
      <c r="N119" s="45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5">
        <f>Gas!O36</f>
        <v>535</v>
      </c>
      <c r="M120" s="30">
        <v>0.99</v>
      </c>
      <c r="N120" s="45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5">
        <f>Gas!O37</f>
        <v>530</v>
      </c>
      <c r="M121" s="30">
        <v>0.99</v>
      </c>
      <c r="N121" s="45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5">
        <f>Gas!R8</f>
        <v>513</v>
      </c>
      <c r="M122" s="30">
        <v>0.99</v>
      </c>
      <c r="N122" s="45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5">
        <f>Gas!R9</f>
        <v>515</v>
      </c>
      <c r="M123" s="30">
        <v>0.99</v>
      </c>
      <c r="N123" s="45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5">
        <f>Gas!R10</f>
        <v>488</v>
      </c>
      <c r="M124" s="30">
        <v>0.99</v>
      </c>
      <c r="N124" s="45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5">
        <f>Gas!R11</f>
        <v>536</v>
      </c>
      <c r="M125" s="30">
        <v>0.99</v>
      </c>
      <c r="N125" s="45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5">
        <f>Gas!R12</f>
        <v>597</v>
      </c>
      <c r="M126" s="30">
        <v>0.99</v>
      </c>
      <c r="N126" s="45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5">
        <f>Gas!R13</f>
        <v>536</v>
      </c>
      <c r="M127" s="30">
        <v>0.99</v>
      </c>
      <c r="N127" s="45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5">
        <f>Gas!R14</f>
        <v>471</v>
      </c>
      <c r="M128" s="30">
        <v>0.99</v>
      </c>
      <c r="N128" s="45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5">
        <f>Gas!R15</f>
        <v>524</v>
      </c>
      <c r="M129" s="30">
        <v>0.99</v>
      </c>
      <c r="N129" s="45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5">
        <f>Gas!R16</f>
        <v>502</v>
      </c>
      <c r="M130" s="30">
        <v>0.99</v>
      </c>
      <c r="N130" s="45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5">
        <f>Gas!R17</f>
        <v>488</v>
      </c>
      <c r="M131" s="30">
        <v>0.99</v>
      </c>
      <c r="N131" s="45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5">
        <f>Gas!R18</f>
        <v>501</v>
      </c>
      <c r="M132" s="30">
        <v>0.99</v>
      </c>
      <c r="N132" s="45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5">
        <f>Gas!R19</f>
        <v>537</v>
      </c>
      <c r="M133" s="30">
        <v>0.99</v>
      </c>
      <c r="N133" s="45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5">
        <f>Gas!R20</f>
        <v>505</v>
      </c>
      <c r="M134" s="30">
        <v>0.99</v>
      </c>
      <c r="N134" s="45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5">
        <f>Gas!R21</f>
        <v>593</v>
      </c>
      <c r="M135" s="30">
        <v>0.99</v>
      </c>
      <c r="N135" s="45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5">
        <f>Gas!R22</f>
        <v>729</v>
      </c>
      <c r="M136" s="30">
        <v>0.99</v>
      </c>
      <c r="N136" s="45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5">
        <f>Gas!R23</f>
        <v>813</v>
      </c>
      <c r="M137" s="30">
        <v>0.99</v>
      </c>
      <c r="N137" s="45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5">
        <f>Gas!R24</f>
        <v>749</v>
      </c>
      <c r="M138" s="30">
        <v>0.99</v>
      </c>
      <c r="N138" s="45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5">
        <f>Gas!R25</f>
        <v>671</v>
      </c>
      <c r="M139" s="30">
        <v>0.99</v>
      </c>
      <c r="N139" s="45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5">
        <f>Gas!R26</f>
        <v>751</v>
      </c>
      <c r="M140" s="30">
        <v>0.99</v>
      </c>
      <c r="N140" s="45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5">
        <f>Gas!R27</f>
        <v>731</v>
      </c>
      <c r="M141" s="30">
        <v>0.99</v>
      </c>
      <c r="N141" s="45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5">
        <f>Gas!R28</f>
        <v>798</v>
      </c>
      <c r="M142" s="30">
        <v>0.99</v>
      </c>
      <c r="N142" s="45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5">
        <f>Gas!R29</f>
        <v>703</v>
      </c>
      <c r="M143" s="30">
        <v>0.99</v>
      </c>
      <c r="N143" s="45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5">
        <f>Gas!R30</f>
        <v>716</v>
      </c>
      <c r="M144" s="30">
        <v>0.99</v>
      </c>
      <c r="N144" s="45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5">
        <f>Gas!R31</f>
        <v>664</v>
      </c>
      <c r="M145" s="30">
        <v>0.99</v>
      </c>
      <c r="N145" s="45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5">
        <f>Gas!R32</f>
        <v>584</v>
      </c>
      <c r="M146" s="30">
        <v>0.99</v>
      </c>
      <c r="N146" s="45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5">
        <f>Gas!R33</f>
        <v>573</v>
      </c>
      <c r="M147" s="30">
        <v>0.99</v>
      </c>
      <c r="N147" s="45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5">
        <f>Gas!R34</f>
        <v>750</v>
      </c>
      <c r="M148" s="30">
        <v>0.99</v>
      </c>
      <c r="N148" s="45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5">
        <f>Gas!R35</f>
        <v>902</v>
      </c>
      <c r="M149" s="30">
        <v>0.99</v>
      </c>
      <c r="N149" s="45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5">
        <f>Gas!R36</f>
        <v>916</v>
      </c>
      <c r="M150" s="30">
        <v>0.99</v>
      </c>
      <c r="N150" s="45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5">
        <f>Gas!R37</f>
        <v>796</v>
      </c>
      <c r="M151" s="30">
        <v>0.99</v>
      </c>
      <c r="N151" s="45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5">
        <f>Gas!R38</f>
        <v>686</v>
      </c>
      <c r="M152" s="30">
        <v>0.99</v>
      </c>
      <c r="N152" s="45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5">
        <f>Gas!U8</f>
        <v>713</v>
      </c>
      <c r="M153" s="30">
        <v>0.99</v>
      </c>
      <c r="N153" s="45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5">
        <f>Gas!U9</f>
        <v>717</v>
      </c>
      <c r="M154" s="30">
        <v>0.99</v>
      </c>
      <c r="N154" s="45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5">
        <f>Gas!U10</f>
        <v>812</v>
      </c>
      <c r="M155" s="30">
        <v>0.99</v>
      </c>
      <c r="N155" s="45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5">
        <f>Gas!U11</f>
        <v>727</v>
      </c>
      <c r="M156" s="30">
        <v>0.99</v>
      </c>
      <c r="N156" s="45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5">
        <f>Gas!U12</f>
        <v>700</v>
      </c>
      <c r="M157" s="30">
        <v>0.99</v>
      </c>
      <c r="N157" s="45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5">
        <f>Gas!U13</f>
        <v>700</v>
      </c>
      <c r="M158" s="30">
        <v>0.99</v>
      </c>
      <c r="N158" s="45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5">
        <f>Gas!U14</f>
        <v>758</v>
      </c>
      <c r="M159" s="30">
        <v>0.99</v>
      </c>
      <c r="N159" s="45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5">
        <f>Gas!U15</f>
        <v>609</v>
      </c>
      <c r="M160" s="30">
        <v>0.99</v>
      </c>
      <c r="N160" s="45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5">
        <f>Gas!U16</f>
        <v>693</v>
      </c>
      <c r="M161" s="30">
        <v>0.99</v>
      </c>
      <c r="N161" s="45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5">
        <f>Gas!U17</f>
        <v>881</v>
      </c>
      <c r="M162" s="30">
        <v>0.99</v>
      </c>
      <c r="N162" s="45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5">
        <f>Gas!U18</f>
        <v>870</v>
      </c>
      <c r="M163" s="30">
        <v>0.99</v>
      </c>
      <c r="N163" s="45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5">
        <f>Gas!U19</f>
        <v>693</v>
      </c>
      <c r="M164" s="30">
        <v>0.99</v>
      </c>
      <c r="N164" s="45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5">
        <f>Gas!U20</f>
        <v>832</v>
      </c>
      <c r="M165" s="30">
        <v>0.99</v>
      </c>
      <c r="N165" s="45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5">
        <f>Gas!U21</f>
        <v>811</v>
      </c>
      <c r="M166" s="30">
        <v>0.99</v>
      </c>
      <c r="N166" s="45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5">
        <f>Gas!U22</f>
        <v>756</v>
      </c>
      <c r="M167" s="30">
        <v>0.99</v>
      </c>
      <c r="N167" s="45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5">
        <f>Gas!U23</f>
        <v>710</v>
      </c>
      <c r="M168" s="30">
        <v>0.99</v>
      </c>
      <c r="N168" s="45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5">
        <f>Gas!U24</f>
        <v>691</v>
      </c>
      <c r="M169" s="30">
        <v>0.99</v>
      </c>
      <c r="N169" s="45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5">
        <f>Gas!U25</f>
        <v>702</v>
      </c>
      <c r="M170" s="30">
        <v>0.99</v>
      </c>
      <c r="N170" s="45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5">
        <f>Gas!U26</f>
        <v>814</v>
      </c>
      <c r="M171" s="30">
        <v>0.99</v>
      </c>
      <c r="N171" s="45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5">
        <f>Gas!U27</f>
        <v>876</v>
      </c>
      <c r="M172" s="30">
        <v>0.99</v>
      </c>
      <c r="N172" s="45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5">
        <f>Gas!U28</f>
        <v>925</v>
      </c>
      <c r="M173" s="30">
        <v>0.99</v>
      </c>
      <c r="N173" s="45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5">
        <f>Gas!U29</f>
        <v>761</v>
      </c>
      <c r="M174" s="30">
        <v>0.99</v>
      </c>
      <c r="N174" s="45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5">
        <f>Gas!U30</f>
        <v>581</v>
      </c>
      <c r="M175" s="30">
        <v>0.99</v>
      </c>
      <c r="N175" s="45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5">
        <f>Gas!U31</f>
        <v>507</v>
      </c>
      <c r="M176" s="30">
        <v>0.99</v>
      </c>
      <c r="N176" s="45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5">
        <f>Gas!U32</f>
        <v>518</v>
      </c>
      <c r="M177" s="30">
        <v>0.99</v>
      </c>
      <c r="N177" s="45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5">
        <f>Gas!U33</f>
        <v>480</v>
      </c>
      <c r="M178" s="30">
        <v>0.99</v>
      </c>
      <c r="N178" s="45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5">
        <f>Gas!U34</f>
        <v>496</v>
      </c>
      <c r="M179" s="30">
        <v>0.99</v>
      </c>
      <c r="N179" s="45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5">
        <f>Gas!U35</f>
        <v>1036</v>
      </c>
      <c r="M180" s="30">
        <v>0.99</v>
      </c>
      <c r="N180" s="45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5">
        <f>Gas!U36</f>
        <v>548</v>
      </c>
      <c r="M181" s="30">
        <v>0.99</v>
      </c>
      <c r="N181" s="45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5">
        <f>Gas!U37</f>
        <v>598</v>
      </c>
      <c r="M182" s="30">
        <v>0.99</v>
      </c>
      <c r="N182" s="45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5">
        <f>Gas!X8</f>
        <v>551</v>
      </c>
      <c r="M183" s="30">
        <v>0.99</v>
      </c>
      <c r="N183" s="45">
        <f>Water!X8</f>
        <v>28</v>
      </c>
      <c r="O183" s="31">
        <v>2.35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5">
        <f>Gas!X9</f>
        <v>486</v>
      </c>
      <c r="M184" s="30">
        <v>0.99</v>
      </c>
      <c r="N184" s="45">
        <f>Water!X9</f>
        <v>31</v>
      </c>
      <c r="O184" s="31">
        <v>2.35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5">
        <f>Gas!X10</f>
        <v>502</v>
      </c>
      <c r="M185" s="30">
        <v>0.99</v>
      </c>
      <c r="N185" s="45">
        <f>Water!X10</f>
        <v>27</v>
      </c>
      <c r="O185" s="31">
        <v>2.35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5">
        <f>Gas!X11</f>
        <v>681</v>
      </c>
      <c r="M186" s="30">
        <v>0.99</v>
      </c>
      <c r="N186" s="45">
        <f>Water!X11</f>
        <v>28</v>
      </c>
      <c r="O186" s="31">
        <v>2.35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5">
        <f>Gas!X12</f>
        <v>730</v>
      </c>
      <c r="M187" s="30">
        <v>0.99</v>
      </c>
      <c r="N187" s="45">
        <f>Water!X12</f>
        <v>50</v>
      </c>
      <c r="O187" s="31">
        <v>2.35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5">
        <f>Gas!X13</f>
        <v>708</v>
      </c>
      <c r="M188" s="30">
        <v>0.99</v>
      </c>
      <c r="N188" s="45">
        <f>Water!X13</f>
        <v>45</v>
      </c>
      <c r="O188" s="31">
        <v>2.35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5">
        <f>Gas!X14</f>
        <v>697</v>
      </c>
      <c r="M189" s="30">
        <v>0.99</v>
      </c>
      <c r="N189" s="45">
        <f>Water!X14</f>
        <v>38</v>
      </c>
      <c r="O189" s="31">
        <v>2.35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5">
        <f>Gas!X15</f>
        <v>675</v>
      </c>
      <c r="M190" s="30">
        <v>0.99</v>
      </c>
      <c r="N190" s="45">
        <f>Water!X15</f>
        <v>46</v>
      </c>
      <c r="O190" s="31">
        <v>2.35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5">
        <f>Gas!X16</f>
        <v>616</v>
      </c>
      <c r="M191" s="30">
        <v>0.99</v>
      </c>
      <c r="N191" s="45">
        <f>Water!X16</f>
        <v>23</v>
      </c>
      <c r="O191" s="31">
        <v>2.35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5">
        <f>Gas!X17</f>
        <v>560</v>
      </c>
      <c r="M192" s="30">
        <v>0.99</v>
      </c>
      <c r="N192" s="45">
        <f>Water!X17</f>
        <v>25</v>
      </c>
      <c r="O192" s="31">
        <v>2.35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5">
        <f>Gas!X18</f>
        <v>570</v>
      </c>
      <c r="M193" s="30">
        <v>0.99</v>
      </c>
      <c r="N193" s="45">
        <f>Water!X18</f>
        <v>24</v>
      </c>
      <c r="O193" s="31">
        <v>2.35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5">
        <f>Gas!X19</f>
        <v>430</v>
      </c>
      <c r="M194" s="30">
        <v>0.99</v>
      </c>
      <c r="N194" s="45">
        <f>Water!X19</f>
        <v>23</v>
      </c>
      <c r="O194" s="31">
        <v>2.35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5">
        <f>Gas!X20</f>
        <v>403</v>
      </c>
      <c r="M195" s="30">
        <v>0.99</v>
      </c>
      <c r="N195" s="45">
        <f>Water!X20</f>
        <v>25</v>
      </c>
      <c r="O195" s="31">
        <v>2.35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5">
        <f>Gas!X21</f>
        <v>337</v>
      </c>
      <c r="M196" s="30">
        <v>0.99</v>
      </c>
      <c r="N196" s="45">
        <f>Water!X21</f>
        <v>56</v>
      </c>
      <c r="O196" s="31">
        <v>2.35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5">
        <f>Gas!X22</f>
        <v>311</v>
      </c>
      <c r="M197" s="30">
        <v>0.99</v>
      </c>
      <c r="N197" s="45">
        <f>Water!X22</f>
        <v>56</v>
      </c>
      <c r="O197" s="31">
        <v>2.35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5">
        <f>Gas!X23</f>
        <v>367</v>
      </c>
      <c r="M198" s="30">
        <v>0.99</v>
      </c>
      <c r="N198" s="45">
        <f>Water!X23</f>
        <v>47</v>
      </c>
      <c r="O198" s="31">
        <v>2.35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5">
        <f>Gas!X24</f>
        <v>352</v>
      </c>
      <c r="M199" s="30">
        <v>0.99</v>
      </c>
      <c r="N199" s="45">
        <f>Water!X24</f>
        <v>47</v>
      </c>
      <c r="O199" s="31">
        <v>2.35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5">
        <f>Gas!X25</f>
        <v>457</v>
      </c>
      <c r="M200" s="30">
        <v>0.99</v>
      </c>
      <c r="N200" s="45">
        <f>Water!X25</f>
        <v>47</v>
      </c>
      <c r="O200" s="31">
        <v>2.35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5">
        <f>Gas!X26</f>
        <v>498</v>
      </c>
      <c r="M201" s="30">
        <v>0.99</v>
      </c>
      <c r="N201" s="45">
        <f>Water!X26</f>
        <v>45</v>
      </c>
      <c r="O201" s="31">
        <v>2.35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5">
        <f>Gas!X27</f>
        <v>425</v>
      </c>
      <c r="M202" s="30">
        <v>0.99</v>
      </c>
      <c r="N202" s="45">
        <f>Water!X27</f>
        <v>13</v>
      </c>
      <c r="O202" s="31">
        <v>2.35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5">
        <f>Gas!X28</f>
        <v>541</v>
      </c>
      <c r="M203" s="30">
        <v>0.99</v>
      </c>
      <c r="N203" s="45">
        <f>Water!X28</f>
        <v>14</v>
      </c>
      <c r="O203" s="31">
        <v>2.35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5">
        <f>Gas!X29</f>
        <v>412</v>
      </c>
      <c r="M204" s="30">
        <v>0.99</v>
      </c>
      <c r="N204" s="45">
        <f>Water!X29</f>
        <v>13</v>
      </c>
      <c r="O204" s="31">
        <v>2.35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5">
        <f>Gas!X30</f>
        <v>320</v>
      </c>
      <c r="M205" s="30">
        <v>0.99</v>
      </c>
      <c r="N205" s="45">
        <f>Water!X30</f>
        <v>12</v>
      </c>
      <c r="O205" s="31">
        <v>2.35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5">
        <f>Gas!X31</f>
        <v>302</v>
      </c>
      <c r="M206" s="30">
        <v>0.99</v>
      </c>
      <c r="N206" s="45">
        <f>Water!X31</f>
        <v>24</v>
      </c>
      <c r="O206" s="31">
        <v>2.35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5">
        <f>Gas!X32</f>
        <v>404</v>
      </c>
      <c r="M207" s="30">
        <v>0.99</v>
      </c>
      <c r="N207" s="45">
        <f>Water!X32</f>
        <v>13</v>
      </c>
      <c r="O207" s="31">
        <v>2.35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5">
        <f>Gas!X33</f>
        <v>327</v>
      </c>
      <c r="M208" s="30">
        <v>0.99</v>
      </c>
      <c r="N208" s="45">
        <f>Water!X33</f>
        <v>13</v>
      </c>
      <c r="O208" s="31">
        <v>2.35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5">
        <f>Gas!X34</f>
        <v>263</v>
      </c>
      <c r="M209" s="30">
        <v>0.99</v>
      </c>
      <c r="N209" s="45">
        <f>Water!X34</f>
        <v>13</v>
      </c>
      <c r="O209" s="31">
        <v>2.35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5">
        <f>Gas!X35</f>
        <v>245</v>
      </c>
      <c r="M210" s="30">
        <v>0.99</v>
      </c>
      <c r="N210" s="45">
        <f>Water!X35</f>
        <v>12</v>
      </c>
      <c r="O210" s="31">
        <v>2.35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5">
        <f>Gas!X36</f>
        <v>380</v>
      </c>
      <c r="M211" s="30">
        <v>0.99</v>
      </c>
      <c r="N211" s="45">
        <f>Water!X36</f>
        <v>21</v>
      </c>
      <c r="O211" s="31">
        <v>2.35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5">
        <f>Gas!X37</f>
        <v>384</v>
      </c>
      <c r="M212" s="30">
        <v>0.99</v>
      </c>
      <c r="N212" s="45">
        <f>Water!X37</f>
        <v>19</v>
      </c>
      <c r="O212" s="31">
        <v>2.35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5">
        <f>Gas!X38</f>
        <v>314</v>
      </c>
      <c r="M213" s="30">
        <v>0.99</v>
      </c>
      <c r="N213" s="45">
        <f>Water!X38</f>
        <v>19</v>
      </c>
      <c r="O213" s="31">
        <v>2.35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5">
        <f>Gas!AA8</f>
        <v>260</v>
      </c>
      <c r="M214" s="30">
        <v>0.99</v>
      </c>
      <c r="N214" s="45">
        <f>Water!AA8</f>
        <v>21</v>
      </c>
      <c r="O214" s="31">
        <v>2.35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 t="e">
        <f t="shared" si="10"/>
        <v>#VALUE!</v>
      </c>
      <c r="G215" s="11" t="e">
        <f t="shared" si="11"/>
        <v>#VALUE!</v>
      </c>
      <c r="I215" s="42" t="e">
        <f t="shared" si="12"/>
        <v>#VALUE!</v>
      </c>
      <c r="K215" s="39" t="e">
        <f>Electric!AQ12*400</f>
        <v>#VALUE!</v>
      </c>
      <c r="L215" s="45" t="str">
        <f>Gas!AA9</f>
        <v/>
      </c>
      <c r="N215" s="45" t="str">
        <f>Water!AA9</f>
        <v/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 t="e">
        <f t="shared" si="10"/>
        <v>#VALUE!</v>
      </c>
      <c r="G216" s="11" t="e">
        <f t="shared" si="11"/>
        <v>#VALUE!</v>
      </c>
      <c r="I216" s="42" t="e">
        <f t="shared" si="12"/>
        <v>#VALUE!</v>
      </c>
      <c r="K216" s="39" t="e">
        <f>Electric!AQ13*400</f>
        <v>#VALUE!</v>
      </c>
      <c r="L216" s="45" t="str">
        <f>Gas!AA10</f>
        <v/>
      </c>
      <c r="N216" s="45" t="str">
        <f>Water!AA10</f>
        <v/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 t="e">
        <f t="shared" si="10"/>
        <v>#VALUE!</v>
      </c>
      <c r="G217" s="11" t="e">
        <f t="shared" si="11"/>
        <v>#VALUE!</v>
      </c>
      <c r="I217" s="42" t="e">
        <f t="shared" si="12"/>
        <v>#VALUE!</v>
      </c>
      <c r="K217" s="39" t="e">
        <f>Electric!AQ14*400</f>
        <v>#VALUE!</v>
      </c>
      <c r="L217" s="45" t="str">
        <f>Gas!AA11</f>
        <v/>
      </c>
      <c r="N217" s="45" t="str">
        <f>Water!AA11</f>
        <v/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 t="e">
        <f t="shared" si="10"/>
        <v>#VALUE!</v>
      </c>
      <c r="G218" s="11" t="e">
        <f t="shared" si="11"/>
        <v>#VALUE!</v>
      </c>
      <c r="I218" s="42" t="e">
        <f t="shared" si="12"/>
        <v>#VALUE!</v>
      </c>
      <c r="K218" s="39" t="e">
        <f>Electric!AQ15*400</f>
        <v>#VALUE!</v>
      </c>
      <c r="L218" s="45" t="str">
        <f>Gas!AA12</f>
        <v/>
      </c>
      <c r="N218" s="45" t="str">
        <f>Water!AA12</f>
        <v/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 t="e">
        <f t="shared" si="10"/>
        <v>#VALUE!</v>
      </c>
      <c r="G219" s="11" t="e">
        <f t="shared" si="11"/>
        <v>#VALUE!</v>
      </c>
      <c r="I219" s="42" t="e">
        <f t="shared" si="12"/>
        <v>#VALUE!</v>
      </c>
      <c r="K219" s="39" t="e">
        <f>Electric!AQ16*400</f>
        <v>#VALUE!</v>
      </c>
      <c r="L219" s="45" t="str">
        <f>Gas!AA13</f>
        <v/>
      </c>
      <c r="N219" s="45" t="str">
        <f>Water!AA13</f>
        <v/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 t="e">
        <f t="shared" si="10"/>
        <v>#VALUE!</v>
      </c>
      <c r="G220" s="11" t="e">
        <f t="shared" si="11"/>
        <v>#VALUE!</v>
      </c>
      <c r="I220" s="42" t="e">
        <f t="shared" si="12"/>
        <v>#VALUE!</v>
      </c>
      <c r="K220" s="39" t="e">
        <f>Electric!AQ17*400</f>
        <v>#VALUE!</v>
      </c>
      <c r="L220" s="45" t="str">
        <f>Gas!AA14</f>
        <v/>
      </c>
      <c r="N220" s="45" t="str">
        <f>Water!AA14</f>
        <v/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 t="e">
        <f t="shared" si="10"/>
        <v>#VALUE!</v>
      </c>
      <c r="G221" s="11" t="e">
        <f t="shared" si="11"/>
        <v>#VALUE!</v>
      </c>
      <c r="I221" s="42" t="e">
        <f t="shared" si="12"/>
        <v>#VALUE!</v>
      </c>
      <c r="K221" s="39" t="e">
        <f>Electric!AQ18*400</f>
        <v>#VALUE!</v>
      </c>
      <c r="L221" s="45" t="str">
        <f>Gas!AA15</f>
        <v/>
      </c>
      <c r="N221" s="45" t="str">
        <f>Water!AA15</f>
        <v/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 t="e">
        <f t="shared" si="10"/>
        <v>#VALUE!</v>
      </c>
      <c r="G222" s="11" t="e">
        <f t="shared" si="11"/>
        <v>#VALUE!</v>
      </c>
      <c r="I222" s="42" t="e">
        <f t="shared" si="12"/>
        <v>#VALUE!</v>
      </c>
      <c r="K222" s="39" t="e">
        <f>Electric!AQ19*400</f>
        <v>#VALUE!</v>
      </c>
      <c r="L222" s="45" t="str">
        <f>Gas!AA16</f>
        <v/>
      </c>
      <c r="N222" s="45" t="str">
        <f>Water!AA16</f>
        <v/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 t="e">
        <f t="shared" si="10"/>
        <v>#VALUE!</v>
      </c>
      <c r="G223" s="11" t="e">
        <f t="shared" si="11"/>
        <v>#VALUE!</v>
      </c>
      <c r="I223" s="42" t="e">
        <f t="shared" si="12"/>
        <v>#VALUE!</v>
      </c>
      <c r="K223" s="39" t="e">
        <f>Electric!AQ20*400</f>
        <v>#VALUE!</v>
      </c>
      <c r="L223" s="45" t="str">
        <f>Gas!AA17</f>
        <v/>
      </c>
      <c r="N223" s="45" t="str">
        <f>Water!AA17</f>
        <v/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 t="e">
        <f t="shared" si="10"/>
        <v>#VALUE!</v>
      </c>
      <c r="G224" s="11" t="e">
        <f t="shared" si="11"/>
        <v>#VALUE!</v>
      </c>
      <c r="I224" s="42" t="e">
        <f t="shared" si="12"/>
        <v>#VALUE!</v>
      </c>
      <c r="K224" s="39" t="e">
        <f>Electric!AQ21*400</f>
        <v>#VALUE!</v>
      </c>
      <c r="L224" s="45" t="str">
        <f>Gas!AA18</f>
        <v/>
      </c>
      <c r="N224" s="45" t="str">
        <f>Water!AA18</f>
        <v/>
      </c>
    </row>
    <row r="225" spans="1:14" x14ac:dyDescent="0.25">
      <c r="A225" s="24" t="s">
        <v>17</v>
      </c>
      <c r="B225" s="22">
        <v>12</v>
      </c>
      <c r="C225" s="14">
        <v>8</v>
      </c>
      <c r="D225" s="26">
        <v>2021</v>
      </c>
      <c r="E225" s="40" t="e">
        <f t="shared" si="10"/>
        <v>#VALUE!</v>
      </c>
      <c r="G225" s="11" t="e">
        <f t="shared" si="11"/>
        <v>#VALUE!</v>
      </c>
      <c r="I225" s="42" t="e">
        <f t="shared" si="12"/>
        <v>#VALUE!</v>
      </c>
      <c r="K225" s="39" t="e">
        <f>Electric!AQ22*400</f>
        <v>#VALUE!</v>
      </c>
      <c r="L225" s="45" t="str">
        <f>Gas!AA19</f>
        <v/>
      </c>
      <c r="N225" s="45" t="str">
        <f>Water!AA19</f>
        <v/>
      </c>
    </row>
    <row r="226" spans="1:14" x14ac:dyDescent="0.25">
      <c r="A226" s="24" t="s">
        <v>17</v>
      </c>
      <c r="B226" s="22">
        <v>13</v>
      </c>
      <c r="C226" s="14">
        <v>8</v>
      </c>
      <c r="D226" s="26">
        <v>2021</v>
      </c>
      <c r="E226" s="40" t="e">
        <f t="shared" si="10"/>
        <v>#VALUE!</v>
      </c>
      <c r="G226" s="11" t="e">
        <f t="shared" si="11"/>
        <v>#VALUE!</v>
      </c>
      <c r="I226" s="42" t="e">
        <f t="shared" si="12"/>
        <v>#VALUE!</v>
      </c>
      <c r="K226" s="39" t="e">
        <f>Electric!AQ23*400</f>
        <v>#VALUE!</v>
      </c>
      <c r="L226" s="45" t="str">
        <f>Gas!AA20</f>
        <v/>
      </c>
      <c r="N226" s="45" t="str">
        <f>Water!AA20</f>
        <v/>
      </c>
    </row>
    <row r="227" spans="1:14" x14ac:dyDescent="0.25">
      <c r="A227" s="24" t="s">
        <v>17</v>
      </c>
      <c r="B227" s="22">
        <v>14</v>
      </c>
      <c r="C227" s="14">
        <v>8</v>
      </c>
      <c r="D227" s="26">
        <v>2021</v>
      </c>
      <c r="E227" s="40" t="e">
        <f t="shared" si="10"/>
        <v>#VALUE!</v>
      </c>
      <c r="G227" s="11" t="e">
        <f t="shared" si="11"/>
        <v>#VALUE!</v>
      </c>
      <c r="I227" s="42" t="e">
        <f t="shared" si="12"/>
        <v>#VALUE!</v>
      </c>
      <c r="K227" s="39" t="e">
        <f>Electric!AQ24*400</f>
        <v>#VALUE!</v>
      </c>
      <c r="L227" s="45" t="str">
        <f>Gas!AA21</f>
        <v/>
      </c>
      <c r="N227" s="45" t="str">
        <f>Water!AA21</f>
        <v/>
      </c>
    </row>
    <row r="228" spans="1:14" x14ac:dyDescent="0.25">
      <c r="A228" s="24" t="s">
        <v>17</v>
      </c>
      <c r="B228" s="22">
        <v>15</v>
      </c>
      <c r="C228" s="14">
        <v>8</v>
      </c>
      <c r="D228" s="26">
        <v>2021</v>
      </c>
      <c r="E228" s="40" t="e">
        <f t="shared" si="10"/>
        <v>#VALUE!</v>
      </c>
      <c r="G228" s="11" t="e">
        <f t="shared" si="11"/>
        <v>#VALUE!</v>
      </c>
      <c r="I228" s="42" t="e">
        <f t="shared" si="12"/>
        <v>#VALUE!</v>
      </c>
      <c r="K228" s="39" t="e">
        <f>Electric!AQ25*400</f>
        <v>#VALUE!</v>
      </c>
      <c r="L228" s="45" t="str">
        <f>Gas!AA22</f>
        <v/>
      </c>
      <c r="N228" s="45" t="str">
        <f>Water!AA22</f>
        <v/>
      </c>
    </row>
    <row r="229" spans="1:14" x14ac:dyDescent="0.25">
      <c r="A229" s="24" t="s">
        <v>17</v>
      </c>
      <c r="B229" s="22">
        <v>16</v>
      </c>
      <c r="C229" s="14">
        <v>8</v>
      </c>
      <c r="D229" s="26">
        <v>2021</v>
      </c>
      <c r="E229" s="40" t="e">
        <f t="shared" si="10"/>
        <v>#VALUE!</v>
      </c>
      <c r="G229" s="11" t="e">
        <f t="shared" si="11"/>
        <v>#VALUE!</v>
      </c>
      <c r="I229" s="42" t="e">
        <f t="shared" si="12"/>
        <v>#VALUE!</v>
      </c>
      <c r="K229" s="39" t="e">
        <f>Electric!AQ26*400</f>
        <v>#VALUE!</v>
      </c>
      <c r="L229" s="45" t="str">
        <f>Gas!AA23</f>
        <v/>
      </c>
      <c r="N229" s="45" t="str">
        <f>Water!AA23</f>
        <v/>
      </c>
    </row>
    <row r="230" spans="1:14" x14ac:dyDescent="0.25">
      <c r="A230" s="24" t="s">
        <v>17</v>
      </c>
      <c r="B230" s="22">
        <v>17</v>
      </c>
      <c r="C230" s="14">
        <v>8</v>
      </c>
      <c r="D230" s="26">
        <v>2021</v>
      </c>
      <c r="E230" s="40" t="e">
        <f t="shared" si="10"/>
        <v>#VALUE!</v>
      </c>
      <c r="G230" s="11" t="e">
        <f t="shared" si="11"/>
        <v>#VALUE!</v>
      </c>
      <c r="I230" s="42" t="e">
        <f t="shared" si="12"/>
        <v>#VALUE!</v>
      </c>
      <c r="K230" s="39" t="e">
        <f>Electric!AQ27*400</f>
        <v>#VALUE!</v>
      </c>
      <c r="L230" s="45" t="str">
        <f>Gas!AA24</f>
        <v/>
      </c>
      <c r="N230" s="45" t="str">
        <f>Water!AA24</f>
        <v/>
      </c>
    </row>
    <row r="231" spans="1:14" x14ac:dyDescent="0.25">
      <c r="A231" s="24" t="s">
        <v>17</v>
      </c>
      <c r="B231" s="22">
        <v>18</v>
      </c>
      <c r="C231" s="14">
        <v>8</v>
      </c>
      <c r="D231" s="26">
        <v>2021</v>
      </c>
      <c r="E231" s="40" t="e">
        <f t="shared" si="10"/>
        <v>#VALUE!</v>
      </c>
      <c r="G231" s="11" t="e">
        <f t="shared" si="11"/>
        <v>#VALUE!</v>
      </c>
      <c r="I231" s="42" t="e">
        <f t="shared" si="12"/>
        <v>#VALUE!</v>
      </c>
      <c r="K231" s="39" t="e">
        <f>Electric!AQ28*400</f>
        <v>#VALUE!</v>
      </c>
      <c r="L231" s="45" t="str">
        <f>Gas!AA25</f>
        <v/>
      </c>
      <c r="N231" s="45" t="str">
        <f>Water!AA25</f>
        <v/>
      </c>
    </row>
    <row r="232" spans="1:14" x14ac:dyDescent="0.25">
      <c r="A232" s="24" t="s">
        <v>17</v>
      </c>
      <c r="B232" s="22">
        <v>19</v>
      </c>
      <c r="C232" s="14">
        <v>8</v>
      </c>
      <c r="D232" s="26">
        <v>2021</v>
      </c>
      <c r="E232" s="40" t="e">
        <f t="shared" si="10"/>
        <v>#VALUE!</v>
      </c>
      <c r="G232" s="11" t="e">
        <f t="shared" si="11"/>
        <v>#VALUE!</v>
      </c>
      <c r="I232" s="42" t="e">
        <f t="shared" si="12"/>
        <v>#VALUE!</v>
      </c>
      <c r="K232" s="39" t="e">
        <f>Electric!AQ29*400</f>
        <v>#VALUE!</v>
      </c>
      <c r="L232" s="45" t="str">
        <f>Gas!AA26</f>
        <v/>
      </c>
      <c r="N232" s="45" t="str">
        <f>Water!AA26</f>
        <v/>
      </c>
    </row>
    <row r="233" spans="1:14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5" t="str">
        <f>Gas!AA27</f>
        <v/>
      </c>
      <c r="N233" s="45" t="str">
        <f>Water!AA27</f>
        <v/>
      </c>
    </row>
    <row r="234" spans="1:14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5" t="str">
        <f>Gas!AA28</f>
        <v/>
      </c>
      <c r="N234" s="45" t="str">
        <f>Water!AA28</f>
        <v/>
      </c>
    </row>
    <row r="235" spans="1:14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5" t="str">
        <f>Gas!AA29</f>
        <v/>
      </c>
      <c r="N235" s="45" t="str">
        <f>Water!AA29</f>
        <v/>
      </c>
    </row>
    <row r="236" spans="1:14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5" t="str">
        <f>Gas!AA30</f>
        <v/>
      </c>
      <c r="N236" s="45" t="str">
        <f>Water!AA30</f>
        <v/>
      </c>
    </row>
    <row r="237" spans="1:14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5" t="str">
        <f>Gas!AA31</f>
        <v/>
      </c>
      <c r="N237" s="45" t="str">
        <f>Water!AA31</f>
        <v/>
      </c>
    </row>
    <row r="238" spans="1:14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5" t="str">
        <f>Gas!AA32</f>
        <v/>
      </c>
      <c r="N238" s="45" t="str">
        <f>Water!AA32</f>
        <v/>
      </c>
    </row>
    <row r="239" spans="1:14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5" t="str">
        <f>Gas!AA33</f>
        <v/>
      </c>
      <c r="N239" s="45" t="str">
        <f>Water!AA33</f>
        <v/>
      </c>
    </row>
    <row r="240" spans="1:14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5" t="str">
        <f>Gas!AA34</f>
        <v/>
      </c>
      <c r="N240" s="45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5" t="str">
        <f>Gas!AA35</f>
        <v/>
      </c>
      <c r="N241" s="45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5" t="str">
        <f>Gas!AA36</f>
        <v/>
      </c>
      <c r="N242" s="45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5" t="str">
        <f>Gas!AA37</f>
        <v/>
      </c>
      <c r="N243" s="45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5" t="str">
        <f>Gas!AA38</f>
        <v/>
      </c>
      <c r="N244" s="45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5" t="str">
        <f>Gas!AD8</f>
        <v/>
      </c>
      <c r="N245" s="45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5" t="str">
        <f>Gas!AD9</f>
        <v/>
      </c>
      <c r="N246" s="45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5" t="str">
        <f>Gas!AD10</f>
        <v/>
      </c>
      <c r="N247" s="45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5" t="str">
        <f>Gas!AD11</f>
        <v/>
      </c>
      <c r="N248" s="45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5" t="str">
        <f>Gas!AD12</f>
        <v/>
      </c>
      <c r="N249" s="45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5" t="str">
        <f>Gas!AD13</f>
        <v/>
      </c>
      <c r="N250" s="45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5" t="str">
        <f>Gas!AD14</f>
        <v/>
      </c>
      <c r="N251" s="45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5" t="str">
        <f>Gas!AD15</f>
        <v/>
      </c>
      <c r="N252" s="45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5" t="str">
        <f>Gas!AD16</f>
        <v/>
      </c>
      <c r="N253" s="45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5" t="str">
        <f>Gas!AD17</f>
        <v/>
      </c>
      <c r="N254" s="45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5" t="str">
        <f>Gas!AD18</f>
        <v/>
      </c>
      <c r="N255" s="45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5" t="str">
        <f>Gas!AD19</f>
        <v/>
      </c>
      <c r="N256" s="45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5" t="str">
        <f>Gas!AD20</f>
        <v/>
      </c>
      <c r="N257" s="45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5" t="str">
        <f>Gas!AD21</f>
        <v/>
      </c>
      <c r="N258" s="45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5" t="str">
        <f>Gas!AD22</f>
        <v/>
      </c>
      <c r="N259" s="45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5" t="str">
        <f>Gas!AD23</f>
        <v/>
      </c>
      <c r="N260" s="45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5" t="str">
        <f>Gas!AD24</f>
        <v/>
      </c>
      <c r="N261" s="45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5" t="str">
        <f>Gas!AD25</f>
        <v/>
      </c>
      <c r="N262" s="45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5" t="str">
        <f>Gas!AD26</f>
        <v/>
      </c>
      <c r="N263" s="45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5" t="str">
        <f>Gas!AD27</f>
        <v/>
      </c>
      <c r="N264" s="45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5" t="str">
        <f>Gas!AD28</f>
        <v/>
      </c>
      <c r="N265" s="45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5" t="str">
        <f>Gas!AD29</f>
        <v/>
      </c>
      <c r="N266" s="45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5" t="str">
        <f>Gas!AD30</f>
        <v/>
      </c>
      <c r="N267" s="45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5" t="str">
        <f>Gas!AD31</f>
        <v/>
      </c>
      <c r="N268" s="45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5" t="str">
        <f>Gas!AD32</f>
        <v/>
      </c>
      <c r="N269" s="45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5" t="str">
        <f>Gas!AD33</f>
        <v/>
      </c>
      <c r="N270" s="45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5" t="str">
        <f>Gas!AD34</f>
        <v/>
      </c>
      <c r="N271" s="45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5" t="str">
        <f>Gas!AD35</f>
        <v/>
      </c>
      <c r="N272" s="45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5" t="str">
        <f>Gas!AD36</f>
        <v/>
      </c>
      <c r="N273" s="45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5" t="str">
        <f>Gas!AD37</f>
        <v/>
      </c>
      <c r="N274" s="45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5" t="str">
        <f>Gas!AG8</f>
        <v/>
      </c>
      <c r="N275" s="45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5" t="str">
        <f>Gas!AG9</f>
        <v/>
      </c>
      <c r="N276" s="45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5" t="str">
        <f>Gas!AG10</f>
        <v/>
      </c>
      <c r="N277" s="45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5" t="str">
        <f>Gas!AG11</f>
        <v/>
      </c>
      <c r="N278" s="45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5" t="str">
        <f>Gas!AG12</f>
        <v/>
      </c>
      <c r="N279" s="45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5" t="str">
        <f>Gas!AG13</f>
        <v/>
      </c>
      <c r="N280" s="45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5" t="str">
        <f>Gas!AG14</f>
        <v/>
      </c>
      <c r="N281" s="45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5" t="str">
        <f>Gas!AG15</f>
        <v/>
      </c>
      <c r="N282" s="45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5" t="str">
        <f>Gas!AG16</f>
        <v/>
      </c>
      <c r="N283" s="45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5" t="str">
        <f>Gas!AG17</f>
        <v/>
      </c>
      <c r="N284" s="45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5" t="str">
        <f>Gas!AG18</f>
        <v/>
      </c>
      <c r="N285" s="45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5" t="str">
        <f>Gas!AG19</f>
        <v/>
      </c>
      <c r="N286" s="45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5" t="str">
        <f>Gas!AG20</f>
        <v/>
      </c>
      <c r="N287" s="45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5" t="str">
        <f>Gas!AG21</f>
        <v/>
      </c>
      <c r="N288" s="45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5" t="str">
        <f>Gas!AG22</f>
        <v/>
      </c>
      <c r="N289" s="45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5" t="str">
        <f>Gas!AG23</f>
        <v/>
      </c>
      <c r="N290" s="45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5" t="str">
        <f>Gas!AG24</f>
        <v/>
      </c>
      <c r="N291" s="45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5" t="str">
        <f>Gas!AG25</f>
        <v/>
      </c>
      <c r="N292" s="45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5" t="str">
        <f>Gas!AG26</f>
        <v/>
      </c>
      <c r="N293" s="45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5" t="str">
        <f>Gas!AG27</f>
        <v/>
      </c>
      <c r="N294" s="45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5" t="str">
        <f>Gas!AG28</f>
        <v/>
      </c>
      <c r="N295" s="45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5" t="str">
        <f>Gas!AG29</f>
        <v/>
      </c>
      <c r="N296" s="45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5" t="str">
        <f>Gas!AG30</f>
        <v/>
      </c>
      <c r="N297" s="45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5" t="str">
        <f>Gas!AG31</f>
        <v/>
      </c>
      <c r="N298" s="45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5" t="str">
        <f>Gas!AG32</f>
        <v/>
      </c>
      <c r="N299" s="45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5" t="str">
        <f>Gas!AG33</f>
        <v/>
      </c>
      <c r="N300" s="45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5" t="str">
        <f>Gas!AG34</f>
        <v/>
      </c>
      <c r="N301" s="45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5" t="str">
        <f>Gas!AG35</f>
        <v/>
      </c>
      <c r="N302" s="45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5" t="str">
        <f>Gas!AG36</f>
        <v/>
      </c>
      <c r="N303" s="45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5" t="str">
        <f>Gas!AG37</f>
        <v/>
      </c>
      <c r="N304" s="45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5" t="str">
        <f>Gas!AG38</f>
        <v/>
      </c>
      <c r="N305" s="45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5" t="str">
        <f>Gas!AJ8</f>
        <v/>
      </c>
      <c r="N306" s="45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5" t="str">
        <f>Gas!AJ9</f>
        <v/>
      </c>
      <c r="N307" s="45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5" t="str">
        <f>Gas!AJ10</f>
        <v/>
      </c>
      <c r="N308" s="45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5" t="str">
        <f>Gas!AJ11</f>
        <v/>
      </c>
      <c r="N309" s="45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5" t="str">
        <f>Gas!AJ12</f>
        <v/>
      </c>
      <c r="N310" s="45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5" t="str">
        <f>Gas!AJ13</f>
        <v/>
      </c>
      <c r="N311" s="45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5" t="str">
        <f>Gas!AJ14</f>
        <v/>
      </c>
      <c r="N312" s="45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5" t="str">
        <f>Gas!AJ15</f>
        <v/>
      </c>
      <c r="N313" s="45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5" t="str">
        <f>Gas!AJ16</f>
        <v/>
      </c>
      <c r="N314" s="45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5" t="str">
        <f>Gas!AJ17</f>
        <v/>
      </c>
      <c r="N315" s="45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5" t="str">
        <f>Gas!AJ18</f>
        <v/>
      </c>
      <c r="N316" s="45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5" t="str">
        <f>Gas!AJ19</f>
        <v/>
      </c>
      <c r="N317" s="45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5" t="str">
        <f>Gas!AJ20</f>
        <v/>
      </c>
      <c r="N318" s="45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5" t="str">
        <f>Gas!AJ21</f>
        <v/>
      </c>
      <c r="N319" s="45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5" t="str">
        <f>Gas!AJ22</f>
        <v/>
      </c>
      <c r="N320" s="45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5" t="str">
        <f>Gas!AJ23</f>
        <v/>
      </c>
      <c r="N321" s="45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5" t="str">
        <f>Gas!AJ24</f>
        <v/>
      </c>
      <c r="N322" s="45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5" t="str">
        <f>Gas!AJ25</f>
        <v/>
      </c>
      <c r="N323" s="45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5" t="str">
        <f>Gas!AJ26</f>
        <v/>
      </c>
      <c r="N324" s="45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5" t="str">
        <f>Gas!AJ27</f>
        <v/>
      </c>
      <c r="N325" s="45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5" t="str">
        <f>Gas!AJ28</f>
        <v/>
      </c>
      <c r="N326" s="45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5" t="str">
        <f>Gas!AJ29</f>
        <v/>
      </c>
      <c r="N327" s="45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5" t="str">
        <f>Gas!AJ30</f>
        <v/>
      </c>
      <c r="N328" s="45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5" t="str">
        <f>Gas!AJ31</f>
        <v/>
      </c>
      <c r="N329" s="45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5" t="str">
        <f>Gas!AJ32</f>
        <v/>
      </c>
      <c r="N330" s="45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5" t="str">
        <f>Gas!AJ33</f>
        <v/>
      </c>
      <c r="N331" s="45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5" t="str">
        <f>Gas!AJ34</f>
        <v/>
      </c>
      <c r="N332" s="45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5" t="str">
        <f>Gas!AJ35</f>
        <v/>
      </c>
      <c r="N333" s="45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5" t="str">
        <f>Gas!AJ36</f>
        <v/>
      </c>
      <c r="N334" s="45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5" t="str">
        <f>Gas!AJ37</f>
        <v/>
      </c>
      <c r="N335" s="45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5" t="str">
        <f>Gas!AM8</f>
        <v/>
      </c>
      <c r="N336" s="45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5" t="str">
        <f>Gas!AM9</f>
        <v/>
      </c>
      <c r="N337" s="45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5" t="str">
        <f>Gas!AM10</f>
        <v/>
      </c>
      <c r="N338" s="45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5" t="str">
        <f>Gas!AM11</f>
        <v/>
      </c>
      <c r="N339" s="45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5" t="str">
        <f>Gas!AM12</f>
        <v/>
      </c>
      <c r="N340" s="45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5" t="str">
        <f>Gas!AM13</f>
        <v/>
      </c>
      <c r="N341" s="45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5" t="str">
        <f>Gas!AM14</f>
        <v/>
      </c>
      <c r="N342" s="45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5" t="str">
        <f>Gas!AM15</f>
        <v/>
      </c>
      <c r="N343" s="45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5" t="str">
        <f>Gas!AM16</f>
        <v/>
      </c>
      <c r="N344" s="45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5" t="str">
        <f>Gas!AM17</f>
        <v/>
      </c>
      <c r="N345" s="45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5" t="str">
        <f>Gas!AM18</f>
        <v/>
      </c>
      <c r="N346" s="45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5" t="str">
        <f>Gas!AM19</f>
        <v/>
      </c>
      <c r="N347" s="45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5" t="str">
        <f>Gas!AM20</f>
        <v/>
      </c>
      <c r="N348" s="45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5" t="str">
        <f>Gas!AM21</f>
        <v/>
      </c>
      <c r="N349" s="45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5" t="str">
        <f>Gas!AM22</f>
        <v/>
      </c>
      <c r="N350" s="45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5" t="str">
        <f>Gas!AM23</f>
        <v/>
      </c>
      <c r="N351" s="45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5" t="str">
        <f>Gas!AM24</f>
        <v/>
      </c>
      <c r="N352" s="45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5" t="str">
        <f>Gas!AM25</f>
        <v/>
      </c>
      <c r="N353" s="45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5" t="str">
        <f>Gas!AM26</f>
        <v/>
      </c>
      <c r="N354" s="45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5" t="str">
        <f>Gas!AM27</f>
        <v/>
      </c>
      <c r="N355" s="45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5" t="str">
        <f>Gas!AM28</f>
        <v/>
      </c>
      <c r="N356" s="45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5" t="str">
        <f>Gas!AM29</f>
        <v/>
      </c>
      <c r="N357" s="45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5" t="str">
        <f>Gas!AM30</f>
        <v/>
      </c>
      <c r="N358" s="45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5" t="str">
        <f>Gas!AM31</f>
        <v/>
      </c>
      <c r="N359" s="45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5" t="str">
        <f>Gas!AM32</f>
        <v/>
      </c>
      <c r="N360" s="45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5" t="str">
        <f>Gas!AM33</f>
        <v/>
      </c>
      <c r="N361" s="45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5" t="str">
        <f>Gas!AM34</f>
        <v/>
      </c>
      <c r="N362" s="45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5" t="str">
        <f>Gas!AM35</f>
        <v/>
      </c>
      <c r="N363" s="45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5" t="str">
        <f>Gas!AM36</f>
        <v/>
      </c>
      <c r="N364" s="45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5" t="str">
        <f>Gas!AM37</f>
        <v/>
      </c>
      <c r="N365" s="45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5" t="str">
        <f>Gas!AM38</f>
        <v/>
      </c>
      <c r="N366" s="45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Y8" sqref="Y8:Z8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823730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21</v>
      </c>
      <c r="G7" s="55" t="s">
        <v>22</v>
      </c>
      <c r="H7" s="56"/>
      <c r="I7" s="43" t="s">
        <v>21</v>
      </c>
      <c r="J7" s="55" t="s">
        <v>23</v>
      </c>
      <c r="K7" s="56"/>
      <c r="L7" s="43" t="s">
        <v>21</v>
      </c>
      <c r="M7" s="55" t="s">
        <v>24</v>
      </c>
      <c r="N7" s="56"/>
      <c r="O7" s="43" t="s">
        <v>21</v>
      </c>
      <c r="P7" s="55" t="s">
        <v>25</v>
      </c>
      <c r="Q7" s="56"/>
      <c r="R7" s="43" t="s">
        <v>21</v>
      </c>
      <c r="S7" s="55" t="s">
        <v>26</v>
      </c>
      <c r="T7" s="56"/>
      <c r="U7" s="43" t="s">
        <v>21</v>
      </c>
      <c r="V7" s="55" t="s">
        <v>27</v>
      </c>
      <c r="W7" s="56"/>
      <c r="X7" s="43" t="s">
        <v>21</v>
      </c>
      <c r="Y7" s="55" t="s">
        <v>28</v>
      </c>
      <c r="Z7" s="56"/>
      <c r="AA7" s="43" t="s">
        <v>21</v>
      </c>
      <c r="AB7" s="55" t="s">
        <v>29</v>
      </c>
      <c r="AC7" s="56"/>
      <c r="AD7" s="43" t="s">
        <v>21</v>
      </c>
      <c r="AE7" s="55" t="s">
        <v>30</v>
      </c>
      <c r="AF7" s="56"/>
      <c r="AG7" s="43" t="s">
        <v>21</v>
      </c>
      <c r="AH7" s="55" t="s">
        <v>31</v>
      </c>
      <c r="AI7" s="56"/>
      <c r="AJ7" s="43" t="s">
        <v>21</v>
      </c>
      <c r="AK7" s="55" t="s">
        <v>32</v>
      </c>
      <c r="AL7" s="56"/>
      <c r="AM7" s="7" t="s">
        <v>21</v>
      </c>
    </row>
    <row r="8" spans="2:39" x14ac:dyDescent="0.25">
      <c r="B8" s="64" t="s">
        <v>33</v>
      </c>
      <c r="C8" s="65"/>
      <c r="D8" s="63">
        <v>824245</v>
      </c>
      <c r="E8" s="62"/>
      <c r="F8" s="45">
        <f>IF(COUNT(B3,D8)=2,D8-B3,"")</f>
        <v>515</v>
      </c>
      <c r="G8" s="63">
        <v>837388</v>
      </c>
      <c r="H8" s="62"/>
      <c r="I8" s="45">
        <f>IF(COUNT(D38,G8)=2,G8-D38,"")</f>
        <v>482</v>
      </c>
      <c r="J8" s="63">
        <v>849479</v>
      </c>
      <c r="K8" s="62"/>
      <c r="L8" s="45">
        <f>IF(COUNT(G35,J8)=2,J8-G35,"")</f>
        <v>443</v>
      </c>
      <c r="M8" s="63">
        <v>863677</v>
      </c>
      <c r="N8" s="62"/>
      <c r="O8" s="45">
        <f>IF(COUNT(J38,M8)=2,M8-J38,"")</f>
        <v>473</v>
      </c>
      <c r="P8" s="63">
        <v>879545</v>
      </c>
      <c r="Q8" s="62"/>
      <c r="R8" s="45">
        <f>IF(COUNT(M37,P8)=2,P8-M37,"")</f>
        <v>513</v>
      </c>
      <c r="S8" s="63">
        <v>899583</v>
      </c>
      <c r="T8" s="62"/>
      <c r="U8" s="45">
        <f>IF(COUNT(P38,S8)=2,S8-P38,"")</f>
        <v>713</v>
      </c>
      <c r="V8" s="63">
        <v>920936</v>
      </c>
      <c r="W8" s="62"/>
      <c r="X8" s="45">
        <f>IF(COUNT(S37,V8)=2,V8-S37,"")</f>
        <v>551</v>
      </c>
      <c r="Y8" s="63">
        <v>934893</v>
      </c>
      <c r="Z8" s="62"/>
      <c r="AA8" s="45">
        <f>IF(COUNT(V38,Y8)=2,Y8-V38,"")</f>
        <v>260</v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824632</v>
      </c>
      <c r="E9" s="62"/>
      <c r="F9" s="45">
        <f>IF(COUNT(D8,D9)=2,D9-D8,"")</f>
        <v>387</v>
      </c>
      <c r="G9" s="63">
        <v>837789</v>
      </c>
      <c r="H9" s="62"/>
      <c r="I9" s="45">
        <f>IF(COUNT(G8,G9)=2,G9-G8,"")</f>
        <v>401</v>
      </c>
      <c r="J9" s="63">
        <v>849895</v>
      </c>
      <c r="K9" s="62"/>
      <c r="L9" s="45">
        <f>IF(COUNT(J9,J8)=2,J9-J8,"")</f>
        <v>416</v>
      </c>
      <c r="M9" s="63">
        <v>864158</v>
      </c>
      <c r="N9" s="62"/>
      <c r="O9" s="45">
        <f>IF(COUNT(M8,M9)=2,M9-M8,"")</f>
        <v>481</v>
      </c>
      <c r="P9" s="63">
        <v>880060</v>
      </c>
      <c r="Q9" s="62"/>
      <c r="R9" s="45">
        <f>IF(COUNT(P8,P9)=2,P9-P8,"")</f>
        <v>515</v>
      </c>
      <c r="S9" s="63">
        <v>900300</v>
      </c>
      <c r="T9" s="62"/>
      <c r="U9" s="45">
        <f>IF(COUNT(S8,S9)=2,S9-S8,"")</f>
        <v>717</v>
      </c>
      <c r="V9" s="63">
        <v>921422</v>
      </c>
      <c r="W9" s="62"/>
      <c r="X9" s="45">
        <f>IF(COUNT(V9,V8)=2,V9-V8,"")</f>
        <v>486</v>
      </c>
      <c r="Y9" s="63"/>
      <c r="Z9" s="62"/>
      <c r="AA9" s="45" t="str">
        <f>IF(COUNT(Y8,Y9)=2,Y9-Y8,"")</f>
        <v/>
      </c>
      <c r="AB9" s="63"/>
      <c r="AC9" s="62"/>
      <c r="AD9" s="45" t="str">
        <f>IF(COUNT(AB8,AB9)=2,AB9-AB8,"")</f>
        <v/>
      </c>
      <c r="AE9" s="63"/>
      <c r="AF9" s="62"/>
      <c r="AG9" s="45" t="str">
        <f>IF(COUNT(AE9,AE8)=2,AE9-AE8,"")</f>
        <v/>
      </c>
      <c r="AH9" s="63"/>
      <c r="AI9" s="62"/>
      <c r="AJ9" s="45" t="str">
        <f>IF(COUNT(AH9,AH8)=2,AH9-AH8,"")</f>
        <v/>
      </c>
      <c r="AK9" s="63"/>
      <c r="AL9" s="62"/>
      <c r="AM9" s="51" t="str">
        <f>IF(COUNT(AK9,AK8)=2,AK9-AK8,"")</f>
        <v/>
      </c>
    </row>
    <row r="10" spans="2:39" x14ac:dyDescent="0.25">
      <c r="B10" s="64" t="s">
        <v>35</v>
      </c>
      <c r="C10" s="65"/>
      <c r="D10" s="63">
        <v>825062</v>
      </c>
      <c r="E10" s="62"/>
      <c r="F10" s="45">
        <f t="shared" ref="F10:F38" si="0">IF(COUNT(D9,D10)=2,D10-D9,"")</f>
        <v>430</v>
      </c>
      <c r="G10" s="63">
        <v>838167</v>
      </c>
      <c r="H10" s="62"/>
      <c r="I10" s="45">
        <f t="shared" ref="I10:I36" si="1">IF(COUNT(G9,G10)=2,G10-G9,"")</f>
        <v>378</v>
      </c>
      <c r="J10" s="63">
        <v>850368</v>
      </c>
      <c r="K10" s="62"/>
      <c r="L10" s="45">
        <f t="shared" ref="L10:L38" si="2">IF(COUNT(J10,J9)=2,J10-J9,"")</f>
        <v>473</v>
      </c>
      <c r="M10" s="63">
        <v>864686</v>
      </c>
      <c r="N10" s="62"/>
      <c r="O10" s="45">
        <f t="shared" ref="O10:O37" si="3">IF(COUNT(M9,M10)=2,M10-M9,"")</f>
        <v>528</v>
      </c>
      <c r="P10" s="63">
        <v>880548</v>
      </c>
      <c r="Q10" s="62"/>
      <c r="R10" s="45">
        <f t="shared" ref="R10:R38" si="4">IF(COUNT(P9,P10)=2,P10-P9,"")</f>
        <v>488</v>
      </c>
      <c r="S10" s="63">
        <v>901112</v>
      </c>
      <c r="T10" s="62"/>
      <c r="U10" s="45">
        <f t="shared" ref="U10:U37" si="5">IF(COUNT(S9,S10)=2,S10-S9,"")</f>
        <v>812</v>
      </c>
      <c r="V10" s="63">
        <v>921924</v>
      </c>
      <c r="W10" s="62"/>
      <c r="X10" s="45">
        <f t="shared" ref="X10:X38" si="6">IF(COUNT(V10,V9)=2,V10-V9,"")</f>
        <v>502</v>
      </c>
      <c r="Y10" s="63"/>
      <c r="Z10" s="62"/>
      <c r="AA10" s="45" t="str">
        <f t="shared" ref="AA10:AA38" si="7">IF(COUNT(Y9,Y10)=2,Y10-Y9,"")</f>
        <v/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IF(COUNT(AE10,AE9)=2,AE10-AE9,"")</f>
        <v/>
      </c>
      <c r="AH10" s="63"/>
      <c r="AI10" s="62"/>
      <c r="AJ10" s="45" t="str">
        <f t="shared" ref="AJ10:AJ37" si="10">IF(COUNT(AH10,AH9)=2,AH10-AH9,"")</f>
        <v/>
      </c>
      <c r="AK10" s="63"/>
      <c r="AL10" s="62"/>
      <c r="AM10" s="51" t="str">
        <f t="shared" ref="AM10:AM38" si="11">IF(COUNT(AK10,AK9)=2,AK10-AK9,"")</f>
        <v/>
      </c>
    </row>
    <row r="11" spans="2:39" x14ac:dyDescent="0.25">
      <c r="B11" s="64" t="s">
        <v>36</v>
      </c>
      <c r="C11" s="65"/>
      <c r="D11" s="63">
        <v>825540</v>
      </c>
      <c r="E11" s="62"/>
      <c r="F11" s="45">
        <f t="shared" si="0"/>
        <v>478</v>
      </c>
      <c r="G11" s="63">
        <v>838523</v>
      </c>
      <c r="H11" s="62"/>
      <c r="I11" s="45">
        <f t="shared" si="1"/>
        <v>356</v>
      </c>
      <c r="J11" s="63">
        <v>850707</v>
      </c>
      <c r="K11" s="62"/>
      <c r="L11" s="45">
        <f t="shared" si="2"/>
        <v>339</v>
      </c>
      <c r="M11" s="63">
        <v>865215</v>
      </c>
      <c r="N11" s="62"/>
      <c r="O11" s="45">
        <f t="shared" si="3"/>
        <v>529</v>
      </c>
      <c r="P11" s="63">
        <v>881084</v>
      </c>
      <c r="Q11" s="62"/>
      <c r="R11" s="45">
        <f t="shared" si="4"/>
        <v>536</v>
      </c>
      <c r="S11" s="63">
        <v>901839</v>
      </c>
      <c r="T11" s="62"/>
      <c r="U11" s="45">
        <f t="shared" si="5"/>
        <v>727</v>
      </c>
      <c r="V11" s="63">
        <v>922605</v>
      </c>
      <c r="W11" s="62"/>
      <c r="X11" s="45">
        <f t="shared" si="6"/>
        <v>681</v>
      </c>
      <c r="Y11" s="63"/>
      <c r="Z11" s="62"/>
      <c r="AA11" s="45" t="str">
        <f t="shared" si="7"/>
        <v/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825956</v>
      </c>
      <c r="E12" s="62"/>
      <c r="F12" s="45">
        <f t="shared" si="0"/>
        <v>416</v>
      </c>
      <c r="G12" s="63">
        <v>839022</v>
      </c>
      <c r="H12" s="62"/>
      <c r="I12" s="45">
        <f t="shared" si="1"/>
        <v>499</v>
      </c>
      <c r="J12" s="63">
        <v>851139</v>
      </c>
      <c r="K12" s="62"/>
      <c r="L12" s="45">
        <f t="shared" si="2"/>
        <v>432</v>
      </c>
      <c r="M12" s="63">
        <v>865653</v>
      </c>
      <c r="N12" s="62"/>
      <c r="O12" s="45">
        <f t="shared" si="3"/>
        <v>438</v>
      </c>
      <c r="P12" s="63">
        <v>881681</v>
      </c>
      <c r="Q12" s="62"/>
      <c r="R12" s="45">
        <f t="shared" si="4"/>
        <v>597</v>
      </c>
      <c r="S12" s="63">
        <v>902539</v>
      </c>
      <c r="T12" s="62"/>
      <c r="U12" s="45">
        <f t="shared" si="5"/>
        <v>700</v>
      </c>
      <c r="V12" s="63">
        <v>923335</v>
      </c>
      <c r="W12" s="62"/>
      <c r="X12" s="45">
        <f t="shared" si="6"/>
        <v>730</v>
      </c>
      <c r="Y12" s="63"/>
      <c r="Z12" s="62"/>
      <c r="AA12" s="45" t="str">
        <f t="shared" si="7"/>
        <v/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826402</v>
      </c>
      <c r="E13" s="62"/>
      <c r="F13" s="45">
        <f t="shared" si="0"/>
        <v>446</v>
      </c>
      <c r="G13" s="63">
        <v>839414</v>
      </c>
      <c r="H13" s="62"/>
      <c r="I13" s="45">
        <f t="shared" si="1"/>
        <v>392</v>
      </c>
      <c r="J13" s="63">
        <v>851603</v>
      </c>
      <c r="K13" s="62"/>
      <c r="L13" s="45">
        <f t="shared" si="2"/>
        <v>464</v>
      </c>
      <c r="M13" s="63">
        <v>866229</v>
      </c>
      <c r="N13" s="62"/>
      <c r="O13" s="45">
        <f t="shared" si="3"/>
        <v>576</v>
      </c>
      <c r="P13" s="63">
        <v>882217</v>
      </c>
      <c r="Q13" s="62"/>
      <c r="R13" s="45">
        <f t="shared" si="4"/>
        <v>536</v>
      </c>
      <c r="S13" s="63">
        <v>903239</v>
      </c>
      <c r="T13" s="62"/>
      <c r="U13" s="45">
        <f t="shared" si="5"/>
        <v>700</v>
      </c>
      <c r="V13" s="63">
        <v>924043</v>
      </c>
      <c r="W13" s="62"/>
      <c r="X13" s="45">
        <f t="shared" si="6"/>
        <v>708</v>
      </c>
      <c r="Y13" s="63"/>
      <c r="Z13" s="62"/>
      <c r="AA13" s="45" t="str">
        <f t="shared" si="7"/>
        <v/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826796</v>
      </c>
      <c r="E14" s="62"/>
      <c r="F14" s="45">
        <f t="shared" si="0"/>
        <v>394</v>
      </c>
      <c r="G14" s="63">
        <v>839872</v>
      </c>
      <c r="H14" s="62"/>
      <c r="I14" s="45">
        <f t="shared" si="1"/>
        <v>458</v>
      </c>
      <c r="J14" s="63">
        <v>852057</v>
      </c>
      <c r="K14" s="62"/>
      <c r="L14" s="45">
        <f t="shared" si="2"/>
        <v>454</v>
      </c>
      <c r="M14" s="63">
        <v>866690</v>
      </c>
      <c r="N14" s="62"/>
      <c r="O14" s="45">
        <f t="shared" si="3"/>
        <v>461</v>
      </c>
      <c r="P14" s="63">
        <v>882688</v>
      </c>
      <c r="Q14" s="62"/>
      <c r="R14" s="45">
        <f t="shared" si="4"/>
        <v>471</v>
      </c>
      <c r="S14" s="63">
        <v>903997</v>
      </c>
      <c r="T14" s="62"/>
      <c r="U14" s="45">
        <f t="shared" si="5"/>
        <v>758</v>
      </c>
      <c r="V14" s="63">
        <v>924740</v>
      </c>
      <c r="W14" s="62"/>
      <c r="X14" s="45">
        <f t="shared" si="6"/>
        <v>697</v>
      </c>
      <c r="Y14" s="63"/>
      <c r="Z14" s="62"/>
      <c r="AA14" s="45" t="str">
        <f t="shared" si="7"/>
        <v/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827239</v>
      </c>
      <c r="E15" s="62"/>
      <c r="F15" s="45">
        <f t="shared" si="0"/>
        <v>443</v>
      </c>
      <c r="G15" s="63">
        <v>840326</v>
      </c>
      <c r="H15" s="62"/>
      <c r="I15" s="45">
        <f t="shared" si="1"/>
        <v>454</v>
      </c>
      <c r="J15" s="63">
        <v>852483</v>
      </c>
      <c r="K15" s="62"/>
      <c r="L15" s="45">
        <f t="shared" si="2"/>
        <v>426</v>
      </c>
      <c r="M15" s="63">
        <v>867181</v>
      </c>
      <c r="N15" s="62"/>
      <c r="O15" s="45">
        <f t="shared" si="3"/>
        <v>491</v>
      </c>
      <c r="P15" s="63">
        <v>883212</v>
      </c>
      <c r="Q15" s="62"/>
      <c r="R15" s="45">
        <f t="shared" si="4"/>
        <v>524</v>
      </c>
      <c r="S15" s="63">
        <v>904606</v>
      </c>
      <c r="T15" s="62"/>
      <c r="U15" s="45">
        <f t="shared" si="5"/>
        <v>609</v>
      </c>
      <c r="V15" s="63">
        <v>925415</v>
      </c>
      <c r="W15" s="62"/>
      <c r="X15" s="45">
        <f t="shared" si="6"/>
        <v>675</v>
      </c>
      <c r="Y15" s="63"/>
      <c r="Z15" s="62"/>
      <c r="AA15" s="45" t="str">
        <f t="shared" si="7"/>
        <v/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827739</v>
      </c>
      <c r="E16" s="62"/>
      <c r="F16" s="45">
        <f t="shared" si="0"/>
        <v>500</v>
      </c>
      <c r="G16" s="63">
        <v>840697</v>
      </c>
      <c r="H16" s="62"/>
      <c r="I16" s="45">
        <f t="shared" si="1"/>
        <v>371</v>
      </c>
      <c r="J16" s="63">
        <v>852907</v>
      </c>
      <c r="K16" s="62"/>
      <c r="L16" s="45">
        <f t="shared" si="2"/>
        <v>424</v>
      </c>
      <c r="M16" s="63">
        <v>867671</v>
      </c>
      <c r="N16" s="62"/>
      <c r="O16" s="45">
        <f t="shared" si="3"/>
        <v>490</v>
      </c>
      <c r="P16" s="63">
        <v>883714</v>
      </c>
      <c r="Q16" s="62"/>
      <c r="R16" s="45">
        <f t="shared" si="4"/>
        <v>502</v>
      </c>
      <c r="S16" s="63">
        <v>905299</v>
      </c>
      <c r="T16" s="62"/>
      <c r="U16" s="45">
        <f t="shared" si="5"/>
        <v>693</v>
      </c>
      <c r="V16" s="63">
        <v>926031</v>
      </c>
      <c r="W16" s="62"/>
      <c r="X16" s="45">
        <f t="shared" si="6"/>
        <v>616</v>
      </c>
      <c r="Y16" s="63"/>
      <c r="Z16" s="62"/>
      <c r="AA16" s="45" t="str">
        <f t="shared" si="7"/>
        <v/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828202</v>
      </c>
      <c r="E17" s="62"/>
      <c r="F17" s="45">
        <f t="shared" si="0"/>
        <v>463</v>
      </c>
      <c r="G17" s="63">
        <v>841186</v>
      </c>
      <c r="H17" s="62"/>
      <c r="I17" s="45">
        <f t="shared" si="1"/>
        <v>489</v>
      </c>
      <c r="J17" s="63">
        <v>853318</v>
      </c>
      <c r="K17" s="62"/>
      <c r="L17" s="45">
        <f t="shared" si="2"/>
        <v>411</v>
      </c>
      <c r="M17" s="63">
        <v>868124</v>
      </c>
      <c r="N17" s="62"/>
      <c r="O17" s="45">
        <v>490</v>
      </c>
      <c r="P17" s="63">
        <v>884202</v>
      </c>
      <c r="Q17" s="62"/>
      <c r="R17" s="45">
        <f t="shared" si="4"/>
        <v>488</v>
      </c>
      <c r="S17" s="63">
        <v>906180</v>
      </c>
      <c r="T17" s="62"/>
      <c r="U17" s="45">
        <f t="shared" si="5"/>
        <v>881</v>
      </c>
      <c r="V17" s="63">
        <v>926591</v>
      </c>
      <c r="W17" s="62"/>
      <c r="X17" s="45">
        <f t="shared" si="6"/>
        <v>560</v>
      </c>
      <c r="Y17" s="63"/>
      <c r="Z17" s="62"/>
      <c r="AA17" s="45" t="str">
        <f t="shared" si="7"/>
        <v/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828558</v>
      </c>
      <c r="E18" s="62"/>
      <c r="F18" s="45">
        <f t="shared" si="0"/>
        <v>356</v>
      </c>
      <c r="G18" s="63">
        <v>841662</v>
      </c>
      <c r="H18" s="62"/>
      <c r="I18" s="45">
        <f t="shared" si="1"/>
        <v>476</v>
      </c>
      <c r="J18" s="63">
        <v>853778</v>
      </c>
      <c r="K18" s="62"/>
      <c r="L18" s="45">
        <f t="shared" si="2"/>
        <v>460</v>
      </c>
      <c r="M18" s="63">
        <v>868746</v>
      </c>
      <c r="N18" s="62"/>
      <c r="O18" s="45">
        <v>491</v>
      </c>
      <c r="P18" s="63">
        <v>884703</v>
      </c>
      <c r="Q18" s="62"/>
      <c r="R18" s="45">
        <f t="shared" si="4"/>
        <v>501</v>
      </c>
      <c r="S18" s="63">
        <v>907050</v>
      </c>
      <c r="T18" s="62"/>
      <c r="U18" s="45">
        <f t="shared" si="5"/>
        <v>870</v>
      </c>
      <c r="V18" s="63">
        <v>927161</v>
      </c>
      <c r="W18" s="62"/>
      <c r="X18" s="45">
        <f t="shared" si="6"/>
        <v>570</v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828934</v>
      </c>
      <c r="E19" s="62"/>
      <c r="F19" s="45">
        <f t="shared" si="0"/>
        <v>376</v>
      </c>
      <c r="G19" s="63">
        <v>842029</v>
      </c>
      <c r="H19" s="62"/>
      <c r="I19" s="45">
        <f t="shared" si="1"/>
        <v>367</v>
      </c>
      <c r="J19" s="63">
        <v>854244</v>
      </c>
      <c r="K19" s="62"/>
      <c r="L19" s="45">
        <f t="shared" si="2"/>
        <v>466</v>
      </c>
      <c r="M19" s="63">
        <v>869379</v>
      </c>
      <c r="N19" s="62"/>
      <c r="O19" s="45">
        <f t="shared" si="3"/>
        <v>633</v>
      </c>
      <c r="P19" s="63">
        <v>885240</v>
      </c>
      <c r="Q19" s="62"/>
      <c r="R19" s="45">
        <f t="shared" si="4"/>
        <v>537</v>
      </c>
      <c r="S19" s="63">
        <v>907743</v>
      </c>
      <c r="T19" s="62"/>
      <c r="U19" s="45">
        <f t="shared" si="5"/>
        <v>693</v>
      </c>
      <c r="V19" s="63">
        <v>927591</v>
      </c>
      <c r="W19" s="62"/>
      <c r="X19" s="45">
        <f t="shared" si="6"/>
        <v>430</v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829361</v>
      </c>
      <c r="E20" s="62"/>
      <c r="F20" s="45">
        <f t="shared" si="0"/>
        <v>427</v>
      </c>
      <c r="G20" s="63">
        <v>842524</v>
      </c>
      <c r="H20" s="62"/>
      <c r="I20" s="45">
        <f t="shared" si="1"/>
        <v>495</v>
      </c>
      <c r="J20" s="63">
        <v>854688</v>
      </c>
      <c r="K20" s="62"/>
      <c r="L20" s="45">
        <f t="shared" si="2"/>
        <v>444</v>
      </c>
      <c r="M20" s="63">
        <v>869977</v>
      </c>
      <c r="N20" s="62"/>
      <c r="O20" s="45">
        <f t="shared" si="3"/>
        <v>598</v>
      </c>
      <c r="P20" s="63">
        <v>885745</v>
      </c>
      <c r="Q20" s="62"/>
      <c r="R20" s="45">
        <f t="shared" si="4"/>
        <v>505</v>
      </c>
      <c r="S20" s="63">
        <v>908575</v>
      </c>
      <c r="T20" s="62"/>
      <c r="U20" s="45">
        <f t="shared" si="5"/>
        <v>832</v>
      </c>
      <c r="V20" s="63">
        <v>927994</v>
      </c>
      <c r="W20" s="62"/>
      <c r="X20" s="45">
        <f t="shared" si="6"/>
        <v>403</v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829737</v>
      </c>
      <c r="E21" s="62"/>
      <c r="F21" s="45">
        <f t="shared" si="0"/>
        <v>376</v>
      </c>
      <c r="G21" s="63">
        <v>843016</v>
      </c>
      <c r="H21" s="62"/>
      <c r="I21" s="45">
        <f t="shared" si="1"/>
        <v>492</v>
      </c>
      <c r="J21" s="63">
        <v>855215</v>
      </c>
      <c r="K21" s="62"/>
      <c r="L21" s="45">
        <f t="shared" si="2"/>
        <v>527</v>
      </c>
      <c r="M21" s="63">
        <v>870448</v>
      </c>
      <c r="N21" s="62"/>
      <c r="O21" s="45">
        <f t="shared" si="3"/>
        <v>471</v>
      </c>
      <c r="P21" s="63">
        <v>886338</v>
      </c>
      <c r="Q21" s="62"/>
      <c r="R21" s="45">
        <f t="shared" si="4"/>
        <v>593</v>
      </c>
      <c r="S21" s="63">
        <v>909386</v>
      </c>
      <c r="T21" s="62"/>
      <c r="U21" s="45">
        <f t="shared" si="5"/>
        <v>811</v>
      </c>
      <c r="V21" s="63">
        <v>928331</v>
      </c>
      <c r="W21" s="62"/>
      <c r="X21" s="45">
        <f t="shared" si="6"/>
        <v>337</v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830132</v>
      </c>
      <c r="E22" s="62"/>
      <c r="F22" s="45">
        <f t="shared" si="0"/>
        <v>395</v>
      </c>
      <c r="G22" s="63">
        <v>843498</v>
      </c>
      <c r="H22" s="62"/>
      <c r="I22" s="45">
        <f t="shared" si="1"/>
        <v>482</v>
      </c>
      <c r="J22" s="63">
        <v>855729</v>
      </c>
      <c r="K22" s="62"/>
      <c r="L22" s="45">
        <f t="shared" si="2"/>
        <v>514</v>
      </c>
      <c r="M22" s="63">
        <v>870887</v>
      </c>
      <c r="N22" s="62"/>
      <c r="O22" s="45">
        <f t="shared" si="3"/>
        <v>439</v>
      </c>
      <c r="P22" s="63">
        <v>887067</v>
      </c>
      <c r="Q22" s="62"/>
      <c r="R22" s="45">
        <f t="shared" si="4"/>
        <v>729</v>
      </c>
      <c r="S22" s="63">
        <v>910142</v>
      </c>
      <c r="T22" s="62"/>
      <c r="U22" s="45">
        <f t="shared" si="5"/>
        <v>756</v>
      </c>
      <c r="V22" s="63">
        <v>928642</v>
      </c>
      <c r="W22" s="62"/>
      <c r="X22" s="45">
        <f t="shared" si="6"/>
        <v>311</v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830674</v>
      </c>
      <c r="E23" s="62"/>
      <c r="F23" s="45">
        <f t="shared" si="0"/>
        <v>542</v>
      </c>
      <c r="G23" s="63">
        <v>843841</v>
      </c>
      <c r="H23" s="62"/>
      <c r="I23" s="45">
        <f t="shared" si="1"/>
        <v>343</v>
      </c>
      <c r="J23" s="63">
        <v>856156</v>
      </c>
      <c r="K23" s="62"/>
      <c r="L23" s="45">
        <f t="shared" si="2"/>
        <v>427</v>
      </c>
      <c r="M23" s="63">
        <v>871379</v>
      </c>
      <c r="N23" s="62"/>
      <c r="O23" s="45">
        <f t="shared" si="3"/>
        <v>492</v>
      </c>
      <c r="P23" s="63">
        <v>887880</v>
      </c>
      <c r="Q23" s="62"/>
      <c r="R23" s="45">
        <f t="shared" si="4"/>
        <v>813</v>
      </c>
      <c r="S23" s="63">
        <v>910852</v>
      </c>
      <c r="T23" s="62"/>
      <c r="U23" s="45">
        <f t="shared" si="5"/>
        <v>710</v>
      </c>
      <c r="V23" s="63">
        <v>929009</v>
      </c>
      <c r="W23" s="62"/>
      <c r="X23" s="45">
        <f t="shared" si="6"/>
        <v>367</v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831026</v>
      </c>
      <c r="E24" s="62"/>
      <c r="F24" s="45">
        <f t="shared" si="0"/>
        <v>352</v>
      </c>
      <c r="G24" s="63">
        <v>844245</v>
      </c>
      <c r="H24" s="62"/>
      <c r="I24" s="45">
        <f t="shared" si="1"/>
        <v>404</v>
      </c>
      <c r="J24" s="63">
        <v>856575</v>
      </c>
      <c r="K24" s="62"/>
      <c r="L24" s="45">
        <f t="shared" si="2"/>
        <v>419</v>
      </c>
      <c r="M24" s="63">
        <v>871872</v>
      </c>
      <c r="N24" s="62"/>
      <c r="O24" s="45">
        <f t="shared" si="3"/>
        <v>493</v>
      </c>
      <c r="P24" s="63">
        <v>888629</v>
      </c>
      <c r="Q24" s="62"/>
      <c r="R24" s="45">
        <f t="shared" si="4"/>
        <v>749</v>
      </c>
      <c r="S24" s="63">
        <v>911543</v>
      </c>
      <c r="T24" s="62"/>
      <c r="U24" s="45">
        <f t="shared" si="5"/>
        <v>691</v>
      </c>
      <c r="V24" s="63">
        <v>929361</v>
      </c>
      <c r="W24" s="62"/>
      <c r="X24" s="45">
        <f t="shared" si="6"/>
        <v>352</v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831417</v>
      </c>
      <c r="E25" s="62"/>
      <c r="F25" s="45">
        <f t="shared" si="0"/>
        <v>391</v>
      </c>
      <c r="G25" s="63">
        <v>844710</v>
      </c>
      <c r="H25" s="62"/>
      <c r="I25" s="45">
        <f t="shared" si="1"/>
        <v>465</v>
      </c>
      <c r="J25" s="63">
        <v>857020</v>
      </c>
      <c r="K25" s="62"/>
      <c r="L25" s="45">
        <f t="shared" si="2"/>
        <v>445</v>
      </c>
      <c r="M25" s="63">
        <v>872489</v>
      </c>
      <c r="N25" s="62"/>
      <c r="O25" s="45">
        <f t="shared" si="3"/>
        <v>617</v>
      </c>
      <c r="P25" s="63">
        <v>889300</v>
      </c>
      <c r="Q25" s="62"/>
      <c r="R25" s="45">
        <f t="shared" si="4"/>
        <v>671</v>
      </c>
      <c r="S25" s="63">
        <v>912245</v>
      </c>
      <c r="T25" s="62"/>
      <c r="U25" s="45">
        <f t="shared" si="5"/>
        <v>702</v>
      </c>
      <c r="V25" s="63">
        <v>929818</v>
      </c>
      <c r="W25" s="62"/>
      <c r="X25" s="45">
        <f t="shared" si="6"/>
        <v>457</v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831810</v>
      </c>
      <c r="E26" s="62"/>
      <c r="F26" s="45">
        <f t="shared" si="0"/>
        <v>393</v>
      </c>
      <c r="G26" s="63">
        <v>845119</v>
      </c>
      <c r="H26" s="62"/>
      <c r="I26" s="45">
        <f t="shared" si="1"/>
        <v>409</v>
      </c>
      <c r="J26" s="63">
        <v>857501</v>
      </c>
      <c r="K26" s="62"/>
      <c r="L26" s="45">
        <f t="shared" si="2"/>
        <v>481</v>
      </c>
      <c r="M26" s="63">
        <v>872987</v>
      </c>
      <c r="N26" s="62"/>
      <c r="O26" s="45">
        <f t="shared" si="3"/>
        <v>498</v>
      </c>
      <c r="P26" s="63">
        <v>890051</v>
      </c>
      <c r="Q26" s="62"/>
      <c r="R26" s="45">
        <f t="shared" si="4"/>
        <v>751</v>
      </c>
      <c r="S26" s="63">
        <v>913059</v>
      </c>
      <c r="T26" s="62"/>
      <c r="U26" s="45">
        <f t="shared" si="5"/>
        <v>814</v>
      </c>
      <c r="V26" s="63">
        <v>930316</v>
      </c>
      <c r="W26" s="62"/>
      <c r="X26" s="45">
        <f t="shared" si="6"/>
        <v>498</v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832209</v>
      </c>
      <c r="E27" s="62"/>
      <c r="F27" s="45">
        <f t="shared" si="0"/>
        <v>399</v>
      </c>
      <c r="G27" s="63">
        <v>845601</v>
      </c>
      <c r="H27" s="62"/>
      <c r="I27" s="45">
        <f t="shared" si="1"/>
        <v>482</v>
      </c>
      <c r="J27" s="63">
        <v>857947</v>
      </c>
      <c r="K27" s="62"/>
      <c r="L27" s="45">
        <f t="shared" si="2"/>
        <v>446</v>
      </c>
      <c r="M27" s="63">
        <v>873439</v>
      </c>
      <c r="N27" s="62"/>
      <c r="O27" s="45">
        <f t="shared" si="3"/>
        <v>452</v>
      </c>
      <c r="P27" s="63">
        <v>890782</v>
      </c>
      <c r="Q27" s="62"/>
      <c r="R27" s="45">
        <f t="shared" si="4"/>
        <v>731</v>
      </c>
      <c r="S27" s="63">
        <v>913935</v>
      </c>
      <c r="T27" s="62"/>
      <c r="U27" s="45">
        <f t="shared" si="5"/>
        <v>876</v>
      </c>
      <c r="V27" s="63">
        <v>930741</v>
      </c>
      <c r="W27" s="62"/>
      <c r="X27" s="45">
        <f t="shared" si="6"/>
        <v>425</v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832605</v>
      </c>
      <c r="E28" s="62"/>
      <c r="F28" s="45">
        <f t="shared" si="0"/>
        <v>396</v>
      </c>
      <c r="G28" s="63">
        <v>846051</v>
      </c>
      <c r="H28" s="62"/>
      <c r="I28" s="45">
        <f t="shared" si="1"/>
        <v>450</v>
      </c>
      <c r="J28" s="63">
        <v>858435</v>
      </c>
      <c r="K28" s="62"/>
      <c r="L28" s="45">
        <f t="shared" si="2"/>
        <v>488</v>
      </c>
      <c r="M28" s="63">
        <v>873963</v>
      </c>
      <c r="N28" s="62"/>
      <c r="O28" s="45">
        <f t="shared" si="3"/>
        <v>524</v>
      </c>
      <c r="P28" s="63">
        <v>891580</v>
      </c>
      <c r="Q28" s="62"/>
      <c r="R28" s="45">
        <f t="shared" si="4"/>
        <v>798</v>
      </c>
      <c r="S28" s="63">
        <v>914860</v>
      </c>
      <c r="T28" s="62"/>
      <c r="U28" s="45">
        <f t="shared" si="5"/>
        <v>925</v>
      </c>
      <c r="V28" s="63">
        <v>931282</v>
      </c>
      <c r="W28" s="62"/>
      <c r="X28" s="45">
        <f t="shared" si="6"/>
        <v>541</v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833020</v>
      </c>
      <c r="E29" s="62"/>
      <c r="F29" s="45">
        <f t="shared" si="0"/>
        <v>415</v>
      </c>
      <c r="G29" s="63">
        <v>846402</v>
      </c>
      <c r="H29" s="62"/>
      <c r="I29" s="45">
        <f t="shared" si="1"/>
        <v>351</v>
      </c>
      <c r="J29" s="63">
        <v>858935</v>
      </c>
      <c r="K29" s="62"/>
      <c r="L29" s="45">
        <f t="shared" si="2"/>
        <v>500</v>
      </c>
      <c r="M29" s="63">
        <v>874633</v>
      </c>
      <c r="N29" s="62"/>
      <c r="O29" s="45">
        <f t="shared" si="3"/>
        <v>670</v>
      </c>
      <c r="P29" s="63">
        <v>892283</v>
      </c>
      <c r="Q29" s="62"/>
      <c r="R29" s="45">
        <f t="shared" si="4"/>
        <v>703</v>
      </c>
      <c r="S29" s="63">
        <v>915621</v>
      </c>
      <c r="T29" s="62"/>
      <c r="U29" s="45">
        <f t="shared" si="5"/>
        <v>761</v>
      </c>
      <c r="V29" s="63">
        <v>931694</v>
      </c>
      <c r="W29" s="62"/>
      <c r="X29" s="45">
        <f t="shared" si="6"/>
        <v>412</v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833501</v>
      </c>
      <c r="E30" s="62"/>
      <c r="F30" s="45">
        <f t="shared" si="0"/>
        <v>481</v>
      </c>
      <c r="G30" s="63">
        <v>846816</v>
      </c>
      <c r="H30" s="62"/>
      <c r="I30" s="45">
        <f t="shared" si="1"/>
        <v>414</v>
      </c>
      <c r="J30" s="63">
        <v>859426</v>
      </c>
      <c r="K30" s="62"/>
      <c r="L30" s="45">
        <f t="shared" si="2"/>
        <v>491</v>
      </c>
      <c r="M30" s="63">
        <v>875259</v>
      </c>
      <c r="N30" s="62"/>
      <c r="O30" s="45">
        <f t="shared" si="3"/>
        <v>626</v>
      </c>
      <c r="P30" s="63">
        <v>892999</v>
      </c>
      <c r="Q30" s="62"/>
      <c r="R30" s="45">
        <f t="shared" si="4"/>
        <v>716</v>
      </c>
      <c r="S30" s="63">
        <v>916202</v>
      </c>
      <c r="T30" s="62"/>
      <c r="U30" s="45">
        <f t="shared" si="5"/>
        <v>581</v>
      </c>
      <c r="V30" s="63">
        <v>932014</v>
      </c>
      <c r="W30" s="62"/>
      <c r="X30" s="45">
        <f t="shared" si="6"/>
        <v>320</v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833942</v>
      </c>
      <c r="E31" s="62"/>
      <c r="F31" s="45">
        <f t="shared" si="0"/>
        <v>441</v>
      </c>
      <c r="G31" s="63">
        <v>847239</v>
      </c>
      <c r="H31" s="62"/>
      <c r="I31" s="45">
        <f t="shared" si="1"/>
        <v>423</v>
      </c>
      <c r="J31" s="63">
        <v>859903</v>
      </c>
      <c r="K31" s="62"/>
      <c r="L31" s="45">
        <f t="shared" si="2"/>
        <v>477</v>
      </c>
      <c r="M31" s="63">
        <v>875892</v>
      </c>
      <c r="N31" s="62"/>
      <c r="O31" s="45">
        <f t="shared" si="3"/>
        <v>633</v>
      </c>
      <c r="P31" s="63">
        <v>893663</v>
      </c>
      <c r="Q31" s="62"/>
      <c r="R31" s="45">
        <f t="shared" si="4"/>
        <v>664</v>
      </c>
      <c r="S31" s="63">
        <v>916709</v>
      </c>
      <c r="T31" s="62"/>
      <c r="U31" s="45">
        <f t="shared" si="5"/>
        <v>507</v>
      </c>
      <c r="V31" s="63">
        <v>932316</v>
      </c>
      <c r="W31" s="62"/>
      <c r="X31" s="45">
        <f t="shared" si="6"/>
        <v>302</v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834377</v>
      </c>
      <c r="E32" s="62"/>
      <c r="F32" s="45">
        <f t="shared" si="0"/>
        <v>435</v>
      </c>
      <c r="G32" s="63">
        <v>847648</v>
      </c>
      <c r="H32" s="62"/>
      <c r="I32" s="45">
        <f t="shared" si="1"/>
        <v>409</v>
      </c>
      <c r="J32" s="63">
        <v>860385</v>
      </c>
      <c r="K32" s="62"/>
      <c r="L32" s="45">
        <f t="shared" si="2"/>
        <v>482</v>
      </c>
      <c r="M32" s="63">
        <v>876454</v>
      </c>
      <c r="N32" s="62"/>
      <c r="O32" s="45">
        <f t="shared" si="3"/>
        <v>562</v>
      </c>
      <c r="P32" s="63">
        <v>894247</v>
      </c>
      <c r="Q32" s="62"/>
      <c r="R32" s="45">
        <f t="shared" si="4"/>
        <v>584</v>
      </c>
      <c r="S32" s="63">
        <v>917227</v>
      </c>
      <c r="T32" s="62"/>
      <c r="U32" s="45">
        <f t="shared" si="5"/>
        <v>518</v>
      </c>
      <c r="V32" s="63">
        <v>932720</v>
      </c>
      <c r="W32" s="62"/>
      <c r="X32" s="45">
        <f t="shared" si="6"/>
        <v>404</v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834829</v>
      </c>
      <c r="E33" s="62"/>
      <c r="F33" s="45">
        <f t="shared" si="0"/>
        <v>452</v>
      </c>
      <c r="G33" s="63">
        <v>848190</v>
      </c>
      <c r="H33" s="62"/>
      <c r="I33" s="45">
        <f t="shared" si="1"/>
        <v>542</v>
      </c>
      <c r="J33" s="63">
        <v>860864</v>
      </c>
      <c r="K33" s="62"/>
      <c r="L33" s="45">
        <f t="shared" si="2"/>
        <v>479</v>
      </c>
      <c r="M33" s="63">
        <v>876976</v>
      </c>
      <c r="N33" s="62"/>
      <c r="O33" s="45">
        <f t="shared" si="3"/>
        <v>522</v>
      </c>
      <c r="P33" s="63">
        <v>894820</v>
      </c>
      <c r="Q33" s="62"/>
      <c r="R33" s="45">
        <f t="shared" si="4"/>
        <v>573</v>
      </c>
      <c r="S33" s="63">
        <v>917707</v>
      </c>
      <c r="T33" s="62"/>
      <c r="U33" s="45">
        <f t="shared" si="5"/>
        <v>480</v>
      </c>
      <c r="V33" s="63">
        <v>933047</v>
      </c>
      <c r="W33" s="62"/>
      <c r="X33" s="45">
        <f t="shared" si="6"/>
        <v>327</v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835288</v>
      </c>
      <c r="E34" s="62"/>
      <c r="F34" s="45">
        <f t="shared" si="0"/>
        <v>459</v>
      </c>
      <c r="G34" s="63">
        <v>848604</v>
      </c>
      <c r="H34" s="62"/>
      <c r="I34" s="45">
        <f t="shared" si="1"/>
        <v>414</v>
      </c>
      <c r="J34" s="63">
        <v>861378</v>
      </c>
      <c r="K34" s="62"/>
      <c r="L34" s="45">
        <f t="shared" si="2"/>
        <v>514</v>
      </c>
      <c r="M34" s="63">
        <v>877489</v>
      </c>
      <c r="N34" s="62"/>
      <c r="O34" s="45">
        <f t="shared" si="3"/>
        <v>513</v>
      </c>
      <c r="P34" s="63">
        <v>895570</v>
      </c>
      <c r="Q34" s="62"/>
      <c r="R34" s="45">
        <f t="shared" si="4"/>
        <v>750</v>
      </c>
      <c r="S34" s="63">
        <v>918203</v>
      </c>
      <c r="T34" s="62"/>
      <c r="U34" s="45">
        <f t="shared" si="5"/>
        <v>496</v>
      </c>
      <c r="V34" s="63">
        <v>933310</v>
      </c>
      <c r="W34" s="62"/>
      <c r="X34" s="45">
        <f t="shared" si="6"/>
        <v>263</v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835612</v>
      </c>
      <c r="E35" s="62"/>
      <c r="F35" s="45">
        <f t="shared" si="0"/>
        <v>324</v>
      </c>
      <c r="G35" s="63">
        <v>849036</v>
      </c>
      <c r="H35" s="62"/>
      <c r="I35" s="45">
        <f t="shared" si="1"/>
        <v>432</v>
      </c>
      <c r="J35" s="63">
        <v>861840</v>
      </c>
      <c r="K35" s="62"/>
      <c r="L35" s="45">
        <f t="shared" si="2"/>
        <v>462</v>
      </c>
      <c r="M35" s="63">
        <v>877967</v>
      </c>
      <c r="N35" s="62"/>
      <c r="O35" s="45">
        <f t="shared" si="3"/>
        <v>478</v>
      </c>
      <c r="P35" s="63">
        <v>896472</v>
      </c>
      <c r="Q35" s="62"/>
      <c r="R35" s="45">
        <f t="shared" si="4"/>
        <v>902</v>
      </c>
      <c r="S35" s="63">
        <v>919239</v>
      </c>
      <c r="T35" s="62"/>
      <c r="U35" s="45">
        <f t="shared" si="5"/>
        <v>1036</v>
      </c>
      <c r="V35" s="63">
        <v>933555</v>
      </c>
      <c r="W35" s="62"/>
      <c r="X35" s="45">
        <f t="shared" si="6"/>
        <v>245</v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836092</v>
      </c>
      <c r="E36" s="62"/>
      <c r="F36" s="45">
        <f t="shared" si="0"/>
        <v>480</v>
      </c>
      <c r="G36" s="66"/>
      <c r="H36" s="67"/>
      <c r="I36" s="46" t="str">
        <f t="shared" si="1"/>
        <v/>
      </c>
      <c r="J36" s="63">
        <v>862301</v>
      </c>
      <c r="K36" s="62"/>
      <c r="L36" s="45">
        <f t="shared" si="2"/>
        <v>461</v>
      </c>
      <c r="M36" s="63">
        <v>878502</v>
      </c>
      <c r="N36" s="62"/>
      <c r="O36" s="45">
        <f t="shared" si="3"/>
        <v>535</v>
      </c>
      <c r="P36" s="63">
        <v>897388</v>
      </c>
      <c r="Q36" s="62"/>
      <c r="R36" s="45">
        <f t="shared" si="4"/>
        <v>916</v>
      </c>
      <c r="S36" s="63">
        <v>919787</v>
      </c>
      <c r="T36" s="62"/>
      <c r="U36" s="45">
        <f t="shared" si="5"/>
        <v>548</v>
      </c>
      <c r="V36" s="63">
        <v>933935</v>
      </c>
      <c r="W36" s="62"/>
      <c r="X36" s="45">
        <f t="shared" si="6"/>
        <v>380</v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836477</v>
      </c>
      <c r="E37" s="62"/>
      <c r="F37" s="45">
        <f t="shared" si="0"/>
        <v>385</v>
      </c>
      <c r="G37" s="66"/>
      <c r="H37" s="67"/>
      <c r="I37" s="46"/>
      <c r="J37" s="63">
        <v>862746</v>
      </c>
      <c r="K37" s="62"/>
      <c r="L37" s="45">
        <f t="shared" si="2"/>
        <v>445</v>
      </c>
      <c r="M37" s="63">
        <v>879032</v>
      </c>
      <c r="N37" s="62"/>
      <c r="O37" s="45">
        <f t="shared" si="3"/>
        <v>530</v>
      </c>
      <c r="P37" s="63">
        <v>898184</v>
      </c>
      <c r="Q37" s="62"/>
      <c r="R37" s="45">
        <f t="shared" si="4"/>
        <v>796</v>
      </c>
      <c r="S37" s="63">
        <v>920385</v>
      </c>
      <c r="T37" s="62"/>
      <c r="U37" s="45">
        <f t="shared" si="5"/>
        <v>598</v>
      </c>
      <c r="V37" s="63">
        <v>934319</v>
      </c>
      <c r="W37" s="62"/>
      <c r="X37" s="45">
        <f t="shared" si="6"/>
        <v>384</v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836906</v>
      </c>
      <c r="E38" s="69"/>
      <c r="F38" s="45">
        <f t="shared" si="0"/>
        <v>429</v>
      </c>
      <c r="G38" s="70"/>
      <c r="H38" s="71"/>
      <c r="I38" s="47"/>
      <c r="J38" s="68">
        <v>863204</v>
      </c>
      <c r="K38" s="69"/>
      <c r="L38" s="45">
        <f t="shared" si="2"/>
        <v>458</v>
      </c>
      <c r="M38" s="70"/>
      <c r="N38" s="71"/>
      <c r="O38" s="47"/>
      <c r="P38" s="68">
        <v>898870</v>
      </c>
      <c r="Q38" s="69"/>
      <c r="R38" s="45">
        <f t="shared" si="4"/>
        <v>686</v>
      </c>
      <c r="S38" s="70"/>
      <c r="T38" s="71"/>
      <c r="U38" s="47"/>
      <c r="V38" s="68">
        <v>934633</v>
      </c>
      <c r="W38" s="69"/>
      <c r="X38" s="45">
        <f t="shared" si="6"/>
        <v>314</v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64</v>
      </c>
      <c r="C39" s="74"/>
      <c r="D39" s="72"/>
      <c r="E39" s="72"/>
      <c r="F39" s="48">
        <f>SUM(F8:F38)</f>
        <v>13176</v>
      </c>
      <c r="G39" s="72"/>
      <c r="H39" s="72"/>
      <c r="I39" s="48">
        <f>SUM(I8:I36)</f>
        <v>12130</v>
      </c>
      <c r="J39" s="72"/>
      <c r="K39" s="72"/>
      <c r="L39" s="48">
        <f>SUM(L8:L38)</f>
        <v>14168</v>
      </c>
      <c r="M39" s="72"/>
      <c r="N39" s="72"/>
      <c r="O39" s="48">
        <f>SUM(O8:O37)</f>
        <v>15734</v>
      </c>
      <c r="P39" s="72"/>
      <c r="Q39" s="72"/>
      <c r="R39" s="48">
        <f>SUM(R8:R38)</f>
        <v>19838</v>
      </c>
      <c r="S39" s="72"/>
      <c r="T39" s="72"/>
      <c r="U39" s="48">
        <f>SUM(U8:U37)</f>
        <v>21515</v>
      </c>
      <c r="V39" s="72"/>
      <c r="W39" s="72"/>
      <c r="X39" s="48">
        <f>SUM(X8:X38)</f>
        <v>14248</v>
      </c>
      <c r="Y39" s="72"/>
      <c r="Z39" s="72"/>
      <c r="AA39" s="48">
        <f>SUM(AA8:AA38)</f>
        <v>260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O1" zoomScale="70" zoomScaleNormal="70" workbookViewId="0">
      <selection activeCell="AO11" sqref="AO11:AP1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3" t="s">
        <v>18</v>
      </c>
      <c r="C3" s="83"/>
      <c r="D3" s="83"/>
      <c r="E3" s="54"/>
      <c r="W3" s="9"/>
      <c r="X3" s="10"/>
      <c r="Y3" s="10"/>
      <c r="Z3" s="10"/>
      <c r="AA3" s="10"/>
    </row>
    <row r="4" spans="2:63" x14ac:dyDescent="0.25">
      <c r="B4" s="61" t="s">
        <v>65</v>
      </c>
      <c r="C4" s="62"/>
      <c r="D4" s="62" t="s">
        <v>66</v>
      </c>
      <c r="E4" s="84"/>
      <c r="W4" s="9"/>
      <c r="X4" s="10"/>
      <c r="Y4" s="10"/>
      <c r="Z4" s="10"/>
      <c r="AA4" s="10"/>
    </row>
    <row r="5" spans="2:63" ht="15.75" thickBot="1" x14ac:dyDescent="0.3">
      <c r="B5" s="73">
        <v>5914.3</v>
      </c>
      <c r="C5" s="74"/>
      <c r="D5" s="74">
        <v>2312.9</v>
      </c>
      <c r="E5" s="85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9" t="s">
        <v>19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44"/>
      <c r="BJ7" s="44"/>
      <c r="BK7" s="6"/>
    </row>
    <row r="8" spans="2:63" ht="6.75" customHeight="1" x14ac:dyDescent="0.25"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45"/>
      <c r="BJ8" s="45"/>
      <c r="BK8" s="51"/>
    </row>
    <row r="9" spans="2:63" x14ac:dyDescent="0.25">
      <c r="B9" s="77" t="s">
        <v>67</v>
      </c>
      <c r="C9" s="78"/>
      <c r="D9" s="55" t="s">
        <v>20</v>
      </c>
      <c r="E9" s="56"/>
      <c r="F9" s="56"/>
      <c r="G9" s="56"/>
      <c r="H9" s="43" t="s">
        <v>68</v>
      </c>
      <c r="I9" s="55" t="s">
        <v>22</v>
      </c>
      <c r="J9" s="56"/>
      <c r="K9" s="56"/>
      <c r="L9" s="56"/>
      <c r="M9" s="43" t="s">
        <v>68</v>
      </c>
      <c r="N9" s="55" t="s">
        <v>23</v>
      </c>
      <c r="O9" s="56"/>
      <c r="P9" s="56"/>
      <c r="Q9" s="56"/>
      <c r="R9" s="43" t="s">
        <v>68</v>
      </c>
      <c r="S9" s="55" t="s">
        <v>24</v>
      </c>
      <c r="T9" s="56"/>
      <c r="U9" s="56"/>
      <c r="V9" s="56"/>
      <c r="W9" s="43" t="s">
        <v>68</v>
      </c>
      <c r="X9" s="55" t="s">
        <v>25</v>
      </c>
      <c r="Y9" s="56"/>
      <c r="Z9" s="56"/>
      <c r="AA9" s="56"/>
      <c r="AB9" s="43" t="s">
        <v>68</v>
      </c>
      <c r="AC9" s="55" t="s">
        <v>26</v>
      </c>
      <c r="AD9" s="56"/>
      <c r="AE9" s="56"/>
      <c r="AF9" s="56"/>
      <c r="AG9" s="43" t="s">
        <v>68</v>
      </c>
      <c r="AH9" s="55" t="s">
        <v>27</v>
      </c>
      <c r="AI9" s="56"/>
      <c r="AJ9" s="56"/>
      <c r="AK9" s="56"/>
      <c r="AL9" s="43" t="s">
        <v>68</v>
      </c>
      <c r="AM9" s="55" t="s">
        <v>28</v>
      </c>
      <c r="AN9" s="56"/>
      <c r="AO9" s="56"/>
      <c r="AP9" s="56"/>
      <c r="AQ9" s="43" t="s">
        <v>68</v>
      </c>
      <c r="AR9" s="55" t="s">
        <v>29</v>
      </c>
      <c r="AS9" s="56"/>
      <c r="AT9" s="56"/>
      <c r="AU9" s="56"/>
      <c r="AV9" s="43" t="s">
        <v>68</v>
      </c>
      <c r="AW9" s="55" t="s">
        <v>30</v>
      </c>
      <c r="AX9" s="56"/>
      <c r="AY9" s="56"/>
      <c r="AZ9" s="56"/>
      <c r="BA9" s="43" t="s">
        <v>68</v>
      </c>
      <c r="BB9" s="55" t="s">
        <v>31</v>
      </c>
      <c r="BC9" s="56"/>
      <c r="BD9" s="56"/>
      <c r="BE9" s="56"/>
      <c r="BF9" s="43" t="s">
        <v>68</v>
      </c>
      <c r="BG9" s="55" t="s">
        <v>32</v>
      </c>
      <c r="BH9" s="56"/>
      <c r="BI9" s="56"/>
      <c r="BJ9" s="56"/>
      <c r="BK9" s="7" t="s">
        <v>68</v>
      </c>
    </row>
    <row r="10" spans="2:63" x14ac:dyDescent="0.25">
      <c r="B10" s="64"/>
      <c r="C10" s="65"/>
      <c r="D10" s="81" t="s">
        <v>65</v>
      </c>
      <c r="E10" s="82"/>
      <c r="F10" s="82" t="s">
        <v>66</v>
      </c>
      <c r="G10" s="82"/>
      <c r="H10" s="50"/>
      <c r="I10" s="81" t="s">
        <v>69</v>
      </c>
      <c r="J10" s="82"/>
      <c r="K10" s="82" t="s">
        <v>66</v>
      </c>
      <c r="L10" s="82"/>
      <c r="M10" s="50"/>
      <c r="N10" s="81" t="s">
        <v>69</v>
      </c>
      <c r="O10" s="82"/>
      <c r="P10" s="82" t="s">
        <v>66</v>
      </c>
      <c r="Q10" s="82"/>
      <c r="R10" s="50"/>
      <c r="S10" s="81" t="s">
        <v>69</v>
      </c>
      <c r="T10" s="82"/>
      <c r="U10" s="82" t="s">
        <v>66</v>
      </c>
      <c r="V10" s="82"/>
      <c r="W10" s="50"/>
      <c r="X10" s="81" t="s">
        <v>69</v>
      </c>
      <c r="Y10" s="82"/>
      <c r="Z10" s="82" t="s">
        <v>66</v>
      </c>
      <c r="AA10" s="82"/>
      <c r="AB10" s="50"/>
      <c r="AC10" s="81" t="s">
        <v>69</v>
      </c>
      <c r="AD10" s="82"/>
      <c r="AE10" s="82" t="s">
        <v>66</v>
      </c>
      <c r="AF10" s="82"/>
      <c r="AG10" s="50"/>
      <c r="AH10" s="81" t="s">
        <v>69</v>
      </c>
      <c r="AI10" s="82"/>
      <c r="AJ10" s="82" t="s">
        <v>66</v>
      </c>
      <c r="AK10" s="82"/>
      <c r="AL10" s="50"/>
      <c r="AM10" s="81" t="s">
        <v>69</v>
      </c>
      <c r="AN10" s="82"/>
      <c r="AO10" s="82" t="s">
        <v>66</v>
      </c>
      <c r="AP10" s="82"/>
      <c r="AQ10" s="50"/>
      <c r="AR10" s="81" t="s">
        <v>69</v>
      </c>
      <c r="AS10" s="82"/>
      <c r="AT10" s="82" t="s">
        <v>66</v>
      </c>
      <c r="AU10" s="82"/>
      <c r="AV10" s="50"/>
      <c r="AW10" s="81" t="s">
        <v>69</v>
      </c>
      <c r="AX10" s="82"/>
      <c r="AY10" s="82" t="s">
        <v>66</v>
      </c>
      <c r="AZ10" s="82"/>
      <c r="BA10" s="50"/>
      <c r="BB10" s="81" t="s">
        <v>69</v>
      </c>
      <c r="BC10" s="82"/>
      <c r="BD10" s="82" t="s">
        <v>66</v>
      </c>
      <c r="BE10" s="82"/>
      <c r="BF10" s="50"/>
      <c r="BG10" s="81" t="s">
        <v>69</v>
      </c>
      <c r="BH10" s="82"/>
      <c r="BI10" s="82" t="s">
        <v>66</v>
      </c>
      <c r="BJ10" s="82"/>
      <c r="BK10" s="5"/>
    </row>
    <row r="11" spans="2:63" x14ac:dyDescent="0.25">
      <c r="B11" s="64" t="s">
        <v>33</v>
      </c>
      <c r="C11" s="65"/>
      <c r="D11" s="63">
        <v>5944.1</v>
      </c>
      <c r="E11" s="62"/>
      <c r="F11" s="62">
        <v>2326.1</v>
      </c>
      <c r="G11" s="62"/>
      <c r="H11" s="45">
        <f>IF(COUNT(B5,D5,D11,F11)=4,(D11+F11)-(B5+D5),"")</f>
        <v>43</v>
      </c>
      <c r="I11" s="63">
        <v>6726.5</v>
      </c>
      <c r="J11" s="62"/>
      <c r="K11" s="79">
        <v>2817.5</v>
      </c>
      <c r="L11" s="79"/>
      <c r="M11" s="45">
        <f>IF(COUNT(D41,F41,I11,K11)=4,(I11+K11)-(D41+F41),"")</f>
        <v>47.600000000000364</v>
      </c>
      <c r="N11" s="63">
        <v>7455.8</v>
      </c>
      <c r="O11" s="62"/>
      <c r="P11" s="79">
        <v>3271.5</v>
      </c>
      <c r="Q11" s="79"/>
      <c r="R11" s="45">
        <f>IF(COUNT(I38,K38,N11,P11)=4,(N11+P11)-(I38+K38),"")</f>
        <v>48.799999999999272</v>
      </c>
      <c r="S11" s="63">
        <v>8279.2000000000007</v>
      </c>
      <c r="T11" s="62"/>
      <c r="U11" s="79">
        <v>3727.5</v>
      </c>
      <c r="V11" s="79"/>
      <c r="W11" s="45">
        <f>IF(COUNT(N41,P41,S11,U11)=4,(S11+U11)-(N41+P41),"")</f>
        <v>40.300000000001091</v>
      </c>
      <c r="X11" s="63">
        <v>9080.9</v>
      </c>
      <c r="Y11" s="62"/>
      <c r="Z11" s="79">
        <v>4121.1000000000004</v>
      </c>
      <c r="AA11" s="79"/>
      <c r="AB11" s="45">
        <f>IF(COUNT(S40,U40,X11,Z11)=4,(X11+Z11)-(S40+U40),"")</f>
        <v>38.199999999998909</v>
      </c>
      <c r="AC11" s="63">
        <v>9931.9</v>
      </c>
      <c r="AD11" s="62"/>
      <c r="AE11" s="79">
        <v>4454.1000000000004</v>
      </c>
      <c r="AF11" s="79"/>
      <c r="AG11" s="45">
        <f>IF(COUNT(X41,Z41,AC11,AE11)=4,(AC11+AE11)-(X41+Z41),"")</f>
        <v>27.399999999999636</v>
      </c>
      <c r="AH11" s="63">
        <v>10700.8</v>
      </c>
      <c r="AI11" s="62"/>
      <c r="AJ11" s="79">
        <v>4700.5</v>
      </c>
      <c r="AK11" s="79"/>
      <c r="AL11" s="45">
        <f>IF(COUNT(AC40,AE40,AH11,AJ11)=4,(AH11+AJ11)-(AC40+AE40),"")</f>
        <v>26.299999999999272</v>
      </c>
      <c r="AM11" s="63">
        <v>11214.7</v>
      </c>
      <c r="AN11" s="62"/>
      <c r="AO11" s="79">
        <v>4850.3</v>
      </c>
      <c r="AP11" s="79"/>
      <c r="AQ11" s="45">
        <f>IF(COUNT(AH41,AJ41,AM11,AO11)=4,(AM11+AO11)-(AH41+AJ41),"")</f>
        <v>16.900000000001455</v>
      </c>
      <c r="AR11" s="63"/>
      <c r="AS11" s="62"/>
      <c r="AT11" s="79"/>
      <c r="AU11" s="79"/>
      <c r="AV11" s="45" t="str">
        <f>IF(COUNT(AM41,AO41,AR11,AT11)=4,(AR11+AT11)-(AM41+AO41),"")</f>
        <v/>
      </c>
      <c r="AW11" s="63"/>
      <c r="AX11" s="62"/>
      <c r="AY11" s="79"/>
      <c r="AZ11" s="79"/>
      <c r="BA11" s="45" t="str">
        <f>IF(COUNT(AR40,AT40,AW11,AY11)=4,(AW11+AY11)-(AR40+AT40),"")</f>
        <v/>
      </c>
      <c r="BB11" s="63"/>
      <c r="BC11" s="62"/>
      <c r="BD11" s="79"/>
      <c r="BE11" s="79"/>
      <c r="BF11" s="45" t="str">
        <f>IF(COUNT(AW41,AY41,BB11,BD11)=4,(BB11+BD11)-(AW41+AY41),"")</f>
        <v/>
      </c>
      <c r="BG11" s="63"/>
      <c r="BH11" s="62"/>
      <c r="BI11" s="79"/>
      <c r="BJ11" s="79"/>
      <c r="BK11" s="51" t="str">
        <f>IF(COUNT(BB40,BD40,BG11,BI11)=4,(BG11+BI11)-(BB40+BD40),"")</f>
        <v/>
      </c>
    </row>
    <row r="12" spans="2:63" x14ac:dyDescent="0.25">
      <c r="B12" s="64" t="s">
        <v>34</v>
      </c>
      <c r="C12" s="65"/>
      <c r="D12" s="63">
        <v>5966.2</v>
      </c>
      <c r="E12" s="62"/>
      <c r="F12" s="62">
        <v>2335.6</v>
      </c>
      <c r="G12" s="62"/>
      <c r="H12" s="45">
        <f>IF(COUNT(D11,D12,F11,F12)=4,(D12+F12)-(D11+F11),"")</f>
        <v>31.599999999998545</v>
      </c>
      <c r="I12" s="63">
        <v>6750.3</v>
      </c>
      <c r="J12" s="62"/>
      <c r="K12" s="79">
        <v>2829.7</v>
      </c>
      <c r="L12" s="79"/>
      <c r="M12" s="45">
        <f>IF(COUNT(I11,I12,K11,K12)=4,(I12+K12)-(I11+K11),"")</f>
        <v>36</v>
      </c>
      <c r="N12" s="63">
        <v>7481</v>
      </c>
      <c r="O12" s="62"/>
      <c r="P12" s="79">
        <v>3286</v>
      </c>
      <c r="Q12" s="79"/>
      <c r="R12" s="45">
        <f>IF(COUNT(N11,N12,P11,P12)=4,(N12+P12)-(N11+P11),"")</f>
        <v>39.700000000000728</v>
      </c>
      <c r="S12" s="63">
        <v>8304.9</v>
      </c>
      <c r="T12" s="62"/>
      <c r="U12" s="79">
        <v>3742.5</v>
      </c>
      <c r="V12" s="79"/>
      <c r="W12" s="45">
        <f>IF(COUNT(S11,S12,U11,U12)=4,(S12+U12)-(S11+U11),"")</f>
        <v>40.699999999998909</v>
      </c>
      <c r="X12" s="63">
        <v>9108.1</v>
      </c>
      <c r="Y12" s="62"/>
      <c r="Z12" s="79">
        <v>4134.2</v>
      </c>
      <c r="AA12" s="79"/>
      <c r="AB12" s="45">
        <f>IF(COUNT(X11,X12,Z11,Z12)=4,(X12+Z12)-(X11+Z11),"")</f>
        <v>40.299999999999272</v>
      </c>
      <c r="AC12" s="63">
        <v>9958.4</v>
      </c>
      <c r="AD12" s="62"/>
      <c r="AE12" s="79">
        <v>4463.5</v>
      </c>
      <c r="AF12" s="79"/>
      <c r="AG12" s="45">
        <f>IF(COUNT(AC11,AC12,AE11,AE12)=4,(AC12+AE12)-(AC11+AE11),"")</f>
        <v>35.899999999999636</v>
      </c>
      <c r="AH12" s="63">
        <v>10721.1</v>
      </c>
      <c r="AI12" s="62"/>
      <c r="AJ12" s="79">
        <v>4706.8999999999996</v>
      </c>
      <c r="AK12" s="79"/>
      <c r="AL12" s="45">
        <f>IF(COUNT(AH11,AH12,AJ11,AJ12)=4,(AH12+AJ12)-(AH11+AJ11),"")</f>
        <v>26.700000000000728</v>
      </c>
      <c r="AM12" s="63"/>
      <c r="AN12" s="62"/>
      <c r="AO12" s="79"/>
      <c r="AP12" s="79"/>
      <c r="AQ12" s="45" t="str">
        <f>IF(COUNT(AM11,AM12,AO11,AO12)=4,(AM12+AO12)-(AM11+AO11),"")</f>
        <v/>
      </c>
      <c r="AR12" s="63"/>
      <c r="AS12" s="62"/>
      <c r="AT12" s="79"/>
      <c r="AU12" s="79"/>
      <c r="AV12" s="45" t="str">
        <f>IF(COUNT(AR11,AR12,AT11,AT12)=4,(AR12+AT12)-(AR11+AT11),"")</f>
        <v/>
      </c>
      <c r="AW12" s="63"/>
      <c r="AX12" s="62"/>
      <c r="AY12" s="79"/>
      <c r="AZ12" s="79"/>
      <c r="BA12" s="45" t="str">
        <f>IF(COUNT(AW11,AW12,AY11,AY12)=4,(AW12+AY12)-(AW11+AY11),"")</f>
        <v/>
      </c>
      <c r="BB12" s="63"/>
      <c r="BC12" s="62"/>
      <c r="BD12" s="79"/>
      <c r="BE12" s="79"/>
      <c r="BF12" s="45" t="str">
        <f>IF(COUNT(BB11,BB12,BD11,BD12)=4,(BB12+BD12)-(BB11+BD11),"")</f>
        <v/>
      </c>
      <c r="BG12" s="63"/>
      <c r="BH12" s="62"/>
      <c r="BI12" s="79"/>
      <c r="BJ12" s="79"/>
      <c r="BK12" s="51" t="str">
        <f>IF(COUNT(BG11,BG12,BI11,BI12)=4,(BG12+BI12)-(BG11+BI11),"")</f>
        <v/>
      </c>
    </row>
    <row r="13" spans="2:63" x14ac:dyDescent="0.25">
      <c r="B13" s="64" t="s">
        <v>35</v>
      </c>
      <c r="C13" s="65"/>
      <c r="D13" s="63">
        <v>5991.2</v>
      </c>
      <c r="E13" s="62"/>
      <c r="F13" s="62">
        <v>2349.6</v>
      </c>
      <c r="G13" s="62"/>
      <c r="H13" s="45">
        <f t="shared" ref="H13:H41" si="0">IF(COUNT(D12,D13,F12,F13)=4,(D13+F13)-(D12+F12),"")</f>
        <v>39</v>
      </c>
      <c r="I13" s="63">
        <v>6772.8</v>
      </c>
      <c r="J13" s="62"/>
      <c r="K13" s="79">
        <v>2841.1</v>
      </c>
      <c r="L13" s="79"/>
      <c r="M13" s="45">
        <f t="shared" ref="M13:M39" si="1">IF(COUNT(I12,I13,K12,K13)=4,(I13+K13)-(I12+K12),"")</f>
        <v>33.899999999999636</v>
      </c>
      <c r="N13" s="63">
        <v>7511</v>
      </c>
      <c r="O13" s="62"/>
      <c r="P13" s="79">
        <v>3300.4</v>
      </c>
      <c r="Q13" s="79"/>
      <c r="R13" s="45">
        <f t="shared" ref="R13:R41" si="2">IF(COUNT(N12,N13,P12,P13)=4,(N13+P13)-(N12+P12),"")</f>
        <v>44.399999999999636</v>
      </c>
      <c r="S13" s="63">
        <v>8331.4</v>
      </c>
      <c r="T13" s="62"/>
      <c r="U13" s="79">
        <v>3758.8</v>
      </c>
      <c r="V13" s="79"/>
      <c r="W13" s="45">
        <f t="shared" ref="W13:W40" si="3">IF(COUNT(S12,S13,U12,U13)=4,(S13+U13)-(S12+U12),"")</f>
        <v>42.800000000001091</v>
      </c>
      <c r="X13" s="63">
        <v>9134.7999999999993</v>
      </c>
      <c r="Y13" s="62"/>
      <c r="Z13" s="79">
        <v>4146.3999999999996</v>
      </c>
      <c r="AA13" s="79"/>
      <c r="AB13" s="45">
        <f t="shared" ref="AB13:AB41" si="4">IF(COUNT(X12,X13,Z12,Z13)=4,(X13+Z13)-(X12+Z12),"")</f>
        <v>38.899999999999636</v>
      </c>
      <c r="AC13" s="63">
        <v>9985.5</v>
      </c>
      <c r="AD13" s="62"/>
      <c r="AE13" s="79">
        <v>4472.8</v>
      </c>
      <c r="AF13" s="79"/>
      <c r="AG13" s="45">
        <f t="shared" ref="AG13:AG40" si="5">IF(COUNT(AC12,AC13,AE12,AE13)=4,(AC13+AE13)-(AC12+AE12),"")</f>
        <v>36.399999999999636</v>
      </c>
      <c r="AH13" s="63">
        <v>10741</v>
      </c>
      <c r="AI13" s="62"/>
      <c r="AJ13" s="79">
        <v>4713.1000000000004</v>
      </c>
      <c r="AK13" s="79"/>
      <c r="AL13" s="45">
        <f t="shared" ref="AL13:AL41" si="6">IF(COUNT(AH12,AH13,AJ12,AJ13)=4,(AH13+AJ13)-(AH12+AJ12),"")</f>
        <v>26.100000000000364</v>
      </c>
      <c r="AM13" s="63"/>
      <c r="AN13" s="62"/>
      <c r="AO13" s="79"/>
      <c r="AP13" s="79"/>
      <c r="AQ13" s="45" t="str">
        <f t="shared" ref="AQ13:AQ41" si="7">IF(COUNT(AM12,AM13,AO12,AO13)=4,(AM13+AO13)-(AM12+AO12),"")</f>
        <v/>
      </c>
      <c r="AR13" s="63"/>
      <c r="AS13" s="62"/>
      <c r="AT13" s="79"/>
      <c r="AU13" s="79"/>
      <c r="AV13" s="45" t="str">
        <f t="shared" ref="AV13:AV40" si="8">IF(COUNT(AR12,AR13,AT12,AT13)=4,(AR13+AT13)-(AR12+AT12),"")</f>
        <v/>
      </c>
      <c r="AW13" s="63"/>
      <c r="AX13" s="62"/>
      <c r="AY13" s="79"/>
      <c r="AZ13" s="79"/>
      <c r="BA13" s="45" t="str">
        <f t="shared" ref="BA13:BA41" si="9">IF(COUNT(AW12,AW13,AY12,AY13)=4,(AW13+AY13)-(AW12+AY12),"")</f>
        <v/>
      </c>
      <c r="BB13" s="63"/>
      <c r="BC13" s="62"/>
      <c r="BD13" s="79"/>
      <c r="BE13" s="79"/>
      <c r="BF13" s="45" t="str">
        <f t="shared" ref="BF13:BF40" si="10">IF(COUNT(BB12,BB13,BD12,BD13)=4,(BB13+BD13)-(BB12+BD12),"")</f>
        <v/>
      </c>
      <c r="BG13" s="63"/>
      <c r="BH13" s="62"/>
      <c r="BI13" s="79"/>
      <c r="BJ13" s="79"/>
      <c r="BK13" s="51" t="str">
        <f t="shared" ref="BK13:BK41" si="11">IF(COUNT(BG12,BG13,BI12,BI13)=4,(BG13+BI13)-(BG12+BI12),"")</f>
        <v/>
      </c>
    </row>
    <row r="14" spans="2:63" x14ac:dyDescent="0.25">
      <c r="B14" s="64" t="s">
        <v>36</v>
      </c>
      <c r="C14" s="65"/>
      <c r="D14" s="63">
        <v>6019.5</v>
      </c>
      <c r="E14" s="62"/>
      <c r="F14" s="62">
        <v>2367</v>
      </c>
      <c r="G14" s="62"/>
      <c r="H14" s="45">
        <f t="shared" si="0"/>
        <v>45.700000000000728</v>
      </c>
      <c r="I14" s="63">
        <v>6794.5</v>
      </c>
      <c r="J14" s="62"/>
      <c r="K14" s="79">
        <v>2856.1</v>
      </c>
      <c r="L14" s="79"/>
      <c r="M14" s="45">
        <f t="shared" si="1"/>
        <v>36.700000000000728</v>
      </c>
      <c r="N14" s="63">
        <v>7531.3</v>
      </c>
      <c r="O14" s="62"/>
      <c r="P14" s="79">
        <v>3312.3</v>
      </c>
      <c r="Q14" s="79"/>
      <c r="R14" s="45">
        <f t="shared" si="2"/>
        <v>32.200000000000728</v>
      </c>
      <c r="S14" s="63">
        <v>8359.7999999999993</v>
      </c>
      <c r="T14" s="62"/>
      <c r="U14" s="79">
        <v>3777</v>
      </c>
      <c r="V14" s="79"/>
      <c r="W14" s="45">
        <f t="shared" si="3"/>
        <v>46.599999999998545</v>
      </c>
      <c r="X14" s="63">
        <v>9162.7000000000007</v>
      </c>
      <c r="Y14" s="62"/>
      <c r="Z14" s="79">
        <v>4157.3999999999996</v>
      </c>
      <c r="AA14" s="79"/>
      <c r="AB14" s="45">
        <f t="shared" si="4"/>
        <v>38.900000000001455</v>
      </c>
      <c r="AC14" s="63">
        <v>10012.700000000001</v>
      </c>
      <c r="AD14" s="62"/>
      <c r="AE14" s="79">
        <v>4482.1000000000004</v>
      </c>
      <c r="AF14" s="79"/>
      <c r="AG14" s="45">
        <f t="shared" si="5"/>
        <v>36.500000000001819</v>
      </c>
      <c r="AH14" s="63">
        <v>10762.9</v>
      </c>
      <c r="AI14" s="62"/>
      <c r="AJ14" s="79">
        <v>4719.8</v>
      </c>
      <c r="AK14" s="79"/>
      <c r="AL14" s="45">
        <f t="shared" si="6"/>
        <v>28.600000000000364</v>
      </c>
      <c r="AM14" s="63"/>
      <c r="AN14" s="62"/>
      <c r="AO14" s="79"/>
      <c r="AP14" s="79"/>
      <c r="AQ14" s="45" t="str">
        <f t="shared" si="7"/>
        <v/>
      </c>
      <c r="AR14" s="63"/>
      <c r="AS14" s="62"/>
      <c r="AT14" s="79"/>
      <c r="AU14" s="79"/>
      <c r="AV14" s="45" t="str">
        <f t="shared" si="8"/>
        <v/>
      </c>
      <c r="AW14" s="63"/>
      <c r="AX14" s="62"/>
      <c r="AY14" s="79"/>
      <c r="AZ14" s="79"/>
      <c r="BA14" s="45" t="str">
        <f t="shared" si="9"/>
        <v/>
      </c>
      <c r="BB14" s="63"/>
      <c r="BC14" s="62"/>
      <c r="BD14" s="79"/>
      <c r="BE14" s="79"/>
      <c r="BF14" s="45" t="str">
        <f t="shared" si="10"/>
        <v/>
      </c>
      <c r="BG14" s="63"/>
      <c r="BH14" s="62"/>
      <c r="BI14" s="79"/>
      <c r="BJ14" s="79"/>
      <c r="BK14" s="51" t="str">
        <f t="shared" si="11"/>
        <v/>
      </c>
    </row>
    <row r="15" spans="2:63" x14ac:dyDescent="0.25">
      <c r="B15" s="64" t="s">
        <v>37</v>
      </c>
      <c r="C15" s="65"/>
      <c r="D15" s="63">
        <v>6045.7</v>
      </c>
      <c r="E15" s="62"/>
      <c r="F15" s="62">
        <v>2383.8000000000002</v>
      </c>
      <c r="G15" s="62"/>
      <c r="H15" s="45">
        <f t="shared" si="0"/>
        <v>43</v>
      </c>
      <c r="I15" s="63">
        <v>6822.1</v>
      </c>
      <c r="J15" s="62"/>
      <c r="K15" s="79">
        <v>2877.7</v>
      </c>
      <c r="L15" s="79"/>
      <c r="M15" s="45">
        <f t="shared" si="1"/>
        <v>49.199999999998909</v>
      </c>
      <c r="N15" s="63">
        <v>7557.7</v>
      </c>
      <c r="O15" s="62"/>
      <c r="P15" s="79">
        <v>3326.5</v>
      </c>
      <c r="Q15" s="79"/>
      <c r="R15" s="45">
        <f t="shared" si="2"/>
        <v>40.600000000000364</v>
      </c>
      <c r="S15" s="63">
        <v>8383.4</v>
      </c>
      <c r="T15" s="62"/>
      <c r="U15" s="79">
        <v>3792.9</v>
      </c>
      <c r="V15" s="79"/>
      <c r="W15" s="45">
        <f t="shared" si="3"/>
        <v>39.5</v>
      </c>
      <c r="X15" s="63">
        <v>9190.2000000000007</v>
      </c>
      <c r="Y15" s="62"/>
      <c r="Z15" s="79">
        <v>4168.8999999999996</v>
      </c>
      <c r="AA15" s="79"/>
      <c r="AB15" s="45">
        <f t="shared" si="4"/>
        <v>39</v>
      </c>
      <c r="AC15" s="63">
        <v>10038.4</v>
      </c>
      <c r="AD15" s="62"/>
      <c r="AE15" s="79">
        <v>4490.7</v>
      </c>
      <c r="AF15" s="79"/>
      <c r="AG15" s="45">
        <f t="shared" si="5"/>
        <v>34.299999999997453</v>
      </c>
      <c r="AH15" s="63">
        <v>10783.7</v>
      </c>
      <c r="AI15" s="62"/>
      <c r="AJ15" s="79">
        <v>4726.2</v>
      </c>
      <c r="AK15" s="79"/>
      <c r="AL15" s="45">
        <f t="shared" si="6"/>
        <v>27.200000000000728</v>
      </c>
      <c r="AM15" s="63"/>
      <c r="AN15" s="62"/>
      <c r="AO15" s="79"/>
      <c r="AP15" s="79"/>
      <c r="AQ15" s="45" t="str">
        <f t="shared" si="7"/>
        <v/>
      </c>
      <c r="AR15" s="63"/>
      <c r="AS15" s="62"/>
      <c r="AT15" s="79"/>
      <c r="AU15" s="79"/>
      <c r="AV15" s="45" t="str">
        <f t="shared" si="8"/>
        <v/>
      </c>
      <c r="AW15" s="63"/>
      <c r="AX15" s="62"/>
      <c r="AY15" s="79"/>
      <c r="AZ15" s="79"/>
      <c r="BA15" s="45" t="str">
        <f t="shared" si="9"/>
        <v/>
      </c>
      <c r="BB15" s="63"/>
      <c r="BC15" s="62"/>
      <c r="BD15" s="79"/>
      <c r="BE15" s="79"/>
      <c r="BF15" s="45" t="str">
        <f t="shared" si="10"/>
        <v/>
      </c>
      <c r="BG15" s="63"/>
      <c r="BH15" s="62"/>
      <c r="BI15" s="79"/>
      <c r="BJ15" s="79"/>
      <c r="BK15" s="51" t="str">
        <f t="shared" si="11"/>
        <v/>
      </c>
    </row>
    <row r="16" spans="2:63" x14ac:dyDescent="0.25">
      <c r="B16" s="64" t="s">
        <v>38</v>
      </c>
      <c r="C16" s="65"/>
      <c r="D16" s="63">
        <v>6071.2</v>
      </c>
      <c r="E16" s="62"/>
      <c r="F16" s="62">
        <v>2398.6</v>
      </c>
      <c r="G16" s="62"/>
      <c r="H16" s="45">
        <f t="shared" si="0"/>
        <v>40.299999999999272</v>
      </c>
      <c r="I16" s="63">
        <v>6846.2</v>
      </c>
      <c r="J16" s="62"/>
      <c r="K16" s="79">
        <v>2891.8</v>
      </c>
      <c r="L16" s="79"/>
      <c r="M16" s="45">
        <f t="shared" si="1"/>
        <v>38.200000000000728</v>
      </c>
      <c r="N16" s="63">
        <v>7585.6</v>
      </c>
      <c r="O16" s="62"/>
      <c r="P16" s="79">
        <v>3340.6</v>
      </c>
      <c r="Q16" s="79"/>
      <c r="R16" s="45">
        <f t="shared" si="2"/>
        <v>42</v>
      </c>
      <c r="S16" s="63">
        <v>8413.9</v>
      </c>
      <c r="T16" s="62"/>
      <c r="U16" s="79">
        <v>3814.5</v>
      </c>
      <c r="V16" s="79"/>
      <c r="W16" s="45">
        <f t="shared" si="3"/>
        <v>52.100000000000364</v>
      </c>
      <c r="X16" s="63">
        <v>9217.6</v>
      </c>
      <c r="Y16" s="62"/>
      <c r="Z16" s="79">
        <v>4182.6000000000004</v>
      </c>
      <c r="AA16" s="79"/>
      <c r="AB16" s="45">
        <f t="shared" si="4"/>
        <v>41.100000000000364</v>
      </c>
      <c r="AC16" s="63">
        <v>10063.700000000001</v>
      </c>
      <c r="AD16" s="62"/>
      <c r="AE16" s="79">
        <v>4499.1000000000004</v>
      </c>
      <c r="AF16" s="79"/>
      <c r="AG16" s="45">
        <f t="shared" si="5"/>
        <v>33.700000000002547</v>
      </c>
      <c r="AH16" s="63">
        <v>10804.4</v>
      </c>
      <c r="AI16" s="62"/>
      <c r="AJ16" s="79">
        <v>4732.3999999999996</v>
      </c>
      <c r="AK16" s="79"/>
      <c r="AL16" s="45">
        <f t="shared" si="6"/>
        <v>26.899999999997817</v>
      </c>
      <c r="AM16" s="63"/>
      <c r="AN16" s="62"/>
      <c r="AO16" s="79"/>
      <c r="AP16" s="79"/>
      <c r="AQ16" s="45" t="str">
        <f t="shared" si="7"/>
        <v/>
      </c>
      <c r="AR16" s="63"/>
      <c r="AS16" s="62"/>
      <c r="AT16" s="79"/>
      <c r="AU16" s="79"/>
      <c r="AV16" s="45" t="str">
        <f t="shared" si="8"/>
        <v/>
      </c>
      <c r="AW16" s="63"/>
      <c r="AX16" s="62"/>
      <c r="AY16" s="79"/>
      <c r="AZ16" s="79"/>
      <c r="BA16" s="45" t="str">
        <f t="shared" si="9"/>
        <v/>
      </c>
      <c r="BB16" s="63"/>
      <c r="BC16" s="62"/>
      <c r="BD16" s="79"/>
      <c r="BE16" s="79"/>
      <c r="BF16" s="45" t="str">
        <f t="shared" si="10"/>
        <v/>
      </c>
      <c r="BG16" s="63"/>
      <c r="BH16" s="62"/>
      <c r="BI16" s="79"/>
      <c r="BJ16" s="79"/>
      <c r="BK16" s="51" t="str">
        <f t="shared" si="11"/>
        <v/>
      </c>
    </row>
    <row r="17" spans="2:63" x14ac:dyDescent="0.25">
      <c r="B17" s="64" t="s">
        <v>39</v>
      </c>
      <c r="C17" s="65"/>
      <c r="D17" s="63">
        <v>6094.4</v>
      </c>
      <c r="E17" s="62"/>
      <c r="F17" s="62">
        <v>2409.5</v>
      </c>
      <c r="G17" s="62"/>
      <c r="H17" s="45">
        <f t="shared" si="0"/>
        <v>34.100000000000364</v>
      </c>
      <c r="I17" s="63">
        <v>6872.3</v>
      </c>
      <c r="J17" s="62"/>
      <c r="K17" s="79">
        <v>2909.2</v>
      </c>
      <c r="L17" s="79"/>
      <c r="M17" s="45">
        <f t="shared" si="1"/>
        <v>43.5</v>
      </c>
      <c r="N17" s="63">
        <v>7612</v>
      </c>
      <c r="O17" s="62"/>
      <c r="P17" s="79">
        <v>3355.6</v>
      </c>
      <c r="Q17" s="79"/>
      <c r="R17" s="45">
        <f t="shared" si="2"/>
        <v>41.399999999999636</v>
      </c>
      <c r="S17" s="63">
        <v>8439.6</v>
      </c>
      <c r="T17" s="62"/>
      <c r="U17" s="79">
        <v>3831.6</v>
      </c>
      <c r="V17" s="79"/>
      <c r="W17" s="45">
        <f t="shared" si="3"/>
        <v>42.800000000001091</v>
      </c>
      <c r="X17" s="63">
        <v>9242.7000000000007</v>
      </c>
      <c r="Y17" s="62"/>
      <c r="Z17" s="79">
        <v>4195.6000000000004</v>
      </c>
      <c r="AA17" s="79"/>
      <c r="AB17" s="45">
        <f t="shared" si="4"/>
        <v>38.100000000000364</v>
      </c>
      <c r="AC17" s="63">
        <v>10092.5</v>
      </c>
      <c r="AD17" s="62"/>
      <c r="AE17" s="79">
        <v>4508.3</v>
      </c>
      <c r="AF17" s="79"/>
      <c r="AG17" s="45">
        <f t="shared" si="5"/>
        <v>37.999999999998181</v>
      </c>
      <c r="AH17" s="63">
        <v>10824.7</v>
      </c>
      <c r="AI17" s="62"/>
      <c r="AJ17" s="79">
        <v>4738.3999999999996</v>
      </c>
      <c r="AK17" s="79"/>
      <c r="AL17" s="45">
        <f t="shared" si="6"/>
        <v>26.300000000001091</v>
      </c>
      <c r="AM17" s="63"/>
      <c r="AN17" s="62"/>
      <c r="AO17" s="79"/>
      <c r="AP17" s="79"/>
      <c r="AQ17" s="45" t="str">
        <f t="shared" si="7"/>
        <v/>
      </c>
      <c r="AR17" s="63"/>
      <c r="AS17" s="62"/>
      <c r="AT17" s="79"/>
      <c r="AU17" s="79"/>
      <c r="AV17" s="45" t="str">
        <f t="shared" si="8"/>
        <v/>
      </c>
      <c r="AW17" s="63"/>
      <c r="AX17" s="62"/>
      <c r="AY17" s="79"/>
      <c r="AZ17" s="79"/>
      <c r="BA17" s="45" t="str">
        <f t="shared" si="9"/>
        <v/>
      </c>
      <c r="BB17" s="63"/>
      <c r="BC17" s="62"/>
      <c r="BD17" s="79"/>
      <c r="BE17" s="79"/>
      <c r="BF17" s="45" t="str">
        <f t="shared" si="10"/>
        <v/>
      </c>
      <c r="BG17" s="63"/>
      <c r="BH17" s="62"/>
      <c r="BI17" s="79"/>
      <c r="BJ17" s="79"/>
      <c r="BK17" s="51" t="str">
        <f t="shared" si="11"/>
        <v/>
      </c>
    </row>
    <row r="18" spans="2:63" x14ac:dyDescent="0.25">
      <c r="B18" s="64" t="s">
        <v>40</v>
      </c>
      <c r="C18" s="65"/>
      <c r="D18" s="63">
        <v>6120.4</v>
      </c>
      <c r="E18" s="62"/>
      <c r="F18" s="62">
        <v>2420.6</v>
      </c>
      <c r="G18" s="62"/>
      <c r="H18" s="45">
        <f t="shared" si="0"/>
        <v>37.100000000000364</v>
      </c>
      <c r="I18" s="63">
        <v>6899.1</v>
      </c>
      <c r="J18" s="62"/>
      <c r="K18" s="79">
        <v>2923.4</v>
      </c>
      <c r="L18" s="79"/>
      <c r="M18" s="45">
        <f t="shared" si="1"/>
        <v>41</v>
      </c>
      <c r="N18" s="63">
        <v>7638.1</v>
      </c>
      <c r="O18" s="62"/>
      <c r="P18" s="79">
        <v>3372.5</v>
      </c>
      <c r="Q18" s="79"/>
      <c r="R18" s="45">
        <f t="shared" si="2"/>
        <v>43</v>
      </c>
      <c r="S18" s="63">
        <v>8466.7999999999993</v>
      </c>
      <c r="T18" s="62"/>
      <c r="U18" s="79">
        <v>3850.1</v>
      </c>
      <c r="V18" s="79"/>
      <c r="W18" s="45">
        <f t="shared" si="3"/>
        <v>45.699999999998909</v>
      </c>
      <c r="X18" s="63">
        <v>9269.7000000000007</v>
      </c>
      <c r="Y18" s="62"/>
      <c r="Z18" s="79">
        <v>4208.8999999999996</v>
      </c>
      <c r="AA18" s="79"/>
      <c r="AB18" s="45">
        <f t="shared" si="4"/>
        <v>40.299999999999272</v>
      </c>
      <c r="AC18" s="63">
        <v>10118.4</v>
      </c>
      <c r="AD18" s="62"/>
      <c r="AE18" s="79">
        <v>4516.6000000000004</v>
      </c>
      <c r="AF18" s="79"/>
      <c r="AG18" s="45">
        <f t="shared" si="5"/>
        <v>34.200000000000728</v>
      </c>
      <c r="AH18" s="63">
        <v>10845.9</v>
      </c>
      <c r="AI18" s="62"/>
      <c r="AJ18" s="79">
        <v>4744.8</v>
      </c>
      <c r="AK18" s="79"/>
      <c r="AL18" s="45">
        <f t="shared" si="6"/>
        <v>27.600000000000364</v>
      </c>
      <c r="AM18" s="63"/>
      <c r="AN18" s="62"/>
      <c r="AO18" s="79"/>
      <c r="AP18" s="79"/>
      <c r="AQ18" s="45" t="str">
        <f t="shared" si="7"/>
        <v/>
      </c>
      <c r="AR18" s="63"/>
      <c r="AS18" s="62"/>
      <c r="AT18" s="79"/>
      <c r="AU18" s="79"/>
      <c r="AV18" s="45" t="str">
        <f t="shared" si="8"/>
        <v/>
      </c>
      <c r="AW18" s="63"/>
      <c r="AX18" s="62"/>
      <c r="AY18" s="79"/>
      <c r="AZ18" s="79"/>
      <c r="BA18" s="45" t="str">
        <f t="shared" si="9"/>
        <v/>
      </c>
      <c r="BB18" s="63"/>
      <c r="BC18" s="62"/>
      <c r="BD18" s="79"/>
      <c r="BE18" s="79"/>
      <c r="BF18" s="45" t="str">
        <f t="shared" si="10"/>
        <v/>
      </c>
      <c r="BG18" s="63"/>
      <c r="BH18" s="62"/>
      <c r="BI18" s="79"/>
      <c r="BJ18" s="79"/>
      <c r="BK18" s="51" t="str">
        <f t="shared" si="11"/>
        <v/>
      </c>
    </row>
    <row r="19" spans="2:63" x14ac:dyDescent="0.25">
      <c r="B19" s="64" t="s">
        <v>41</v>
      </c>
      <c r="C19" s="65"/>
      <c r="D19" s="63">
        <v>6150.1</v>
      </c>
      <c r="E19" s="62"/>
      <c r="F19" s="62">
        <v>2435.6999999999998</v>
      </c>
      <c r="G19" s="62"/>
      <c r="H19" s="45">
        <f t="shared" si="0"/>
        <v>44.799999999999272</v>
      </c>
      <c r="I19" s="63">
        <v>6920.3</v>
      </c>
      <c r="J19" s="62"/>
      <c r="K19" s="79">
        <v>2934.8</v>
      </c>
      <c r="L19" s="79"/>
      <c r="M19" s="45">
        <f t="shared" si="1"/>
        <v>32.600000000000364</v>
      </c>
      <c r="N19" s="63">
        <v>7664.7</v>
      </c>
      <c r="O19" s="62"/>
      <c r="P19" s="79">
        <v>3390.1</v>
      </c>
      <c r="Q19" s="79"/>
      <c r="R19" s="45">
        <f t="shared" si="2"/>
        <v>44.199999999998909</v>
      </c>
      <c r="S19" s="63">
        <v>8494.1</v>
      </c>
      <c r="T19" s="62"/>
      <c r="U19" s="79">
        <v>3866.2</v>
      </c>
      <c r="V19" s="79"/>
      <c r="W19" s="45">
        <f t="shared" si="3"/>
        <v>43.399999999999636</v>
      </c>
      <c r="X19" s="63">
        <v>9295.6</v>
      </c>
      <c r="Y19" s="62"/>
      <c r="Z19" s="79">
        <v>4219.7</v>
      </c>
      <c r="AA19" s="79"/>
      <c r="AB19" s="45">
        <f t="shared" si="4"/>
        <v>36.699999999998909</v>
      </c>
      <c r="AC19" s="63">
        <v>10146.1</v>
      </c>
      <c r="AD19" s="62"/>
      <c r="AE19" s="79">
        <v>4525.1000000000004</v>
      </c>
      <c r="AF19" s="79"/>
      <c r="AG19" s="45">
        <f t="shared" si="5"/>
        <v>36.200000000000728</v>
      </c>
      <c r="AH19" s="63">
        <v>10864.1</v>
      </c>
      <c r="AI19" s="62"/>
      <c r="AJ19" s="79">
        <v>4750.2</v>
      </c>
      <c r="AK19" s="79"/>
      <c r="AL19" s="45">
        <f t="shared" si="6"/>
        <v>23.599999999998545</v>
      </c>
      <c r="AM19" s="63"/>
      <c r="AN19" s="62"/>
      <c r="AO19" s="79"/>
      <c r="AP19" s="79"/>
      <c r="AQ19" s="45" t="str">
        <f t="shared" si="7"/>
        <v/>
      </c>
      <c r="AR19" s="63"/>
      <c r="AS19" s="62"/>
      <c r="AT19" s="79"/>
      <c r="AU19" s="79"/>
      <c r="AV19" s="45" t="str">
        <f t="shared" si="8"/>
        <v/>
      </c>
      <c r="AW19" s="63"/>
      <c r="AX19" s="62"/>
      <c r="AY19" s="79"/>
      <c r="AZ19" s="79"/>
      <c r="BA19" s="45" t="str">
        <f t="shared" si="9"/>
        <v/>
      </c>
      <c r="BB19" s="63"/>
      <c r="BC19" s="62"/>
      <c r="BD19" s="79"/>
      <c r="BE19" s="79"/>
      <c r="BF19" s="45" t="str">
        <f t="shared" si="10"/>
        <v/>
      </c>
      <c r="BG19" s="63"/>
      <c r="BH19" s="62"/>
      <c r="BI19" s="79"/>
      <c r="BJ19" s="79"/>
      <c r="BK19" s="51" t="str">
        <f t="shared" si="11"/>
        <v/>
      </c>
    </row>
    <row r="20" spans="2:63" x14ac:dyDescent="0.25">
      <c r="B20" s="64" t="s">
        <v>42</v>
      </c>
      <c r="C20" s="65"/>
      <c r="D20" s="63">
        <v>6177.3</v>
      </c>
      <c r="E20" s="62"/>
      <c r="F20" s="62">
        <v>2451.1</v>
      </c>
      <c r="G20" s="62"/>
      <c r="H20" s="45">
        <f t="shared" si="0"/>
        <v>42.600000000000364</v>
      </c>
      <c r="I20" s="63">
        <v>6949.3</v>
      </c>
      <c r="J20" s="62"/>
      <c r="K20" s="79">
        <v>2950.8</v>
      </c>
      <c r="L20" s="79"/>
      <c r="M20" s="45">
        <f t="shared" si="1"/>
        <v>45</v>
      </c>
      <c r="N20" s="63">
        <v>7690.3</v>
      </c>
      <c r="O20" s="62"/>
      <c r="P20" s="79">
        <v>3406.1</v>
      </c>
      <c r="Q20" s="79"/>
      <c r="R20" s="45">
        <f t="shared" si="2"/>
        <v>41.600000000000364</v>
      </c>
      <c r="S20" s="63">
        <v>8518.7999999999993</v>
      </c>
      <c r="T20" s="62"/>
      <c r="U20" s="79">
        <v>3878.5</v>
      </c>
      <c r="V20" s="79"/>
      <c r="W20" s="45">
        <f t="shared" si="3"/>
        <v>37</v>
      </c>
      <c r="X20" s="63">
        <v>9321.1</v>
      </c>
      <c r="Y20" s="62"/>
      <c r="Z20" s="79">
        <v>4231.2</v>
      </c>
      <c r="AA20" s="79"/>
      <c r="AB20" s="45">
        <f t="shared" si="4"/>
        <v>37</v>
      </c>
      <c r="AC20" s="63">
        <v>10173.799999999999</v>
      </c>
      <c r="AD20" s="62"/>
      <c r="AE20" s="79">
        <v>4532.6000000000004</v>
      </c>
      <c r="AF20" s="79"/>
      <c r="AG20" s="45">
        <f t="shared" si="5"/>
        <v>35.199999999998909</v>
      </c>
      <c r="AH20" s="63">
        <v>10881.7</v>
      </c>
      <c r="AI20" s="62"/>
      <c r="AJ20" s="79">
        <v>4755.5</v>
      </c>
      <c r="AK20" s="79"/>
      <c r="AL20" s="45">
        <f t="shared" si="6"/>
        <v>22.900000000001455</v>
      </c>
      <c r="AM20" s="63"/>
      <c r="AN20" s="62"/>
      <c r="AO20" s="79"/>
      <c r="AP20" s="79"/>
      <c r="AQ20" s="45" t="str">
        <f t="shared" si="7"/>
        <v/>
      </c>
      <c r="AR20" s="63"/>
      <c r="AS20" s="62"/>
      <c r="AT20" s="79"/>
      <c r="AU20" s="79"/>
      <c r="AV20" s="45" t="str">
        <f t="shared" si="8"/>
        <v/>
      </c>
      <c r="AW20" s="63"/>
      <c r="AX20" s="62"/>
      <c r="AY20" s="79"/>
      <c r="AZ20" s="79"/>
      <c r="BA20" s="45" t="str">
        <f t="shared" si="9"/>
        <v/>
      </c>
      <c r="BB20" s="63"/>
      <c r="BC20" s="62"/>
      <c r="BD20" s="79"/>
      <c r="BE20" s="79"/>
      <c r="BF20" s="45" t="str">
        <f t="shared" si="10"/>
        <v/>
      </c>
      <c r="BG20" s="63"/>
      <c r="BH20" s="62"/>
      <c r="BI20" s="79"/>
      <c r="BJ20" s="79"/>
      <c r="BK20" s="51" t="str">
        <f t="shared" si="11"/>
        <v/>
      </c>
    </row>
    <row r="21" spans="2:63" x14ac:dyDescent="0.25">
      <c r="B21" s="64" t="s">
        <v>43</v>
      </c>
      <c r="C21" s="65"/>
      <c r="D21" s="63">
        <v>6198.3</v>
      </c>
      <c r="E21" s="62"/>
      <c r="F21" s="62">
        <v>2463.6</v>
      </c>
      <c r="G21" s="62"/>
      <c r="H21" s="45">
        <f t="shared" si="0"/>
        <v>33.5</v>
      </c>
      <c r="I21" s="63">
        <v>6977.8</v>
      </c>
      <c r="J21" s="62"/>
      <c r="K21" s="79">
        <v>2967.6</v>
      </c>
      <c r="L21" s="79"/>
      <c r="M21" s="45">
        <f t="shared" si="1"/>
        <v>45.299999999999272</v>
      </c>
      <c r="N21" s="63">
        <v>7717.7</v>
      </c>
      <c r="O21" s="62"/>
      <c r="P21" s="79">
        <v>3424.1</v>
      </c>
      <c r="Q21" s="79"/>
      <c r="R21" s="45">
        <f t="shared" si="2"/>
        <v>45.399999999999636</v>
      </c>
      <c r="S21" s="63">
        <v>8548.2000000000007</v>
      </c>
      <c r="T21" s="62"/>
      <c r="U21" s="79">
        <v>3890.4</v>
      </c>
      <c r="V21" s="79"/>
      <c r="W21" s="45">
        <f t="shared" si="3"/>
        <v>41.300000000001091</v>
      </c>
      <c r="X21" s="63">
        <v>9347.5</v>
      </c>
      <c r="Y21" s="62"/>
      <c r="Z21" s="79">
        <v>4242.5</v>
      </c>
      <c r="AA21" s="79"/>
      <c r="AB21" s="45">
        <f t="shared" si="4"/>
        <v>37.700000000000728</v>
      </c>
      <c r="AC21" s="63">
        <v>10202.700000000001</v>
      </c>
      <c r="AD21" s="62"/>
      <c r="AE21" s="79">
        <v>4541.1000000000004</v>
      </c>
      <c r="AF21" s="79"/>
      <c r="AG21" s="45">
        <f t="shared" si="5"/>
        <v>37.400000000001455</v>
      </c>
      <c r="AH21" s="63">
        <v>10899.9</v>
      </c>
      <c r="AI21" s="62"/>
      <c r="AJ21" s="79">
        <v>4761.2</v>
      </c>
      <c r="AK21" s="79"/>
      <c r="AL21" s="45">
        <f t="shared" si="6"/>
        <v>23.899999999997817</v>
      </c>
      <c r="AM21" s="63"/>
      <c r="AN21" s="62"/>
      <c r="AO21" s="79"/>
      <c r="AP21" s="79"/>
      <c r="AQ21" s="45" t="str">
        <f t="shared" si="7"/>
        <v/>
      </c>
      <c r="AR21" s="63"/>
      <c r="AS21" s="62"/>
      <c r="AT21" s="79"/>
      <c r="AU21" s="79"/>
      <c r="AV21" s="45" t="str">
        <f t="shared" si="8"/>
        <v/>
      </c>
      <c r="AW21" s="63"/>
      <c r="AX21" s="62"/>
      <c r="AY21" s="79"/>
      <c r="AZ21" s="79"/>
      <c r="BA21" s="45" t="str">
        <f t="shared" si="9"/>
        <v/>
      </c>
      <c r="BB21" s="63"/>
      <c r="BC21" s="62"/>
      <c r="BD21" s="79"/>
      <c r="BE21" s="79"/>
      <c r="BF21" s="45" t="str">
        <f t="shared" si="10"/>
        <v/>
      </c>
      <c r="BG21" s="63"/>
      <c r="BH21" s="62"/>
      <c r="BI21" s="79"/>
      <c r="BJ21" s="79"/>
      <c r="BK21" s="51" t="str">
        <f t="shared" si="11"/>
        <v/>
      </c>
    </row>
    <row r="22" spans="2:63" x14ac:dyDescent="0.25">
      <c r="B22" s="64" t="s">
        <v>44</v>
      </c>
      <c r="C22" s="65"/>
      <c r="D22" s="63">
        <v>6220.5</v>
      </c>
      <c r="E22" s="62"/>
      <c r="F22" s="62">
        <v>2478.6</v>
      </c>
      <c r="G22" s="62"/>
      <c r="H22" s="45">
        <f t="shared" si="0"/>
        <v>37.200000000000728</v>
      </c>
      <c r="I22" s="63">
        <v>6999.6</v>
      </c>
      <c r="J22" s="62"/>
      <c r="K22" s="79">
        <v>2982.6</v>
      </c>
      <c r="L22" s="79"/>
      <c r="M22" s="45">
        <f t="shared" si="1"/>
        <v>36.800000000001091</v>
      </c>
      <c r="N22" s="63">
        <v>7744.6</v>
      </c>
      <c r="O22" s="62"/>
      <c r="P22" s="79">
        <v>3443.1</v>
      </c>
      <c r="Q22" s="79"/>
      <c r="R22" s="45">
        <f t="shared" si="2"/>
        <v>45.900000000001455</v>
      </c>
      <c r="S22" s="63">
        <v>8574.6</v>
      </c>
      <c r="T22" s="62"/>
      <c r="U22" s="79">
        <v>3901.3</v>
      </c>
      <c r="V22" s="79"/>
      <c r="W22" s="45">
        <f t="shared" si="3"/>
        <v>37.300000000001091</v>
      </c>
      <c r="X22" s="63">
        <v>9372.7000000000007</v>
      </c>
      <c r="Y22" s="62"/>
      <c r="Z22" s="79">
        <v>4253.1000000000004</v>
      </c>
      <c r="AA22" s="79"/>
      <c r="AB22" s="45">
        <f t="shared" si="4"/>
        <v>35.800000000001091</v>
      </c>
      <c r="AC22" s="63">
        <v>10229.1</v>
      </c>
      <c r="AD22" s="62"/>
      <c r="AE22" s="79">
        <v>4549</v>
      </c>
      <c r="AF22" s="79"/>
      <c r="AG22" s="45">
        <f t="shared" si="5"/>
        <v>34.299999999999272</v>
      </c>
      <c r="AH22" s="63">
        <v>10916.1</v>
      </c>
      <c r="AI22" s="62"/>
      <c r="AJ22" s="79">
        <v>4766.1000000000004</v>
      </c>
      <c r="AK22" s="79"/>
      <c r="AL22" s="45">
        <f t="shared" si="6"/>
        <v>21.100000000002183</v>
      </c>
      <c r="AM22" s="63"/>
      <c r="AN22" s="62"/>
      <c r="AO22" s="79"/>
      <c r="AP22" s="79"/>
      <c r="AQ22" s="45" t="str">
        <f t="shared" si="7"/>
        <v/>
      </c>
      <c r="AR22" s="63"/>
      <c r="AS22" s="62"/>
      <c r="AT22" s="79"/>
      <c r="AU22" s="79"/>
      <c r="AV22" s="45" t="str">
        <f t="shared" si="8"/>
        <v/>
      </c>
      <c r="AW22" s="63"/>
      <c r="AX22" s="62"/>
      <c r="AY22" s="79"/>
      <c r="AZ22" s="79"/>
      <c r="BA22" s="45" t="str">
        <f t="shared" si="9"/>
        <v/>
      </c>
      <c r="BB22" s="63"/>
      <c r="BC22" s="62"/>
      <c r="BD22" s="79"/>
      <c r="BE22" s="79"/>
      <c r="BF22" s="45" t="str">
        <f t="shared" si="10"/>
        <v/>
      </c>
      <c r="BG22" s="63"/>
      <c r="BH22" s="62"/>
      <c r="BI22" s="79"/>
      <c r="BJ22" s="79"/>
      <c r="BK22" s="51" t="str">
        <f t="shared" si="11"/>
        <v/>
      </c>
    </row>
    <row r="23" spans="2:63" x14ac:dyDescent="0.25">
      <c r="B23" s="64" t="s">
        <v>45</v>
      </c>
      <c r="C23" s="65"/>
      <c r="D23" s="63">
        <v>6246.7</v>
      </c>
      <c r="E23" s="62"/>
      <c r="F23" s="62">
        <v>2497.6</v>
      </c>
      <c r="G23" s="62"/>
      <c r="H23" s="45">
        <f t="shared" si="0"/>
        <v>45.199999999998909</v>
      </c>
      <c r="I23" s="63">
        <v>7030.2</v>
      </c>
      <c r="J23" s="62"/>
      <c r="K23" s="79">
        <v>3001.8</v>
      </c>
      <c r="L23" s="79"/>
      <c r="M23" s="45">
        <f t="shared" si="1"/>
        <v>49.799999999999272</v>
      </c>
      <c r="N23" s="63">
        <v>7769.3</v>
      </c>
      <c r="O23" s="62"/>
      <c r="P23" s="86">
        <v>3463</v>
      </c>
      <c r="Q23" s="86"/>
      <c r="R23" s="45">
        <f t="shared" si="2"/>
        <v>44.599999999998545</v>
      </c>
      <c r="S23" s="63">
        <v>8601.7999999999993</v>
      </c>
      <c r="T23" s="62"/>
      <c r="U23" s="79">
        <v>3913.1</v>
      </c>
      <c r="V23" s="79"/>
      <c r="W23" s="45">
        <f t="shared" si="3"/>
        <v>38.999999999998181</v>
      </c>
      <c r="X23" s="63">
        <v>9397.5</v>
      </c>
      <c r="Y23" s="62"/>
      <c r="Z23" s="79">
        <v>4264</v>
      </c>
      <c r="AA23" s="79"/>
      <c r="AB23" s="45">
        <f t="shared" si="4"/>
        <v>35.699999999998909</v>
      </c>
      <c r="AC23" s="63">
        <v>10260.4</v>
      </c>
      <c r="AD23" s="62"/>
      <c r="AE23" s="79">
        <v>4558.3</v>
      </c>
      <c r="AF23" s="79"/>
      <c r="AG23" s="45">
        <f t="shared" si="5"/>
        <v>40.600000000000364</v>
      </c>
      <c r="AH23" s="63">
        <v>10933.9</v>
      </c>
      <c r="AI23" s="62"/>
      <c r="AJ23" s="79">
        <v>4771.5</v>
      </c>
      <c r="AK23" s="79"/>
      <c r="AL23" s="45">
        <f t="shared" si="6"/>
        <v>23.199999999998909</v>
      </c>
      <c r="AM23" s="63"/>
      <c r="AN23" s="62"/>
      <c r="AO23" s="79"/>
      <c r="AP23" s="79"/>
      <c r="AQ23" s="45" t="str">
        <f t="shared" si="7"/>
        <v/>
      </c>
      <c r="AR23" s="63"/>
      <c r="AS23" s="62"/>
      <c r="AT23" s="79"/>
      <c r="AU23" s="79"/>
      <c r="AV23" s="45" t="str">
        <f t="shared" si="8"/>
        <v/>
      </c>
      <c r="AW23" s="63"/>
      <c r="AX23" s="62"/>
      <c r="AY23" s="79"/>
      <c r="AZ23" s="79"/>
      <c r="BA23" s="45" t="str">
        <f t="shared" si="9"/>
        <v/>
      </c>
      <c r="BB23" s="63"/>
      <c r="BC23" s="62"/>
      <c r="BD23" s="79"/>
      <c r="BE23" s="79"/>
      <c r="BF23" s="45" t="str">
        <f t="shared" si="10"/>
        <v/>
      </c>
      <c r="BG23" s="63"/>
      <c r="BH23" s="62"/>
      <c r="BI23" s="79"/>
      <c r="BJ23" s="79"/>
      <c r="BK23" s="51" t="str">
        <f t="shared" si="11"/>
        <v/>
      </c>
    </row>
    <row r="24" spans="2:63" x14ac:dyDescent="0.25">
      <c r="B24" s="64" t="s">
        <v>46</v>
      </c>
      <c r="C24" s="65"/>
      <c r="D24" s="63">
        <v>6269.8</v>
      </c>
      <c r="E24" s="62"/>
      <c r="F24" s="62">
        <v>2515.4</v>
      </c>
      <c r="G24" s="62"/>
      <c r="H24" s="45">
        <f t="shared" si="0"/>
        <v>40.900000000001455</v>
      </c>
      <c r="I24" s="63">
        <v>7058.4</v>
      </c>
      <c r="J24" s="62"/>
      <c r="K24" s="79">
        <v>3017.7</v>
      </c>
      <c r="L24" s="79"/>
      <c r="M24" s="45">
        <f t="shared" si="1"/>
        <v>44.099999999998545</v>
      </c>
      <c r="N24" s="63">
        <v>7797.2</v>
      </c>
      <c r="O24" s="62"/>
      <c r="P24" s="79">
        <v>3480.7</v>
      </c>
      <c r="Q24" s="79"/>
      <c r="R24" s="45">
        <f t="shared" si="2"/>
        <v>45.600000000000364</v>
      </c>
      <c r="S24" s="63">
        <v>8629.2000000000007</v>
      </c>
      <c r="T24" s="62"/>
      <c r="U24" s="79">
        <v>3926</v>
      </c>
      <c r="V24" s="79"/>
      <c r="W24" s="45">
        <f t="shared" si="3"/>
        <v>40.300000000001091</v>
      </c>
      <c r="X24" s="63">
        <v>9425.2999999999993</v>
      </c>
      <c r="Y24" s="62"/>
      <c r="Z24" s="79">
        <v>4274.5</v>
      </c>
      <c r="AA24" s="79"/>
      <c r="AB24" s="45">
        <f t="shared" si="4"/>
        <v>38.299999999999272</v>
      </c>
      <c r="AC24" s="63">
        <v>10288.4</v>
      </c>
      <c r="AD24" s="62"/>
      <c r="AE24" s="79">
        <v>4567.1000000000004</v>
      </c>
      <c r="AF24" s="79"/>
      <c r="AG24" s="45">
        <f t="shared" si="5"/>
        <v>36.799999999999272</v>
      </c>
      <c r="AH24" s="63">
        <v>10951.1</v>
      </c>
      <c r="AI24" s="62"/>
      <c r="AJ24" s="79">
        <v>4776.3</v>
      </c>
      <c r="AK24" s="79"/>
      <c r="AL24" s="45">
        <f t="shared" si="6"/>
        <v>22.000000000001819</v>
      </c>
      <c r="AM24" s="63"/>
      <c r="AN24" s="62"/>
      <c r="AO24" s="79"/>
      <c r="AP24" s="79"/>
      <c r="AQ24" s="45" t="str">
        <f t="shared" si="7"/>
        <v/>
      </c>
      <c r="AR24" s="63"/>
      <c r="AS24" s="62"/>
      <c r="AT24" s="79"/>
      <c r="AU24" s="79"/>
      <c r="AV24" s="45" t="str">
        <f t="shared" si="8"/>
        <v/>
      </c>
      <c r="AW24" s="63"/>
      <c r="AX24" s="62"/>
      <c r="AY24" s="79"/>
      <c r="AZ24" s="79"/>
      <c r="BA24" s="45" t="str">
        <f t="shared" si="9"/>
        <v/>
      </c>
      <c r="BB24" s="63"/>
      <c r="BC24" s="62"/>
      <c r="BD24" s="79"/>
      <c r="BE24" s="79"/>
      <c r="BF24" s="45" t="str">
        <f t="shared" si="10"/>
        <v/>
      </c>
      <c r="BG24" s="63"/>
      <c r="BH24" s="62"/>
      <c r="BI24" s="79"/>
      <c r="BJ24" s="79"/>
      <c r="BK24" s="51" t="str">
        <f t="shared" si="11"/>
        <v/>
      </c>
    </row>
    <row r="25" spans="2:63" x14ac:dyDescent="0.25">
      <c r="B25" s="64" t="s">
        <v>47</v>
      </c>
      <c r="C25" s="65"/>
      <c r="D25" s="63">
        <v>6293.7</v>
      </c>
      <c r="E25" s="62"/>
      <c r="F25" s="62">
        <v>2532.6</v>
      </c>
      <c r="G25" s="62"/>
      <c r="H25" s="45">
        <f t="shared" si="0"/>
        <v>41.099999999998545</v>
      </c>
      <c r="I25" s="63">
        <v>7088.2</v>
      </c>
      <c r="J25" s="62"/>
      <c r="K25" s="79">
        <v>3033.8</v>
      </c>
      <c r="L25" s="79"/>
      <c r="M25" s="45">
        <f t="shared" si="1"/>
        <v>45.900000000001455</v>
      </c>
      <c r="N25" s="63">
        <v>7823.1</v>
      </c>
      <c r="O25" s="62"/>
      <c r="P25" s="79">
        <v>3492.7</v>
      </c>
      <c r="Q25" s="79"/>
      <c r="R25" s="45">
        <f t="shared" si="2"/>
        <v>37.899999999999636</v>
      </c>
      <c r="S25" s="63">
        <v>8654.2999999999993</v>
      </c>
      <c r="T25" s="62"/>
      <c r="U25" s="79">
        <v>3938.6</v>
      </c>
      <c r="V25" s="79"/>
      <c r="W25" s="45">
        <f t="shared" si="3"/>
        <v>37.699999999998909</v>
      </c>
      <c r="X25" s="63">
        <v>9455.1</v>
      </c>
      <c r="Y25" s="62"/>
      <c r="Z25" s="79">
        <v>4284.7</v>
      </c>
      <c r="AA25" s="79"/>
      <c r="AB25" s="45">
        <f t="shared" si="4"/>
        <v>40</v>
      </c>
      <c r="AC25" s="63">
        <v>10314.6</v>
      </c>
      <c r="AD25" s="62"/>
      <c r="AE25" s="79">
        <v>4575.7</v>
      </c>
      <c r="AF25" s="79"/>
      <c r="AG25" s="45">
        <f t="shared" si="5"/>
        <v>34.799999999999272</v>
      </c>
      <c r="AH25" s="63">
        <v>10967.7</v>
      </c>
      <c r="AI25" s="62"/>
      <c r="AJ25" s="79">
        <v>4781.3999999999996</v>
      </c>
      <c r="AK25" s="79"/>
      <c r="AL25" s="45">
        <f t="shared" si="6"/>
        <v>21.699999999998909</v>
      </c>
      <c r="AM25" s="63"/>
      <c r="AN25" s="62"/>
      <c r="AO25" s="79"/>
      <c r="AP25" s="79"/>
      <c r="AQ25" s="45" t="str">
        <f t="shared" si="7"/>
        <v/>
      </c>
      <c r="AR25" s="63"/>
      <c r="AS25" s="62"/>
      <c r="AT25" s="79"/>
      <c r="AU25" s="79"/>
      <c r="AV25" s="45" t="str">
        <f t="shared" si="8"/>
        <v/>
      </c>
      <c r="AW25" s="63"/>
      <c r="AX25" s="62"/>
      <c r="AY25" s="79"/>
      <c r="AZ25" s="79"/>
      <c r="BA25" s="45" t="str">
        <f t="shared" si="9"/>
        <v/>
      </c>
      <c r="BB25" s="63"/>
      <c r="BC25" s="62"/>
      <c r="BD25" s="79"/>
      <c r="BE25" s="79"/>
      <c r="BF25" s="45" t="str">
        <f t="shared" si="10"/>
        <v/>
      </c>
      <c r="BG25" s="63"/>
      <c r="BH25" s="62"/>
      <c r="BI25" s="79"/>
      <c r="BJ25" s="79"/>
      <c r="BK25" s="51" t="str">
        <f t="shared" si="11"/>
        <v/>
      </c>
    </row>
    <row r="26" spans="2:63" x14ac:dyDescent="0.25">
      <c r="B26" s="64" t="s">
        <v>48</v>
      </c>
      <c r="C26" s="65"/>
      <c r="D26" s="63">
        <v>6325.9</v>
      </c>
      <c r="E26" s="62"/>
      <c r="F26" s="62">
        <v>2548.9</v>
      </c>
      <c r="G26" s="62"/>
      <c r="H26" s="45">
        <f t="shared" si="0"/>
        <v>48.5</v>
      </c>
      <c r="I26" s="63">
        <v>7109.5</v>
      </c>
      <c r="J26" s="62"/>
      <c r="K26" s="79">
        <v>3047.3</v>
      </c>
      <c r="L26" s="79"/>
      <c r="M26" s="45">
        <f t="shared" si="1"/>
        <v>34.799999999999272</v>
      </c>
      <c r="N26" s="63">
        <v>7848.5</v>
      </c>
      <c r="O26" s="62"/>
      <c r="P26" s="79">
        <v>3504.1</v>
      </c>
      <c r="Q26" s="79"/>
      <c r="R26" s="45">
        <f t="shared" si="2"/>
        <v>36.800000000001091</v>
      </c>
      <c r="S26" s="63">
        <v>8681.2000000000007</v>
      </c>
      <c r="T26" s="62"/>
      <c r="U26" s="79">
        <v>3950.5</v>
      </c>
      <c r="V26" s="79"/>
      <c r="W26" s="45">
        <f t="shared" si="3"/>
        <v>38.800000000001091</v>
      </c>
      <c r="X26" s="63">
        <v>9482.1</v>
      </c>
      <c r="Y26" s="62"/>
      <c r="Z26" s="79">
        <v>4294.3</v>
      </c>
      <c r="AA26" s="79"/>
      <c r="AB26" s="45">
        <f t="shared" si="4"/>
        <v>36.600000000002183</v>
      </c>
      <c r="AC26" s="63">
        <v>10340.1</v>
      </c>
      <c r="AD26" s="62"/>
      <c r="AE26" s="79">
        <v>4584.7</v>
      </c>
      <c r="AF26" s="79"/>
      <c r="AG26" s="45">
        <f t="shared" si="5"/>
        <v>34.5</v>
      </c>
      <c r="AH26" s="63">
        <v>10985.8</v>
      </c>
      <c r="AI26" s="62"/>
      <c r="AJ26" s="79">
        <v>4786.8999999999996</v>
      </c>
      <c r="AK26" s="79"/>
      <c r="AL26" s="45">
        <f t="shared" si="6"/>
        <v>23.599999999998545</v>
      </c>
      <c r="AM26" s="63"/>
      <c r="AN26" s="62"/>
      <c r="AO26" s="79"/>
      <c r="AP26" s="79"/>
      <c r="AQ26" s="45" t="str">
        <f t="shared" si="7"/>
        <v/>
      </c>
      <c r="AR26" s="63"/>
      <c r="AS26" s="62"/>
      <c r="AT26" s="79"/>
      <c r="AU26" s="79"/>
      <c r="AV26" s="45" t="str">
        <f t="shared" si="8"/>
        <v/>
      </c>
      <c r="AW26" s="63"/>
      <c r="AX26" s="62"/>
      <c r="AY26" s="79"/>
      <c r="AZ26" s="79"/>
      <c r="BA26" s="45" t="str">
        <f t="shared" si="9"/>
        <v/>
      </c>
      <c r="BB26" s="63"/>
      <c r="BC26" s="62"/>
      <c r="BD26" s="79"/>
      <c r="BE26" s="79"/>
      <c r="BF26" s="45" t="str">
        <f t="shared" si="10"/>
        <v/>
      </c>
      <c r="BG26" s="63"/>
      <c r="BH26" s="62"/>
      <c r="BI26" s="79"/>
      <c r="BJ26" s="79"/>
      <c r="BK26" s="51" t="str">
        <f t="shared" si="11"/>
        <v/>
      </c>
    </row>
    <row r="27" spans="2:63" x14ac:dyDescent="0.25">
      <c r="B27" s="64" t="s">
        <v>49</v>
      </c>
      <c r="C27" s="65"/>
      <c r="D27" s="63">
        <v>6345.9</v>
      </c>
      <c r="E27" s="62"/>
      <c r="F27" s="62">
        <v>2560.1999999999998</v>
      </c>
      <c r="G27" s="62"/>
      <c r="H27" s="45">
        <f t="shared" si="0"/>
        <v>31.299999999999272</v>
      </c>
      <c r="I27" s="63">
        <v>7135.2</v>
      </c>
      <c r="J27" s="62"/>
      <c r="K27" s="79">
        <v>3062.2</v>
      </c>
      <c r="L27" s="79"/>
      <c r="M27" s="45">
        <f t="shared" si="1"/>
        <v>40.600000000000364</v>
      </c>
      <c r="N27" s="63">
        <v>7874.1</v>
      </c>
      <c r="O27" s="62"/>
      <c r="P27" s="79">
        <v>3516.3</v>
      </c>
      <c r="Q27" s="79"/>
      <c r="R27" s="45">
        <f t="shared" si="2"/>
        <v>37.800000000001091</v>
      </c>
      <c r="S27" s="63">
        <v>8707.5</v>
      </c>
      <c r="T27" s="62"/>
      <c r="U27" s="79">
        <v>3961.4</v>
      </c>
      <c r="V27" s="79"/>
      <c r="W27" s="45">
        <f t="shared" si="3"/>
        <v>37.199999999998909</v>
      </c>
      <c r="X27" s="63">
        <v>9508.9</v>
      </c>
      <c r="Y27" s="62"/>
      <c r="Z27" s="79">
        <v>4304.1000000000004</v>
      </c>
      <c r="AA27" s="79"/>
      <c r="AB27" s="45">
        <f t="shared" si="4"/>
        <v>36.599999999998545</v>
      </c>
      <c r="AC27" s="63">
        <v>10367.200000000001</v>
      </c>
      <c r="AD27" s="62"/>
      <c r="AE27" s="79">
        <v>4593.2</v>
      </c>
      <c r="AF27" s="79"/>
      <c r="AG27" s="45">
        <f t="shared" si="5"/>
        <v>35.600000000002183</v>
      </c>
      <c r="AH27" s="63">
        <v>11000.8</v>
      </c>
      <c r="AI27" s="62"/>
      <c r="AJ27" s="79">
        <v>4791.2</v>
      </c>
      <c r="AK27" s="79"/>
      <c r="AL27" s="45">
        <f t="shared" si="6"/>
        <v>19.300000000001091</v>
      </c>
      <c r="AM27" s="63"/>
      <c r="AN27" s="62"/>
      <c r="AO27" s="79"/>
      <c r="AP27" s="79"/>
      <c r="AQ27" s="45" t="str">
        <f t="shared" si="7"/>
        <v/>
      </c>
      <c r="AR27" s="63"/>
      <c r="AS27" s="62"/>
      <c r="AT27" s="79"/>
      <c r="AU27" s="79"/>
      <c r="AV27" s="45" t="str">
        <f t="shared" si="8"/>
        <v/>
      </c>
      <c r="AW27" s="63"/>
      <c r="AX27" s="62"/>
      <c r="AY27" s="79"/>
      <c r="AZ27" s="79"/>
      <c r="BA27" s="45" t="str">
        <f t="shared" si="9"/>
        <v/>
      </c>
      <c r="BB27" s="63"/>
      <c r="BC27" s="62"/>
      <c r="BD27" s="79"/>
      <c r="BE27" s="79"/>
      <c r="BF27" s="45" t="str">
        <f t="shared" si="10"/>
        <v/>
      </c>
      <c r="BG27" s="63"/>
      <c r="BH27" s="62"/>
      <c r="BI27" s="79"/>
      <c r="BJ27" s="79"/>
      <c r="BK27" s="51" t="str">
        <f t="shared" si="11"/>
        <v/>
      </c>
    </row>
    <row r="28" spans="2:63" x14ac:dyDescent="0.25">
      <c r="B28" s="64" t="s">
        <v>50</v>
      </c>
      <c r="C28" s="65"/>
      <c r="D28" s="63">
        <v>6369.3</v>
      </c>
      <c r="E28" s="62"/>
      <c r="F28" s="62">
        <v>2575.6999999999998</v>
      </c>
      <c r="G28" s="62"/>
      <c r="H28" s="45">
        <f t="shared" si="0"/>
        <v>38.900000000001455</v>
      </c>
      <c r="I28" s="63">
        <v>7165.7</v>
      </c>
      <c r="J28" s="62"/>
      <c r="K28" s="79">
        <v>3079.2</v>
      </c>
      <c r="L28" s="79"/>
      <c r="M28" s="45">
        <f t="shared" si="1"/>
        <v>47.5</v>
      </c>
      <c r="N28" s="63">
        <v>7901.2</v>
      </c>
      <c r="O28" s="62"/>
      <c r="P28" s="79">
        <v>3529.7</v>
      </c>
      <c r="Q28" s="79"/>
      <c r="R28" s="45">
        <f t="shared" si="2"/>
        <v>40.499999999998181</v>
      </c>
      <c r="S28" s="63">
        <v>8734.7000000000007</v>
      </c>
      <c r="T28" s="62"/>
      <c r="U28" s="79">
        <v>3973.1</v>
      </c>
      <c r="V28" s="79"/>
      <c r="W28" s="45">
        <f t="shared" si="3"/>
        <v>38.900000000001455</v>
      </c>
      <c r="X28" s="63">
        <v>9534.4</v>
      </c>
      <c r="Y28" s="62"/>
      <c r="Z28" s="79">
        <v>4313.8</v>
      </c>
      <c r="AA28" s="79"/>
      <c r="AB28" s="45">
        <f t="shared" si="4"/>
        <v>35.200000000000728</v>
      </c>
      <c r="AC28" s="63">
        <v>10394.200000000001</v>
      </c>
      <c r="AD28" s="62"/>
      <c r="AE28" s="79">
        <v>4602.1000000000004</v>
      </c>
      <c r="AF28" s="79"/>
      <c r="AG28" s="45">
        <f t="shared" si="5"/>
        <v>35.899999999999636</v>
      </c>
      <c r="AH28" s="63">
        <v>11017.5</v>
      </c>
      <c r="AI28" s="62"/>
      <c r="AJ28" s="79">
        <v>4796</v>
      </c>
      <c r="AK28" s="79"/>
      <c r="AL28" s="45">
        <f t="shared" si="6"/>
        <v>21.5</v>
      </c>
      <c r="AM28" s="63"/>
      <c r="AN28" s="62"/>
      <c r="AO28" s="79"/>
      <c r="AP28" s="79"/>
      <c r="AQ28" s="45" t="str">
        <f t="shared" si="7"/>
        <v/>
      </c>
      <c r="AR28" s="63"/>
      <c r="AS28" s="62"/>
      <c r="AT28" s="79"/>
      <c r="AU28" s="79"/>
      <c r="AV28" s="45" t="str">
        <f t="shared" si="8"/>
        <v/>
      </c>
      <c r="AW28" s="63"/>
      <c r="AX28" s="62"/>
      <c r="AY28" s="79"/>
      <c r="AZ28" s="79"/>
      <c r="BA28" s="45" t="str">
        <f t="shared" si="9"/>
        <v/>
      </c>
      <c r="BB28" s="63"/>
      <c r="BC28" s="62"/>
      <c r="BD28" s="79"/>
      <c r="BE28" s="79"/>
      <c r="BF28" s="45" t="str">
        <f t="shared" si="10"/>
        <v/>
      </c>
      <c r="BG28" s="63"/>
      <c r="BH28" s="62"/>
      <c r="BI28" s="79"/>
      <c r="BJ28" s="79"/>
      <c r="BK28" s="51" t="str">
        <f t="shared" si="11"/>
        <v/>
      </c>
    </row>
    <row r="29" spans="2:63" x14ac:dyDescent="0.25">
      <c r="B29" s="64" t="s">
        <v>51</v>
      </c>
      <c r="C29" s="65"/>
      <c r="D29" s="63">
        <v>6393.1</v>
      </c>
      <c r="E29" s="62"/>
      <c r="F29" s="62">
        <v>2590</v>
      </c>
      <c r="G29" s="62"/>
      <c r="H29" s="45">
        <f t="shared" si="0"/>
        <v>38.100000000000364</v>
      </c>
      <c r="I29" s="63">
        <v>7190.3</v>
      </c>
      <c r="J29" s="62"/>
      <c r="K29" s="79">
        <v>3097.5</v>
      </c>
      <c r="L29" s="79"/>
      <c r="M29" s="45">
        <f t="shared" si="1"/>
        <v>42.899999999999636</v>
      </c>
      <c r="N29" s="63">
        <v>7929.2</v>
      </c>
      <c r="O29" s="62"/>
      <c r="P29" s="79">
        <v>3544.7</v>
      </c>
      <c r="Q29" s="79"/>
      <c r="R29" s="45">
        <f t="shared" si="2"/>
        <v>43</v>
      </c>
      <c r="S29" s="63">
        <v>8760.2000000000007</v>
      </c>
      <c r="T29" s="62"/>
      <c r="U29" s="79">
        <v>3984</v>
      </c>
      <c r="V29" s="79"/>
      <c r="W29" s="45">
        <f t="shared" si="3"/>
        <v>36.399999999999636</v>
      </c>
      <c r="X29" s="63">
        <v>9562.9</v>
      </c>
      <c r="Y29" s="62"/>
      <c r="Z29" s="79">
        <v>4324.3999999999996</v>
      </c>
      <c r="AA29" s="79"/>
      <c r="AB29" s="45">
        <f t="shared" si="4"/>
        <v>39.099999999998545</v>
      </c>
      <c r="AC29" s="63">
        <v>10420.299999999999</v>
      </c>
      <c r="AD29" s="62"/>
      <c r="AE29" s="79">
        <v>4610.6000000000004</v>
      </c>
      <c r="AF29" s="79"/>
      <c r="AG29" s="45">
        <f t="shared" si="5"/>
        <v>34.599999999998545</v>
      </c>
      <c r="AH29" s="63">
        <v>11034.9</v>
      </c>
      <c r="AI29" s="62"/>
      <c r="AJ29" s="79">
        <v>4801.04</v>
      </c>
      <c r="AK29" s="79"/>
      <c r="AL29" s="45">
        <f t="shared" si="6"/>
        <v>22.43999999999869</v>
      </c>
      <c r="AM29" s="63"/>
      <c r="AN29" s="62"/>
      <c r="AO29" s="79"/>
      <c r="AP29" s="79"/>
      <c r="AQ29" s="45" t="str">
        <f t="shared" si="7"/>
        <v/>
      </c>
      <c r="AR29" s="63"/>
      <c r="AS29" s="62"/>
      <c r="AT29" s="79"/>
      <c r="AU29" s="79"/>
      <c r="AV29" s="45" t="str">
        <f t="shared" si="8"/>
        <v/>
      </c>
      <c r="AW29" s="63"/>
      <c r="AX29" s="62"/>
      <c r="AY29" s="79"/>
      <c r="AZ29" s="79"/>
      <c r="BA29" s="45" t="str">
        <f t="shared" si="9"/>
        <v/>
      </c>
      <c r="BB29" s="63"/>
      <c r="BC29" s="62"/>
      <c r="BD29" s="79"/>
      <c r="BE29" s="79"/>
      <c r="BF29" s="45" t="str">
        <f t="shared" si="10"/>
        <v/>
      </c>
      <c r="BG29" s="63"/>
      <c r="BH29" s="62"/>
      <c r="BI29" s="79"/>
      <c r="BJ29" s="79"/>
      <c r="BK29" s="51" t="str">
        <f t="shared" si="11"/>
        <v/>
      </c>
    </row>
    <row r="30" spans="2:63" x14ac:dyDescent="0.25">
      <c r="B30" s="64" t="s">
        <v>52</v>
      </c>
      <c r="C30" s="65"/>
      <c r="D30" s="63">
        <v>6417.4</v>
      </c>
      <c r="E30" s="62"/>
      <c r="F30" s="62">
        <v>2601.3000000000002</v>
      </c>
      <c r="G30" s="62"/>
      <c r="H30" s="45">
        <f t="shared" si="0"/>
        <v>35.600000000000364</v>
      </c>
      <c r="I30" s="63">
        <v>7218.6</v>
      </c>
      <c r="J30" s="62"/>
      <c r="K30" s="79">
        <v>3118.4</v>
      </c>
      <c r="L30" s="79"/>
      <c r="M30" s="45">
        <f t="shared" si="1"/>
        <v>49.200000000000728</v>
      </c>
      <c r="N30" s="63">
        <v>7953.8</v>
      </c>
      <c r="O30" s="62"/>
      <c r="P30" s="79">
        <v>3556.4</v>
      </c>
      <c r="Q30" s="79"/>
      <c r="R30" s="45">
        <f t="shared" si="2"/>
        <v>36.300000000001091</v>
      </c>
      <c r="S30" s="63">
        <v>8786</v>
      </c>
      <c r="T30" s="62"/>
      <c r="U30" s="79">
        <v>3995.1</v>
      </c>
      <c r="V30" s="79"/>
      <c r="W30" s="45">
        <f t="shared" si="3"/>
        <v>36.899999999999636</v>
      </c>
      <c r="X30" s="63">
        <v>9592.7999999999993</v>
      </c>
      <c r="Y30" s="62"/>
      <c r="Z30" s="79">
        <v>4334.7</v>
      </c>
      <c r="AA30" s="79"/>
      <c r="AB30" s="45">
        <f t="shared" si="4"/>
        <v>40.200000000000728</v>
      </c>
      <c r="AC30" s="63">
        <v>10448.1</v>
      </c>
      <c r="AD30" s="62"/>
      <c r="AE30" s="79">
        <v>4619.8</v>
      </c>
      <c r="AF30" s="79"/>
      <c r="AG30" s="45">
        <f t="shared" si="5"/>
        <v>37.000000000001819</v>
      </c>
      <c r="AH30" s="63">
        <v>11052</v>
      </c>
      <c r="AI30" s="62"/>
      <c r="AJ30" s="79">
        <v>4805.8</v>
      </c>
      <c r="AK30" s="79"/>
      <c r="AL30" s="45">
        <f t="shared" si="6"/>
        <v>21.860000000000582</v>
      </c>
      <c r="AM30" s="63"/>
      <c r="AN30" s="62"/>
      <c r="AO30" s="79"/>
      <c r="AP30" s="79"/>
      <c r="AQ30" s="45" t="str">
        <f t="shared" si="7"/>
        <v/>
      </c>
      <c r="AR30" s="63"/>
      <c r="AS30" s="62"/>
      <c r="AT30" s="79"/>
      <c r="AU30" s="79"/>
      <c r="AV30" s="45" t="str">
        <f t="shared" si="8"/>
        <v/>
      </c>
      <c r="AW30" s="63"/>
      <c r="AX30" s="62"/>
      <c r="AY30" s="79"/>
      <c r="AZ30" s="79"/>
      <c r="BA30" s="45" t="str">
        <f t="shared" si="9"/>
        <v/>
      </c>
      <c r="BB30" s="63"/>
      <c r="BC30" s="62"/>
      <c r="BD30" s="79"/>
      <c r="BE30" s="79"/>
      <c r="BF30" s="45" t="str">
        <f t="shared" si="10"/>
        <v/>
      </c>
      <c r="BG30" s="63"/>
      <c r="BH30" s="62"/>
      <c r="BI30" s="79"/>
      <c r="BJ30" s="79"/>
      <c r="BK30" s="51" t="str">
        <f t="shared" si="11"/>
        <v/>
      </c>
    </row>
    <row r="31" spans="2:63" x14ac:dyDescent="0.25">
      <c r="B31" s="64" t="s">
        <v>53</v>
      </c>
      <c r="C31" s="65"/>
      <c r="D31" s="63">
        <v>6441.3</v>
      </c>
      <c r="E31" s="62"/>
      <c r="F31" s="62">
        <v>2613.4</v>
      </c>
      <c r="G31" s="62"/>
      <c r="H31" s="45">
        <f t="shared" si="0"/>
        <v>36</v>
      </c>
      <c r="I31" s="63">
        <v>7244</v>
      </c>
      <c r="J31" s="62"/>
      <c r="K31" s="79">
        <v>3138.2</v>
      </c>
      <c r="L31" s="79"/>
      <c r="M31" s="45">
        <f t="shared" si="1"/>
        <v>45.200000000000728</v>
      </c>
      <c r="N31" s="63">
        <v>7982.3</v>
      </c>
      <c r="O31" s="62"/>
      <c r="P31" s="79">
        <v>3573.1</v>
      </c>
      <c r="Q31" s="79"/>
      <c r="R31" s="45">
        <f t="shared" si="2"/>
        <v>45.199999999998909</v>
      </c>
      <c r="S31" s="63">
        <v>8812.7000000000007</v>
      </c>
      <c r="T31" s="62"/>
      <c r="U31" s="79">
        <v>4006.2</v>
      </c>
      <c r="V31" s="79"/>
      <c r="W31" s="45">
        <f t="shared" si="3"/>
        <v>37.800000000001091</v>
      </c>
      <c r="X31" s="63">
        <v>9622.1</v>
      </c>
      <c r="Y31" s="62"/>
      <c r="Z31" s="79">
        <v>4344.3999999999996</v>
      </c>
      <c r="AA31" s="79"/>
      <c r="AB31" s="45">
        <f t="shared" si="4"/>
        <v>39</v>
      </c>
      <c r="AC31" s="63">
        <v>10474.299999999999</v>
      </c>
      <c r="AD31" s="62"/>
      <c r="AE31" s="79">
        <v>4628.8</v>
      </c>
      <c r="AF31" s="79"/>
      <c r="AG31" s="45">
        <f t="shared" si="5"/>
        <v>35.19999999999709</v>
      </c>
      <c r="AH31" s="63">
        <v>11066.1</v>
      </c>
      <c r="AI31" s="62"/>
      <c r="AJ31" s="79">
        <v>4809.3999999999996</v>
      </c>
      <c r="AK31" s="79"/>
      <c r="AL31" s="45">
        <f t="shared" si="6"/>
        <v>17.700000000000728</v>
      </c>
      <c r="AM31" s="63"/>
      <c r="AN31" s="62"/>
      <c r="AO31" s="79"/>
      <c r="AP31" s="79"/>
      <c r="AQ31" s="45" t="str">
        <f t="shared" si="7"/>
        <v/>
      </c>
      <c r="AR31" s="63"/>
      <c r="AS31" s="62"/>
      <c r="AT31" s="79"/>
      <c r="AU31" s="79"/>
      <c r="AV31" s="45" t="str">
        <f t="shared" si="8"/>
        <v/>
      </c>
      <c r="AW31" s="63"/>
      <c r="AX31" s="62"/>
      <c r="AY31" s="79"/>
      <c r="AZ31" s="79"/>
      <c r="BA31" s="45" t="str">
        <f t="shared" si="9"/>
        <v/>
      </c>
      <c r="BB31" s="63"/>
      <c r="BC31" s="62"/>
      <c r="BD31" s="79"/>
      <c r="BE31" s="79"/>
      <c r="BF31" s="45" t="str">
        <f t="shared" si="10"/>
        <v/>
      </c>
      <c r="BG31" s="63"/>
      <c r="BH31" s="62"/>
      <c r="BI31" s="79"/>
      <c r="BJ31" s="79"/>
      <c r="BK31" s="51" t="str">
        <f t="shared" si="11"/>
        <v/>
      </c>
    </row>
    <row r="32" spans="2:63" x14ac:dyDescent="0.25">
      <c r="B32" s="64" t="s">
        <v>54</v>
      </c>
      <c r="C32" s="65"/>
      <c r="D32" s="63">
        <v>6467</v>
      </c>
      <c r="E32" s="62"/>
      <c r="F32" s="62">
        <v>2630.4</v>
      </c>
      <c r="G32" s="62"/>
      <c r="H32" s="45">
        <f t="shared" si="0"/>
        <v>42.699999999998909</v>
      </c>
      <c r="I32" s="63">
        <v>7266.8</v>
      </c>
      <c r="J32" s="62"/>
      <c r="K32" s="79">
        <v>3155</v>
      </c>
      <c r="L32" s="79"/>
      <c r="M32" s="45">
        <f t="shared" si="1"/>
        <v>39.599999999998545</v>
      </c>
      <c r="N32" s="63">
        <v>8011.1</v>
      </c>
      <c r="O32" s="62"/>
      <c r="P32" s="79">
        <v>3587.4</v>
      </c>
      <c r="Q32" s="79"/>
      <c r="R32" s="45">
        <f t="shared" si="2"/>
        <v>43.100000000000364</v>
      </c>
      <c r="S32" s="63">
        <v>8840.2999999999993</v>
      </c>
      <c r="T32" s="62"/>
      <c r="U32" s="79">
        <v>4016.6</v>
      </c>
      <c r="V32" s="79"/>
      <c r="W32" s="45">
        <f t="shared" si="3"/>
        <v>37.999999999998181</v>
      </c>
      <c r="X32" s="63">
        <v>9650.7999999999993</v>
      </c>
      <c r="Y32" s="62"/>
      <c r="Z32" s="79">
        <v>4355.2</v>
      </c>
      <c r="AA32" s="79"/>
      <c r="AB32" s="45">
        <f t="shared" si="4"/>
        <v>39.5</v>
      </c>
      <c r="AC32" s="63">
        <v>10502.2</v>
      </c>
      <c r="AD32" s="62"/>
      <c r="AE32" s="79">
        <v>4637.8</v>
      </c>
      <c r="AF32" s="79"/>
      <c r="AG32" s="45">
        <f t="shared" si="5"/>
        <v>36.900000000001455</v>
      </c>
      <c r="AH32" s="63">
        <v>11078.2</v>
      </c>
      <c r="AI32" s="62"/>
      <c r="AJ32" s="79">
        <v>4812.6000000000004</v>
      </c>
      <c r="AK32" s="79"/>
      <c r="AL32" s="45">
        <f t="shared" si="6"/>
        <v>15.300000000001091</v>
      </c>
      <c r="AM32" s="63"/>
      <c r="AN32" s="62"/>
      <c r="AO32" s="79"/>
      <c r="AP32" s="79"/>
      <c r="AQ32" s="45" t="str">
        <f t="shared" si="7"/>
        <v/>
      </c>
      <c r="AR32" s="63"/>
      <c r="AS32" s="62"/>
      <c r="AT32" s="79"/>
      <c r="AU32" s="79"/>
      <c r="AV32" s="45" t="str">
        <f t="shared" si="8"/>
        <v/>
      </c>
      <c r="AW32" s="63"/>
      <c r="AX32" s="62"/>
      <c r="AY32" s="79"/>
      <c r="AZ32" s="79"/>
      <c r="BA32" s="45" t="str">
        <f t="shared" si="9"/>
        <v/>
      </c>
      <c r="BB32" s="63"/>
      <c r="BC32" s="62"/>
      <c r="BD32" s="79"/>
      <c r="BE32" s="79"/>
      <c r="BF32" s="45" t="str">
        <f t="shared" si="10"/>
        <v/>
      </c>
      <c r="BG32" s="63"/>
      <c r="BH32" s="62"/>
      <c r="BI32" s="79"/>
      <c r="BJ32" s="79"/>
      <c r="BK32" s="51" t="str">
        <f t="shared" si="11"/>
        <v/>
      </c>
    </row>
    <row r="33" spans="2:63" x14ac:dyDescent="0.25">
      <c r="B33" s="64" t="s">
        <v>55</v>
      </c>
      <c r="C33" s="65"/>
      <c r="D33" s="63">
        <v>6495.3</v>
      </c>
      <c r="E33" s="62"/>
      <c r="F33" s="62">
        <v>2653.1</v>
      </c>
      <c r="G33" s="62"/>
      <c r="H33" s="45">
        <f t="shared" si="0"/>
        <v>51</v>
      </c>
      <c r="I33" s="63">
        <v>7274.2</v>
      </c>
      <c r="J33" s="62"/>
      <c r="K33" s="79">
        <v>3168.8</v>
      </c>
      <c r="L33" s="79"/>
      <c r="M33" s="45">
        <f t="shared" si="1"/>
        <v>21.200000000000728</v>
      </c>
      <c r="N33" s="63">
        <v>8038.2</v>
      </c>
      <c r="O33" s="62"/>
      <c r="P33" s="79">
        <v>3601.2</v>
      </c>
      <c r="Q33" s="79"/>
      <c r="R33" s="45">
        <f t="shared" si="2"/>
        <v>40.899999999999636</v>
      </c>
      <c r="S33" s="63">
        <v>8867.6</v>
      </c>
      <c r="T33" s="62"/>
      <c r="U33" s="79">
        <v>4027.2</v>
      </c>
      <c r="V33" s="79"/>
      <c r="W33" s="45">
        <f t="shared" si="3"/>
        <v>37.899999999999636</v>
      </c>
      <c r="X33" s="63">
        <v>9680.2999999999993</v>
      </c>
      <c r="Y33" s="62"/>
      <c r="Z33" s="79">
        <v>4366.6000000000004</v>
      </c>
      <c r="AA33" s="79"/>
      <c r="AB33" s="45">
        <f t="shared" si="4"/>
        <v>40.899999999999636</v>
      </c>
      <c r="AC33" s="63">
        <v>10526.1</v>
      </c>
      <c r="AD33" s="62"/>
      <c r="AE33" s="79">
        <v>4645.2</v>
      </c>
      <c r="AF33" s="79"/>
      <c r="AG33" s="45">
        <f t="shared" si="5"/>
        <v>31.299999999999272</v>
      </c>
      <c r="AH33" s="63">
        <v>11094.8</v>
      </c>
      <c r="AI33" s="62"/>
      <c r="AJ33" s="79">
        <v>4816.8999999999996</v>
      </c>
      <c r="AK33" s="79"/>
      <c r="AL33" s="45">
        <f t="shared" si="6"/>
        <v>20.899999999997817</v>
      </c>
      <c r="AM33" s="63"/>
      <c r="AN33" s="62"/>
      <c r="AO33" s="79"/>
      <c r="AP33" s="79"/>
      <c r="AQ33" s="45" t="str">
        <f t="shared" si="7"/>
        <v/>
      </c>
      <c r="AR33" s="63"/>
      <c r="AS33" s="62"/>
      <c r="AT33" s="79"/>
      <c r="AU33" s="79"/>
      <c r="AV33" s="45" t="str">
        <f t="shared" si="8"/>
        <v/>
      </c>
      <c r="AW33" s="63"/>
      <c r="AX33" s="62"/>
      <c r="AY33" s="79"/>
      <c r="AZ33" s="79"/>
      <c r="BA33" s="45" t="str">
        <f t="shared" si="9"/>
        <v/>
      </c>
      <c r="BB33" s="63"/>
      <c r="BC33" s="62"/>
      <c r="BD33" s="79"/>
      <c r="BE33" s="79"/>
      <c r="BF33" s="45" t="str">
        <f t="shared" si="10"/>
        <v/>
      </c>
      <c r="BG33" s="63"/>
      <c r="BH33" s="62"/>
      <c r="BI33" s="79"/>
      <c r="BJ33" s="79"/>
      <c r="BK33" s="51" t="str">
        <f t="shared" si="11"/>
        <v/>
      </c>
    </row>
    <row r="34" spans="2:63" x14ac:dyDescent="0.25">
      <c r="B34" s="64" t="s">
        <v>56</v>
      </c>
      <c r="C34" s="65"/>
      <c r="D34" s="63">
        <v>6520.6</v>
      </c>
      <c r="E34" s="62"/>
      <c r="F34" s="62">
        <v>2673.6</v>
      </c>
      <c r="G34" s="62"/>
      <c r="H34" s="45">
        <f t="shared" si="0"/>
        <v>45.800000000001091</v>
      </c>
      <c r="I34" s="63">
        <v>7321.2</v>
      </c>
      <c r="J34" s="62"/>
      <c r="K34" s="79">
        <v>3182.6</v>
      </c>
      <c r="L34" s="79"/>
      <c r="M34" s="45">
        <f t="shared" si="1"/>
        <v>60.799999999999272</v>
      </c>
      <c r="N34" s="63">
        <v>8065.6</v>
      </c>
      <c r="O34" s="62"/>
      <c r="P34" s="79">
        <v>3616.8</v>
      </c>
      <c r="Q34" s="79"/>
      <c r="R34" s="45">
        <f t="shared" si="2"/>
        <v>43.000000000001819</v>
      </c>
      <c r="S34" s="63">
        <v>8895.5</v>
      </c>
      <c r="T34" s="62"/>
      <c r="U34" s="79">
        <v>4038.9</v>
      </c>
      <c r="V34" s="79"/>
      <c r="W34" s="45">
        <f t="shared" si="3"/>
        <v>39.600000000000364</v>
      </c>
      <c r="X34" s="63">
        <v>9708.1</v>
      </c>
      <c r="Y34" s="62"/>
      <c r="Z34" s="79">
        <v>4377.3999999999996</v>
      </c>
      <c r="AA34" s="79"/>
      <c r="AB34" s="45">
        <f t="shared" si="4"/>
        <v>38.600000000000364</v>
      </c>
      <c r="AC34" s="63">
        <v>10549.9</v>
      </c>
      <c r="AD34" s="62"/>
      <c r="AE34" s="79">
        <v>4652.8</v>
      </c>
      <c r="AF34" s="79"/>
      <c r="AG34" s="45">
        <f t="shared" si="5"/>
        <v>31.400000000001455</v>
      </c>
      <c r="AH34" s="63">
        <v>11104.3</v>
      </c>
      <c r="AI34" s="62"/>
      <c r="AJ34" s="79">
        <v>4819.3999999999996</v>
      </c>
      <c r="AK34" s="79"/>
      <c r="AL34" s="45">
        <f t="shared" si="6"/>
        <v>12</v>
      </c>
      <c r="AM34" s="63"/>
      <c r="AN34" s="62"/>
      <c r="AO34" s="79"/>
      <c r="AP34" s="79"/>
      <c r="AQ34" s="45" t="str">
        <f t="shared" si="7"/>
        <v/>
      </c>
      <c r="AR34" s="63"/>
      <c r="AS34" s="62"/>
      <c r="AT34" s="79"/>
      <c r="AU34" s="79"/>
      <c r="AV34" s="45" t="str">
        <f t="shared" si="8"/>
        <v/>
      </c>
      <c r="AW34" s="63"/>
      <c r="AX34" s="62"/>
      <c r="AY34" s="79"/>
      <c r="AZ34" s="79"/>
      <c r="BA34" s="45" t="str">
        <f t="shared" si="9"/>
        <v/>
      </c>
      <c r="BB34" s="63"/>
      <c r="BC34" s="62"/>
      <c r="BD34" s="79"/>
      <c r="BE34" s="79"/>
      <c r="BF34" s="45" t="str">
        <f t="shared" si="10"/>
        <v/>
      </c>
      <c r="BG34" s="63"/>
      <c r="BH34" s="62"/>
      <c r="BI34" s="79"/>
      <c r="BJ34" s="79"/>
      <c r="BK34" s="51" t="str">
        <f t="shared" si="11"/>
        <v/>
      </c>
    </row>
    <row r="35" spans="2:63" x14ac:dyDescent="0.25">
      <c r="B35" s="64" t="s">
        <v>57</v>
      </c>
      <c r="C35" s="65"/>
      <c r="D35" s="63">
        <v>6546.8</v>
      </c>
      <c r="E35" s="62"/>
      <c r="F35" s="62">
        <v>2695.1</v>
      </c>
      <c r="G35" s="62"/>
      <c r="H35" s="45">
        <f t="shared" si="0"/>
        <v>47.699999999998909</v>
      </c>
      <c r="I35" s="63">
        <v>7348.4</v>
      </c>
      <c r="J35" s="62"/>
      <c r="K35" s="79">
        <v>3198.1</v>
      </c>
      <c r="L35" s="79"/>
      <c r="M35" s="45">
        <f t="shared" si="1"/>
        <v>42.700000000000728</v>
      </c>
      <c r="N35" s="63">
        <v>8093.2</v>
      </c>
      <c r="O35" s="62"/>
      <c r="P35" s="79">
        <v>3632.1</v>
      </c>
      <c r="Q35" s="79"/>
      <c r="R35" s="45">
        <f t="shared" si="2"/>
        <v>42.899999999997817</v>
      </c>
      <c r="S35" s="63">
        <v>8921.1</v>
      </c>
      <c r="T35" s="62"/>
      <c r="U35" s="79">
        <v>4044.5</v>
      </c>
      <c r="V35" s="79"/>
      <c r="W35" s="45">
        <f t="shared" si="3"/>
        <v>31.200000000000728</v>
      </c>
      <c r="X35" s="63">
        <v>9736.7000000000007</v>
      </c>
      <c r="Y35" s="62"/>
      <c r="Z35" s="79">
        <v>4388.8</v>
      </c>
      <c r="AA35" s="79"/>
      <c r="AB35" s="45">
        <f t="shared" si="4"/>
        <v>40</v>
      </c>
      <c r="AC35" s="63">
        <v>10573.2</v>
      </c>
      <c r="AD35" s="62"/>
      <c r="AE35" s="79">
        <v>4660.3999999999996</v>
      </c>
      <c r="AF35" s="79"/>
      <c r="AG35" s="45">
        <f t="shared" si="5"/>
        <v>30.899999999999636</v>
      </c>
      <c r="AH35" s="63">
        <v>11118.4</v>
      </c>
      <c r="AI35" s="62"/>
      <c r="AJ35" s="79">
        <v>4823.1000000000004</v>
      </c>
      <c r="AK35" s="79"/>
      <c r="AL35" s="45">
        <f t="shared" si="6"/>
        <v>17.800000000001091</v>
      </c>
      <c r="AM35" s="63"/>
      <c r="AN35" s="62"/>
      <c r="AO35" s="79"/>
      <c r="AP35" s="79"/>
      <c r="AQ35" s="45" t="str">
        <f t="shared" si="7"/>
        <v/>
      </c>
      <c r="AR35" s="63"/>
      <c r="AS35" s="62"/>
      <c r="AT35" s="79"/>
      <c r="AU35" s="79"/>
      <c r="AV35" s="45" t="str">
        <f t="shared" si="8"/>
        <v/>
      </c>
      <c r="AW35" s="63"/>
      <c r="AX35" s="62"/>
      <c r="AY35" s="79"/>
      <c r="AZ35" s="79"/>
      <c r="BA35" s="45" t="str">
        <f t="shared" si="9"/>
        <v/>
      </c>
      <c r="BB35" s="63"/>
      <c r="BC35" s="62"/>
      <c r="BD35" s="79"/>
      <c r="BE35" s="79"/>
      <c r="BF35" s="45" t="str">
        <f t="shared" si="10"/>
        <v/>
      </c>
      <c r="BG35" s="63"/>
      <c r="BH35" s="62"/>
      <c r="BI35" s="79"/>
      <c r="BJ35" s="79"/>
      <c r="BK35" s="51" t="str">
        <f t="shared" si="11"/>
        <v/>
      </c>
    </row>
    <row r="36" spans="2:63" x14ac:dyDescent="0.25">
      <c r="B36" s="64" t="s">
        <v>58</v>
      </c>
      <c r="C36" s="65"/>
      <c r="D36" s="63">
        <v>6570.9</v>
      </c>
      <c r="E36" s="62"/>
      <c r="F36" s="62">
        <v>2715.9</v>
      </c>
      <c r="G36" s="62"/>
      <c r="H36" s="45">
        <f t="shared" si="0"/>
        <v>44.899999999999636</v>
      </c>
      <c r="I36" s="63">
        <v>7380.7</v>
      </c>
      <c r="J36" s="62"/>
      <c r="K36" s="79">
        <v>3218.3</v>
      </c>
      <c r="L36" s="79"/>
      <c r="M36" s="45">
        <f t="shared" si="1"/>
        <v>52.5</v>
      </c>
      <c r="N36" s="63">
        <v>8121.1</v>
      </c>
      <c r="O36" s="62"/>
      <c r="P36" s="79">
        <v>3646.7</v>
      </c>
      <c r="Q36" s="79"/>
      <c r="R36" s="45">
        <f t="shared" si="2"/>
        <v>42.5</v>
      </c>
      <c r="S36" s="63">
        <v>8947.2999999999993</v>
      </c>
      <c r="T36" s="62"/>
      <c r="U36" s="79">
        <v>4060.9</v>
      </c>
      <c r="V36" s="79"/>
      <c r="W36" s="45">
        <f t="shared" si="3"/>
        <v>42.599999999998545</v>
      </c>
      <c r="X36" s="63">
        <v>9764.2000000000007</v>
      </c>
      <c r="Y36" s="62"/>
      <c r="Z36" s="79">
        <v>4399.1000000000004</v>
      </c>
      <c r="AA36" s="79"/>
      <c r="AB36" s="45">
        <f t="shared" si="4"/>
        <v>37.800000000001091</v>
      </c>
      <c r="AC36" s="63">
        <v>10595.7</v>
      </c>
      <c r="AD36" s="62"/>
      <c r="AE36" s="79">
        <v>4667.5</v>
      </c>
      <c r="AF36" s="79"/>
      <c r="AG36" s="45">
        <f t="shared" si="5"/>
        <v>29.600000000000364</v>
      </c>
      <c r="AH36" s="63">
        <v>11132.1</v>
      </c>
      <c r="AI36" s="62"/>
      <c r="AJ36" s="79">
        <v>4826.7</v>
      </c>
      <c r="AK36" s="79"/>
      <c r="AL36" s="45">
        <f t="shared" si="6"/>
        <v>17.299999999999272</v>
      </c>
      <c r="AM36" s="63"/>
      <c r="AN36" s="62"/>
      <c r="AO36" s="79"/>
      <c r="AP36" s="79"/>
      <c r="AQ36" s="45" t="str">
        <f t="shared" si="7"/>
        <v/>
      </c>
      <c r="AR36" s="63"/>
      <c r="AS36" s="62"/>
      <c r="AT36" s="79"/>
      <c r="AU36" s="79"/>
      <c r="AV36" s="45" t="str">
        <f t="shared" si="8"/>
        <v/>
      </c>
      <c r="AW36" s="63"/>
      <c r="AX36" s="62"/>
      <c r="AY36" s="79"/>
      <c r="AZ36" s="79"/>
      <c r="BA36" s="45" t="str">
        <f t="shared" si="9"/>
        <v/>
      </c>
      <c r="BB36" s="63"/>
      <c r="BC36" s="62"/>
      <c r="BD36" s="79"/>
      <c r="BE36" s="79"/>
      <c r="BF36" s="45" t="str">
        <f t="shared" si="10"/>
        <v/>
      </c>
      <c r="BG36" s="63"/>
      <c r="BH36" s="62"/>
      <c r="BI36" s="79"/>
      <c r="BJ36" s="79"/>
      <c r="BK36" s="51" t="str">
        <f t="shared" si="11"/>
        <v/>
      </c>
    </row>
    <row r="37" spans="2:63" x14ac:dyDescent="0.25">
      <c r="B37" s="64" t="s">
        <v>59</v>
      </c>
      <c r="C37" s="65"/>
      <c r="D37" s="63">
        <v>6600.6</v>
      </c>
      <c r="E37" s="62"/>
      <c r="F37" s="62">
        <v>2737.2</v>
      </c>
      <c r="G37" s="62"/>
      <c r="H37" s="45">
        <f t="shared" si="0"/>
        <v>51</v>
      </c>
      <c r="I37" s="63">
        <v>7403.6</v>
      </c>
      <c r="J37" s="62"/>
      <c r="K37" s="79">
        <v>3232.6</v>
      </c>
      <c r="L37" s="79"/>
      <c r="M37" s="45">
        <f t="shared" si="1"/>
        <v>37.200000000000728</v>
      </c>
      <c r="N37" s="63">
        <v>8149.2</v>
      </c>
      <c r="O37" s="62"/>
      <c r="P37" s="79">
        <v>3662.2</v>
      </c>
      <c r="Q37" s="79"/>
      <c r="R37" s="45">
        <f t="shared" si="2"/>
        <v>43.600000000000364</v>
      </c>
      <c r="S37" s="63">
        <v>8972.4</v>
      </c>
      <c r="T37" s="62"/>
      <c r="U37" s="79">
        <v>4072.2</v>
      </c>
      <c r="V37" s="79"/>
      <c r="W37" s="45">
        <f t="shared" si="3"/>
        <v>36.399999999999636</v>
      </c>
      <c r="X37" s="63">
        <v>9792.1</v>
      </c>
      <c r="Y37" s="62"/>
      <c r="Z37" s="79">
        <v>4408.3999999999996</v>
      </c>
      <c r="AA37" s="79"/>
      <c r="AB37" s="45">
        <f t="shared" si="4"/>
        <v>37.199999999998909</v>
      </c>
      <c r="AC37" s="63">
        <v>10614</v>
      </c>
      <c r="AD37" s="62"/>
      <c r="AE37" s="79">
        <v>4673.3999999999996</v>
      </c>
      <c r="AF37" s="79"/>
      <c r="AG37" s="45">
        <f t="shared" si="5"/>
        <v>24.199999999998909</v>
      </c>
      <c r="AH37" s="63">
        <v>11145.2</v>
      </c>
      <c r="AI37" s="62"/>
      <c r="AJ37" s="79">
        <v>4830.3</v>
      </c>
      <c r="AK37" s="79"/>
      <c r="AL37" s="45">
        <f t="shared" si="6"/>
        <v>16.700000000000728</v>
      </c>
      <c r="AM37" s="63"/>
      <c r="AN37" s="62"/>
      <c r="AO37" s="79"/>
      <c r="AP37" s="79"/>
      <c r="AQ37" s="45" t="str">
        <f t="shared" si="7"/>
        <v/>
      </c>
      <c r="AR37" s="63"/>
      <c r="AS37" s="62"/>
      <c r="AT37" s="79"/>
      <c r="AU37" s="79"/>
      <c r="AV37" s="45" t="str">
        <f t="shared" si="8"/>
        <v/>
      </c>
      <c r="AW37" s="63"/>
      <c r="AX37" s="62"/>
      <c r="AY37" s="79"/>
      <c r="AZ37" s="79"/>
      <c r="BA37" s="45" t="str">
        <f t="shared" si="9"/>
        <v/>
      </c>
      <c r="BB37" s="63"/>
      <c r="BC37" s="62"/>
      <c r="BD37" s="79"/>
      <c r="BE37" s="79"/>
      <c r="BF37" s="45" t="str">
        <f t="shared" si="10"/>
        <v/>
      </c>
      <c r="BG37" s="63"/>
      <c r="BH37" s="62"/>
      <c r="BI37" s="79"/>
      <c r="BJ37" s="79"/>
      <c r="BK37" s="51" t="str">
        <f t="shared" si="11"/>
        <v/>
      </c>
    </row>
    <row r="38" spans="2:63" x14ac:dyDescent="0.25">
      <c r="B38" s="64" t="s">
        <v>60</v>
      </c>
      <c r="C38" s="65"/>
      <c r="D38" s="63">
        <v>6621.2</v>
      </c>
      <c r="E38" s="62"/>
      <c r="F38" s="62">
        <v>2748.8</v>
      </c>
      <c r="G38" s="62"/>
      <c r="H38" s="45">
        <f t="shared" si="0"/>
        <v>32.200000000000728</v>
      </c>
      <c r="I38" s="63">
        <v>7428.4</v>
      </c>
      <c r="J38" s="62"/>
      <c r="K38" s="79">
        <v>3250.1</v>
      </c>
      <c r="L38" s="79"/>
      <c r="M38" s="45">
        <f t="shared" si="1"/>
        <v>42.299999999999272</v>
      </c>
      <c r="N38" s="63">
        <v>8175.1</v>
      </c>
      <c r="O38" s="62"/>
      <c r="P38" s="79">
        <v>3676.5</v>
      </c>
      <c r="Q38" s="79"/>
      <c r="R38" s="45">
        <f t="shared" si="2"/>
        <v>40.200000000000728</v>
      </c>
      <c r="S38" s="63">
        <v>8999.4</v>
      </c>
      <c r="T38" s="62"/>
      <c r="U38" s="79">
        <v>4085.1</v>
      </c>
      <c r="V38" s="79"/>
      <c r="W38" s="45">
        <f t="shared" si="3"/>
        <v>39.900000000001455</v>
      </c>
      <c r="X38" s="63">
        <v>9822.4</v>
      </c>
      <c r="Y38" s="62"/>
      <c r="Z38" s="79">
        <v>4418.8999999999996</v>
      </c>
      <c r="AA38" s="79"/>
      <c r="AB38" s="45">
        <f t="shared" si="4"/>
        <v>40.799999999999272</v>
      </c>
      <c r="AC38" s="63">
        <v>10642.3</v>
      </c>
      <c r="AD38" s="62"/>
      <c r="AE38" s="79">
        <v>4682.5</v>
      </c>
      <c r="AF38" s="79"/>
      <c r="AG38" s="45">
        <f t="shared" si="5"/>
        <v>37.399999999999636</v>
      </c>
      <c r="AH38" s="63">
        <v>11158.9</v>
      </c>
      <c r="AI38" s="62"/>
      <c r="AJ38" s="79">
        <v>4834.2</v>
      </c>
      <c r="AK38" s="79"/>
      <c r="AL38" s="45">
        <f t="shared" si="6"/>
        <v>17.599999999998545</v>
      </c>
      <c r="AM38" s="63"/>
      <c r="AN38" s="62"/>
      <c r="AO38" s="79"/>
      <c r="AP38" s="79"/>
      <c r="AQ38" s="45" t="str">
        <f t="shared" si="7"/>
        <v/>
      </c>
      <c r="AR38" s="63"/>
      <c r="AS38" s="62"/>
      <c r="AT38" s="79"/>
      <c r="AU38" s="79"/>
      <c r="AV38" s="45" t="str">
        <f t="shared" si="8"/>
        <v/>
      </c>
      <c r="AW38" s="63"/>
      <c r="AX38" s="62"/>
      <c r="AY38" s="79"/>
      <c r="AZ38" s="79"/>
      <c r="BA38" s="45" t="str">
        <f t="shared" si="9"/>
        <v/>
      </c>
      <c r="BB38" s="63"/>
      <c r="BC38" s="62"/>
      <c r="BD38" s="79"/>
      <c r="BE38" s="79"/>
      <c r="BF38" s="45" t="str">
        <f t="shared" si="10"/>
        <v/>
      </c>
      <c r="BG38" s="63"/>
      <c r="BH38" s="62"/>
      <c r="BI38" s="79"/>
      <c r="BJ38" s="79"/>
      <c r="BK38" s="51" t="str">
        <f t="shared" si="11"/>
        <v/>
      </c>
    </row>
    <row r="39" spans="2:63" x14ac:dyDescent="0.25">
      <c r="B39" s="64" t="s">
        <v>61</v>
      </c>
      <c r="C39" s="65"/>
      <c r="D39" s="63">
        <v>6651.2</v>
      </c>
      <c r="E39" s="62"/>
      <c r="F39" s="62">
        <v>2766.3</v>
      </c>
      <c r="G39" s="62"/>
      <c r="H39" s="45">
        <f t="shared" si="0"/>
        <v>47.5</v>
      </c>
      <c r="I39" s="66"/>
      <c r="J39" s="67"/>
      <c r="K39" s="67"/>
      <c r="L39" s="67"/>
      <c r="M39" s="46" t="str">
        <f t="shared" si="1"/>
        <v/>
      </c>
      <c r="N39" s="63">
        <v>8201.1</v>
      </c>
      <c r="O39" s="62"/>
      <c r="P39" s="79">
        <v>3691</v>
      </c>
      <c r="Q39" s="79"/>
      <c r="R39" s="45">
        <f t="shared" si="2"/>
        <v>40.5</v>
      </c>
      <c r="S39" s="63">
        <v>9026.7999999999993</v>
      </c>
      <c r="T39" s="62"/>
      <c r="U39" s="79">
        <v>4096.3999999999996</v>
      </c>
      <c r="V39" s="79"/>
      <c r="W39" s="45">
        <f t="shared" si="3"/>
        <v>38.699999999998909</v>
      </c>
      <c r="X39" s="63">
        <v>9852.9</v>
      </c>
      <c r="Y39" s="62"/>
      <c r="Z39" s="79">
        <v>4428.5</v>
      </c>
      <c r="AA39" s="79"/>
      <c r="AB39" s="45">
        <f t="shared" si="4"/>
        <v>40.100000000000364</v>
      </c>
      <c r="AC39" s="63">
        <v>10659.2</v>
      </c>
      <c r="AD39" s="62"/>
      <c r="AE39" s="79">
        <v>4687.7</v>
      </c>
      <c r="AF39" s="79"/>
      <c r="AG39" s="45">
        <f t="shared" si="5"/>
        <v>22.100000000002183</v>
      </c>
      <c r="AH39" s="63">
        <v>11172.4</v>
      </c>
      <c r="AI39" s="62"/>
      <c r="AJ39" s="79">
        <v>4838</v>
      </c>
      <c r="AK39" s="79"/>
      <c r="AL39" s="45">
        <f t="shared" si="6"/>
        <v>17.300000000001091</v>
      </c>
      <c r="AM39" s="63"/>
      <c r="AN39" s="62"/>
      <c r="AO39" s="79"/>
      <c r="AP39" s="79"/>
      <c r="AQ39" s="45" t="str">
        <f t="shared" si="7"/>
        <v/>
      </c>
      <c r="AR39" s="63"/>
      <c r="AS39" s="62"/>
      <c r="AT39" s="79"/>
      <c r="AU39" s="79"/>
      <c r="AV39" s="45" t="str">
        <f t="shared" si="8"/>
        <v/>
      </c>
      <c r="AW39" s="63"/>
      <c r="AX39" s="62"/>
      <c r="AY39" s="79"/>
      <c r="AZ39" s="79"/>
      <c r="BA39" s="45" t="str">
        <f t="shared" si="9"/>
        <v/>
      </c>
      <c r="BB39" s="63"/>
      <c r="BC39" s="62"/>
      <c r="BD39" s="79"/>
      <c r="BE39" s="79"/>
      <c r="BF39" s="45" t="str">
        <f t="shared" si="10"/>
        <v/>
      </c>
      <c r="BG39" s="63"/>
      <c r="BH39" s="62"/>
      <c r="BI39" s="79"/>
      <c r="BJ39" s="79"/>
      <c r="BK39" s="51" t="str">
        <f t="shared" si="11"/>
        <v/>
      </c>
    </row>
    <row r="40" spans="2:63" x14ac:dyDescent="0.25">
      <c r="B40" s="64" t="s">
        <v>62</v>
      </c>
      <c r="C40" s="65"/>
      <c r="D40" s="63">
        <v>6672.9</v>
      </c>
      <c r="E40" s="62"/>
      <c r="F40" s="62">
        <v>2782.6</v>
      </c>
      <c r="G40" s="62"/>
      <c r="H40" s="45">
        <f t="shared" si="0"/>
        <v>38</v>
      </c>
      <c r="I40" s="66"/>
      <c r="J40" s="67"/>
      <c r="K40" s="46"/>
      <c r="L40" s="46"/>
      <c r="M40" s="46" t="str">
        <f t="shared" ref="M40:M41" si="12">IF(COUNT(I39,I40)=2,I40-I39,"")</f>
        <v/>
      </c>
      <c r="N40" s="63">
        <v>8225.7999999999993</v>
      </c>
      <c r="O40" s="62"/>
      <c r="P40" s="79">
        <v>3702.3</v>
      </c>
      <c r="Q40" s="79"/>
      <c r="R40" s="45">
        <f t="shared" si="2"/>
        <v>35.999999999998181</v>
      </c>
      <c r="S40" s="63">
        <v>9055.2000000000007</v>
      </c>
      <c r="T40" s="62"/>
      <c r="U40" s="79">
        <v>4108.6000000000004</v>
      </c>
      <c r="V40" s="79"/>
      <c r="W40" s="45">
        <f t="shared" si="3"/>
        <v>40.600000000002183</v>
      </c>
      <c r="X40" s="63">
        <v>9878.7999999999993</v>
      </c>
      <c r="Y40" s="62"/>
      <c r="Z40" s="79">
        <v>4436.8999999999996</v>
      </c>
      <c r="AA40" s="79"/>
      <c r="AB40" s="45">
        <f t="shared" si="4"/>
        <v>34.299999999999272</v>
      </c>
      <c r="AC40" s="63">
        <v>10680.8</v>
      </c>
      <c r="AD40" s="62"/>
      <c r="AE40" s="79">
        <v>4694.2</v>
      </c>
      <c r="AF40" s="79"/>
      <c r="AG40" s="45">
        <f t="shared" si="5"/>
        <v>28.099999999998545</v>
      </c>
      <c r="AH40" s="63">
        <v>11186.2</v>
      </c>
      <c r="AI40" s="62"/>
      <c r="AJ40" s="79">
        <v>4841.8</v>
      </c>
      <c r="AK40" s="79"/>
      <c r="AL40" s="45">
        <f t="shared" si="6"/>
        <v>17.600000000000364</v>
      </c>
      <c r="AM40" s="63"/>
      <c r="AN40" s="62"/>
      <c r="AO40" s="79"/>
      <c r="AP40" s="79"/>
      <c r="AQ40" s="45" t="str">
        <f t="shared" si="7"/>
        <v/>
      </c>
      <c r="AR40" s="63"/>
      <c r="AS40" s="62"/>
      <c r="AT40" s="79"/>
      <c r="AU40" s="79"/>
      <c r="AV40" s="45" t="str">
        <f t="shared" si="8"/>
        <v/>
      </c>
      <c r="AW40" s="63"/>
      <c r="AX40" s="62"/>
      <c r="AY40" s="79"/>
      <c r="AZ40" s="79"/>
      <c r="BA40" s="45" t="str">
        <f t="shared" si="9"/>
        <v/>
      </c>
      <c r="BB40" s="63"/>
      <c r="BC40" s="62"/>
      <c r="BD40" s="79"/>
      <c r="BE40" s="79"/>
      <c r="BF40" s="45" t="str">
        <f t="shared" si="10"/>
        <v/>
      </c>
      <c r="BG40" s="63"/>
      <c r="BH40" s="62"/>
      <c r="BI40" s="79"/>
      <c r="BJ40" s="79"/>
      <c r="BK40" s="51" t="str">
        <f t="shared" si="11"/>
        <v/>
      </c>
    </row>
    <row r="41" spans="2:63" ht="15.75" thickBot="1" x14ac:dyDescent="0.3">
      <c r="B41" s="75" t="s">
        <v>63</v>
      </c>
      <c r="C41" s="76"/>
      <c r="D41" s="68">
        <v>6697.7</v>
      </c>
      <c r="E41" s="69"/>
      <c r="F41" s="62">
        <v>2798.7</v>
      </c>
      <c r="G41" s="62"/>
      <c r="H41" s="45">
        <f t="shared" si="0"/>
        <v>40.899999999999636</v>
      </c>
      <c r="I41" s="70"/>
      <c r="J41" s="71"/>
      <c r="K41" s="46"/>
      <c r="L41" s="46"/>
      <c r="M41" s="46" t="str">
        <f t="shared" si="12"/>
        <v/>
      </c>
      <c r="N41" s="63">
        <v>8252.2999999999993</v>
      </c>
      <c r="O41" s="62"/>
      <c r="P41" s="79">
        <v>3714.1</v>
      </c>
      <c r="Q41" s="79"/>
      <c r="R41" s="45">
        <f t="shared" si="2"/>
        <v>38.300000000001091</v>
      </c>
      <c r="S41" s="70"/>
      <c r="T41" s="71"/>
      <c r="U41" s="47"/>
      <c r="V41" s="47"/>
      <c r="W41" s="47"/>
      <c r="X41" s="68">
        <v>9904.6</v>
      </c>
      <c r="Y41" s="69"/>
      <c r="Z41" s="79">
        <v>4454</v>
      </c>
      <c r="AA41" s="79"/>
      <c r="AB41" s="45">
        <f t="shared" si="4"/>
        <v>42.900000000001455</v>
      </c>
      <c r="AC41" s="70"/>
      <c r="AD41" s="71"/>
      <c r="AE41" s="47"/>
      <c r="AF41" s="47"/>
      <c r="AG41" s="47"/>
      <c r="AH41" s="68">
        <v>11201.9</v>
      </c>
      <c r="AI41" s="69"/>
      <c r="AJ41" s="79">
        <v>4846.2</v>
      </c>
      <c r="AK41" s="79"/>
      <c r="AL41" s="45">
        <f t="shared" si="6"/>
        <v>20.099999999998545</v>
      </c>
      <c r="AM41" s="68"/>
      <c r="AN41" s="69"/>
      <c r="AO41" s="79"/>
      <c r="AP41" s="79"/>
      <c r="AQ41" s="45" t="str">
        <f t="shared" si="7"/>
        <v/>
      </c>
      <c r="AR41" s="70"/>
      <c r="AS41" s="71"/>
      <c r="AT41" s="47"/>
      <c r="AU41" s="47"/>
      <c r="AV41" s="47"/>
      <c r="AW41" s="68"/>
      <c r="AX41" s="69"/>
      <c r="AY41" s="79"/>
      <c r="AZ41" s="79"/>
      <c r="BA41" s="45" t="str">
        <f t="shared" si="9"/>
        <v/>
      </c>
      <c r="BB41" s="70"/>
      <c r="BC41" s="71"/>
      <c r="BD41" s="47"/>
      <c r="BE41" s="47"/>
      <c r="BF41" s="47"/>
      <c r="BG41" s="68"/>
      <c r="BH41" s="69"/>
      <c r="BI41" s="80"/>
      <c r="BJ41" s="80"/>
      <c r="BK41" s="4" t="str">
        <f t="shared" si="11"/>
        <v/>
      </c>
    </row>
    <row r="42" spans="2:63" ht="15.75" thickBot="1" x14ac:dyDescent="0.3">
      <c r="B42" s="73" t="s">
        <v>70</v>
      </c>
      <c r="C42" s="74"/>
      <c r="D42" s="72"/>
      <c r="E42" s="72"/>
      <c r="F42" s="48"/>
      <c r="G42" s="48"/>
      <c r="H42" s="48">
        <f>SUM(H11:H41)*400</f>
        <v>507679.99999999953</v>
      </c>
      <c r="I42" s="72"/>
      <c r="J42" s="72"/>
      <c r="K42" s="48"/>
      <c r="L42" s="48"/>
      <c r="M42" s="48">
        <f>SUM(M11:M41)*400</f>
        <v>472840.00000000012</v>
      </c>
      <c r="N42" s="72"/>
      <c r="O42" s="72"/>
      <c r="P42" s="48"/>
      <c r="Q42" s="48"/>
      <c r="R42" s="48">
        <f>SUM(R10:R41)*400</f>
        <v>515159.99999999988</v>
      </c>
      <c r="S42" s="72"/>
      <c r="T42" s="72"/>
      <c r="U42" s="48"/>
      <c r="V42" s="48"/>
      <c r="W42" s="48">
        <f>SUM(W11:W40)*400</f>
        <v>478960.00000000058</v>
      </c>
      <c r="X42" s="72"/>
      <c r="Y42" s="72"/>
      <c r="Z42" s="48"/>
      <c r="AA42" s="48"/>
      <c r="AB42" s="48">
        <f>SUM(AB11:AB41)*400</f>
        <v>477919.99999999971</v>
      </c>
      <c r="AC42" s="72"/>
      <c r="AD42" s="72"/>
      <c r="AE42" s="48"/>
      <c r="AF42" s="48"/>
      <c r="AG42" s="48">
        <f>SUM(AG11:AG40)*400</f>
        <v>406559.99999999988</v>
      </c>
      <c r="AH42" s="72"/>
      <c r="AI42" s="72"/>
      <c r="AJ42" s="48"/>
      <c r="AK42" s="48"/>
      <c r="AL42" s="48">
        <f>SUM(AL11:AL41)*400</f>
        <v>269239.99999999942</v>
      </c>
      <c r="AM42" s="72"/>
      <c r="AN42" s="72"/>
      <c r="AO42" s="48"/>
      <c r="AP42" s="48"/>
      <c r="AQ42" s="48">
        <f>SUM(AQ11:AQ41)*400</f>
        <v>6760.0000000005821</v>
      </c>
      <c r="AR42" s="72"/>
      <c r="AS42" s="72"/>
      <c r="AT42" s="48"/>
      <c r="AU42" s="48"/>
      <c r="AV42" s="48">
        <f>SUM(AV11:AV40)*400</f>
        <v>0</v>
      </c>
      <c r="AW42" s="72"/>
      <c r="AX42" s="72"/>
      <c r="AY42" s="48"/>
      <c r="AZ42" s="48"/>
      <c r="BA42" s="48">
        <f>SUM(BA11:BA41)*400</f>
        <v>0</v>
      </c>
      <c r="BB42" s="72"/>
      <c r="BC42" s="72"/>
      <c r="BD42" s="48"/>
      <c r="BE42" s="48"/>
      <c r="BF42" s="48">
        <f>SUM(BF11:BF40)*400</f>
        <v>0</v>
      </c>
      <c r="BG42" s="72"/>
      <c r="BH42" s="72"/>
      <c r="BI42" s="49"/>
      <c r="BJ42" s="49"/>
      <c r="BK42" s="52">
        <f>SUM(BK11:BK41)*400</f>
        <v>0</v>
      </c>
    </row>
    <row r="43" spans="2:63" ht="15.75" thickTop="1" x14ac:dyDescent="0.25"/>
    <row r="45" spans="2:63" x14ac:dyDescent="0.25">
      <c r="J45" s="1"/>
      <c r="K45" s="62"/>
      <c r="L45" s="62"/>
      <c r="M45" s="79"/>
      <c r="N45" s="79"/>
    </row>
    <row r="46" spans="2:63" x14ac:dyDescent="0.25">
      <c r="J46" s="1"/>
      <c r="K46" s="62"/>
      <c r="L46" s="62"/>
      <c r="M46" s="79"/>
      <c r="N46" s="79"/>
    </row>
    <row r="47" spans="2:63" x14ac:dyDescent="0.25">
      <c r="J47" s="1"/>
      <c r="K47" s="62"/>
      <c r="L47" s="62"/>
      <c r="M47" s="79"/>
      <c r="N47" s="79"/>
    </row>
    <row r="48" spans="2:63" x14ac:dyDescent="0.25">
      <c r="J48" s="1"/>
      <c r="K48" s="62"/>
      <c r="L48" s="62"/>
      <c r="M48" s="79"/>
      <c r="N48" s="79"/>
    </row>
    <row r="49" spans="10:14" x14ac:dyDescent="0.25">
      <c r="J49" s="1"/>
      <c r="K49" s="62"/>
      <c r="L49" s="62"/>
      <c r="M49" s="79"/>
      <c r="N49" s="79"/>
    </row>
    <row r="50" spans="10:14" x14ac:dyDescent="0.25">
      <c r="J50" s="1"/>
      <c r="K50" s="62"/>
      <c r="L50" s="62"/>
      <c r="M50" s="79"/>
      <c r="N50" s="79"/>
    </row>
    <row r="51" spans="10:14" x14ac:dyDescent="0.25">
      <c r="J51" s="1"/>
      <c r="K51" s="62"/>
      <c r="L51" s="62"/>
      <c r="M51" s="79"/>
      <c r="N51" s="79"/>
    </row>
    <row r="52" spans="10:14" x14ac:dyDescent="0.25">
      <c r="J52" s="1"/>
      <c r="K52" s="62"/>
      <c r="L52" s="62"/>
      <c r="M52" s="79"/>
      <c r="N52" s="79"/>
    </row>
    <row r="53" spans="10:14" x14ac:dyDescent="0.25">
      <c r="J53" s="1"/>
      <c r="K53" s="62"/>
      <c r="L53" s="62"/>
      <c r="M53" s="79"/>
      <c r="N53" s="79"/>
    </row>
    <row r="54" spans="10:14" x14ac:dyDescent="0.25">
      <c r="J54" s="1"/>
      <c r="K54" s="62"/>
      <c r="L54" s="62"/>
      <c r="M54" s="79"/>
      <c r="N54" s="79"/>
    </row>
    <row r="55" spans="10:14" x14ac:dyDescent="0.25">
      <c r="J55" s="1"/>
      <c r="K55" s="62"/>
      <c r="L55" s="62"/>
      <c r="M55" s="79"/>
      <c r="N55" s="79"/>
    </row>
    <row r="56" spans="10:14" x14ac:dyDescent="0.25">
      <c r="J56" s="1"/>
      <c r="K56" s="62"/>
      <c r="L56" s="62"/>
      <c r="M56" s="79"/>
      <c r="N56" s="79"/>
    </row>
    <row r="57" spans="10:14" x14ac:dyDescent="0.25">
      <c r="J57" s="1"/>
      <c r="K57" s="62"/>
      <c r="L57" s="62"/>
      <c r="M57" s="79"/>
      <c r="N57" s="79"/>
    </row>
    <row r="58" spans="10:14" x14ac:dyDescent="0.25">
      <c r="J58" s="1"/>
      <c r="K58" s="62"/>
      <c r="L58" s="62"/>
      <c r="M58" s="79"/>
      <c r="N58" s="79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14" zoomScale="70" zoomScaleNormal="70" workbookViewId="0">
      <selection activeCell="Y8" sqref="Y8:Z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3" t="s">
        <v>18</v>
      </c>
      <c r="C2" s="54"/>
    </row>
    <row r="3" spans="2:39" ht="15.75" thickBot="1" x14ac:dyDescent="0.3">
      <c r="B3" s="57">
        <v>356738</v>
      </c>
      <c r="C3" s="58"/>
    </row>
    <row r="4" spans="2:39" ht="16.5" thickTop="1" thickBot="1" x14ac:dyDescent="0.3"/>
    <row r="5" spans="2:39" ht="15.75" thickTop="1" x14ac:dyDescent="0.25">
      <c r="B5" s="59" t="s">
        <v>19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"/>
    </row>
    <row r="6" spans="2:39" ht="6.7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51"/>
    </row>
    <row r="7" spans="2:39" x14ac:dyDescent="0.25">
      <c r="B7" s="2"/>
      <c r="C7" s="3"/>
      <c r="D7" s="55" t="s">
        <v>20</v>
      </c>
      <c r="E7" s="56"/>
      <c r="F7" s="43" t="s">
        <v>71</v>
      </c>
      <c r="G7" s="55" t="s">
        <v>22</v>
      </c>
      <c r="H7" s="56"/>
      <c r="I7" s="43" t="s">
        <v>71</v>
      </c>
      <c r="J7" s="55" t="s">
        <v>23</v>
      </c>
      <c r="K7" s="56"/>
      <c r="L7" s="43" t="s">
        <v>71</v>
      </c>
      <c r="M7" s="55" t="s">
        <v>24</v>
      </c>
      <c r="N7" s="56"/>
      <c r="O7" s="43" t="s">
        <v>71</v>
      </c>
      <c r="P7" s="55" t="s">
        <v>25</v>
      </c>
      <c r="Q7" s="56"/>
      <c r="R7" s="43" t="s">
        <v>71</v>
      </c>
      <c r="S7" s="55" t="s">
        <v>26</v>
      </c>
      <c r="T7" s="56"/>
      <c r="U7" s="43" t="s">
        <v>71</v>
      </c>
      <c r="V7" s="55" t="s">
        <v>27</v>
      </c>
      <c r="W7" s="56"/>
      <c r="X7" s="43" t="s">
        <v>71</v>
      </c>
      <c r="Y7" s="55" t="s">
        <v>28</v>
      </c>
      <c r="Z7" s="56"/>
      <c r="AA7" s="43" t="s">
        <v>71</v>
      </c>
      <c r="AB7" s="55" t="s">
        <v>29</v>
      </c>
      <c r="AC7" s="56"/>
      <c r="AD7" s="43" t="s">
        <v>71</v>
      </c>
      <c r="AE7" s="55" t="s">
        <v>30</v>
      </c>
      <c r="AF7" s="56"/>
      <c r="AG7" s="43" t="s">
        <v>71</v>
      </c>
      <c r="AH7" s="55" t="s">
        <v>31</v>
      </c>
      <c r="AI7" s="56"/>
      <c r="AJ7" s="43" t="s">
        <v>71</v>
      </c>
      <c r="AK7" s="55" t="s">
        <v>32</v>
      </c>
      <c r="AL7" s="56"/>
      <c r="AM7" s="7" t="s">
        <v>71</v>
      </c>
    </row>
    <row r="8" spans="2:39" x14ac:dyDescent="0.25">
      <c r="B8" s="64" t="s">
        <v>33</v>
      </c>
      <c r="C8" s="65"/>
      <c r="D8" s="63">
        <v>356880</v>
      </c>
      <c r="E8" s="62"/>
      <c r="F8" s="45">
        <f>IF(COUNT(B3,D8)=2,D8-B3,"")</f>
        <v>142</v>
      </c>
      <c r="G8" s="63">
        <v>361145</v>
      </c>
      <c r="H8" s="62"/>
      <c r="I8" s="45">
        <f>IF(COUNT(D38,G8)=2,G8-D38,"")</f>
        <v>178</v>
      </c>
      <c r="J8" s="63">
        <v>365466</v>
      </c>
      <c r="K8" s="62"/>
      <c r="L8" s="45">
        <f>IF(COUNT(G35,J8)=2,J8-G35,"")</f>
        <v>177</v>
      </c>
      <c r="M8" s="63">
        <v>370243</v>
      </c>
      <c r="N8" s="62"/>
      <c r="O8" s="45">
        <f>IF(COUNT(J38,M8)=2,M8-J38,"")</f>
        <v>136</v>
      </c>
      <c r="P8" s="63">
        <v>375422</v>
      </c>
      <c r="Q8" s="62"/>
      <c r="R8" s="45">
        <f>IF(COUNT(M37,P8)=2,P8-M37,"")</f>
        <v>200</v>
      </c>
      <c r="S8" s="63">
        <v>379952</v>
      </c>
      <c r="T8" s="62"/>
      <c r="U8" s="45">
        <f>IF(COUNT(P38,S8)=2,S8-P38,"")</f>
        <v>102</v>
      </c>
      <c r="V8" s="63">
        <v>382874</v>
      </c>
      <c r="W8" s="62"/>
      <c r="X8" s="45">
        <f>IF(COUNT(S37,V8)=2,V8-S37,"")</f>
        <v>28</v>
      </c>
      <c r="Y8" s="63">
        <v>383764</v>
      </c>
      <c r="Z8" s="62"/>
      <c r="AA8" s="45">
        <f>IF(COUNT(V38,Y8)=2,Y8-V38,"")</f>
        <v>21</v>
      </c>
      <c r="AB8" s="63"/>
      <c r="AC8" s="62"/>
      <c r="AD8" s="45" t="str">
        <f>IF(COUNT(Y38,AB8)=2,AB8-Y38,"")</f>
        <v/>
      </c>
      <c r="AE8" s="63"/>
      <c r="AF8" s="62"/>
      <c r="AG8" s="45" t="str">
        <f>IF(COUNT(AB37,AE8)=2,AE8-AB37,"")</f>
        <v/>
      </c>
      <c r="AH8" s="63"/>
      <c r="AI8" s="62"/>
      <c r="AJ8" s="45" t="str">
        <f>IF(COUNT(AE38,AH8)=2,AH8-AE38,"")</f>
        <v/>
      </c>
      <c r="AK8" s="63"/>
      <c r="AL8" s="62"/>
      <c r="AM8" s="51" t="str">
        <f>IF(COUNT(AH37,AK8)=2,AK8-AH37,"")</f>
        <v/>
      </c>
    </row>
    <row r="9" spans="2:39" x14ac:dyDescent="0.25">
      <c r="B9" s="64" t="s">
        <v>34</v>
      </c>
      <c r="C9" s="65"/>
      <c r="D9" s="63">
        <v>357009</v>
      </c>
      <c r="E9" s="62"/>
      <c r="F9" s="45">
        <f>IF(COUNT(D8,D9)=2,D9-D8,"")</f>
        <v>129</v>
      </c>
      <c r="G9" s="63">
        <v>361250</v>
      </c>
      <c r="H9" s="62"/>
      <c r="I9" s="45">
        <f>IF(COUNT(G8,G9)=2,G9-G8,"")</f>
        <v>105</v>
      </c>
      <c r="J9" s="63">
        <v>365578</v>
      </c>
      <c r="K9" s="62"/>
      <c r="L9" s="45">
        <f>IF(COUNT(J8,J9)=2,J9-J8,"")</f>
        <v>112</v>
      </c>
      <c r="M9" s="63">
        <v>370435</v>
      </c>
      <c r="N9" s="62"/>
      <c r="O9" s="45">
        <f>IF(COUNT(M8,M9)=2,M9-M8,"")</f>
        <v>192</v>
      </c>
      <c r="P9" s="63">
        <v>375602</v>
      </c>
      <c r="Q9" s="62"/>
      <c r="R9" s="45">
        <f>IF(COUNT(P8,P9)=2,P9-P8,"")</f>
        <v>180</v>
      </c>
      <c r="S9" s="63">
        <v>380061</v>
      </c>
      <c r="T9" s="62"/>
      <c r="U9" s="45">
        <f>IF(COUNT(S8,S9)=2,S9-S8,"")</f>
        <v>109</v>
      </c>
      <c r="V9" s="63">
        <v>382905</v>
      </c>
      <c r="W9" s="62"/>
      <c r="X9" s="45">
        <f>IF(COUNT(V8,V9)=2,V9-V8,"")</f>
        <v>31</v>
      </c>
      <c r="Y9" s="63"/>
      <c r="Z9" s="62"/>
      <c r="AA9" s="45" t="str">
        <f>IF(COUNT(Y8,Y9)=2,Y9-Y8,"")</f>
        <v/>
      </c>
      <c r="AB9" s="63"/>
      <c r="AC9" s="62"/>
      <c r="AD9" s="45" t="str">
        <f>IF(COUNT(AB8,AB9)=2,AB9-AB8,"")</f>
        <v/>
      </c>
      <c r="AE9" s="63"/>
      <c r="AF9" s="62"/>
      <c r="AG9" s="45" t="str">
        <f>IF(COUNT(AE8,AE9)=2,AE9-AE8,"")</f>
        <v/>
      </c>
      <c r="AH9" s="63"/>
      <c r="AI9" s="62"/>
      <c r="AJ9" s="45" t="str">
        <f>IF(COUNT(AH8,AH9)=2,AH9-AH8,"")</f>
        <v/>
      </c>
      <c r="AK9" s="63"/>
      <c r="AL9" s="62"/>
      <c r="AM9" s="51" t="str">
        <f>IF(COUNT(AK8,AK9)=2,AK9-AK8,"")</f>
        <v/>
      </c>
    </row>
    <row r="10" spans="2:39" x14ac:dyDescent="0.25">
      <c r="B10" s="64" t="s">
        <v>35</v>
      </c>
      <c r="C10" s="65"/>
      <c r="D10" s="63">
        <v>357114</v>
      </c>
      <c r="E10" s="62"/>
      <c r="F10" s="45">
        <f t="shared" ref="F10:F38" si="0">IF(COUNT(D9,D10)=2,D10-D9,"")</f>
        <v>105</v>
      </c>
      <c r="G10" s="63">
        <v>361359</v>
      </c>
      <c r="H10" s="62"/>
      <c r="I10" s="45">
        <f t="shared" ref="I10:I38" si="1">IF(COUNT(G9,G10)=2,G10-G9,"")</f>
        <v>109</v>
      </c>
      <c r="J10" s="63">
        <v>365739</v>
      </c>
      <c r="K10" s="62"/>
      <c r="L10" s="45">
        <f t="shared" ref="L10:L38" si="2">IF(COUNT(J9,J10)=2,J10-J9,"")</f>
        <v>161</v>
      </c>
      <c r="M10" s="63">
        <v>370660</v>
      </c>
      <c r="N10" s="62"/>
      <c r="O10" s="45">
        <f t="shared" ref="O10:O37" si="3">IF(COUNT(M9,M10)=2,M10-M9,"")</f>
        <v>225</v>
      </c>
      <c r="P10" s="63">
        <v>375734</v>
      </c>
      <c r="Q10" s="62"/>
      <c r="R10" s="45">
        <f t="shared" ref="R10:R38" si="4">IF(COUNT(P9,P10)=2,P10-P9,"")</f>
        <v>132</v>
      </c>
      <c r="S10" s="63">
        <v>380162</v>
      </c>
      <c r="T10" s="62"/>
      <c r="U10" s="45">
        <f t="shared" ref="U10:U37" si="5">IF(COUNT(S9,S10)=2,S10-S9,"")</f>
        <v>101</v>
      </c>
      <c r="V10" s="63">
        <v>382932</v>
      </c>
      <c r="W10" s="62"/>
      <c r="X10" s="45">
        <f t="shared" ref="X10:X37" si="6">IF(COUNT(V9,V10)=2,V10-V9,"")</f>
        <v>27</v>
      </c>
      <c r="Y10" s="63"/>
      <c r="Z10" s="62"/>
      <c r="AA10" s="45" t="str">
        <f t="shared" ref="AA10:AA38" si="7">IF(COUNT(Y9,Y10)=2,Y10-Y9,"")</f>
        <v/>
      </c>
      <c r="AB10" s="63"/>
      <c r="AC10" s="62"/>
      <c r="AD10" s="45" t="str">
        <f t="shared" ref="AD10:AD37" si="8">IF(COUNT(AB9,AB10)=2,AB10-AB9,"")</f>
        <v/>
      </c>
      <c r="AE10" s="63"/>
      <c r="AF10" s="62"/>
      <c r="AG10" s="45" t="str">
        <f t="shared" ref="AG10:AG38" si="9">IF(COUNT(AE9,AE10)=2,AE10-AE9,"")</f>
        <v/>
      </c>
      <c r="AH10" s="63"/>
      <c r="AI10" s="62"/>
      <c r="AJ10" s="45" t="str">
        <f t="shared" ref="AJ10:AJ37" si="10">IF(COUNT(AH9,AH10)=2,AH10-AH9,"")</f>
        <v/>
      </c>
      <c r="AK10" s="63"/>
      <c r="AL10" s="62"/>
      <c r="AM10" s="51" t="str">
        <f t="shared" ref="AM10:AM38" si="11">IF(COUNT(AK9,AK10)=2,AK10-AK9,"")</f>
        <v/>
      </c>
    </row>
    <row r="11" spans="2:39" x14ac:dyDescent="0.25">
      <c r="B11" s="64" t="s">
        <v>36</v>
      </c>
      <c r="C11" s="65"/>
      <c r="D11" s="63">
        <v>357284</v>
      </c>
      <c r="E11" s="62"/>
      <c r="F11" s="45">
        <f t="shared" si="0"/>
        <v>170</v>
      </c>
      <c r="G11" s="63">
        <v>361476</v>
      </c>
      <c r="H11" s="62"/>
      <c r="I11" s="45">
        <f t="shared" si="1"/>
        <v>117</v>
      </c>
      <c r="J11" s="63">
        <v>365897</v>
      </c>
      <c r="K11" s="62"/>
      <c r="L11" s="45">
        <f t="shared" si="2"/>
        <v>158</v>
      </c>
      <c r="M11" s="63">
        <v>370900</v>
      </c>
      <c r="N11" s="62"/>
      <c r="O11" s="45">
        <f t="shared" si="3"/>
        <v>240</v>
      </c>
      <c r="P11" s="63">
        <v>375883</v>
      </c>
      <c r="Q11" s="62"/>
      <c r="R11" s="45">
        <f t="shared" si="4"/>
        <v>149</v>
      </c>
      <c r="S11" s="63">
        <v>380279</v>
      </c>
      <c r="T11" s="62"/>
      <c r="U11" s="45">
        <f t="shared" si="5"/>
        <v>117</v>
      </c>
      <c r="V11" s="63">
        <v>382960</v>
      </c>
      <c r="W11" s="62"/>
      <c r="X11" s="45">
        <f t="shared" si="6"/>
        <v>28</v>
      </c>
      <c r="Y11" s="63"/>
      <c r="Z11" s="62"/>
      <c r="AA11" s="45" t="str">
        <f t="shared" si="7"/>
        <v/>
      </c>
      <c r="AB11" s="63"/>
      <c r="AC11" s="62"/>
      <c r="AD11" s="45" t="str">
        <f t="shared" si="8"/>
        <v/>
      </c>
      <c r="AE11" s="63"/>
      <c r="AF11" s="62"/>
      <c r="AG11" s="45" t="str">
        <f t="shared" si="9"/>
        <v/>
      </c>
      <c r="AH11" s="63"/>
      <c r="AI11" s="62"/>
      <c r="AJ11" s="45" t="str">
        <f t="shared" si="10"/>
        <v/>
      </c>
      <c r="AK11" s="63"/>
      <c r="AL11" s="62"/>
      <c r="AM11" s="51" t="str">
        <f t="shared" si="11"/>
        <v/>
      </c>
    </row>
    <row r="12" spans="2:39" x14ac:dyDescent="0.25">
      <c r="B12" s="64" t="s">
        <v>37</v>
      </c>
      <c r="C12" s="65"/>
      <c r="D12" s="63">
        <v>357431</v>
      </c>
      <c r="E12" s="62"/>
      <c r="F12" s="45">
        <f t="shared" si="0"/>
        <v>147</v>
      </c>
      <c r="G12" s="63">
        <v>361620</v>
      </c>
      <c r="H12" s="62"/>
      <c r="I12" s="45">
        <f t="shared" si="1"/>
        <v>144</v>
      </c>
      <c r="J12" s="63">
        <v>366051</v>
      </c>
      <c r="K12" s="62"/>
      <c r="L12" s="45">
        <f t="shared" si="2"/>
        <v>154</v>
      </c>
      <c r="M12" s="63">
        <v>371062</v>
      </c>
      <c r="N12" s="62"/>
      <c r="O12" s="45">
        <v>162</v>
      </c>
      <c r="P12" s="63">
        <v>376020</v>
      </c>
      <c r="Q12" s="62"/>
      <c r="R12" s="45">
        <f t="shared" si="4"/>
        <v>137</v>
      </c>
      <c r="S12" s="63">
        <v>380406</v>
      </c>
      <c r="T12" s="62"/>
      <c r="U12" s="45">
        <f t="shared" si="5"/>
        <v>127</v>
      </c>
      <c r="V12" s="63">
        <v>383010</v>
      </c>
      <c r="W12" s="62"/>
      <c r="X12" s="45">
        <f t="shared" si="6"/>
        <v>50</v>
      </c>
      <c r="Y12" s="63"/>
      <c r="Z12" s="62"/>
      <c r="AA12" s="45" t="str">
        <f t="shared" si="7"/>
        <v/>
      </c>
      <c r="AB12" s="63"/>
      <c r="AC12" s="62"/>
      <c r="AD12" s="45" t="str">
        <f t="shared" si="8"/>
        <v/>
      </c>
      <c r="AE12" s="63"/>
      <c r="AF12" s="62"/>
      <c r="AG12" s="45" t="str">
        <f t="shared" si="9"/>
        <v/>
      </c>
      <c r="AH12" s="63"/>
      <c r="AI12" s="62"/>
      <c r="AJ12" s="45" t="str">
        <f t="shared" si="10"/>
        <v/>
      </c>
      <c r="AK12" s="63"/>
      <c r="AL12" s="62"/>
      <c r="AM12" s="51" t="str">
        <f t="shared" si="11"/>
        <v/>
      </c>
    </row>
    <row r="13" spans="2:39" x14ac:dyDescent="0.25">
      <c r="B13" s="64" t="s">
        <v>38</v>
      </c>
      <c r="C13" s="65"/>
      <c r="D13" s="63">
        <v>357554</v>
      </c>
      <c r="E13" s="62"/>
      <c r="F13" s="45">
        <f t="shared" si="0"/>
        <v>123</v>
      </c>
      <c r="G13" s="63">
        <v>361780</v>
      </c>
      <c r="H13" s="62"/>
      <c r="I13" s="45">
        <f t="shared" si="1"/>
        <v>160</v>
      </c>
      <c r="J13" s="63">
        <v>366214</v>
      </c>
      <c r="K13" s="62"/>
      <c r="L13" s="45">
        <f t="shared" si="2"/>
        <v>163</v>
      </c>
      <c r="M13" s="63">
        <v>371229</v>
      </c>
      <c r="N13" s="62"/>
      <c r="O13" s="45">
        <f t="shared" si="3"/>
        <v>167</v>
      </c>
      <c r="P13" s="63">
        <v>376184</v>
      </c>
      <c r="Q13" s="62"/>
      <c r="R13" s="45">
        <f t="shared" si="4"/>
        <v>164</v>
      </c>
      <c r="S13" s="63">
        <v>380545</v>
      </c>
      <c r="T13" s="62"/>
      <c r="U13" s="45">
        <f t="shared" si="5"/>
        <v>139</v>
      </c>
      <c r="V13" s="63">
        <v>383055</v>
      </c>
      <c r="W13" s="62"/>
      <c r="X13" s="45">
        <f t="shared" si="6"/>
        <v>45</v>
      </c>
      <c r="Y13" s="63"/>
      <c r="Z13" s="62"/>
      <c r="AA13" s="45" t="str">
        <f t="shared" si="7"/>
        <v/>
      </c>
      <c r="AB13" s="63"/>
      <c r="AC13" s="62"/>
      <c r="AD13" s="45" t="str">
        <f t="shared" si="8"/>
        <v/>
      </c>
      <c r="AE13" s="63"/>
      <c r="AF13" s="62"/>
      <c r="AG13" s="45" t="str">
        <f t="shared" si="9"/>
        <v/>
      </c>
      <c r="AH13" s="63"/>
      <c r="AI13" s="62"/>
      <c r="AJ13" s="45" t="str">
        <f t="shared" si="10"/>
        <v/>
      </c>
      <c r="AK13" s="63"/>
      <c r="AL13" s="62"/>
      <c r="AM13" s="51" t="str">
        <f t="shared" si="11"/>
        <v/>
      </c>
    </row>
    <row r="14" spans="2:39" x14ac:dyDescent="0.25">
      <c r="B14" s="64" t="s">
        <v>39</v>
      </c>
      <c r="C14" s="65"/>
      <c r="D14" s="63">
        <v>357682</v>
      </c>
      <c r="E14" s="62"/>
      <c r="F14" s="45">
        <f t="shared" si="0"/>
        <v>128</v>
      </c>
      <c r="G14" s="63">
        <v>361927</v>
      </c>
      <c r="H14" s="62"/>
      <c r="I14" s="45">
        <f t="shared" si="1"/>
        <v>147</v>
      </c>
      <c r="J14" s="63">
        <v>366399</v>
      </c>
      <c r="K14" s="62"/>
      <c r="L14" s="45">
        <f t="shared" si="2"/>
        <v>185</v>
      </c>
      <c r="M14" s="63">
        <v>371460</v>
      </c>
      <c r="N14" s="62"/>
      <c r="O14" s="45">
        <f t="shared" si="3"/>
        <v>231</v>
      </c>
      <c r="P14" s="63">
        <v>376325</v>
      </c>
      <c r="Q14" s="62"/>
      <c r="R14" s="45">
        <f t="shared" si="4"/>
        <v>141</v>
      </c>
      <c r="S14" s="63">
        <v>380660</v>
      </c>
      <c r="T14" s="62"/>
      <c r="U14" s="45">
        <f t="shared" si="5"/>
        <v>115</v>
      </c>
      <c r="V14" s="63">
        <v>383093</v>
      </c>
      <c r="W14" s="62"/>
      <c r="X14" s="45">
        <f t="shared" si="6"/>
        <v>38</v>
      </c>
      <c r="Y14" s="63"/>
      <c r="Z14" s="62"/>
      <c r="AA14" s="45" t="str">
        <f t="shared" si="7"/>
        <v/>
      </c>
      <c r="AB14" s="63"/>
      <c r="AC14" s="62"/>
      <c r="AD14" s="45" t="str">
        <f t="shared" si="8"/>
        <v/>
      </c>
      <c r="AE14" s="63"/>
      <c r="AF14" s="62"/>
      <c r="AG14" s="45" t="str">
        <f t="shared" si="9"/>
        <v/>
      </c>
      <c r="AH14" s="63"/>
      <c r="AI14" s="62"/>
      <c r="AJ14" s="45" t="str">
        <f t="shared" si="10"/>
        <v/>
      </c>
      <c r="AK14" s="63"/>
      <c r="AL14" s="62"/>
      <c r="AM14" s="51" t="str">
        <f t="shared" si="11"/>
        <v/>
      </c>
    </row>
    <row r="15" spans="2:39" x14ac:dyDescent="0.25">
      <c r="B15" s="64" t="s">
        <v>40</v>
      </c>
      <c r="C15" s="65"/>
      <c r="D15" s="63">
        <v>357831</v>
      </c>
      <c r="E15" s="62"/>
      <c r="F15" s="45">
        <f t="shared" si="0"/>
        <v>149</v>
      </c>
      <c r="G15" s="63">
        <v>362070</v>
      </c>
      <c r="H15" s="62"/>
      <c r="I15" s="45">
        <f t="shared" si="1"/>
        <v>143</v>
      </c>
      <c r="J15" s="63">
        <v>366581</v>
      </c>
      <c r="K15" s="62"/>
      <c r="L15" s="45">
        <f t="shared" si="2"/>
        <v>182</v>
      </c>
      <c r="M15" s="63">
        <v>371634</v>
      </c>
      <c r="N15" s="62"/>
      <c r="O15" s="45">
        <f t="shared" si="3"/>
        <v>174</v>
      </c>
      <c r="P15" s="63">
        <v>376500</v>
      </c>
      <c r="Q15" s="62"/>
      <c r="R15" s="45">
        <f t="shared" si="4"/>
        <v>175</v>
      </c>
      <c r="S15" s="63">
        <v>380761</v>
      </c>
      <c r="T15" s="62"/>
      <c r="U15" s="45">
        <f t="shared" si="5"/>
        <v>101</v>
      </c>
      <c r="V15" s="63">
        <v>383139</v>
      </c>
      <c r="W15" s="62"/>
      <c r="X15" s="45">
        <f t="shared" si="6"/>
        <v>46</v>
      </c>
      <c r="Y15" s="63"/>
      <c r="Z15" s="62"/>
      <c r="AA15" s="45" t="str">
        <f t="shared" si="7"/>
        <v/>
      </c>
      <c r="AB15" s="63"/>
      <c r="AC15" s="62"/>
      <c r="AD15" s="45" t="str">
        <f t="shared" si="8"/>
        <v/>
      </c>
      <c r="AE15" s="63"/>
      <c r="AF15" s="62"/>
      <c r="AG15" s="45" t="str">
        <f t="shared" si="9"/>
        <v/>
      </c>
      <c r="AH15" s="63"/>
      <c r="AI15" s="62"/>
      <c r="AJ15" s="45" t="str">
        <f t="shared" si="10"/>
        <v/>
      </c>
      <c r="AK15" s="63"/>
      <c r="AL15" s="62"/>
      <c r="AM15" s="51" t="str">
        <f t="shared" si="11"/>
        <v/>
      </c>
    </row>
    <row r="16" spans="2:39" x14ac:dyDescent="0.25">
      <c r="B16" s="64" t="s">
        <v>41</v>
      </c>
      <c r="C16" s="65"/>
      <c r="D16" s="63">
        <v>357978</v>
      </c>
      <c r="E16" s="62"/>
      <c r="F16" s="45">
        <f t="shared" si="0"/>
        <v>147</v>
      </c>
      <c r="G16" s="63">
        <v>362178</v>
      </c>
      <c r="H16" s="62"/>
      <c r="I16" s="45">
        <f t="shared" si="1"/>
        <v>108</v>
      </c>
      <c r="J16" s="63">
        <v>366719</v>
      </c>
      <c r="K16" s="62"/>
      <c r="L16" s="45">
        <f t="shared" si="2"/>
        <v>138</v>
      </c>
      <c r="M16" s="63">
        <v>371840</v>
      </c>
      <c r="N16" s="62"/>
      <c r="O16" s="45">
        <f t="shared" si="3"/>
        <v>206</v>
      </c>
      <c r="P16" s="63">
        <v>376645</v>
      </c>
      <c r="Q16" s="62"/>
      <c r="R16" s="45">
        <f t="shared" si="4"/>
        <v>145</v>
      </c>
      <c r="S16" s="63">
        <v>380862</v>
      </c>
      <c r="T16" s="62"/>
      <c r="U16" s="45">
        <f t="shared" si="5"/>
        <v>101</v>
      </c>
      <c r="V16" s="63">
        <v>383162</v>
      </c>
      <c r="W16" s="62"/>
      <c r="X16" s="45">
        <f t="shared" si="6"/>
        <v>23</v>
      </c>
      <c r="Y16" s="63"/>
      <c r="Z16" s="62"/>
      <c r="AA16" s="45" t="str">
        <f t="shared" si="7"/>
        <v/>
      </c>
      <c r="AB16" s="63"/>
      <c r="AC16" s="62"/>
      <c r="AD16" s="45" t="str">
        <f t="shared" si="8"/>
        <v/>
      </c>
      <c r="AE16" s="63"/>
      <c r="AF16" s="62"/>
      <c r="AG16" s="45" t="str">
        <f t="shared" si="9"/>
        <v/>
      </c>
      <c r="AH16" s="63"/>
      <c r="AI16" s="62"/>
      <c r="AJ16" s="45" t="str">
        <f t="shared" si="10"/>
        <v/>
      </c>
      <c r="AK16" s="63"/>
      <c r="AL16" s="62"/>
      <c r="AM16" s="51" t="str">
        <f t="shared" si="11"/>
        <v/>
      </c>
    </row>
    <row r="17" spans="2:39" x14ac:dyDescent="0.25">
      <c r="B17" s="64" t="s">
        <v>42</v>
      </c>
      <c r="C17" s="65"/>
      <c r="D17" s="63">
        <v>358116</v>
      </c>
      <c r="E17" s="62"/>
      <c r="F17" s="45">
        <f t="shared" si="0"/>
        <v>138</v>
      </c>
      <c r="G17" s="63">
        <v>362332</v>
      </c>
      <c r="H17" s="62"/>
      <c r="I17" s="45">
        <f t="shared" si="1"/>
        <v>154</v>
      </c>
      <c r="J17" s="63">
        <v>366869</v>
      </c>
      <c r="K17" s="62"/>
      <c r="L17" s="45">
        <f t="shared" si="2"/>
        <v>150</v>
      </c>
      <c r="M17" s="63">
        <v>372022</v>
      </c>
      <c r="N17" s="62"/>
      <c r="O17" s="45">
        <f t="shared" si="3"/>
        <v>182</v>
      </c>
      <c r="P17" s="63">
        <v>376803</v>
      </c>
      <c r="Q17" s="62"/>
      <c r="R17" s="45">
        <f t="shared" si="4"/>
        <v>158</v>
      </c>
      <c r="S17" s="63">
        <v>380949</v>
      </c>
      <c r="T17" s="62"/>
      <c r="U17" s="45">
        <f t="shared" si="5"/>
        <v>87</v>
      </c>
      <c r="V17" s="63">
        <v>383187</v>
      </c>
      <c r="W17" s="62"/>
      <c r="X17" s="45">
        <f t="shared" si="6"/>
        <v>25</v>
      </c>
      <c r="Y17" s="63"/>
      <c r="Z17" s="62"/>
      <c r="AA17" s="45" t="str">
        <f t="shared" si="7"/>
        <v/>
      </c>
      <c r="AB17" s="63"/>
      <c r="AC17" s="62"/>
      <c r="AD17" s="45" t="str">
        <f t="shared" si="8"/>
        <v/>
      </c>
      <c r="AE17" s="63"/>
      <c r="AF17" s="62"/>
      <c r="AG17" s="45" t="str">
        <f t="shared" si="9"/>
        <v/>
      </c>
      <c r="AH17" s="63"/>
      <c r="AI17" s="62"/>
      <c r="AJ17" s="45" t="str">
        <f t="shared" si="10"/>
        <v/>
      </c>
      <c r="AK17" s="63"/>
      <c r="AL17" s="62"/>
      <c r="AM17" s="51" t="str">
        <f t="shared" si="11"/>
        <v/>
      </c>
    </row>
    <row r="18" spans="2:39" x14ac:dyDescent="0.25">
      <c r="B18" s="64" t="s">
        <v>43</v>
      </c>
      <c r="C18" s="65"/>
      <c r="D18" s="63">
        <v>358214</v>
      </c>
      <c r="E18" s="62"/>
      <c r="F18" s="45">
        <f t="shared" si="0"/>
        <v>98</v>
      </c>
      <c r="G18" s="63">
        <v>362420</v>
      </c>
      <c r="H18" s="62"/>
      <c r="I18" s="45">
        <f t="shared" si="1"/>
        <v>88</v>
      </c>
      <c r="J18" s="63">
        <v>367026</v>
      </c>
      <c r="K18" s="62"/>
      <c r="L18" s="45">
        <f t="shared" si="2"/>
        <v>157</v>
      </c>
      <c r="M18" s="63">
        <v>372230</v>
      </c>
      <c r="N18" s="62"/>
      <c r="O18" s="45">
        <f t="shared" si="3"/>
        <v>208</v>
      </c>
      <c r="P18" s="63">
        <v>376911</v>
      </c>
      <c r="Q18" s="62"/>
      <c r="R18" s="45">
        <f t="shared" si="4"/>
        <v>108</v>
      </c>
      <c r="S18" s="63">
        <v>381065</v>
      </c>
      <c r="T18" s="62"/>
      <c r="U18" s="45">
        <f t="shared" si="5"/>
        <v>116</v>
      </c>
      <c r="V18" s="63">
        <v>383211</v>
      </c>
      <c r="W18" s="62"/>
      <c r="X18" s="45">
        <f t="shared" si="6"/>
        <v>24</v>
      </c>
      <c r="Y18" s="63"/>
      <c r="Z18" s="62"/>
      <c r="AA18" s="45" t="str">
        <f t="shared" si="7"/>
        <v/>
      </c>
      <c r="AB18" s="63"/>
      <c r="AC18" s="62"/>
      <c r="AD18" s="45" t="str">
        <f t="shared" si="8"/>
        <v/>
      </c>
      <c r="AE18" s="63"/>
      <c r="AF18" s="62"/>
      <c r="AG18" s="45" t="str">
        <f t="shared" si="9"/>
        <v/>
      </c>
      <c r="AH18" s="63"/>
      <c r="AI18" s="62"/>
      <c r="AJ18" s="45" t="str">
        <f t="shared" si="10"/>
        <v/>
      </c>
      <c r="AK18" s="63"/>
      <c r="AL18" s="62"/>
      <c r="AM18" s="51" t="str">
        <f t="shared" si="11"/>
        <v/>
      </c>
    </row>
    <row r="19" spans="2:39" x14ac:dyDescent="0.25">
      <c r="B19" s="64" t="s">
        <v>44</v>
      </c>
      <c r="C19" s="65"/>
      <c r="D19" s="63">
        <v>358331</v>
      </c>
      <c r="E19" s="62"/>
      <c r="F19" s="45">
        <f t="shared" si="0"/>
        <v>117</v>
      </c>
      <c r="G19" s="63">
        <v>362574</v>
      </c>
      <c r="H19" s="62"/>
      <c r="I19" s="45">
        <f t="shared" si="1"/>
        <v>154</v>
      </c>
      <c r="J19" s="63">
        <v>367192</v>
      </c>
      <c r="K19" s="62"/>
      <c r="L19" s="45">
        <f t="shared" si="2"/>
        <v>166</v>
      </c>
      <c r="M19" s="63">
        <v>372401</v>
      </c>
      <c r="N19" s="62"/>
      <c r="O19" s="45">
        <f t="shared" si="3"/>
        <v>171</v>
      </c>
      <c r="P19" s="63">
        <v>377033</v>
      </c>
      <c r="Q19" s="62"/>
      <c r="R19" s="45">
        <f t="shared" si="4"/>
        <v>122</v>
      </c>
      <c r="S19" s="63">
        <v>381215</v>
      </c>
      <c r="T19" s="62"/>
      <c r="U19" s="45">
        <f t="shared" si="5"/>
        <v>150</v>
      </c>
      <c r="V19" s="63">
        <v>383234</v>
      </c>
      <c r="W19" s="62"/>
      <c r="X19" s="45">
        <f t="shared" si="6"/>
        <v>23</v>
      </c>
      <c r="Y19" s="63"/>
      <c r="Z19" s="62"/>
      <c r="AA19" s="45" t="str">
        <f t="shared" si="7"/>
        <v/>
      </c>
      <c r="AB19" s="63"/>
      <c r="AC19" s="62"/>
      <c r="AD19" s="45" t="str">
        <f t="shared" si="8"/>
        <v/>
      </c>
      <c r="AE19" s="63"/>
      <c r="AF19" s="62"/>
      <c r="AG19" s="45" t="str">
        <f t="shared" si="9"/>
        <v/>
      </c>
      <c r="AH19" s="63"/>
      <c r="AI19" s="62"/>
      <c r="AJ19" s="45" t="str">
        <f t="shared" si="10"/>
        <v/>
      </c>
      <c r="AK19" s="63"/>
      <c r="AL19" s="62"/>
      <c r="AM19" s="51" t="str">
        <f t="shared" si="11"/>
        <v/>
      </c>
    </row>
    <row r="20" spans="2:39" x14ac:dyDescent="0.25">
      <c r="B20" s="64" t="s">
        <v>45</v>
      </c>
      <c r="C20" s="65"/>
      <c r="D20" s="63">
        <v>358455</v>
      </c>
      <c r="E20" s="62"/>
      <c r="F20" s="45">
        <f t="shared" si="0"/>
        <v>124</v>
      </c>
      <c r="G20" s="63">
        <v>362804</v>
      </c>
      <c r="H20" s="62"/>
      <c r="I20" s="45">
        <f t="shared" si="1"/>
        <v>230</v>
      </c>
      <c r="J20" s="63">
        <v>367401</v>
      </c>
      <c r="K20" s="62"/>
      <c r="L20" s="45">
        <f t="shared" si="2"/>
        <v>209</v>
      </c>
      <c r="M20" s="63">
        <v>372530</v>
      </c>
      <c r="N20" s="62"/>
      <c r="O20" s="45">
        <f t="shared" si="3"/>
        <v>129</v>
      </c>
      <c r="P20" s="63">
        <v>377144</v>
      </c>
      <c r="Q20" s="62"/>
      <c r="R20" s="45">
        <f t="shared" si="4"/>
        <v>111</v>
      </c>
      <c r="S20" s="63">
        <v>381383</v>
      </c>
      <c r="T20" s="62"/>
      <c r="U20" s="45">
        <f t="shared" si="5"/>
        <v>168</v>
      </c>
      <c r="V20" s="63">
        <v>383259</v>
      </c>
      <c r="W20" s="62"/>
      <c r="X20" s="45">
        <f t="shared" si="6"/>
        <v>25</v>
      </c>
      <c r="Y20" s="63"/>
      <c r="Z20" s="62"/>
      <c r="AA20" s="45" t="str">
        <f t="shared" si="7"/>
        <v/>
      </c>
      <c r="AB20" s="63"/>
      <c r="AC20" s="62"/>
      <c r="AD20" s="45" t="str">
        <f t="shared" si="8"/>
        <v/>
      </c>
      <c r="AE20" s="63"/>
      <c r="AF20" s="62"/>
      <c r="AG20" s="45" t="str">
        <f t="shared" si="9"/>
        <v/>
      </c>
      <c r="AH20" s="63"/>
      <c r="AI20" s="62"/>
      <c r="AJ20" s="45" t="str">
        <f t="shared" si="10"/>
        <v/>
      </c>
      <c r="AK20" s="63"/>
      <c r="AL20" s="62"/>
      <c r="AM20" s="51" t="str">
        <f t="shared" si="11"/>
        <v/>
      </c>
    </row>
    <row r="21" spans="2:39" x14ac:dyDescent="0.25">
      <c r="B21" s="64" t="s">
        <v>46</v>
      </c>
      <c r="C21" s="65"/>
      <c r="D21" s="63">
        <v>358581</v>
      </c>
      <c r="E21" s="62"/>
      <c r="F21" s="45">
        <f t="shared" si="0"/>
        <v>126</v>
      </c>
      <c r="G21" s="63">
        <v>363016</v>
      </c>
      <c r="H21" s="62"/>
      <c r="I21" s="45">
        <f t="shared" si="1"/>
        <v>212</v>
      </c>
      <c r="J21" s="63">
        <v>367590</v>
      </c>
      <c r="K21" s="62"/>
      <c r="L21" s="45">
        <f t="shared" si="2"/>
        <v>189</v>
      </c>
      <c r="M21" s="63">
        <v>372699</v>
      </c>
      <c r="N21" s="62"/>
      <c r="O21" s="45">
        <f t="shared" si="3"/>
        <v>169</v>
      </c>
      <c r="P21" s="63">
        <v>377297</v>
      </c>
      <c r="Q21" s="62"/>
      <c r="R21" s="45">
        <f t="shared" si="4"/>
        <v>153</v>
      </c>
      <c r="S21" s="63">
        <v>381531</v>
      </c>
      <c r="T21" s="62"/>
      <c r="U21" s="45">
        <f t="shared" si="5"/>
        <v>148</v>
      </c>
      <c r="V21" s="63">
        <v>383315</v>
      </c>
      <c r="W21" s="62"/>
      <c r="X21" s="45">
        <f t="shared" si="6"/>
        <v>56</v>
      </c>
      <c r="Y21" s="63"/>
      <c r="Z21" s="62"/>
      <c r="AA21" s="45" t="str">
        <f t="shared" si="7"/>
        <v/>
      </c>
      <c r="AB21" s="63"/>
      <c r="AC21" s="62"/>
      <c r="AD21" s="45" t="str">
        <f t="shared" si="8"/>
        <v/>
      </c>
      <c r="AE21" s="63"/>
      <c r="AF21" s="62"/>
      <c r="AG21" s="45" t="str">
        <f t="shared" si="9"/>
        <v/>
      </c>
      <c r="AH21" s="63"/>
      <c r="AI21" s="62"/>
      <c r="AJ21" s="45" t="str">
        <f t="shared" si="10"/>
        <v/>
      </c>
      <c r="AK21" s="63"/>
      <c r="AL21" s="62"/>
      <c r="AM21" s="51" t="str">
        <f t="shared" si="11"/>
        <v/>
      </c>
    </row>
    <row r="22" spans="2:39" x14ac:dyDescent="0.25">
      <c r="B22" s="64" t="s">
        <v>47</v>
      </c>
      <c r="C22" s="65"/>
      <c r="D22" s="63">
        <v>358706</v>
      </c>
      <c r="E22" s="62"/>
      <c r="F22" s="45">
        <f t="shared" si="0"/>
        <v>125</v>
      </c>
      <c r="G22" s="63">
        <v>363204</v>
      </c>
      <c r="H22" s="62"/>
      <c r="I22" s="45">
        <f t="shared" si="1"/>
        <v>188</v>
      </c>
      <c r="J22" s="63">
        <v>367719</v>
      </c>
      <c r="K22" s="62"/>
      <c r="L22" s="45">
        <f t="shared" si="2"/>
        <v>129</v>
      </c>
      <c r="M22" s="63">
        <v>372868</v>
      </c>
      <c r="N22" s="62"/>
      <c r="O22" s="45">
        <f t="shared" si="3"/>
        <v>169</v>
      </c>
      <c r="P22" s="63">
        <v>377472</v>
      </c>
      <c r="Q22" s="62"/>
      <c r="R22" s="45">
        <f t="shared" si="4"/>
        <v>175</v>
      </c>
      <c r="S22" s="63">
        <v>381630</v>
      </c>
      <c r="T22" s="62"/>
      <c r="U22" s="45">
        <f t="shared" si="5"/>
        <v>99</v>
      </c>
      <c r="V22" s="63">
        <v>383371</v>
      </c>
      <c r="W22" s="62"/>
      <c r="X22" s="45">
        <f t="shared" si="6"/>
        <v>56</v>
      </c>
      <c r="Y22" s="63"/>
      <c r="Z22" s="62"/>
      <c r="AA22" s="45" t="str">
        <f t="shared" si="7"/>
        <v/>
      </c>
      <c r="AB22" s="63"/>
      <c r="AC22" s="62"/>
      <c r="AD22" s="45" t="str">
        <f t="shared" si="8"/>
        <v/>
      </c>
      <c r="AE22" s="63"/>
      <c r="AF22" s="62"/>
      <c r="AG22" s="45" t="str">
        <f t="shared" si="9"/>
        <v/>
      </c>
      <c r="AH22" s="63"/>
      <c r="AI22" s="62"/>
      <c r="AJ22" s="45" t="str">
        <f t="shared" si="10"/>
        <v/>
      </c>
      <c r="AK22" s="63"/>
      <c r="AL22" s="62"/>
      <c r="AM22" s="51" t="str">
        <f t="shared" si="11"/>
        <v/>
      </c>
    </row>
    <row r="23" spans="2:39" x14ac:dyDescent="0.25">
      <c r="B23" s="64" t="s">
        <v>48</v>
      </c>
      <c r="C23" s="65"/>
      <c r="D23" s="63">
        <v>358867</v>
      </c>
      <c r="E23" s="62"/>
      <c r="F23" s="45">
        <f t="shared" si="0"/>
        <v>161</v>
      </c>
      <c r="G23" s="63">
        <v>363322</v>
      </c>
      <c r="H23" s="62"/>
      <c r="I23" s="45">
        <f t="shared" si="1"/>
        <v>118</v>
      </c>
      <c r="J23" s="63">
        <v>367837</v>
      </c>
      <c r="K23" s="62"/>
      <c r="L23" s="45">
        <f t="shared" si="2"/>
        <v>118</v>
      </c>
      <c r="M23" s="63">
        <v>373037</v>
      </c>
      <c r="N23" s="62"/>
      <c r="O23" s="45">
        <f t="shared" si="3"/>
        <v>169</v>
      </c>
      <c r="P23" s="63">
        <v>377635</v>
      </c>
      <c r="Q23" s="62"/>
      <c r="R23" s="45">
        <f t="shared" si="4"/>
        <v>163</v>
      </c>
      <c r="S23" s="63">
        <v>381728</v>
      </c>
      <c r="T23" s="62"/>
      <c r="U23" s="45">
        <f t="shared" si="5"/>
        <v>98</v>
      </c>
      <c r="V23" s="63">
        <v>383418</v>
      </c>
      <c r="W23" s="62"/>
      <c r="X23" s="45">
        <f t="shared" si="6"/>
        <v>47</v>
      </c>
      <c r="Y23" s="63"/>
      <c r="Z23" s="62"/>
      <c r="AA23" s="45" t="str">
        <f t="shared" si="7"/>
        <v/>
      </c>
      <c r="AB23" s="63"/>
      <c r="AC23" s="62"/>
      <c r="AD23" s="45" t="str">
        <f t="shared" si="8"/>
        <v/>
      </c>
      <c r="AE23" s="63"/>
      <c r="AF23" s="62"/>
      <c r="AG23" s="45" t="str">
        <f t="shared" si="9"/>
        <v/>
      </c>
      <c r="AH23" s="63"/>
      <c r="AI23" s="62"/>
      <c r="AJ23" s="45" t="str">
        <f t="shared" si="10"/>
        <v/>
      </c>
      <c r="AK23" s="63"/>
      <c r="AL23" s="62"/>
      <c r="AM23" s="51" t="str">
        <f t="shared" si="11"/>
        <v/>
      </c>
    </row>
    <row r="24" spans="2:39" x14ac:dyDescent="0.25">
      <c r="B24" s="64" t="s">
        <v>49</v>
      </c>
      <c r="C24" s="65"/>
      <c r="D24" s="63">
        <v>359020</v>
      </c>
      <c r="E24" s="62"/>
      <c r="F24" s="45">
        <f t="shared" si="0"/>
        <v>153</v>
      </c>
      <c r="G24" s="63">
        <v>363456</v>
      </c>
      <c r="H24" s="62"/>
      <c r="I24" s="45">
        <f t="shared" si="1"/>
        <v>134</v>
      </c>
      <c r="J24" s="63">
        <v>367952</v>
      </c>
      <c r="K24" s="62"/>
      <c r="L24" s="45">
        <f t="shared" si="2"/>
        <v>115</v>
      </c>
      <c r="M24" s="63">
        <v>373215</v>
      </c>
      <c r="N24" s="62"/>
      <c r="O24" s="45">
        <f t="shared" si="3"/>
        <v>178</v>
      </c>
      <c r="P24" s="63">
        <v>377750</v>
      </c>
      <c r="Q24" s="62"/>
      <c r="R24" s="45">
        <f t="shared" si="4"/>
        <v>115</v>
      </c>
      <c r="S24" s="63">
        <v>381824</v>
      </c>
      <c r="T24" s="62"/>
      <c r="U24" s="45">
        <f t="shared" si="5"/>
        <v>96</v>
      </c>
      <c r="V24" s="63">
        <v>383465</v>
      </c>
      <c r="W24" s="62"/>
      <c r="X24" s="45">
        <f t="shared" si="6"/>
        <v>47</v>
      </c>
      <c r="Y24" s="63"/>
      <c r="Z24" s="62"/>
      <c r="AA24" s="45" t="str">
        <f t="shared" si="7"/>
        <v/>
      </c>
      <c r="AB24" s="63"/>
      <c r="AC24" s="62"/>
      <c r="AD24" s="45" t="str">
        <f t="shared" si="8"/>
        <v/>
      </c>
      <c r="AE24" s="63"/>
      <c r="AF24" s="62"/>
      <c r="AG24" s="45" t="str">
        <f t="shared" si="9"/>
        <v/>
      </c>
      <c r="AH24" s="63"/>
      <c r="AI24" s="62"/>
      <c r="AJ24" s="45" t="str">
        <f t="shared" si="10"/>
        <v/>
      </c>
      <c r="AK24" s="63"/>
      <c r="AL24" s="62"/>
      <c r="AM24" s="51" t="str">
        <f t="shared" si="11"/>
        <v/>
      </c>
    </row>
    <row r="25" spans="2:39" x14ac:dyDescent="0.25">
      <c r="B25" s="64" t="s">
        <v>50</v>
      </c>
      <c r="C25" s="65"/>
      <c r="D25" s="63">
        <v>359109</v>
      </c>
      <c r="E25" s="62"/>
      <c r="F25" s="45">
        <f t="shared" si="0"/>
        <v>89</v>
      </c>
      <c r="G25" s="63">
        <v>363626</v>
      </c>
      <c r="H25" s="62"/>
      <c r="I25" s="45">
        <f t="shared" si="1"/>
        <v>170</v>
      </c>
      <c r="J25" s="63">
        <v>368076</v>
      </c>
      <c r="K25" s="62"/>
      <c r="L25" s="45">
        <f t="shared" si="2"/>
        <v>124</v>
      </c>
      <c r="M25" s="63">
        <v>373380</v>
      </c>
      <c r="N25" s="62"/>
      <c r="O25" s="45">
        <f t="shared" si="3"/>
        <v>165</v>
      </c>
      <c r="P25" s="63">
        <v>377869</v>
      </c>
      <c r="Q25" s="62"/>
      <c r="R25" s="45">
        <f t="shared" si="4"/>
        <v>119</v>
      </c>
      <c r="S25" s="63">
        <v>381942</v>
      </c>
      <c r="T25" s="62"/>
      <c r="U25" s="45">
        <f t="shared" si="5"/>
        <v>118</v>
      </c>
      <c r="V25" s="63">
        <v>383512</v>
      </c>
      <c r="W25" s="62"/>
      <c r="X25" s="45">
        <f t="shared" si="6"/>
        <v>47</v>
      </c>
      <c r="Y25" s="63"/>
      <c r="Z25" s="62"/>
      <c r="AA25" s="45" t="str">
        <f t="shared" si="7"/>
        <v/>
      </c>
      <c r="AB25" s="63"/>
      <c r="AC25" s="62"/>
      <c r="AD25" s="45" t="str">
        <f t="shared" si="8"/>
        <v/>
      </c>
      <c r="AE25" s="63"/>
      <c r="AF25" s="62"/>
      <c r="AG25" s="45" t="str">
        <f t="shared" si="9"/>
        <v/>
      </c>
      <c r="AH25" s="63"/>
      <c r="AI25" s="62"/>
      <c r="AJ25" s="45" t="str">
        <f t="shared" si="10"/>
        <v/>
      </c>
      <c r="AK25" s="63"/>
      <c r="AL25" s="62"/>
      <c r="AM25" s="51" t="str">
        <f t="shared" si="11"/>
        <v/>
      </c>
    </row>
    <row r="26" spans="2:39" x14ac:dyDescent="0.25">
      <c r="B26" s="64" t="s">
        <v>51</v>
      </c>
      <c r="C26" s="65"/>
      <c r="D26" s="63">
        <v>359214</v>
      </c>
      <c r="E26" s="62"/>
      <c r="F26" s="45">
        <f t="shared" si="0"/>
        <v>105</v>
      </c>
      <c r="G26" s="63">
        <v>363793</v>
      </c>
      <c r="H26" s="62"/>
      <c r="I26" s="45">
        <f t="shared" si="1"/>
        <v>167</v>
      </c>
      <c r="J26" s="63">
        <v>368251</v>
      </c>
      <c r="K26" s="62"/>
      <c r="L26" s="45">
        <f t="shared" si="2"/>
        <v>175</v>
      </c>
      <c r="M26" s="63">
        <v>373507</v>
      </c>
      <c r="N26" s="62"/>
      <c r="O26" s="45">
        <f t="shared" si="3"/>
        <v>127</v>
      </c>
      <c r="P26" s="63">
        <v>378003</v>
      </c>
      <c r="Q26" s="62"/>
      <c r="R26" s="45">
        <f t="shared" si="4"/>
        <v>134</v>
      </c>
      <c r="S26" s="63">
        <v>382063</v>
      </c>
      <c r="T26" s="62"/>
      <c r="U26" s="45">
        <f t="shared" si="5"/>
        <v>121</v>
      </c>
      <c r="V26" s="63">
        <v>383557</v>
      </c>
      <c r="W26" s="62"/>
      <c r="X26" s="45">
        <f t="shared" si="6"/>
        <v>45</v>
      </c>
      <c r="Y26" s="63"/>
      <c r="Z26" s="62"/>
      <c r="AA26" s="45" t="str">
        <f t="shared" si="7"/>
        <v/>
      </c>
      <c r="AB26" s="63"/>
      <c r="AC26" s="62"/>
      <c r="AD26" s="45" t="str">
        <f t="shared" si="8"/>
        <v/>
      </c>
      <c r="AE26" s="63"/>
      <c r="AF26" s="62"/>
      <c r="AG26" s="45" t="str">
        <f t="shared" si="9"/>
        <v/>
      </c>
      <c r="AH26" s="63"/>
      <c r="AI26" s="62"/>
      <c r="AJ26" s="45" t="str">
        <f t="shared" si="10"/>
        <v/>
      </c>
      <c r="AK26" s="63"/>
      <c r="AL26" s="62"/>
      <c r="AM26" s="51" t="str">
        <f t="shared" si="11"/>
        <v/>
      </c>
    </row>
    <row r="27" spans="2:39" x14ac:dyDescent="0.25">
      <c r="B27" s="64" t="s">
        <v>52</v>
      </c>
      <c r="C27" s="65"/>
      <c r="D27" s="63">
        <v>359297</v>
      </c>
      <c r="E27" s="62"/>
      <c r="F27" s="45">
        <f t="shared" si="0"/>
        <v>83</v>
      </c>
      <c r="G27" s="63">
        <v>364008</v>
      </c>
      <c r="H27" s="62"/>
      <c r="I27" s="45">
        <f t="shared" si="1"/>
        <v>215</v>
      </c>
      <c r="J27" s="63">
        <v>368434</v>
      </c>
      <c r="K27" s="62"/>
      <c r="L27" s="45">
        <f t="shared" si="2"/>
        <v>183</v>
      </c>
      <c r="M27" s="63">
        <v>373634</v>
      </c>
      <c r="N27" s="62"/>
      <c r="O27" s="45">
        <f t="shared" si="3"/>
        <v>127</v>
      </c>
      <c r="P27" s="63">
        <v>378151</v>
      </c>
      <c r="Q27" s="62"/>
      <c r="R27" s="45">
        <f t="shared" si="4"/>
        <v>148</v>
      </c>
      <c r="S27" s="63">
        <v>382189</v>
      </c>
      <c r="T27" s="62"/>
      <c r="U27" s="45">
        <f t="shared" si="5"/>
        <v>126</v>
      </c>
      <c r="V27" s="63">
        <v>383570</v>
      </c>
      <c r="W27" s="62"/>
      <c r="X27" s="45">
        <f t="shared" si="6"/>
        <v>13</v>
      </c>
      <c r="Y27" s="63"/>
      <c r="Z27" s="62"/>
      <c r="AA27" s="45" t="str">
        <f t="shared" si="7"/>
        <v/>
      </c>
      <c r="AB27" s="63"/>
      <c r="AC27" s="62"/>
      <c r="AD27" s="45" t="str">
        <f t="shared" si="8"/>
        <v/>
      </c>
      <c r="AE27" s="63"/>
      <c r="AF27" s="62"/>
      <c r="AG27" s="45" t="str">
        <f t="shared" si="9"/>
        <v/>
      </c>
      <c r="AH27" s="63"/>
      <c r="AI27" s="62"/>
      <c r="AJ27" s="45" t="str">
        <f t="shared" si="10"/>
        <v/>
      </c>
      <c r="AK27" s="63"/>
      <c r="AL27" s="62"/>
      <c r="AM27" s="51" t="str">
        <f t="shared" si="11"/>
        <v/>
      </c>
    </row>
    <row r="28" spans="2:39" x14ac:dyDescent="0.25">
      <c r="B28" s="64" t="s">
        <v>53</v>
      </c>
      <c r="C28" s="65"/>
      <c r="D28" s="63">
        <v>359393</v>
      </c>
      <c r="E28" s="62"/>
      <c r="F28" s="45">
        <f t="shared" si="0"/>
        <v>96</v>
      </c>
      <c r="G28" s="63">
        <v>364207</v>
      </c>
      <c r="H28" s="62"/>
      <c r="I28" s="45">
        <f t="shared" si="1"/>
        <v>199</v>
      </c>
      <c r="J28" s="63">
        <v>368615</v>
      </c>
      <c r="K28" s="62"/>
      <c r="L28" s="45">
        <f t="shared" si="2"/>
        <v>181</v>
      </c>
      <c r="M28" s="63">
        <v>373780</v>
      </c>
      <c r="N28" s="62"/>
      <c r="O28" s="45">
        <f t="shared" si="3"/>
        <v>146</v>
      </c>
      <c r="P28" s="63">
        <v>378324</v>
      </c>
      <c r="Q28" s="62"/>
      <c r="R28" s="45">
        <f t="shared" si="4"/>
        <v>173</v>
      </c>
      <c r="S28" s="63">
        <v>382285</v>
      </c>
      <c r="T28" s="62"/>
      <c r="U28" s="45">
        <f t="shared" si="5"/>
        <v>96</v>
      </c>
      <c r="V28" s="63">
        <v>383584</v>
      </c>
      <c r="W28" s="62"/>
      <c r="X28" s="45">
        <f t="shared" si="6"/>
        <v>14</v>
      </c>
      <c r="Y28" s="63"/>
      <c r="Z28" s="62"/>
      <c r="AA28" s="45" t="str">
        <f t="shared" si="7"/>
        <v/>
      </c>
      <c r="AB28" s="63"/>
      <c r="AC28" s="62"/>
      <c r="AD28" s="45" t="str">
        <f t="shared" si="8"/>
        <v/>
      </c>
      <c r="AE28" s="63"/>
      <c r="AF28" s="62"/>
      <c r="AG28" s="45" t="str">
        <f t="shared" si="9"/>
        <v/>
      </c>
      <c r="AH28" s="63"/>
      <c r="AI28" s="62"/>
      <c r="AJ28" s="45" t="str">
        <f t="shared" si="10"/>
        <v/>
      </c>
      <c r="AK28" s="63"/>
      <c r="AL28" s="62"/>
      <c r="AM28" s="51" t="str">
        <f t="shared" si="11"/>
        <v/>
      </c>
    </row>
    <row r="29" spans="2:39" x14ac:dyDescent="0.25">
      <c r="B29" s="64" t="s">
        <v>54</v>
      </c>
      <c r="C29" s="65"/>
      <c r="D29" s="63">
        <v>359528</v>
      </c>
      <c r="E29" s="62"/>
      <c r="F29" s="45">
        <f t="shared" si="0"/>
        <v>135</v>
      </c>
      <c r="G29" s="63">
        <v>364352</v>
      </c>
      <c r="H29" s="62"/>
      <c r="I29" s="45">
        <f t="shared" si="1"/>
        <v>145</v>
      </c>
      <c r="J29" s="63">
        <v>368753</v>
      </c>
      <c r="K29" s="62"/>
      <c r="L29" s="45">
        <f t="shared" si="2"/>
        <v>138</v>
      </c>
      <c r="M29" s="63">
        <v>373944</v>
      </c>
      <c r="N29" s="62"/>
      <c r="O29" s="45">
        <f t="shared" si="3"/>
        <v>164</v>
      </c>
      <c r="P29" s="63">
        <v>378507</v>
      </c>
      <c r="Q29" s="62"/>
      <c r="R29" s="45">
        <f t="shared" si="4"/>
        <v>183</v>
      </c>
      <c r="S29" s="63">
        <v>382393</v>
      </c>
      <c r="T29" s="62"/>
      <c r="U29" s="45">
        <f t="shared" si="5"/>
        <v>108</v>
      </c>
      <c r="V29" s="63">
        <v>383597</v>
      </c>
      <c r="W29" s="62"/>
      <c r="X29" s="45">
        <f t="shared" si="6"/>
        <v>13</v>
      </c>
      <c r="Y29" s="63"/>
      <c r="Z29" s="62"/>
      <c r="AA29" s="45" t="str">
        <f t="shared" si="7"/>
        <v/>
      </c>
      <c r="AB29" s="63"/>
      <c r="AC29" s="62"/>
      <c r="AD29" s="45" t="str">
        <f t="shared" si="8"/>
        <v/>
      </c>
      <c r="AE29" s="63"/>
      <c r="AF29" s="62"/>
      <c r="AG29" s="45" t="str">
        <f t="shared" si="9"/>
        <v/>
      </c>
      <c r="AH29" s="63"/>
      <c r="AI29" s="62"/>
      <c r="AJ29" s="45" t="str">
        <f t="shared" si="10"/>
        <v/>
      </c>
      <c r="AK29" s="63"/>
      <c r="AL29" s="62"/>
      <c r="AM29" s="51" t="str">
        <f t="shared" si="11"/>
        <v/>
      </c>
    </row>
    <row r="30" spans="2:39" x14ac:dyDescent="0.25">
      <c r="B30" s="64" t="s">
        <v>55</v>
      </c>
      <c r="C30" s="65"/>
      <c r="D30" s="63">
        <v>359733</v>
      </c>
      <c r="E30" s="62"/>
      <c r="F30" s="45">
        <f t="shared" si="0"/>
        <v>205</v>
      </c>
      <c r="G30" s="63">
        <v>364477</v>
      </c>
      <c r="H30" s="62"/>
      <c r="I30" s="45">
        <f t="shared" si="1"/>
        <v>125</v>
      </c>
      <c r="J30" s="63">
        <v>368878</v>
      </c>
      <c r="K30" s="62"/>
      <c r="L30" s="45">
        <f t="shared" si="2"/>
        <v>125</v>
      </c>
      <c r="M30" s="63">
        <v>374110</v>
      </c>
      <c r="N30" s="62"/>
      <c r="O30" s="45">
        <f t="shared" si="3"/>
        <v>166</v>
      </c>
      <c r="P30" s="63">
        <v>378685</v>
      </c>
      <c r="Q30" s="62"/>
      <c r="R30" s="45">
        <f t="shared" si="4"/>
        <v>178</v>
      </c>
      <c r="S30" s="63">
        <v>382436</v>
      </c>
      <c r="T30" s="62"/>
      <c r="U30" s="45">
        <f t="shared" si="5"/>
        <v>43</v>
      </c>
      <c r="V30" s="63">
        <v>383609</v>
      </c>
      <c r="W30" s="62"/>
      <c r="X30" s="45">
        <f t="shared" si="6"/>
        <v>12</v>
      </c>
      <c r="Y30" s="63"/>
      <c r="Z30" s="62"/>
      <c r="AA30" s="45" t="str">
        <f t="shared" si="7"/>
        <v/>
      </c>
      <c r="AB30" s="63"/>
      <c r="AC30" s="62"/>
      <c r="AD30" s="45" t="str">
        <f t="shared" si="8"/>
        <v/>
      </c>
      <c r="AE30" s="63"/>
      <c r="AF30" s="62"/>
      <c r="AG30" s="45" t="str">
        <f t="shared" si="9"/>
        <v/>
      </c>
      <c r="AH30" s="63"/>
      <c r="AI30" s="62"/>
      <c r="AJ30" s="45" t="str">
        <f t="shared" si="10"/>
        <v/>
      </c>
      <c r="AK30" s="63"/>
      <c r="AL30" s="62"/>
      <c r="AM30" s="51" t="str">
        <f t="shared" si="11"/>
        <v/>
      </c>
    </row>
    <row r="31" spans="2:39" x14ac:dyDescent="0.25">
      <c r="B31" s="64" t="s">
        <v>56</v>
      </c>
      <c r="C31" s="65"/>
      <c r="D31" s="63">
        <v>359956</v>
      </c>
      <c r="E31" s="62"/>
      <c r="F31" s="45">
        <f>IF(COUNT(D30,D31)=2,D31-D30,"")</f>
        <v>223</v>
      </c>
      <c r="G31" s="63">
        <v>364609</v>
      </c>
      <c r="H31" s="62"/>
      <c r="I31" s="45">
        <f t="shared" si="1"/>
        <v>132</v>
      </c>
      <c r="J31" s="63">
        <v>369029</v>
      </c>
      <c r="K31" s="62"/>
      <c r="L31" s="45">
        <f t="shared" si="2"/>
        <v>151</v>
      </c>
      <c r="M31" s="63">
        <v>374316</v>
      </c>
      <c r="N31" s="62"/>
      <c r="O31" s="45">
        <f t="shared" si="3"/>
        <v>206</v>
      </c>
      <c r="P31" s="63">
        <v>378825</v>
      </c>
      <c r="Q31" s="62"/>
      <c r="R31" s="45">
        <f t="shared" si="4"/>
        <v>140</v>
      </c>
      <c r="S31" s="63">
        <v>382512</v>
      </c>
      <c r="T31" s="62"/>
      <c r="U31" s="45">
        <f t="shared" si="5"/>
        <v>76</v>
      </c>
      <c r="V31" s="63">
        <v>383633</v>
      </c>
      <c r="W31" s="62"/>
      <c r="X31" s="45">
        <f t="shared" si="6"/>
        <v>24</v>
      </c>
      <c r="Y31" s="63"/>
      <c r="Z31" s="62"/>
      <c r="AA31" s="45" t="str">
        <f t="shared" si="7"/>
        <v/>
      </c>
      <c r="AB31" s="63"/>
      <c r="AC31" s="62"/>
      <c r="AD31" s="45" t="str">
        <f t="shared" si="8"/>
        <v/>
      </c>
      <c r="AE31" s="63"/>
      <c r="AF31" s="62"/>
      <c r="AG31" s="45" t="str">
        <f t="shared" si="9"/>
        <v/>
      </c>
      <c r="AH31" s="63"/>
      <c r="AI31" s="62"/>
      <c r="AJ31" s="45" t="str">
        <f t="shared" si="10"/>
        <v/>
      </c>
      <c r="AK31" s="63"/>
      <c r="AL31" s="62"/>
      <c r="AM31" s="51" t="str">
        <f t="shared" si="11"/>
        <v/>
      </c>
    </row>
    <row r="32" spans="2:39" x14ac:dyDescent="0.25">
      <c r="B32" s="64" t="s">
        <v>57</v>
      </c>
      <c r="C32" s="65"/>
      <c r="D32" s="63">
        <v>360157</v>
      </c>
      <c r="E32" s="62"/>
      <c r="F32" s="45">
        <f>IF(COUNT(D31,D32)=2,D32-D31,"")</f>
        <v>201</v>
      </c>
      <c r="G32" s="63">
        <v>364762</v>
      </c>
      <c r="H32" s="62"/>
      <c r="I32" s="45">
        <f t="shared" si="1"/>
        <v>153</v>
      </c>
      <c r="J32" s="63">
        <v>369181</v>
      </c>
      <c r="K32" s="62"/>
      <c r="L32" s="45">
        <f t="shared" si="2"/>
        <v>152</v>
      </c>
      <c r="M32" s="63">
        <v>374491</v>
      </c>
      <c r="N32" s="62"/>
      <c r="O32" s="45">
        <f t="shared" si="3"/>
        <v>175</v>
      </c>
      <c r="P32" s="63">
        <v>378957</v>
      </c>
      <c r="Q32" s="62"/>
      <c r="R32" s="45">
        <f t="shared" si="4"/>
        <v>132</v>
      </c>
      <c r="S32" s="63">
        <v>382594</v>
      </c>
      <c r="T32" s="62"/>
      <c r="U32" s="45">
        <f t="shared" si="5"/>
        <v>82</v>
      </c>
      <c r="V32" s="63">
        <v>383646</v>
      </c>
      <c r="W32" s="62"/>
      <c r="X32" s="45">
        <f t="shared" si="6"/>
        <v>13</v>
      </c>
      <c r="Y32" s="63"/>
      <c r="Z32" s="62"/>
      <c r="AA32" s="45" t="str">
        <f t="shared" si="7"/>
        <v/>
      </c>
      <c r="AB32" s="63"/>
      <c r="AC32" s="62"/>
      <c r="AD32" s="45" t="str">
        <f t="shared" si="8"/>
        <v/>
      </c>
      <c r="AE32" s="63"/>
      <c r="AF32" s="62"/>
      <c r="AG32" s="45" t="str">
        <f t="shared" si="9"/>
        <v/>
      </c>
      <c r="AH32" s="63"/>
      <c r="AI32" s="62"/>
      <c r="AJ32" s="45" t="str">
        <f t="shared" si="10"/>
        <v/>
      </c>
      <c r="AK32" s="63"/>
      <c r="AL32" s="62"/>
      <c r="AM32" s="51" t="str">
        <f t="shared" si="11"/>
        <v/>
      </c>
    </row>
    <row r="33" spans="2:39" x14ac:dyDescent="0.25">
      <c r="B33" s="64" t="s">
        <v>58</v>
      </c>
      <c r="C33" s="65"/>
      <c r="D33" s="63">
        <v>360323</v>
      </c>
      <c r="E33" s="62"/>
      <c r="F33" s="45">
        <f>IF(COUNT(D32,D33)=2,D33-D32,"")</f>
        <v>166</v>
      </c>
      <c r="G33" s="63">
        <v>364921</v>
      </c>
      <c r="H33" s="62"/>
      <c r="I33" s="45">
        <f t="shared" si="1"/>
        <v>159</v>
      </c>
      <c r="J33" s="63">
        <v>369350</v>
      </c>
      <c r="K33" s="62"/>
      <c r="L33" s="45">
        <f t="shared" si="2"/>
        <v>169</v>
      </c>
      <c r="M33" s="63">
        <v>374628</v>
      </c>
      <c r="N33" s="62"/>
      <c r="O33" s="45">
        <f t="shared" si="3"/>
        <v>137</v>
      </c>
      <c r="P33" s="63">
        <v>379113</v>
      </c>
      <c r="Q33" s="62"/>
      <c r="R33" s="45">
        <f t="shared" si="4"/>
        <v>156</v>
      </c>
      <c r="S33" s="63">
        <v>382640</v>
      </c>
      <c r="T33" s="62"/>
      <c r="U33" s="45">
        <f t="shared" si="5"/>
        <v>46</v>
      </c>
      <c r="V33" s="63">
        <v>383659</v>
      </c>
      <c r="W33" s="62"/>
      <c r="X33" s="45">
        <f t="shared" si="6"/>
        <v>13</v>
      </c>
      <c r="Y33" s="63"/>
      <c r="Z33" s="62"/>
      <c r="AA33" s="45" t="str">
        <f t="shared" si="7"/>
        <v/>
      </c>
      <c r="AB33" s="63"/>
      <c r="AC33" s="62"/>
      <c r="AD33" s="45" t="str">
        <f t="shared" si="8"/>
        <v/>
      </c>
      <c r="AE33" s="63"/>
      <c r="AF33" s="62"/>
      <c r="AG33" s="45" t="str">
        <f t="shared" si="9"/>
        <v/>
      </c>
      <c r="AH33" s="63"/>
      <c r="AI33" s="62"/>
      <c r="AJ33" s="45" t="str">
        <f t="shared" si="10"/>
        <v/>
      </c>
      <c r="AK33" s="63"/>
      <c r="AL33" s="62"/>
      <c r="AM33" s="51" t="str">
        <f t="shared" si="11"/>
        <v/>
      </c>
    </row>
    <row r="34" spans="2:39" x14ac:dyDescent="0.25">
      <c r="B34" s="64" t="s">
        <v>59</v>
      </c>
      <c r="C34" s="65"/>
      <c r="D34" s="63">
        <v>360477</v>
      </c>
      <c r="E34" s="62"/>
      <c r="F34" s="45">
        <f t="shared" si="0"/>
        <v>154</v>
      </c>
      <c r="G34" s="63">
        <v>365098</v>
      </c>
      <c r="H34" s="62"/>
      <c r="I34" s="45">
        <f t="shared" si="1"/>
        <v>177</v>
      </c>
      <c r="J34" s="63">
        <v>369543</v>
      </c>
      <c r="K34" s="62"/>
      <c r="L34" s="45">
        <f t="shared" si="2"/>
        <v>193</v>
      </c>
      <c r="M34" s="63">
        <v>374759</v>
      </c>
      <c r="N34" s="62"/>
      <c r="O34" s="45">
        <f t="shared" si="3"/>
        <v>131</v>
      </c>
      <c r="P34" s="63">
        <v>379257</v>
      </c>
      <c r="Q34" s="62"/>
      <c r="R34" s="45">
        <f t="shared" si="4"/>
        <v>144</v>
      </c>
      <c r="S34" s="63">
        <v>382704</v>
      </c>
      <c r="T34" s="62"/>
      <c r="U34" s="45">
        <f t="shared" si="5"/>
        <v>64</v>
      </c>
      <c r="V34" s="63">
        <v>383672</v>
      </c>
      <c r="W34" s="62"/>
      <c r="X34" s="45">
        <f t="shared" si="6"/>
        <v>13</v>
      </c>
      <c r="Y34" s="63"/>
      <c r="Z34" s="62"/>
      <c r="AA34" s="45" t="str">
        <f t="shared" si="7"/>
        <v/>
      </c>
      <c r="AB34" s="63"/>
      <c r="AC34" s="62"/>
      <c r="AD34" s="45" t="str">
        <f t="shared" si="8"/>
        <v/>
      </c>
      <c r="AE34" s="63"/>
      <c r="AF34" s="62"/>
      <c r="AG34" s="45" t="str">
        <f t="shared" si="9"/>
        <v/>
      </c>
      <c r="AH34" s="63"/>
      <c r="AI34" s="62"/>
      <c r="AJ34" s="45" t="str">
        <f t="shared" si="10"/>
        <v/>
      </c>
      <c r="AK34" s="63"/>
      <c r="AL34" s="62"/>
      <c r="AM34" s="51" t="str">
        <f t="shared" si="11"/>
        <v/>
      </c>
    </row>
    <row r="35" spans="2:39" x14ac:dyDescent="0.25">
      <c r="B35" s="64" t="s">
        <v>60</v>
      </c>
      <c r="C35" s="65"/>
      <c r="D35" s="63">
        <v>360568</v>
      </c>
      <c r="E35" s="62"/>
      <c r="F35" s="45">
        <f t="shared" si="0"/>
        <v>91</v>
      </c>
      <c r="G35" s="63">
        <v>365289</v>
      </c>
      <c r="H35" s="62"/>
      <c r="I35" s="45">
        <f t="shared" si="1"/>
        <v>191</v>
      </c>
      <c r="J35" s="63">
        <v>369755</v>
      </c>
      <c r="K35" s="62"/>
      <c r="L35" s="45">
        <f t="shared" si="2"/>
        <v>212</v>
      </c>
      <c r="M35" s="63">
        <v>374912</v>
      </c>
      <c r="N35" s="62"/>
      <c r="O35" s="45">
        <f t="shared" si="3"/>
        <v>153</v>
      </c>
      <c r="P35" s="63">
        <v>379415</v>
      </c>
      <c r="Q35" s="62"/>
      <c r="R35" s="45">
        <f t="shared" si="4"/>
        <v>158</v>
      </c>
      <c r="S35" s="63">
        <v>382767</v>
      </c>
      <c r="T35" s="62"/>
      <c r="U35" s="45">
        <f t="shared" si="5"/>
        <v>63</v>
      </c>
      <c r="V35" s="63">
        <v>383684</v>
      </c>
      <c r="W35" s="62"/>
      <c r="X35" s="45">
        <f t="shared" si="6"/>
        <v>12</v>
      </c>
      <c r="Y35" s="63"/>
      <c r="Z35" s="62"/>
      <c r="AA35" s="45" t="str">
        <f t="shared" si="7"/>
        <v/>
      </c>
      <c r="AB35" s="63"/>
      <c r="AC35" s="62"/>
      <c r="AD35" s="45" t="str">
        <f t="shared" si="8"/>
        <v/>
      </c>
      <c r="AE35" s="63"/>
      <c r="AF35" s="62"/>
      <c r="AG35" s="45" t="str">
        <f t="shared" si="9"/>
        <v/>
      </c>
      <c r="AH35" s="63"/>
      <c r="AI35" s="62"/>
      <c r="AJ35" s="45" t="str">
        <f t="shared" si="10"/>
        <v/>
      </c>
      <c r="AK35" s="63"/>
      <c r="AL35" s="62"/>
      <c r="AM35" s="51" t="str">
        <f t="shared" si="11"/>
        <v/>
      </c>
    </row>
    <row r="36" spans="2:39" x14ac:dyDescent="0.25">
      <c r="B36" s="64" t="s">
        <v>61</v>
      </c>
      <c r="C36" s="65"/>
      <c r="D36" s="63">
        <v>360714</v>
      </c>
      <c r="E36" s="62"/>
      <c r="F36" s="45">
        <f t="shared" si="0"/>
        <v>146</v>
      </c>
      <c r="G36" s="66"/>
      <c r="H36" s="67"/>
      <c r="I36" s="46" t="str">
        <f t="shared" si="1"/>
        <v/>
      </c>
      <c r="J36" s="63">
        <v>369881</v>
      </c>
      <c r="K36" s="62"/>
      <c r="L36" s="45">
        <f t="shared" si="2"/>
        <v>126</v>
      </c>
      <c r="M36" s="63">
        <v>375040</v>
      </c>
      <c r="N36" s="62"/>
      <c r="O36" s="45">
        <f t="shared" si="3"/>
        <v>128</v>
      </c>
      <c r="P36" s="63">
        <v>379604</v>
      </c>
      <c r="Q36" s="62"/>
      <c r="R36" s="45">
        <f t="shared" si="4"/>
        <v>189</v>
      </c>
      <c r="S36" s="63">
        <v>382808</v>
      </c>
      <c r="T36" s="62"/>
      <c r="U36" s="45">
        <f t="shared" si="5"/>
        <v>41</v>
      </c>
      <c r="V36" s="63">
        <v>383705</v>
      </c>
      <c r="W36" s="62"/>
      <c r="X36" s="45">
        <f t="shared" si="6"/>
        <v>21</v>
      </c>
      <c r="Y36" s="63"/>
      <c r="Z36" s="62"/>
      <c r="AA36" s="45" t="str">
        <f t="shared" si="7"/>
        <v/>
      </c>
      <c r="AB36" s="63"/>
      <c r="AC36" s="62"/>
      <c r="AD36" s="45" t="str">
        <f t="shared" si="8"/>
        <v/>
      </c>
      <c r="AE36" s="63"/>
      <c r="AF36" s="62"/>
      <c r="AG36" s="45" t="str">
        <f t="shared" si="9"/>
        <v/>
      </c>
      <c r="AH36" s="63"/>
      <c r="AI36" s="62"/>
      <c r="AJ36" s="45" t="str">
        <f t="shared" si="10"/>
        <v/>
      </c>
      <c r="AK36" s="63"/>
      <c r="AL36" s="62"/>
      <c r="AM36" s="51" t="str">
        <f t="shared" si="11"/>
        <v/>
      </c>
    </row>
    <row r="37" spans="2:39" x14ac:dyDescent="0.25">
      <c r="B37" s="64" t="s">
        <v>62</v>
      </c>
      <c r="C37" s="65"/>
      <c r="D37" s="63">
        <v>360866</v>
      </c>
      <c r="E37" s="62"/>
      <c r="F37" s="45">
        <f t="shared" si="0"/>
        <v>152</v>
      </c>
      <c r="G37" s="66"/>
      <c r="H37" s="67"/>
      <c r="I37" s="46" t="str">
        <f t="shared" si="1"/>
        <v/>
      </c>
      <c r="J37" s="63">
        <v>369991</v>
      </c>
      <c r="K37" s="62"/>
      <c r="L37" s="45">
        <f t="shared" si="2"/>
        <v>110</v>
      </c>
      <c r="M37" s="63">
        <v>375222</v>
      </c>
      <c r="N37" s="62"/>
      <c r="O37" s="45">
        <f t="shared" si="3"/>
        <v>182</v>
      </c>
      <c r="P37" s="63">
        <v>379738</v>
      </c>
      <c r="Q37" s="62"/>
      <c r="R37" s="45">
        <f t="shared" si="4"/>
        <v>134</v>
      </c>
      <c r="S37" s="63">
        <v>382846</v>
      </c>
      <c r="T37" s="62"/>
      <c r="U37" s="45">
        <f t="shared" si="5"/>
        <v>38</v>
      </c>
      <c r="V37" s="63">
        <v>383724</v>
      </c>
      <c r="W37" s="62"/>
      <c r="X37" s="45">
        <f t="shared" si="6"/>
        <v>19</v>
      </c>
      <c r="Y37" s="63"/>
      <c r="Z37" s="62"/>
      <c r="AA37" s="45" t="str">
        <f t="shared" si="7"/>
        <v/>
      </c>
      <c r="AB37" s="63"/>
      <c r="AC37" s="62"/>
      <c r="AD37" s="45" t="str">
        <f t="shared" si="8"/>
        <v/>
      </c>
      <c r="AE37" s="63"/>
      <c r="AF37" s="62"/>
      <c r="AG37" s="45" t="str">
        <f t="shared" si="9"/>
        <v/>
      </c>
      <c r="AH37" s="63"/>
      <c r="AI37" s="62"/>
      <c r="AJ37" s="45" t="str">
        <f t="shared" si="10"/>
        <v/>
      </c>
      <c r="AK37" s="63"/>
      <c r="AL37" s="62"/>
      <c r="AM37" s="51" t="str">
        <f t="shared" si="11"/>
        <v/>
      </c>
    </row>
    <row r="38" spans="2:39" ht="15.75" thickBot="1" x14ac:dyDescent="0.3">
      <c r="B38" s="75" t="s">
        <v>63</v>
      </c>
      <c r="C38" s="76"/>
      <c r="D38" s="68">
        <v>360967</v>
      </c>
      <c r="E38" s="69"/>
      <c r="F38" s="45">
        <f t="shared" si="0"/>
        <v>101</v>
      </c>
      <c r="G38" s="70"/>
      <c r="H38" s="71"/>
      <c r="I38" s="46" t="str">
        <f t="shared" si="1"/>
        <v/>
      </c>
      <c r="J38" s="68">
        <v>370107</v>
      </c>
      <c r="K38" s="69"/>
      <c r="L38" s="45">
        <f t="shared" si="2"/>
        <v>116</v>
      </c>
      <c r="M38" s="70"/>
      <c r="N38" s="71"/>
      <c r="O38" s="47"/>
      <c r="P38" s="68">
        <v>379850</v>
      </c>
      <c r="Q38" s="69"/>
      <c r="R38" s="45">
        <f t="shared" si="4"/>
        <v>112</v>
      </c>
      <c r="S38" s="70"/>
      <c r="T38" s="71"/>
      <c r="U38" s="47"/>
      <c r="V38" s="68">
        <v>383743</v>
      </c>
      <c r="W38" s="69"/>
      <c r="X38" s="45">
        <f>IF(COUNT(V37,V38)=2,V38-V37,"")</f>
        <v>19</v>
      </c>
      <c r="Y38" s="68"/>
      <c r="Z38" s="69"/>
      <c r="AA38" s="45" t="str">
        <f t="shared" si="7"/>
        <v/>
      </c>
      <c r="AB38" s="70"/>
      <c r="AC38" s="71"/>
      <c r="AD38" s="47"/>
      <c r="AE38" s="68"/>
      <c r="AF38" s="69"/>
      <c r="AG38" s="45" t="str">
        <f t="shared" si="9"/>
        <v/>
      </c>
      <c r="AH38" s="70"/>
      <c r="AI38" s="71"/>
      <c r="AJ38" s="47"/>
      <c r="AK38" s="68"/>
      <c r="AL38" s="69"/>
      <c r="AM38" s="4" t="str">
        <f t="shared" si="11"/>
        <v/>
      </c>
    </row>
    <row r="39" spans="2:39" ht="15.75" thickBot="1" x14ac:dyDescent="0.3">
      <c r="B39" s="73" t="s">
        <v>72</v>
      </c>
      <c r="C39" s="74"/>
      <c r="D39" s="72"/>
      <c r="E39" s="72"/>
      <c r="F39" s="48">
        <f>SUM(F8:F38)</f>
        <v>4229</v>
      </c>
      <c r="G39" s="72"/>
      <c r="H39" s="72"/>
      <c r="I39" s="48">
        <f>SUM(I8:I38)</f>
        <v>4322</v>
      </c>
      <c r="J39" s="72"/>
      <c r="K39" s="72"/>
      <c r="L39" s="48">
        <f>SUM(L8:L38)</f>
        <v>4818</v>
      </c>
      <c r="M39" s="72"/>
      <c r="N39" s="72"/>
      <c r="O39" s="48">
        <f>SUM(O8:O37)</f>
        <v>5115</v>
      </c>
      <c r="P39" s="72"/>
      <c r="Q39" s="72"/>
      <c r="R39" s="48">
        <f>SUM(R8:R38)</f>
        <v>4628</v>
      </c>
      <c r="S39" s="72"/>
      <c r="T39" s="72"/>
      <c r="U39" s="48">
        <f>SUM(U8:U37)</f>
        <v>2996</v>
      </c>
      <c r="V39" s="72"/>
      <c r="W39" s="72"/>
      <c r="X39" s="48">
        <f>SUM(X8:X38)</f>
        <v>897</v>
      </c>
      <c r="Y39" s="72"/>
      <c r="Z39" s="72"/>
      <c r="AA39" s="48">
        <f>SUM(AA8:AA38)</f>
        <v>21</v>
      </c>
      <c r="AB39" s="72"/>
      <c r="AC39" s="72"/>
      <c r="AD39" s="48">
        <f>SUM(AD8:AD37)</f>
        <v>0</v>
      </c>
      <c r="AE39" s="72"/>
      <c r="AF39" s="72"/>
      <c r="AG39" s="48">
        <f>SUM(AG8:AG38)</f>
        <v>0</v>
      </c>
      <c r="AH39" s="72"/>
      <c r="AI39" s="72"/>
      <c r="AJ39" s="48">
        <f>SUM(AJ8:AJ37)</f>
        <v>0</v>
      </c>
      <c r="AK39" s="72"/>
      <c r="AL39" s="72"/>
      <c r="AM39" s="52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2021-08-01T23:03:59Z</dcterms:modified>
  <cp:category/>
  <cp:contentStatus/>
</cp:coreProperties>
</file>