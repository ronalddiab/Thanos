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1\12. December 21\"/>
    </mc:Choice>
  </mc:AlternateContent>
  <xr:revisionPtr revIDLastSave="0" documentId="13_ncr:1_{C42D32A3-1778-4562-8EA8-B660883284B9}" xr6:coauthVersionLast="47" xr6:coauthVersionMax="47" xr10:uidLastSave="{00000000-0000-0000-0000-000000000000}"/>
  <bookViews>
    <workbookView xWindow="-120" yWindow="-120" windowWidth="29040" windowHeight="15840" tabRatio="935" activeTab="12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externalReferences>
    <externalReference r:id="rId16"/>
  </externalReferences>
  <definedNames>
    <definedName name="_xlnm.Print_Area" localSheetId="2">'Finance Only'!$A$1:$F$38</definedName>
    <definedName name="_xlnm.Print_Area" localSheetId="12">'Gas-2'!$A$1:$E$37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N27" i="12" l="1"/>
  <c r="DN31" i="19"/>
  <c r="DN30" i="19"/>
  <c r="BF27" i="19"/>
  <c r="EN22" i="12"/>
  <c r="D14" i="12"/>
  <c r="AC6" i="19"/>
  <c r="AR6" i="19"/>
  <c r="CY16" i="12"/>
  <c r="CY17" i="12"/>
  <c r="CJ16" i="12"/>
  <c r="CJ17" i="12"/>
  <c r="CJ18" i="12"/>
  <c r="CJ19" i="12"/>
  <c r="CJ20" i="12"/>
  <c r="CE17" i="12"/>
  <c r="CE18" i="12"/>
  <c r="CE19" i="12"/>
  <c r="CE20" i="12"/>
  <c r="CE21" i="12"/>
  <c r="BZ16" i="12"/>
  <c r="BZ17" i="12"/>
  <c r="BZ18" i="12"/>
  <c r="BZ19" i="12"/>
  <c r="BU16" i="12"/>
  <c r="BU17" i="12"/>
  <c r="BU18" i="12"/>
  <c r="BU19" i="12"/>
  <c r="BP16" i="12"/>
  <c r="BP17" i="12"/>
  <c r="BP18" i="12"/>
  <c r="BK16" i="12"/>
  <c r="BK17" i="12"/>
  <c r="BK18" i="12"/>
  <c r="BK19" i="12"/>
  <c r="BK20" i="12"/>
  <c r="BK21" i="12"/>
  <c r="BF16" i="12"/>
  <c r="BF17" i="12"/>
  <c r="BF18" i="12"/>
  <c r="BA16" i="12"/>
  <c r="BA17" i="12"/>
  <c r="BA18" i="12"/>
  <c r="AV16" i="12"/>
  <c r="AV17" i="12"/>
  <c r="AV18" i="12"/>
  <c r="AQ16" i="12"/>
  <c r="AQ17" i="12"/>
  <c r="AQ18" i="12"/>
  <c r="AQ19" i="12"/>
  <c r="AL16" i="12"/>
  <c r="AL17" i="12"/>
  <c r="AL18" i="12"/>
  <c r="AL19" i="12"/>
  <c r="AG16" i="12"/>
  <c r="AG17" i="12"/>
  <c r="AG18" i="12"/>
  <c r="AB16" i="12"/>
  <c r="AB17" i="12"/>
  <c r="AB18" i="12"/>
  <c r="W16" i="12"/>
  <c r="W17" i="12"/>
  <c r="W18" i="12"/>
  <c r="R16" i="12"/>
  <c r="R17" i="12"/>
  <c r="M16" i="12"/>
  <c r="M17" i="12"/>
  <c r="M18" i="12"/>
  <c r="H16" i="12"/>
  <c r="H17" i="12"/>
  <c r="H18" i="12"/>
  <c r="H19" i="12"/>
  <c r="C16" i="12"/>
  <c r="C17" i="12"/>
  <c r="C18" i="12"/>
  <c r="C19" i="12"/>
  <c r="DN16" i="12"/>
  <c r="DN17" i="12"/>
  <c r="DN18" i="12"/>
  <c r="DI16" i="12"/>
  <c r="DI17" i="12"/>
  <c r="DI18" i="12"/>
  <c r="DI19" i="12"/>
  <c r="DD16" i="12"/>
  <c r="DD17" i="12"/>
  <c r="DD18" i="12"/>
  <c r="DD19" i="12"/>
  <c r="CT16" i="12"/>
  <c r="CT17" i="12"/>
  <c r="CT18" i="12"/>
  <c r="CT19" i="12"/>
  <c r="CO16" i="12"/>
  <c r="CO17" i="12"/>
  <c r="CO18" i="12"/>
  <c r="EN17" i="19"/>
  <c r="EP17" i="19" s="1"/>
  <c r="EN18" i="19"/>
  <c r="EP18" i="19" s="1"/>
  <c r="EN19" i="19"/>
  <c r="EP19" i="19" s="1"/>
  <c r="EN20" i="19"/>
  <c r="EP20" i="19" s="1"/>
  <c r="EN21" i="19"/>
  <c r="EP21" i="19" s="1"/>
  <c r="EN22" i="19"/>
  <c r="EP22" i="19" s="1"/>
  <c r="EN23" i="19"/>
  <c r="EP23" i="19" s="1"/>
  <c r="EN24" i="19"/>
  <c r="EN25" i="19"/>
  <c r="EP25" i="19" s="1"/>
  <c r="EN26" i="19"/>
  <c r="EP26" i="19" s="1"/>
  <c r="EN27" i="19"/>
  <c r="EP27" i="19" s="1"/>
  <c r="EN28" i="19"/>
  <c r="EP28" i="19" s="1"/>
  <c r="EN29" i="19"/>
  <c r="EP29" i="19" s="1"/>
  <c r="EN30" i="19"/>
  <c r="EP30" i="19" s="1"/>
  <c r="EN31" i="19"/>
  <c r="EP31" i="19" s="1"/>
  <c r="EN32" i="19"/>
  <c r="EP32" i="19" s="1"/>
  <c r="EN33" i="19"/>
  <c r="EP33" i="19" s="1"/>
  <c r="EN34" i="19"/>
  <c r="EP34" i="19" s="1"/>
  <c r="EN35" i="19"/>
  <c r="EP35" i="19" s="1"/>
  <c r="EN36" i="19"/>
  <c r="EP36" i="19" s="1"/>
  <c r="EN8" i="19"/>
  <c r="EP8" i="19" s="1"/>
  <c r="EN9" i="19"/>
  <c r="EP9" i="19" s="1"/>
  <c r="EN10" i="19"/>
  <c r="EP10" i="19" s="1"/>
  <c r="EN11" i="19"/>
  <c r="EN12" i="19"/>
  <c r="EP12" i="19" s="1"/>
  <c r="EN13" i="19"/>
  <c r="EP13" i="19" s="1"/>
  <c r="EN14" i="19"/>
  <c r="EP14" i="19" s="1"/>
  <c r="EN15" i="19"/>
  <c r="EP15" i="19" s="1"/>
  <c r="EN16" i="19"/>
  <c r="EP16" i="19" s="1"/>
  <c r="EN7" i="19"/>
  <c r="EP7" i="19"/>
  <c r="EP11" i="19"/>
  <c r="EP24" i="19"/>
  <c r="EP6" i="19"/>
  <c r="A6" i="4"/>
  <c r="A6" i="5" s="1"/>
  <c r="A6" i="6" s="1"/>
  <c r="A6" i="7" s="1"/>
  <c r="A2" i="9" s="1"/>
  <c r="B5" i="11" s="1"/>
  <c r="A1" i="12" s="1"/>
  <c r="C3" i="19" s="1" a="1"/>
  <c r="C3" i="19" s="1"/>
  <c r="B3" i="21" s="1"/>
  <c r="C35" i="22"/>
  <c r="G35" i="22"/>
  <c r="EK8" i="19"/>
  <c r="EH8" i="19"/>
  <c r="EE8" i="19"/>
  <c r="EB8" i="19"/>
  <c r="AZ8" i="19"/>
  <c r="AU8" i="19"/>
  <c r="EB9" i="19"/>
  <c r="EB10" i="19"/>
  <c r="EB11" i="19"/>
  <c r="EB12" i="19"/>
  <c r="EB13" i="19"/>
  <c r="EB14" i="19"/>
  <c r="EB15" i="19"/>
  <c r="EB16" i="19"/>
  <c r="EB17" i="19"/>
  <c r="EB18" i="19"/>
  <c r="EB7" i="19"/>
  <c r="EK9" i="19"/>
  <c r="EK10" i="19"/>
  <c r="EK11" i="19"/>
  <c r="EK12" i="19"/>
  <c r="EK13" i="19"/>
  <c r="EK14" i="19"/>
  <c r="EK15" i="19"/>
  <c r="EK16" i="19"/>
  <c r="EK7" i="19"/>
  <c r="EH9" i="19"/>
  <c r="EH10" i="19"/>
  <c r="EH11" i="19"/>
  <c r="EH12" i="19"/>
  <c r="EH13" i="19"/>
  <c r="EH14" i="19"/>
  <c r="EH7" i="19"/>
  <c r="EE9" i="19"/>
  <c r="EE10" i="19"/>
  <c r="EE11" i="19"/>
  <c r="EE12" i="19"/>
  <c r="EE13" i="19"/>
  <c r="EE14" i="19"/>
  <c r="EE7" i="19"/>
  <c r="DW7" i="19"/>
  <c r="DW8" i="19"/>
  <c r="DW9" i="19"/>
  <c r="DW10" i="19"/>
  <c r="DW11" i="19"/>
  <c r="DW12" i="19"/>
  <c r="DW13" i="19"/>
  <c r="DW14" i="19"/>
  <c r="DW15" i="19"/>
  <c r="DW16" i="19"/>
  <c r="DW17" i="19"/>
  <c r="DW18" i="19"/>
  <c r="DW19" i="19"/>
  <c r="DW20" i="19"/>
  <c r="DW21" i="19"/>
  <c r="DW22" i="19"/>
  <c r="DW23" i="19"/>
  <c r="DW24" i="19"/>
  <c r="DW25" i="19"/>
  <c r="DW26" i="19"/>
  <c r="DW27" i="19"/>
  <c r="DW28" i="19"/>
  <c r="DW29" i="19"/>
  <c r="DW30" i="19"/>
  <c r="DW31" i="19"/>
  <c r="DW32" i="19"/>
  <c r="DW33" i="19"/>
  <c r="DW34" i="19"/>
  <c r="DW35" i="19"/>
  <c r="DW36" i="19"/>
  <c r="AZ7" i="19"/>
  <c r="AZ9" i="19"/>
  <c r="AZ10" i="19"/>
  <c r="AZ11" i="19"/>
  <c r="AZ12" i="19"/>
  <c r="AZ13" i="19"/>
  <c r="AZ14" i="19"/>
  <c r="AZ15" i="19"/>
  <c r="AZ16" i="19"/>
  <c r="AZ17" i="19"/>
  <c r="AZ18" i="19"/>
  <c r="AZ19" i="19"/>
  <c r="AZ20" i="19"/>
  <c r="AZ21" i="19"/>
  <c r="AZ22" i="19"/>
  <c r="AZ23" i="19"/>
  <c r="AZ24" i="19"/>
  <c r="AZ25" i="19"/>
  <c r="AZ26" i="19"/>
  <c r="AZ27" i="19"/>
  <c r="AZ28" i="19"/>
  <c r="AZ29" i="19"/>
  <c r="AZ30" i="19"/>
  <c r="AZ31" i="19"/>
  <c r="AZ32" i="19"/>
  <c r="AZ33" i="19"/>
  <c r="AZ34" i="19"/>
  <c r="AZ35" i="19"/>
  <c r="AZ36" i="19"/>
  <c r="AU7" i="19"/>
  <c r="AU9" i="19"/>
  <c r="AU10" i="19"/>
  <c r="AU11" i="19"/>
  <c r="AU12" i="19"/>
  <c r="AU13" i="19"/>
  <c r="AU14" i="19"/>
  <c r="AU15" i="19"/>
  <c r="AU16" i="19"/>
  <c r="AU17" i="19"/>
  <c r="AU18" i="19"/>
  <c r="AU19" i="19"/>
  <c r="AU20" i="19"/>
  <c r="AU21" i="19"/>
  <c r="AU22" i="19"/>
  <c r="AU23" i="19"/>
  <c r="AU24" i="19"/>
  <c r="AU25" i="19"/>
  <c r="AU26" i="19"/>
  <c r="AU27" i="19"/>
  <c r="AU28" i="19"/>
  <c r="AU29" i="19"/>
  <c r="AU30" i="19"/>
  <c r="AU31" i="19"/>
  <c r="AU32" i="19"/>
  <c r="AU33" i="19"/>
  <c r="AU34" i="19"/>
  <c r="AU35" i="19"/>
  <c r="AU36" i="19"/>
  <c r="AP7" i="19"/>
  <c r="AP8" i="19"/>
  <c r="AP9" i="19"/>
  <c r="AP10" i="19"/>
  <c r="AP11" i="19"/>
  <c r="AP12" i="19"/>
  <c r="AP13" i="19"/>
  <c r="AP14" i="19"/>
  <c r="AP15" i="19"/>
  <c r="AP16" i="19"/>
  <c r="AP17" i="19"/>
  <c r="AP18" i="19"/>
  <c r="AP19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P35" i="19"/>
  <c r="AP36" i="19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BJ14" i="19"/>
  <c r="BL14" i="19" s="1"/>
  <c r="BJ15" i="19"/>
  <c r="CQ5" i="12" l="1"/>
  <c r="H9" i="1"/>
  <c r="H8" i="1"/>
  <c r="EM14" i="19"/>
  <c r="EM15" i="19"/>
  <c r="EM16" i="19"/>
  <c r="EK17" i="19"/>
  <c r="EM17" i="19" s="1"/>
  <c r="EK18" i="19"/>
  <c r="EM18" i="19" s="1"/>
  <c r="EK19" i="19"/>
  <c r="EM19" i="19" s="1"/>
  <c r="EK20" i="19"/>
  <c r="EM20" i="19" s="1"/>
  <c r="EK21" i="19"/>
  <c r="EM21" i="19" s="1"/>
  <c r="EK22" i="19"/>
  <c r="EM22" i="19" s="1"/>
  <c r="EK23" i="19"/>
  <c r="EM23" i="19" s="1"/>
  <c r="EK24" i="19"/>
  <c r="EM24" i="19" s="1"/>
  <c r="EK25" i="19"/>
  <c r="EM25" i="19" s="1"/>
  <c r="EK26" i="19"/>
  <c r="EM26" i="19" s="1"/>
  <c r="EK27" i="19"/>
  <c r="EM27" i="19" s="1"/>
  <c r="EK28" i="19"/>
  <c r="EM28" i="19" s="1"/>
  <c r="EK29" i="19"/>
  <c r="EM29" i="19" s="1"/>
  <c r="EK30" i="19"/>
  <c r="EM30" i="19" s="1"/>
  <c r="EK31" i="19"/>
  <c r="EM31" i="19" s="1"/>
  <c r="EK32" i="19"/>
  <c r="EM32" i="19" s="1"/>
  <c r="EK33" i="19"/>
  <c r="EM33" i="19" s="1"/>
  <c r="EK34" i="19"/>
  <c r="EM34" i="19" s="1"/>
  <c r="EK35" i="19"/>
  <c r="EM35" i="19" s="1"/>
  <c r="EK36" i="19"/>
  <c r="EM36" i="19" s="1"/>
  <c r="EM13" i="19"/>
  <c r="EM12" i="19"/>
  <c r="EJ13" i="19"/>
  <c r="EJ14" i="19"/>
  <c r="EH15" i="19"/>
  <c r="EJ15" i="19" s="1"/>
  <c r="EH16" i="19"/>
  <c r="EJ16" i="19" s="1"/>
  <c r="EH17" i="19"/>
  <c r="EJ17" i="19" s="1"/>
  <c r="EH18" i="19"/>
  <c r="EJ18" i="19" s="1"/>
  <c r="EH19" i="19"/>
  <c r="EJ19" i="19" s="1"/>
  <c r="EH20" i="19"/>
  <c r="EJ20" i="19" s="1"/>
  <c r="EH21" i="19"/>
  <c r="EJ21" i="19" s="1"/>
  <c r="EH22" i="19"/>
  <c r="EJ22" i="19" s="1"/>
  <c r="EH23" i="19"/>
  <c r="EJ23" i="19" s="1"/>
  <c r="EH24" i="19"/>
  <c r="EJ24" i="19" s="1"/>
  <c r="EH25" i="19"/>
  <c r="EJ25" i="19" s="1"/>
  <c r="EH26" i="19"/>
  <c r="EJ26" i="19" s="1"/>
  <c r="EH27" i="19"/>
  <c r="EJ27" i="19" s="1"/>
  <c r="EH28" i="19"/>
  <c r="EJ28" i="19" s="1"/>
  <c r="EH29" i="19"/>
  <c r="EJ29" i="19" s="1"/>
  <c r="EH30" i="19"/>
  <c r="EJ30" i="19" s="1"/>
  <c r="EH31" i="19"/>
  <c r="EJ31" i="19" s="1"/>
  <c r="EH32" i="19"/>
  <c r="EJ32" i="19" s="1"/>
  <c r="EH33" i="19"/>
  <c r="EJ33" i="19" s="1"/>
  <c r="EH34" i="19"/>
  <c r="EJ34" i="19" s="1"/>
  <c r="EH35" i="19"/>
  <c r="EJ35" i="19" s="1"/>
  <c r="EH36" i="19"/>
  <c r="EJ36" i="19" s="1"/>
  <c r="EJ12" i="19"/>
  <c r="EG13" i="19"/>
  <c r="EG14" i="19"/>
  <c r="EE15" i="19"/>
  <c r="EG15" i="19" s="1"/>
  <c r="EE16" i="19"/>
  <c r="EG16" i="19" s="1"/>
  <c r="EE17" i="19"/>
  <c r="EG17" i="19" s="1"/>
  <c r="EE18" i="19"/>
  <c r="EG18" i="19" s="1"/>
  <c r="EE19" i="19"/>
  <c r="EG19" i="19" s="1"/>
  <c r="EE20" i="19"/>
  <c r="EG20" i="19" s="1"/>
  <c r="EE21" i="19"/>
  <c r="EG21" i="19" s="1"/>
  <c r="EE22" i="19"/>
  <c r="EG22" i="19" s="1"/>
  <c r="EE23" i="19"/>
  <c r="EG23" i="19" s="1"/>
  <c r="EE24" i="19"/>
  <c r="EG24" i="19" s="1"/>
  <c r="EE25" i="19"/>
  <c r="EG25" i="19" s="1"/>
  <c r="EE26" i="19"/>
  <c r="EG26" i="19" s="1"/>
  <c r="EE27" i="19"/>
  <c r="EG27" i="19" s="1"/>
  <c r="EE28" i="19"/>
  <c r="EG28" i="19" s="1"/>
  <c r="EE29" i="19"/>
  <c r="EG29" i="19" s="1"/>
  <c r="EE30" i="19"/>
  <c r="EG30" i="19" s="1"/>
  <c r="EE31" i="19"/>
  <c r="EG31" i="19" s="1"/>
  <c r="EE32" i="19"/>
  <c r="EG32" i="19" s="1"/>
  <c r="EE33" i="19"/>
  <c r="EG33" i="19" s="1"/>
  <c r="EE34" i="19"/>
  <c r="EG34" i="19" s="1"/>
  <c r="EE35" i="19"/>
  <c r="EG35" i="19" s="1"/>
  <c r="EE36" i="19"/>
  <c r="EG36" i="19" s="1"/>
  <c r="EG12" i="19"/>
  <c r="ED13" i="19"/>
  <c r="ED14" i="19"/>
  <c r="ED15" i="19"/>
  <c r="ED16" i="19"/>
  <c r="ED17" i="19"/>
  <c r="ED18" i="19"/>
  <c r="EB19" i="19"/>
  <c r="ED19" i="19" s="1"/>
  <c r="EB20" i="19"/>
  <c r="ED20" i="19" s="1"/>
  <c r="EB21" i="19"/>
  <c r="ED21" i="19" s="1"/>
  <c r="EB22" i="19"/>
  <c r="ED22" i="19" s="1"/>
  <c r="EB23" i="19"/>
  <c r="ED23" i="19" s="1"/>
  <c r="EB24" i="19"/>
  <c r="ED24" i="19" s="1"/>
  <c r="EB25" i="19"/>
  <c r="ED25" i="19" s="1"/>
  <c r="EB26" i="19"/>
  <c r="ED26" i="19" s="1"/>
  <c r="EB27" i="19"/>
  <c r="ED27" i="19" s="1"/>
  <c r="EB28" i="19"/>
  <c r="ED28" i="19" s="1"/>
  <c r="EB29" i="19"/>
  <c r="ED29" i="19" s="1"/>
  <c r="EB30" i="19"/>
  <c r="ED30" i="19" s="1"/>
  <c r="EB31" i="19"/>
  <c r="ED31" i="19" s="1"/>
  <c r="EB32" i="19"/>
  <c r="ED32" i="19" s="1"/>
  <c r="EB33" i="19"/>
  <c r="ED33" i="19" s="1"/>
  <c r="EB34" i="19"/>
  <c r="ED34" i="19" s="1"/>
  <c r="EB35" i="19"/>
  <c r="ED35" i="19" s="1"/>
  <c r="EB36" i="19"/>
  <c r="ED36" i="19" s="1"/>
  <c r="ED12" i="19"/>
  <c r="EM7" i="19"/>
  <c r="EM8" i="19"/>
  <c r="EM9" i="19"/>
  <c r="EM10" i="19"/>
  <c r="EM11" i="19"/>
  <c r="EM6" i="19"/>
  <c r="EJ7" i="19"/>
  <c r="EJ8" i="19"/>
  <c r="EJ9" i="19"/>
  <c r="EJ10" i="19"/>
  <c r="EJ11" i="19"/>
  <c r="EJ6" i="19"/>
  <c r="EG7" i="19"/>
  <c r="EG8" i="19"/>
  <c r="EG9" i="19"/>
  <c r="EG10" i="19"/>
  <c r="EG11" i="19"/>
  <c r="EG6" i="19"/>
  <c r="ED7" i="19"/>
  <c r="ED8" i="19"/>
  <c r="ED9" i="19"/>
  <c r="ED10" i="19"/>
  <c r="ED11" i="19"/>
  <c r="ED6" i="19"/>
  <c r="DY6" i="19"/>
  <c r="EW6" i="12"/>
  <c r="CX13" i="19"/>
  <c r="CX14" i="19"/>
  <c r="H3" i="1"/>
  <c r="J3" i="1" s="1"/>
  <c r="R8" i="12"/>
  <c r="DZ5" i="12" l="1"/>
  <c r="EE5" i="12"/>
  <c r="EJ5" i="12"/>
  <c r="EO5" i="12"/>
  <c r="ET5" i="12"/>
  <c r="EY5" i="12"/>
  <c r="FD5" i="12"/>
  <c r="DU5" i="12"/>
  <c r="DP5" i="12"/>
  <c r="DK5" i="12"/>
  <c r="DF5" i="12"/>
  <c r="DA5" i="12"/>
  <c r="CV5" i="12"/>
  <c r="CL5" i="12"/>
  <c r="AN5" i="12"/>
  <c r="AI5" i="12"/>
  <c r="AD5" i="12"/>
  <c r="Y5" i="12"/>
  <c r="T5" i="12"/>
  <c r="O5" i="12"/>
  <c r="J5" i="12"/>
  <c r="E5" i="12"/>
  <c r="S6" i="19"/>
  <c r="N6" i="19"/>
  <c r="D6" i="19"/>
  <c r="I6" i="19"/>
  <c r="D9" i="11"/>
  <c r="H5" i="9"/>
  <c r="D5" i="9"/>
  <c r="D10" i="7"/>
  <c r="D10" i="6"/>
  <c r="D10" i="5"/>
  <c r="D10" i="4"/>
  <c r="D10" i="3"/>
  <c r="V6" i="19" l="1"/>
  <c r="FR5" i="12"/>
  <c r="FP5" i="12"/>
  <c r="FN5" i="12"/>
  <c r="FL5" i="12"/>
  <c r="FJ5" i="12"/>
  <c r="FH5" i="12"/>
  <c r="C4" i="22"/>
  <c r="FB7" i="12" l="1"/>
  <c r="FD7" i="12" s="1"/>
  <c r="FB8" i="12"/>
  <c r="FD8" i="12" s="1"/>
  <c r="FB9" i="12"/>
  <c r="FD9" i="12" s="1"/>
  <c r="FB10" i="12"/>
  <c r="FD10" i="12" s="1"/>
  <c r="FB11" i="12"/>
  <c r="FD11" i="12" s="1"/>
  <c r="FB12" i="12"/>
  <c r="FD12" i="12" s="1"/>
  <c r="FB13" i="12"/>
  <c r="FD13" i="12" s="1"/>
  <c r="FB14" i="12"/>
  <c r="FD14" i="12" s="1"/>
  <c r="FB15" i="12"/>
  <c r="FD15" i="12" s="1"/>
  <c r="FB16" i="12"/>
  <c r="FD16" i="12" s="1"/>
  <c r="FB17" i="12"/>
  <c r="FD17" i="12" s="1"/>
  <c r="FB18" i="12"/>
  <c r="FD18" i="12" s="1"/>
  <c r="FB19" i="12"/>
  <c r="FD19" i="12" s="1"/>
  <c r="FB20" i="12"/>
  <c r="FD20" i="12" s="1"/>
  <c r="FB21" i="12"/>
  <c r="FD21" i="12" s="1"/>
  <c r="FB22" i="12"/>
  <c r="FD22" i="12" s="1"/>
  <c r="FB23" i="12"/>
  <c r="FD23" i="12" s="1"/>
  <c r="FB24" i="12"/>
  <c r="FD24" i="12" s="1"/>
  <c r="FB25" i="12"/>
  <c r="FD25" i="12" s="1"/>
  <c r="FB26" i="12"/>
  <c r="FD26" i="12" s="1"/>
  <c r="FB27" i="12"/>
  <c r="FD27" i="12" s="1"/>
  <c r="FB28" i="12"/>
  <c r="FD28" i="12" s="1"/>
  <c r="FB29" i="12"/>
  <c r="FD29" i="12" s="1"/>
  <c r="FB30" i="12"/>
  <c r="FD30" i="12" s="1"/>
  <c r="FB31" i="12"/>
  <c r="FD31" i="12" s="1"/>
  <c r="FB32" i="12"/>
  <c r="FD32" i="12" s="1"/>
  <c r="FB33" i="12"/>
  <c r="FD33" i="12" s="1"/>
  <c r="FB34" i="12"/>
  <c r="FD34" i="12" s="1"/>
  <c r="FB35" i="12"/>
  <c r="FD35" i="12" s="1"/>
  <c r="FB6" i="12"/>
  <c r="FD6" i="12" s="1"/>
  <c r="EW7" i="12"/>
  <c r="EY7" i="12" s="1"/>
  <c r="EW8" i="12"/>
  <c r="EY8" i="12" s="1"/>
  <c r="EW9" i="12"/>
  <c r="EY9" i="12" s="1"/>
  <c r="EW10" i="12"/>
  <c r="EY10" i="12" s="1"/>
  <c r="EW11" i="12"/>
  <c r="EY11" i="12" s="1"/>
  <c r="EW12" i="12"/>
  <c r="EY12" i="12" s="1"/>
  <c r="EW13" i="12"/>
  <c r="EY13" i="12" s="1"/>
  <c r="EW14" i="12"/>
  <c r="EY14" i="12" s="1"/>
  <c r="EW15" i="12"/>
  <c r="EY15" i="12" s="1"/>
  <c r="EW16" i="12"/>
  <c r="EY16" i="12" s="1"/>
  <c r="FR16" i="12" s="1"/>
  <c r="EW17" i="12"/>
  <c r="EY17" i="12" s="1"/>
  <c r="EW18" i="12"/>
  <c r="EY18" i="12" s="1"/>
  <c r="EW19" i="12"/>
  <c r="EY19" i="12" s="1"/>
  <c r="EW20" i="12"/>
  <c r="EY20" i="12" s="1"/>
  <c r="EW21" i="12"/>
  <c r="EY21" i="12" s="1"/>
  <c r="EW22" i="12"/>
  <c r="EY22" i="12" s="1"/>
  <c r="EW23" i="12"/>
  <c r="EY23" i="12" s="1"/>
  <c r="EW24" i="12"/>
  <c r="EY24" i="12" s="1"/>
  <c r="EW25" i="12"/>
  <c r="EY25" i="12" s="1"/>
  <c r="EW26" i="12"/>
  <c r="EY26" i="12" s="1"/>
  <c r="EW27" i="12"/>
  <c r="EY27" i="12" s="1"/>
  <c r="EW28" i="12"/>
  <c r="EY28" i="12" s="1"/>
  <c r="EW29" i="12"/>
  <c r="EY29" i="12" s="1"/>
  <c r="EW30" i="12"/>
  <c r="EY30" i="12" s="1"/>
  <c r="EW31" i="12"/>
  <c r="EY31" i="12" s="1"/>
  <c r="EW32" i="12"/>
  <c r="EY32" i="12" s="1"/>
  <c r="EW33" i="12"/>
  <c r="EY33" i="12" s="1"/>
  <c r="EW34" i="12"/>
  <c r="EY34" i="12" s="1"/>
  <c r="EW35" i="12"/>
  <c r="EY35" i="12" s="1"/>
  <c r="EY6" i="12"/>
  <c r="FR6" i="12" s="1"/>
  <c r="ER7" i="12"/>
  <c r="ET7" i="12" s="1"/>
  <c r="ER8" i="12"/>
  <c r="ET8" i="12" s="1"/>
  <c r="ER9" i="12"/>
  <c r="ET9" i="12" s="1"/>
  <c r="ER10" i="12"/>
  <c r="ET10" i="12" s="1"/>
  <c r="ER11" i="12"/>
  <c r="ET11" i="12" s="1"/>
  <c r="ER12" i="12"/>
  <c r="ET12" i="12" s="1"/>
  <c r="ER13" i="12"/>
  <c r="ET13" i="12" s="1"/>
  <c r="ER14" i="12"/>
  <c r="ET14" i="12" s="1"/>
  <c r="ER15" i="12"/>
  <c r="ET15" i="12" s="1"/>
  <c r="ER16" i="12"/>
  <c r="ET16" i="12" s="1"/>
  <c r="ER17" i="12"/>
  <c r="ET17" i="12" s="1"/>
  <c r="ER18" i="12"/>
  <c r="ET18" i="12" s="1"/>
  <c r="ER19" i="12"/>
  <c r="ET19" i="12" s="1"/>
  <c r="ER20" i="12"/>
  <c r="ET20" i="12" s="1"/>
  <c r="ER21" i="12"/>
  <c r="ET21" i="12" s="1"/>
  <c r="ER22" i="12"/>
  <c r="ET22" i="12" s="1"/>
  <c r="ER23" i="12"/>
  <c r="ET23" i="12" s="1"/>
  <c r="ER24" i="12"/>
  <c r="ET24" i="12" s="1"/>
  <c r="ER25" i="12"/>
  <c r="ET25" i="12" s="1"/>
  <c r="ER26" i="12"/>
  <c r="ET26" i="12" s="1"/>
  <c r="ER27" i="12"/>
  <c r="ET27" i="12" s="1"/>
  <c r="ER28" i="12"/>
  <c r="ET28" i="12" s="1"/>
  <c r="ER29" i="12"/>
  <c r="ET29" i="12" s="1"/>
  <c r="ER30" i="12"/>
  <c r="ET30" i="12" s="1"/>
  <c r="ER31" i="12"/>
  <c r="ET31" i="12" s="1"/>
  <c r="ER32" i="12"/>
  <c r="ET32" i="12" s="1"/>
  <c r="ER33" i="12"/>
  <c r="ET33" i="12" s="1"/>
  <c r="ER34" i="12"/>
  <c r="ET34" i="12" s="1"/>
  <c r="ER35" i="12"/>
  <c r="ET35" i="12" s="1"/>
  <c r="ER6" i="12"/>
  <c r="ET6" i="12" s="1"/>
  <c r="EM7" i="12"/>
  <c r="EO7" i="12" s="1"/>
  <c r="EM8" i="12"/>
  <c r="EO8" i="12" s="1"/>
  <c r="EM9" i="12"/>
  <c r="EO9" i="12" s="1"/>
  <c r="EM10" i="12"/>
  <c r="EO10" i="12" s="1"/>
  <c r="EM11" i="12"/>
  <c r="EO11" i="12" s="1"/>
  <c r="EM12" i="12"/>
  <c r="EO12" i="12" s="1"/>
  <c r="EM13" i="12"/>
  <c r="EO13" i="12" s="1"/>
  <c r="EM14" i="12"/>
  <c r="EO14" i="12" s="1"/>
  <c r="EM15" i="12"/>
  <c r="EO15" i="12" s="1"/>
  <c r="EM16" i="12"/>
  <c r="EO16" i="12" s="1"/>
  <c r="EM17" i="12"/>
  <c r="EO17" i="12" s="1"/>
  <c r="EM18" i="12"/>
  <c r="EO18" i="12" s="1"/>
  <c r="EM19" i="12"/>
  <c r="EO19" i="12" s="1"/>
  <c r="EM20" i="12"/>
  <c r="EO20" i="12" s="1"/>
  <c r="EM21" i="12"/>
  <c r="EO21" i="12" s="1"/>
  <c r="EM22" i="12"/>
  <c r="EO22" i="12" s="1"/>
  <c r="EM23" i="12"/>
  <c r="EO23" i="12" s="1"/>
  <c r="EM24" i="12"/>
  <c r="EO24" i="12" s="1"/>
  <c r="EM25" i="12"/>
  <c r="EO25" i="12" s="1"/>
  <c r="EM26" i="12"/>
  <c r="EO26" i="12" s="1"/>
  <c r="EM27" i="12"/>
  <c r="EO27" i="12" s="1"/>
  <c r="EM28" i="12"/>
  <c r="EO28" i="12" s="1"/>
  <c r="EM29" i="12"/>
  <c r="EO29" i="12" s="1"/>
  <c r="EM30" i="12"/>
  <c r="EO30" i="12" s="1"/>
  <c r="EM31" i="12"/>
  <c r="EO31" i="12" s="1"/>
  <c r="EM32" i="12"/>
  <c r="EO32" i="12" s="1"/>
  <c r="EM33" i="12"/>
  <c r="EO33" i="12" s="1"/>
  <c r="EM34" i="12"/>
  <c r="EO34" i="12" s="1"/>
  <c r="EM35" i="12"/>
  <c r="EO35" i="12" s="1"/>
  <c r="EM6" i="12"/>
  <c r="EO6" i="12" s="1"/>
  <c r="EH7" i="12"/>
  <c r="EJ7" i="12" s="1"/>
  <c r="EH8" i="12"/>
  <c r="EJ8" i="12" s="1"/>
  <c r="EH9" i="12"/>
  <c r="EJ9" i="12" s="1"/>
  <c r="EH10" i="12"/>
  <c r="EJ10" i="12" s="1"/>
  <c r="EH11" i="12"/>
  <c r="EJ11" i="12" s="1"/>
  <c r="EH12" i="12"/>
  <c r="EJ12" i="12" s="1"/>
  <c r="EH13" i="12"/>
  <c r="EJ13" i="12" s="1"/>
  <c r="EH14" i="12"/>
  <c r="EJ14" i="12" s="1"/>
  <c r="EH15" i="12"/>
  <c r="EJ15" i="12" s="1"/>
  <c r="EH16" i="12"/>
  <c r="EJ16" i="12" s="1"/>
  <c r="EH17" i="12"/>
  <c r="EJ17" i="12" s="1"/>
  <c r="EH18" i="12"/>
  <c r="EJ18" i="12" s="1"/>
  <c r="EH19" i="12"/>
  <c r="EJ19" i="12" s="1"/>
  <c r="EH20" i="12"/>
  <c r="EJ20" i="12" s="1"/>
  <c r="EH21" i="12"/>
  <c r="EJ21" i="12" s="1"/>
  <c r="EH22" i="12"/>
  <c r="EJ22" i="12" s="1"/>
  <c r="EH23" i="12"/>
  <c r="EJ23" i="12" s="1"/>
  <c r="EH24" i="12"/>
  <c r="EJ24" i="12" s="1"/>
  <c r="EH25" i="12"/>
  <c r="EJ25" i="12" s="1"/>
  <c r="EH26" i="12"/>
  <c r="EJ26" i="12" s="1"/>
  <c r="EH27" i="12"/>
  <c r="EJ27" i="12" s="1"/>
  <c r="EH28" i="12"/>
  <c r="EJ28" i="12" s="1"/>
  <c r="EH29" i="12"/>
  <c r="EJ29" i="12" s="1"/>
  <c r="EH30" i="12"/>
  <c r="EJ30" i="12" s="1"/>
  <c r="EH31" i="12"/>
  <c r="EJ31" i="12" s="1"/>
  <c r="EH32" i="12"/>
  <c r="EJ32" i="12" s="1"/>
  <c r="EH33" i="12"/>
  <c r="EJ33" i="12" s="1"/>
  <c r="EH34" i="12"/>
  <c r="EJ34" i="12" s="1"/>
  <c r="EH35" i="12"/>
  <c r="EJ35" i="12" s="1"/>
  <c r="EH6" i="12"/>
  <c r="EJ6" i="12" s="1"/>
  <c r="EC7" i="12"/>
  <c r="EE7" i="12" s="1"/>
  <c r="EC8" i="12"/>
  <c r="EE8" i="12" s="1"/>
  <c r="EC9" i="12"/>
  <c r="EE9" i="12" s="1"/>
  <c r="EC10" i="12"/>
  <c r="EE10" i="12" s="1"/>
  <c r="EC11" i="12"/>
  <c r="EE11" i="12" s="1"/>
  <c r="EC12" i="12"/>
  <c r="EE12" i="12" s="1"/>
  <c r="EC13" i="12"/>
  <c r="EE13" i="12" s="1"/>
  <c r="EC14" i="12"/>
  <c r="EE14" i="12" s="1"/>
  <c r="EC15" i="12"/>
  <c r="EE15" i="12" s="1"/>
  <c r="EC16" i="12"/>
  <c r="EE16" i="12" s="1"/>
  <c r="EC17" i="12"/>
  <c r="EE17" i="12" s="1"/>
  <c r="EC18" i="12"/>
  <c r="EE18" i="12" s="1"/>
  <c r="EC19" i="12"/>
  <c r="EE19" i="12" s="1"/>
  <c r="EC20" i="12"/>
  <c r="EE20" i="12" s="1"/>
  <c r="EC21" i="12"/>
  <c r="EE21" i="12" s="1"/>
  <c r="EC22" i="12"/>
  <c r="EE22" i="12" s="1"/>
  <c r="EC23" i="12"/>
  <c r="EE23" i="12" s="1"/>
  <c r="EC24" i="12"/>
  <c r="EE24" i="12" s="1"/>
  <c r="EC25" i="12"/>
  <c r="EE25" i="12" s="1"/>
  <c r="EC26" i="12"/>
  <c r="EE26" i="12" s="1"/>
  <c r="EC27" i="12"/>
  <c r="EE27" i="12" s="1"/>
  <c r="EC28" i="12"/>
  <c r="EE28" i="12" s="1"/>
  <c r="EC29" i="12"/>
  <c r="EE29" i="12" s="1"/>
  <c r="EC30" i="12"/>
  <c r="EE30" i="12" s="1"/>
  <c r="EC31" i="12"/>
  <c r="EE31" i="12" s="1"/>
  <c r="EC32" i="12"/>
  <c r="EE32" i="12" s="1"/>
  <c r="EC33" i="12"/>
  <c r="EE33" i="12" s="1"/>
  <c r="EC34" i="12"/>
  <c r="EE34" i="12" s="1"/>
  <c r="EC35" i="12"/>
  <c r="EE35" i="12" s="1"/>
  <c r="EC6" i="12"/>
  <c r="EE6" i="12" s="1"/>
  <c r="DX7" i="12"/>
  <c r="DZ7" i="12" s="1"/>
  <c r="DX8" i="12"/>
  <c r="DZ8" i="12" s="1"/>
  <c r="DX9" i="12"/>
  <c r="DZ9" i="12" s="1"/>
  <c r="DX10" i="12"/>
  <c r="DZ10" i="12" s="1"/>
  <c r="DX11" i="12"/>
  <c r="DZ11" i="12" s="1"/>
  <c r="DX12" i="12"/>
  <c r="DZ12" i="12" s="1"/>
  <c r="DX13" i="12"/>
  <c r="DZ13" i="12" s="1"/>
  <c r="DX14" i="12"/>
  <c r="DZ14" i="12" s="1"/>
  <c r="DX15" i="12"/>
  <c r="DZ15" i="12" s="1"/>
  <c r="DX16" i="12"/>
  <c r="DZ16" i="12" s="1"/>
  <c r="DX17" i="12"/>
  <c r="DZ17" i="12" s="1"/>
  <c r="DX18" i="12"/>
  <c r="DZ18" i="12" s="1"/>
  <c r="DX19" i="12"/>
  <c r="DZ19" i="12" s="1"/>
  <c r="DX20" i="12"/>
  <c r="DZ20" i="12" s="1"/>
  <c r="DX21" i="12"/>
  <c r="DZ21" i="12" s="1"/>
  <c r="DX22" i="12"/>
  <c r="DZ22" i="12" s="1"/>
  <c r="DX23" i="12"/>
  <c r="DZ23" i="12" s="1"/>
  <c r="DX24" i="12"/>
  <c r="DZ24" i="12" s="1"/>
  <c r="DX25" i="12"/>
  <c r="DZ25" i="12" s="1"/>
  <c r="DX26" i="12"/>
  <c r="DZ26" i="12" s="1"/>
  <c r="DX27" i="12"/>
  <c r="DZ27" i="12" s="1"/>
  <c r="DX28" i="12"/>
  <c r="DZ28" i="12" s="1"/>
  <c r="DX29" i="12"/>
  <c r="DZ29" i="12" s="1"/>
  <c r="DX30" i="12"/>
  <c r="DZ30" i="12" s="1"/>
  <c r="DX31" i="12"/>
  <c r="DZ31" i="12" s="1"/>
  <c r="DX32" i="12"/>
  <c r="DZ32" i="12" s="1"/>
  <c r="DX33" i="12"/>
  <c r="DZ33" i="12" s="1"/>
  <c r="DX34" i="12"/>
  <c r="DZ34" i="12" s="1"/>
  <c r="DX35" i="12"/>
  <c r="DZ35" i="12" s="1"/>
  <c r="DX6" i="12"/>
  <c r="DZ6" i="12" s="1"/>
  <c r="DS7" i="12"/>
  <c r="DU7" i="12" s="1"/>
  <c r="DS8" i="12"/>
  <c r="DU8" i="12" s="1"/>
  <c r="DS9" i="12"/>
  <c r="DU9" i="12" s="1"/>
  <c r="DS10" i="12"/>
  <c r="DU10" i="12" s="1"/>
  <c r="DS11" i="12"/>
  <c r="DU11" i="12" s="1"/>
  <c r="DS12" i="12"/>
  <c r="DU12" i="12" s="1"/>
  <c r="DS13" i="12"/>
  <c r="DU13" i="12" s="1"/>
  <c r="DS14" i="12"/>
  <c r="DU14" i="12" s="1"/>
  <c r="DS15" i="12"/>
  <c r="DU15" i="12" s="1"/>
  <c r="DS16" i="12"/>
  <c r="DU16" i="12" s="1"/>
  <c r="DS17" i="12"/>
  <c r="DU17" i="12" s="1"/>
  <c r="DS18" i="12"/>
  <c r="DU18" i="12" s="1"/>
  <c r="DS19" i="12"/>
  <c r="DU19" i="12" s="1"/>
  <c r="DS20" i="12"/>
  <c r="DU20" i="12" s="1"/>
  <c r="DS21" i="12"/>
  <c r="DU21" i="12" s="1"/>
  <c r="DS22" i="12"/>
  <c r="DU22" i="12" s="1"/>
  <c r="DS23" i="12"/>
  <c r="DU23" i="12" s="1"/>
  <c r="DS24" i="12"/>
  <c r="DU24" i="12" s="1"/>
  <c r="DS25" i="12"/>
  <c r="DU25" i="12" s="1"/>
  <c r="DS26" i="12"/>
  <c r="DU26" i="12" s="1"/>
  <c r="DS27" i="12"/>
  <c r="DU27" i="12" s="1"/>
  <c r="DS28" i="12"/>
  <c r="DU28" i="12" s="1"/>
  <c r="DS29" i="12"/>
  <c r="DU29" i="12" s="1"/>
  <c r="DS30" i="12"/>
  <c r="DU30" i="12" s="1"/>
  <c r="DS31" i="12"/>
  <c r="DU31" i="12" s="1"/>
  <c r="DS32" i="12"/>
  <c r="DU32" i="12" s="1"/>
  <c r="DS33" i="12"/>
  <c r="DU33" i="12" s="1"/>
  <c r="DS34" i="12"/>
  <c r="DU34" i="12" s="1"/>
  <c r="DS35" i="12"/>
  <c r="DU35" i="12" s="1"/>
  <c r="DS6" i="12"/>
  <c r="DU6" i="12" s="1"/>
  <c r="DN7" i="12"/>
  <c r="DP7" i="12" s="1"/>
  <c r="DN8" i="12"/>
  <c r="DP8" i="12" s="1"/>
  <c r="DN9" i="12"/>
  <c r="DP9" i="12" s="1"/>
  <c r="DN10" i="12"/>
  <c r="DP10" i="12" s="1"/>
  <c r="DN11" i="12"/>
  <c r="DP11" i="12" s="1"/>
  <c r="DN12" i="12"/>
  <c r="DP12" i="12" s="1"/>
  <c r="DN13" i="12"/>
  <c r="DP13" i="12" s="1"/>
  <c r="DN14" i="12"/>
  <c r="DP14" i="12" s="1"/>
  <c r="DN15" i="12"/>
  <c r="DP15" i="12" s="1"/>
  <c r="DP16" i="12"/>
  <c r="DP17" i="12"/>
  <c r="DP18" i="12"/>
  <c r="DN19" i="12"/>
  <c r="DP19" i="12" s="1"/>
  <c r="DN20" i="12"/>
  <c r="DP20" i="12" s="1"/>
  <c r="DN21" i="12"/>
  <c r="DP21" i="12" s="1"/>
  <c r="DN22" i="12"/>
  <c r="DP22" i="12" s="1"/>
  <c r="DN23" i="12"/>
  <c r="DP23" i="12" s="1"/>
  <c r="DN24" i="12"/>
  <c r="DP24" i="12" s="1"/>
  <c r="DN25" i="12"/>
  <c r="DP25" i="12" s="1"/>
  <c r="DN26" i="12"/>
  <c r="DP26" i="12" s="1"/>
  <c r="DN27" i="12"/>
  <c r="DP27" i="12" s="1"/>
  <c r="DN28" i="12"/>
  <c r="DP28" i="12" s="1"/>
  <c r="DN29" i="12"/>
  <c r="DP29" i="12" s="1"/>
  <c r="DN30" i="12"/>
  <c r="DP30" i="12" s="1"/>
  <c r="DN31" i="12"/>
  <c r="DP31" i="12" s="1"/>
  <c r="DN32" i="12"/>
  <c r="DP32" i="12" s="1"/>
  <c r="DN33" i="12"/>
  <c r="DP33" i="12" s="1"/>
  <c r="DN34" i="12"/>
  <c r="DP34" i="12" s="1"/>
  <c r="DN35" i="12"/>
  <c r="DP35" i="12" s="1"/>
  <c r="DN6" i="12"/>
  <c r="DP6" i="12" s="1"/>
  <c r="DI7" i="12"/>
  <c r="DK7" i="12" s="1"/>
  <c r="DI8" i="12"/>
  <c r="DK8" i="12" s="1"/>
  <c r="DI9" i="12"/>
  <c r="DK9" i="12" s="1"/>
  <c r="DI10" i="12"/>
  <c r="DK10" i="12" s="1"/>
  <c r="DI11" i="12"/>
  <c r="DK11" i="12" s="1"/>
  <c r="DI12" i="12"/>
  <c r="DK12" i="12" s="1"/>
  <c r="DI13" i="12"/>
  <c r="DK13" i="12" s="1"/>
  <c r="DI14" i="12"/>
  <c r="DK14" i="12" s="1"/>
  <c r="DI15" i="12"/>
  <c r="DK15" i="12" s="1"/>
  <c r="DK16" i="12"/>
  <c r="DK17" i="12"/>
  <c r="DK18" i="12"/>
  <c r="DK19" i="12"/>
  <c r="DI20" i="12"/>
  <c r="DK20" i="12" s="1"/>
  <c r="DI21" i="12"/>
  <c r="DK21" i="12" s="1"/>
  <c r="DI22" i="12"/>
  <c r="DK22" i="12" s="1"/>
  <c r="DI23" i="12"/>
  <c r="DK23" i="12" s="1"/>
  <c r="DI24" i="12"/>
  <c r="DK24" i="12" s="1"/>
  <c r="DI25" i="12"/>
  <c r="DK25" i="12" s="1"/>
  <c r="DI26" i="12"/>
  <c r="DK26" i="12" s="1"/>
  <c r="DI27" i="12"/>
  <c r="DK27" i="12" s="1"/>
  <c r="DI28" i="12"/>
  <c r="DK28" i="12" s="1"/>
  <c r="DI29" i="12"/>
  <c r="DK29" i="12" s="1"/>
  <c r="DI30" i="12"/>
  <c r="DK30" i="12" s="1"/>
  <c r="DI31" i="12"/>
  <c r="DK31" i="12" s="1"/>
  <c r="DI32" i="12"/>
  <c r="DK32" i="12" s="1"/>
  <c r="DI33" i="12"/>
  <c r="DK33" i="12" s="1"/>
  <c r="DI34" i="12"/>
  <c r="DK34" i="12" s="1"/>
  <c r="DI35" i="12"/>
  <c r="DK35" i="12" s="1"/>
  <c r="DI6" i="12"/>
  <c r="DK6" i="12" s="1"/>
  <c r="DD7" i="12"/>
  <c r="DF7" i="12" s="1"/>
  <c r="DD8" i="12"/>
  <c r="DF8" i="12" s="1"/>
  <c r="DD9" i="12"/>
  <c r="DF9" i="12" s="1"/>
  <c r="DD10" i="12"/>
  <c r="DF10" i="12" s="1"/>
  <c r="DD11" i="12"/>
  <c r="DF11" i="12" s="1"/>
  <c r="DD12" i="12"/>
  <c r="DF12" i="12" s="1"/>
  <c r="DD13" i="12"/>
  <c r="DF13" i="12" s="1"/>
  <c r="DD14" i="12"/>
  <c r="DF14" i="12" s="1"/>
  <c r="DD15" i="12"/>
  <c r="DF15" i="12" s="1"/>
  <c r="DF16" i="12"/>
  <c r="DF17" i="12"/>
  <c r="DF18" i="12"/>
  <c r="DF19" i="12"/>
  <c r="DD20" i="12"/>
  <c r="DF20" i="12" s="1"/>
  <c r="DD21" i="12"/>
  <c r="DF21" i="12" s="1"/>
  <c r="DD22" i="12"/>
  <c r="DF22" i="12" s="1"/>
  <c r="DD23" i="12"/>
  <c r="DF23" i="12" s="1"/>
  <c r="DD24" i="12"/>
  <c r="DF24" i="12" s="1"/>
  <c r="DD25" i="12"/>
  <c r="DF25" i="12" s="1"/>
  <c r="DD26" i="12"/>
  <c r="DF26" i="12" s="1"/>
  <c r="DD27" i="12"/>
  <c r="DF27" i="12" s="1"/>
  <c r="DD28" i="12"/>
  <c r="DF28" i="12" s="1"/>
  <c r="DD29" i="12"/>
  <c r="DF29" i="12" s="1"/>
  <c r="DD30" i="12"/>
  <c r="DF30" i="12" s="1"/>
  <c r="DD31" i="12"/>
  <c r="DF31" i="12" s="1"/>
  <c r="DD32" i="12"/>
  <c r="DF32" i="12" s="1"/>
  <c r="DD33" i="12"/>
  <c r="DF33" i="12" s="1"/>
  <c r="DD34" i="12"/>
  <c r="DF34" i="12" s="1"/>
  <c r="DD35" i="12"/>
  <c r="DF35" i="12" s="1"/>
  <c r="DD6" i="12"/>
  <c r="DF6" i="12" s="1"/>
  <c r="CY7" i="12"/>
  <c r="DA7" i="12" s="1"/>
  <c r="CY8" i="12"/>
  <c r="DA8" i="12" s="1"/>
  <c r="CY9" i="12"/>
  <c r="DA9" i="12" s="1"/>
  <c r="CY10" i="12"/>
  <c r="DA10" i="12" s="1"/>
  <c r="CY11" i="12"/>
  <c r="DA11" i="12" s="1"/>
  <c r="CY12" i="12"/>
  <c r="DA12" i="12" s="1"/>
  <c r="CY13" i="12"/>
  <c r="DA13" i="12" s="1"/>
  <c r="CY14" i="12"/>
  <c r="DA14" i="12" s="1"/>
  <c r="CY15" i="12"/>
  <c r="DA15" i="12" s="1"/>
  <c r="DA16" i="12"/>
  <c r="DA17" i="12"/>
  <c r="CY18" i="12"/>
  <c r="DA18" i="12" s="1"/>
  <c r="CY19" i="12"/>
  <c r="DA19" i="12" s="1"/>
  <c r="CY20" i="12"/>
  <c r="DA20" i="12" s="1"/>
  <c r="CY21" i="12"/>
  <c r="DA21" i="12" s="1"/>
  <c r="CY22" i="12"/>
  <c r="DA22" i="12" s="1"/>
  <c r="CY23" i="12"/>
  <c r="DA23" i="12" s="1"/>
  <c r="CY24" i="12"/>
  <c r="DA24" i="12" s="1"/>
  <c r="CY25" i="12"/>
  <c r="DA25" i="12" s="1"/>
  <c r="CY26" i="12"/>
  <c r="DA26" i="12" s="1"/>
  <c r="CY27" i="12"/>
  <c r="DA27" i="12" s="1"/>
  <c r="CY28" i="12"/>
  <c r="DA28" i="12" s="1"/>
  <c r="CY29" i="12"/>
  <c r="DA29" i="12" s="1"/>
  <c r="CY30" i="12"/>
  <c r="DA30" i="12" s="1"/>
  <c r="CY31" i="12"/>
  <c r="DA31" i="12" s="1"/>
  <c r="CY32" i="12"/>
  <c r="DA32" i="12" s="1"/>
  <c r="CY33" i="12"/>
  <c r="DA33" i="12" s="1"/>
  <c r="CY34" i="12"/>
  <c r="DA34" i="12" s="1"/>
  <c r="CY35" i="12"/>
  <c r="DA35" i="12" s="1"/>
  <c r="CY6" i="12"/>
  <c r="DA6" i="12" s="1"/>
  <c r="CT7" i="12"/>
  <c r="CV7" i="12" s="1"/>
  <c r="CT8" i="12"/>
  <c r="CV8" i="12" s="1"/>
  <c r="CT9" i="12"/>
  <c r="CV9" i="12" s="1"/>
  <c r="CT10" i="12"/>
  <c r="CV10" i="12" s="1"/>
  <c r="CT11" i="12"/>
  <c r="CV11" i="12" s="1"/>
  <c r="CT12" i="12"/>
  <c r="CV12" i="12" s="1"/>
  <c r="CT13" i="12"/>
  <c r="CV13" i="12" s="1"/>
  <c r="CT14" i="12"/>
  <c r="CV14" i="12" s="1"/>
  <c r="CT15" i="12"/>
  <c r="CV15" i="12" s="1"/>
  <c r="CV16" i="12"/>
  <c r="CV17" i="12"/>
  <c r="CV18" i="12"/>
  <c r="CV19" i="12"/>
  <c r="CT20" i="12"/>
  <c r="CV20" i="12" s="1"/>
  <c r="CT21" i="12"/>
  <c r="CV21" i="12" s="1"/>
  <c r="CT22" i="12"/>
  <c r="CV22" i="12" s="1"/>
  <c r="CT23" i="12"/>
  <c r="CV23" i="12" s="1"/>
  <c r="CT24" i="12"/>
  <c r="CV24" i="12" s="1"/>
  <c r="CT25" i="12"/>
  <c r="CV25" i="12" s="1"/>
  <c r="CT26" i="12"/>
  <c r="CV26" i="12" s="1"/>
  <c r="CT27" i="12"/>
  <c r="CV27" i="12" s="1"/>
  <c r="CT28" i="12"/>
  <c r="CV28" i="12" s="1"/>
  <c r="CT29" i="12"/>
  <c r="CV29" i="12" s="1"/>
  <c r="CT30" i="12"/>
  <c r="CV30" i="12" s="1"/>
  <c r="CT31" i="12"/>
  <c r="CV31" i="12" s="1"/>
  <c r="CT32" i="12"/>
  <c r="CV32" i="12" s="1"/>
  <c r="CT33" i="12"/>
  <c r="CV33" i="12" s="1"/>
  <c r="CT34" i="12"/>
  <c r="CV34" i="12" s="1"/>
  <c r="CT35" i="12"/>
  <c r="CV35" i="12" s="1"/>
  <c r="CT6" i="12"/>
  <c r="CV6" i="12" s="1"/>
  <c r="CO7" i="12"/>
  <c r="CQ7" i="12" s="1"/>
  <c r="CO8" i="12"/>
  <c r="CQ8" i="12" s="1"/>
  <c r="CO9" i="12"/>
  <c r="CQ9" i="12" s="1"/>
  <c r="CO10" i="12"/>
  <c r="CQ10" i="12" s="1"/>
  <c r="CO11" i="12"/>
  <c r="CQ11" i="12" s="1"/>
  <c r="CO12" i="12"/>
  <c r="CQ12" i="12" s="1"/>
  <c r="CO13" i="12"/>
  <c r="CQ13" i="12" s="1"/>
  <c r="CO14" i="12"/>
  <c r="CQ14" i="12" s="1"/>
  <c r="CO15" i="12"/>
  <c r="CQ15" i="12" s="1"/>
  <c r="CQ16" i="12"/>
  <c r="CQ17" i="12"/>
  <c r="CQ18" i="12"/>
  <c r="CO19" i="12"/>
  <c r="CQ19" i="12" s="1"/>
  <c r="CO20" i="12"/>
  <c r="CQ20" i="12" s="1"/>
  <c r="CO21" i="12"/>
  <c r="CQ21" i="12" s="1"/>
  <c r="CO22" i="12"/>
  <c r="CQ22" i="12" s="1"/>
  <c r="CO23" i="12"/>
  <c r="CQ23" i="12" s="1"/>
  <c r="CO24" i="12"/>
  <c r="CQ24" i="12" s="1"/>
  <c r="CO25" i="12"/>
  <c r="CQ25" i="12" s="1"/>
  <c r="CO26" i="12"/>
  <c r="CQ26" i="12" s="1"/>
  <c r="CO27" i="12"/>
  <c r="CQ27" i="12" s="1"/>
  <c r="CO28" i="12"/>
  <c r="CQ28" i="12" s="1"/>
  <c r="CO29" i="12"/>
  <c r="CQ29" i="12" s="1"/>
  <c r="CO30" i="12"/>
  <c r="CQ30" i="12" s="1"/>
  <c r="CO31" i="12"/>
  <c r="CQ31" i="12" s="1"/>
  <c r="CO32" i="12"/>
  <c r="CQ32" i="12" s="1"/>
  <c r="CO33" i="12"/>
  <c r="CQ33" i="12" s="1"/>
  <c r="CO34" i="12"/>
  <c r="CQ34" i="12" s="1"/>
  <c r="CO35" i="12"/>
  <c r="CQ35" i="12" s="1"/>
  <c r="CO6" i="12"/>
  <c r="CQ6" i="12" s="1"/>
  <c r="CJ7" i="12"/>
  <c r="CL7" i="12" s="1"/>
  <c r="CJ8" i="12"/>
  <c r="CL8" i="12" s="1"/>
  <c r="CJ9" i="12"/>
  <c r="CL9" i="12" s="1"/>
  <c r="CJ10" i="12"/>
  <c r="CL10" i="12" s="1"/>
  <c r="CJ11" i="12"/>
  <c r="CL11" i="12" s="1"/>
  <c r="CJ12" i="12"/>
  <c r="CL12" i="12" s="1"/>
  <c r="CJ13" i="12"/>
  <c r="CL13" i="12" s="1"/>
  <c r="CJ14" i="12"/>
  <c r="CL14" i="12" s="1"/>
  <c r="CJ15" i="12"/>
  <c r="CL15" i="12" s="1"/>
  <c r="CL16" i="12"/>
  <c r="CL17" i="12"/>
  <c r="CL18" i="12"/>
  <c r="CL19" i="12"/>
  <c r="CL20" i="12"/>
  <c r="CJ21" i="12"/>
  <c r="CL21" i="12" s="1"/>
  <c r="CJ22" i="12"/>
  <c r="CL22" i="12" s="1"/>
  <c r="CJ23" i="12"/>
  <c r="CL23" i="12" s="1"/>
  <c r="CJ24" i="12"/>
  <c r="CL24" i="12" s="1"/>
  <c r="CJ25" i="12"/>
  <c r="CL25" i="12" s="1"/>
  <c r="CJ26" i="12"/>
  <c r="CL26" i="12" s="1"/>
  <c r="CJ27" i="12"/>
  <c r="CL27" i="12" s="1"/>
  <c r="CJ28" i="12"/>
  <c r="CL28" i="12" s="1"/>
  <c r="CJ29" i="12"/>
  <c r="CL29" i="12" s="1"/>
  <c r="CJ30" i="12"/>
  <c r="CL30" i="12" s="1"/>
  <c r="CJ31" i="12"/>
  <c r="CL31" i="12" s="1"/>
  <c r="CJ32" i="12"/>
  <c r="CL32" i="12" s="1"/>
  <c r="CJ33" i="12"/>
  <c r="CL33" i="12" s="1"/>
  <c r="CJ34" i="12"/>
  <c r="CL34" i="12" s="1"/>
  <c r="CJ35" i="12"/>
  <c r="CL35" i="12" s="1"/>
  <c r="CJ6" i="12"/>
  <c r="CL6" i="12" s="1"/>
  <c r="CE7" i="12"/>
  <c r="CG7" i="12" s="1"/>
  <c r="CE8" i="12"/>
  <c r="CG8" i="12" s="1"/>
  <c r="CE9" i="12"/>
  <c r="CG9" i="12" s="1"/>
  <c r="CE10" i="12"/>
  <c r="CG10" i="12" s="1"/>
  <c r="CE11" i="12"/>
  <c r="CG11" i="12" s="1"/>
  <c r="CE12" i="12"/>
  <c r="CG12" i="12" s="1"/>
  <c r="CE13" i="12"/>
  <c r="CG13" i="12" s="1"/>
  <c r="CE14" i="12"/>
  <c r="CG14" i="12" s="1"/>
  <c r="CE15" i="12"/>
  <c r="CG15" i="12" s="1"/>
  <c r="CE16" i="12"/>
  <c r="CG16" i="12" s="1"/>
  <c r="CG17" i="12"/>
  <c r="CG18" i="12"/>
  <c r="CG19" i="12"/>
  <c r="CG20" i="12"/>
  <c r="CG21" i="12"/>
  <c r="CE22" i="12"/>
  <c r="CG22" i="12" s="1"/>
  <c r="CE23" i="12"/>
  <c r="CG23" i="12" s="1"/>
  <c r="CE24" i="12"/>
  <c r="CG24" i="12" s="1"/>
  <c r="CE25" i="12"/>
  <c r="CG25" i="12" s="1"/>
  <c r="CE26" i="12"/>
  <c r="CG26" i="12" s="1"/>
  <c r="CE27" i="12"/>
  <c r="CG27" i="12" s="1"/>
  <c r="CE28" i="12"/>
  <c r="CG28" i="12" s="1"/>
  <c r="CE29" i="12"/>
  <c r="CG29" i="12" s="1"/>
  <c r="CE30" i="12"/>
  <c r="CG30" i="12" s="1"/>
  <c r="CE31" i="12"/>
  <c r="CG31" i="12" s="1"/>
  <c r="CE32" i="12"/>
  <c r="CG32" i="12" s="1"/>
  <c r="CE33" i="12"/>
  <c r="CG33" i="12" s="1"/>
  <c r="CE34" i="12"/>
  <c r="CG34" i="12" s="1"/>
  <c r="CE35" i="12"/>
  <c r="CG35" i="12" s="1"/>
  <c r="CE6" i="12"/>
  <c r="CG6" i="12" s="1"/>
  <c r="BZ7" i="12"/>
  <c r="CB7" i="12" s="1"/>
  <c r="BZ8" i="12"/>
  <c r="CB8" i="12" s="1"/>
  <c r="BZ9" i="12"/>
  <c r="CB9" i="12" s="1"/>
  <c r="BZ10" i="12"/>
  <c r="CB10" i="12" s="1"/>
  <c r="BZ11" i="12"/>
  <c r="CB11" i="12" s="1"/>
  <c r="BZ12" i="12"/>
  <c r="CB12" i="12" s="1"/>
  <c r="BZ13" i="12"/>
  <c r="CB13" i="12" s="1"/>
  <c r="BZ14" i="12"/>
  <c r="CB14" i="12" s="1"/>
  <c r="BZ15" i="12"/>
  <c r="CB15" i="12" s="1"/>
  <c r="CB16" i="12"/>
  <c r="CB17" i="12"/>
  <c r="CB18" i="12"/>
  <c r="CB19" i="12"/>
  <c r="BZ20" i="12"/>
  <c r="CB20" i="12" s="1"/>
  <c r="BZ21" i="12"/>
  <c r="CB21" i="12" s="1"/>
  <c r="BZ22" i="12"/>
  <c r="CB22" i="12" s="1"/>
  <c r="BZ23" i="12"/>
  <c r="CB23" i="12" s="1"/>
  <c r="BZ24" i="12"/>
  <c r="CB24" i="12" s="1"/>
  <c r="BZ25" i="12"/>
  <c r="CB25" i="12" s="1"/>
  <c r="BZ26" i="12"/>
  <c r="CB26" i="12" s="1"/>
  <c r="BZ27" i="12"/>
  <c r="CB27" i="12" s="1"/>
  <c r="BZ28" i="12"/>
  <c r="CB28" i="12" s="1"/>
  <c r="BZ29" i="12"/>
  <c r="CB29" i="12" s="1"/>
  <c r="BZ30" i="12"/>
  <c r="CB30" i="12" s="1"/>
  <c r="BZ31" i="12"/>
  <c r="CB31" i="12" s="1"/>
  <c r="BZ32" i="12"/>
  <c r="CB32" i="12" s="1"/>
  <c r="BZ33" i="12"/>
  <c r="CB33" i="12" s="1"/>
  <c r="BZ34" i="12"/>
  <c r="CB34" i="12" s="1"/>
  <c r="BZ35" i="12"/>
  <c r="CB35" i="12" s="1"/>
  <c r="BZ6" i="12"/>
  <c r="CB6" i="12" s="1"/>
  <c r="BU7" i="12"/>
  <c r="BW7" i="12" s="1"/>
  <c r="BU8" i="12"/>
  <c r="BW8" i="12" s="1"/>
  <c r="BU9" i="12"/>
  <c r="BW9" i="12" s="1"/>
  <c r="BU10" i="12"/>
  <c r="BW10" i="12" s="1"/>
  <c r="BU11" i="12"/>
  <c r="BW11" i="12" s="1"/>
  <c r="BU12" i="12"/>
  <c r="BW12" i="12" s="1"/>
  <c r="BU13" i="12"/>
  <c r="BW13" i="12" s="1"/>
  <c r="BU14" i="12"/>
  <c r="BW14" i="12" s="1"/>
  <c r="BU15" i="12"/>
  <c r="BW15" i="12" s="1"/>
  <c r="BW16" i="12"/>
  <c r="BW17" i="12"/>
  <c r="BW18" i="12"/>
  <c r="BW19" i="12"/>
  <c r="BU20" i="12"/>
  <c r="BW20" i="12" s="1"/>
  <c r="BU21" i="12"/>
  <c r="BW21" i="12" s="1"/>
  <c r="BU22" i="12"/>
  <c r="BW22" i="12" s="1"/>
  <c r="BU23" i="12"/>
  <c r="BW23" i="12" s="1"/>
  <c r="BU24" i="12"/>
  <c r="BW24" i="12" s="1"/>
  <c r="BU25" i="12"/>
  <c r="BW25" i="12" s="1"/>
  <c r="BU26" i="12"/>
  <c r="BW26" i="12" s="1"/>
  <c r="BU27" i="12"/>
  <c r="BW27" i="12" s="1"/>
  <c r="BU28" i="12"/>
  <c r="BW28" i="12" s="1"/>
  <c r="BU29" i="12"/>
  <c r="BW29" i="12" s="1"/>
  <c r="BU30" i="12"/>
  <c r="BW30" i="12" s="1"/>
  <c r="BU31" i="12"/>
  <c r="BW31" i="12" s="1"/>
  <c r="BU32" i="12"/>
  <c r="BW32" i="12" s="1"/>
  <c r="BU33" i="12"/>
  <c r="BW33" i="12" s="1"/>
  <c r="BU34" i="12"/>
  <c r="BW34" i="12" s="1"/>
  <c r="BU35" i="12"/>
  <c r="BW35" i="12" s="1"/>
  <c r="BU6" i="12"/>
  <c r="BW6" i="12" s="1"/>
  <c r="BP7" i="12"/>
  <c r="BR7" i="12" s="1"/>
  <c r="BP8" i="12"/>
  <c r="BR8" i="12" s="1"/>
  <c r="BP9" i="12"/>
  <c r="BR9" i="12" s="1"/>
  <c r="BP10" i="12"/>
  <c r="BR10" i="12" s="1"/>
  <c r="BP11" i="12"/>
  <c r="BR11" i="12" s="1"/>
  <c r="BP12" i="12"/>
  <c r="BR12" i="12" s="1"/>
  <c r="BP13" i="12"/>
  <c r="BR13" i="12" s="1"/>
  <c r="BP14" i="12"/>
  <c r="BR14" i="12" s="1"/>
  <c r="BP15" i="12"/>
  <c r="BR15" i="12" s="1"/>
  <c r="BR16" i="12"/>
  <c r="BR17" i="12"/>
  <c r="BR18" i="12"/>
  <c r="BP19" i="12"/>
  <c r="BR19" i="12" s="1"/>
  <c r="BP20" i="12"/>
  <c r="BR20" i="12" s="1"/>
  <c r="BP21" i="12"/>
  <c r="BR21" i="12" s="1"/>
  <c r="BP22" i="12"/>
  <c r="BR22" i="12" s="1"/>
  <c r="BP23" i="12"/>
  <c r="BR23" i="12" s="1"/>
  <c r="BP24" i="12"/>
  <c r="BR24" i="12" s="1"/>
  <c r="BP25" i="12"/>
  <c r="BR25" i="12" s="1"/>
  <c r="BP26" i="12"/>
  <c r="BR26" i="12" s="1"/>
  <c r="BP27" i="12"/>
  <c r="BR27" i="12" s="1"/>
  <c r="BP28" i="12"/>
  <c r="BR28" i="12" s="1"/>
  <c r="BP29" i="12"/>
  <c r="BR29" i="12" s="1"/>
  <c r="BP30" i="12"/>
  <c r="BR30" i="12" s="1"/>
  <c r="BP31" i="12"/>
  <c r="BR31" i="12" s="1"/>
  <c r="BP32" i="12"/>
  <c r="BR32" i="12" s="1"/>
  <c r="BP33" i="12"/>
  <c r="BR33" i="12" s="1"/>
  <c r="BP34" i="12"/>
  <c r="BR34" i="12" s="1"/>
  <c r="BP35" i="12"/>
  <c r="BR35" i="12" s="1"/>
  <c r="BP6" i="12"/>
  <c r="BR6" i="12" s="1"/>
  <c r="BK7" i="12"/>
  <c r="BM7" i="12" s="1"/>
  <c r="BK8" i="12"/>
  <c r="BM8" i="12" s="1"/>
  <c r="BK9" i="12"/>
  <c r="BM9" i="12" s="1"/>
  <c r="BK10" i="12"/>
  <c r="BM10" i="12" s="1"/>
  <c r="BK11" i="12"/>
  <c r="BM11" i="12" s="1"/>
  <c r="BK12" i="12"/>
  <c r="BM12" i="12" s="1"/>
  <c r="BK13" i="12"/>
  <c r="BM13" i="12" s="1"/>
  <c r="BK14" i="12"/>
  <c r="BM14" i="12" s="1"/>
  <c r="BK15" i="12"/>
  <c r="BM15" i="12" s="1"/>
  <c r="BM16" i="12"/>
  <c r="FP16" i="12" s="1"/>
  <c r="BM17" i="12"/>
  <c r="BM18" i="12"/>
  <c r="BM19" i="12"/>
  <c r="BM20" i="12"/>
  <c r="BM21" i="12"/>
  <c r="BK22" i="12"/>
  <c r="BM22" i="12" s="1"/>
  <c r="BK23" i="12"/>
  <c r="BM23" i="12" s="1"/>
  <c r="BK24" i="12"/>
  <c r="BM24" i="12" s="1"/>
  <c r="BK25" i="12"/>
  <c r="BM25" i="12" s="1"/>
  <c r="BK26" i="12"/>
  <c r="BM26" i="12" s="1"/>
  <c r="BK27" i="12"/>
  <c r="BM27" i="12" s="1"/>
  <c r="BK28" i="12"/>
  <c r="BM28" i="12" s="1"/>
  <c r="BK29" i="12"/>
  <c r="BM29" i="12" s="1"/>
  <c r="BK30" i="12"/>
  <c r="BM30" i="12" s="1"/>
  <c r="BK31" i="12"/>
  <c r="BM31" i="12" s="1"/>
  <c r="BK32" i="12"/>
  <c r="BM32" i="12" s="1"/>
  <c r="BK33" i="12"/>
  <c r="BM33" i="12" s="1"/>
  <c r="BK34" i="12"/>
  <c r="BM34" i="12" s="1"/>
  <c r="BK35" i="12"/>
  <c r="BM35" i="12" s="1"/>
  <c r="BK6" i="12"/>
  <c r="BM6" i="12" s="1"/>
  <c r="BF7" i="12"/>
  <c r="BH7" i="12" s="1"/>
  <c r="BF8" i="12"/>
  <c r="BH8" i="12" s="1"/>
  <c r="BF9" i="12"/>
  <c r="BH9" i="12" s="1"/>
  <c r="BF10" i="12"/>
  <c r="BH10" i="12" s="1"/>
  <c r="BF11" i="12"/>
  <c r="BH11" i="12" s="1"/>
  <c r="BF12" i="12"/>
  <c r="BH12" i="12" s="1"/>
  <c r="BF13" i="12"/>
  <c r="BH13" i="12" s="1"/>
  <c r="BF14" i="12"/>
  <c r="BH14" i="12" s="1"/>
  <c r="BF15" i="12"/>
  <c r="BH15" i="12" s="1"/>
  <c r="BH16" i="12"/>
  <c r="BH17" i="12"/>
  <c r="BH18" i="12"/>
  <c r="BF19" i="12"/>
  <c r="BH19" i="12" s="1"/>
  <c r="BF20" i="12"/>
  <c r="BH20" i="12" s="1"/>
  <c r="BF21" i="12"/>
  <c r="BH21" i="12" s="1"/>
  <c r="BF22" i="12"/>
  <c r="BH22" i="12" s="1"/>
  <c r="BF23" i="12"/>
  <c r="BH23" i="12" s="1"/>
  <c r="BF24" i="12"/>
  <c r="BH24" i="12" s="1"/>
  <c r="BF25" i="12"/>
  <c r="BH25" i="12" s="1"/>
  <c r="BF26" i="12"/>
  <c r="BH26" i="12" s="1"/>
  <c r="BF27" i="12"/>
  <c r="BH27" i="12" s="1"/>
  <c r="BF28" i="12"/>
  <c r="BH28" i="12" s="1"/>
  <c r="BF29" i="12"/>
  <c r="BH29" i="12" s="1"/>
  <c r="BF30" i="12"/>
  <c r="BH30" i="12" s="1"/>
  <c r="BF31" i="12"/>
  <c r="BH31" i="12" s="1"/>
  <c r="BF32" i="12"/>
  <c r="BH32" i="12" s="1"/>
  <c r="BF33" i="12"/>
  <c r="BH33" i="12" s="1"/>
  <c r="BF34" i="12"/>
  <c r="BH34" i="12" s="1"/>
  <c r="BF35" i="12"/>
  <c r="BH35" i="12" s="1"/>
  <c r="BF6" i="12"/>
  <c r="BH6" i="12" s="1"/>
  <c r="BA7" i="12"/>
  <c r="BC7" i="12" s="1"/>
  <c r="BA8" i="12"/>
  <c r="BC8" i="12" s="1"/>
  <c r="BA9" i="12"/>
  <c r="BC9" i="12" s="1"/>
  <c r="BA10" i="12"/>
  <c r="BC10" i="12" s="1"/>
  <c r="BA11" i="12"/>
  <c r="BC11" i="12" s="1"/>
  <c r="BA12" i="12"/>
  <c r="BC12" i="12" s="1"/>
  <c r="BA13" i="12"/>
  <c r="BC13" i="12" s="1"/>
  <c r="BA14" i="12"/>
  <c r="BC14" i="12" s="1"/>
  <c r="BA15" i="12"/>
  <c r="BC15" i="12" s="1"/>
  <c r="BC16" i="12"/>
  <c r="BC17" i="12"/>
  <c r="BC18" i="12"/>
  <c r="BA19" i="12"/>
  <c r="BC19" i="12" s="1"/>
  <c r="BA20" i="12"/>
  <c r="BC20" i="12" s="1"/>
  <c r="BA21" i="12"/>
  <c r="BC21" i="12" s="1"/>
  <c r="BA22" i="12"/>
  <c r="BC22" i="12" s="1"/>
  <c r="BA23" i="12"/>
  <c r="BC23" i="12" s="1"/>
  <c r="BA24" i="12"/>
  <c r="BC24" i="12" s="1"/>
  <c r="BA25" i="12"/>
  <c r="BC25" i="12" s="1"/>
  <c r="BA26" i="12"/>
  <c r="BC26" i="12" s="1"/>
  <c r="BA27" i="12"/>
  <c r="BC27" i="12" s="1"/>
  <c r="BA28" i="12"/>
  <c r="BC28" i="12" s="1"/>
  <c r="BA29" i="12"/>
  <c r="BC29" i="12" s="1"/>
  <c r="BA30" i="12"/>
  <c r="BC30" i="12" s="1"/>
  <c r="BA31" i="12"/>
  <c r="BC31" i="12" s="1"/>
  <c r="BA32" i="12"/>
  <c r="BC32" i="12" s="1"/>
  <c r="BA33" i="12"/>
  <c r="BC33" i="12" s="1"/>
  <c r="BA34" i="12"/>
  <c r="BC34" i="12" s="1"/>
  <c r="BA35" i="12"/>
  <c r="BC35" i="12" s="1"/>
  <c r="BA6" i="12"/>
  <c r="BC6" i="12" s="1"/>
  <c r="AV7" i="12"/>
  <c r="AX7" i="12" s="1"/>
  <c r="AV8" i="12"/>
  <c r="AX8" i="12" s="1"/>
  <c r="AV9" i="12"/>
  <c r="AX9" i="12" s="1"/>
  <c r="AV10" i="12"/>
  <c r="AX10" i="12" s="1"/>
  <c r="AV11" i="12"/>
  <c r="AX11" i="12" s="1"/>
  <c r="AV12" i="12"/>
  <c r="AX12" i="12" s="1"/>
  <c r="AV13" i="12"/>
  <c r="AX13" i="12" s="1"/>
  <c r="AV14" i="12"/>
  <c r="AX14" i="12" s="1"/>
  <c r="AV15" i="12"/>
  <c r="AX15" i="12" s="1"/>
  <c r="AX16" i="12"/>
  <c r="AX17" i="12"/>
  <c r="AX18" i="12"/>
  <c r="AV19" i="12"/>
  <c r="AX19" i="12" s="1"/>
  <c r="AV20" i="12"/>
  <c r="AX20" i="12" s="1"/>
  <c r="AV21" i="12"/>
  <c r="AX21" i="12" s="1"/>
  <c r="AV22" i="12"/>
  <c r="AX22" i="12" s="1"/>
  <c r="AV23" i="12"/>
  <c r="AX23" i="12" s="1"/>
  <c r="AV24" i="12"/>
  <c r="AX24" i="12" s="1"/>
  <c r="AV25" i="12"/>
  <c r="AX25" i="12" s="1"/>
  <c r="AV26" i="12"/>
  <c r="AX26" i="12" s="1"/>
  <c r="AV27" i="12"/>
  <c r="AX27" i="12" s="1"/>
  <c r="AV28" i="12"/>
  <c r="AX28" i="12" s="1"/>
  <c r="AV29" i="12"/>
  <c r="AX29" i="12" s="1"/>
  <c r="AV30" i="12"/>
  <c r="AX30" i="12" s="1"/>
  <c r="AV31" i="12"/>
  <c r="AX31" i="12" s="1"/>
  <c r="AV32" i="12"/>
  <c r="AX32" i="12" s="1"/>
  <c r="AV33" i="12"/>
  <c r="AX33" i="12" s="1"/>
  <c r="AV34" i="12"/>
  <c r="AX34" i="12" s="1"/>
  <c r="AV35" i="12"/>
  <c r="AX35" i="12" s="1"/>
  <c r="AV6" i="12"/>
  <c r="AX6" i="12" s="1"/>
  <c r="AQ7" i="12"/>
  <c r="AS7" i="12" s="1"/>
  <c r="AQ8" i="12"/>
  <c r="AS8" i="12" s="1"/>
  <c r="AQ9" i="12"/>
  <c r="AS9" i="12" s="1"/>
  <c r="AQ10" i="12"/>
  <c r="AS10" i="12" s="1"/>
  <c r="AQ11" i="12"/>
  <c r="AS11" i="12" s="1"/>
  <c r="AQ12" i="12"/>
  <c r="AS12" i="12" s="1"/>
  <c r="AQ13" i="12"/>
  <c r="AS13" i="12" s="1"/>
  <c r="AQ14" i="12"/>
  <c r="AS14" i="12" s="1"/>
  <c r="AQ15" i="12"/>
  <c r="AS15" i="12" s="1"/>
  <c r="AS16" i="12"/>
  <c r="AS17" i="12"/>
  <c r="AS18" i="12"/>
  <c r="AS19" i="12"/>
  <c r="AQ20" i="12"/>
  <c r="AS20" i="12" s="1"/>
  <c r="AQ21" i="12"/>
  <c r="AS21" i="12" s="1"/>
  <c r="AQ22" i="12"/>
  <c r="AS22" i="12" s="1"/>
  <c r="AQ23" i="12"/>
  <c r="AS23" i="12" s="1"/>
  <c r="AQ24" i="12"/>
  <c r="AS24" i="12" s="1"/>
  <c r="AQ25" i="12"/>
  <c r="AS25" i="12" s="1"/>
  <c r="AQ26" i="12"/>
  <c r="AS26" i="12" s="1"/>
  <c r="AQ27" i="12"/>
  <c r="AS27" i="12" s="1"/>
  <c r="AQ28" i="12"/>
  <c r="AS28" i="12" s="1"/>
  <c r="AQ29" i="12"/>
  <c r="AS29" i="12" s="1"/>
  <c r="AQ30" i="12"/>
  <c r="AS30" i="12" s="1"/>
  <c r="AQ31" i="12"/>
  <c r="AS31" i="12" s="1"/>
  <c r="AQ32" i="12"/>
  <c r="AS32" i="12" s="1"/>
  <c r="AQ33" i="12"/>
  <c r="AS33" i="12" s="1"/>
  <c r="AQ34" i="12"/>
  <c r="AS34" i="12" s="1"/>
  <c r="AQ35" i="12"/>
  <c r="AS35" i="12" s="1"/>
  <c r="AQ6" i="12"/>
  <c r="AS6" i="12" s="1"/>
  <c r="AL7" i="12"/>
  <c r="AN7" i="12" s="1"/>
  <c r="AL8" i="12"/>
  <c r="AN8" i="12" s="1"/>
  <c r="AL9" i="12"/>
  <c r="AN9" i="12" s="1"/>
  <c r="AL10" i="12"/>
  <c r="AN10" i="12" s="1"/>
  <c r="AL11" i="12"/>
  <c r="AN11" i="12" s="1"/>
  <c r="AL12" i="12"/>
  <c r="AN12" i="12" s="1"/>
  <c r="AL13" i="12"/>
  <c r="AN13" i="12" s="1"/>
  <c r="AL14" i="12"/>
  <c r="AN14" i="12" s="1"/>
  <c r="AL15" i="12"/>
  <c r="AN15" i="12" s="1"/>
  <c r="AN16" i="12"/>
  <c r="AN17" i="12"/>
  <c r="AN18" i="12"/>
  <c r="AN19" i="12"/>
  <c r="AL20" i="12"/>
  <c r="AN20" i="12" s="1"/>
  <c r="AL21" i="12"/>
  <c r="AN21" i="12" s="1"/>
  <c r="AL22" i="12"/>
  <c r="AN22" i="12" s="1"/>
  <c r="AL23" i="12"/>
  <c r="AN23" i="12" s="1"/>
  <c r="AL24" i="12"/>
  <c r="AN24" i="12" s="1"/>
  <c r="AL25" i="12"/>
  <c r="AN25" i="12" s="1"/>
  <c r="AL26" i="12"/>
  <c r="AN26" i="12" s="1"/>
  <c r="AL27" i="12"/>
  <c r="AN27" i="12" s="1"/>
  <c r="AL28" i="12"/>
  <c r="AN28" i="12" s="1"/>
  <c r="AL29" i="12"/>
  <c r="AN29" i="12" s="1"/>
  <c r="AL30" i="12"/>
  <c r="AN30" i="12" s="1"/>
  <c r="AL31" i="12"/>
  <c r="AN31" i="12" s="1"/>
  <c r="AL32" i="12"/>
  <c r="AN32" i="12" s="1"/>
  <c r="AL33" i="12"/>
  <c r="AN33" i="12" s="1"/>
  <c r="AL34" i="12"/>
  <c r="AN34" i="12" s="1"/>
  <c r="AL35" i="12"/>
  <c r="AN35" i="12" s="1"/>
  <c r="AL6" i="12"/>
  <c r="AN6" i="12" s="1"/>
  <c r="AG7" i="12"/>
  <c r="AI7" i="12" s="1"/>
  <c r="AG8" i="12"/>
  <c r="AI8" i="12" s="1"/>
  <c r="AG9" i="12"/>
  <c r="AI9" i="12" s="1"/>
  <c r="AG10" i="12"/>
  <c r="AI10" i="12" s="1"/>
  <c r="AG11" i="12"/>
  <c r="AI11" i="12" s="1"/>
  <c r="AG12" i="12"/>
  <c r="AI12" i="12" s="1"/>
  <c r="AG13" i="12"/>
  <c r="AI13" i="12" s="1"/>
  <c r="AG14" i="12"/>
  <c r="AI14" i="12" s="1"/>
  <c r="AG15" i="12"/>
  <c r="AI15" i="12" s="1"/>
  <c r="AI16" i="12"/>
  <c r="AI17" i="12"/>
  <c r="AI18" i="12"/>
  <c r="AG19" i="12"/>
  <c r="AI19" i="12" s="1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AG26" i="12"/>
  <c r="AI26" i="12" s="1"/>
  <c r="AG27" i="12"/>
  <c r="AI27" i="12" s="1"/>
  <c r="AG28" i="12"/>
  <c r="AI28" i="12" s="1"/>
  <c r="AG29" i="12"/>
  <c r="AI29" i="12" s="1"/>
  <c r="AG30" i="12"/>
  <c r="AI30" i="12" s="1"/>
  <c r="AG31" i="12"/>
  <c r="AI31" i="12" s="1"/>
  <c r="AG32" i="12"/>
  <c r="AI32" i="12" s="1"/>
  <c r="AG33" i="12"/>
  <c r="AI33" i="12" s="1"/>
  <c r="AG34" i="12"/>
  <c r="AI34" i="12" s="1"/>
  <c r="AG35" i="12"/>
  <c r="AI35" i="12" s="1"/>
  <c r="AG6" i="12"/>
  <c r="AI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D16" i="12"/>
  <c r="AD17" i="12"/>
  <c r="AD18" i="12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AD6" i="12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5" i="12"/>
  <c r="Y16" i="12"/>
  <c r="Y17" i="12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R7" i="12"/>
  <c r="T7" i="12" s="1"/>
  <c r="T8" i="12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6" i="12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Y7" i="19"/>
  <c r="DZ7" i="19" s="1"/>
  <c r="DR8" i="19"/>
  <c r="DR9" i="19"/>
  <c r="DR10" i="19"/>
  <c r="DR11" i="19"/>
  <c r="DR12" i="19"/>
  <c r="DR13" i="19"/>
  <c r="DR14" i="19"/>
  <c r="DR15" i="19"/>
  <c r="DR16" i="19"/>
  <c r="DR17" i="19"/>
  <c r="DR18" i="19"/>
  <c r="DR19" i="19"/>
  <c r="DR20" i="19"/>
  <c r="DR21" i="19"/>
  <c r="DR22" i="19"/>
  <c r="DR23" i="19"/>
  <c r="DR24" i="19"/>
  <c r="DR25" i="19"/>
  <c r="DR26" i="19"/>
  <c r="DR27" i="19"/>
  <c r="DR28" i="19"/>
  <c r="DR29" i="19"/>
  <c r="DR30" i="19"/>
  <c r="DR31" i="19"/>
  <c r="DR32" i="19"/>
  <c r="DR33" i="19"/>
  <c r="DR34" i="19"/>
  <c r="DR35" i="19"/>
  <c r="DR36" i="19"/>
  <c r="DR7" i="19"/>
  <c r="DM8" i="19"/>
  <c r="DM9" i="19"/>
  <c r="DM10" i="19"/>
  <c r="DM11" i="19"/>
  <c r="DM12" i="19"/>
  <c r="DM13" i="19"/>
  <c r="DM14" i="19"/>
  <c r="DM15" i="19"/>
  <c r="DM16" i="19"/>
  <c r="DM17" i="19"/>
  <c r="DM18" i="19"/>
  <c r="DM19" i="19"/>
  <c r="DM20" i="19"/>
  <c r="DM21" i="19"/>
  <c r="DM22" i="19"/>
  <c r="DM23" i="19"/>
  <c r="DM24" i="19"/>
  <c r="DM25" i="19"/>
  <c r="DM26" i="19"/>
  <c r="DM27" i="19"/>
  <c r="DM28" i="19"/>
  <c r="DM29" i="19"/>
  <c r="DM30" i="19"/>
  <c r="DM31" i="19"/>
  <c r="DM32" i="19"/>
  <c r="DM33" i="19"/>
  <c r="DM34" i="19"/>
  <c r="DM35" i="19"/>
  <c r="DM36" i="19"/>
  <c r="DM7" i="19"/>
  <c r="DH8" i="19"/>
  <c r="DH9" i="19"/>
  <c r="DH10" i="19"/>
  <c r="DH11" i="19"/>
  <c r="DH12" i="19"/>
  <c r="DH13" i="19"/>
  <c r="DH14" i="19"/>
  <c r="DH15" i="19"/>
  <c r="DH16" i="19"/>
  <c r="DH17" i="19"/>
  <c r="DH18" i="19"/>
  <c r="DH19" i="19"/>
  <c r="DH20" i="19"/>
  <c r="DH21" i="19"/>
  <c r="DH22" i="19"/>
  <c r="DH23" i="19"/>
  <c r="DH24" i="19"/>
  <c r="DH25" i="19"/>
  <c r="DH26" i="19"/>
  <c r="DH27" i="19"/>
  <c r="DH28" i="19"/>
  <c r="DH29" i="19"/>
  <c r="DH30" i="19"/>
  <c r="DH31" i="19"/>
  <c r="DH32" i="19"/>
  <c r="DH33" i="19"/>
  <c r="DH34" i="19"/>
  <c r="DH35" i="19"/>
  <c r="DH36" i="19"/>
  <c r="DH7" i="19"/>
  <c r="DC8" i="19"/>
  <c r="DC9" i="19"/>
  <c r="DC10" i="19"/>
  <c r="DC11" i="19"/>
  <c r="DC12" i="19"/>
  <c r="DC13" i="19"/>
  <c r="DC14" i="19"/>
  <c r="DC15" i="19"/>
  <c r="DC16" i="19"/>
  <c r="DC17" i="19"/>
  <c r="DC18" i="19"/>
  <c r="DC19" i="19"/>
  <c r="DC20" i="19"/>
  <c r="DC21" i="19"/>
  <c r="DC22" i="19"/>
  <c r="DC23" i="19"/>
  <c r="DC24" i="19"/>
  <c r="DC25" i="19"/>
  <c r="DC26" i="19"/>
  <c r="DC27" i="19"/>
  <c r="DC28" i="19"/>
  <c r="DC29" i="19"/>
  <c r="DC30" i="19"/>
  <c r="DC31" i="19"/>
  <c r="DC32" i="19"/>
  <c r="DC33" i="19"/>
  <c r="DC34" i="19"/>
  <c r="DC35" i="19"/>
  <c r="DC36" i="19"/>
  <c r="DC7" i="19"/>
  <c r="CX8" i="19"/>
  <c r="CX9" i="19"/>
  <c r="CX10" i="19"/>
  <c r="CX11" i="19"/>
  <c r="CX12" i="19"/>
  <c r="CX15" i="19"/>
  <c r="CX16" i="19"/>
  <c r="CX17" i="19"/>
  <c r="CX18" i="19"/>
  <c r="CX19" i="19"/>
  <c r="CX20" i="19"/>
  <c r="CX21" i="19"/>
  <c r="CX22" i="19"/>
  <c r="CX23" i="19"/>
  <c r="CX24" i="19"/>
  <c r="CX25" i="19"/>
  <c r="CX26" i="19"/>
  <c r="CX27" i="19"/>
  <c r="CX28" i="19"/>
  <c r="CX29" i="19"/>
  <c r="CX30" i="19"/>
  <c r="CX31" i="19"/>
  <c r="CX32" i="19"/>
  <c r="CX33" i="19"/>
  <c r="CX34" i="19"/>
  <c r="CX35" i="19"/>
  <c r="CX36" i="19"/>
  <c r="CX7" i="19"/>
  <c r="CS8" i="19"/>
  <c r="CS9" i="19"/>
  <c r="CS10" i="19"/>
  <c r="CS11" i="19"/>
  <c r="CS12" i="19"/>
  <c r="CS13" i="19"/>
  <c r="CS14" i="19"/>
  <c r="CS15" i="19"/>
  <c r="CS16" i="19"/>
  <c r="CS17" i="19"/>
  <c r="CS18" i="19"/>
  <c r="CS19" i="19"/>
  <c r="CS20" i="19"/>
  <c r="CS21" i="19"/>
  <c r="CS22" i="19"/>
  <c r="CS23" i="19"/>
  <c r="CS24" i="19"/>
  <c r="CS25" i="19"/>
  <c r="CS26" i="19"/>
  <c r="CS27" i="19"/>
  <c r="CS28" i="19"/>
  <c r="CS29" i="19"/>
  <c r="CS30" i="19"/>
  <c r="CS31" i="19"/>
  <c r="CS32" i="19"/>
  <c r="CS33" i="19"/>
  <c r="CS34" i="19"/>
  <c r="CS35" i="19"/>
  <c r="CS36" i="19"/>
  <c r="CS7" i="19"/>
  <c r="CN8" i="19"/>
  <c r="CN9" i="19"/>
  <c r="CN10" i="19"/>
  <c r="CN11" i="19"/>
  <c r="CN12" i="19"/>
  <c r="CN13" i="19"/>
  <c r="CN14" i="19"/>
  <c r="CN15" i="19"/>
  <c r="CN16" i="19"/>
  <c r="CN17" i="19"/>
  <c r="CN18" i="19"/>
  <c r="CN19" i="19"/>
  <c r="CN20" i="19"/>
  <c r="CN21" i="19"/>
  <c r="CN22" i="19"/>
  <c r="CN23" i="19"/>
  <c r="CN24" i="19"/>
  <c r="CN25" i="19"/>
  <c r="CN26" i="19"/>
  <c r="CN27" i="19"/>
  <c r="CN28" i="19"/>
  <c r="CN29" i="19"/>
  <c r="CN30" i="19"/>
  <c r="CN31" i="19"/>
  <c r="CN32" i="19"/>
  <c r="CN33" i="19"/>
  <c r="CN34" i="19"/>
  <c r="CN35" i="19"/>
  <c r="CN36" i="19"/>
  <c r="CN7" i="19"/>
  <c r="CI8" i="19"/>
  <c r="CI9" i="19"/>
  <c r="CI10" i="19"/>
  <c r="CI11" i="19"/>
  <c r="CI12" i="19"/>
  <c r="CI13" i="19"/>
  <c r="CI14" i="19"/>
  <c r="CI15" i="19"/>
  <c r="CI16" i="19"/>
  <c r="CI17" i="19"/>
  <c r="CI18" i="19"/>
  <c r="CI19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D8" i="19"/>
  <c r="CD9" i="19"/>
  <c r="CD10" i="19"/>
  <c r="CD11" i="19"/>
  <c r="CD12" i="19"/>
  <c r="CD13" i="19"/>
  <c r="CD14" i="19"/>
  <c r="CD15" i="19"/>
  <c r="CD16" i="19"/>
  <c r="CD17" i="19"/>
  <c r="CD18" i="19"/>
  <c r="CD19" i="19"/>
  <c r="CD20" i="19"/>
  <c r="CD21" i="19"/>
  <c r="CD22" i="19"/>
  <c r="CD23" i="19"/>
  <c r="CD24" i="19"/>
  <c r="CD25" i="19"/>
  <c r="CD26" i="19"/>
  <c r="CD27" i="19"/>
  <c r="CD28" i="19"/>
  <c r="CD29" i="19"/>
  <c r="CD30" i="19"/>
  <c r="CD31" i="19"/>
  <c r="CD32" i="19"/>
  <c r="CD33" i="19"/>
  <c r="CD34" i="19"/>
  <c r="CD35" i="19"/>
  <c r="CD36" i="19"/>
  <c r="CD7" i="19"/>
  <c r="BY8" i="19"/>
  <c r="BY9" i="19"/>
  <c r="BY10" i="19"/>
  <c r="BY11" i="19"/>
  <c r="BY12" i="19"/>
  <c r="BY13" i="19"/>
  <c r="BY14" i="19"/>
  <c r="BY15" i="19"/>
  <c r="BY16" i="19"/>
  <c r="BY17" i="19"/>
  <c r="BY18" i="19"/>
  <c r="BY19" i="19"/>
  <c r="BY20" i="19"/>
  <c r="BY21" i="19"/>
  <c r="BY22" i="19"/>
  <c r="BY23" i="19"/>
  <c r="BY24" i="19"/>
  <c r="BY25" i="19"/>
  <c r="BY26" i="19"/>
  <c r="BY27" i="19"/>
  <c r="BY28" i="19"/>
  <c r="BY29" i="19"/>
  <c r="BY30" i="19"/>
  <c r="BY31" i="19"/>
  <c r="BY32" i="19"/>
  <c r="BY33" i="19"/>
  <c r="BY34" i="19"/>
  <c r="BY35" i="19"/>
  <c r="BY36" i="19"/>
  <c r="BY7" i="19"/>
  <c r="BT8" i="19"/>
  <c r="BT9" i="19"/>
  <c r="BT10" i="19"/>
  <c r="BT11" i="19"/>
  <c r="BT12" i="19"/>
  <c r="BT13" i="19"/>
  <c r="BT14" i="19"/>
  <c r="BT15" i="19"/>
  <c r="BT16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5" i="19"/>
  <c r="BT36" i="19"/>
  <c r="BT7" i="19"/>
  <c r="BO8" i="19"/>
  <c r="BO9" i="19"/>
  <c r="BO10" i="19"/>
  <c r="BO11" i="19"/>
  <c r="BO12" i="19"/>
  <c r="BO13" i="19"/>
  <c r="BO14" i="19"/>
  <c r="BO15" i="19"/>
  <c r="BO16" i="19"/>
  <c r="BO17" i="19"/>
  <c r="BO18" i="19"/>
  <c r="BO19" i="19"/>
  <c r="BO20" i="19"/>
  <c r="BO21" i="19"/>
  <c r="BO22" i="19"/>
  <c r="BO23" i="19"/>
  <c r="BO24" i="19"/>
  <c r="BO25" i="19"/>
  <c r="BO26" i="19"/>
  <c r="BO27" i="19"/>
  <c r="BO28" i="19"/>
  <c r="BO29" i="19"/>
  <c r="BO30" i="19"/>
  <c r="BO31" i="19"/>
  <c r="BO32" i="19"/>
  <c r="BO33" i="19"/>
  <c r="BO34" i="19"/>
  <c r="BO35" i="19"/>
  <c r="BO36" i="19"/>
  <c r="BO7" i="19"/>
  <c r="BJ8" i="19"/>
  <c r="BJ9" i="19"/>
  <c r="BJ10" i="19"/>
  <c r="BJ11" i="19"/>
  <c r="BJ12" i="19"/>
  <c r="BJ13" i="19"/>
  <c r="BJ16" i="19"/>
  <c r="BJ17" i="19"/>
  <c r="BJ18" i="19"/>
  <c r="BJ19" i="19"/>
  <c r="BJ20" i="19"/>
  <c r="BJ21" i="19"/>
  <c r="BJ22" i="19"/>
  <c r="BJ23" i="19"/>
  <c r="BJ24" i="19"/>
  <c r="BJ25" i="19"/>
  <c r="BJ26" i="19"/>
  <c r="BJ27" i="19"/>
  <c r="BJ28" i="19"/>
  <c r="BJ29" i="19"/>
  <c r="BJ30" i="19"/>
  <c r="BJ31" i="19"/>
  <c r="BJ32" i="19"/>
  <c r="BJ33" i="19"/>
  <c r="BJ34" i="19"/>
  <c r="BJ35" i="19"/>
  <c r="BJ36" i="19"/>
  <c r="BJ7" i="19"/>
  <c r="BE8" i="19"/>
  <c r="BE9" i="19"/>
  <c r="BE10" i="19"/>
  <c r="BE11" i="19"/>
  <c r="BE12" i="19"/>
  <c r="BE13" i="19"/>
  <c r="BE14" i="19"/>
  <c r="BE15" i="19"/>
  <c r="BE16" i="19"/>
  <c r="BE17" i="19"/>
  <c r="BE18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AK8" i="19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5" i="19"/>
  <c r="AF36" i="19"/>
  <c r="AF7" i="19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Q29" i="19"/>
  <c r="S29" i="19" s="1"/>
  <c r="Q30" i="19"/>
  <c r="S30" i="19" s="1"/>
  <c r="Q31" i="19"/>
  <c r="S31" i="19" s="1"/>
  <c r="Q32" i="19"/>
  <c r="S32" i="19" s="1"/>
  <c r="Q33" i="19"/>
  <c r="S33" i="19" s="1"/>
  <c r="Q34" i="19"/>
  <c r="S34" i="19" s="1"/>
  <c r="Q35" i="19"/>
  <c r="S35" i="19" s="1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L28" i="19"/>
  <c r="N28" i="19" s="1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G35" i="19"/>
  <c r="I35" i="19" s="1"/>
  <c r="G36" i="19"/>
  <c r="I36" i="19" s="1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C12" i="12"/>
  <c r="E12" i="12" s="1"/>
  <c r="C13" i="12"/>
  <c r="E13" i="12" s="1"/>
  <c r="C14" i="12"/>
  <c r="E14" i="12" s="1"/>
  <c r="C15" i="12"/>
  <c r="E15" i="12" s="1"/>
  <c r="E16" i="12"/>
  <c r="E17" i="12"/>
  <c r="E18" i="12"/>
  <c r="E19" i="12"/>
  <c r="C20" i="12"/>
  <c r="E20" i="12" s="1"/>
  <c r="C21" i="12"/>
  <c r="E21" i="12" s="1"/>
  <c r="C22" i="12"/>
  <c r="E22" i="12" s="1"/>
  <c r="C23" i="12"/>
  <c r="E23" i="12" s="1"/>
  <c r="C24" i="12"/>
  <c r="E24" i="12" s="1"/>
  <c r="C25" i="12"/>
  <c r="E25" i="12" s="1"/>
  <c r="FH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C33" i="12"/>
  <c r="E33" i="12" s="1"/>
  <c r="C34" i="12"/>
  <c r="E34" i="12" s="1"/>
  <c r="FH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35" i="9"/>
  <c r="H35" i="9" s="1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6" i="9"/>
  <c r="D6" i="9" s="1"/>
  <c r="B12" i="7"/>
  <c r="D12" i="7" s="1"/>
  <c r="B13" i="7"/>
  <c r="D13" i="7" s="1"/>
  <c r="B14" i="7"/>
  <c r="D14" i="7" s="1"/>
  <c r="B15" i="7"/>
  <c r="D15" i="7" s="1"/>
  <c r="B16" i="7"/>
  <c r="D16" i="7" s="1"/>
  <c r="B17" i="7"/>
  <c r="D17" i="7" s="1"/>
  <c r="B18" i="7"/>
  <c r="D18" i="7" s="1"/>
  <c r="B19" i="7"/>
  <c r="D19" i="7" s="1"/>
  <c r="B20" i="7"/>
  <c r="D20" i="7" s="1"/>
  <c r="B21" i="7"/>
  <c r="D21" i="7" s="1"/>
  <c r="B22" i="7"/>
  <c r="D22" i="7" s="1"/>
  <c r="B23" i="7"/>
  <c r="D23" i="7" s="1"/>
  <c r="B24" i="7"/>
  <c r="D24" i="7" s="1"/>
  <c r="B25" i="7"/>
  <c r="D25" i="7" s="1"/>
  <c r="B26" i="7"/>
  <c r="D26" i="7" s="1"/>
  <c r="B27" i="7"/>
  <c r="D27" i="7" s="1"/>
  <c r="B28" i="7"/>
  <c r="D28" i="7" s="1"/>
  <c r="B29" i="7"/>
  <c r="D29" i="7" s="1"/>
  <c r="B30" i="7"/>
  <c r="D30" i="7" s="1"/>
  <c r="B31" i="7"/>
  <c r="D31" i="7" s="1"/>
  <c r="B32" i="7"/>
  <c r="D32" i="7" s="1"/>
  <c r="B33" i="7"/>
  <c r="D33" i="7" s="1"/>
  <c r="B34" i="7"/>
  <c r="D34" i="7" s="1"/>
  <c r="B35" i="7"/>
  <c r="D35" i="7" s="1"/>
  <c r="B36" i="7"/>
  <c r="D36" i="7" s="1"/>
  <c r="B37" i="7"/>
  <c r="D37" i="7" s="1"/>
  <c r="B38" i="7"/>
  <c r="D38" i="7" s="1"/>
  <c r="B39" i="7"/>
  <c r="D39" i="7" s="1"/>
  <c r="B40" i="7"/>
  <c r="D40" i="7" s="1"/>
  <c r="B11" i="7"/>
  <c r="D11" i="7" s="1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D25" i="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B12" i="5"/>
  <c r="D12" i="5" s="1"/>
  <c r="B13" i="5"/>
  <c r="D13" i="5" s="1"/>
  <c r="B14" i="5"/>
  <c r="D14" i="5" s="1"/>
  <c r="B15" i="5"/>
  <c r="D15" i="5" s="1"/>
  <c r="B16" i="5"/>
  <c r="D16" i="5" s="1"/>
  <c r="B17" i="5"/>
  <c r="D17" i="5" s="1"/>
  <c r="B18" i="5"/>
  <c r="D18" i="5" s="1"/>
  <c r="B19" i="5"/>
  <c r="D19" i="5" s="1"/>
  <c r="B20" i="5"/>
  <c r="D20" i="5" s="1"/>
  <c r="B21" i="5"/>
  <c r="D21" i="5" s="1"/>
  <c r="B22" i="5"/>
  <c r="D22" i="5" s="1"/>
  <c r="B23" i="5"/>
  <c r="D23" i="5" s="1"/>
  <c r="B24" i="5"/>
  <c r="D24" i="5" s="1"/>
  <c r="B25" i="5"/>
  <c r="D25" i="5" s="1"/>
  <c r="B26" i="5"/>
  <c r="D26" i="5" s="1"/>
  <c r="B27" i="5"/>
  <c r="D27" i="5" s="1"/>
  <c r="B28" i="5"/>
  <c r="D28" i="5" s="1"/>
  <c r="B29" i="5"/>
  <c r="D29" i="5" s="1"/>
  <c r="B30" i="5"/>
  <c r="D30" i="5" s="1"/>
  <c r="B31" i="5"/>
  <c r="D31" i="5" s="1"/>
  <c r="B32" i="5"/>
  <c r="D32" i="5" s="1"/>
  <c r="B33" i="5"/>
  <c r="D33" i="5" s="1"/>
  <c r="B34" i="5"/>
  <c r="D34" i="5" s="1"/>
  <c r="B35" i="5"/>
  <c r="D35" i="5" s="1"/>
  <c r="B36" i="5"/>
  <c r="D36" i="5" s="1"/>
  <c r="B37" i="5"/>
  <c r="D37" i="5" s="1"/>
  <c r="B38" i="5"/>
  <c r="D38" i="5" s="1"/>
  <c r="B39" i="5"/>
  <c r="D39" i="5" s="1"/>
  <c r="B40" i="5"/>
  <c r="D40" i="5" s="1"/>
  <c r="B11" i="5"/>
  <c r="D11" i="5" s="1"/>
  <c r="B12" i="3"/>
  <c r="D12" i="3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D13" i="4" s="1"/>
  <c r="B14" i="4"/>
  <c r="D14" i="4" s="1"/>
  <c r="B15" i="4"/>
  <c r="D15" i="4" s="1"/>
  <c r="B16" i="4"/>
  <c r="D16" i="4" s="1"/>
  <c r="B17" i="4"/>
  <c r="D17" i="4" s="1"/>
  <c r="B18" i="4"/>
  <c r="D18" i="4" s="1"/>
  <c r="B19" i="4"/>
  <c r="D19" i="4" s="1"/>
  <c r="B20" i="4"/>
  <c r="D20" i="4" s="1"/>
  <c r="B21" i="4"/>
  <c r="D21" i="4" s="1"/>
  <c r="B22" i="4"/>
  <c r="D22" i="4" s="1"/>
  <c r="B23" i="4"/>
  <c r="D23" i="4" s="1"/>
  <c r="B24" i="4"/>
  <c r="D24" i="4" s="1"/>
  <c r="B25" i="4"/>
  <c r="D25" i="4" s="1"/>
  <c r="B26" i="4"/>
  <c r="D26" i="4" s="1"/>
  <c r="B27" i="4"/>
  <c r="D27" i="4" s="1"/>
  <c r="B28" i="4"/>
  <c r="D28" i="4" s="1"/>
  <c r="B29" i="4"/>
  <c r="D29" i="4" s="1"/>
  <c r="B30" i="4"/>
  <c r="D30" i="4" s="1"/>
  <c r="B31" i="4"/>
  <c r="D31" i="4" s="1"/>
  <c r="B32" i="4"/>
  <c r="D32" i="4" s="1"/>
  <c r="B33" i="4"/>
  <c r="D33" i="4" s="1"/>
  <c r="B34" i="4"/>
  <c r="D34" i="4" s="1"/>
  <c r="B35" i="4"/>
  <c r="D35" i="4" s="1"/>
  <c r="B36" i="4"/>
  <c r="D36" i="4" s="1"/>
  <c r="B37" i="4"/>
  <c r="D37" i="4" s="1"/>
  <c r="B38" i="4"/>
  <c r="D38" i="4" s="1"/>
  <c r="B39" i="4"/>
  <c r="D39" i="4" s="1"/>
  <c r="B40" i="4"/>
  <c r="D40" i="4" s="1"/>
  <c r="B12" i="4"/>
  <c r="D12" i="4" s="1"/>
  <c r="B11" i="4"/>
  <c r="D11" i="4" s="1"/>
  <c r="FH30" i="12" l="1"/>
  <c r="FH17" i="12"/>
  <c r="FH26" i="12"/>
  <c r="FL26" i="12"/>
  <c r="FJ18" i="12"/>
  <c r="FH14" i="12"/>
  <c r="CM14" i="12"/>
  <c r="FR21" i="12"/>
  <c r="FR12" i="12"/>
  <c r="FP18" i="12"/>
  <c r="CM15" i="12"/>
  <c r="FP12" i="12"/>
  <c r="FH35" i="12"/>
  <c r="D41" i="3"/>
  <c r="FR35" i="12"/>
  <c r="FN35" i="12"/>
  <c r="FL35" i="12"/>
  <c r="FJ35" i="12"/>
  <c r="V9" i="19"/>
  <c r="V12" i="19"/>
  <c r="FP27" i="12"/>
  <c r="FR27" i="12"/>
  <c r="FL25" i="12"/>
  <c r="FR23" i="12"/>
  <c r="FP24" i="12"/>
  <c r="FP23" i="12"/>
  <c r="FN23" i="12"/>
  <c r="FH24" i="12"/>
  <c r="FR22" i="12"/>
  <c r="FP22" i="12"/>
  <c r="FP21" i="12"/>
  <c r="FP19" i="12"/>
  <c r="FL21" i="12"/>
  <c r="FL18" i="12"/>
  <c r="FN18" i="12"/>
  <c r="FN17" i="12"/>
  <c r="FL17" i="12"/>
  <c r="FJ17" i="12"/>
  <c r="FH15" i="12"/>
  <c r="FR15" i="12"/>
  <c r="FN15" i="12"/>
  <c r="FN14" i="12"/>
  <c r="FL15" i="12"/>
  <c r="FL14" i="12"/>
  <c r="FJ13" i="12"/>
  <c r="FJ12" i="12"/>
  <c r="FH28" i="12"/>
  <c r="FH27" i="12"/>
  <c r="FH23" i="12"/>
  <c r="FL20" i="12"/>
  <c r="FN20" i="12"/>
  <c r="FR10" i="12"/>
  <c r="FH18" i="12"/>
  <c r="FR24" i="12"/>
  <c r="FN24" i="12"/>
  <c r="FJ22" i="12"/>
  <c r="FL22" i="12"/>
  <c r="FN22" i="12"/>
  <c r="FL19" i="12"/>
  <c r="FP35" i="12"/>
  <c r="FP20" i="12"/>
  <c r="FR20" i="12"/>
  <c r="FR19" i="12"/>
  <c r="FR18" i="12"/>
  <c r="FR13" i="12"/>
  <c r="FR11" i="12"/>
  <c r="FP13" i="12"/>
  <c r="FP10" i="12"/>
  <c r="FN12" i="12"/>
  <c r="FN11" i="12"/>
  <c r="FN9" i="12"/>
  <c r="FL13" i="12"/>
  <c r="FL12" i="12"/>
  <c r="FH10" i="12"/>
  <c r="FN10" i="12"/>
  <c r="FL10" i="12"/>
  <c r="FJ10" i="12"/>
  <c r="FP8" i="12"/>
  <c r="FP6" i="12"/>
  <c r="FP7" i="12"/>
  <c r="FN8" i="12"/>
  <c r="FL9" i="12"/>
  <c r="FJ8" i="12"/>
  <c r="FR8" i="12"/>
  <c r="FR7" i="12"/>
  <c r="FR34" i="12"/>
  <c r="FR28" i="12"/>
  <c r="FR26" i="12"/>
  <c r="FR25" i="12"/>
  <c r="FR14" i="12"/>
  <c r="FR9" i="12"/>
  <c r="FR17" i="12"/>
  <c r="FP25" i="12"/>
  <c r="FJ21" i="12"/>
  <c r="FJ20" i="12"/>
  <c r="FJ19" i="12"/>
  <c r="FJ25" i="12"/>
  <c r="FJ15" i="12"/>
  <c r="FJ14" i="12"/>
  <c r="FJ26" i="12"/>
  <c r="FP15" i="12"/>
  <c r="FP14" i="12"/>
  <c r="FP11" i="12"/>
  <c r="FP9" i="12"/>
  <c r="FP26" i="12"/>
  <c r="FP17" i="12"/>
  <c r="FN26" i="12"/>
  <c r="FN25" i="12"/>
  <c r="FN21" i="12"/>
  <c r="FN19" i="12"/>
  <c r="FN6" i="12"/>
  <c r="FN16" i="12"/>
  <c r="FN13" i="12"/>
  <c r="FN27" i="12"/>
  <c r="FN7" i="12"/>
  <c r="FL24" i="12"/>
  <c r="FL23" i="12"/>
  <c r="FL6" i="12"/>
  <c r="FL16" i="12"/>
  <c r="FL11" i="12"/>
  <c r="FL8" i="12"/>
  <c r="FL27" i="12"/>
  <c r="FL7" i="12"/>
  <c r="FJ24" i="12"/>
  <c r="FJ23" i="12"/>
  <c r="FJ6" i="12"/>
  <c r="FJ16" i="12"/>
  <c r="FJ11" i="12"/>
  <c r="FJ9" i="12"/>
  <c r="FJ27" i="12"/>
  <c r="FJ7" i="12"/>
  <c r="FH16" i="12"/>
  <c r="FR33" i="12"/>
  <c r="FR32" i="12"/>
  <c r="FR31" i="12"/>
  <c r="FR30" i="12"/>
  <c r="FP34" i="12"/>
  <c r="FP33" i="12"/>
  <c r="FP32" i="12"/>
  <c r="FN34" i="12"/>
  <c r="FN33" i="12"/>
  <c r="FN32" i="12"/>
  <c r="FL34" i="12"/>
  <c r="FL33" i="12"/>
  <c r="FJ34" i="12"/>
  <c r="FJ33" i="12"/>
  <c r="FP31" i="12"/>
  <c r="FN31" i="12"/>
  <c r="FL32" i="12"/>
  <c r="FL31" i="12"/>
  <c r="FJ32" i="12"/>
  <c r="FJ31" i="12"/>
  <c r="FR29" i="12"/>
  <c r="FP30" i="12"/>
  <c r="FP29" i="12"/>
  <c r="FP28" i="12"/>
  <c r="FN30" i="12"/>
  <c r="FN29" i="12"/>
  <c r="FN28" i="12"/>
  <c r="FL30" i="12"/>
  <c r="FL29" i="12"/>
  <c r="FL28" i="12"/>
  <c r="FJ30" i="12"/>
  <c r="FJ29" i="12"/>
  <c r="FJ28" i="12"/>
  <c r="FH33" i="12"/>
  <c r="FH13" i="12"/>
  <c r="FH31" i="12"/>
  <c r="FH11" i="12"/>
  <c r="FH32" i="12"/>
  <c r="FH12" i="12"/>
  <c r="FH29" i="12"/>
  <c r="FH9" i="12"/>
  <c r="FH20" i="12"/>
  <c r="FH8" i="12"/>
  <c r="FH7" i="12"/>
  <c r="FH22" i="12"/>
  <c r="FH21" i="12"/>
  <c r="FH19" i="12"/>
  <c r="FH6" i="12"/>
  <c r="A5" i="22"/>
  <c r="A6" i="22" s="1"/>
  <c r="A7" i="22" s="1"/>
  <c r="A8" i="22" s="1"/>
  <c r="FF6" i="12"/>
  <c r="FF7" i="12"/>
  <c r="FF9" i="12"/>
  <c r="FE10" i="12"/>
  <c r="FE11" i="12"/>
  <c r="FF13" i="12"/>
  <c r="FF14" i="12"/>
  <c r="FE15" i="12"/>
  <c r="FF17" i="12"/>
  <c r="FF18" i="12"/>
  <c r="FE18" i="12"/>
  <c r="FF19" i="12"/>
  <c r="FF21" i="12"/>
  <c r="FF23" i="12"/>
  <c r="FF25" i="12"/>
  <c r="FF26" i="12"/>
  <c r="FE27" i="12"/>
  <c r="FF29" i="12"/>
  <c r="FF30" i="12"/>
  <c r="FE31" i="12"/>
  <c r="FF33" i="12"/>
  <c r="FF34" i="12"/>
  <c r="EZ10" i="12"/>
  <c r="EZ14" i="12"/>
  <c r="EZ24" i="12"/>
  <c r="FE25" i="12" l="1"/>
  <c r="EZ26" i="12"/>
  <c r="EZ23" i="12"/>
  <c r="FE35" i="12"/>
  <c r="FF35" i="12"/>
  <c r="EZ34" i="12"/>
  <c r="EZ15" i="12"/>
  <c r="EZ11" i="12"/>
  <c r="FE26" i="12"/>
  <c r="FE21" i="12"/>
  <c r="FE22" i="12"/>
  <c r="FE19" i="12"/>
  <c r="EZ18" i="12"/>
  <c r="FE9" i="12"/>
  <c r="EZ9" i="12"/>
  <c r="FE16" i="12"/>
  <c r="FF10" i="12"/>
  <c r="EZ25" i="12"/>
  <c r="EZ19" i="12"/>
  <c r="FE32" i="12"/>
  <c r="EZ31" i="12"/>
  <c r="FF31" i="12"/>
  <c r="FE20" i="12"/>
  <c r="FF15" i="12"/>
  <c r="EZ35" i="12"/>
  <c r="EZ16" i="12"/>
  <c r="EZ27" i="12"/>
  <c r="EZ22" i="12"/>
  <c r="FE34" i="12"/>
  <c r="FE28" i="12"/>
  <c r="FE14" i="12"/>
  <c r="FE12" i="12"/>
  <c r="FE33" i="12"/>
  <c r="FF27" i="12"/>
  <c r="FE24" i="12"/>
  <c r="FF22" i="12"/>
  <c r="FE17" i="12"/>
  <c r="FF11" i="12"/>
  <c r="FE8" i="12"/>
  <c r="FE23" i="12"/>
  <c r="FE30" i="12"/>
  <c r="FD36" i="12"/>
  <c r="FE29" i="12"/>
  <c r="FE13" i="12"/>
  <c r="FE6" i="12"/>
  <c r="FE7" i="12"/>
  <c r="EZ32" i="12"/>
  <c r="EZ28" i="12"/>
  <c r="EZ21" i="12"/>
  <c r="EZ30" i="12"/>
  <c r="EZ17" i="12"/>
  <c r="EZ8" i="12"/>
  <c r="EZ7" i="12"/>
  <c r="EZ33" i="12"/>
  <c r="EZ20" i="12"/>
  <c r="EZ13" i="12"/>
  <c r="EY36" i="12"/>
  <c r="EZ6" i="12"/>
  <c r="FF32" i="12"/>
  <c r="FF28" i="12"/>
  <c r="FF24" i="12"/>
  <c r="FF20" i="12"/>
  <c r="FF16" i="12"/>
  <c r="FF12" i="12"/>
  <c r="FF8" i="12"/>
  <c r="EZ12" i="12"/>
  <c r="EZ29" i="12"/>
  <c r="AH36" i="19" l="1"/>
  <c r="DY35" i="19" l="1"/>
  <c r="DT35" i="19"/>
  <c r="DO35" i="19"/>
  <c r="DJ35" i="19"/>
  <c r="AH35" i="19"/>
  <c r="AI36" i="19" s="1"/>
  <c r="AC35" i="19"/>
  <c r="CP8" i="19" l="1"/>
  <c r="K32" i="17" l="1"/>
  <c r="L32" i="17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C5" i="22"/>
  <c r="E32" i="17" l="1"/>
  <c r="BQ12" i="19" l="1"/>
  <c r="BQ13" i="19"/>
  <c r="BQ14" i="19"/>
  <c r="BQ15" i="19"/>
  <c r="BQ16" i="19"/>
  <c r="BQ17" i="19"/>
  <c r="BQ18" i="19"/>
  <c r="AH6" i="19"/>
  <c r="K31" i="17"/>
  <c r="L31" i="17"/>
  <c r="BR18" i="19" l="1"/>
  <c r="BR16" i="19"/>
  <c r="BR15" i="19"/>
  <c r="BR14" i="19"/>
  <c r="BR13" i="19"/>
  <c r="BR17" i="19"/>
  <c r="DE35" i="19"/>
  <c r="CU35" i="19"/>
  <c r="CP35" i="19"/>
  <c r="CK35" i="19"/>
  <c r="CF35" i="19"/>
  <c r="CA35" i="19"/>
  <c r="BV35" i="19"/>
  <c r="BQ11" i="19"/>
  <c r="BR12" i="19" s="1"/>
  <c r="BQ35" i="19"/>
  <c r="BL35" i="19"/>
  <c r="BG35" i="19"/>
  <c r="BB34" i="19"/>
  <c r="BB35" i="19"/>
  <c r="AW35" i="19"/>
  <c r="AR35" i="19"/>
  <c r="AM33" i="19"/>
  <c r="AM34" i="19"/>
  <c r="AM35" i="19"/>
  <c r="BC35" i="19" l="1"/>
  <c r="AN35" i="19"/>
  <c r="AN34" i="19"/>
  <c r="EQ35" i="19"/>
  <c r="DY8" i="19"/>
  <c r="DZ8" i="19" s="1"/>
  <c r="DY9" i="19"/>
  <c r="DY10" i="19"/>
  <c r="DY11" i="19"/>
  <c r="DY12" i="19"/>
  <c r="DY13" i="19"/>
  <c r="DY14" i="19"/>
  <c r="DY15" i="19"/>
  <c r="DY16" i="19"/>
  <c r="DY17" i="19"/>
  <c r="DY18" i="19"/>
  <c r="DY19" i="19"/>
  <c r="DY20" i="19"/>
  <c r="DY21" i="19"/>
  <c r="DY22" i="19"/>
  <c r="DY23" i="19"/>
  <c r="DY24" i="19"/>
  <c r="DY25" i="19"/>
  <c r="DY26" i="19"/>
  <c r="DY27" i="19"/>
  <c r="DY28" i="19"/>
  <c r="DY29" i="19"/>
  <c r="DY30" i="19"/>
  <c r="DY31" i="19"/>
  <c r="DY32" i="19"/>
  <c r="DY33" i="19"/>
  <c r="DY34" i="19"/>
  <c r="DZ35" i="19" s="1"/>
  <c r="DY36" i="19"/>
  <c r="DZ36" i="19" s="1"/>
  <c r="DJ6" i="19"/>
  <c r="DO6" i="19"/>
  <c r="DT6" i="19"/>
  <c r="DJ7" i="19"/>
  <c r="DO7" i="19"/>
  <c r="DT7" i="19"/>
  <c r="DJ8" i="19"/>
  <c r="DK8" i="19" s="1"/>
  <c r="DO8" i="19"/>
  <c r="DP8" i="19" s="1"/>
  <c r="DT8" i="19"/>
  <c r="DJ9" i="19"/>
  <c r="DO9" i="19"/>
  <c r="DT9" i="19"/>
  <c r="DJ10" i="19"/>
  <c r="DO10" i="19"/>
  <c r="DP10" i="19" s="1"/>
  <c r="DT10" i="19"/>
  <c r="DJ11" i="19"/>
  <c r="DO11" i="19"/>
  <c r="DP11" i="19" s="1"/>
  <c r="DT11" i="19"/>
  <c r="DJ12" i="19"/>
  <c r="DO12" i="19"/>
  <c r="DP12" i="19" s="1"/>
  <c r="DT12" i="19"/>
  <c r="DJ13" i="19"/>
  <c r="DO13" i="19"/>
  <c r="DT13" i="19"/>
  <c r="DJ14" i="19"/>
  <c r="DO14" i="19"/>
  <c r="DP14" i="19" s="1"/>
  <c r="DT14" i="19"/>
  <c r="DJ15" i="19"/>
  <c r="DK15" i="19" s="1"/>
  <c r="DO15" i="19"/>
  <c r="DT15" i="19"/>
  <c r="DJ16" i="19"/>
  <c r="DO16" i="19"/>
  <c r="DT16" i="19"/>
  <c r="DJ17" i="19"/>
  <c r="DO17" i="19"/>
  <c r="DT17" i="19"/>
  <c r="DJ18" i="19"/>
  <c r="DO18" i="19"/>
  <c r="DT18" i="19"/>
  <c r="DJ19" i="19"/>
  <c r="DO19" i="19"/>
  <c r="DP19" i="19" s="1"/>
  <c r="DT19" i="19"/>
  <c r="DJ20" i="19"/>
  <c r="DO20" i="19"/>
  <c r="DT20" i="19"/>
  <c r="DJ21" i="19"/>
  <c r="DO21" i="19"/>
  <c r="DP21" i="19" s="1"/>
  <c r="DT21" i="19"/>
  <c r="DJ22" i="19"/>
  <c r="DO22" i="19"/>
  <c r="DT22" i="19"/>
  <c r="DJ23" i="19"/>
  <c r="DO23" i="19"/>
  <c r="DT23" i="19"/>
  <c r="DJ24" i="19"/>
  <c r="DK24" i="19" s="1"/>
  <c r="DO24" i="19"/>
  <c r="DT24" i="19"/>
  <c r="DJ25" i="19"/>
  <c r="DO25" i="19"/>
  <c r="DT25" i="19"/>
  <c r="DU25" i="19" s="1"/>
  <c r="DJ26" i="19"/>
  <c r="DO26" i="19"/>
  <c r="DP26" i="19" s="1"/>
  <c r="DT26" i="19"/>
  <c r="DJ27" i="19"/>
  <c r="DO27" i="19"/>
  <c r="DT27" i="19"/>
  <c r="DJ28" i="19"/>
  <c r="DK28" i="19" s="1"/>
  <c r="DO28" i="19"/>
  <c r="DT28" i="19"/>
  <c r="DJ29" i="19"/>
  <c r="DO29" i="19"/>
  <c r="DT29" i="19"/>
  <c r="DJ30" i="19"/>
  <c r="DO30" i="19"/>
  <c r="DT30" i="19"/>
  <c r="DU30" i="19" s="1"/>
  <c r="DJ31" i="19"/>
  <c r="DO31" i="19"/>
  <c r="DP31" i="19" s="1"/>
  <c r="DT31" i="19"/>
  <c r="DJ32" i="19"/>
  <c r="DO32" i="19"/>
  <c r="DT32" i="19"/>
  <c r="DJ33" i="19"/>
  <c r="DO33" i="19"/>
  <c r="DT33" i="19"/>
  <c r="DJ34" i="19"/>
  <c r="DK35" i="19" s="1"/>
  <c r="DO34" i="19"/>
  <c r="DP35" i="19" s="1"/>
  <c r="DT34" i="19"/>
  <c r="DU35" i="19" s="1"/>
  <c r="DJ36" i="19"/>
  <c r="DK36" i="19" s="1"/>
  <c r="DO36" i="19"/>
  <c r="DP36" i="19" s="1"/>
  <c r="DT36" i="19"/>
  <c r="DU36" i="19" s="1"/>
  <c r="AW6" i="19"/>
  <c r="BB6" i="19"/>
  <c r="BG6" i="19"/>
  <c r="BL6" i="19"/>
  <c r="BQ6" i="19"/>
  <c r="BV6" i="19"/>
  <c r="BW7" i="19" s="1"/>
  <c r="CA6" i="19"/>
  <c r="CF6" i="19"/>
  <c r="CG7" i="19" s="1"/>
  <c r="CK6" i="19"/>
  <c r="CP6" i="19"/>
  <c r="CU6" i="19"/>
  <c r="CV7" i="19" s="1"/>
  <c r="CZ6" i="19"/>
  <c r="DE6" i="19"/>
  <c r="AR7" i="19"/>
  <c r="AW7" i="19"/>
  <c r="BB7" i="19"/>
  <c r="BG7" i="19"/>
  <c r="BL7" i="19"/>
  <c r="BQ7" i="19"/>
  <c r="BV7" i="19"/>
  <c r="CA7" i="19"/>
  <c r="CF7" i="19"/>
  <c r="CK7" i="19"/>
  <c r="CP7" i="19"/>
  <c r="CQ8" i="19" s="1"/>
  <c r="CU7" i="19"/>
  <c r="CZ7" i="19"/>
  <c r="DE7" i="19"/>
  <c r="AR8" i="19"/>
  <c r="AW8" i="19"/>
  <c r="BB8" i="19"/>
  <c r="BG8" i="19"/>
  <c r="BL8" i="19"/>
  <c r="BQ8" i="19"/>
  <c r="BV8" i="19"/>
  <c r="BW8" i="19" s="1"/>
  <c r="CA8" i="19"/>
  <c r="CB8" i="19" s="1"/>
  <c r="CF8" i="19"/>
  <c r="CG8" i="19" s="1"/>
  <c r="CK8" i="19"/>
  <c r="CL8" i="19" s="1"/>
  <c r="CU8" i="19"/>
  <c r="CZ8" i="19"/>
  <c r="DE8" i="19"/>
  <c r="AR9" i="19"/>
  <c r="AW9" i="19"/>
  <c r="BB9" i="19"/>
  <c r="BG9" i="19"/>
  <c r="BL9" i="19"/>
  <c r="BQ9" i="19"/>
  <c r="BV9" i="19"/>
  <c r="CA9" i="19"/>
  <c r="CF9" i="19"/>
  <c r="CK9" i="19"/>
  <c r="CP9" i="19"/>
  <c r="CQ9" i="19" s="1"/>
  <c r="CU9" i="19"/>
  <c r="CZ9" i="19"/>
  <c r="DE9" i="19"/>
  <c r="DF9" i="19" s="1"/>
  <c r="AR10" i="19"/>
  <c r="AS10" i="19" s="1"/>
  <c r="AW10" i="19"/>
  <c r="AX10" i="19" s="1"/>
  <c r="BB10" i="19"/>
  <c r="BC10" i="19" s="1"/>
  <c r="BG10" i="19"/>
  <c r="BL10" i="19"/>
  <c r="BQ10" i="19"/>
  <c r="BV10" i="19"/>
  <c r="CA10" i="19"/>
  <c r="CF10" i="19"/>
  <c r="CK10" i="19"/>
  <c r="CP10" i="19"/>
  <c r="CU10" i="19"/>
  <c r="CZ10" i="19"/>
  <c r="DE10" i="19"/>
  <c r="AR11" i="19"/>
  <c r="AW11" i="19"/>
  <c r="BB11" i="19"/>
  <c r="BG11" i="19"/>
  <c r="BL11" i="19"/>
  <c r="BV11" i="19"/>
  <c r="BW11" i="19" s="1"/>
  <c r="CA11" i="19"/>
  <c r="CB11" i="19" s="1"/>
  <c r="CF11" i="19"/>
  <c r="CG11" i="19" s="1"/>
  <c r="CK11" i="19"/>
  <c r="CL11" i="19" s="1"/>
  <c r="CP11" i="19"/>
  <c r="CU11" i="19"/>
  <c r="CZ11" i="19"/>
  <c r="DE11" i="19"/>
  <c r="AR12" i="19"/>
  <c r="AW12" i="19"/>
  <c r="BB12" i="19"/>
  <c r="BG12" i="19"/>
  <c r="BL12" i="19"/>
  <c r="BV12" i="19"/>
  <c r="CA12" i="19"/>
  <c r="CF12" i="19"/>
  <c r="CK12" i="19"/>
  <c r="CP12" i="19"/>
  <c r="CU12" i="19"/>
  <c r="CV12" i="19" s="1"/>
  <c r="CZ12" i="19"/>
  <c r="DE12" i="19"/>
  <c r="DF12" i="19" s="1"/>
  <c r="AR13" i="19"/>
  <c r="AS13" i="19" s="1"/>
  <c r="AW13" i="19"/>
  <c r="AX13" i="19" s="1"/>
  <c r="BB13" i="19"/>
  <c r="BC13" i="19" s="1"/>
  <c r="BG13" i="19"/>
  <c r="BL13" i="19"/>
  <c r="BV13" i="19"/>
  <c r="CA13" i="19"/>
  <c r="CF13" i="19"/>
  <c r="CK13" i="19"/>
  <c r="CP13" i="19"/>
  <c r="CU13" i="19"/>
  <c r="CZ13" i="19"/>
  <c r="DE13" i="19"/>
  <c r="AR14" i="19"/>
  <c r="AW14" i="19"/>
  <c r="BB14" i="19"/>
  <c r="BG14" i="19"/>
  <c r="BV14" i="19"/>
  <c r="BW14" i="19" s="1"/>
  <c r="CA14" i="19"/>
  <c r="CB14" i="19" s="1"/>
  <c r="CF14" i="19"/>
  <c r="CG14" i="19" s="1"/>
  <c r="CK14" i="19"/>
  <c r="CL14" i="19" s="1"/>
  <c r="CP14" i="19"/>
  <c r="CU14" i="19"/>
  <c r="CV14" i="19" s="1"/>
  <c r="CZ14" i="19"/>
  <c r="DE14" i="19"/>
  <c r="AR15" i="19"/>
  <c r="AW15" i="19"/>
  <c r="BB15" i="19"/>
  <c r="BG15" i="19"/>
  <c r="BL15" i="19"/>
  <c r="BM15" i="19" s="1"/>
  <c r="BV15" i="19"/>
  <c r="CA15" i="19"/>
  <c r="CF15" i="19"/>
  <c r="CK15" i="19"/>
  <c r="CU15" i="19"/>
  <c r="CZ15" i="19"/>
  <c r="DE15" i="19"/>
  <c r="DF15" i="19" s="1"/>
  <c r="AR16" i="19"/>
  <c r="AS16" i="19" s="1"/>
  <c r="AW16" i="19"/>
  <c r="AX16" i="19" s="1"/>
  <c r="BB16" i="19"/>
  <c r="BC16" i="19" s="1"/>
  <c r="BG16" i="19"/>
  <c r="BH16" i="19" s="1"/>
  <c r="BL16" i="19"/>
  <c r="BV16" i="19"/>
  <c r="BW16" i="19" s="1"/>
  <c r="CA16" i="19"/>
  <c r="CF16" i="19"/>
  <c r="CK16" i="19"/>
  <c r="CP16" i="19"/>
  <c r="CQ16" i="19" s="1"/>
  <c r="CU16" i="19"/>
  <c r="CZ16" i="19"/>
  <c r="DE16" i="19"/>
  <c r="AR17" i="19"/>
  <c r="AW17" i="19"/>
  <c r="BB17" i="19"/>
  <c r="BG17" i="19"/>
  <c r="BL17" i="19"/>
  <c r="BV17" i="19"/>
  <c r="CA17" i="19"/>
  <c r="CF17" i="19"/>
  <c r="CK17" i="19"/>
  <c r="CL17" i="19" s="1"/>
  <c r="CP17" i="19"/>
  <c r="CQ17" i="19" s="1"/>
  <c r="CU17" i="19"/>
  <c r="CV17" i="19" s="1"/>
  <c r="CZ17" i="19"/>
  <c r="DA17" i="19" s="1"/>
  <c r="DE17" i="19"/>
  <c r="DF17" i="19" s="1"/>
  <c r="AR18" i="19"/>
  <c r="AW18" i="19"/>
  <c r="BB18" i="19"/>
  <c r="BG18" i="19"/>
  <c r="BL18" i="19"/>
  <c r="BV18" i="19"/>
  <c r="CA18" i="19"/>
  <c r="CF18" i="19"/>
  <c r="CK18" i="19"/>
  <c r="CP18" i="19"/>
  <c r="CU18" i="19"/>
  <c r="CZ18" i="19"/>
  <c r="DE18" i="19"/>
  <c r="AR19" i="19"/>
  <c r="AW19" i="19"/>
  <c r="AX19" i="19" s="1"/>
  <c r="BB19" i="19"/>
  <c r="BG19" i="19"/>
  <c r="BH19" i="19" s="1"/>
  <c r="BL19" i="19"/>
  <c r="BM19" i="19" s="1"/>
  <c r="BQ19" i="19"/>
  <c r="BR19" i="19" s="1"/>
  <c r="BV19" i="19"/>
  <c r="BW19" i="19" s="1"/>
  <c r="CA19" i="19"/>
  <c r="CF19" i="19"/>
  <c r="CK19" i="19"/>
  <c r="CP19" i="19"/>
  <c r="CU19" i="19"/>
  <c r="CZ19" i="19"/>
  <c r="DE19" i="19"/>
  <c r="AR20" i="19"/>
  <c r="AW20" i="19"/>
  <c r="BB20" i="19"/>
  <c r="BG20" i="19"/>
  <c r="BL20" i="19"/>
  <c r="BQ20" i="19"/>
  <c r="BV20" i="19"/>
  <c r="CA20" i="19"/>
  <c r="CF20" i="19"/>
  <c r="CG20" i="19" s="1"/>
  <c r="CK20" i="19"/>
  <c r="CP20" i="19"/>
  <c r="CQ20" i="19" s="1"/>
  <c r="CU20" i="19"/>
  <c r="CV20" i="19" s="1"/>
  <c r="CZ20" i="19"/>
  <c r="DE20" i="19"/>
  <c r="AR21" i="19"/>
  <c r="AW21" i="19"/>
  <c r="BB21" i="19"/>
  <c r="BG21" i="19"/>
  <c r="BL21" i="19"/>
  <c r="BQ21" i="19"/>
  <c r="BV21" i="19"/>
  <c r="CA21" i="19"/>
  <c r="CF21" i="19"/>
  <c r="CK21" i="19"/>
  <c r="CP21" i="19"/>
  <c r="CU21" i="19"/>
  <c r="CZ21" i="19"/>
  <c r="DE21" i="19"/>
  <c r="AR22" i="19"/>
  <c r="AS22" i="19" s="1"/>
  <c r="AW22" i="19"/>
  <c r="AX22" i="19" s="1"/>
  <c r="BB22" i="19"/>
  <c r="BC22" i="19" s="1"/>
  <c r="BG22" i="19"/>
  <c r="BH22" i="19" s="1"/>
  <c r="BL22" i="19"/>
  <c r="BM22" i="19" s="1"/>
  <c r="BQ22" i="19"/>
  <c r="BV22" i="19"/>
  <c r="CA22" i="19"/>
  <c r="CF22" i="19"/>
  <c r="CK22" i="19"/>
  <c r="CP22" i="19"/>
  <c r="CU22" i="19"/>
  <c r="CZ22" i="19"/>
  <c r="DE22" i="19"/>
  <c r="AR23" i="19"/>
  <c r="AW23" i="19"/>
  <c r="BB23" i="19"/>
  <c r="BG23" i="19"/>
  <c r="BL23" i="19"/>
  <c r="BQ23" i="19"/>
  <c r="BV23" i="19"/>
  <c r="BW23" i="19" s="1"/>
  <c r="CA23" i="19"/>
  <c r="CB23" i="19" s="1"/>
  <c r="CF23" i="19"/>
  <c r="CG23" i="19" s="1"/>
  <c r="CK23" i="19"/>
  <c r="CL23" i="19" s="1"/>
  <c r="CP23" i="19"/>
  <c r="CQ23" i="19" s="1"/>
  <c r="CU23" i="19"/>
  <c r="CZ23" i="19"/>
  <c r="DE23" i="19"/>
  <c r="AR24" i="19"/>
  <c r="AW24" i="19"/>
  <c r="BB24" i="19"/>
  <c r="BG24" i="19"/>
  <c r="BL24" i="19"/>
  <c r="BQ24" i="19"/>
  <c r="BV24" i="19"/>
  <c r="CA24" i="19"/>
  <c r="CF24" i="19"/>
  <c r="CK24" i="19"/>
  <c r="CP24" i="19"/>
  <c r="CU24" i="19"/>
  <c r="CZ24" i="19"/>
  <c r="DA24" i="19" s="1"/>
  <c r="DE24" i="19"/>
  <c r="DF24" i="19" s="1"/>
  <c r="AR25" i="19"/>
  <c r="AW25" i="19"/>
  <c r="AX25" i="19" s="1"/>
  <c r="BB25" i="19"/>
  <c r="BC25" i="19" s="1"/>
  <c r="BG25" i="19"/>
  <c r="BL25" i="19"/>
  <c r="BQ25" i="19"/>
  <c r="BV25" i="19"/>
  <c r="CA25" i="19"/>
  <c r="CF25" i="19"/>
  <c r="CK25" i="19"/>
  <c r="CP25" i="19"/>
  <c r="CU25" i="19"/>
  <c r="CZ25" i="19"/>
  <c r="DE25" i="19"/>
  <c r="AR26" i="19"/>
  <c r="AW26" i="19"/>
  <c r="BB26" i="19"/>
  <c r="BG26" i="19"/>
  <c r="BL26" i="19"/>
  <c r="BQ26" i="19"/>
  <c r="BR26" i="19" s="1"/>
  <c r="BV26" i="19"/>
  <c r="BW26" i="19" s="1"/>
  <c r="CA26" i="19"/>
  <c r="CB26" i="19" s="1"/>
  <c r="CF26" i="19"/>
  <c r="CG26" i="19" s="1"/>
  <c r="CK26" i="19"/>
  <c r="CP26" i="19"/>
  <c r="CU26" i="19"/>
  <c r="CZ26" i="19"/>
  <c r="DE26" i="19"/>
  <c r="AR27" i="19"/>
  <c r="AW27" i="19"/>
  <c r="BB27" i="19"/>
  <c r="BG27" i="19"/>
  <c r="BL27" i="19"/>
  <c r="BQ27" i="19"/>
  <c r="BV27" i="19"/>
  <c r="CA27" i="19"/>
  <c r="CF27" i="19"/>
  <c r="CK27" i="19"/>
  <c r="CP27" i="19"/>
  <c r="CQ27" i="19" s="1"/>
  <c r="CU27" i="19"/>
  <c r="CV27" i="19" s="1"/>
  <c r="CZ27" i="19"/>
  <c r="DA27" i="19" s="1"/>
  <c r="DE27" i="19"/>
  <c r="DF27" i="19" s="1"/>
  <c r="AR28" i="19"/>
  <c r="AS28" i="19" s="1"/>
  <c r="AW28" i="19"/>
  <c r="BB28" i="19"/>
  <c r="BG28" i="19"/>
  <c r="BL28" i="19"/>
  <c r="BQ28" i="19"/>
  <c r="BV28" i="19"/>
  <c r="CA28" i="19"/>
  <c r="CF28" i="19"/>
  <c r="CK28" i="19"/>
  <c r="CP28" i="19"/>
  <c r="CU28" i="19"/>
  <c r="CZ28" i="19"/>
  <c r="DE28" i="19"/>
  <c r="AR29" i="19"/>
  <c r="AW29" i="19"/>
  <c r="BB29" i="19"/>
  <c r="BC29" i="19" s="1"/>
  <c r="BG29" i="19"/>
  <c r="BL29" i="19"/>
  <c r="BM29" i="19" s="1"/>
  <c r="BQ29" i="19"/>
  <c r="BV29" i="19"/>
  <c r="BW29" i="19" s="1"/>
  <c r="CA29" i="19"/>
  <c r="CF29" i="19"/>
  <c r="CK29" i="19"/>
  <c r="CP29" i="19"/>
  <c r="CU29" i="19"/>
  <c r="CZ29" i="19"/>
  <c r="DE29" i="19"/>
  <c r="AR30" i="19"/>
  <c r="AW30" i="19"/>
  <c r="BB30" i="19"/>
  <c r="BG30" i="19"/>
  <c r="BL30" i="19"/>
  <c r="BQ30" i="19"/>
  <c r="BV30" i="19"/>
  <c r="CA30" i="19"/>
  <c r="CF30" i="19"/>
  <c r="CG30" i="19" s="1"/>
  <c r="CK30" i="19"/>
  <c r="CL30" i="19" s="1"/>
  <c r="CP30" i="19"/>
  <c r="CQ30" i="19" s="1"/>
  <c r="CU30" i="19"/>
  <c r="CV30" i="19" s="1"/>
  <c r="CZ30" i="19"/>
  <c r="DA30" i="19" s="1"/>
  <c r="DE30" i="19"/>
  <c r="AR31" i="19"/>
  <c r="AW31" i="19"/>
  <c r="BB31" i="19"/>
  <c r="BG31" i="19"/>
  <c r="BL31" i="19"/>
  <c r="BQ31" i="19"/>
  <c r="BV31" i="19"/>
  <c r="CA31" i="19"/>
  <c r="CF31" i="19"/>
  <c r="CK31" i="19"/>
  <c r="CP31" i="19"/>
  <c r="CU31" i="19"/>
  <c r="CZ31" i="19"/>
  <c r="DE31" i="19"/>
  <c r="AR32" i="19"/>
  <c r="AW32" i="19"/>
  <c r="BB32" i="19"/>
  <c r="BG32" i="19"/>
  <c r="BL32" i="19"/>
  <c r="BQ32" i="19"/>
  <c r="BV32" i="19"/>
  <c r="CA32" i="19"/>
  <c r="CF32" i="19"/>
  <c r="CK32" i="19"/>
  <c r="CP32" i="19"/>
  <c r="CU32" i="19"/>
  <c r="CZ32" i="19"/>
  <c r="DE32" i="19"/>
  <c r="AR33" i="19"/>
  <c r="AW33" i="19"/>
  <c r="AX34" i="19" s="1"/>
  <c r="BB33" i="19"/>
  <c r="BC34" i="19" s="1"/>
  <c r="BG33" i="19"/>
  <c r="BH34" i="19" s="1"/>
  <c r="BL33" i="19"/>
  <c r="BQ33" i="19"/>
  <c r="BR34" i="19" s="1"/>
  <c r="BV33" i="19"/>
  <c r="CA33" i="19"/>
  <c r="CB34" i="19" s="1"/>
  <c r="CF33" i="19"/>
  <c r="CG34" i="19" s="1"/>
  <c r="CK33" i="19"/>
  <c r="CP33" i="19"/>
  <c r="CQ34" i="19" s="1"/>
  <c r="CU33" i="19"/>
  <c r="CZ33" i="19"/>
  <c r="DE33" i="19"/>
  <c r="AR34" i="19"/>
  <c r="AS35" i="19" s="1"/>
  <c r="AW34" i="19"/>
  <c r="AX35" i="19" s="1"/>
  <c r="BG34" i="19"/>
  <c r="BH35" i="19" s="1"/>
  <c r="BL34" i="19"/>
  <c r="BM35" i="19" s="1"/>
  <c r="BQ34" i="19"/>
  <c r="BR35" i="19" s="1"/>
  <c r="BV34" i="19"/>
  <c r="BW35" i="19" s="1"/>
  <c r="CA34" i="19"/>
  <c r="CB35" i="19" s="1"/>
  <c r="CF34" i="19"/>
  <c r="CG35" i="19" s="1"/>
  <c r="CK34" i="19"/>
  <c r="CL35" i="19" s="1"/>
  <c r="CP34" i="19"/>
  <c r="CQ35" i="19" s="1"/>
  <c r="CU34" i="19"/>
  <c r="CV35" i="19" s="1"/>
  <c r="CZ34" i="19"/>
  <c r="DE34" i="19"/>
  <c r="DF35" i="19" s="1"/>
  <c r="CZ35" i="19"/>
  <c r="DA36" i="19" s="1"/>
  <c r="AR36" i="19"/>
  <c r="AS36" i="19" s="1"/>
  <c r="AW36" i="19"/>
  <c r="AX36" i="19" s="1"/>
  <c r="BB36" i="19"/>
  <c r="BC36" i="19" s="1"/>
  <c r="BG36" i="19"/>
  <c r="BH36" i="19" s="1"/>
  <c r="BL36" i="19"/>
  <c r="BM36" i="19" s="1"/>
  <c r="BQ36" i="19"/>
  <c r="BR36" i="19" s="1"/>
  <c r="BV36" i="19"/>
  <c r="BW36" i="19" s="1"/>
  <c r="CA36" i="19"/>
  <c r="CB36" i="19" s="1"/>
  <c r="CF36" i="19"/>
  <c r="CG36" i="19" s="1"/>
  <c r="CK36" i="19"/>
  <c r="CL36" i="19" s="1"/>
  <c r="CP36" i="19"/>
  <c r="CQ36" i="19" s="1"/>
  <c r="CU36" i="19"/>
  <c r="CV36" i="19" s="1"/>
  <c r="CZ36" i="19"/>
  <c r="DE36" i="19"/>
  <c r="DF36" i="19" s="1"/>
  <c r="AM6" i="19"/>
  <c r="AM7" i="19"/>
  <c r="AM8" i="19"/>
  <c r="AM9" i="19"/>
  <c r="AM10" i="19"/>
  <c r="AM11" i="19"/>
  <c r="AM12" i="19"/>
  <c r="AM13" i="19"/>
  <c r="AM14" i="19"/>
  <c r="AN14" i="19" s="1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6" i="19"/>
  <c r="AN36" i="19" s="1"/>
  <c r="AH7" i="19"/>
  <c r="AI7" i="19" s="1"/>
  <c r="AH8" i="19"/>
  <c r="AH9" i="19"/>
  <c r="AH10" i="19"/>
  <c r="AH11" i="19"/>
  <c r="AH12" i="19"/>
  <c r="AH13" i="19"/>
  <c r="AH14" i="19"/>
  <c r="AH15" i="19"/>
  <c r="AH16" i="19"/>
  <c r="AH17" i="19"/>
  <c r="AH18" i="19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2" i="19"/>
  <c r="AH33" i="19"/>
  <c r="AH34" i="19"/>
  <c r="AI35" i="19" s="1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D35" i="19" s="1"/>
  <c r="AC36" i="19"/>
  <c r="AD36" i="19" s="1"/>
  <c r="AD7" i="19"/>
  <c r="DK30" i="19" l="1"/>
  <c r="BR29" i="19"/>
  <c r="BH29" i="19"/>
  <c r="BM26" i="19"/>
  <c r="AS25" i="19"/>
  <c r="AI25" i="19"/>
  <c r="CL20" i="19"/>
  <c r="AD18" i="19"/>
  <c r="DU16" i="19"/>
  <c r="DA12" i="19"/>
  <c r="AI10" i="19"/>
  <c r="DP30" i="19"/>
  <c r="DP28" i="19"/>
  <c r="DU27" i="19"/>
  <c r="DP27" i="19"/>
  <c r="DK26" i="19"/>
  <c r="AN26" i="19"/>
  <c r="DU24" i="19"/>
  <c r="DU20" i="19"/>
  <c r="DK21" i="19"/>
  <c r="DK19" i="19"/>
  <c r="BC19" i="19"/>
  <c r="CG17" i="19"/>
  <c r="DZ14" i="19"/>
  <c r="DK12" i="19"/>
  <c r="BM11" i="19"/>
  <c r="DK11" i="19"/>
  <c r="AN11" i="19"/>
  <c r="AD10" i="19"/>
  <c r="AN13" i="19"/>
  <c r="CL34" i="19"/>
  <c r="BM16" i="19"/>
  <c r="BW34" i="19"/>
  <c r="DF31" i="19"/>
  <c r="CB30" i="19"/>
  <c r="AX29" i="19"/>
  <c r="CL27" i="19"/>
  <c r="CV24" i="19"/>
  <c r="BR23" i="19"/>
  <c r="DF21" i="19"/>
  <c r="CV9" i="19"/>
  <c r="DA7" i="19"/>
  <c r="DU26" i="19"/>
  <c r="AD13" i="19"/>
  <c r="AI21" i="19"/>
  <c r="AN28" i="19"/>
  <c r="AS19" i="19"/>
  <c r="CB17" i="19"/>
  <c r="CQ12" i="19"/>
  <c r="DK13" i="19"/>
  <c r="DA15" i="19"/>
  <c r="CQ7" i="19"/>
  <c r="DZ16" i="19"/>
  <c r="DP18" i="19"/>
  <c r="DF7" i="19"/>
  <c r="BR8" i="19"/>
  <c r="AN9" i="19"/>
  <c r="DU29" i="19"/>
  <c r="AI26" i="19"/>
  <c r="DZ31" i="19"/>
  <c r="DU31" i="19"/>
  <c r="DK31" i="19"/>
  <c r="AN31" i="19"/>
  <c r="AD31" i="19"/>
  <c r="DP25" i="19"/>
  <c r="DZ30" i="19"/>
  <c r="AN30" i="19"/>
  <c r="AI30" i="19"/>
  <c r="AD30" i="19"/>
  <c r="DZ29" i="19"/>
  <c r="DZ28" i="19"/>
  <c r="AN29" i="19"/>
  <c r="AD28" i="19"/>
  <c r="DZ27" i="19"/>
  <c r="DZ26" i="19"/>
  <c r="DK27" i="19"/>
  <c r="AN27" i="19"/>
  <c r="DZ25" i="19"/>
  <c r="DK25" i="19"/>
  <c r="AN25" i="19"/>
  <c r="AD25" i="19"/>
  <c r="DP24" i="19"/>
  <c r="AI24" i="19"/>
  <c r="AD24" i="19"/>
  <c r="AN7" i="19"/>
  <c r="CQ31" i="19"/>
  <c r="BM30" i="19"/>
  <c r="AD29" i="19"/>
  <c r="AN24" i="19"/>
  <c r="CQ28" i="19"/>
  <c r="AS30" i="19"/>
  <c r="CG28" i="19"/>
  <c r="CB28" i="19"/>
  <c r="BW28" i="19"/>
  <c r="AS24" i="19"/>
  <c r="AD26" i="19"/>
  <c r="AI28" i="19"/>
  <c r="BH25" i="19"/>
  <c r="BH10" i="19"/>
  <c r="DU23" i="19"/>
  <c r="DP23" i="19"/>
  <c r="DK23" i="19"/>
  <c r="AD23" i="19"/>
  <c r="DZ21" i="19"/>
  <c r="DU21" i="19"/>
  <c r="CQ22" i="19"/>
  <c r="CQ21" i="19"/>
  <c r="AN21" i="19"/>
  <c r="AI22" i="19"/>
  <c r="AD22" i="19"/>
  <c r="DZ20" i="19"/>
  <c r="DU19" i="19"/>
  <c r="DP20" i="19"/>
  <c r="DK20" i="19"/>
  <c r="CB20" i="19"/>
  <c r="AN20" i="19"/>
  <c r="AN19" i="19"/>
  <c r="AI20" i="19"/>
  <c r="AI19" i="19"/>
  <c r="AD19" i="19"/>
  <c r="DZ18" i="19"/>
  <c r="DU18" i="19"/>
  <c r="DK18" i="19"/>
  <c r="DK17" i="19"/>
  <c r="AI18" i="19"/>
  <c r="DZ17" i="19"/>
  <c r="DU17" i="19"/>
  <c r="DP17" i="19"/>
  <c r="AN17" i="19"/>
  <c r="AD17" i="19"/>
  <c r="DP16" i="19"/>
  <c r="AN16" i="19"/>
  <c r="AI16" i="19"/>
  <c r="DZ15" i="19"/>
  <c r="DU14" i="19"/>
  <c r="DK14" i="19"/>
  <c r="AI15" i="19"/>
  <c r="AI14" i="19"/>
  <c r="AD15" i="19"/>
  <c r="AD14" i="19"/>
  <c r="DZ13" i="19"/>
  <c r="DU13" i="19"/>
  <c r="DP13" i="19"/>
  <c r="BH13" i="19"/>
  <c r="AI13" i="19"/>
  <c r="DZ12" i="19"/>
  <c r="DZ11" i="19"/>
  <c r="DU12" i="19"/>
  <c r="DU11" i="19"/>
  <c r="AN12" i="19"/>
  <c r="AD12" i="19"/>
  <c r="AD11" i="19"/>
  <c r="AI11" i="19"/>
  <c r="DZ10" i="19"/>
  <c r="DU10" i="19"/>
  <c r="DU9" i="19"/>
  <c r="DK10" i="19"/>
  <c r="AN10" i="19"/>
  <c r="DZ9" i="19"/>
  <c r="DA9" i="19"/>
  <c r="BR7" i="19"/>
  <c r="BM8" i="19"/>
  <c r="BM7" i="19"/>
  <c r="CL7" i="19"/>
  <c r="AN8" i="19"/>
  <c r="AI8" i="19"/>
  <c r="DZ23" i="19"/>
  <c r="DZ22" i="19"/>
  <c r="DZ19" i="19"/>
  <c r="DZ24" i="19"/>
  <c r="DU7" i="19"/>
  <c r="DU22" i="19"/>
  <c r="DU15" i="19"/>
  <c r="DU28" i="19"/>
  <c r="DU8" i="19"/>
  <c r="DP7" i="19"/>
  <c r="DP29" i="19"/>
  <c r="DP9" i="19"/>
  <c r="DP22" i="19"/>
  <c r="DP15" i="19"/>
  <c r="DK7" i="19"/>
  <c r="DK16" i="19"/>
  <c r="DK29" i="19"/>
  <c r="DK9" i="19"/>
  <c r="DK22" i="19"/>
  <c r="DF18" i="19"/>
  <c r="DF28" i="19"/>
  <c r="DF25" i="19"/>
  <c r="DF10" i="19"/>
  <c r="DF13" i="19"/>
  <c r="DF22" i="19"/>
  <c r="DF19" i="19"/>
  <c r="DF16" i="19"/>
  <c r="DF26" i="19"/>
  <c r="DF11" i="19"/>
  <c r="DF23" i="19"/>
  <c r="DF8" i="19"/>
  <c r="DF14" i="19"/>
  <c r="DF29" i="19"/>
  <c r="DF30" i="19"/>
  <c r="DF20" i="19"/>
  <c r="DA28" i="19"/>
  <c r="DA25" i="19"/>
  <c r="DA22" i="19"/>
  <c r="DA29" i="19"/>
  <c r="DA26" i="19"/>
  <c r="DA31" i="19"/>
  <c r="DA23" i="19"/>
  <c r="DA18" i="19"/>
  <c r="DA20" i="19"/>
  <c r="DA21" i="19"/>
  <c r="DA10" i="19"/>
  <c r="DA13" i="19"/>
  <c r="DA19" i="19"/>
  <c r="DA16" i="19"/>
  <c r="DA11" i="19"/>
  <c r="DA8" i="19"/>
  <c r="DA14" i="19"/>
  <c r="CV21" i="19"/>
  <c r="CV15" i="19"/>
  <c r="CV28" i="19"/>
  <c r="CV18" i="19"/>
  <c r="CV31" i="19"/>
  <c r="CV25" i="19"/>
  <c r="CV10" i="19"/>
  <c r="CV13" i="19"/>
  <c r="CV22" i="19"/>
  <c r="CV29" i="19"/>
  <c r="CV19" i="19"/>
  <c r="CV16" i="19"/>
  <c r="CV26" i="19"/>
  <c r="CV11" i="19"/>
  <c r="CV23" i="19"/>
  <c r="CV8" i="19"/>
  <c r="CQ14" i="19"/>
  <c r="CQ15" i="19"/>
  <c r="CQ24" i="19"/>
  <c r="CQ18" i="19"/>
  <c r="CQ25" i="19"/>
  <c r="CQ10" i="19"/>
  <c r="CQ13" i="19"/>
  <c r="CQ29" i="19"/>
  <c r="CQ19" i="19"/>
  <c r="CQ26" i="19"/>
  <c r="CQ11" i="19"/>
  <c r="CL9" i="19"/>
  <c r="CL24" i="19"/>
  <c r="CL31" i="19"/>
  <c r="CL21" i="19"/>
  <c r="CL15" i="19"/>
  <c r="CL18" i="19"/>
  <c r="CL25" i="19"/>
  <c r="CL10" i="19"/>
  <c r="CL13" i="19"/>
  <c r="CL28" i="19"/>
  <c r="CL22" i="19"/>
  <c r="CL29" i="19"/>
  <c r="CL19" i="19"/>
  <c r="CL16" i="19"/>
  <c r="CL12" i="19"/>
  <c r="CL26" i="19"/>
  <c r="CG27" i="19"/>
  <c r="CG24" i="19"/>
  <c r="CG12" i="19"/>
  <c r="CG9" i="19"/>
  <c r="CG31" i="19"/>
  <c r="CG21" i="19"/>
  <c r="CG15" i="19"/>
  <c r="CG18" i="19"/>
  <c r="CG25" i="19"/>
  <c r="CG10" i="19"/>
  <c r="CG13" i="19"/>
  <c r="CG22" i="19"/>
  <c r="CG19" i="19"/>
  <c r="CG16" i="19"/>
  <c r="CG29" i="19"/>
  <c r="CB27" i="19"/>
  <c r="CB24" i="19"/>
  <c r="CB12" i="19"/>
  <c r="CB9" i="19"/>
  <c r="CB31" i="19"/>
  <c r="CB21" i="19"/>
  <c r="CB15" i="19"/>
  <c r="CB18" i="19"/>
  <c r="CB25" i="19"/>
  <c r="CB10" i="19"/>
  <c r="CB13" i="19"/>
  <c r="CB22" i="19"/>
  <c r="CB29" i="19"/>
  <c r="CB19" i="19"/>
  <c r="CB16" i="19"/>
  <c r="BW20" i="19"/>
  <c r="BW17" i="19"/>
  <c r="BW27" i="19"/>
  <c r="BW24" i="19"/>
  <c r="BW12" i="19"/>
  <c r="BW9" i="19"/>
  <c r="BW21" i="19"/>
  <c r="BW15" i="19"/>
  <c r="BW30" i="19"/>
  <c r="BW18" i="19"/>
  <c r="BW25" i="19"/>
  <c r="BW10" i="19"/>
  <c r="BW13" i="19"/>
  <c r="BW22" i="19"/>
  <c r="BW31" i="19"/>
  <c r="BR20" i="19"/>
  <c r="BR27" i="19"/>
  <c r="BR30" i="19"/>
  <c r="BR24" i="19"/>
  <c r="BR9" i="19"/>
  <c r="BR21" i="19"/>
  <c r="BR28" i="19"/>
  <c r="BR25" i="19"/>
  <c r="BR10" i="19"/>
  <c r="BR22" i="19"/>
  <c r="BR31" i="19"/>
  <c r="BR11" i="19"/>
  <c r="BM23" i="19"/>
  <c r="BM17" i="19"/>
  <c r="BM20" i="19"/>
  <c r="BM27" i="19"/>
  <c r="BM12" i="19"/>
  <c r="BM24" i="19"/>
  <c r="BM9" i="19"/>
  <c r="BM31" i="19"/>
  <c r="BM21" i="19"/>
  <c r="BM18" i="19"/>
  <c r="BM28" i="19"/>
  <c r="BM25" i="19"/>
  <c r="BM13" i="19"/>
  <c r="BM14" i="19"/>
  <c r="BM10" i="19"/>
  <c r="BH11" i="19"/>
  <c r="BH14" i="19"/>
  <c r="BH8" i="19"/>
  <c r="BH23" i="19"/>
  <c r="BH30" i="19"/>
  <c r="BH20" i="19"/>
  <c r="BH17" i="19"/>
  <c r="BH27" i="19"/>
  <c r="BH12" i="19"/>
  <c r="BH24" i="19"/>
  <c r="BH9" i="19"/>
  <c r="BH15" i="19"/>
  <c r="BH7" i="19"/>
  <c r="BH31" i="19"/>
  <c r="BH21" i="19"/>
  <c r="BH26" i="19"/>
  <c r="BH18" i="19"/>
  <c r="BH28" i="19"/>
  <c r="BC11" i="19"/>
  <c r="BC26" i="19"/>
  <c r="BC14" i="19"/>
  <c r="BC8" i="19"/>
  <c r="BC23" i="19"/>
  <c r="BC30" i="19"/>
  <c r="BC20" i="19"/>
  <c r="BC17" i="19"/>
  <c r="BC27" i="19"/>
  <c r="BC12" i="19"/>
  <c r="BC24" i="19"/>
  <c r="BC9" i="19"/>
  <c r="BC15" i="19"/>
  <c r="BC7" i="19"/>
  <c r="BC21" i="19"/>
  <c r="BC18" i="19"/>
  <c r="BC28" i="19"/>
  <c r="BC31" i="19"/>
  <c r="AX26" i="19"/>
  <c r="AX11" i="19"/>
  <c r="AX8" i="19"/>
  <c r="AX23" i="19"/>
  <c r="AX30" i="19"/>
  <c r="AX20" i="19"/>
  <c r="AX17" i="19"/>
  <c r="AX27" i="19"/>
  <c r="AX14" i="19"/>
  <c r="AX12" i="19"/>
  <c r="AX24" i="19"/>
  <c r="AX9" i="19"/>
  <c r="AX15" i="19"/>
  <c r="AX7" i="19"/>
  <c r="AX31" i="19"/>
  <c r="AX21" i="19"/>
  <c r="AX18" i="19"/>
  <c r="AX28" i="19"/>
  <c r="AS29" i="19"/>
  <c r="AS26" i="19"/>
  <c r="AS11" i="19"/>
  <c r="AS14" i="19"/>
  <c r="AS8" i="19"/>
  <c r="AS34" i="19"/>
  <c r="AS23" i="19"/>
  <c r="AS20" i="19"/>
  <c r="AS17" i="19"/>
  <c r="AS27" i="19"/>
  <c r="AS12" i="19"/>
  <c r="AS9" i="19"/>
  <c r="AS15" i="19"/>
  <c r="AS7" i="19"/>
  <c r="AS31" i="19"/>
  <c r="AS21" i="19"/>
  <c r="AS18" i="19"/>
  <c r="AN23" i="19"/>
  <c r="AN22" i="19"/>
  <c r="AN18" i="19"/>
  <c r="AN15" i="19"/>
  <c r="AI23" i="19"/>
  <c r="AI17" i="19"/>
  <c r="AI12" i="19"/>
  <c r="EQ27" i="19"/>
  <c r="AI27" i="19"/>
  <c r="AI31" i="19"/>
  <c r="AI29" i="19"/>
  <c r="AI9" i="19"/>
  <c r="AD16" i="19"/>
  <c r="AD9" i="19"/>
  <c r="AD27" i="19"/>
  <c r="AD21" i="19"/>
  <c r="AD8" i="19"/>
  <c r="AD20" i="19"/>
  <c r="DU34" i="19"/>
  <c r="DA35" i="19"/>
  <c r="DA34" i="19"/>
  <c r="CV34" i="19"/>
  <c r="DZ34" i="19"/>
  <c r="DP34" i="19"/>
  <c r="DK34" i="19"/>
  <c r="DF34" i="19"/>
  <c r="BM34" i="19"/>
  <c r="AI34" i="19"/>
  <c r="AD34" i="19"/>
  <c r="DZ32" i="19"/>
  <c r="DZ33" i="19"/>
  <c r="DU32" i="19"/>
  <c r="DU33" i="19"/>
  <c r="DP32" i="19"/>
  <c r="DP33" i="19"/>
  <c r="DK32" i="19"/>
  <c r="DK33" i="19"/>
  <c r="DF32" i="19"/>
  <c r="DF33" i="19"/>
  <c r="DA32" i="19"/>
  <c r="DA33" i="19"/>
  <c r="CV32" i="19"/>
  <c r="CV33" i="19"/>
  <c r="CQ32" i="19"/>
  <c r="CQ33" i="19"/>
  <c r="CL32" i="19"/>
  <c r="CL33" i="19"/>
  <c r="CG32" i="19"/>
  <c r="CG33" i="19"/>
  <c r="CB32" i="19"/>
  <c r="CB33" i="19"/>
  <c r="BW32" i="19"/>
  <c r="BW33" i="19"/>
  <c r="BR32" i="19"/>
  <c r="BR33" i="19"/>
  <c r="BM32" i="19"/>
  <c r="BM33" i="19"/>
  <c r="BH33" i="19"/>
  <c r="BH32" i="19"/>
  <c r="BC32" i="19"/>
  <c r="BC33" i="19"/>
  <c r="AX32" i="19"/>
  <c r="AX33" i="19"/>
  <c r="AS32" i="19"/>
  <c r="AS33" i="19"/>
  <c r="AN32" i="19"/>
  <c r="AN33" i="19"/>
  <c r="AI32" i="19"/>
  <c r="AI33" i="19"/>
  <c r="AD32" i="19"/>
  <c r="AD33" i="19"/>
  <c r="CB7" i="19"/>
  <c r="EQ24" i="19"/>
  <c r="EQ6" i="19"/>
  <c r="EQ26" i="19"/>
  <c r="EQ23" i="19"/>
  <c r="EQ20" i="19"/>
  <c r="EQ17" i="19"/>
  <c r="EQ7" i="19"/>
  <c r="EQ21" i="19"/>
  <c r="EQ18" i="19"/>
  <c r="EQ15" i="19"/>
  <c r="EQ36" i="19"/>
  <c r="EQ22" i="19"/>
  <c r="EQ19" i="19"/>
  <c r="EQ16" i="19"/>
  <c r="EQ25" i="19"/>
  <c r="EQ14" i="19"/>
  <c r="EQ32" i="19"/>
  <c r="EQ12" i="19"/>
  <c r="EQ31" i="19"/>
  <c r="EQ34" i="19"/>
  <c r="EQ30" i="19"/>
  <c r="EQ10" i="19"/>
  <c r="EQ33" i="19"/>
  <c r="EQ9" i="19"/>
  <c r="EQ13" i="19"/>
  <c r="EQ11" i="19"/>
  <c r="EQ29" i="19"/>
  <c r="EQ28" i="19"/>
  <c r="EQ8" i="19"/>
  <c r="W18" i="19"/>
  <c r="G20" i="1" s="1"/>
  <c r="W19" i="19"/>
  <c r="G21" i="1" s="1"/>
  <c r="W20" i="19"/>
  <c r="G22" i="1" s="1"/>
  <c r="W21" i="19"/>
  <c r="G23" i="1" s="1"/>
  <c r="W22" i="19"/>
  <c r="G24" i="1" s="1"/>
  <c r="W23" i="19"/>
  <c r="G25" i="1" s="1"/>
  <c r="W24" i="19"/>
  <c r="G26" i="1" s="1"/>
  <c r="W25" i="19"/>
  <c r="G27" i="1" s="1"/>
  <c r="W26" i="19"/>
  <c r="G28" i="1" s="1"/>
  <c r="W27" i="19"/>
  <c r="G29" i="1" s="1"/>
  <c r="W28" i="19"/>
  <c r="G30" i="1" s="1"/>
  <c r="W29" i="19"/>
  <c r="G31" i="1" s="1"/>
  <c r="W30" i="19"/>
  <c r="G32" i="1" s="1"/>
  <c r="W31" i="19"/>
  <c r="G33" i="1" s="1"/>
  <c r="W32" i="19"/>
  <c r="G34" i="1" s="1"/>
  <c r="W33" i="19"/>
  <c r="G35" i="1" s="1"/>
  <c r="W34" i="19"/>
  <c r="G36" i="1" s="1"/>
  <c r="W35" i="19"/>
  <c r="G37" i="1" s="1"/>
  <c r="W36" i="19"/>
  <c r="B35" i="12" s="1"/>
  <c r="W7" i="19"/>
  <c r="G9" i="1" s="1"/>
  <c r="W8" i="19"/>
  <c r="G10" i="1" s="1"/>
  <c r="W9" i="19"/>
  <c r="G11" i="1" s="1"/>
  <c r="W10" i="19"/>
  <c r="G12" i="1" s="1"/>
  <c r="W11" i="19"/>
  <c r="G13" i="1" s="1"/>
  <c r="W12" i="19"/>
  <c r="G14" i="1" s="1"/>
  <c r="W13" i="19"/>
  <c r="G15" i="1" s="1"/>
  <c r="W14" i="19"/>
  <c r="G16" i="1" s="1"/>
  <c r="W15" i="19"/>
  <c r="G17" i="1" s="1"/>
  <c r="W16" i="19"/>
  <c r="G18" i="1" s="1"/>
  <c r="W17" i="19"/>
  <c r="G19" i="1" s="1"/>
  <c r="W6" i="19"/>
  <c r="B14" i="12" l="1"/>
  <c r="FA14" i="12"/>
  <c r="B10" i="12"/>
  <c r="FA10" i="12"/>
  <c r="B6" i="12"/>
  <c r="FA6" i="12"/>
  <c r="B32" i="12"/>
  <c r="FA32" i="12"/>
  <c r="B28" i="12"/>
  <c r="FA28" i="12"/>
  <c r="B24" i="12"/>
  <c r="FA24" i="12"/>
  <c r="B20" i="12"/>
  <c r="FA20" i="12"/>
  <c r="B13" i="12"/>
  <c r="FA13" i="12"/>
  <c r="B9" i="12"/>
  <c r="FA9" i="12"/>
  <c r="B31" i="12"/>
  <c r="FA31" i="12"/>
  <c r="B27" i="12"/>
  <c r="FA27" i="12"/>
  <c r="B23" i="12"/>
  <c r="FA23" i="12"/>
  <c r="B19" i="12"/>
  <c r="FA19" i="12"/>
  <c r="B16" i="12"/>
  <c r="FA16" i="12"/>
  <c r="B12" i="12"/>
  <c r="FA12" i="12"/>
  <c r="B8" i="12"/>
  <c r="FA8" i="12"/>
  <c r="B34" i="12"/>
  <c r="FA34" i="12"/>
  <c r="B30" i="12"/>
  <c r="FA30" i="12"/>
  <c r="B26" i="12"/>
  <c r="FA26" i="12"/>
  <c r="B22" i="12"/>
  <c r="FA22" i="12"/>
  <c r="B18" i="12"/>
  <c r="FA18" i="12"/>
  <c r="B15" i="12"/>
  <c r="FA15" i="12"/>
  <c r="B11" i="12"/>
  <c r="FA11" i="12"/>
  <c r="B7" i="12"/>
  <c r="FA7" i="12"/>
  <c r="B33" i="12"/>
  <c r="FA33" i="12"/>
  <c r="B29" i="12"/>
  <c r="FA29" i="12"/>
  <c r="B25" i="12"/>
  <c r="FA25" i="12"/>
  <c r="B21" i="12"/>
  <c r="FA21" i="12"/>
  <c r="B17" i="12"/>
  <c r="FA17" i="12"/>
  <c r="G8" i="1"/>
  <c r="H6" i="21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B5" i="12" l="1"/>
  <c r="G38" i="1"/>
  <c r="FA35" i="12" s="1"/>
  <c r="K30" i="17"/>
  <c r="L30" i="17"/>
  <c r="B41" i="6"/>
  <c r="B41" i="5"/>
  <c r="B41" i="4"/>
  <c r="E37" i="21"/>
  <c r="W37" i="19"/>
  <c r="W38" i="19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G33" i="22"/>
  <c r="G32" i="22"/>
  <c r="G31" i="22"/>
  <c r="G30" i="22"/>
  <c r="G29" i="22"/>
  <c r="G28" i="22"/>
  <c r="F29" i="2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U35" i="12"/>
  <c r="EP35" i="12"/>
  <c r="EK35" i="12"/>
  <c r="EF35" i="12"/>
  <c r="EA35" i="12"/>
  <c r="DV35" i="12"/>
  <c r="DQ35" i="12"/>
  <c r="DL35" i="12"/>
  <c r="CW35" i="12"/>
  <c r="CR35" i="12"/>
  <c r="CM35" i="12"/>
  <c r="CC35" i="12"/>
  <c r="BX35" i="12"/>
  <c r="BS35" i="12"/>
  <c r="CH35" i="12"/>
  <c r="BI35" i="12"/>
  <c r="BN35" i="12"/>
  <c r="BD35" i="12"/>
  <c r="AY35" i="12"/>
  <c r="AT35" i="12"/>
  <c r="AO35" i="12"/>
  <c r="AJ35" i="12"/>
  <c r="Z35" i="12"/>
  <c r="C37" i="1"/>
  <c r="G35" i="15"/>
  <c r="F35" i="15"/>
  <c r="D35" i="15"/>
  <c r="C35" i="15"/>
  <c r="D34" i="15"/>
  <c r="F33" i="15"/>
  <c r="F34" i="15"/>
  <c r="D7" i="15"/>
  <c r="D8" i="15"/>
  <c r="D9" i="15"/>
  <c r="D10" i="15"/>
  <c r="D12" i="15"/>
  <c r="D13" i="15"/>
  <c r="D14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30" i="15"/>
  <c r="D31" i="15"/>
  <c r="D32" i="15"/>
  <c r="D33" i="15"/>
  <c r="E7" i="15"/>
  <c r="E8" i="15"/>
  <c r="E9" i="15"/>
  <c r="D11" i="2"/>
  <c r="D24" i="2"/>
  <c r="D24" i="1"/>
  <c r="D27" i="2"/>
  <c r="D27" i="1"/>
  <c r="D29" i="2"/>
  <c r="D31" i="2"/>
  <c r="D32" i="1"/>
  <c r="D34" i="1"/>
  <c r="D35" i="1"/>
  <c r="D37" i="2"/>
  <c r="F35" i="12"/>
  <c r="K35" i="12"/>
  <c r="P35" i="12"/>
  <c r="U35" i="12"/>
  <c r="DB35" i="12"/>
  <c r="DG35" i="12"/>
  <c r="C33" i="15"/>
  <c r="G33" i="15"/>
  <c r="E34" i="15"/>
  <c r="L33" i="9"/>
  <c r="M33" i="9" s="1"/>
  <c r="L32" i="9"/>
  <c r="M32" i="9" s="1"/>
  <c r="L12" i="9"/>
  <c r="M12" i="9" s="1"/>
  <c r="C19" i="2"/>
  <c r="L20" i="9"/>
  <c r="M20" i="9" s="1"/>
  <c r="J21" i="9"/>
  <c r="L25" i="9"/>
  <c r="M25" i="9" s="1"/>
  <c r="L26" i="9"/>
  <c r="M26" i="9" s="1"/>
  <c r="L29" i="9"/>
  <c r="M29" i="9" s="1"/>
  <c r="C34" i="2"/>
  <c r="G7" i="15"/>
  <c r="G8" i="15"/>
  <c r="G9" i="15"/>
  <c r="G10" i="15"/>
  <c r="G11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1" i="15"/>
  <c r="G32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6" i="15"/>
  <c r="E10" i="15"/>
  <c r="E11" i="15"/>
  <c r="E12" i="15"/>
  <c r="E13" i="15"/>
  <c r="E14" i="15"/>
  <c r="E15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6" i="15"/>
  <c r="D9" i="2"/>
  <c r="C6" i="15"/>
  <c r="C8" i="15"/>
  <c r="C9" i="15"/>
  <c r="C11" i="15"/>
  <c r="C12" i="15"/>
  <c r="C15" i="15"/>
  <c r="C16" i="15"/>
  <c r="C17" i="15"/>
  <c r="C18" i="15"/>
  <c r="C20" i="15"/>
  <c r="C23" i="15"/>
  <c r="G5" i="15"/>
  <c r="C29" i="15"/>
  <c r="C28" i="15"/>
  <c r="G30" i="15"/>
  <c r="D26" i="1"/>
  <c r="G29" i="21" l="1"/>
  <c r="G37" i="21" s="1"/>
  <c r="F37" i="21"/>
  <c r="E35" i="22"/>
  <c r="H35" i="22"/>
  <c r="I32" i="17" s="1"/>
  <c r="E20" i="22"/>
  <c r="E23" i="1"/>
  <c r="H5" i="22"/>
  <c r="I2" i="17" s="1"/>
  <c r="H6" i="22"/>
  <c r="I3" i="17" s="1"/>
  <c r="AE35" i="12"/>
  <c r="B37" i="1"/>
  <c r="L5" i="9"/>
  <c r="M5" i="9" s="1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 s="1"/>
  <c r="P23" i="12"/>
  <c r="K22" i="12"/>
  <c r="F23" i="12"/>
  <c r="H25" i="22"/>
  <c r="I22" i="17" s="1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B34" i="2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E30" i="1"/>
  <c r="E18" i="22"/>
  <c r="L27" i="9"/>
  <c r="M27" i="9" s="1"/>
  <c r="L15" i="9"/>
  <c r="M15" i="9" s="1"/>
  <c r="C26" i="2"/>
  <c r="B22" i="1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ER22" i="19" s="1"/>
  <c r="V23" i="19"/>
  <c r="ER23" i="19" s="1"/>
  <c r="V24" i="19"/>
  <c r="ER24" i="19" s="1"/>
  <c r="V25" i="19"/>
  <c r="ER25" i="19" s="1"/>
  <c r="V26" i="19"/>
  <c r="ER26" i="19" s="1"/>
  <c r="V27" i="19"/>
  <c r="ER27" i="19" s="1"/>
  <c r="V28" i="19"/>
  <c r="ER28" i="19" s="1"/>
  <c r="V29" i="19"/>
  <c r="ER29" i="19" s="1"/>
  <c r="V30" i="19"/>
  <c r="ER30" i="19" s="1"/>
  <c r="V31" i="19"/>
  <c r="ER31" i="19" s="1"/>
  <c r="V32" i="19"/>
  <c r="ER32" i="19" s="1"/>
  <c r="V33" i="19"/>
  <c r="ER33" i="19" s="1"/>
  <c r="V34" i="19"/>
  <c r="ER34" i="19" s="1"/>
  <c r="V35" i="19"/>
  <c r="ER35" i="19" s="1"/>
  <c r="V36" i="19"/>
  <c r="ER36" i="19" s="1"/>
  <c r="C8" i="1"/>
  <c r="C9" i="2"/>
  <c r="D18" i="1"/>
  <c r="D19" i="2"/>
  <c r="H11" i="22"/>
  <c r="I8" i="17" s="1"/>
  <c r="H7" i="22"/>
  <c r="I4" i="17" s="1"/>
  <c r="H15" i="22"/>
  <c r="I12" i="17" s="1"/>
  <c r="C26" i="1"/>
  <c r="J23" i="9"/>
  <c r="C27" i="2"/>
  <c r="L23" i="9"/>
  <c r="M23" i="9" s="1"/>
  <c r="D34" i="2"/>
  <c r="D33" i="1"/>
  <c r="F20" i="15"/>
  <c r="H20" i="15" s="1"/>
  <c r="B23" i="1"/>
  <c r="C24" i="15"/>
  <c r="H24" i="15" s="1"/>
  <c r="B27" i="1"/>
  <c r="B28" i="2"/>
  <c r="B26" i="2"/>
  <c r="B25" i="1"/>
  <c r="C22" i="15"/>
  <c r="H22" i="15" s="1"/>
  <c r="B28" i="1"/>
  <c r="C29" i="2"/>
  <c r="E28" i="2"/>
  <c r="E27" i="1"/>
  <c r="E24" i="22"/>
  <c r="E34" i="22"/>
  <c r="F35" i="22" s="1"/>
  <c r="E37" i="1"/>
  <c r="D8" i="1"/>
  <c r="B24" i="2"/>
  <c r="I24" i="2" s="1"/>
  <c r="H18" i="15"/>
  <c r="E26" i="2"/>
  <c r="E22" i="22"/>
  <c r="F22" i="22" s="1"/>
  <c r="G19" i="17" s="1"/>
  <c r="E25" i="1"/>
  <c r="E39" i="2"/>
  <c r="E34" i="1"/>
  <c r="E31" i="22"/>
  <c r="F31" i="22" s="1"/>
  <c r="G28" i="17" s="1"/>
  <c r="B21" i="1"/>
  <c r="B26" i="1"/>
  <c r="C36" i="1"/>
  <c r="J33" i="9"/>
  <c r="E33" i="15"/>
  <c r="H33" i="15" s="1"/>
  <c r="E27" i="2"/>
  <c r="E26" i="1"/>
  <c r="E23" i="22"/>
  <c r="E37" i="2"/>
  <c r="E36" i="1"/>
  <c r="E33" i="22"/>
  <c r="E25" i="2"/>
  <c r="E24" i="1"/>
  <c r="B22" i="2"/>
  <c r="B32" i="2"/>
  <c r="B31" i="1"/>
  <c r="AK28" i="12" s="1"/>
  <c r="C37" i="2"/>
  <c r="C21" i="1"/>
  <c r="L18" i="9"/>
  <c r="M18" i="9" s="1"/>
  <c r="E34" i="2"/>
  <c r="E33" i="1"/>
  <c r="H12" i="22"/>
  <c r="I9" i="17" s="1"/>
  <c r="H37" i="21"/>
  <c r="V20" i="19"/>
  <c r="ER20" i="19" s="1"/>
  <c r="V21" i="19"/>
  <c r="ER21" i="19" s="1"/>
  <c r="H8" i="22"/>
  <c r="I5" i="17" s="1"/>
  <c r="H16" i="22"/>
  <c r="I13" i="17" s="1"/>
  <c r="V15" i="19"/>
  <c r="ER15" i="19" s="1"/>
  <c r="H14" i="22"/>
  <c r="I11" i="17" s="1"/>
  <c r="H17" i="22"/>
  <c r="I14" i="17" s="1"/>
  <c r="V11" i="19"/>
  <c r="ER11" i="19" s="1"/>
  <c r="S37" i="19"/>
  <c r="H9" i="22"/>
  <c r="I6" i="17" s="1"/>
  <c r="N37" i="19"/>
  <c r="ER12" i="19"/>
  <c r="V16" i="19"/>
  <c r="ER16" i="19" s="1"/>
  <c r="V10" i="19"/>
  <c r="ER10" i="19" s="1"/>
  <c r="V14" i="19"/>
  <c r="ER14" i="19" s="1"/>
  <c r="V18" i="19"/>
  <c r="ER18" i="19" s="1"/>
  <c r="V13" i="19"/>
  <c r="ER13" i="19" s="1"/>
  <c r="V17" i="19"/>
  <c r="ER17" i="19" s="1"/>
  <c r="ER9" i="19"/>
  <c r="V8" i="19"/>
  <c r="ER8" i="19" s="1"/>
  <c r="V7" i="19"/>
  <c r="ER7" i="19" s="1"/>
  <c r="I37" i="19"/>
  <c r="H13" i="22"/>
  <c r="I10" i="17" s="1"/>
  <c r="V19" i="19"/>
  <c r="ER19" i="19" s="1"/>
  <c r="H10" i="22"/>
  <c r="I7" i="17" s="1"/>
  <c r="ER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E14" i="22"/>
  <c r="E9" i="2"/>
  <c r="E8" i="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G12" i="15"/>
  <c r="B9" i="2"/>
  <c r="I9" i="2" s="1"/>
  <c r="B19" i="1"/>
  <c r="E16" i="15"/>
  <c r="H16" i="15" s="1"/>
  <c r="B20" i="2"/>
  <c r="B11" i="1"/>
  <c r="B12" i="2"/>
  <c r="B15" i="2"/>
  <c r="D11" i="15"/>
  <c r="H11" i="15" s="1"/>
  <c r="B14" i="1"/>
  <c r="D41" i="4"/>
  <c r="H9" i="15"/>
  <c r="H17" i="15"/>
  <c r="B20" i="1"/>
  <c r="H8" i="15"/>
  <c r="B10" i="2"/>
  <c r="D6" i="15"/>
  <c r="B9" i="1"/>
  <c r="D5" i="15"/>
  <c r="B8" i="1"/>
  <c r="B21" i="2"/>
  <c r="B17" i="1"/>
  <c r="B18" i="2"/>
  <c r="C14" i="15"/>
  <c r="H14" i="15" s="1"/>
  <c r="C13" i="15"/>
  <c r="H13" i="15" s="1"/>
  <c r="B17" i="2"/>
  <c r="B16" i="1"/>
  <c r="B14" i="2"/>
  <c r="C10" i="15"/>
  <c r="H10" i="15" s="1"/>
  <c r="B13" i="1"/>
  <c r="B13" i="2"/>
  <c r="B12" i="1"/>
  <c r="C7" i="15"/>
  <c r="H7" i="15" s="1"/>
  <c r="B10" i="1"/>
  <c r="B11" i="2"/>
  <c r="D38" i="1" l="1"/>
  <c r="D39" i="1" s="1"/>
  <c r="E38" i="1"/>
  <c r="E39" i="1" s="1"/>
  <c r="H6" i="15"/>
  <c r="F6" i="22"/>
  <c r="G3" i="17" s="1"/>
  <c r="G36" i="15"/>
  <c r="F11" i="2"/>
  <c r="F19" i="2"/>
  <c r="F18" i="2"/>
  <c r="F34" i="2"/>
  <c r="F26" i="2"/>
  <c r="F15" i="2"/>
  <c r="F32" i="1"/>
  <c r="F25" i="2"/>
  <c r="F16" i="1"/>
  <c r="F11" i="1"/>
  <c r="F32" i="2"/>
  <c r="F13" i="2"/>
  <c r="F20" i="2"/>
  <c r="F23" i="1"/>
  <c r="F31" i="2"/>
  <c r="F35" i="2"/>
  <c r="F22" i="2"/>
  <c r="F16" i="2"/>
  <c r="F23" i="2"/>
  <c r="F38" i="2"/>
  <c r="F30" i="2"/>
  <c r="F28" i="2"/>
  <c r="F9" i="1"/>
  <c r="F26" i="1"/>
  <c r="F20" i="1"/>
  <c r="F13" i="1"/>
  <c r="F37" i="2"/>
  <c r="F29" i="2"/>
  <c r="F16" i="22"/>
  <c r="G13" i="17" s="1"/>
  <c r="AE34" i="12"/>
  <c r="H34" i="15"/>
  <c r="G13" i="12"/>
  <c r="Q16" i="12"/>
  <c r="L9" i="12"/>
  <c r="J12" i="1"/>
  <c r="L10" i="12"/>
  <c r="J13" i="1"/>
  <c r="Q14" i="12"/>
  <c r="J17" i="1"/>
  <c r="L11" i="12"/>
  <c r="J14" i="1"/>
  <c r="G8" i="12"/>
  <c r="J11" i="1"/>
  <c r="EL23" i="12"/>
  <c r="J26" i="1"/>
  <c r="DH22" i="12"/>
  <c r="L34" i="12"/>
  <c r="L7" i="12"/>
  <c r="J10" i="1"/>
  <c r="L6" i="12"/>
  <c r="J9" i="1"/>
  <c r="G17" i="12"/>
  <c r="J20" i="1"/>
  <c r="L18" i="12"/>
  <c r="J21" i="1"/>
  <c r="BY20" i="12"/>
  <c r="J23" i="1"/>
  <c r="EB19" i="12"/>
  <c r="J22" i="1"/>
  <c r="Q28" i="12"/>
  <c r="G27" i="12"/>
  <c r="J31" i="1"/>
  <c r="Q26" i="12"/>
  <c r="J30" i="1"/>
  <c r="L24" i="12"/>
  <c r="J27" i="1"/>
  <c r="Q25" i="12"/>
  <c r="J28" i="1"/>
  <c r="J29" i="1"/>
  <c r="G32" i="17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 s="1"/>
  <c r="D29" i="22"/>
  <c r="E26" i="17" s="1"/>
  <c r="D31" i="22"/>
  <c r="E28" i="17" s="1"/>
  <c r="B33" i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 s="1"/>
  <c r="L28" i="12"/>
  <c r="D26" i="22"/>
  <c r="E23" i="17" s="1"/>
  <c r="G25" i="12"/>
  <c r="Q24" i="12"/>
  <c r="G24" i="12"/>
  <c r="Q27" i="12"/>
  <c r="G26" i="12"/>
  <c r="G10" i="12"/>
  <c r="Q18" i="12"/>
  <c r="G18" i="12"/>
  <c r="F29" i="22"/>
  <c r="G26" i="17" s="1"/>
  <c r="G28" i="12"/>
  <c r="Q11" i="12"/>
  <c r="L27" i="12"/>
  <c r="Q10" i="12"/>
  <c r="L25" i="12"/>
  <c r="G34" i="12"/>
  <c r="G6" i="12"/>
  <c r="G16" i="12"/>
  <c r="L16" i="12"/>
  <c r="F13" i="22"/>
  <c r="G10" i="17" s="1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J35" i="1" s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J36" i="1" s="1"/>
  <c r="D21" i="22"/>
  <c r="E18" i="17" s="1"/>
  <c r="D22" i="22"/>
  <c r="E19" i="17" s="1"/>
  <c r="D23" i="22"/>
  <c r="E20" i="17" s="1"/>
  <c r="D24" i="22"/>
  <c r="E21" i="17" s="1"/>
  <c r="F12" i="22"/>
  <c r="G9" i="17" s="1"/>
  <c r="F12" i="2"/>
  <c r="F14" i="2"/>
  <c r="F23" i="22"/>
  <c r="G20" i="17" s="1"/>
  <c r="H32" i="2"/>
  <c r="B37" i="2"/>
  <c r="B24" i="1"/>
  <c r="J24" i="1" s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D40" i="2"/>
  <c r="H15" i="2"/>
  <c r="H12" i="15"/>
  <c r="D14" i="22"/>
  <c r="E11" i="17" s="1"/>
  <c r="B15" i="1"/>
  <c r="J15" i="1" s="1"/>
  <c r="I15" i="2"/>
  <c r="I12" i="2"/>
  <c r="I10" i="2"/>
  <c r="I20" i="2"/>
  <c r="H20" i="2"/>
  <c r="D9" i="22"/>
  <c r="E6" i="17" s="1"/>
  <c r="D15" i="15"/>
  <c r="H15" i="15" s="1"/>
  <c r="B18" i="1"/>
  <c r="J18" i="1" s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F38" i="1" l="1"/>
  <c r="F39" i="1" s="1"/>
  <c r="B38" i="1"/>
  <c r="B39" i="1" s="1"/>
  <c r="J37" i="1"/>
  <c r="J19" i="1"/>
  <c r="J25" i="1"/>
  <c r="J16" i="1"/>
  <c r="J34" i="1"/>
  <c r="J33" i="1"/>
  <c r="J32" i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G35" i="12" l="1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  <c r="L6" i="9" l="1"/>
  <c r="M6" i="9" s="1"/>
  <c r="D36" i="9" l="1"/>
  <c r="L36" i="9" s="1"/>
  <c r="M36" i="9" s="1"/>
  <c r="C10" i="2"/>
  <c r="J6" i="9"/>
  <c r="J36" i="9" s="1"/>
  <c r="C9" i="1"/>
  <c r="C38" i="1" s="1"/>
  <c r="C39" i="1" s="1"/>
  <c r="C40" i="2" l="1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  <author>tc={B959E7C7-E6E6-4F01-8825-A7437F01C5AB}</author>
  </authors>
  <commentList>
    <comment ref="V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H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M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R5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W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B5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G5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L5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Q5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V5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A5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CF5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CK5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CP5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CU5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Z5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DE5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DJ5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DO5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DT5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DY5" authorId="0" shapeId="0" xr:uid="{00000000-0006-0000-0B00-00001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ED5" authorId="1" shapeId="0" xr:uid="{B959E7C7-E6E6-4F01-8825-A7437F01C5AB}">
      <text>
        <t>[Threaded comment]
Your version of Excel allows you to read this threaded comment; however, any edits to it will get removed if the file is opened in a newer version of Excel. Learn more: https://go.microsoft.com/fwlink/?linkid=870924
Comment:
    avg 8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<sst xmlns="http://schemas.openxmlformats.org/spreadsheetml/2006/main" count="599" uniqueCount="199">
  <si>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</si>
  <si>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</si>
  <si>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</si>
  <si>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</si>
  <si>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</si>
  <si>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</si>
  <si>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</si>
  <si>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</si>
  <si>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</si>
  <si>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</si>
  <si>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</si>
  <si>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</si>
  <si>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</si>
  <si>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</si>
  <si>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</si>
  <si>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</si>
  <si>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</si>
  <si>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</si>
  <si>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</si>
  <si>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</si>
  <si>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</si>
  <si>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</si>
  <si>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</si>
  <si>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</si>
  <si>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</si>
  <si>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</si>
  <si>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</si>
  <si>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</si>
  <si>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</si>
  <si>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</si>
  <si>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</si>
  <si>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</si>
  <si>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</si>
  <si>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</si>
  <si>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</si>
  <si>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</si>
  <si>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</si>
  <si>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</si>
  <si>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</si>
  <si>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</si>
  <si>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</si>
  <si>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</si>
  <si>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</si>
  <si>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</si>
  <si>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</si>
  <si>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</si>
  <si>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</si>
  <si>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</si>
  <si>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</si>
  <si>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</si>
  <si>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</si>
  <si>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</si>
  <si>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</si>
  <si>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</si>
  <si>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</si>
  <si>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</si>
  <si>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</si>
  <si>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</si>
  <si>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</si>
  <si>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</si>
  <si>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</si>
  <si>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</si>
  <si>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</si>
  <si>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</si>
  <si>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</si>
  <si>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</si>
  <si>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</si>
  <si>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</si>
  <si>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</si>
  <si>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</si>
  <si>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</si>
  <si>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</si>
  <si>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</si>
  <si>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</si>
  <si>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</si>
  <si>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</si>
  <si>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</si>
  <si>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</si>
  <si>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</si>
  <si>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</si>
  <si>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</si>
  <si>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</si>
  <si>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</si>
  <si>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</si>
  <si>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</si>
  <si>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</si>
  <si>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</si>
  <si>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</si>
  <si>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</si>
  <si>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</si>
  <si>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</si>
  <si>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</si>
  <si>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</si>
  <si>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</si>
  <si>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</si>
  <si>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</si>
  <si>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</si>
  <si>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</si>
  <si>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</si>
  <si>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</si>
  <si>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</si>
  <si>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</si>
  <si>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</si>
  <si>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</si>
  <si>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</si>
  <si>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</si>
  <si>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</si>
  <si>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</si>
  <si>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</si>
  <si>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</si>
  <si>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</si>
  <si>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</si>
  <si>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</si>
  <si>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</si>
  <si>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</si>
  <si>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</si>
  <si>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</si>
  <si>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</si>
  <si>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</si>
  <si>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</si>
  <si>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</si>
  <si>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</si>
  <si>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</si>
  <si>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</si>
  <si>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</si>
  <si>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</si>
  <si>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</si>
  <si>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</si>
  <si>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</si>
  <si>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</si>
  <si>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</si>
  <si>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</si>
  <si>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</si>
  <si>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</si>
  <si>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</si>
  <si>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</si>
  <si>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</si>
  <si>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</si>
  <si>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</si>
  <si>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</si>
  <si>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</si>
  <si>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</si>
  <si>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</si>
  <si>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</si>
  <si>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</si>
  <si>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</si>
  <si>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</si>
  <si>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</si>
  <si>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</si>
  <si>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</si>
  <si>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</si>
  <si>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</si>
  <si>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</si>
  <si>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</si>
  <si>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</si>
  <si>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</si>
  <si>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</si>
  <si>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</si>
  <si>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</si>
  <si>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</si>
  <si>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</si>
  <si>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</si>
  <si>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</si>
  <si>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</si>
  <si>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E- Hotel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</si>
  <si>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</si>
  <si>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</si>
  <si>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</si>
  <si>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</si>
  <si>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</si>
  <si>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</si>
  <si>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</si>
  <si>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</si>
  <si>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</si>
  <si>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</si>
  <si>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</si>
  <si>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</si>
  <si>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</si>
  <si>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Laundry--8SSB  (HR/Tuck Shop Building)</t>
  </si>
  <si>
    <t>Laundry-9 (Machineries)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</si>
  <si>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</si>
  <si>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</si>
  <si>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</si>
  <si>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</si>
  <si>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</si>
  <si>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</si>
  <si>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</si>
  <si>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</si>
  <si>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</si>
  <si>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</si>
  <si>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</si>
  <si>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</si>
  <si>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</si>
  <si>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December</t>
  </si>
  <si>
    <t>sunny</t>
  </si>
  <si>
    <t>cloudy</t>
  </si>
  <si>
    <t>partially sunny</t>
  </si>
  <si>
    <t>rainy</t>
  </si>
  <si>
    <t>Total Food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</si>
</sst>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  <numFmt numFmtId="170" formatCode="0\ &quot;%&quot;"/>
    <numFmt numFmtId="171" formatCode="0\ &quot;°C&quot;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18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1" fontId="4" fillId="5" borderId="2" xfId="0" applyNumberFormat="1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5" fillId="23" borderId="53" xfId="9" applyFont="1" applyFill="1" applyBorder="1" applyAlignment="1">
      <alignment horizontal="center" vertical="center" wrapText="1"/>
    </xf>
    <xf numFmtId="0" fontId="4" fillId="0" borderId="54" xfId="9" applyBorder="1" applyAlignment="1">
      <alignment horizontal="center"/>
    </xf>
    <xf numFmtId="0" fontId="4" fillId="0" borderId="53" xfId="9" applyBorder="1" applyAlignment="1">
      <alignment horizontal="center"/>
    </xf>
    <xf numFmtId="0" fontId="4" fillId="0" borderId="55" xfId="9" applyBorder="1" applyAlignment="1">
      <alignment horizontal="center"/>
    </xf>
    <xf numFmtId="0" fontId="5" fillId="23" borderId="2" xfId="9" applyFont="1" applyFill="1" applyBorder="1" applyAlignment="1">
      <alignment horizontal="center" vertical="center" wrapText="1"/>
    </xf>
    <xf numFmtId="0" fontId="28" fillId="23" borderId="0" xfId="9" applyFont="1" applyFill="1" applyAlignment="1">
      <alignment vertical="center"/>
    </xf>
    <xf numFmtId="0" fontId="4" fillId="0" borderId="14" xfId="9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3" borderId="33" xfId="9" applyFont="1" applyFill="1" applyBorder="1" applyAlignment="1">
      <alignment horizontal="center" vertical="center" wrapText="1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10" fillId="27" borderId="0" xfId="0" applyFont="1" applyFill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3" fillId="23" borderId="0" xfId="9" applyFont="1" applyFill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25086</c:v>
                </c:pt>
                <c:pt idx="1">
                  <c:v>26010</c:v>
                </c:pt>
                <c:pt idx="2">
                  <c:v>26063</c:v>
                </c:pt>
                <c:pt idx="3">
                  <c:v>27067</c:v>
                </c:pt>
                <c:pt idx="4">
                  <c:v>25673</c:v>
                </c:pt>
                <c:pt idx="5">
                  <c:v>26011</c:v>
                </c:pt>
                <c:pt idx="6">
                  <c:v>25920</c:v>
                </c:pt>
                <c:pt idx="7">
                  <c:v>27545</c:v>
                </c:pt>
                <c:pt idx="8">
                  <c:v>25266</c:v>
                </c:pt>
                <c:pt idx="9">
                  <c:v>25058</c:v>
                </c:pt>
                <c:pt idx="10">
                  <c:v>27209</c:v>
                </c:pt>
                <c:pt idx="11">
                  <c:v>26285</c:v>
                </c:pt>
                <c:pt idx="12">
                  <c:v>25089</c:v>
                </c:pt>
                <c:pt idx="13">
                  <c:v>25240</c:v>
                </c:pt>
                <c:pt idx="14">
                  <c:v>26777</c:v>
                </c:pt>
                <c:pt idx="15">
                  <c:v>27693</c:v>
                </c:pt>
                <c:pt idx="16">
                  <c:v>28630</c:v>
                </c:pt>
                <c:pt idx="17">
                  <c:v>28914</c:v>
                </c:pt>
                <c:pt idx="18">
                  <c:v>28737</c:v>
                </c:pt>
                <c:pt idx="19">
                  <c:v>29860</c:v>
                </c:pt>
                <c:pt idx="20">
                  <c:v>30378</c:v>
                </c:pt>
                <c:pt idx="21">
                  <c:v>29712</c:v>
                </c:pt>
                <c:pt idx="22">
                  <c:v>29987</c:v>
                </c:pt>
                <c:pt idx="23">
                  <c:v>30063</c:v>
                </c:pt>
                <c:pt idx="24">
                  <c:v>29439</c:v>
                </c:pt>
                <c:pt idx="25">
                  <c:v>28639</c:v>
                </c:pt>
                <c:pt idx="26">
                  <c:v>36339</c:v>
                </c:pt>
                <c:pt idx="27">
                  <c:v>30401</c:v>
                </c:pt>
                <c:pt idx="28">
                  <c:v>21839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37.9</c:v>
                </c:pt>
                <c:pt idx="1">
                  <c:v>44.7</c:v>
                </c:pt>
                <c:pt idx="2">
                  <c:v>40.799999999999997</c:v>
                </c:pt>
                <c:pt idx="3">
                  <c:v>36.9</c:v>
                </c:pt>
                <c:pt idx="4">
                  <c:v>28.2</c:v>
                </c:pt>
                <c:pt idx="5">
                  <c:v>28.2</c:v>
                </c:pt>
                <c:pt idx="6">
                  <c:v>27.2</c:v>
                </c:pt>
                <c:pt idx="7">
                  <c:v>27.2</c:v>
                </c:pt>
                <c:pt idx="8">
                  <c:v>27.2</c:v>
                </c:pt>
                <c:pt idx="9">
                  <c:v>21</c:v>
                </c:pt>
                <c:pt idx="10">
                  <c:v>25.2</c:v>
                </c:pt>
                <c:pt idx="11">
                  <c:v>29.1</c:v>
                </c:pt>
                <c:pt idx="12">
                  <c:v>35.9</c:v>
                </c:pt>
                <c:pt idx="13">
                  <c:v>35.9</c:v>
                </c:pt>
                <c:pt idx="14">
                  <c:v>43.7</c:v>
                </c:pt>
                <c:pt idx="15">
                  <c:v>48.5</c:v>
                </c:pt>
                <c:pt idx="16">
                  <c:v>46.6</c:v>
                </c:pt>
                <c:pt idx="17">
                  <c:v>57.3</c:v>
                </c:pt>
                <c:pt idx="18">
                  <c:v>53.4</c:v>
                </c:pt>
                <c:pt idx="19">
                  <c:v>54</c:v>
                </c:pt>
                <c:pt idx="20">
                  <c:v>54</c:v>
                </c:pt>
                <c:pt idx="21">
                  <c:v>54</c:v>
                </c:pt>
                <c:pt idx="22">
                  <c:v>60</c:v>
                </c:pt>
                <c:pt idx="23">
                  <c:v>67</c:v>
                </c:pt>
                <c:pt idx="24">
                  <c:v>66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Only'!$G$8:$G$38</c:f>
              <c:numCache>
                <c:formatCode>0\ "%"</c:formatCode>
                <c:ptCount val="31"/>
                <c:pt idx="0">
                  <c:v>37.9</c:v>
                </c:pt>
                <c:pt idx="1">
                  <c:v>44.7</c:v>
                </c:pt>
                <c:pt idx="2">
                  <c:v>40.799999999999997</c:v>
                </c:pt>
                <c:pt idx="3">
                  <c:v>36.9</c:v>
                </c:pt>
                <c:pt idx="4">
                  <c:v>28.2</c:v>
                </c:pt>
                <c:pt idx="5">
                  <c:v>28.2</c:v>
                </c:pt>
                <c:pt idx="6">
                  <c:v>27.2</c:v>
                </c:pt>
                <c:pt idx="7">
                  <c:v>27.2</c:v>
                </c:pt>
                <c:pt idx="8">
                  <c:v>27.2</c:v>
                </c:pt>
                <c:pt idx="9">
                  <c:v>21</c:v>
                </c:pt>
                <c:pt idx="10">
                  <c:v>25.2</c:v>
                </c:pt>
                <c:pt idx="11">
                  <c:v>29.1</c:v>
                </c:pt>
                <c:pt idx="12">
                  <c:v>35.9</c:v>
                </c:pt>
                <c:pt idx="13">
                  <c:v>35.9</c:v>
                </c:pt>
                <c:pt idx="14">
                  <c:v>43.7</c:v>
                </c:pt>
                <c:pt idx="15">
                  <c:v>48.5</c:v>
                </c:pt>
                <c:pt idx="16">
                  <c:v>46.6</c:v>
                </c:pt>
                <c:pt idx="17">
                  <c:v>57.3</c:v>
                </c:pt>
                <c:pt idx="18">
                  <c:v>53.4</c:v>
                </c:pt>
                <c:pt idx="19">
                  <c:v>54</c:v>
                </c:pt>
                <c:pt idx="20">
                  <c:v>54</c:v>
                </c:pt>
                <c:pt idx="21">
                  <c:v>54</c:v>
                </c:pt>
                <c:pt idx="22">
                  <c:v>60</c:v>
                </c:pt>
                <c:pt idx="23">
                  <c:v>67</c:v>
                </c:pt>
                <c:pt idx="24">
                  <c:v>66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34.996666666666663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2485</c:v>
                </c:pt>
                <c:pt idx="1">
                  <c:v>2478</c:v>
                </c:pt>
                <c:pt idx="2">
                  <c:v>2481</c:v>
                </c:pt>
                <c:pt idx="3">
                  <c:v>2463</c:v>
                </c:pt>
                <c:pt idx="4">
                  <c:v>2617</c:v>
                </c:pt>
                <c:pt idx="5">
                  <c:v>2666</c:v>
                </c:pt>
                <c:pt idx="6">
                  <c:v>2640</c:v>
                </c:pt>
                <c:pt idx="7">
                  <c:v>2591</c:v>
                </c:pt>
                <c:pt idx="8">
                  <c:v>2498</c:v>
                </c:pt>
                <c:pt idx="9">
                  <c:v>2491</c:v>
                </c:pt>
                <c:pt idx="10">
                  <c:v>2522</c:v>
                </c:pt>
                <c:pt idx="11">
                  <c:v>2475</c:v>
                </c:pt>
                <c:pt idx="12">
                  <c:v>2192</c:v>
                </c:pt>
                <c:pt idx="13">
                  <c:v>2292</c:v>
                </c:pt>
                <c:pt idx="14">
                  <c:v>2657</c:v>
                </c:pt>
                <c:pt idx="15">
                  <c:v>2764</c:v>
                </c:pt>
                <c:pt idx="16">
                  <c:v>2700</c:v>
                </c:pt>
                <c:pt idx="17">
                  <c:v>2954</c:v>
                </c:pt>
                <c:pt idx="18">
                  <c:v>3079</c:v>
                </c:pt>
                <c:pt idx="19">
                  <c:v>3251</c:v>
                </c:pt>
                <c:pt idx="20">
                  <c:v>3214</c:v>
                </c:pt>
                <c:pt idx="21">
                  <c:v>3129</c:v>
                </c:pt>
                <c:pt idx="22">
                  <c:v>3214</c:v>
                </c:pt>
                <c:pt idx="23">
                  <c:v>3156</c:v>
                </c:pt>
                <c:pt idx="24">
                  <c:v>3134</c:v>
                </c:pt>
                <c:pt idx="25">
                  <c:v>3205</c:v>
                </c:pt>
                <c:pt idx="26">
                  <c:v>3229</c:v>
                </c:pt>
                <c:pt idx="27">
                  <c:v>3257</c:v>
                </c:pt>
                <c:pt idx="28">
                  <c:v>3139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4369</c:v>
                </c:pt>
                <c:pt idx="1">
                  <c:v>4293</c:v>
                </c:pt>
                <c:pt idx="2">
                  <c:v>4378</c:v>
                </c:pt>
                <c:pt idx="3">
                  <c:v>4116</c:v>
                </c:pt>
                <c:pt idx="4">
                  <c:v>4229</c:v>
                </c:pt>
                <c:pt idx="5">
                  <c:v>4142</c:v>
                </c:pt>
                <c:pt idx="6">
                  <c:v>4523</c:v>
                </c:pt>
                <c:pt idx="7">
                  <c:v>4361</c:v>
                </c:pt>
                <c:pt idx="8">
                  <c:v>3515</c:v>
                </c:pt>
                <c:pt idx="9">
                  <c:v>3518</c:v>
                </c:pt>
                <c:pt idx="10">
                  <c:v>4576</c:v>
                </c:pt>
                <c:pt idx="11">
                  <c:v>3656</c:v>
                </c:pt>
                <c:pt idx="12">
                  <c:v>3504</c:v>
                </c:pt>
                <c:pt idx="13">
                  <c:v>4248</c:v>
                </c:pt>
                <c:pt idx="14">
                  <c:v>4589</c:v>
                </c:pt>
                <c:pt idx="15">
                  <c:v>5092</c:v>
                </c:pt>
                <c:pt idx="16">
                  <c:v>5562</c:v>
                </c:pt>
                <c:pt idx="17">
                  <c:v>5299</c:v>
                </c:pt>
                <c:pt idx="18">
                  <c:v>5091</c:v>
                </c:pt>
                <c:pt idx="19">
                  <c:v>5746</c:v>
                </c:pt>
                <c:pt idx="20">
                  <c:v>5608</c:v>
                </c:pt>
                <c:pt idx="21">
                  <c:v>5227</c:v>
                </c:pt>
                <c:pt idx="22">
                  <c:v>5390</c:v>
                </c:pt>
                <c:pt idx="23">
                  <c:v>5575</c:v>
                </c:pt>
                <c:pt idx="24">
                  <c:v>5545</c:v>
                </c:pt>
                <c:pt idx="25">
                  <c:v>5309</c:v>
                </c:pt>
                <c:pt idx="26">
                  <c:v>5429</c:v>
                </c:pt>
                <c:pt idx="27">
                  <c:v>5317</c:v>
                </c:pt>
                <c:pt idx="28">
                  <c:v>5582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13192</c:v>
                </c:pt>
                <c:pt idx="1">
                  <c:v>13730</c:v>
                </c:pt>
                <c:pt idx="2">
                  <c:v>14137</c:v>
                </c:pt>
                <c:pt idx="3">
                  <c:v>14624</c:v>
                </c:pt>
                <c:pt idx="4">
                  <c:v>13542</c:v>
                </c:pt>
                <c:pt idx="5">
                  <c:v>13725</c:v>
                </c:pt>
                <c:pt idx="6">
                  <c:v>14290</c:v>
                </c:pt>
                <c:pt idx="7">
                  <c:v>14705</c:v>
                </c:pt>
                <c:pt idx="8">
                  <c:v>13925</c:v>
                </c:pt>
                <c:pt idx="9">
                  <c:v>14052</c:v>
                </c:pt>
                <c:pt idx="10">
                  <c:v>14436</c:v>
                </c:pt>
                <c:pt idx="11">
                  <c:v>14735</c:v>
                </c:pt>
                <c:pt idx="12">
                  <c:v>14099</c:v>
                </c:pt>
                <c:pt idx="13">
                  <c:v>13684</c:v>
                </c:pt>
                <c:pt idx="14">
                  <c:v>13804</c:v>
                </c:pt>
                <c:pt idx="15">
                  <c:v>13714</c:v>
                </c:pt>
                <c:pt idx="16">
                  <c:v>14497</c:v>
                </c:pt>
                <c:pt idx="17">
                  <c:v>14281</c:v>
                </c:pt>
                <c:pt idx="18">
                  <c:v>14362</c:v>
                </c:pt>
                <c:pt idx="19">
                  <c:v>14553</c:v>
                </c:pt>
                <c:pt idx="20">
                  <c:v>14553</c:v>
                </c:pt>
                <c:pt idx="21">
                  <c:v>14686</c:v>
                </c:pt>
                <c:pt idx="22">
                  <c:v>14773</c:v>
                </c:pt>
                <c:pt idx="23">
                  <c:v>14864</c:v>
                </c:pt>
                <c:pt idx="24">
                  <c:v>14297</c:v>
                </c:pt>
                <c:pt idx="25">
                  <c:v>13769</c:v>
                </c:pt>
                <c:pt idx="26">
                  <c:v>13935</c:v>
                </c:pt>
                <c:pt idx="27">
                  <c:v>14145</c:v>
                </c:pt>
                <c:pt idx="28">
                  <c:v>14455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1700</c:v>
                </c:pt>
                <c:pt idx="1">
                  <c:v>1900</c:v>
                </c:pt>
                <c:pt idx="2">
                  <c:v>1800</c:v>
                </c:pt>
                <c:pt idx="3">
                  <c:v>1900</c:v>
                </c:pt>
                <c:pt idx="4">
                  <c:v>1700</c:v>
                </c:pt>
                <c:pt idx="5">
                  <c:v>1700</c:v>
                </c:pt>
                <c:pt idx="6">
                  <c:v>1800</c:v>
                </c:pt>
                <c:pt idx="7">
                  <c:v>1600</c:v>
                </c:pt>
                <c:pt idx="8">
                  <c:v>1600</c:v>
                </c:pt>
                <c:pt idx="9">
                  <c:v>1700</c:v>
                </c:pt>
                <c:pt idx="10">
                  <c:v>1600</c:v>
                </c:pt>
                <c:pt idx="11">
                  <c:v>1600</c:v>
                </c:pt>
                <c:pt idx="12">
                  <c:v>1600</c:v>
                </c:pt>
                <c:pt idx="13">
                  <c:v>1700</c:v>
                </c:pt>
                <c:pt idx="14">
                  <c:v>1700</c:v>
                </c:pt>
                <c:pt idx="15">
                  <c:v>1700</c:v>
                </c:pt>
                <c:pt idx="16">
                  <c:v>1800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1900</c:v>
                </c:pt>
                <c:pt idx="21">
                  <c:v>1900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1700</c:v>
                </c:pt>
                <c:pt idx="26">
                  <c:v>1800</c:v>
                </c:pt>
                <c:pt idx="27">
                  <c:v>1900</c:v>
                </c:pt>
                <c:pt idx="28">
                  <c:v>1900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2810</c:v>
                </c:pt>
                <c:pt idx="1">
                  <c:v>2813</c:v>
                </c:pt>
                <c:pt idx="2">
                  <c:v>2854</c:v>
                </c:pt>
                <c:pt idx="3">
                  <c:v>2828</c:v>
                </c:pt>
                <c:pt idx="4">
                  <c:v>2877</c:v>
                </c:pt>
                <c:pt idx="5">
                  <c:v>2727</c:v>
                </c:pt>
                <c:pt idx="6">
                  <c:v>2785</c:v>
                </c:pt>
                <c:pt idx="7">
                  <c:v>2703</c:v>
                </c:pt>
                <c:pt idx="8">
                  <c:v>2616</c:v>
                </c:pt>
                <c:pt idx="9">
                  <c:v>2671</c:v>
                </c:pt>
                <c:pt idx="10">
                  <c:v>2786</c:v>
                </c:pt>
                <c:pt idx="11">
                  <c:v>2806</c:v>
                </c:pt>
                <c:pt idx="12">
                  <c:v>2709</c:v>
                </c:pt>
                <c:pt idx="13">
                  <c:v>2789</c:v>
                </c:pt>
                <c:pt idx="14">
                  <c:v>2925</c:v>
                </c:pt>
                <c:pt idx="15">
                  <c:v>2906</c:v>
                </c:pt>
                <c:pt idx="16">
                  <c:v>3083</c:v>
                </c:pt>
                <c:pt idx="17">
                  <c:v>3051</c:v>
                </c:pt>
                <c:pt idx="18">
                  <c:v>3039</c:v>
                </c:pt>
                <c:pt idx="19">
                  <c:v>3049</c:v>
                </c:pt>
                <c:pt idx="20">
                  <c:v>3271</c:v>
                </c:pt>
                <c:pt idx="21">
                  <c:v>3150</c:v>
                </c:pt>
                <c:pt idx="22">
                  <c:v>3128</c:v>
                </c:pt>
                <c:pt idx="23">
                  <c:v>3109</c:v>
                </c:pt>
                <c:pt idx="24">
                  <c:v>3111</c:v>
                </c:pt>
                <c:pt idx="25">
                  <c:v>3046</c:v>
                </c:pt>
                <c:pt idx="26">
                  <c:v>3022</c:v>
                </c:pt>
                <c:pt idx="27">
                  <c:v>3078</c:v>
                </c:pt>
                <c:pt idx="28">
                  <c:v>3090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710</c:v>
                </c:pt>
                <c:pt idx="1">
                  <c:v>680</c:v>
                </c:pt>
                <c:pt idx="2">
                  <c:v>680</c:v>
                </c:pt>
                <c:pt idx="3">
                  <c:v>640</c:v>
                </c:pt>
                <c:pt idx="4">
                  <c:v>690</c:v>
                </c:pt>
                <c:pt idx="5">
                  <c:v>690</c:v>
                </c:pt>
                <c:pt idx="6">
                  <c:v>670</c:v>
                </c:pt>
                <c:pt idx="7">
                  <c:v>700</c:v>
                </c:pt>
                <c:pt idx="8">
                  <c:v>660</c:v>
                </c:pt>
                <c:pt idx="9">
                  <c:v>650</c:v>
                </c:pt>
                <c:pt idx="10">
                  <c:v>730</c:v>
                </c:pt>
                <c:pt idx="11">
                  <c:v>600</c:v>
                </c:pt>
                <c:pt idx="12">
                  <c:v>540</c:v>
                </c:pt>
                <c:pt idx="13">
                  <c:v>620</c:v>
                </c:pt>
                <c:pt idx="14">
                  <c:v>610</c:v>
                </c:pt>
                <c:pt idx="15">
                  <c:v>640</c:v>
                </c:pt>
                <c:pt idx="16">
                  <c:v>680</c:v>
                </c:pt>
                <c:pt idx="17">
                  <c:v>640</c:v>
                </c:pt>
                <c:pt idx="18">
                  <c:v>680</c:v>
                </c:pt>
                <c:pt idx="19">
                  <c:v>640</c:v>
                </c:pt>
                <c:pt idx="20">
                  <c:v>710</c:v>
                </c:pt>
                <c:pt idx="21">
                  <c:v>710</c:v>
                </c:pt>
                <c:pt idx="22">
                  <c:v>600</c:v>
                </c:pt>
                <c:pt idx="23">
                  <c:v>780</c:v>
                </c:pt>
                <c:pt idx="24">
                  <c:v>670</c:v>
                </c:pt>
                <c:pt idx="25">
                  <c:v>720</c:v>
                </c:pt>
                <c:pt idx="26">
                  <c:v>690</c:v>
                </c:pt>
                <c:pt idx="27">
                  <c:v>700</c:v>
                </c:pt>
                <c:pt idx="28">
                  <c:v>740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785</c:v>
                </c:pt>
                <c:pt idx="1">
                  <c:v>1700</c:v>
                </c:pt>
                <c:pt idx="2">
                  <c:v>1400</c:v>
                </c:pt>
                <c:pt idx="3">
                  <c:v>1800</c:v>
                </c:pt>
                <c:pt idx="4">
                  <c:v>1400</c:v>
                </c:pt>
                <c:pt idx="5">
                  <c:v>2500</c:v>
                </c:pt>
                <c:pt idx="6">
                  <c:v>400</c:v>
                </c:pt>
                <c:pt idx="7">
                  <c:v>1300</c:v>
                </c:pt>
                <c:pt idx="8">
                  <c:v>1300</c:v>
                </c:pt>
                <c:pt idx="9">
                  <c:v>1400</c:v>
                </c:pt>
                <c:pt idx="10">
                  <c:v>1400</c:v>
                </c:pt>
                <c:pt idx="11">
                  <c:v>1300</c:v>
                </c:pt>
                <c:pt idx="12">
                  <c:v>1600</c:v>
                </c:pt>
                <c:pt idx="13">
                  <c:v>1500</c:v>
                </c:pt>
                <c:pt idx="14">
                  <c:v>1800</c:v>
                </c:pt>
                <c:pt idx="15">
                  <c:v>1800</c:v>
                </c:pt>
                <c:pt idx="16">
                  <c:v>1700</c:v>
                </c:pt>
                <c:pt idx="17">
                  <c:v>1900</c:v>
                </c:pt>
                <c:pt idx="18">
                  <c:v>1700</c:v>
                </c:pt>
                <c:pt idx="19">
                  <c:v>2000</c:v>
                </c:pt>
                <c:pt idx="20">
                  <c:v>2200</c:v>
                </c:pt>
                <c:pt idx="21">
                  <c:v>2300</c:v>
                </c:pt>
                <c:pt idx="22">
                  <c:v>2200</c:v>
                </c:pt>
                <c:pt idx="23">
                  <c:v>2000</c:v>
                </c:pt>
                <c:pt idx="24">
                  <c:v>2100</c:v>
                </c:pt>
                <c:pt idx="25">
                  <c:v>2200</c:v>
                </c:pt>
                <c:pt idx="26">
                  <c:v>2500</c:v>
                </c:pt>
                <c:pt idx="27">
                  <c:v>2600</c:v>
                </c:pt>
                <c:pt idx="28">
                  <c:v>2200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910740</c:v>
                </c:pt>
                <c:pt idx="1">
                  <c:v>911450</c:v>
                </c:pt>
                <c:pt idx="2">
                  <c:v>912220</c:v>
                </c:pt>
                <c:pt idx="3">
                  <c:v>913080</c:v>
                </c:pt>
                <c:pt idx="4">
                  <c:v>914040</c:v>
                </c:pt>
                <c:pt idx="5">
                  <c:v>914940</c:v>
                </c:pt>
                <c:pt idx="6">
                  <c:v>915820</c:v>
                </c:pt>
                <c:pt idx="7">
                  <c:v>916730</c:v>
                </c:pt>
                <c:pt idx="8">
                  <c:v>917690</c:v>
                </c:pt>
                <c:pt idx="9">
                  <c:v>918630</c:v>
                </c:pt>
                <c:pt idx="10">
                  <c:v>919630</c:v>
                </c:pt>
                <c:pt idx="11">
                  <c:v>920630</c:v>
                </c:pt>
                <c:pt idx="12">
                  <c:v>921720</c:v>
                </c:pt>
                <c:pt idx="13">
                  <c:v>922610</c:v>
                </c:pt>
                <c:pt idx="14">
                  <c:v>923400</c:v>
                </c:pt>
                <c:pt idx="15">
                  <c:v>924240</c:v>
                </c:pt>
                <c:pt idx="16">
                  <c:v>925080</c:v>
                </c:pt>
                <c:pt idx="17">
                  <c:v>926020</c:v>
                </c:pt>
                <c:pt idx="18">
                  <c:v>926910</c:v>
                </c:pt>
                <c:pt idx="19">
                  <c:v>927840</c:v>
                </c:pt>
                <c:pt idx="20">
                  <c:v>928760</c:v>
                </c:pt>
                <c:pt idx="21">
                  <c:v>929680</c:v>
                </c:pt>
                <c:pt idx="22">
                  <c:v>930650</c:v>
                </c:pt>
                <c:pt idx="23">
                  <c:v>931570</c:v>
                </c:pt>
                <c:pt idx="24">
                  <c:v>932490</c:v>
                </c:pt>
                <c:pt idx="25">
                  <c:v>933390</c:v>
                </c:pt>
                <c:pt idx="26">
                  <c:v>934250</c:v>
                </c:pt>
                <c:pt idx="27">
                  <c:v>935140</c:v>
                </c:pt>
                <c:pt idx="28">
                  <c:v>936050</c:v>
                </c:pt>
                <c:pt idx="29">
                  <c:v>936970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25086</c:v>
                </c:pt>
                <c:pt idx="1">
                  <c:v>26010</c:v>
                </c:pt>
                <c:pt idx="2">
                  <c:v>26063</c:v>
                </c:pt>
                <c:pt idx="3">
                  <c:v>27067</c:v>
                </c:pt>
                <c:pt idx="4">
                  <c:v>25673</c:v>
                </c:pt>
                <c:pt idx="5">
                  <c:v>26011</c:v>
                </c:pt>
                <c:pt idx="6">
                  <c:v>25920</c:v>
                </c:pt>
                <c:pt idx="7">
                  <c:v>27545</c:v>
                </c:pt>
                <c:pt idx="8">
                  <c:v>25266</c:v>
                </c:pt>
                <c:pt idx="9">
                  <c:v>25058</c:v>
                </c:pt>
                <c:pt idx="10">
                  <c:v>27209</c:v>
                </c:pt>
                <c:pt idx="11">
                  <c:v>26285</c:v>
                </c:pt>
                <c:pt idx="12">
                  <c:v>25089</c:v>
                </c:pt>
                <c:pt idx="13">
                  <c:v>25240</c:v>
                </c:pt>
                <c:pt idx="14">
                  <c:v>26777</c:v>
                </c:pt>
                <c:pt idx="15">
                  <c:v>27693</c:v>
                </c:pt>
                <c:pt idx="16">
                  <c:v>28630</c:v>
                </c:pt>
                <c:pt idx="17">
                  <c:v>28914</c:v>
                </c:pt>
                <c:pt idx="18">
                  <c:v>28737</c:v>
                </c:pt>
                <c:pt idx="19">
                  <c:v>29860</c:v>
                </c:pt>
                <c:pt idx="20">
                  <c:v>30378</c:v>
                </c:pt>
                <c:pt idx="21">
                  <c:v>29712</c:v>
                </c:pt>
                <c:pt idx="22">
                  <c:v>29987</c:v>
                </c:pt>
                <c:pt idx="23">
                  <c:v>30063</c:v>
                </c:pt>
                <c:pt idx="24">
                  <c:v>29439</c:v>
                </c:pt>
                <c:pt idx="25">
                  <c:v>28639</c:v>
                </c:pt>
                <c:pt idx="26">
                  <c:v>36339</c:v>
                </c:pt>
                <c:pt idx="27">
                  <c:v>30401</c:v>
                </c:pt>
                <c:pt idx="28">
                  <c:v>21839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42</xdr:row>
      <xdr:rowOff>146050</xdr:rowOff>
    </xdr:from>
    <xdr:to>
      <xdr:col>8</xdr:col>
      <xdr:colOff>266700</xdr:colOff>
      <xdr:row>60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LG ENGINEERING" id="{10CB0255-6450-4E39-B28F-2D51F9765272}" userId="MLG ENGINEERI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D5" dT="2021-09-26T02:37:01.34" personId="{10CB0255-6450-4E39-B28F-2D51F9765272}" id="{B959E7C7-E6E6-4F01-8825-A7437F01C5AB}">
    <text>avg 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I2" sqref="I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6" t="s">
        <v>100</v>
      </c>
      <c r="B1" s="136" t="s">
        <v>42</v>
      </c>
      <c r="C1" s="137" t="s">
        <v>3</v>
      </c>
      <c r="D1" s="136" t="s">
        <v>4</v>
      </c>
      <c r="E1" s="138" t="s">
        <v>101</v>
      </c>
      <c r="F1" s="139" t="s">
        <v>102</v>
      </c>
      <c r="G1" s="138" t="s">
        <v>103</v>
      </c>
      <c r="H1" s="139" t="s">
        <v>104</v>
      </c>
      <c r="I1" s="138" t="s">
        <v>105</v>
      </c>
      <c r="J1" s="140" t="s">
        <v>106</v>
      </c>
      <c r="K1" s="138" t="s">
        <v>107</v>
      </c>
      <c r="L1" s="138" t="s">
        <v>108</v>
      </c>
    </row>
    <row r="2" spans="1:12" ht="15" x14ac:dyDescent="0.25">
      <c r="A2" s="141" t="s">
        <v>109</v>
      </c>
      <c r="B2" s="141">
        <v>1</v>
      </c>
      <c r="C2" s="142">
        <v>12</v>
      </c>
      <c r="D2" s="141">
        <v>2021</v>
      </c>
      <c r="E2" s="143">
        <f>'Maldives at LG Daily'!D5</f>
        <v>3140352</v>
      </c>
      <c r="F2" s="144">
        <v>0.93</v>
      </c>
      <c r="G2" s="143">
        <f>'Maldives at LG Daily'!F5</f>
        <v>225</v>
      </c>
      <c r="H2" s="144">
        <v>1.24</v>
      </c>
      <c r="I2" s="143">
        <f>'Maldives at LG Daily'!H5</f>
        <v>414</v>
      </c>
      <c r="J2" s="144">
        <v>2.16</v>
      </c>
      <c r="K2" s="143">
        <f>'Maldives at LG Daily'!I5</f>
        <v>37.9</v>
      </c>
      <c r="L2" s="143">
        <f>'Maldives at LG Daily'!J5</f>
        <v>231</v>
      </c>
    </row>
    <row r="3" spans="1:12" ht="15" x14ac:dyDescent="0.25">
      <c r="A3" s="141" t="s">
        <v>109</v>
      </c>
      <c r="B3" s="141">
        <f>B2+1</f>
        <v>2</v>
      </c>
      <c r="C3" s="142">
        <v>12</v>
      </c>
      <c r="D3" s="141">
        <v>2021</v>
      </c>
      <c r="E3" s="143">
        <f>'Maldives at LG Daily'!D6</f>
        <v>26010</v>
      </c>
      <c r="F3" s="144">
        <v>0.93</v>
      </c>
      <c r="G3" s="143">
        <f>'Maldives at LG Daily'!F6</f>
        <v>0</v>
      </c>
      <c r="H3" s="144">
        <v>1.24</v>
      </c>
      <c r="I3" s="143">
        <f>'Maldives at LG Daily'!H6</f>
        <v>369</v>
      </c>
      <c r="J3" s="144">
        <v>2.16</v>
      </c>
      <c r="K3" s="143">
        <f>'Maldives at LG Daily'!I6</f>
        <v>44.7</v>
      </c>
      <c r="L3" s="143">
        <f>'Maldives at LG Daily'!J6</f>
        <v>282</v>
      </c>
    </row>
    <row r="4" spans="1:12" ht="15" x14ac:dyDescent="0.25">
      <c r="A4" s="141" t="s">
        <v>109</v>
      </c>
      <c r="B4" s="141">
        <f t="shared" ref="B4:B30" si="0">B3+1</f>
        <v>3</v>
      </c>
      <c r="C4" s="142">
        <v>12</v>
      </c>
      <c r="D4" s="141">
        <v>2021</v>
      </c>
      <c r="E4" s="143">
        <f>'Maldives at LG Daily'!D7</f>
        <v>26063</v>
      </c>
      <c r="F4" s="144">
        <v>0.93</v>
      </c>
      <c r="G4" s="143">
        <f>'Maldives at LG Daily'!F7</f>
        <v>45</v>
      </c>
      <c r="H4" s="144">
        <v>1.24</v>
      </c>
      <c r="I4" s="143">
        <f>'Maldives at LG Daily'!H7</f>
        <v>438</v>
      </c>
      <c r="J4" s="144">
        <v>2.16</v>
      </c>
      <c r="K4" s="143">
        <f>'Maldives at LG Daily'!I7</f>
        <v>40.799999999999997</v>
      </c>
      <c r="L4" s="143">
        <f>'Maldives at LG Daily'!J7</f>
        <v>289</v>
      </c>
    </row>
    <row r="5" spans="1:12" ht="15" x14ac:dyDescent="0.25">
      <c r="A5" s="141" t="s">
        <v>109</v>
      </c>
      <c r="B5" s="141">
        <f t="shared" si="0"/>
        <v>4</v>
      </c>
      <c r="C5" s="142">
        <v>12</v>
      </c>
      <c r="D5" s="141">
        <v>2021</v>
      </c>
      <c r="E5" s="143">
        <f>'Maldives at LG Daily'!D8</f>
        <v>27067</v>
      </c>
      <c r="F5" s="144">
        <v>0.93</v>
      </c>
      <c r="G5" s="143">
        <f>'Maldives at LG Daily'!F8</f>
        <v>0</v>
      </c>
      <c r="H5" s="144">
        <v>1.24</v>
      </c>
      <c r="I5" s="143">
        <f>'Maldives at LG Daily'!H8</f>
        <v>427</v>
      </c>
      <c r="J5" s="144">
        <v>2.16</v>
      </c>
      <c r="K5" s="143">
        <f>'Maldives at LG Daily'!I8</f>
        <v>36.9</v>
      </c>
      <c r="L5" s="143">
        <f>'Maldives at LG Daily'!J8</f>
        <v>227</v>
      </c>
    </row>
    <row r="6" spans="1:12" ht="15" x14ac:dyDescent="0.25">
      <c r="A6" s="141" t="s">
        <v>109</v>
      </c>
      <c r="B6" s="141">
        <f t="shared" si="0"/>
        <v>5</v>
      </c>
      <c r="C6" s="142">
        <v>12</v>
      </c>
      <c r="D6" s="141">
        <v>2021</v>
      </c>
      <c r="E6" s="143">
        <f>'Maldives at LG Daily'!D9</f>
        <v>25673</v>
      </c>
      <c r="F6" s="144">
        <v>0.93</v>
      </c>
      <c r="G6" s="143" t="str">
        <f>'Maldives at LG Daily'!F9</f>
        <v>0</v>
      </c>
      <c r="H6" s="144">
        <v>1.24</v>
      </c>
      <c r="I6" s="143">
        <f>'Maldives at LG Daily'!H9</f>
        <v>423</v>
      </c>
      <c r="J6" s="144">
        <v>2.16</v>
      </c>
      <c r="K6" s="143">
        <f>'Maldives at LG Daily'!I9</f>
        <v>28.2</v>
      </c>
      <c r="L6" s="143">
        <f>'Maldives at LG Daily'!J9</f>
        <v>200</v>
      </c>
    </row>
    <row r="7" spans="1:12" ht="15" x14ac:dyDescent="0.25">
      <c r="A7" s="141" t="s">
        <v>109</v>
      </c>
      <c r="B7" s="141">
        <f t="shared" si="0"/>
        <v>6</v>
      </c>
      <c r="C7" s="142">
        <v>12</v>
      </c>
      <c r="D7" s="141">
        <v>2021</v>
      </c>
      <c r="E7" s="143">
        <f>'Maldives at LG Daily'!D10</f>
        <v>26011</v>
      </c>
      <c r="F7" s="144">
        <v>0.93</v>
      </c>
      <c r="G7" s="143">
        <f>'Maldives at LG Daily'!F10</f>
        <v>0</v>
      </c>
      <c r="H7" s="144">
        <v>1.24</v>
      </c>
      <c r="I7" s="143">
        <f>'Maldives at LG Daily'!H10</f>
        <v>347</v>
      </c>
      <c r="J7" s="144">
        <v>2.16</v>
      </c>
      <c r="K7" s="143">
        <f>'Maldives at LG Daily'!I10</f>
        <v>28.2</v>
      </c>
      <c r="L7" s="143">
        <f>'Maldives at LG Daily'!J10</f>
        <v>192</v>
      </c>
    </row>
    <row r="8" spans="1:12" ht="15" x14ac:dyDescent="0.25">
      <c r="A8" s="141" t="s">
        <v>109</v>
      </c>
      <c r="B8" s="141">
        <f t="shared" si="0"/>
        <v>7</v>
      </c>
      <c r="C8" s="142">
        <v>12</v>
      </c>
      <c r="D8" s="141">
        <v>2021</v>
      </c>
      <c r="E8" s="143">
        <f>'Maldives at LG Daily'!D11</f>
        <v>25920</v>
      </c>
      <c r="F8" s="144">
        <v>0.93</v>
      </c>
      <c r="G8" s="143">
        <f>'Maldives at LG Daily'!F11</f>
        <v>45</v>
      </c>
      <c r="H8" s="144">
        <v>1.24</v>
      </c>
      <c r="I8" s="143">
        <f>'Maldives at LG Daily'!H11</f>
        <v>413</v>
      </c>
      <c r="J8" s="144">
        <v>2.16</v>
      </c>
      <c r="K8" s="143">
        <f>'Maldives at LG Daily'!I11</f>
        <v>27.2</v>
      </c>
      <c r="L8" s="143">
        <f>'Maldives at LG Daily'!J11</f>
        <v>204</v>
      </c>
    </row>
    <row r="9" spans="1:12" ht="15" x14ac:dyDescent="0.25">
      <c r="A9" s="141" t="s">
        <v>109</v>
      </c>
      <c r="B9" s="141">
        <f t="shared" si="0"/>
        <v>8</v>
      </c>
      <c r="C9" s="142">
        <v>12</v>
      </c>
      <c r="D9" s="141">
        <v>2021</v>
      </c>
      <c r="E9" s="143">
        <f>'Maldives at LG Daily'!D12</f>
        <v>27545</v>
      </c>
      <c r="F9" s="144">
        <v>0.93</v>
      </c>
      <c r="G9" s="143">
        <f>'Maldives at LG Daily'!F12</f>
        <v>0</v>
      </c>
      <c r="H9" s="144">
        <v>1.24</v>
      </c>
      <c r="I9" s="143">
        <f>'Maldives at LG Daily'!H12</f>
        <v>417</v>
      </c>
      <c r="J9" s="144">
        <v>2.16</v>
      </c>
      <c r="K9" s="143">
        <f>'Maldives at LG Daily'!I12</f>
        <v>27.2</v>
      </c>
      <c r="L9" s="143">
        <f>'Maldives at LG Daily'!J12</f>
        <v>206</v>
      </c>
    </row>
    <row r="10" spans="1:12" ht="15" x14ac:dyDescent="0.25">
      <c r="A10" s="141" t="s">
        <v>109</v>
      </c>
      <c r="B10" s="141">
        <f t="shared" si="0"/>
        <v>9</v>
      </c>
      <c r="C10" s="142">
        <v>12</v>
      </c>
      <c r="D10" s="141">
        <v>2021</v>
      </c>
      <c r="E10" s="143">
        <f>'Maldives at LG Daily'!D13</f>
        <v>25266</v>
      </c>
      <c r="F10" s="144">
        <v>0.93</v>
      </c>
      <c r="G10" s="143" t="str">
        <f>'Maldives at LG Daily'!F13</f>
        <v>0</v>
      </c>
      <c r="H10" s="144">
        <v>1.24</v>
      </c>
      <c r="I10" s="143">
        <f>'Maldives at LG Daily'!H13</f>
        <v>434</v>
      </c>
      <c r="J10" s="144">
        <v>2.16</v>
      </c>
      <c r="K10" s="143">
        <f>'Maldives at LG Daily'!I13</f>
        <v>27.2</v>
      </c>
      <c r="L10" s="143">
        <f>'Maldives at LG Daily'!J13</f>
        <v>206</v>
      </c>
    </row>
    <row r="11" spans="1:12" ht="15" x14ac:dyDescent="0.25">
      <c r="A11" s="141" t="s">
        <v>109</v>
      </c>
      <c r="B11" s="141">
        <f t="shared" si="0"/>
        <v>10</v>
      </c>
      <c r="C11" s="142">
        <v>12</v>
      </c>
      <c r="D11" s="141">
        <v>2021</v>
      </c>
      <c r="E11" s="143">
        <f>'Maldives at LG Daily'!D14</f>
        <v>25058</v>
      </c>
      <c r="F11" s="144">
        <v>0.93</v>
      </c>
      <c r="G11" s="143">
        <f>'Maldives at LG Daily'!F14</f>
        <v>0</v>
      </c>
      <c r="H11" s="144">
        <v>1.24</v>
      </c>
      <c r="I11" s="143">
        <f>'Maldives at LG Daily'!H14</f>
        <v>430</v>
      </c>
      <c r="J11" s="144">
        <v>2.16</v>
      </c>
      <c r="K11" s="143">
        <f>'Maldives at LG Daily'!I14</f>
        <v>21</v>
      </c>
      <c r="L11" s="143">
        <f>'Maldives at LG Daily'!J14</f>
        <v>161</v>
      </c>
    </row>
    <row r="12" spans="1:12" ht="15" x14ac:dyDescent="0.25">
      <c r="A12" s="141" t="s">
        <v>109</v>
      </c>
      <c r="B12" s="141">
        <f t="shared" si="0"/>
        <v>11</v>
      </c>
      <c r="C12" s="142">
        <v>12</v>
      </c>
      <c r="D12" s="141">
        <v>2021</v>
      </c>
      <c r="E12" s="143">
        <f>'Maldives at LG Daily'!D15</f>
        <v>27209</v>
      </c>
      <c r="F12" s="144">
        <v>0.93</v>
      </c>
      <c r="G12" s="143">
        <f>'Maldives at LG Daily'!F15</f>
        <v>45</v>
      </c>
      <c r="H12" s="144">
        <v>1.24</v>
      </c>
      <c r="I12" s="143">
        <f>'Maldives at LG Daily'!H15</f>
        <v>419</v>
      </c>
      <c r="J12" s="144">
        <v>2.16</v>
      </c>
      <c r="K12" s="143">
        <f>'Maldives at LG Daily'!I15</f>
        <v>25.2</v>
      </c>
      <c r="L12" s="143">
        <f>'Maldives at LG Daily'!J15</f>
        <v>195</v>
      </c>
    </row>
    <row r="13" spans="1:12" ht="15" x14ac:dyDescent="0.25">
      <c r="A13" s="141" t="s">
        <v>109</v>
      </c>
      <c r="B13" s="141">
        <f t="shared" si="0"/>
        <v>12</v>
      </c>
      <c r="C13" s="142">
        <v>12</v>
      </c>
      <c r="D13" s="141">
        <v>2021</v>
      </c>
      <c r="E13" s="143">
        <f>'Maldives at LG Daily'!D16</f>
        <v>26285</v>
      </c>
      <c r="F13" s="144">
        <v>0.93</v>
      </c>
      <c r="G13" s="143" t="str">
        <f>'Maldives at LG Daily'!F16</f>
        <v>0</v>
      </c>
      <c r="H13" s="144">
        <v>1.24</v>
      </c>
      <c r="I13" s="143">
        <f>'Maldives at LG Daily'!H16</f>
        <v>415</v>
      </c>
      <c r="J13" s="144">
        <v>2.16</v>
      </c>
      <c r="K13" s="143">
        <f>'Maldives at LG Daily'!I16</f>
        <v>29.1</v>
      </c>
      <c r="L13" s="143">
        <f>'Maldives at LG Daily'!J16</f>
        <v>232</v>
      </c>
    </row>
    <row r="14" spans="1:12" ht="15" x14ac:dyDescent="0.25">
      <c r="A14" s="141" t="s">
        <v>109</v>
      </c>
      <c r="B14" s="141">
        <f t="shared" si="0"/>
        <v>13</v>
      </c>
      <c r="C14" s="142">
        <v>12</v>
      </c>
      <c r="D14" s="141">
        <v>2021</v>
      </c>
      <c r="E14" s="143">
        <f>'Maldives at LG Daily'!D17</f>
        <v>25089</v>
      </c>
      <c r="F14" s="144">
        <v>0.93</v>
      </c>
      <c r="G14" s="143">
        <f>'Maldives at LG Daily'!F17</f>
        <v>0</v>
      </c>
      <c r="H14" s="144">
        <v>1.24</v>
      </c>
      <c r="I14" s="143">
        <f>'Maldives at LG Daily'!H17</f>
        <v>413</v>
      </c>
      <c r="J14" s="144">
        <v>2.16</v>
      </c>
      <c r="K14" s="143">
        <f>'Maldives at LG Daily'!I17</f>
        <v>35.9</v>
      </c>
      <c r="L14" s="143">
        <f>'Maldives at LG Daily'!J17</f>
        <v>279</v>
      </c>
    </row>
    <row r="15" spans="1:12" ht="15" x14ac:dyDescent="0.25">
      <c r="A15" s="141" t="s">
        <v>109</v>
      </c>
      <c r="B15" s="141">
        <f t="shared" si="0"/>
        <v>14</v>
      </c>
      <c r="C15" s="142">
        <v>12</v>
      </c>
      <c r="D15" s="141">
        <v>2021</v>
      </c>
      <c r="E15" s="143">
        <f>'Maldives at LG Daily'!D18</f>
        <v>25240</v>
      </c>
      <c r="F15" s="144">
        <v>0.93</v>
      </c>
      <c r="G15" s="143">
        <f>'Maldives at LG Daily'!F18</f>
        <v>90</v>
      </c>
      <c r="H15" s="144">
        <v>1.24</v>
      </c>
      <c r="I15" s="143">
        <f>'Maldives at LG Daily'!H18</f>
        <v>407</v>
      </c>
      <c r="J15" s="144">
        <v>2.16</v>
      </c>
      <c r="K15" s="143">
        <f>'Maldives at LG Daily'!I18</f>
        <v>35.9</v>
      </c>
      <c r="L15" s="143">
        <f>'Maldives at LG Daily'!J18</f>
        <v>279</v>
      </c>
    </row>
    <row r="16" spans="1:12" ht="15" x14ac:dyDescent="0.25">
      <c r="A16" s="141" t="s">
        <v>109</v>
      </c>
      <c r="B16" s="141">
        <f t="shared" si="0"/>
        <v>15</v>
      </c>
      <c r="C16" s="142">
        <v>12</v>
      </c>
      <c r="D16" s="141">
        <v>2021</v>
      </c>
      <c r="E16" s="143">
        <f>'Maldives at LG Daily'!D19</f>
        <v>26777</v>
      </c>
      <c r="F16" s="144">
        <v>0.93</v>
      </c>
      <c r="G16" s="143">
        <f>'Maldives at LG Daily'!F19</f>
        <v>0</v>
      </c>
      <c r="H16" s="144">
        <v>1.24</v>
      </c>
      <c r="I16" s="143">
        <f>'Maldives at LG Daily'!H19</f>
        <v>411</v>
      </c>
      <c r="J16" s="144">
        <v>2.16</v>
      </c>
      <c r="K16" s="143">
        <f>'Maldives at LG Daily'!I19</f>
        <v>43.7</v>
      </c>
      <c r="L16" s="143">
        <f>'Maldives at LG Daily'!J19</f>
        <v>347</v>
      </c>
    </row>
    <row r="17" spans="1:12" ht="15" x14ac:dyDescent="0.25">
      <c r="A17" s="141" t="s">
        <v>109</v>
      </c>
      <c r="B17" s="141">
        <f t="shared" si="0"/>
        <v>16</v>
      </c>
      <c r="C17" s="142">
        <v>12</v>
      </c>
      <c r="D17" s="141">
        <v>2021</v>
      </c>
      <c r="E17" s="143">
        <f>'Maldives at LG Daily'!D20</f>
        <v>27693</v>
      </c>
      <c r="F17" s="144">
        <v>0.93</v>
      </c>
      <c r="G17" s="143" t="str">
        <f>'Maldives at LG Daily'!F20</f>
        <v>0</v>
      </c>
      <c r="H17" s="144">
        <v>1.24</v>
      </c>
      <c r="I17" s="143">
        <f>'Maldives at LG Daily'!H20</f>
        <v>409</v>
      </c>
      <c r="J17" s="144">
        <v>2.16</v>
      </c>
      <c r="K17" s="143">
        <f>'Maldives at LG Daily'!I20</f>
        <v>48.5</v>
      </c>
      <c r="L17" s="143">
        <f>'Maldives at LG Daily'!J20</f>
        <v>393</v>
      </c>
    </row>
    <row r="18" spans="1:12" ht="15" x14ac:dyDescent="0.25">
      <c r="A18" s="141" t="s">
        <v>109</v>
      </c>
      <c r="B18" s="141">
        <f t="shared" si="0"/>
        <v>17</v>
      </c>
      <c r="C18" s="142">
        <v>12</v>
      </c>
      <c r="D18" s="141">
        <v>2021</v>
      </c>
      <c r="E18" s="143">
        <f>'Maldives at LG Daily'!D21</f>
        <v>28630</v>
      </c>
      <c r="F18" s="144">
        <v>0.93</v>
      </c>
      <c r="G18" s="143">
        <f>'Maldives at LG Daily'!F21</f>
        <v>0</v>
      </c>
      <c r="H18" s="144">
        <v>1.24</v>
      </c>
      <c r="I18" s="143">
        <f>'Maldives at LG Daily'!H21</f>
        <v>405</v>
      </c>
      <c r="J18" s="144">
        <v>2.16</v>
      </c>
      <c r="K18" s="143">
        <f>'Maldives at LG Daily'!I21</f>
        <v>46.6</v>
      </c>
      <c r="L18" s="143">
        <f>'Maldives at LG Daily'!J21</f>
        <v>414</v>
      </c>
    </row>
    <row r="19" spans="1:12" ht="15" x14ac:dyDescent="0.25">
      <c r="A19" s="141" t="s">
        <v>109</v>
      </c>
      <c r="B19" s="141">
        <f t="shared" si="0"/>
        <v>18</v>
      </c>
      <c r="C19" s="142">
        <v>12</v>
      </c>
      <c r="D19" s="141">
        <v>2021</v>
      </c>
      <c r="E19" s="143">
        <f>'Maldives at LG Daily'!D22</f>
        <v>28914</v>
      </c>
      <c r="F19" s="144">
        <v>0.93</v>
      </c>
      <c r="G19" s="143" t="str">
        <f>'Maldives at LG Daily'!F22</f>
        <v>0</v>
      </c>
      <c r="H19" s="144">
        <v>1.24</v>
      </c>
      <c r="I19" s="143">
        <f>'Maldives at LG Daily'!H22</f>
        <v>411</v>
      </c>
      <c r="J19" s="144">
        <v>2.16</v>
      </c>
      <c r="K19" s="143">
        <f>'Maldives at LG Daily'!I22</f>
        <v>57.3</v>
      </c>
      <c r="L19" s="143">
        <f>'Maldives at LG Daily'!J22</f>
        <v>499</v>
      </c>
    </row>
    <row r="20" spans="1:12" ht="15" x14ac:dyDescent="0.25">
      <c r="A20" s="141" t="s">
        <v>109</v>
      </c>
      <c r="B20" s="141">
        <f t="shared" si="0"/>
        <v>19</v>
      </c>
      <c r="C20" s="142">
        <v>12</v>
      </c>
      <c r="D20" s="141">
        <v>2021</v>
      </c>
      <c r="E20" s="143">
        <f>'Maldives at LG Daily'!D23</f>
        <v>28737</v>
      </c>
      <c r="F20" s="144">
        <v>0.93</v>
      </c>
      <c r="G20" s="143">
        <f>'Maldives at LG Daily'!F23</f>
        <v>45</v>
      </c>
      <c r="H20" s="144">
        <v>1.24</v>
      </c>
      <c r="I20" s="143">
        <f>'Maldives at LG Daily'!H23</f>
        <v>408</v>
      </c>
      <c r="J20" s="144">
        <v>2.16</v>
      </c>
      <c r="K20" s="143">
        <f>'Maldives at LG Daily'!I23</f>
        <v>53.4</v>
      </c>
      <c r="L20" s="143">
        <f>'Maldives at LG Daily'!J23</f>
        <v>448</v>
      </c>
    </row>
    <row r="21" spans="1:12" ht="15" x14ac:dyDescent="0.25">
      <c r="A21" s="141" t="s">
        <v>109</v>
      </c>
      <c r="B21" s="141">
        <f t="shared" si="0"/>
        <v>20</v>
      </c>
      <c r="C21" s="142">
        <v>12</v>
      </c>
      <c r="D21" s="141">
        <v>2021</v>
      </c>
      <c r="E21" s="143">
        <f>'Maldives at LG Daily'!D24</f>
        <v>29860</v>
      </c>
      <c r="F21" s="144">
        <v>0.93</v>
      </c>
      <c r="G21" s="143" t="str">
        <f>'Maldives at LG Daily'!F24</f>
        <v>0</v>
      </c>
      <c r="H21" s="144">
        <v>1.24</v>
      </c>
      <c r="I21" s="143">
        <f>'Maldives at LG Daily'!H24</f>
        <v>400</v>
      </c>
      <c r="J21" s="144">
        <v>2.16</v>
      </c>
      <c r="K21" s="143">
        <f>'Maldives at LG Daily'!I24</f>
        <v>54</v>
      </c>
      <c r="L21" s="143">
        <f>'Maldives at LG Daily'!J24</f>
        <v>464</v>
      </c>
    </row>
    <row r="22" spans="1:12" ht="15" x14ac:dyDescent="0.25">
      <c r="A22" s="141" t="s">
        <v>109</v>
      </c>
      <c r="B22" s="141">
        <f t="shared" si="0"/>
        <v>21</v>
      </c>
      <c r="C22" s="142">
        <v>12</v>
      </c>
      <c r="D22" s="141">
        <v>2021</v>
      </c>
      <c r="E22" s="143">
        <f>'Maldives at LG Daily'!D25</f>
        <v>30378</v>
      </c>
      <c r="F22" s="144">
        <v>0.93</v>
      </c>
      <c r="G22" s="143">
        <f>'Maldives at LG Daily'!F25</f>
        <v>45</v>
      </c>
      <c r="H22" s="144">
        <v>1.24</v>
      </c>
      <c r="I22" s="143">
        <f>'Maldives at LG Daily'!H25</f>
        <v>421</v>
      </c>
      <c r="J22" s="144">
        <v>2.16</v>
      </c>
      <c r="K22" s="143">
        <f>'Maldives at LG Daily'!I25</f>
        <v>54</v>
      </c>
      <c r="L22" s="143">
        <f>'Maldives at LG Daily'!J25</f>
        <v>465</v>
      </c>
    </row>
    <row r="23" spans="1:12" ht="15" x14ac:dyDescent="0.25">
      <c r="A23" s="141" t="s">
        <v>109</v>
      </c>
      <c r="B23" s="141">
        <f t="shared" si="0"/>
        <v>22</v>
      </c>
      <c r="C23" s="142">
        <v>12</v>
      </c>
      <c r="D23" s="141">
        <v>2021</v>
      </c>
      <c r="E23" s="143">
        <f>'Maldives at LG Daily'!D26</f>
        <v>29712</v>
      </c>
      <c r="F23" s="144">
        <v>0.93</v>
      </c>
      <c r="G23" s="143">
        <f>'Maldives at LG Daily'!F26</f>
        <v>0</v>
      </c>
      <c r="H23" s="144">
        <v>1.24</v>
      </c>
      <c r="I23" s="143">
        <f>'Maldives at LG Daily'!H26</f>
        <v>426</v>
      </c>
      <c r="J23" s="144">
        <v>2.16</v>
      </c>
      <c r="K23" s="143">
        <f>'Maldives at LG Daily'!I26</f>
        <v>54</v>
      </c>
      <c r="L23" s="143">
        <f>'Maldives at LG Daily'!J26</f>
        <v>423</v>
      </c>
    </row>
    <row r="24" spans="1:12" ht="15" x14ac:dyDescent="0.25">
      <c r="A24" s="141" t="s">
        <v>109</v>
      </c>
      <c r="B24" s="141">
        <f t="shared" si="0"/>
        <v>23</v>
      </c>
      <c r="C24" s="142">
        <v>12</v>
      </c>
      <c r="D24" s="141">
        <v>2021</v>
      </c>
      <c r="E24" s="143">
        <f>'Maldives at LG Daily'!D27</f>
        <v>29987</v>
      </c>
      <c r="F24" s="144">
        <v>0.93</v>
      </c>
      <c r="G24" s="143">
        <f>'Maldives at LG Daily'!F27</f>
        <v>45</v>
      </c>
      <c r="H24" s="144">
        <v>1.24</v>
      </c>
      <c r="I24" s="143">
        <f>'Maldives at LG Daily'!H27</f>
        <v>481</v>
      </c>
      <c r="J24" s="144">
        <v>2.16</v>
      </c>
      <c r="K24" s="143">
        <f>'Maldives at LG Daily'!I27</f>
        <v>60</v>
      </c>
      <c r="L24" s="143">
        <f>'Maldives at LG Daily'!J27</f>
        <v>464</v>
      </c>
    </row>
    <row r="25" spans="1:12" ht="15" x14ac:dyDescent="0.25">
      <c r="A25" s="141" t="s">
        <v>109</v>
      </c>
      <c r="B25" s="141">
        <f t="shared" si="0"/>
        <v>24</v>
      </c>
      <c r="C25" s="142">
        <v>12</v>
      </c>
      <c r="D25" s="141">
        <v>2021</v>
      </c>
      <c r="E25" s="143">
        <f>'Maldives at LG Daily'!D28</f>
        <v>30063</v>
      </c>
      <c r="F25" s="144">
        <v>0.93</v>
      </c>
      <c r="G25" s="143" t="str">
        <f>'Maldives at LG Daily'!F28</f>
        <v>0</v>
      </c>
      <c r="H25" s="144">
        <v>1.24</v>
      </c>
      <c r="I25" s="143">
        <f>'Maldives at LG Daily'!H28</f>
        <v>510</v>
      </c>
      <c r="J25" s="144">
        <v>2.16</v>
      </c>
      <c r="K25" s="143">
        <f>'Maldives at LG Daily'!I28</f>
        <v>67</v>
      </c>
      <c r="L25" s="143">
        <f>'Maldives at LG Daily'!J28</f>
        <v>489</v>
      </c>
    </row>
    <row r="26" spans="1:12" ht="15" x14ac:dyDescent="0.25">
      <c r="A26" s="141" t="s">
        <v>109</v>
      </c>
      <c r="B26" s="141">
        <f>B25+1</f>
        <v>25</v>
      </c>
      <c r="C26" s="142">
        <v>12</v>
      </c>
      <c r="D26" s="141">
        <v>2021</v>
      </c>
      <c r="E26" s="143">
        <f>'Maldives at LG Daily'!D29</f>
        <v>29439</v>
      </c>
      <c r="F26" s="144">
        <v>0.93</v>
      </c>
      <c r="G26" s="143">
        <f>'Maldives at LG Daily'!F29</f>
        <v>45</v>
      </c>
      <c r="H26" s="144">
        <v>1.24</v>
      </c>
      <c r="I26" s="143">
        <f>'Maldives at LG Daily'!H29</f>
        <v>459</v>
      </c>
      <c r="J26" s="144">
        <v>2.16</v>
      </c>
      <c r="K26" s="143">
        <f>'Maldives at LG Daily'!I29</f>
        <v>66</v>
      </c>
      <c r="L26" s="143">
        <f>'Maldives at LG Daily'!J29</f>
        <v>555</v>
      </c>
    </row>
    <row r="27" spans="1:12" ht="15" x14ac:dyDescent="0.25">
      <c r="A27" s="141" t="s">
        <v>109</v>
      </c>
      <c r="B27" s="141">
        <f t="shared" si="0"/>
        <v>26</v>
      </c>
      <c r="C27" s="142">
        <v>12</v>
      </c>
      <c r="D27" s="141">
        <v>2021</v>
      </c>
      <c r="E27" s="143">
        <f>'Maldives at LG Daily'!D30</f>
        <v>28639</v>
      </c>
      <c r="F27" s="144">
        <v>0.93</v>
      </c>
      <c r="G27" s="143" t="str">
        <f>'Maldives at LG Daily'!F30</f>
        <v>0</v>
      </c>
      <c r="H27" s="144">
        <v>1.24</v>
      </c>
      <c r="I27" s="143">
        <f>'Maldives at LG Daily'!H30</f>
        <v>454</v>
      </c>
      <c r="J27" s="144">
        <v>2.16</v>
      </c>
      <c r="K27" s="143">
        <f>'Maldives at LG Daily'!I30</f>
        <v>0</v>
      </c>
      <c r="L27" s="143">
        <f>'Maldives at LG Daily'!J30</f>
        <v>0</v>
      </c>
    </row>
    <row r="28" spans="1:12" ht="15" x14ac:dyDescent="0.25">
      <c r="A28" s="141" t="s">
        <v>109</v>
      </c>
      <c r="B28" s="141">
        <f t="shared" si="0"/>
        <v>27</v>
      </c>
      <c r="C28" s="142">
        <v>12</v>
      </c>
      <c r="D28" s="141">
        <v>2021</v>
      </c>
      <c r="E28" s="143">
        <f>'Maldives at LG Daily'!D31</f>
        <v>36339</v>
      </c>
      <c r="F28" s="144">
        <v>0.93</v>
      </c>
      <c r="G28" s="143">
        <f>'Maldives at LG Daily'!F31</f>
        <v>45</v>
      </c>
      <c r="H28" s="144">
        <v>1.24</v>
      </c>
      <c r="I28" s="143">
        <f>'Maldives at LG Daily'!H31</f>
        <v>449</v>
      </c>
      <c r="J28" s="144">
        <v>2.16</v>
      </c>
      <c r="K28" s="143">
        <f>'Maldives at LG Daily'!I31</f>
        <v>0</v>
      </c>
      <c r="L28" s="143">
        <f>'Maldives at LG Daily'!J31</f>
        <v>0</v>
      </c>
    </row>
    <row r="29" spans="1:12" ht="15" x14ac:dyDescent="0.25">
      <c r="A29" s="141" t="s">
        <v>109</v>
      </c>
      <c r="B29" s="141">
        <f t="shared" si="0"/>
        <v>28</v>
      </c>
      <c r="C29" s="142">
        <v>12</v>
      </c>
      <c r="D29" s="141">
        <v>2021</v>
      </c>
      <c r="E29" s="143">
        <f>'Maldives at LG Daily'!D32</f>
        <v>30401</v>
      </c>
      <c r="F29" s="144">
        <v>0.93</v>
      </c>
      <c r="G29" s="143" t="str">
        <f>'Maldives at LG Daily'!F32</f>
        <v>0</v>
      </c>
      <c r="H29" s="144">
        <v>1.24</v>
      </c>
      <c r="I29" s="143" t="str">
        <f>'Maldives at LG Daily'!H32</f>
        <v>0</v>
      </c>
      <c r="J29" s="144">
        <v>2.16</v>
      </c>
      <c r="K29" s="143">
        <f>'Maldives at LG Daily'!I32</f>
        <v>0</v>
      </c>
      <c r="L29" s="143">
        <f>'Maldives at LG Daily'!J32</f>
        <v>0</v>
      </c>
    </row>
    <row r="30" spans="1:12" ht="15" x14ac:dyDescent="0.25">
      <c r="A30" s="141" t="s">
        <v>109</v>
      </c>
      <c r="B30" s="141">
        <f t="shared" si="0"/>
        <v>29</v>
      </c>
      <c r="C30" s="142">
        <v>12</v>
      </c>
      <c r="D30" s="141">
        <v>2021</v>
      </c>
      <c r="E30" s="143" t="str">
        <f>'Maldives at LG Daily'!D33</f>
        <v>0</v>
      </c>
      <c r="F30" s="144">
        <v>0.93</v>
      </c>
      <c r="G30" s="143">
        <f>'Maldives at LG Daily'!F33</f>
        <v>45</v>
      </c>
      <c r="H30" s="144">
        <v>1.24</v>
      </c>
      <c r="I30" s="143">
        <f>'Maldives at LG Daily'!H33</f>
        <v>0</v>
      </c>
      <c r="J30" s="144">
        <v>2.16</v>
      </c>
      <c r="K30" s="143">
        <f>'Maldives at LG Daily'!I33</f>
        <v>0</v>
      </c>
      <c r="L30" s="143">
        <f>'Maldives at LG Daily'!J33</f>
        <v>0</v>
      </c>
    </row>
    <row r="31" spans="1:12" ht="15" x14ac:dyDescent="0.25">
      <c r="A31" s="141" t="s">
        <v>109</v>
      </c>
      <c r="B31" s="141">
        <v>30</v>
      </c>
      <c r="C31" s="142">
        <v>12</v>
      </c>
      <c r="D31" s="141">
        <v>2021</v>
      </c>
      <c r="E31" s="143" t="str">
        <f>'Maldives at LG Daily'!D34</f>
        <v>0</v>
      </c>
      <c r="F31" s="144">
        <v>0.93</v>
      </c>
      <c r="G31" s="143" t="str">
        <f>'Maldives at LG Daily'!F34</f>
        <v>0</v>
      </c>
      <c r="H31" s="144">
        <v>1.24</v>
      </c>
      <c r="I31" s="143">
        <f>'Maldives at LG Daily'!H34</f>
        <v>0</v>
      </c>
      <c r="J31" s="144">
        <v>2.16</v>
      </c>
      <c r="K31" s="143">
        <f>'Maldives at LG Daily'!I34</f>
        <v>0</v>
      </c>
      <c r="L31" s="143">
        <f>'Maldives at LG Daily'!J34</f>
        <v>0</v>
      </c>
    </row>
    <row r="32" spans="1:12" ht="15" x14ac:dyDescent="0.25">
      <c r="A32" s="141" t="s">
        <v>109</v>
      </c>
      <c r="B32" s="141">
        <v>31</v>
      </c>
      <c r="C32" s="142">
        <v>12</v>
      </c>
      <c r="D32" s="141">
        <v>2021</v>
      </c>
      <c r="E32" s="143">
        <f>'Maldives at LG Daily'!D35</f>
        <v>0</v>
      </c>
      <c r="F32" s="144">
        <v>0.93</v>
      </c>
      <c r="G32" s="143">
        <f>'Maldives at LG Daily'!F35</f>
        <v>0</v>
      </c>
      <c r="H32" s="144">
        <v>1.24</v>
      </c>
      <c r="I32" s="143">
        <f>'Maldives at LG Daily'!H35</f>
        <v>0</v>
      </c>
      <c r="J32" s="144">
        <v>2.16</v>
      </c>
      <c r="K32" s="143">
        <f>'Maldives at LG Daily'!I35</f>
        <v>0</v>
      </c>
      <c r="L32" s="143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J4" sqref="J4"/>
    </sheetView>
  </sheetViews>
  <sheetFormatPr defaultRowHeight="15" x14ac:dyDescent="0.25"/>
  <cols>
    <col min="1" max="1" width="14" style="197" customWidth="1"/>
    <col min="2" max="2" width="2" style="197" customWidth="1"/>
    <col min="3" max="3" width="11.85546875" style="215" customWidth="1"/>
    <col min="4" max="4" width="13.5703125" style="216" customWidth="1"/>
    <col min="5" max="5" width="14.85546875" style="197" customWidth="1"/>
    <col min="6" max="6" width="14.85546875" style="215" customWidth="1"/>
    <col min="7" max="7" width="8.85546875" style="197" customWidth="1"/>
    <col min="8" max="8" width="12.5703125" style="197" customWidth="1"/>
    <col min="9" max="10" width="13" style="219" customWidth="1"/>
    <col min="11" max="254" width="9.140625" style="197"/>
    <col min="255" max="255" width="14" style="197" customWidth="1"/>
    <col min="256" max="256" width="2" style="197" customWidth="1"/>
    <col min="257" max="257" width="11.85546875" style="197" customWidth="1"/>
    <col min="258" max="258" width="13.5703125" style="197" customWidth="1"/>
    <col min="259" max="260" width="13.85546875" style="197" customWidth="1"/>
    <col min="261" max="262" width="14.85546875" style="197" customWidth="1"/>
    <col min="263" max="263" width="8.85546875" style="197" customWidth="1"/>
    <col min="264" max="264" width="12.5703125" style="197" customWidth="1"/>
    <col min="265" max="266" width="13" style="197" customWidth="1"/>
    <col min="267" max="510" width="9.140625" style="197"/>
    <col min="511" max="511" width="14" style="197" customWidth="1"/>
    <col min="512" max="512" width="2" style="197" customWidth="1"/>
    <col min="513" max="513" width="11.85546875" style="197" customWidth="1"/>
    <col min="514" max="514" width="13.5703125" style="197" customWidth="1"/>
    <col min="515" max="516" width="13.85546875" style="197" customWidth="1"/>
    <col min="517" max="518" width="14.85546875" style="197" customWidth="1"/>
    <col min="519" max="519" width="8.85546875" style="197" customWidth="1"/>
    <col min="520" max="520" width="12.5703125" style="197" customWidth="1"/>
    <col min="521" max="522" width="13" style="197" customWidth="1"/>
    <col min="523" max="766" width="9.140625" style="197"/>
    <col min="767" max="767" width="14" style="197" customWidth="1"/>
    <col min="768" max="768" width="2" style="197" customWidth="1"/>
    <col min="769" max="769" width="11.85546875" style="197" customWidth="1"/>
    <col min="770" max="770" width="13.5703125" style="197" customWidth="1"/>
    <col min="771" max="772" width="13.85546875" style="197" customWidth="1"/>
    <col min="773" max="774" width="14.85546875" style="197" customWidth="1"/>
    <col min="775" max="775" width="8.85546875" style="197" customWidth="1"/>
    <col min="776" max="776" width="12.5703125" style="197" customWidth="1"/>
    <col min="777" max="778" width="13" style="197" customWidth="1"/>
    <col min="779" max="1022" width="9.140625" style="197"/>
    <col min="1023" max="1023" width="14" style="197" customWidth="1"/>
    <col min="1024" max="1024" width="2" style="197" customWidth="1"/>
    <col min="1025" max="1025" width="11.85546875" style="197" customWidth="1"/>
    <col min="1026" max="1026" width="13.5703125" style="197" customWidth="1"/>
    <col min="1027" max="1028" width="13.85546875" style="197" customWidth="1"/>
    <col min="1029" max="1030" width="14.85546875" style="197" customWidth="1"/>
    <col min="1031" max="1031" width="8.85546875" style="197" customWidth="1"/>
    <col min="1032" max="1032" width="12.5703125" style="197" customWidth="1"/>
    <col min="1033" max="1034" width="13" style="197" customWidth="1"/>
    <col min="1035" max="1278" width="9.140625" style="197"/>
    <col min="1279" max="1279" width="14" style="197" customWidth="1"/>
    <col min="1280" max="1280" width="2" style="197" customWidth="1"/>
    <col min="1281" max="1281" width="11.85546875" style="197" customWidth="1"/>
    <col min="1282" max="1282" width="13.5703125" style="197" customWidth="1"/>
    <col min="1283" max="1284" width="13.85546875" style="197" customWidth="1"/>
    <col min="1285" max="1286" width="14.85546875" style="197" customWidth="1"/>
    <col min="1287" max="1287" width="8.85546875" style="197" customWidth="1"/>
    <col min="1288" max="1288" width="12.5703125" style="197" customWidth="1"/>
    <col min="1289" max="1290" width="13" style="197" customWidth="1"/>
    <col min="1291" max="1534" width="9.140625" style="197"/>
    <col min="1535" max="1535" width="14" style="197" customWidth="1"/>
    <col min="1536" max="1536" width="2" style="197" customWidth="1"/>
    <col min="1537" max="1537" width="11.85546875" style="197" customWidth="1"/>
    <col min="1538" max="1538" width="13.5703125" style="197" customWidth="1"/>
    <col min="1539" max="1540" width="13.85546875" style="197" customWidth="1"/>
    <col min="1541" max="1542" width="14.85546875" style="197" customWidth="1"/>
    <col min="1543" max="1543" width="8.85546875" style="197" customWidth="1"/>
    <col min="1544" max="1544" width="12.5703125" style="197" customWidth="1"/>
    <col min="1545" max="1546" width="13" style="197" customWidth="1"/>
    <col min="1547" max="1790" width="9.140625" style="197"/>
    <col min="1791" max="1791" width="14" style="197" customWidth="1"/>
    <col min="1792" max="1792" width="2" style="197" customWidth="1"/>
    <col min="1793" max="1793" width="11.85546875" style="197" customWidth="1"/>
    <col min="1794" max="1794" width="13.5703125" style="197" customWidth="1"/>
    <col min="1795" max="1796" width="13.85546875" style="197" customWidth="1"/>
    <col min="1797" max="1798" width="14.85546875" style="197" customWidth="1"/>
    <col min="1799" max="1799" width="8.85546875" style="197" customWidth="1"/>
    <col min="1800" max="1800" width="12.5703125" style="197" customWidth="1"/>
    <col min="1801" max="1802" width="13" style="197" customWidth="1"/>
    <col min="1803" max="2046" width="9.140625" style="197"/>
    <col min="2047" max="2047" width="14" style="197" customWidth="1"/>
    <col min="2048" max="2048" width="2" style="197" customWidth="1"/>
    <col min="2049" max="2049" width="11.85546875" style="197" customWidth="1"/>
    <col min="2050" max="2050" width="13.5703125" style="197" customWidth="1"/>
    <col min="2051" max="2052" width="13.85546875" style="197" customWidth="1"/>
    <col min="2053" max="2054" width="14.85546875" style="197" customWidth="1"/>
    <col min="2055" max="2055" width="8.85546875" style="197" customWidth="1"/>
    <col min="2056" max="2056" width="12.5703125" style="197" customWidth="1"/>
    <col min="2057" max="2058" width="13" style="197" customWidth="1"/>
    <col min="2059" max="2302" width="9.140625" style="197"/>
    <col min="2303" max="2303" width="14" style="197" customWidth="1"/>
    <col min="2304" max="2304" width="2" style="197" customWidth="1"/>
    <col min="2305" max="2305" width="11.85546875" style="197" customWidth="1"/>
    <col min="2306" max="2306" width="13.5703125" style="197" customWidth="1"/>
    <col min="2307" max="2308" width="13.85546875" style="197" customWidth="1"/>
    <col min="2309" max="2310" width="14.85546875" style="197" customWidth="1"/>
    <col min="2311" max="2311" width="8.85546875" style="197" customWidth="1"/>
    <col min="2312" max="2312" width="12.5703125" style="197" customWidth="1"/>
    <col min="2313" max="2314" width="13" style="197" customWidth="1"/>
    <col min="2315" max="2558" width="9.140625" style="197"/>
    <col min="2559" max="2559" width="14" style="197" customWidth="1"/>
    <col min="2560" max="2560" width="2" style="197" customWidth="1"/>
    <col min="2561" max="2561" width="11.85546875" style="197" customWidth="1"/>
    <col min="2562" max="2562" width="13.5703125" style="197" customWidth="1"/>
    <col min="2563" max="2564" width="13.85546875" style="197" customWidth="1"/>
    <col min="2565" max="2566" width="14.85546875" style="197" customWidth="1"/>
    <col min="2567" max="2567" width="8.85546875" style="197" customWidth="1"/>
    <col min="2568" max="2568" width="12.5703125" style="197" customWidth="1"/>
    <col min="2569" max="2570" width="13" style="197" customWidth="1"/>
    <col min="2571" max="2814" width="9.140625" style="197"/>
    <col min="2815" max="2815" width="14" style="197" customWidth="1"/>
    <col min="2816" max="2816" width="2" style="197" customWidth="1"/>
    <col min="2817" max="2817" width="11.85546875" style="197" customWidth="1"/>
    <col min="2818" max="2818" width="13.5703125" style="197" customWidth="1"/>
    <col min="2819" max="2820" width="13.85546875" style="197" customWidth="1"/>
    <col min="2821" max="2822" width="14.85546875" style="197" customWidth="1"/>
    <col min="2823" max="2823" width="8.85546875" style="197" customWidth="1"/>
    <col min="2824" max="2824" width="12.5703125" style="197" customWidth="1"/>
    <col min="2825" max="2826" width="13" style="197" customWidth="1"/>
    <col min="2827" max="3070" width="9.140625" style="197"/>
    <col min="3071" max="3071" width="14" style="197" customWidth="1"/>
    <col min="3072" max="3072" width="2" style="197" customWidth="1"/>
    <col min="3073" max="3073" width="11.85546875" style="197" customWidth="1"/>
    <col min="3074" max="3074" width="13.5703125" style="197" customWidth="1"/>
    <col min="3075" max="3076" width="13.85546875" style="197" customWidth="1"/>
    <col min="3077" max="3078" width="14.85546875" style="197" customWidth="1"/>
    <col min="3079" max="3079" width="8.85546875" style="197" customWidth="1"/>
    <col min="3080" max="3080" width="12.5703125" style="197" customWidth="1"/>
    <col min="3081" max="3082" width="13" style="197" customWidth="1"/>
    <col min="3083" max="3326" width="9.140625" style="197"/>
    <col min="3327" max="3327" width="14" style="197" customWidth="1"/>
    <col min="3328" max="3328" width="2" style="197" customWidth="1"/>
    <col min="3329" max="3329" width="11.85546875" style="197" customWidth="1"/>
    <col min="3330" max="3330" width="13.5703125" style="197" customWidth="1"/>
    <col min="3331" max="3332" width="13.85546875" style="197" customWidth="1"/>
    <col min="3333" max="3334" width="14.85546875" style="197" customWidth="1"/>
    <col min="3335" max="3335" width="8.85546875" style="197" customWidth="1"/>
    <col min="3336" max="3336" width="12.5703125" style="197" customWidth="1"/>
    <col min="3337" max="3338" width="13" style="197" customWidth="1"/>
    <col min="3339" max="3582" width="9.140625" style="197"/>
    <col min="3583" max="3583" width="14" style="197" customWidth="1"/>
    <col min="3584" max="3584" width="2" style="197" customWidth="1"/>
    <col min="3585" max="3585" width="11.85546875" style="197" customWidth="1"/>
    <col min="3586" max="3586" width="13.5703125" style="197" customWidth="1"/>
    <col min="3587" max="3588" width="13.85546875" style="197" customWidth="1"/>
    <col min="3589" max="3590" width="14.85546875" style="197" customWidth="1"/>
    <col min="3591" max="3591" width="8.85546875" style="197" customWidth="1"/>
    <col min="3592" max="3592" width="12.5703125" style="197" customWidth="1"/>
    <col min="3593" max="3594" width="13" style="197" customWidth="1"/>
    <col min="3595" max="3838" width="9.140625" style="197"/>
    <col min="3839" max="3839" width="14" style="197" customWidth="1"/>
    <col min="3840" max="3840" width="2" style="197" customWidth="1"/>
    <col min="3841" max="3841" width="11.85546875" style="197" customWidth="1"/>
    <col min="3842" max="3842" width="13.5703125" style="197" customWidth="1"/>
    <col min="3843" max="3844" width="13.85546875" style="197" customWidth="1"/>
    <col min="3845" max="3846" width="14.85546875" style="197" customWidth="1"/>
    <col min="3847" max="3847" width="8.85546875" style="197" customWidth="1"/>
    <col min="3848" max="3848" width="12.5703125" style="197" customWidth="1"/>
    <col min="3849" max="3850" width="13" style="197" customWidth="1"/>
    <col min="3851" max="4094" width="9.140625" style="197"/>
    <col min="4095" max="4095" width="14" style="197" customWidth="1"/>
    <col min="4096" max="4096" width="2" style="197" customWidth="1"/>
    <col min="4097" max="4097" width="11.85546875" style="197" customWidth="1"/>
    <col min="4098" max="4098" width="13.5703125" style="197" customWidth="1"/>
    <col min="4099" max="4100" width="13.85546875" style="197" customWidth="1"/>
    <col min="4101" max="4102" width="14.85546875" style="197" customWidth="1"/>
    <col min="4103" max="4103" width="8.85546875" style="197" customWidth="1"/>
    <col min="4104" max="4104" width="12.5703125" style="197" customWidth="1"/>
    <col min="4105" max="4106" width="13" style="197" customWidth="1"/>
    <col min="4107" max="4350" width="9.140625" style="197"/>
    <col min="4351" max="4351" width="14" style="197" customWidth="1"/>
    <col min="4352" max="4352" width="2" style="197" customWidth="1"/>
    <col min="4353" max="4353" width="11.85546875" style="197" customWidth="1"/>
    <col min="4354" max="4354" width="13.5703125" style="197" customWidth="1"/>
    <col min="4355" max="4356" width="13.85546875" style="197" customWidth="1"/>
    <col min="4357" max="4358" width="14.85546875" style="197" customWidth="1"/>
    <col min="4359" max="4359" width="8.85546875" style="197" customWidth="1"/>
    <col min="4360" max="4360" width="12.5703125" style="197" customWidth="1"/>
    <col min="4361" max="4362" width="13" style="197" customWidth="1"/>
    <col min="4363" max="4606" width="9.140625" style="197"/>
    <col min="4607" max="4607" width="14" style="197" customWidth="1"/>
    <col min="4608" max="4608" width="2" style="197" customWidth="1"/>
    <col min="4609" max="4609" width="11.85546875" style="197" customWidth="1"/>
    <col min="4610" max="4610" width="13.5703125" style="197" customWidth="1"/>
    <col min="4611" max="4612" width="13.85546875" style="197" customWidth="1"/>
    <col min="4613" max="4614" width="14.85546875" style="197" customWidth="1"/>
    <col min="4615" max="4615" width="8.85546875" style="197" customWidth="1"/>
    <col min="4616" max="4616" width="12.5703125" style="197" customWidth="1"/>
    <col min="4617" max="4618" width="13" style="197" customWidth="1"/>
    <col min="4619" max="4862" width="9.140625" style="197"/>
    <col min="4863" max="4863" width="14" style="197" customWidth="1"/>
    <col min="4864" max="4864" width="2" style="197" customWidth="1"/>
    <col min="4865" max="4865" width="11.85546875" style="197" customWidth="1"/>
    <col min="4866" max="4866" width="13.5703125" style="197" customWidth="1"/>
    <col min="4867" max="4868" width="13.85546875" style="197" customWidth="1"/>
    <col min="4869" max="4870" width="14.85546875" style="197" customWidth="1"/>
    <col min="4871" max="4871" width="8.85546875" style="197" customWidth="1"/>
    <col min="4872" max="4872" width="12.5703125" style="197" customWidth="1"/>
    <col min="4873" max="4874" width="13" style="197" customWidth="1"/>
    <col min="4875" max="5118" width="9.140625" style="197"/>
    <col min="5119" max="5119" width="14" style="197" customWidth="1"/>
    <col min="5120" max="5120" width="2" style="197" customWidth="1"/>
    <col min="5121" max="5121" width="11.85546875" style="197" customWidth="1"/>
    <col min="5122" max="5122" width="13.5703125" style="197" customWidth="1"/>
    <col min="5123" max="5124" width="13.85546875" style="197" customWidth="1"/>
    <col min="5125" max="5126" width="14.85546875" style="197" customWidth="1"/>
    <col min="5127" max="5127" width="8.85546875" style="197" customWidth="1"/>
    <col min="5128" max="5128" width="12.5703125" style="197" customWidth="1"/>
    <col min="5129" max="5130" width="13" style="197" customWidth="1"/>
    <col min="5131" max="5374" width="9.140625" style="197"/>
    <col min="5375" max="5375" width="14" style="197" customWidth="1"/>
    <col min="5376" max="5376" width="2" style="197" customWidth="1"/>
    <col min="5377" max="5377" width="11.85546875" style="197" customWidth="1"/>
    <col min="5378" max="5378" width="13.5703125" style="197" customWidth="1"/>
    <col min="5379" max="5380" width="13.85546875" style="197" customWidth="1"/>
    <col min="5381" max="5382" width="14.85546875" style="197" customWidth="1"/>
    <col min="5383" max="5383" width="8.85546875" style="197" customWidth="1"/>
    <col min="5384" max="5384" width="12.5703125" style="197" customWidth="1"/>
    <col min="5385" max="5386" width="13" style="197" customWidth="1"/>
    <col min="5387" max="5630" width="9.140625" style="197"/>
    <col min="5631" max="5631" width="14" style="197" customWidth="1"/>
    <col min="5632" max="5632" width="2" style="197" customWidth="1"/>
    <col min="5633" max="5633" width="11.85546875" style="197" customWidth="1"/>
    <col min="5634" max="5634" width="13.5703125" style="197" customWidth="1"/>
    <col min="5635" max="5636" width="13.85546875" style="197" customWidth="1"/>
    <col min="5637" max="5638" width="14.85546875" style="197" customWidth="1"/>
    <col min="5639" max="5639" width="8.85546875" style="197" customWidth="1"/>
    <col min="5640" max="5640" width="12.5703125" style="197" customWidth="1"/>
    <col min="5641" max="5642" width="13" style="197" customWidth="1"/>
    <col min="5643" max="5886" width="9.140625" style="197"/>
    <col min="5887" max="5887" width="14" style="197" customWidth="1"/>
    <col min="5888" max="5888" width="2" style="197" customWidth="1"/>
    <col min="5889" max="5889" width="11.85546875" style="197" customWidth="1"/>
    <col min="5890" max="5890" width="13.5703125" style="197" customWidth="1"/>
    <col min="5891" max="5892" width="13.85546875" style="197" customWidth="1"/>
    <col min="5893" max="5894" width="14.85546875" style="197" customWidth="1"/>
    <col min="5895" max="5895" width="8.85546875" style="197" customWidth="1"/>
    <col min="5896" max="5896" width="12.5703125" style="197" customWidth="1"/>
    <col min="5897" max="5898" width="13" style="197" customWidth="1"/>
    <col min="5899" max="6142" width="9.140625" style="197"/>
    <col min="6143" max="6143" width="14" style="197" customWidth="1"/>
    <col min="6144" max="6144" width="2" style="197" customWidth="1"/>
    <col min="6145" max="6145" width="11.85546875" style="197" customWidth="1"/>
    <col min="6146" max="6146" width="13.5703125" style="197" customWidth="1"/>
    <col min="6147" max="6148" width="13.85546875" style="197" customWidth="1"/>
    <col min="6149" max="6150" width="14.85546875" style="197" customWidth="1"/>
    <col min="6151" max="6151" width="8.85546875" style="197" customWidth="1"/>
    <col min="6152" max="6152" width="12.5703125" style="197" customWidth="1"/>
    <col min="6153" max="6154" width="13" style="197" customWidth="1"/>
    <col min="6155" max="6398" width="9.140625" style="197"/>
    <col min="6399" max="6399" width="14" style="197" customWidth="1"/>
    <col min="6400" max="6400" width="2" style="197" customWidth="1"/>
    <col min="6401" max="6401" width="11.85546875" style="197" customWidth="1"/>
    <col min="6402" max="6402" width="13.5703125" style="197" customWidth="1"/>
    <col min="6403" max="6404" width="13.85546875" style="197" customWidth="1"/>
    <col min="6405" max="6406" width="14.85546875" style="197" customWidth="1"/>
    <col min="6407" max="6407" width="8.85546875" style="197" customWidth="1"/>
    <col min="6408" max="6408" width="12.5703125" style="197" customWidth="1"/>
    <col min="6409" max="6410" width="13" style="197" customWidth="1"/>
    <col min="6411" max="6654" width="9.140625" style="197"/>
    <col min="6655" max="6655" width="14" style="197" customWidth="1"/>
    <col min="6656" max="6656" width="2" style="197" customWidth="1"/>
    <col min="6657" max="6657" width="11.85546875" style="197" customWidth="1"/>
    <col min="6658" max="6658" width="13.5703125" style="197" customWidth="1"/>
    <col min="6659" max="6660" width="13.85546875" style="197" customWidth="1"/>
    <col min="6661" max="6662" width="14.85546875" style="197" customWidth="1"/>
    <col min="6663" max="6663" width="8.85546875" style="197" customWidth="1"/>
    <col min="6664" max="6664" width="12.5703125" style="197" customWidth="1"/>
    <col min="6665" max="6666" width="13" style="197" customWidth="1"/>
    <col min="6667" max="6910" width="9.140625" style="197"/>
    <col min="6911" max="6911" width="14" style="197" customWidth="1"/>
    <col min="6912" max="6912" width="2" style="197" customWidth="1"/>
    <col min="6913" max="6913" width="11.85546875" style="197" customWidth="1"/>
    <col min="6914" max="6914" width="13.5703125" style="197" customWidth="1"/>
    <col min="6915" max="6916" width="13.85546875" style="197" customWidth="1"/>
    <col min="6917" max="6918" width="14.85546875" style="197" customWidth="1"/>
    <col min="6919" max="6919" width="8.85546875" style="197" customWidth="1"/>
    <col min="6920" max="6920" width="12.5703125" style="197" customWidth="1"/>
    <col min="6921" max="6922" width="13" style="197" customWidth="1"/>
    <col min="6923" max="7166" width="9.140625" style="197"/>
    <col min="7167" max="7167" width="14" style="197" customWidth="1"/>
    <col min="7168" max="7168" width="2" style="197" customWidth="1"/>
    <col min="7169" max="7169" width="11.85546875" style="197" customWidth="1"/>
    <col min="7170" max="7170" width="13.5703125" style="197" customWidth="1"/>
    <col min="7171" max="7172" width="13.85546875" style="197" customWidth="1"/>
    <col min="7173" max="7174" width="14.85546875" style="197" customWidth="1"/>
    <col min="7175" max="7175" width="8.85546875" style="197" customWidth="1"/>
    <col min="7176" max="7176" width="12.5703125" style="197" customWidth="1"/>
    <col min="7177" max="7178" width="13" style="197" customWidth="1"/>
    <col min="7179" max="7422" width="9.140625" style="197"/>
    <col min="7423" max="7423" width="14" style="197" customWidth="1"/>
    <col min="7424" max="7424" width="2" style="197" customWidth="1"/>
    <col min="7425" max="7425" width="11.85546875" style="197" customWidth="1"/>
    <col min="7426" max="7426" width="13.5703125" style="197" customWidth="1"/>
    <col min="7427" max="7428" width="13.85546875" style="197" customWidth="1"/>
    <col min="7429" max="7430" width="14.85546875" style="197" customWidth="1"/>
    <col min="7431" max="7431" width="8.85546875" style="197" customWidth="1"/>
    <col min="7432" max="7432" width="12.5703125" style="197" customWidth="1"/>
    <col min="7433" max="7434" width="13" style="197" customWidth="1"/>
    <col min="7435" max="7678" width="9.140625" style="197"/>
    <col min="7679" max="7679" width="14" style="197" customWidth="1"/>
    <col min="7680" max="7680" width="2" style="197" customWidth="1"/>
    <col min="7681" max="7681" width="11.85546875" style="197" customWidth="1"/>
    <col min="7682" max="7682" width="13.5703125" style="197" customWidth="1"/>
    <col min="7683" max="7684" width="13.85546875" style="197" customWidth="1"/>
    <col min="7685" max="7686" width="14.85546875" style="197" customWidth="1"/>
    <col min="7687" max="7687" width="8.85546875" style="197" customWidth="1"/>
    <col min="7688" max="7688" width="12.5703125" style="197" customWidth="1"/>
    <col min="7689" max="7690" width="13" style="197" customWidth="1"/>
    <col min="7691" max="7934" width="9.140625" style="197"/>
    <col min="7935" max="7935" width="14" style="197" customWidth="1"/>
    <col min="7936" max="7936" width="2" style="197" customWidth="1"/>
    <col min="7937" max="7937" width="11.85546875" style="197" customWidth="1"/>
    <col min="7938" max="7938" width="13.5703125" style="197" customWidth="1"/>
    <col min="7939" max="7940" width="13.85546875" style="197" customWidth="1"/>
    <col min="7941" max="7942" width="14.85546875" style="197" customWidth="1"/>
    <col min="7943" max="7943" width="8.85546875" style="197" customWidth="1"/>
    <col min="7944" max="7944" width="12.5703125" style="197" customWidth="1"/>
    <col min="7945" max="7946" width="13" style="197" customWidth="1"/>
    <col min="7947" max="8190" width="9.140625" style="197"/>
    <col min="8191" max="8191" width="14" style="197" customWidth="1"/>
    <col min="8192" max="8192" width="2" style="197" customWidth="1"/>
    <col min="8193" max="8193" width="11.85546875" style="197" customWidth="1"/>
    <col min="8194" max="8194" width="13.5703125" style="197" customWidth="1"/>
    <col min="8195" max="8196" width="13.85546875" style="197" customWidth="1"/>
    <col min="8197" max="8198" width="14.85546875" style="197" customWidth="1"/>
    <col min="8199" max="8199" width="8.85546875" style="197" customWidth="1"/>
    <col min="8200" max="8200" width="12.5703125" style="197" customWidth="1"/>
    <col min="8201" max="8202" width="13" style="197" customWidth="1"/>
    <col min="8203" max="8446" width="9.140625" style="197"/>
    <col min="8447" max="8447" width="14" style="197" customWidth="1"/>
    <col min="8448" max="8448" width="2" style="197" customWidth="1"/>
    <col min="8449" max="8449" width="11.85546875" style="197" customWidth="1"/>
    <col min="8450" max="8450" width="13.5703125" style="197" customWidth="1"/>
    <col min="8451" max="8452" width="13.85546875" style="197" customWidth="1"/>
    <col min="8453" max="8454" width="14.85546875" style="197" customWidth="1"/>
    <col min="8455" max="8455" width="8.85546875" style="197" customWidth="1"/>
    <col min="8456" max="8456" width="12.5703125" style="197" customWidth="1"/>
    <col min="8457" max="8458" width="13" style="197" customWidth="1"/>
    <col min="8459" max="8702" width="9.140625" style="197"/>
    <col min="8703" max="8703" width="14" style="197" customWidth="1"/>
    <col min="8704" max="8704" width="2" style="197" customWidth="1"/>
    <col min="8705" max="8705" width="11.85546875" style="197" customWidth="1"/>
    <col min="8706" max="8706" width="13.5703125" style="197" customWidth="1"/>
    <col min="8707" max="8708" width="13.85546875" style="197" customWidth="1"/>
    <col min="8709" max="8710" width="14.85546875" style="197" customWidth="1"/>
    <col min="8711" max="8711" width="8.85546875" style="197" customWidth="1"/>
    <col min="8712" max="8712" width="12.5703125" style="197" customWidth="1"/>
    <col min="8713" max="8714" width="13" style="197" customWidth="1"/>
    <col min="8715" max="8958" width="9.140625" style="197"/>
    <col min="8959" max="8959" width="14" style="197" customWidth="1"/>
    <col min="8960" max="8960" width="2" style="197" customWidth="1"/>
    <col min="8961" max="8961" width="11.85546875" style="197" customWidth="1"/>
    <col min="8962" max="8962" width="13.5703125" style="197" customWidth="1"/>
    <col min="8963" max="8964" width="13.85546875" style="197" customWidth="1"/>
    <col min="8965" max="8966" width="14.85546875" style="197" customWidth="1"/>
    <col min="8967" max="8967" width="8.85546875" style="197" customWidth="1"/>
    <col min="8968" max="8968" width="12.5703125" style="197" customWidth="1"/>
    <col min="8969" max="8970" width="13" style="197" customWidth="1"/>
    <col min="8971" max="9214" width="9.140625" style="197"/>
    <col min="9215" max="9215" width="14" style="197" customWidth="1"/>
    <col min="9216" max="9216" width="2" style="197" customWidth="1"/>
    <col min="9217" max="9217" width="11.85546875" style="197" customWidth="1"/>
    <col min="9218" max="9218" width="13.5703125" style="197" customWidth="1"/>
    <col min="9219" max="9220" width="13.85546875" style="197" customWidth="1"/>
    <col min="9221" max="9222" width="14.85546875" style="197" customWidth="1"/>
    <col min="9223" max="9223" width="8.85546875" style="197" customWidth="1"/>
    <col min="9224" max="9224" width="12.5703125" style="197" customWidth="1"/>
    <col min="9225" max="9226" width="13" style="197" customWidth="1"/>
    <col min="9227" max="9470" width="9.140625" style="197"/>
    <col min="9471" max="9471" width="14" style="197" customWidth="1"/>
    <col min="9472" max="9472" width="2" style="197" customWidth="1"/>
    <col min="9473" max="9473" width="11.85546875" style="197" customWidth="1"/>
    <col min="9474" max="9474" width="13.5703125" style="197" customWidth="1"/>
    <col min="9475" max="9476" width="13.85546875" style="197" customWidth="1"/>
    <col min="9477" max="9478" width="14.85546875" style="197" customWidth="1"/>
    <col min="9479" max="9479" width="8.85546875" style="197" customWidth="1"/>
    <col min="9480" max="9480" width="12.5703125" style="197" customWidth="1"/>
    <col min="9481" max="9482" width="13" style="197" customWidth="1"/>
    <col min="9483" max="9726" width="9.140625" style="197"/>
    <col min="9727" max="9727" width="14" style="197" customWidth="1"/>
    <col min="9728" max="9728" width="2" style="197" customWidth="1"/>
    <col min="9729" max="9729" width="11.85546875" style="197" customWidth="1"/>
    <col min="9730" max="9730" width="13.5703125" style="197" customWidth="1"/>
    <col min="9731" max="9732" width="13.85546875" style="197" customWidth="1"/>
    <col min="9733" max="9734" width="14.85546875" style="197" customWidth="1"/>
    <col min="9735" max="9735" width="8.85546875" style="197" customWidth="1"/>
    <col min="9736" max="9736" width="12.5703125" style="197" customWidth="1"/>
    <col min="9737" max="9738" width="13" style="197" customWidth="1"/>
    <col min="9739" max="9982" width="9.140625" style="197"/>
    <col min="9983" max="9983" width="14" style="197" customWidth="1"/>
    <col min="9984" max="9984" width="2" style="197" customWidth="1"/>
    <col min="9985" max="9985" width="11.85546875" style="197" customWidth="1"/>
    <col min="9986" max="9986" width="13.5703125" style="197" customWidth="1"/>
    <col min="9987" max="9988" width="13.85546875" style="197" customWidth="1"/>
    <col min="9989" max="9990" width="14.85546875" style="197" customWidth="1"/>
    <col min="9991" max="9991" width="8.85546875" style="197" customWidth="1"/>
    <col min="9992" max="9992" width="12.5703125" style="197" customWidth="1"/>
    <col min="9993" max="9994" width="13" style="197" customWidth="1"/>
    <col min="9995" max="10238" width="9.140625" style="197"/>
    <col min="10239" max="10239" width="14" style="197" customWidth="1"/>
    <col min="10240" max="10240" width="2" style="197" customWidth="1"/>
    <col min="10241" max="10241" width="11.85546875" style="197" customWidth="1"/>
    <col min="10242" max="10242" width="13.5703125" style="197" customWidth="1"/>
    <col min="10243" max="10244" width="13.85546875" style="197" customWidth="1"/>
    <col min="10245" max="10246" width="14.85546875" style="197" customWidth="1"/>
    <col min="10247" max="10247" width="8.85546875" style="197" customWidth="1"/>
    <col min="10248" max="10248" width="12.5703125" style="197" customWidth="1"/>
    <col min="10249" max="10250" width="13" style="197" customWidth="1"/>
    <col min="10251" max="10494" width="9.140625" style="197"/>
    <col min="10495" max="10495" width="14" style="197" customWidth="1"/>
    <col min="10496" max="10496" width="2" style="197" customWidth="1"/>
    <col min="10497" max="10497" width="11.85546875" style="197" customWidth="1"/>
    <col min="10498" max="10498" width="13.5703125" style="197" customWidth="1"/>
    <col min="10499" max="10500" width="13.85546875" style="197" customWidth="1"/>
    <col min="10501" max="10502" width="14.85546875" style="197" customWidth="1"/>
    <col min="10503" max="10503" width="8.85546875" style="197" customWidth="1"/>
    <col min="10504" max="10504" width="12.5703125" style="197" customWidth="1"/>
    <col min="10505" max="10506" width="13" style="197" customWidth="1"/>
    <col min="10507" max="10750" width="9.140625" style="197"/>
    <col min="10751" max="10751" width="14" style="197" customWidth="1"/>
    <col min="10752" max="10752" width="2" style="197" customWidth="1"/>
    <col min="10753" max="10753" width="11.85546875" style="197" customWidth="1"/>
    <col min="10754" max="10754" width="13.5703125" style="197" customWidth="1"/>
    <col min="10755" max="10756" width="13.85546875" style="197" customWidth="1"/>
    <col min="10757" max="10758" width="14.85546875" style="197" customWidth="1"/>
    <col min="10759" max="10759" width="8.85546875" style="197" customWidth="1"/>
    <col min="10760" max="10760" width="12.5703125" style="197" customWidth="1"/>
    <col min="10761" max="10762" width="13" style="197" customWidth="1"/>
    <col min="10763" max="11006" width="9.140625" style="197"/>
    <col min="11007" max="11007" width="14" style="197" customWidth="1"/>
    <col min="11008" max="11008" width="2" style="197" customWidth="1"/>
    <col min="11009" max="11009" width="11.85546875" style="197" customWidth="1"/>
    <col min="11010" max="11010" width="13.5703125" style="197" customWidth="1"/>
    <col min="11011" max="11012" width="13.85546875" style="197" customWidth="1"/>
    <col min="11013" max="11014" width="14.85546875" style="197" customWidth="1"/>
    <col min="11015" max="11015" width="8.85546875" style="197" customWidth="1"/>
    <col min="11016" max="11016" width="12.5703125" style="197" customWidth="1"/>
    <col min="11017" max="11018" width="13" style="197" customWidth="1"/>
    <col min="11019" max="11262" width="9.140625" style="197"/>
    <col min="11263" max="11263" width="14" style="197" customWidth="1"/>
    <col min="11264" max="11264" width="2" style="197" customWidth="1"/>
    <col min="11265" max="11265" width="11.85546875" style="197" customWidth="1"/>
    <col min="11266" max="11266" width="13.5703125" style="197" customWidth="1"/>
    <col min="11267" max="11268" width="13.85546875" style="197" customWidth="1"/>
    <col min="11269" max="11270" width="14.85546875" style="197" customWidth="1"/>
    <col min="11271" max="11271" width="8.85546875" style="197" customWidth="1"/>
    <col min="11272" max="11272" width="12.5703125" style="197" customWidth="1"/>
    <col min="11273" max="11274" width="13" style="197" customWidth="1"/>
    <col min="11275" max="11518" width="9.140625" style="197"/>
    <col min="11519" max="11519" width="14" style="197" customWidth="1"/>
    <col min="11520" max="11520" width="2" style="197" customWidth="1"/>
    <col min="11521" max="11521" width="11.85546875" style="197" customWidth="1"/>
    <col min="11522" max="11522" width="13.5703125" style="197" customWidth="1"/>
    <col min="11523" max="11524" width="13.85546875" style="197" customWidth="1"/>
    <col min="11525" max="11526" width="14.85546875" style="197" customWidth="1"/>
    <col min="11527" max="11527" width="8.85546875" style="197" customWidth="1"/>
    <col min="11528" max="11528" width="12.5703125" style="197" customWidth="1"/>
    <col min="11529" max="11530" width="13" style="197" customWidth="1"/>
    <col min="11531" max="11774" width="9.140625" style="197"/>
    <col min="11775" max="11775" width="14" style="197" customWidth="1"/>
    <col min="11776" max="11776" width="2" style="197" customWidth="1"/>
    <col min="11777" max="11777" width="11.85546875" style="197" customWidth="1"/>
    <col min="11778" max="11778" width="13.5703125" style="197" customWidth="1"/>
    <col min="11779" max="11780" width="13.85546875" style="197" customWidth="1"/>
    <col min="11781" max="11782" width="14.85546875" style="197" customWidth="1"/>
    <col min="11783" max="11783" width="8.85546875" style="197" customWidth="1"/>
    <col min="11784" max="11784" width="12.5703125" style="197" customWidth="1"/>
    <col min="11785" max="11786" width="13" style="197" customWidth="1"/>
    <col min="11787" max="12030" width="9.140625" style="197"/>
    <col min="12031" max="12031" width="14" style="197" customWidth="1"/>
    <col min="12032" max="12032" width="2" style="197" customWidth="1"/>
    <col min="12033" max="12033" width="11.85546875" style="197" customWidth="1"/>
    <col min="12034" max="12034" width="13.5703125" style="197" customWidth="1"/>
    <col min="12035" max="12036" width="13.85546875" style="197" customWidth="1"/>
    <col min="12037" max="12038" width="14.85546875" style="197" customWidth="1"/>
    <col min="12039" max="12039" width="8.85546875" style="197" customWidth="1"/>
    <col min="12040" max="12040" width="12.5703125" style="197" customWidth="1"/>
    <col min="12041" max="12042" width="13" style="197" customWidth="1"/>
    <col min="12043" max="12286" width="9.140625" style="197"/>
    <col min="12287" max="12287" width="14" style="197" customWidth="1"/>
    <col min="12288" max="12288" width="2" style="197" customWidth="1"/>
    <col min="12289" max="12289" width="11.85546875" style="197" customWidth="1"/>
    <col min="12290" max="12290" width="13.5703125" style="197" customWidth="1"/>
    <col min="12291" max="12292" width="13.85546875" style="197" customWidth="1"/>
    <col min="12293" max="12294" width="14.85546875" style="197" customWidth="1"/>
    <col min="12295" max="12295" width="8.85546875" style="197" customWidth="1"/>
    <col min="12296" max="12296" width="12.5703125" style="197" customWidth="1"/>
    <col min="12297" max="12298" width="13" style="197" customWidth="1"/>
    <col min="12299" max="12542" width="9.140625" style="197"/>
    <col min="12543" max="12543" width="14" style="197" customWidth="1"/>
    <col min="12544" max="12544" width="2" style="197" customWidth="1"/>
    <col min="12545" max="12545" width="11.85546875" style="197" customWidth="1"/>
    <col min="12546" max="12546" width="13.5703125" style="197" customWidth="1"/>
    <col min="12547" max="12548" width="13.85546875" style="197" customWidth="1"/>
    <col min="12549" max="12550" width="14.85546875" style="197" customWidth="1"/>
    <col min="12551" max="12551" width="8.85546875" style="197" customWidth="1"/>
    <col min="12552" max="12552" width="12.5703125" style="197" customWidth="1"/>
    <col min="12553" max="12554" width="13" style="197" customWidth="1"/>
    <col min="12555" max="12798" width="9.140625" style="197"/>
    <col min="12799" max="12799" width="14" style="197" customWidth="1"/>
    <col min="12800" max="12800" width="2" style="197" customWidth="1"/>
    <col min="12801" max="12801" width="11.85546875" style="197" customWidth="1"/>
    <col min="12802" max="12802" width="13.5703125" style="197" customWidth="1"/>
    <col min="12803" max="12804" width="13.85546875" style="197" customWidth="1"/>
    <col min="12805" max="12806" width="14.85546875" style="197" customWidth="1"/>
    <col min="12807" max="12807" width="8.85546875" style="197" customWidth="1"/>
    <col min="12808" max="12808" width="12.5703125" style="197" customWidth="1"/>
    <col min="12809" max="12810" width="13" style="197" customWidth="1"/>
    <col min="12811" max="13054" width="9.140625" style="197"/>
    <col min="13055" max="13055" width="14" style="197" customWidth="1"/>
    <col min="13056" max="13056" width="2" style="197" customWidth="1"/>
    <col min="13057" max="13057" width="11.85546875" style="197" customWidth="1"/>
    <col min="13058" max="13058" width="13.5703125" style="197" customWidth="1"/>
    <col min="13059" max="13060" width="13.85546875" style="197" customWidth="1"/>
    <col min="13061" max="13062" width="14.85546875" style="197" customWidth="1"/>
    <col min="13063" max="13063" width="8.85546875" style="197" customWidth="1"/>
    <col min="13064" max="13064" width="12.5703125" style="197" customWidth="1"/>
    <col min="13065" max="13066" width="13" style="197" customWidth="1"/>
    <col min="13067" max="13310" width="9.140625" style="197"/>
    <col min="13311" max="13311" width="14" style="197" customWidth="1"/>
    <col min="13312" max="13312" width="2" style="197" customWidth="1"/>
    <col min="13313" max="13313" width="11.85546875" style="197" customWidth="1"/>
    <col min="13314" max="13314" width="13.5703125" style="197" customWidth="1"/>
    <col min="13315" max="13316" width="13.85546875" style="197" customWidth="1"/>
    <col min="13317" max="13318" width="14.85546875" style="197" customWidth="1"/>
    <col min="13319" max="13319" width="8.85546875" style="197" customWidth="1"/>
    <col min="13320" max="13320" width="12.5703125" style="197" customWidth="1"/>
    <col min="13321" max="13322" width="13" style="197" customWidth="1"/>
    <col min="13323" max="13566" width="9.140625" style="197"/>
    <col min="13567" max="13567" width="14" style="197" customWidth="1"/>
    <col min="13568" max="13568" width="2" style="197" customWidth="1"/>
    <col min="13569" max="13569" width="11.85546875" style="197" customWidth="1"/>
    <col min="13570" max="13570" width="13.5703125" style="197" customWidth="1"/>
    <col min="13571" max="13572" width="13.85546875" style="197" customWidth="1"/>
    <col min="13573" max="13574" width="14.85546875" style="197" customWidth="1"/>
    <col min="13575" max="13575" width="8.85546875" style="197" customWidth="1"/>
    <col min="13576" max="13576" width="12.5703125" style="197" customWidth="1"/>
    <col min="13577" max="13578" width="13" style="197" customWidth="1"/>
    <col min="13579" max="13822" width="9.140625" style="197"/>
    <col min="13823" max="13823" width="14" style="197" customWidth="1"/>
    <col min="13824" max="13824" width="2" style="197" customWidth="1"/>
    <col min="13825" max="13825" width="11.85546875" style="197" customWidth="1"/>
    <col min="13826" max="13826" width="13.5703125" style="197" customWidth="1"/>
    <col min="13827" max="13828" width="13.85546875" style="197" customWidth="1"/>
    <col min="13829" max="13830" width="14.85546875" style="197" customWidth="1"/>
    <col min="13831" max="13831" width="8.85546875" style="197" customWidth="1"/>
    <col min="13832" max="13832" width="12.5703125" style="197" customWidth="1"/>
    <col min="13833" max="13834" width="13" style="197" customWidth="1"/>
    <col min="13835" max="14078" width="9.140625" style="197"/>
    <col min="14079" max="14079" width="14" style="197" customWidth="1"/>
    <col min="14080" max="14080" width="2" style="197" customWidth="1"/>
    <col min="14081" max="14081" width="11.85546875" style="197" customWidth="1"/>
    <col min="14082" max="14082" width="13.5703125" style="197" customWidth="1"/>
    <col min="14083" max="14084" width="13.85546875" style="197" customWidth="1"/>
    <col min="14085" max="14086" width="14.85546875" style="197" customWidth="1"/>
    <col min="14087" max="14087" width="8.85546875" style="197" customWidth="1"/>
    <col min="14088" max="14088" width="12.5703125" style="197" customWidth="1"/>
    <col min="14089" max="14090" width="13" style="197" customWidth="1"/>
    <col min="14091" max="14334" width="9.140625" style="197"/>
    <col min="14335" max="14335" width="14" style="197" customWidth="1"/>
    <col min="14336" max="14336" width="2" style="197" customWidth="1"/>
    <col min="14337" max="14337" width="11.85546875" style="197" customWidth="1"/>
    <col min="14338" max="14338" width="13.5703125" style="197" customWidth="1"/>
    <col min="14339" max="14340" width="13.85546875" style="197" customWidth="1"/>
    <col min="14341" max="14342" width="14.85546875" style="197" customWidth="1"/>
    <col min="14343" max="14343" width="8.85546875" style="197" customWidth="1"/>
    <col min="14344" max="14344" width="12.5703125" style="197" customWidth="1"/>
    <col min="14345" max="14346" width="13" style="197" customWidth="1"/>
    <col min="14347" max="14590" width="9.140625" style="197"/>
    <col min="14591" max="14591" width="14" style="197" customWidth="1"/>
    <col min="14592" max="14592" width="2" style="197" customWidth="1"/>
    <col min="14593" max="14593" width="11.85546875" style="197" customWidth="1"/>
    <col min="14594" max="14594" width="13.5703125" style="197" customWidth="1"/>
    <col min="14595" max="14596" width="13.85546875" style="197" customWidth="1"/>
    <col min="14597" max="14598" width="14.85546875" style="197" customWidth="1"/>
    <col min="14599" max="14599" width="8.85546875" style="197" customWidth="1"/>
    <col min="14600" max="14600" width="12.5703125" style="197" customWidth="1"/>
    <col min="14601" max="14602" width="13" style="197" customWidth="1"/>
    <col min="14603" max="14846" width="9.140625" style="197"/>
    <col min="14847" max="14847" width="14" style="197" customWidth="1"/>
    <col min="14848" max="14848" width="2" style="197" customWidth="1"/>
    <col min="14849" max="14849" width="11.85546875" style="197" customWidth="1"/>
    <col min="14850" max="14850" width="13.5703125" style="197" customWidth="1"/>
    <col min="14851" max="14852" width="13.85546875" style="197" customWidth="1"/>
    <col min="14853" max="14854" width="14.85546875" style="197" customWidth="1"/>
    <col min="14855" max="14855" width="8.85546875" style="197" customWidth="1"/>
    <col min="14856" max="14856" width="12.5703125" style="197" customWidth="1"/>
    <col min="14857" max="14858" width="13" style="197" customWidth="1"/>
    <col min="14859" max="15102" width="9.140625" style="197"/>
    <col min="15103" max="15103" width="14" style="197" customWidth="1"/>
    <col min="15104" max="15104" width="2" style="197" customWidth="1"/>
    <col min="15105" max="15105" width="11.85546875" style="197" customWidth="1"/>
    <col min="15106" max="15106" width="13.5703125" style="197" customWidth="1"/>
    <col min="15107" max="15108" width="13.85546875" style="197" customWidth="1"/>
    <col min="15109" max="15110" width="14.85546875" style="197" customWidth="1"/>
    <col min="15111" max="15111" width="8.85546875" style="197" customWidth="1"/>
    <col min="15112" max="15112" width="12.5703125" style="197" customWidth="1"/>
    <col min="15113" max="15114" width="13" style="197" customWidth="1"/>
    <col min="15115" max="15358" width="9.140625" style="197"/>
    <col min="15359" max="15359" width="14" style="197" customWidth="1"/>
    <col min="15360" max="15360" width="2" style="197" customWidth="1"/>
    <col min="15361" max="15361" width="11.85546875" style="197" customWidth="1"/>
    <col min="15362" max="15362" width="13.5703125" style="197" customWidth="1"/>
    <col min="15363" max="15364" width="13.85546875" style="197" customWidth="1"/>
    <col min="15365" max="15366" width="14.85546875" style="197" customWidth="1"/>
    <col min="15367" max="15367" width="8.85546875" style="197" customWidth="1"/>
    <col min="15368" max="15368" width="12.5703125" style="197" customWidth="1"/>
    <col min="15369" max="15370" width="13" style="197" customWidth="1"/>
    <col min="15371" max="15614" width="9.140625" style="197"/>
    <col min="15615" max="15615" width="14" style="197" customWidth="1"/>
    <col min="15616" max="15616" width="2" style="197" customWidth="1"/>
    <col min="15617" max="15617" width="11.85546875" style="197" customWidth="1"/>
    <col min="15618" max="15618" width="13.5703125" style="197" customWidth="1"/>
    <col min="15619" max="15620" width="13.85546875" style="197" customWidth="1"/>
    <col min="15621" max="15622" width="14.85546875" style="197" customWidth="1"/>
    <col min="15623" max="15623" width="8.85546875" style="197" customWidth="1"/>
    <col min="15624" max="15624" width="12.5703125" style="197" customWidth="1"/>
    <col min="15625" max="15626" width="13" style="197" customWidth="1"/>
    <col min="15627" max="15870" width="9.140625" style="197"/>
    <col min="15871" max="15871" width="14" style="197" customWidth="1"/>
    <col min="15872" max="15872" width="2" style="197" customWidth="1"/>
    <col min="15873" max="15873" width="11.85546875" style="197" customWidth="1"/>
    <col min="15874" max="15874" width="13.5703125" style="197" customWidth="1"/>
    <col min="15875" max="15876" width="13.85546875" style="197" customWidth="1"/>
    <col min="15877" max="15878" width="14.85546875" style="197" customWidth="1"/>
    <col min="15879" max="15879" width="8.85546875" style="197" customWidth="1"/>
    <col min="15880" max="15880" width="12.5703125" style="197" customWidth="1"/>
    <col min="15881" max="15882" width="13" style="197" customWidth="1"/>
    <col min="15883" max="16126" width="9.140625" style="197"/>
    <col min="16127" max="16127" width="14" style="197" customWidth="1"/>
    <col min="16128" max="16128" width="2" style="197" customWidth="1"/>
    <col min="16129" max="16129" width="11.85546875" style="197" customWidth="1"/>
    <col min="16130" max="16130" width="13.5703125" style="197" customWidth="1"/>
    <col min="16131" max="16132" width="13.85546875" style="197" customWidth="1"/>
    <col min="16133" max="16134" width="14.85546875" style="197" customWidth="1"/>
    <col min="16135" max="16135" width="8.85546875" style="197" customWidth="1"/>
    <col min="16136" max="16136" width="12.5703125" style="197" customWidth="1"/>
    <col min="16137" max="16138" width="13" style="197" customWidth="1"/>
    <col min="16139" max="16384" width="9.140625" style="197"/>
  </cols>
  <sheetData>
    <row r="1" spans="1:10" ht="10.5" customHeight="1" thickBot="1" x14ac:dyDescent="0.45">
      <c r="A1" s="195"/>
      <c r="B1" s="349"/>
      <c r="C1" s="195"/>
      <c r="D1" s="196"/>
      <c r="E1" s="195"/>
      <c r="F1" s="195"/>
      <c r="G1" s="350"/>
      <c r="H1" s="350"/>
      <c r="I1" s="214"/>
      <c r="J1" s="214"/>
    </row>
    <row r="2" spans="1:10" ht="35.25" customHeight="1" thickBot="1" x14ac:dyDescent="0.3">
      <c r="A2" s="198" t="s">
        <v>89</v>
      </c>
      <c r="B2" s="349"/>
      <c r="C2" s="351" t="s">
        <v>90</v>
      </c>
      <c r="D2" s="352"/>
      <c r="E2" s="353" t="s">
        <v>91</v>
      </c>
      <c r="F2" s="353"/>
      <c r="G2" s="354" t="s">
        <v>92</v>
      </c>
      <c r="H2" s="355"/>
      <c r="I2" s="217"/>
      <c r="J2" s="217"/>
    </row>
    <row r="3" spans="1:10" ht="44.25" customHeight="1" x14ac:dyDescent="0.25">
      <c r="A3" s="199" t="s">
        <v>39</v>
      </c>
      <c r="B3" s="349"/>
      <c r="C3" s="200" t="s">
        <v>93</v>
      </c>
      <c r="D3" s="201" t="s">
        <v>94</v>
      </c>
      <c r="E3" s="202" t="s">
        <v>95</v>
      </c>
      <c r="F3" s="202" t="s">
        <v>96</v>
      </c>
      <c r="G3" s="202" t="s">
        <v>97</v>
      </c>
      <c r="H3" s="203" t="s">
        <v>98</v>
      </c>
      <c r="I3" s="218" t="s">
        <v>99</v>
      </c>
      <c r="J3" s="218" t="s">
        <v>198</v>
      </c>
    </row>
    <row r="4" spans="1:10" s="209" customFormat="1" ht="35.25" customHeight="1" x14ac:dyDescent="0.25">
      <c r="A4" s="204">
        <v>44530</v>
      </c>
      <c r="B4" s="349"/>
      <c r="C4" s="205">
        <f>'[1]Maldives at LG Daily'!$C$35</f>
        <v>92090395</v>
      </c>
      <c r="D4" s="206">
        <v>26752</v>
      </c>
      <c r="E4" s="207">
        <f>'Gas-2'!G5</f>
        <v>0</v>
      </c>
      <c r="F4" s="208">
        <v>90</v>
      </c>
      <c r="G4" s="207">
        <f>SUM(WATER!G6,WATER!L6,WATER!Q6,WATER!B6)</f>
        <v>1028310</v>
      </c>
      <c r="H4" s="335">
        <v>423</v>
      </c>
      <c r="I4" s="210"/>
      <c r="J4" s="210"/>
    </row>
    <row r="5" spans="1:10" ht="33" customHeight="1" x14ac:dyDescent="0.25">
      <c r="A5" s="211">
        <f>A4+1</f>
        <v>44531</v>
      </c>
      <c r="B5" s="349"/>
      <c r="C5" s="205">
        <f>SUM('GENSET #1'!C10+'GENSET #2'!C10+'GENSET #3'!C10+'GENSET #4'!C10+'GENSET #5'!C10)</f>
        <v>95230747</v>
      </c>
      <c r="D5" s="212">
        <f>IF((C5-C4&lt;0), "0",C5-C4)</f>
        <v>3140352</v>
      </c>
      <c r="E5" s="205">
        <f>'Gas-2'!G6</f>
        <v>225</v>
      </c>
      <c r="F5" s="212">
        <f>IF((E5-E4&lt;0), "0",E5-E4)</f>
        <v>225</v>
      </c>
      <c r="G5" s="213">
        <f>SUM(WATER!C6,WATER!H6,WATER!M6,WATER!R6)</f>
        <v>1028724</v>
      </c>
      <c r="H5" s="212">
        <f>IF((G5-G4&lt;0), "0",G5-G4)</f>
        <v>414</v>
      </c>
      <c r="I5" s="214">
        <v>37.9</v>
      </c>
      <c r="J5" s="214">
        <v>231</v>
      </c>
    </row>
    <row r="6" spans="1:10" ht="45" customHeight="1" x14ac:dyDescent="0.25">
      <c r="A6" s="211">
        <f t="shared" ref="A6:A34" si="0">A5+1</f>
        <v>44532</v>
      </c>
      <c r="B6" s="349"/>
      <c r="C6" s="205">
        <f>SUM('GENSET #1'!C11+'GENSET #2'!C11+'GENSET #3'!C11+'GENSET #4'!C11+'GENSET #5'!C11)</f>
        <v>95256757</v>
      </c>
      <c r="D6" s="212">
        <f>IF((C6-C5&lt;0), "0",C6-C5)</f>
        <v>26010</v>
      </c>
      <c r="E6" s="205">
        <f>'Gas-2'!G7</f>
        <v>225</v>
      </c>
      <c r="F6" s="212">
        <f>IF((E6-E5&lt;0), "0",E6-E5)</f>
        <v>0</v>
      </c>
      <c r="G6" s="213">
        <f>SUM(WATER!C7,WATER!H7,WATER!M7,WATER!R7)</f>
        <v>1029093</v>
      </c>
      <c r="H6" s="212">
        <f>IF((G6-G5&lt;0), "0",G6-G5)</f>
        <v>369</v>
      </c>
      <c r="I6" s="214">
        <v>44.7</v>
      </c>
      <c r="J6" s="214">
        <v>282</v>
      </c>
    </row>
    <row r="7" spans="1:10" ht="45" customHeight="1" x14ac:dyDescent="0.25">
      <c r="A7" s="211">
        <f t="shared" si="0"/>
        <v>44533</v>
      </c>
      <c r="B7" s="349"/>
      <c r="C7" s="205">
        <f>SUM('GENSET #1'!C12+'GENSET #2'!C12+'GENSET #3'!C12+'GENSET #4'!C12+'GENSET #5'!C12)</f>
        <v>95282820</v>
      </c>
      <c r="D7" s="212">
        <f t="shared" ref="D7:D22" si="1">IF((C7-C6&lt;0), "0",C7-C6)</f>
        <v>26063</v>
      </c>
      <c r="E7" s="205">
        <f>'Gas-2'!G8</f>
        <v>270</v>
      </c>
      <c r="F7" s="212">
        <f t="shared" ref="F7:F35" si="2">IF((E7-E6&lt;0), "0",E7-E6)</f>
        <v>45</v>
      </c>
      <c r="G7" s="213">
        <f>SUM(WATER!C8,WATER!H8,WATER!M8,WATER!R8)</f>
        <v>1029531</v>
      </c>
      <c r="H7" s="212">
        <f t="shared" ref="H7:H35" si="3">IF((G7-G6&lt;0), "0",G7-G6)</f>
        <v>438</v>
      </c>
      <c r="I7" s="214">
        <v>40.799999999999997</v>
      </c>
      <c r="J7" s="214">
        <v>289</v>
      </c>
    </row>
    <row r="8" spans="1:10" ht="45" customHeight="1" x14ac:dyDescent="0.25">
      <c r="A8" s="211">
        <f t="shared" si="0"/>
        <v>44534</v>
      </c>
      <c r="B8" s="349"/>
      <c r="C8" s="205">
        <f>SUM('GENSET #1'!C13+'GENSET #2'!C13+'GENSET #3'!C13+'GENSET #4'!C13+'GENSET #5'!C13)</f>
        <v>95309887</v>
      </c>
      <c r="D8" s="212">
        <f t="shared" si="1"/>
        <v>27067</v>
      </c>
      <c r="E8" s="205">
        <f>'Gas-2'!G9</f>
        <v>270</v>
      </c>
      <c r="F8" s="212">
        <f t="shared" si="2"/>
        <v>0</v>
      </c>
      <c r="G8" s="213">
        <f>SUM(WATER!C9,WATER!H9,WATER!M9,WATER!R9)</f>
        <v>1029958</v>
      </c>
      <c r="H8" s="212">
        <f t="shared" si="3"/>
        <v>427</v>
      </c>
      <c r="I8" s="214">
        <v>36.9</v>
      </c>
      <c r="J8" s="214">
        <v>227</v>
      </c>
    </row>
    <row r="9" spans="1:10" ht="45" customHeight="1" x14ac:dyDescent="0.25">
      <c r="A9" s="211">
        <f t="shared" si="0"/>
        <v>44535</v>
      </c>
      <c r="B9" s="349"/>
      <c r="C9" s="205">
        <f>SUM('GENSET #1'!C14+'GENSET #2'!C14+'GENSET #3'!C14+'GENSET #4'!C14+'GENSET #5'!C14)</f>
        <v>95335560</v>
      </c>
      <c r="D9" s="212">
        <f t="shared" si="1"/>
        <v>25673</v>
      </c>
      <c r="E9" s="205">
        <f>'Gas-2'!G10</f>
        <v>225</v>
      </c>
      <c r="F9" s="212" t="str">
        <f t="shared" si="2"/>
        <v>0</v>
      </c>
      <c r="G9" s="213">
        <f>SUM(WATER!C10,WATER!H10,WATER!M10,WATER!R10)</f>
        <v>1030381</v>
      </c>
      <c r="H9" s="212">
        <f t="shared" si="3"/>
        <v>423</v>
      </c>
      <c r="I9" s="214">
        <v>28.2</v>
      </c>
      <c r="J9" s="214">
        <v>200</v>
      </c>
    </row>
    <row r="10" spans="1:10" ht="45" customHeight="1" x14ac:dyDescent="0.25">
      <c r="A10" s="211">
        <f t="shared" si="0"/>
        <v>44536</v>
      </c>
      <c r="B10" s="349"/>
      <c r="C10" s="205">
        <f>SUM('GENSET #1'!C15+'GENSET #2'!C15+'GENSET #3'!C15+'GENSET #4'!C15+'GENSET #5'!C15)</f>
        <v>95361571</v>
      </c>
      <c r="D10" s="212">
        <f t="shared" si="1"/>
        <v>26011</v>
      </c>
      <c r="E10" s="205">
        <f>'Gas-2'!G11</f>
        <v>225</v>
      </c>
      <c r="F10" s="212">
        <f t="shared" si="2"/>
        <v>0</v>
      </c>
      <c r="G10" s="213">
        <f>SUM(WATER!C11,WATER!H11,WATER!M11,WATER!R11)</f>
        <v>1030728</v>
      </c>
      <c r="H10" s="212">
        <f t="shared" si="3"/>
        <v>347</v>
      </c>
      <c r="I10" s="214">
        <v>28.2</v>
      </c>
      <c r="J10" s="214">
        <v>192</v>
      </c>
    </row>
    <row r="11" spans="1:10" ht="45" customHeight="1" x14ac:dyDescent="0.25">
      <c r="A11" s="211">
        <f t="shared" si="0"/>
        <v>44537</v>
      </c>
      <c r="B11" s="349"/>
      <c r="C11" s="205">
        <f>SUM('GENSET #1'!C16+'GENSET #2'!C16+'GENSET #3'!C16+'GENSET #4'!C16+'GENSET #5'!C16)</f>
        <v>95387491</v>
      </c>
      <c r="D11" s="212">
        <f t="shared" si="1"/>
        <v>25920</v>
      </c>
      <c r="E11" s="205">
        <f>'Gas-2'!G12</f>
        <v>270</v>
      </c>
      <c r="F11" s="212">
        <f t="shared" si="2"/>
        <v>45</v>
      </c>
      <c r="G11" s="213">
        <f>SUM(WATER!C12,WATER!H12,WATER!M12,WATER!R12)</f>
        <v>1031141</v>
      </c>
      <c r="H11" s="212">
        <f t="shared" si="3"/>
        <v>413</v>
      </c>
      <c r="I11" s="214">
        <v>27.2</v>
      </c>
      <c r="J11" s="214">
        <v>204</v>
      </c>
    </row>
    <row r="12" spans="1:10" ht="45" customHeight="1" x14ac:dyDescent="0.25">
      <c r="A12" s="211">
        <f t="shared" si="0"/>
        <v>44538</v>
      </c>
      <c r="B12" s="349"/>
      <c r="C12" s="205">
        <f>SUM('GENSET #1'!C17+'GENSET #2'!C17+'GENSET #3'!C17+'GENSET #4'!C17+'GENSET #5'!C17)</f>
        <v>95415036</v>
      </c>
      <c r="D12" s="212">
        <f t="shared" si="1"/>
        <v>27545</v>
      </c>
      <c r="E12" s="205">
        <f>'Gas-2'!G13</f>
        <v>270</v>
      </c>
      <c r="F12" s="212">
        <f t="shared" si="2"/>
        <v>0</v>
      </c>
      <c r="G12" s="213">
        <f>SUM(WATER!C13,WATER!H13,WATER!M13,WATER!R13)</f>
        <v>1031558</v>
      </c>
      <c r="H12" s="212">
        <f t="shared" si="3"/>
        <v>417</v>
      </c>
      <c r="I12" s="214">
        <v>27.2</v>
      </c>
      <c r="J12" s="214">
        <v>206</v>
      </c>
    </row>
    <row r="13" spans="1:10" ht="45" customHeight="1" x14ac:dyDescent="0.25">
      <c r="A13" s="211">
        <f t="shared" si="0"/>
        <v>44539</v>
      </c>
      <c r="B13" s="349"/>
      <c r="C13" s="205">
        <f>SUM('GENSET #1'!C18+'GENSET #2'!C18+'GENSET #3'!C18+'GENSET #4'!C18+'GENSET #5'!C18)</f>
        <v>95440302</v>
      </c>
      <c r="D13" s="212">
        <f t="shared" si="1"/>
        <v>25266</v>
      </c>
      <c r="E13" s="205">
        <f>'Gas-2'!G14</f>
        <v>225</v>
      </c>
      <c r="F13" s="212" t="str">
        <f t="shared" si="2"/>
        <v>0</v>
      </c>
      <c r="G13" s="213">
        <f>SUM(WATER!C14,WATER!H14,WATER!M14,WATER!R14)</f>
        <v>1031992</v>
      </c>
      <c r="H13" s="212">
        <f t="shared" si="3"/>
        <v>434</v>
      </c>
      <c r="I13" s="214">
        <v>27.2</v>
      </c>
      <c r="J13" s="214">
        <v>206</v>
      </c>
    </row>
    <row r="14" spans="1:10" ht="45" customHeight="1" x14ac:dyDescent="0.25">
      <c r="A14" s="211">
        <f t="shared" si="0"/>
        <v>44540</v>
      </c>
      <c r="B14" s="349"/>
      <c r="C14" s="205">
        <f>SUM('GENSET #1'!C19+'GENSET #2'!C19+'GENSET #3'!C19+'GENSET #4'!C19+'GENSET #5'!C19)</f>
        <v>95465360</v>
      </c>
      <c r="D14" s="212">
        <f t="shared" si="1"/>
        <v>25058</v>
      </c>
      <c r="E14" s="205">
        <f>'Gas-2'!G15</f>
        <v>225</v>
      </c>
      <c r="F14" s="212">
        <f t="shared" si="2"/>
        <v>0</v>
      </c>
      <c r="G14" s="213">
        <f>SUM(WATER!C15,WATER!H15,WATER!M15,WATER!R15)</f>
        <v>1032422</v>
      </c>
      <c r="H14" s="212">
        <f t="shared" si="3"/>
        <v>430</v>
      </c>
      <c r="I14" s="214">
        <v>21</v>
      </c>
      <c r="J14" s="214">
        <v>161</v>
      </c>
    </row>
    <row r="15" spans="1:10" ht="45" customHeight="1" x14ac:dyDescent="0.25">
      <c r="A15" s="211">
        <f t="shared" si="0"/>
        <v>44541</v>
      </c>
      <c r="B15" s="349"/>
      <c r="C15" s="205">
        <f>SUM('GENSET #1'!C20+'GENSET #2'!C20+'GENSET #3'!C20+'GENSET #4'!C20+'GENSET #5'!C20)</f>
        <v>95492569</v>
      </c>
      <c r="D15" s="212">
        <f t="shared" si="1"/>
        <v>27209</v>
      </c>
      <c r="E15" s="205">
        <f>'Gas-2'!G16</f>
        <v>270</v>
      </c>
      <c r="F15" s="212">
        <f t="shared" si="2"/>
        <v>45</v>
      </c>
      <c r="G15" s="213">
        <f>SUM(WATER!C16,WATER!H16,WATER!M16,WATER!R16)</f>
        <v>1032841</v>
      </c>
      <c r="H15" s="212">
        <f t="shared" si="3"/>
        <v>419</v>
      </c>
      <c r="I15" s="214">
        <v>25.2</v>
      </c>
      <c r="J15" s="214">
        <v>195</v>
      </c>
    </row>
    <row r="16" spans="1:10" ht="45" customHeight="1" x14ac:dyDescent="0.25">
      <c r="A16" s="211">
        <f t="shared" si="0"/>
        <v>44542</v>
      </c>
      <c r="B16" s="349"/>
      <c r="C16" s="205">
        <f>SUM('GENSET #1'!C21+'GENSET #2'!C21+'GENSET #3'!C21+'GENSET #4'!C21+'GENSET #5'!C21)</f>
        <v>95518854</v>
      </c>
      <c r="D16" s="212">
        <f t="shared" si="1"/>
        <v>26285</v>
      </c>
      <c r="E16" s="205">
        <f>'Gas-2'!G17</f>
        <v>225</v>
      </c>
      <c r="F16" s="212" t="str">
        <f t="shared" si="2"/>
        <v>0</v>
      </c>
      <c r="G16" s="213">
        <f>SUM(WATER!C17,WATER!H17,WATER!M17,WATER!R17)</f>
        <v>1033256</v>
      </c>
      <c r="H16" s="212">
        <f t="shared" si="3"/>
        <v>415</v>
      </c>
      <c r="I16" s="214">
        <v>29.1</v>
      </c>
      <c r="J16" s="214">
        <v>232</v>
      </c>
    </row>
    <row r="17" spans="1:10" ht="45" customHeight="1" x14ac:dyDescent="0.25">
      <c r="A17" s="211">
        <f t="shared" si="0"/>
        <v>44543</v>
      </c>
      <c r="B17" s="349"/>
      <c r="C17" s="205">
        <f>SUM('GENSET #1'!C22+'GENSET #2'!C22+'GENSET #3'!C22+'GENSET #4'!C22+'GENSET #5'!C22)</f>
        <v>95543943</v>
      </c>
      <c r="D17" s="212">
        <f t="shared" si="1"/>
        <v>25089</v>
      </c>
      <c r="E17" s="205">
        <f>'Gas-2'!G18</f>
        <v>225</v>
      </c>
      <c r="F17" s="212">
        <f t="shared" si="2"/>
        <v>0</v>
      </c>
      <c r="G17" s="213">
        <f>SUM(WATER!C18,WATER!H18,WATER!M18,WATER!R18)</f>
        <v>1033669</v>
      </c>
      <c r="H17" s="212">
        <f t="shared" si="3"/>
        <v>413</v>
      </c>
      <c r="I17" s="214">
        <v>35.9</v>
      </c>
      <c r="J17" s="214">
        <v>279</v>
      </c>
    </row>
    <row r="18" spans="1:10" ht="45" customHeight="1" x14ac:dyDescent="0.25">
      <c r="A18" s="211">
        <f t="shared" si="0"/>
        <v>44544</v>
      </c>
      <c r="B18" s="349"/>
      <c r="C18" s="205">
        <f>SUM('GENSET #1'!C23+'GENSET #2'!C23+'GENSET #3'!C23+'GENSET #4'!C23+'GENSET #5'!C23)</f>
        <v>95569183</v>
      </c>
      <c r="D18" s="212">
        <f t="shared" si="1"/>
        <v>25240</v>
      </c>
      <c r="E18" s="205">
        <f>'Gas-2'!G19</f>
        <v>315</v>
      </c>
      <c r="F18" s="212">
        <f t="shared" si="2"/>
        <v>90</v>
      </c>
      <c r="G18" s="213">
        <f>SUM(WATER!C19,WATER!H19,WATER!M19,WATER!R19)</f>
        <v>1034076</v>
      </c>
      <c r="H18" s="212">
        <f t="shared" si="3"/>
        <v>407</v>
      </c>
      <c r="I18" s="214">
        <v>35.9</v>
      </c>
      <c r="J18" s="214">
        <v>279</v>
      </c>
    </row>
    <row r="19" spans="1:10" ht="45" customHeight="1" x14ac:dyDescent="0.25">
      <c r="A19" s="211">
        <f t="shared" si="0"/>
        <v>44545</v>
      </c>
      <c r="B19" s="349"/>
      <c r="C19" s="205">
        <f>SUM('GENSET #1'!C24+'GENSET #2'!C24+'GENSET #3'!C24+'GENSET #4'!C24+'GENSET #5'!C24)</f>
        <v>95595960</v>
      </c>
      <c r="D19" s="212">
        <f t="shared" si="1"/>
        <v>26777</v>
      </c>
      <c r="E19" s="205">
        <f>'Gas-2'!G20</f>
        <v>315</v>
      </c>
      <c r="F19" s="212">
        <f t="shared" si="2"/>
        <v>0</v>
      </c>
      <c r="G19" s="213">
        <f>SUM(WATER!C20,WATER!H20,WATER!M20,WATER!R20)</f>
        <v>1034487</v>
      </c>
      <c r="H19" s="212">
        <f t="shared" si="3"/>
        <v>411</v>
      </c>
      <c r="I19" s="214">
        <v>43.7</v>
      </c>
      <c r="J19" s="214">
        <v>347</v>
      </c>
    </row>
    <row r="20" spans="1:10" ht="45" customHeight="1" x14ac:dyDescent="0.25">
      <c r="A20" s="211">
        <f t="shared" si="0"/>
        <v>44546</v>
      </c>
      <c r="B20" s="349"/>
      <c r="C20" s="205">
        <f>SUM('GENSET #1'!C25+'GENSET #2'!C25+'GENSET #3'!C25+'GENSET #4'!C25+'GENSET #5'!C25)</f>
        <v>95623653</v>
      </c>
      <c r="D20" s="212">
        <f t="shared" si="1"/>
        <v>27693</v>
      </c>
      <c r="E20" s="205">
        <f>'Gas-2'!G21</f>
        <v>270</v>
      </c>
      <c r="F20" s="212" t="str">
        <f t="shared" si="2"/>
        <v>0</v>
      </c>
      <c r="G20" s="213">
        <f>SUM(WATER!C21,WATER!H21,WATER!M21,WATER!R21)</f>
        <v>1034896</v>
      </c>
      <c r="H20" s="212">
        <f t="shared" si="3"/>
        <v>409</v>
      </c>
      <c r="I20" s="214">
        <v>48.5</v>
      </c>
      <c r="J20" s="214">
        <v>393</v>
      </c>
    </row>
    <row r="21" spans="1:10" ht="45" customHeight="1" x14ac:dyDescent="0.25">
      <c r="A21" s="211">
        <f t="shared" si="0"/>
        <v>44547</v>
      </c>
      <c r="B21" s="349"/>
      <c r="C21" s="205">
        <f>SUM('GENSET #1'!C26+'GENSET #2'!C26+'GENSET #3'!C26+'GENSET #4'!C26+'GENSET #5'!C26)</f>
        <v>95652283</v>
      </c>
      <c r="D21" s="212">
        <f t="shared" si="1"/>
        <v>28630</v>
      </c>
      <c r="E21" s="205">
        <f>'Gas-2'!G22</f>
        <v>270</v>
      </c>
      <c r="F21" s="212">
        <f t="shared" si="2"/>
        <v>0</v>
      </c>
      <c r="G21" s="213">
        <f>SUM(WATER!C22,WATER!H22,WATER!M22,WATER!R22)</f>
        <v>1035301</v>
      </c>
      <c r="H21" s="212">
        <f t="shared" si="3"/>
        <v>405</v>
      </c>
      <c r="I21" s="214">
        <v>46.6</v>
      </c>
      <c r="J21" s="214">
        <v>414</v>
      </c>
    </row>
    <row r="22" spans="1:10" ht="45" customHeight="1" x14ac:dyDescent="0.25">
      <c r="A22" s="211">
        <f t="shared" si="0"/>
        <v>44548</v>
      </c>
      <c r="B22" s="349"/>
      <c r="C22" s="205">
        <f>SUM('GENSET #1'!C27+'GENSET #2'!C27+'GENSET #3'!C27+'GENSET #4'!C27+'GENSET #5'!C27)</f>
        <v>95681197</v>
      </c>
      <c r="D22" s="212">
        <f t="shared" si="1"/>
        <v>28914</v>
      </c>
      <c r="E22" s="205">
        <f>'Gas-2'!G23</f>
        <v>225</v>
      </c>
      <c r="F22" s="212" t="str">
        <f t="shared" si="2"/>
        <v>0</v>
      </c>
      <c r="G22" s="213">
        <f>SUM(WATER!C23,WATER!H23,WATER!M23,WATER!R23)</f>
        <v>1035712</v>
      </c>
      <c r="H22" s="212">
        <f t="shared" si="3"/>
        <v>411</v>
      </c>
      <c r="I22" s="214">
        <v>57.3</v>
      </c>
      <c r="J22" s="214">
        <v>499</v>
      </c>
    </row>
    <row r="23" spans="1:10" ht="45" customHeight="1" x14ac:dyDescent="0.25">
      <c r="A23" s="211">
        <f t="shared" si="0"/>
        <v>44549</v>
      </c>
      <c r="B23" s="349"/>
      <c r="C23" s="205">
        <f>SUM('GENSET #1'!C28+'GENSET #2'!C28+'GENSET #3'!C28+'GENSET #4'!C28+'GENSET #5'!C28)</f>
        <v>95709934</v>
      </c>
      <c r="D23" s="212">
        <f>IF((C23-C22&lt;0), "0",C23-C22)</f>
        <v>28737</v>
      </c>
      <c r="E23" s="205">
        <f>'Gas-2'!G24</f>
        <v>270</v>
      </c>
      <c r="F23" s="212">
        <f t="shared" si="2"/>
        <v>45</v>
      </c>
      <c r="G23" s="213">
        <f>SUM(WATER!C24,WATER!H24,WATER!M24,WATER!R24)</f>
        <v>1036120</v>
      </c>
      <c r="H23" s="212">
        <f t="shared" si="3"/>
        <v>408</v>
      </c>
      <c r="I23" s="214">
        <v>53.4</v>
      </c>
      <c r="J23" s="214">
        <v>448</v>
      </c>
    </row>
    <row r="24" spans="1:10" ht="45" customHeight="1" x14ac:dyDescent="0.25">
      <c r="A24" s="211">
        <f t="shared" si="0"/>
        <v>44550</v>
      </c>
      <c r="B24" s="349"/>
      <c r="C24" s="205">
        <f>SUM('GENSET #1'!C29+'GENSET #2'!C29+'GENSET #3'!C29+'GENSET #4'!C29+'GENSET #5'!C29)</f>
        <v>95739794</v>
      </c>
      <c r="D24" s="212">
        <f t="shared" ref="D24:D35" si="4">IF((C24-C23&lt;0), "0",C24-C23)</f>
        <v>29860</v>
      </c>
      <c r="E24" s="205">
        <f>'Gas-2'!G25</f>
        <v>225</v>
      </c>
      <c r="F24" s="212" t="str">
        <f t="shared" si="2"/>
        <v>0</v>
      </c>
      <c r="G24" s="213">
        <f>SUM(WATER!C25,WATER!H25,WATER!M25,WATER!R25)</f>
        <v>1036520</v>
      </c>
      <c r="H24" s="212">
        <f t="shared" si="3"/>
        <v>400</v>
      </c>
      <c r="I24" s="214">
        <v>54</v>
      </c>
      <c r="J24" s="214">
        <v>464</v>
      </c>
    </row>
    <row r="25" spans="1:10" ht="45" customHeight="1" x14ac:dyDescent="0.25">
      <c r="A25" s="211">
        <f t="shared" si="0"/>
        <v>44551</v>
      </c>
      <c r="B25" s="349"/>
      <c r="C25" s="205">
        <f>SUM('GENSET #1'!C30+'GENSET #2'!C30+'GENSET #3'!C30+'GENSET #4'!C30+'GENSET #5'!C30)</f>
        <v>95770172</v>
      </c>
      <c r="D25" s="212">
        <f t="shared" si="4"/>
        <v>30378</v>
      </c>
      <c r="E25" s="205">
        <f>'Gas-2'!G26</f>
        <v>270</v>
      </c>
      <c r="F25" s="212">
        <f t="shared" si="2"/>
        <v>45</v>
      </c>
      <c r="G25" s="213">
        <f>SUM(WATER!C26,WATER!H26,WATER!M26,WATER!R26)</f>
        <v>1036941</v>
      </c>
      <c r="H25" s="212">
        <f t="shared" si="3"/>
        <v>421</v>
      </c>
      <c r="I25" s="214">
        <v>54</v>
      </c>
      <c r="J25" s="214">
        <v>465</v>
      </c>
    </row>
    <row r="26" spans="1:10" ht="45" customHeight="1" x14ac:dyDescent="0.25">
      <c r="A26" s="211">
        <f t="shared" si="0"/>
        <v>44552</v>
      </c>
      <c r="B26" s="349"/>
      <c r="C26" s="205">
        <f>SUM('GENSET #1'!C31+'GENSET #2'!C31+'GENSET #3'!C31+'GENSET #4'!C31+'GENSET #5'!C31)</f>
        <v>95799884</v>
      </c>
      <c r="D26" s="212">
        <f t="shared" si="4"/>
        <v>29712</v>
      </c>
      <c r="E26" s="205">
        <f>'Gas-2'!G27</f>
        <v>270</v>
      </c>
      <c r="F26" s="212">
        <f t="shared" si="2"/>
        <v>0</v>
      </c>
      <c r="G26" s="213">
        <f>SUM(WATER!C27,WATER!H27,WATER!M27,WATER!R27)</f>
        <v>1037367</v>
      </c>
      <c r="H26" s="212">
        <f t="shared" si="3"/>
        <v>426</v>
      </c>
      <c r="I26" s="214">
        <v>54</v>
      </c>
      <c r="J26" s="214">
        <v>423</v>
      </c>
    </row>
    <row r="27" spans="1:10" ht="45" customHeight="1" x14ac:dyDescent="0.25">
      <c r="A27" s="211">
        <f t="shared" si="0"/>
        <v>44553</v>
      </c>
      <c r="B27" s="349"/>
      <c r="C27" s="205">
        <f>SUM('GENSET #1'!C32+'GENSET #2'!C32+'GENSET #3'!C32+'GENSET #4'!C32+'GENSET #5'!C32)</f>
        <v>95829871</v>
      </c>
      <c r="D27" s="212">
        <f t="shared" si="4"/>
        <v>29987</v>
      </c>
      <c r="E27" s="205">
        <f>'Gas-2'!G28</f>
        <v>315</v>
      </c>
      <c r="F27" s="212">
        <f t="shared" si="2"/>
        <v>45</v>
      </c>
      <c r="G27" s="213">
        <f>SUM(WATER!C28,WATER!H28,WATER!M28,WATER!R28)</f>
        <v>1037848</v>
      </c>
      <c r="H27" s="212">
        <f t="shared" si="3"/>
        <v>481</v>
      </c>
      <c r="I27" s="214">
        <v>60</v>
      </c>
      <c r="J27" s="214">
        <v>464</v>
      </c>
    </row>
    <row r="28" spans="1:10" ht="45" customHeight="1" x14ac:dyDescent="0.25">
      <c r="A28" s="211">
        <f t="shared" si="0"/>
        <v>44554</v>
      </c>
      <c r="B28" s="349"/>
      <c r="C28" s="205">
        <f>SUM('GENSET #1'!C33+'GENSET #2'!C33+'GENSET #3'!C33+'GENSET #4'!C33+'GENSET #5'!C33)</f>
        <v>95859934</v>
      </c>
      <c r="D28" s="212">
        <f t="shared" si="4"/>
        <v>30063</v>
      </c>
      <c r="E28" s="205">
        <f>'Gas-2'!G29</f>
        <v>225</v>
      </c>
      <c r="F28" s="212" t="str">
        <f t="shared" si="2"/>
        <v>0</v>
      </c>
      <c r="G28" s="213">
        <f>SUM(WATER!C29,WATER!H29,WATER!M29,WATER!R29)</f>
        <v>1038358</v>
      </c>
      <c r="H28" s="212">
        <f t="shared" si="3"/>
        <v>510</v>
      </c>
      <c r="I28" s="214">
        <v>67</v>
      </c>
      <c r="J28" s="214">
        <v>489</v>
      </c>
    </row>
    <row r="29" spans="1:10" ht="45" customHeight="1" x14ac:dyDescent="0.25">
      <c r="A29" s="211">
        <f t="shared" si="0"/>
        <v>44555</v>
      </c>
      <c r="B29" s="349"/>
      <c r="C29" s="205">
        <f>SUM('GENSET #1'!C34+'GENSET #2'!C34+'GENSET #3'!C34+'GENSET #4'!C34+'GENSET #5'!C34)</f>
        <v>95889373</v>
      </c>
      <c r="D29" s="212">
        <f t="shared" si="4"/>
        <v>29439</v>
      </c>
      <c r="E29" s="205">
        <f>'Gas-2'!G30</f>
        <v>270</v>
      </c>
      <c r="F29" s="212">
        <f t="shared" si="2"/>
        <v>45</v>
      </c>
      <c r="G29" s="213">
        <f>SUM(WATER!C30,WATER!H30,WATER!M30,WATER!R30)</f>
        <v>1038817</v>
      </c>
      <c r="H29" s="212">
        <f t="shared" si="3"/>
        <v>459</v>
      </c>
      <c r="I29" s="214">
        <v>66</v>
      </c>
      <c r="J29" s="214">
        <v>555</v>
      </c>
    </row>
    <row r="30" spans="1:10" ht="45" customHeight="1" x14ac:dyDescent="0.25">
      <c r="A30" s="211">
        <f t="shared" si="0"/>
        <v>44556</v>
      </c>
      <c r="B30" s="349"/>
      <c r="C30" s="205">
        <f>SUM('GENSET #1'!C35+'GENSET #2'!C35+'GENSET #3'!C35+'GENSET #4'!C35+'GENSET #5'!C35)</f>
        <v>95918012</v>
      </c>
      <c r="D30" s="212">
        <f t="shared" si="4"/>
        <v>28639</v>
      </c>
      <c r="E30" s="205">
        <f>'Gas-2'!G31</f>
        <v>225</v>
      </c>
      <c r="F30" s="212" t="str">
        <f t="shared" si="2"/>
        <v>0</v>
      </c>
      <c r="G30" s="213">
        <f>SUM(WATER!C31,WATER!H31,WATER!M31,WATER!R31)</f>
        <v>1039271</v>
      </c>
      <c r="H30" s="212">
        <f t="shared" si="3"/>
        <v>454</v>
      </c>
      <c r="I30" s="214"/>
      <c r="J30" s="214"/>
    </row>
    <row r="31" spans="1:10" ht="45" customHeight="1" x14ac:dyDescent="0.25">
      <c r="A31" s="211">
        <f t="shared" si="0"/>
        <v>44557</v>
      </c>
      <c r="B31" s="349"/>
      <c r="C31" s="205">
        <f>SUM('GENSET #1'!C36+'GENSET #2'!C36+'GENSET #3'!C36+'GENSET #4'!C36+'GENSET #5'!C36)</f>
        <v>95954351</v>
      </c>
      <c r="D31" s="212">
        <f t="shared" si="4"/>
        <v>36339</v>
      </c>
      <c r="E31" s="205">
        <f>'Gas-2'!G32</f>
        <v>270</v>
      </c>
      <c r="F31" s="212">
        <f t="shared" si="2"/>
        <v>45</v>
      </c>
      <c r="G31" s="213">
        <f>SUM(WATER!C32,WATER!H32,WATER!M32,WATER!R32)</f>
        <v>1039720</v>
      </c>
      <c r="H31" s="212">
        <f t="shared" si="3"/>
        <v>449</v>
      </c>
      <c r="I31" s="214"/>
      <c r="J31" s="214"/>
    </row>
    <row r="32" spans="1:10" ht="45" customHeight="1" x14ac:dyDescent="0.25">
      <c r="A32" s="211">
        <f t="shared" si="0"/>
        <v>44558</v>
      </c>
      <c r="B32" s="349"/>
      <c r="C32" s="205">
        <f>SUM('GENSET #1'!C37+'GENSET #2'!C37+'GENSET #3'!C37+'GENSET #4'!C37+'GENSET #5'!C37)</f>
        <v>95984752</v>
      </c>
      <c r="D32" s="212">
        <f t="shared" si="4"/>
        <v>30401</v>
      </c>
      <c r="E32" s="205">
        <f>'Gas-2'!G33</f>
        <v>225</v>
      </c>
      <c r="F32" s="212" t="str">
        <f t="shared" si="2"/>
        <v>0</v>
      </c>
      <c r="G32" s="213">
        <f>SUM(WATER!C33,WATER!H33,WATER!M33,WATER!R33)</f>
        <v>0</v>
      </c>
      <c r="H32" s="212" t="str">
        <f t="shared" si="3"/>
        <v>0</v>
      </c>
      <c r="I32" s="214"/>
      <c r="J32" s="214"/>
    </row>
    <row r="33" spans="1:10" ht="36" customHeight="1" x14ac:dyDescent="0.25">
      <c r="A33" s="211">
        <f t="shared" si="0"/>
        <v>44559</v>
      </c>
      <c r="C33" s="205">
        <f>SUM('GENSET #1'!C38+'GENSET #2'!C38+'GENSET #3'!C38+'GENSET #4'!C38+'GENSET #5'!C38)</f>
        <v>77595803</v>
      </c>
      <c r="D33" s="212" t="str">
        <f t="shared" si="4"/>
        <v>0</v>
      </c>
      <c r="E33" s="205">
        <f>'Gas-2'!G34</f>
        <v>270</v>
      </c>
      <c r="F33" s="212">
        <f t="shared" si="2"/>
        <v>45</v>
      </c>
      <c r="G33" s="213">
        <f>SUM(WATER!C34,WATER!H34,WATER!M34,WATER!R34)</f>
        <v>0</v>
      </c>
      <c r="H33" s="212">
        <f t="shared" si="3"/>
        <v>0</v>
      </c>
      <c r="I33" s="214"/>
      <c r="J33" s="214"/>
    </row>
    <row r="34" spans="1:10" ht="45.6" customHeight="1" x14ac:dyDescent="0.25">
      <c r="A34" s="211">
        <f t="shared" si="0"/>
        <v>44560</v>
      </c>
      <c r="C34" s="205">
        <f>SUM('GENSET #1'!C39+'GENSET #2'!C39+'GENSET #3'!C39+'GENSET #4'!C39+'GENSET #5'!C39)</f>
        <v>0</v>
      </c>
      <c r="D34" s="212" t="str">
        <f t="shared" si="4"/>
        <v>0</v>
      </c>
      <c r="E34" s="205">
        <f>'Gas-2'!G35</f>
        <v>0</v>
      </c>
      <c r="F34" s="212" t="str">
        <f t="shared" si="2"/>
        <v>0</v>
      </c>
      <c r="G34" s="213">
        <f>SUM(WATER!C35,WATER!H35,WATER!M35,WATER!R35)</f>
        <v>0</v>
      </c>
      <c r="H34" s="212">
        <f t="shared" si="3"/>
        <v>0</v>
      </c>
      <c r="I34" s="214"/>
      <c r="J34" s="214"/>
    </row>
    <row r="35" spans="1:10" ht="47.45" customHeight="1" x14ac:dyDescent="0.25">
      <c r="A35" s="211">
        <f>A34+1</f>
        <v>44561</v>
      </c>
      <c r="C35" s="205">
        <f>SUM('GENSET #1'!C40+'GENSET #2'!C40+'GENSET #3'!C40+'GENSET #4'!C40+'GENSET #5'!C40)</f>
        <v>0</v>
      </c>
      <c r="D35" s="212">
        <f t="shared" si="4"/>
        <v>0</v>
      </c>
      <c r="E35" s="205">
        <f>'Gas-2'!G36</f>
        <v>0</v>
      </c>
      <c r="F35" s="212">
        <f t="shared" si="2"/>
        <v>0</v>
      </c>
      <c r="G35" s="213">
        <f>SUM(WATER!C36,WATER!H36,WATER!M36,WATER!R36)</f>
        <v>0</v>
      </c>
      <c r="H35" s="212">
        <f t="shared" si="3"/>
        <v>0</v>
      </c>
      <c r="I35" s="214"/>
      <c r="J35" s="214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39"/>
  <sheetViews>
    <sheetView topLeftCell="A16" zoomScaleNormal="100" workbookViewId="0">
      <selection activeCell="C31" sqref="C31"/>
    </sheetView>
  </sheetViews>
  <sheetFormatPr defaultRowHeight="12.75" x14ac:dyDescent="0.2"/>
  <cols>
    <col min="1" max="1" width="9.5703125" style="115" customWidth="1"/>
    <col min="2" max="2" width="15.5703125" style="18" customWidth="1"/>
    <col min="3" max="3" width="13.5703125" style="18" bestFit="1" customWidth="1"/>
    <col min="4" max="4" width="18.5703125" style="124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42578125" customWidth="1"/>
    <col min="10" max="10" width="12.85546875" style="19" customWidth="1"/>
  </cols>
  <sheetData>
    <row r="1" spans="1:10" x14ac:dyDescent="0.2">
      <c r="A1" s="357" t="s">
        <v>0</v>
      </c>
      <c r="B1" s="357"/>
      <c r="C1" s="357"/>
      <c r="D1" s="357"/>
      <c r="E1" s="357"/>
      <c r="F1" s="357"/>
    </row>
    <row r="2" spans="1:10" x14ac:dyDescent="0.2">
      <c r="A2" s="5"/>
      <c r="E2" s="127"/>
    </row>
    <row r="3" spans="1:10" x14ac:dyDescent="0.2">
      <c r="A3" s="5" t="s">
        <v>1</v>
      </c>
      <c r="B3" s="77" t="s">
        <v>2</v>
      </c>
      <c r="C3" s="77"/>
      <c r="D3" s="125"/>
      <c r="E3" s="127"/>
      <c r="G3" s="315">
        <v>44470</v>
      </c>
      <c r="H3" s="316">
        <f ca="1">NOW()</f>
        <v>44560.404008333331</v>
      </c>
      <c r="I3" s="316"/>
      <c r="J3" s="97">
        <f ca="1">H3-G3</f>
        <v>90.404008333331149</v>
      </c>
    </row>
    <row r="4" spans="1:10" x14ac:dyDescent="0.2">
      <c r="A4" s="5" t="s">
        <v>3</v>
      </c>
      <c r="B4" s="79" t="s">
        <v>193</v>
      </c>
      <c r="C4" s="79"/>
      <c r="D4" s="122"/>
      <c r="E4" s="127"/>
    </row>
    <row r="5" spans="1:10" x14ac:dyDescent="0.2">
      <c r="A5" s="5" t="s">
        <v>4</v>
      </c>
      <c r="B5" s="116">
        <v>2021</v>
      </c>
      <c r="C5" s="116"/>
      <c r="D5" s="122"/>
      <c r="E5" s="127"/>
    </row>
    <row r="6" spans="1:10" x14ac:dyDescent="0.2">
      <c r="E6" s="356"/>
      <c r="F6" s="356"/>
    </row>
    <row r="7" spans="1:10" ht="51" x14ac:dyDescent="0.2">
      <c r="A7" s="117" t="s">
        <v>5</v>
      </c>
      <c r="B7" s="118" t="s">
        <v>86</v>
      </c>
      <c r="C7" s="118" t="s">
        <v>87</v>
      </c>
      <c r="D7" s="119" t="s">
        <v>88</v>
      </c>
      <c r="E7" s="120" t="s">
        <v>85</v>
      </c>
      <c r="F7" s="118" t="s">
        <v>6</v>
      </c>
      <c r="G7" s="118" t="s">
        <v>123</v>
      </c>
      <c r="H7" s="118" t="s">
        <v>125</v>
      </c>
      <c r="I7" s="118" t="s">
        <v>175</v>
      </c>
      <c r="J7" s="118" t="s">
        <v>160</v>
      </c>
    </row>
    <row r="8" spans="1:10" ht="15.75" customHeight="1" x14ac:dyDescent="0.2">
      <c r="A8" s="62">
        <v>1</v>
      </c>
      <c r="B8" s="104">
        <f>SUM('GENSET #1:GENSET #5'!D10)</f>
        <v>25086</v>
      </c>
      <c r="C8" s="104">
        <f>'Diesel consumption'!D5</f>
        <v>7050</v>
      </c>
      <c r="D8" s="126">
        <f>'SOLAR METER READING'!D9</f>
        <v>3086</v>
      </c>
      <c r="E8" s="123">
        <f>'Gas-2'!G6</f>
        <v>225</v>
      </c>
      <c r="F8" s="104">
        <f>WATER!V6</f>
        <v>414</v>
      </c>
      <c r="G8" s="334">
        <f>WATER!W6</f>
        <v>37.9</v>
      </c>
      <c r="H8" s="18" t="str">
        <f>'SOLAR METER READING'!E9</f>
        <v>sunny</v>
      </c>
      <c r="I8" s="332">
        <f>'SOLAR METER READING'!F9</f>
        <v>30</v>
      </c>
    </row>
    <row r="9" spans="1:10" ht="15.75" customHeight="1" x14ac:dyDescent="0.2">
      <c r="A9" s="62">
        <v>2</v>
      </c>
      <c r="B9" s="104">
        <f>SUM('GENSET #1:GENSET #5'!D11)</f>
        <v>26010</v>
      </c>
      <c r="C9" s="104">
        <f>'Diesel consumption'!D6</f>
        <v>7350</v>
      </c>
      <c r="D9" s="126">
        <f>'SOLAR METER READING'!D10</f>
        <v>3074</v>
      </c>
      <c r="E9" s="123">
        <f>'Gas-2'!G7</f>
        <v>225</v>
      </c>
      <c r="F9" s="104">
        <f>WATER!V7</f>
        <v>369</v>
      </c>
      <c r="G9" s="334">
        <f>WATER!W7</f>
        <v>44.7</v>
      </c>
      <c r="H9" s="333" t="str">
        <f>'SOLAR METER READING'!E10</f>
        <v>sunny</v>
      </c>
      <c r="I9" s="332">
        <f>'SOLAR METER READING'!F10</f>
        <v>30</v>
      </c>
      <c r="J9" s="314">
        <f>B9-B8</f>
        <v>924</v>
      </c>
    </row>
    <row r="10" spans="1:10" ht="15.75" customHeight="1" x14ac:dyDescent="0.2">
      <c r="A10" s="62">
        <v>3</v>
      </c>
      <c r="B10" s="104">
        <f>SUM('GENSET #1:GENSET #5'!D12)</f>
        <v>26063</v>
      </c>
      <c r="C10" s="104">
        <f>'Diesel consumption'!D7</f>
        <v>7340</v>
      </c>
      <c r="D10" s="126">
        <f>'SOLAR METER READING'!D11</f>
        <v>2942</v>
      </c>
      <c r="E10" s="123">
        <f>'Gas-2'!G8</f>
        <v>270</v>
      </c>
      <c r="F10" s="104">
        <f>WATER!V8</f>
        <v>438</v>
      </c>
      <c r="G10" s="334">
        <f>WATER!W8</f>
        <v>40.799999999999997</v>
      </c>
      <c r="H10" s="337" t="str">
        <f>'SOLAR METER READING'!E11</f>
        <v>cloudy</v>
      </c>
      <c r="I10" s="336">
        <f>'SOLAR METER READING'!F11</f>
        <v>27</v>
      </c>
      <c r="J10" s="314">
        <f t="shared" ref="J10:J37" si="0">B10-B9</f>
        <v>53</v>
      </c>
    </row>
    <row r="11" spans="1:10" ht="15.75" customHeight="1" x14ac:dyDescent="0.2">
      <c r="A11" s="62">
        <v>4</v>
      </c>
      <c r="B11" s="104">
        <f>SUM('GENSET #1:GENSET #5'!D13)</f>
        <v>27067</v>
      </c>
      <c r="C11" s="104">
        <f>'Diesel consumption'!D8</f>
        <v>7450</v>
      </c>
      <c r="D11" s="126">
        <f>'SOLAR METER READING'!D12</f>
        <v>1782</v>
      </c>
      <c r="E11" s="123">
        <f>'Gas-2'!G9</f>
        <v>270</v>
      </c>
      <c r="F11" s="104">
        <f>WATER!V9</f>
        <v>427</v>
      </c>
      <c r="G11" s="334">
        <f>WATER!W9</f>
        <v>36.9</v>
      </c>
      <c r="H11" s="337" t="str">
        <f>'SOLAR METER READING'!E12</f>
        <v>cloudy</v>
      </c>
      <c r="I11" s="336">
        <f>'SOLAR METER READING'!F12</f>
        <v>27</v>
      </c>
      <c r="J11" s="314">
        <f t="shared" si="0"/>
        <v>1004</v>
      </c>
    </row>
    <row r="12" spans="1:10" ht="15.75" customHeight="1" x14ac:dyDescent="0.2">
      <c r="A12" s="62">
        <v>5</v>
      </c>
      <c r="B12" s="104">
        <f>SUM('GENSET #1:GENSET #5'!D14)</f>
        <v>25673</v>
      </c>
      <c r="C12" s="104">
        <f>'Diesel consumption'!D9</f>
        <v>7150</v>
      </c>
      <c r="D12" s="126">
        <f>'SOLAR METER READING'!D13</f>
        <v>3096</v>
      </c>
      <c r="E12" s="123">
        <f>'Gas-2'!G10</f>
        <v>225</v>
      </c>
      <c r="F12" s="104">
        <f>WATER!V10</f>
        <v>423</v>
      </c>
      <c r="G12" s="334">
        <f>WATER!W10</f>
        <v>28.2</v>
      </c>
      <c r="H12" s="337" t="str">
        <f>'SOLAR METER READING'!E13</f>
        <v>sunny</v>
      </c>
      <c r="I12" s="336">
        <f>'SOLAR METER READING'!F13</f>
        <v>30</v>
      </c>
      <c r="J12" s="314">
        <f t="shared" si="0"/>
        <v>-1394</v>
      </c>
    </row>
    <row r="13" spans="1:10" ht="15.75" customHeight="1" x14ac:dyDescent="0.2">
      <c r="A13" s="62">
        <v>6</v>
      </c>
      <c r="B13" s="104">
        <f>SUM('GENSET #1:GENSET #5'!D15)</f>
        <v>26011</v>
      </c>
      <c r="C13" s="104">
        <f>'Diesel consumption'!D10</f>
        <v>7150</v>
      </c>
      <c r="D13" s="126">
        <f>'SOLAR METER READING'!D14</f>
        <v>3085</v>
      </c>
      <c r="E13" s="123">
        <f>'Gas-2'!G11</f>
        <v>225</v>
      </c>
      <c r="F13" s="104">
        <f>WATER!V11</f>
        <v>347</v>
      </c>
      <c r="G13" s="334">
        <f>WATER!W11</f>
        <v>28.2</v>
      </c>
      <c r="H13" s="337" t="str">
        <f>'SOLAR METER READING'!E14</f>
        <v>sunny</v>
      </c>
      <c r="I13" s="336">
        <f>'SOLAR METER READING'!F14</f>
        <v>29</v>
      </c>
      <c r="J13" s="314">
        <f t="shared" si="0"/>
        <v>338</v>
      </c>
    </row>
    <row r="14" spans="1:10" ht="15.75" customHeight="1" x14ac:dyDescent="0.2">
      <c r="A14" s="62">
        <v>7</v>
      </c>
      <c r="B14" s="104">
        <f>SUM('GENSET #1:GENSET #5'!D16)</f>
        <v>25920</v>
      </c>
      <c r="C14" s="104">
        <f>'Diesel consumption'!D11</f>
        <v>7520</v>
      </c>
      <c r="D14" s="126">
        <f>'SOLAR METER READING'!D15</f>
        <v>2827</v>
      </c>
      <c r="E14" s="123">
        <f>'Gas-2'!G12</f>
        <v>270</v>
      </c>
      <c r="F14" s="104">
        <f>WATER!V12</f>
        <v>413</v>
      </c>
      <c r="G14" s="334">
        <f>WATER!W12</f>
        <v>27.2</v>
      </c>
      <c r="H14" s="337" t="str">
        <f>'SOLAR METER READING'!E15</f>
        <v>cloudy</v>
      </c>
      <c r="I14" s="336">
        <f>'SOLAR METER READING'!F15</f>
        <v>28</v>
      </c>
      <c r="J14" s="314">
        <f t="shared" si="0"/>
        <v>-91</v>
      </c>
    </row>
    <row r="15" spans="1:10" ht="15.75" customHeight="1" x14ac:dyDescent="0.2">
      <c r="A15" s="62">
        <v>8</v>
      </c>
      <c r="B15" s="104">
        <f>SUM('GENSET #1:GENSET #5'!D17)</f>
        <v>27545</v>
      </c>
      <c r="C15" s="104">
        <f>'Diesel consumption'!D12</f>
        <v>7100</v>
      </c>
      <c r="D15" s="126">
        <f>'SOLAR METER READING'!D16</f>
        <v>2904</v>
      </c>
      <c r="E15" s="123">
        <f>'Gas-2'!G13</f>
        <v>270</v>
      </c>
      <c r="F15" s="104">
        <f>WATER!V13</f>
        <v>417</v>
      </c>
      <c r="G15" s="334">
        <f>WATER!W13</f>
        <v>27.2</v>
      </c>
      <c r="H15" s="337" t="str">
        <f>'SOLAR METER READING'!E16</f>
        <v>partially sunny</v>
      </c>
      <c r="I15" s="336">
        <f>'SOLAR METER READING'!F16</f>
        <v>29</v>
      </c>
      <c r="J15" s="314">
        <f t="shared" si="0"/>
        <v>1625</v>
      </c>
    </row>
    <row r="16" spans="1:10" ht="15.75" customHeight="1" x14ac:dyDescent="0.2">
      <c r="A16" s="62">
        <v>9</v>
      </c>
      <c r="B16" s="104">
        <f>SUM('GENSET #1:GENSET #5'!D18)</f>
        <v>25266</v>
      </c>
      <c r="C16" s="104">
        <f>'Diesel consumption'!D13</f>
        <v>6720</v>
      </c>
      <c r="D16" s="126">
        <f>'SOLAR METER READING'!D17</f>
        <v>2912</v>
      </c>
      <c r="E16" s="123">
        <f>'Gas-2'!G14</f>
        <v>225</v>
      </c>
      <c r="F16" s="104">
        <f>WATER!V14</f>
        <v>434</v>
      </c>
      <c r="G16" s="334">
        <f>WATER!W14</f>
        <v>27.2</v>
      </c>
      <c r="H16" s="337" t="str">
        <f>'SOLAR METER READING'!E17</f>
        <v>partially sunny</v>
      </c>
      <c r="I16" s="336">
        <f>'SOLAR METER READING'!F17</f>
        <v>27</v>
      </c>
      <c r="J16" s="314">
        <f t="shared" si="0"/>
        <v>-2279</v>
      </c>
    </row>
    <row r="17" spans="1:10" ht="15.75" customHeight="1" x14ac:dyDescent="0.2">
      <c r="A17" s="62">
        <v>10</v>
      </c>
      <c r="B17" s="104">
        <f>SUM('GENSET #1:GENSET #5'!D19)</f>
        <v>25058</v>
      </c>
      <c r="C17" s="104">
        <f>'Diesel consumption'!D14</f>
        <v>6820</v>
      </c>
      <c r="D17" s="126">
        <f>'SOLAR METER READING'!D18</f>
        <v>1829</v>
      </c>
      <c r="E17" s="123">
        <f>'Gas-2'!G15</f>
        <v>225</v>
      </c>
      <c r="F17" s="104">
        <f>WATER!V15</f>
        <v>430</v>
      </c>
      <c r="G17" s="334">
        <f>WATER!W15</f>
        <v>21</v>
      </c>
      <c r="H17" s="337" t="str">
        <f>'SOLAR METER READING'!E18</f>
        <v>rainy</v>
      </c>
      <c r="I17" s="336">
        <f>'SOLAR METER READING'!F18</f>
        <v>27</v>
      </c>
      <c r="J17" s="314">
        <f t="shared" si="0"/>
        <v>-208</v>
      </c>
    </row>
    <row r="18" spans="1:10" ht="15.75" customHeight="1" x14ac:dyDescent="0.2">
      <c r="A18" s="62">
        <v>11</v>
      </c>
      <c r="B18" s="104">
        <f>SUM('GENSET #1:GENSET #5'!D20)</f>
        <v>27209</v>
      </c>
      <c r="C18" s="104">
        <f>'Diesel consumption'!D15</f>
        <v>7290</v>
      </c>
      <c r="D18" s="126">
        <f>'SOLAR METER READING'!D19</f>
        <v>2102</v>
      </c>
      <c r="E18" s="123">
        <f>'Gas-2'!G16</f>
        <v>270</v>
      </c>
      <c r="F18" s="104">
        <f>WATER!V16</f>
        <v>419</v>
      </c>
      <c r="G18" s="334">
        <f>WATER!W16</f>
        <v>25.2</v>
      </c>
      <c r="H18" s="337" t="str">
        <f>'SOLAR METER READING'!E19</f>
        <v>cloudy</v>
      </c>
      <c r="I18" s="336">
        <f>'SOLAR METER READING'!F19</f>
        <v>28</v>
      </c>
      <c r="J18" s="314">
        <f t="shared" si="0"/>
        <v>2151</v>
      </c>
    </row>
    <row r="19" spans="1:10" ht="15.75" customHeight="1" x14ac:dyDescent="0.2">
      <c r="A19" s="62">
        <v>12</v>
      </c>
      <c r="B19" s="104">
        <f>SUM('GENSET #1:GENSET #5'!D21)</f>
        <v>26285</v>
      </c>
      <c r="C19" s="104">
        <f>'Diesel consumption'!D16</f>
        <v>7180</v>
      </c>
      <c r="D19" s="126">
        <f>'SOLAR METER READING'!D20</f>
        <v>800</v>
      </c>
      <c r="E19" s="123">
        <f>'Gas-2'!G17</f>
        <v>225</v>
      </c>
      <c r="F19" s="104">
        <f>WATER!V17</f>
        <v>415</v>
      </c>
      <c r="G19" s="334">
        <f>WATER!W17</f>
        <v>29.1</v>
      </c>
      <c r="H19" s="337" t="str">
        <f>'SOLAR METER READING'!E20</f>
        <v>rainy</v>
      </c>
      <c r="I19" s="336">
        <f>'SOLAR METER READING'!F20</f>
        <v>27</v>
      </c>
      <c r="J19" s="314">
        <f t="shared" si="0"/>
        <v>-924</v>
      </c>
    </row>
    <row r="20" spans="1:10" ht="15.75" customHeight="1" x14ac:dyDescent="0.2">
      <c r="A20" s="62">
        <v>13</v>
      </c>
      <c r="B20" s="104">
        <f>SUM('GENSET #1:GENSET #5'!D22)</f>
        <v>25089</v>
      </c>
      <c r="C20" s="104">
        <f>'Diesel consumption'!D17</f>
        <v>7110</v>
      </c>
      <c r="D20" s="126">
        <f>'SOLAR METER READING'!D21</f>
        <v>1149</v>
      </c>
      <c r="E20" s="123">
        <f>'Gas-2'!G18</f>
        <v>225</v>
      </c>
      <c r="F20" s="104">
        <f>WATER!V18</f>
        <v>413</v>
      </c>
      <c r="G20" s="334">
        <f>WATER!W18</f>
        <v>35.9</v>
      </c>
      <c r="H20" s="337" t="str">
        <f>'SOLAR METER READING'!E21</f>
        <v>cloudy</v>
      </c>
      <c r="I20" s="336">
        <f>'SOLAR METER READING'!F21</f>
        <v>27</v>
      </c>
      <c r="J20" s="314">
        <f t="shared" si="0"/>
        <v>-1196</v>
      </c>
    </row>
    <row r="21" spans="1:10" ht="15.75" customHeight="1" x14ac:dyDescent="0.2">
      <c r="A21" s="62">
        <v>14</v>
      </c>
      <c r="B21" s="104">
        <f>SUM('GENSET #1:GENSET #5'!D23)</f>
        <v>25240</v>
      </c>
      <c r="C21" s="104">
        <f>'Diesel consumption'!D18</f>
        <v>6890</v>
      </c>
      <c r="D21" s="126">
        <f>'SOLAR METER READING'!D22</f>
        <v>2326</v>
      </c>
      <c r="E21" s="123">
        <f>'Gas-2'!G19</f>
        <v>315</v>
      </c>
      <c r="F21" s="104">
        <f>WATER!V19</f>
        <v>407</v>
      </c>
      <c r="G21" s="334">
        <f>WATER!W19</f>
        <v>35.9</v>
      </c>
      <c r="H21" s="337" t="str">
        <f>'SOLAR METER READING'!E22</f>
        <v>cloudy</v>
      </c>
      <c r="I21" s="336">
        <f>'SOLAR METER READING'!F22</f>
        <v>27</v>
      </c>
      <c r="J21" s="314">
        <f t="shared" si="0"/>
        <v>151</v>
      </c>
    </row>
    <row r="22" spans="1:10" ht="15.75" customHeight="1" x14ac:dyDescent="0.2">
      <c r="A22" s="62">
        <v>15</v>
      </c>
      <c r="B22" s="104">
        <f>SUM('GENSET #1:GENSET #5'!D24)</f>
        <v>26777</v>
      </c>
      <c r="C22" s="104">
        <f>'Diesel consumption'!D19</f>
        <v>7230</v>
      </c>
      <c r="D22" s="126">
        <f>'SOLAR METER READING'!D23</f>
        <v>2926</v>
      </c>
      <c r="E22" s="123">
        <f>'Gas-2'!G20</f>
        <v>315</v>
      </c>
      <c r="F22" s="104">
        <f>WATER!V20</f>
        <v>411</v>
      </c>
      <c r="G22" s="334">
        <f>WATER!W20</f>
        <v>43.7</v>
      </c>
      <c r="H22" s="337" t="str">
        <f>'SOLAR METER READING'!E23</f>
        <v>cloudy</v>
      </c>
      <c r="I22" s="336">
        <f>'SOLAR METER READING'!F23</f>
        <v>27</v>
      </c>
      <c r="J22" s="314">
        <f t="shared" si="0"/>
        <v>1537</v>
      </c>
    </row>
    <row r="23" spans="1:10" ht="15.75" customHeight="1" x14ac:dyDescent="0.2">
      <c r="A23" s="62">
        <v>16</v>
      </c>
      <c r="B23" s="104">
        <f>SUM('GENSET #1:GENSET #5'!D25)</f>
        <v>27693</v>
      </c>
      <c r="C23" s="104">
        <f>'Diesel consumption'!D20</f>
        <v>7410</v>
      </c>
      <c r="D23" s="126">
        <f>'SOLAR METER READING'!D24</f>
        <v>2966</v>
      </c>
      <c r="E23" s="123">
        <f>'Gas-2'!G21</f>
        <v>270</v>
      </c>
      <c r="F23" s="104">
        <f>WATER!V21</f>
        <v>409</v>
      </c>
      <c r="G23" s="334">
        <f>WATER!W21</f>
        <v>48.5</v>
      </c>
      <c r="H23" s="337" t="str">
        <f>'SOLAR METER READING'!E24</f>
        <v>cloudy</v>
      </c>
      <c r="I23" s="336">
        <f>'SOLAR METER READING'!F24</f>
        <v>27</v>
      </c>
      <c r="J23" s="314">
        <f t="shared" si="0"/>
        <v>916</v>
      </c>
    </row>
    <row r="24" spans="1:10" ht="15.75" customHeight="1" x14ac:dyDescent="0.2">
      <c r="A24" s="62">
        <v>17</v>
      </c>
      <c r="B24" s="104">
        <f>SUM('GENSET #1:GENSET #5'!D26)</f>
        <v>28630</v>
      </c>
      <c r="C24" s="104">
        <f>'Diesel consumption'!D21</f>
        <v>7920</v>
      </c>
      <c r="D24" s="126">
        <f>'SOLAR METER READING'!D25</f>
        <v>2659</v>
      </c>
      <c r="E24" s="123">
        <f>'Gas-2'!G22</f>
        <v>270</v>
      </c>
      <c r="F24" s="104">
        <f>WATER!V22</f>
        <v>405</v>
      </c>
      <c r="G24" s="334">
        <f>WATER!W22</f>
        <v>46.6</v>
      </c>
      <c r="H24" s="337" t="str">
        <f>'SOLAR METER READING'!E25</f>
        <v>cloudy</v>
      </c>
      <c r="I24" s="336">
        <f>'SOLAR METER READING'!F25</f>
        <v>28</v>
      </c>
      <c r="J24" s="314">
        <f t="shared" si="0"/>
        <v>937</v>
      </c>
    </row>
    <row r="25" spans="1:10" ht="15.75" customHeight="1" x14ac:dyDescent="0.2">
      <c r="A25" s="62">
        <v>18</v>
      </c>
      <c r="B25" s="104">
        <f>SUM('GENSET #1:GENSET #5'!D27)</f>
        <v>28914</v>
      </c>
      <c r="C25" s="104">
        <f>'Diesel consumption'!D22</f>
        <v>7890</v>
      </c>
      <c r="D25" s="126">
        <f>'SOLAR METER READING'!D26</f>
        <v>2984</v>
      </c>
      <c r="E25" s="123">
        <f>'Gas-2'!G23</f>
        <v>225</v>
      </c>
      <c r="F25" s="104">
        <f>WATER!V23</f>
        <v>411</v>
      </c>
      <c r="G25" s="334">
        <f>WATER!W23</f>
        <v>57.3</v>
      </c>
      <c r="H25" s="337" t="str">
        <f>'SOLAR METER READING'!E26</f>
        <v>cloudy</v>
      </c>
      <c r="I25" s="336">
        <f>'SOLAR METER READING'!F26</f>
        <v>28</v>
      </c>
      <c r="J25" s="314">
        <f t="shared" si="0"/>
        <v>284</v>
      </c>
    </row>
    <row r="26" spans="1:10" ht="15.75" customHeight="1" x14ac:dyDescent="0.2">
      <c r="A26" s="62">
        <v>19</v>
      </c>
      <c r="B26" s="104">
        <f>SUM('GENSET #1:GENSET #5'!D28)</f>
        <v>28737</v>
      </c>
      <c r="C26" s="104">
        <f>'Diesel consumption'!D23</f>
        <v>7900</v>
      </c>
      <c r="D26" s="126">
        <f>'SOLAR METER READING'!D27</f>
        <v>2679</v>
      </c>
      <c r="E26" s="123">
        <f>'Gas-2'!G24</f>
        <v>270</v>
      </c>
      <c r="F26" s="104">
        <f>WATER!V24</f>
        <v>408</v>
      </c>
      <c r="G26" s="334">
        <f>WATER!W24</f>
        <v>53.4</v>
      </c>
      <c r="H26" s="337" t="str">
        <f>'SOLAR METER READING'!E27</f>
        <v>sunny</v>
      </c>
      <c r="I26" s="336">
        <f>'SOLAR METER READING'!F27</f>
        <v>29</v>
      </c>
      <c r="J26" s="314">
        <f t="shared" si="0"/>
        <v>-177</v>
      </c>
    </row>
    <row r="27" spans="1:10" ht="15.75" customHeight="1" x14ac:dyDescent="0.2">
      <c r="A27" s="62">
        <v>20</v>
      </c>
      <c r="B27" s="104">
        <f>SUM('GENSET #1:GENSET #5'!D29)</f>
        <v>29860</v>
      </c>
      <c r="C27" s="104">
        <f>'Diesel consumption'!D24</f>
        <v>8340</v>
      </c>
      <c r="D27" s="126">
        <f>'SOLAR METER READING'!D28</f>
        <v>2866</v>
      </c>
      <c r="E27" s="123">
        <f>'Gas-2'!G25</f>
        <v>225</v>
      </c>
      <c r="F27" s="104">
        <f>WATER!V25</f>
        <v>400</v>
      </c>
      <c r="G27" s="334">
        <f>WATER!W25</f>
        <v>54</v>
      </c>
      <c r="H27" s="337" t="str">
        <f>'SOLAR METER READING'!E28</f>
        <v>sunny</v>
      </c>
      <c r="I27" s="336">
        <f>'SOLAR METER READING'!F28</f>
        <v>29</v>
      </c>
      <c r="J27" s="314">
        <f t="shared" si="0"/>
        <v>1123</v>
      </c>
    </row>
    <row r="28" spans="1:10" ht="15.75" customHeight="1" x14ac:dyDescent="0.2">
      <c r="A28" s="62">
        <v>21</v>
      </c>
      <c r="B28" s="104">
        <f>SUM('GENSET #1:GENSET #5'!D30)</f>
        <v>30378</v>
      </c>
      <c r="C28" s="104">
        <f>'Diesel consumption'!D25</f>
        <v>8630</v>
      </c>
      <c r="D28" s="126">
        <f>'SOLAR METER READING'!D29</f>
        <v>2918</v>
      </c>
      <c r="E28" s="123">
        <f>'Gas-2'!G26</f>
        <v>270</v>
      </c>
      <c r="F28" s="104">
        <f>WATER!V26</f>
        <v>421</v>
      </c>
      <c r="G28" s="334">
        <f>WATER!W26</f>
        <v>54</v>
      </c>
      <c r="H28" s="337" t="str">
        <f>'SOLAR METER READING'!E29</f>
        <v>sunny</v>
      </c>
      <c r="I28" s="336">
        <f>'SOLAR METER READING'!F29</f>
        <v>29</v>
      </c>
      <c r="J28" s="314">
        <f t="shared" si="0"/>
        <v>518</v>
      </c>
    </row>
    <row r="29" spans="1:10" ht="15.75" customHeight="1" x14ac:dyDescent="0.2">
      <c r="A29" s="62">
        <v>22</v>
      </c>
      <c r="B29" s="104">
        <f>SUM('GENSET #1:GENSET #5'!D31)</f>
        <v>29712</v>
      </c>
      <c r="C29" s="104">
        <f>'Diesel consumption'!D26</f>
        <v>8260</v>
      </c>
      <c r="D29" s="126">
        <f>'SOLAR METER READING'!D30</f>
        <v>2773</v>
      </c>
      <c r="E29" s="123">
        <f>'Gas-2'!G27</f>
        <v>270</v>
      </c>
      <c r="F29" s="104">
        <f>WATER!V27</f>
        <v>426</v>
      </c>
      <c r="G29" s="334">
        <f>WATER!W27</f>
        <v>54</v>
      </c>
      <c r="H29" s="337" t="str">
        <f>'SOLAR METER READING'!E30</f>
        <v>sunny</v>
      </c>
      <c r="I29" s="336">
        <f>'SOLAR METER READING'!F30</f>
        <v>29</v>
      </c>
      <c r="J29" s="314">
        <f t="shared" si="0"/>
        <v>-666</v>
      </c>
    </row>
    <row r="30" spans="1:10" ht="15.75" customHeight="1" x14ac:dyDescent="0.2">
      <c r="A30" s="62">
        <v>23</v>
      </c>
      <c r="B30" s="104">
        <f>SUM('GENSET #1:GENSET #5'!D32)</f>
        <v>29987</v>
      </c>
      <c r="C30" s="104">
        <f>'Diesel consumption'!D27</f>
        <v>8320</v>
      </c>
      <c r="D30" s="126">
        <f>'SOLAR METER READING'!D31</f>
        <v>3020</v>
      </c>
      <c r="E30" s="123">
        <f>'Gas-2'!G28</f>
        <v>315</v>
      </c>
      <c r="F30" s="104">
        <f>WATER!V28</f>
        <v>481</v>
      </c>
      <c r="G30" s="334">
        <f>WATER!W28</f>
        <v>60</v>
      </c>
      <c r="H30" s="337" t="str">
        <f>'SOLAR METER READING'!E31</f>
        <v>sunny</v>
      </c>
      <c r="I30" s="336">
        <f>'SOLAR METER READING'!F31</f>
        <v>29</v>
      </c>
      <c r="J30" s="314">
        <f t="shared" si="0"/>
        <v>275</v>
      </c>
    </row>
    <row r="31" spans="1:10" ht="15.75" customHeight="1" x14ac:dyDescent="0.2">
      <c r="A31" s="62">
        <v>24</v>
      </c>
      <c r="B31" s="104">
        <f>SUM('GENSET #1:GENSET #5'!D33)</f>
        <v>30063</v>
      </c>
      <c r="C31" s="104">
        <f>'Diesel consumption'!D28</f>
        <v>8120</v>
      </c>
      <c r="D31" s="126">
        <f>'SOLAR METER READING'!D32</f>
        <v>3017</v>
      </c>
      <c r="E31" s="123">
        <f>'Gas-2'!G29</f>
        <v>225</v>
      </c>
      <c r="F31" s="104">
        <f>WATER!V29</f>
        <v>510</v>
      </c>
      <c r="G31" s="334">
        <f>WATER!W29</f>
        <v>67</v>
      </c>
      <c r="H31" s="337" t="str">
        <f>'SOLAR METER READING'!E32</f>
        <v>sunny</v>
      </c>
      <c r="I31" s="336">
        <f>'SOLAR METER READING'!F32</f>
        <v>29</v>
      </c>
      <c r="J31" s="314">
        <f t="shared" si="0"/>
        <v>76</v>
      </c>
    </row>
    <row r="32" spans="1:10" ht="15.75" customHeight="1" x14ac:dyDescent="0.2">
      <c r="A32" s="62">
        <v>25</v>
      </c>
      <c r="B32" s="104">
        <f>SUM('GENSET #1:GENSET #5'!D34)</f>
        <v>29439</v>
      </c>
      <c r="C32" s="104">
        <f>'Diesel consumption'!D29</f>
        <v>8350</v>
      </c>
      <c r="D32" s="126">
        <f>'SOLAR METER READING'!D33</f>
        <v>3030</v>
      </c>
      <c r="E32" s="123">
        <f>'Gas-2'!G30</f>
        <v>270</v>
      </c>
      <c r="F32" s="104">
        <f>WATER!V30</f>
        <v>459</v>
      </c>
      <c r="G32" s="334">
        <f>WATER!W30</f>
        <v>66</v>
      </c>
      <c r="H32" s="337" t="str">
        <f>'SOLAR METER READING'!E33</f>
        <v>sunny</v>
      </c>
      <c r="I32" s="336">
        <f>'SOLAR METER READING'!F33</f>
        <v>29</v>
      </c>
      <c r="J32" s="314">
        <f t="shared" si="0"/>
        <v>-624</v>
      </c>
    </row>
    <row r="33" spans="1:12" ht="15.75" customHeight="1" x14ac:dyDescent="0.2">
      <c r="A33" s="62">
        <v>26</v>
      </c>
      <c r="B33" s="129">
        <f>SUM('GENSET #1:GENSET #5'!D35)</f>
        <v>28639</v>
      </c>
      <c r="C33" s="104">
        <f>'Diesel consumption'!D30</f>
        <v>7590</v>
      </c>
      <c r="D33" s="126">
        <f>'SOLAR METER READING'!D34</f>
        <v>2945</v>
      </c>
      <c r="E33" s="123">
        <f>'Gas-2'!G31</f>
        <v>225</v>
      </c>
      <c r="F33" s="104">
        <f>WATER!V31</f>
        <v>454</v>
      </c>
      <c r="G33" s="334">
        <f>WATER!W31</f>
        <v>0</v>
      </c>
      <c r="H33" s="337" t="str">
        <f>'SOLAR METER READING'!E34</f>
        <v>sunny</v>
      </c>
      <c r="I33" s="336">
        <f>'SOLAR METER READING'!F34</f>
        <v>29</v>
      </c>
      <c r="J33" s="314">
        <f t="shared" si="0"/>
        <v>-800</v>
      </c>
    </row>
    <row r="34" spans="1:12" ht="15.75" customHeight="1" x14ac:dyDescent="0.2">
      <c r="A34" s="62">
        <v>27</v>
      </c>
      <c r="B34" s="104">
        <f>SUM('GENSET #1:GENSET #5'!D36)</f>
        <v>36339</v>
      </c>
      <c r="C34" s="104">
        <f>'Diesel consumption'!D31</f>
        <v>7970</v>
      </c>
      <c r="D34" s="126">
        <f>'SOLAR METER READING'!D35</f>
        <v>2878</v>
      </c>
      <c r="E34" s="123">
        <f>'Gas-2'!G32</f>
        <v>270</v>
      </c>
      <c r="F34" s="104">
        <f>WATER!V32</f>
        <v>449</v>
      </c>
      <c r="G34" s="334">
        <f>WATER!W32</f>
        <v>0</v>
      </c>
      <c r="H34" s="337" t="str">
        <f>'SOLAR METER READING'!E35</f>
        <v>sunny</v>
      </c>
      <c r="I34" s="336">
        <f>'SOLAR METER READING'!F35</f>
        <v>29</v>
      </c>
      <c r="J34" s="314">
        <f t="shared" si="0"/>
        <v>7700</v>
      </c>
    </row>
    <row r="35" spans="1:12" ht="15.75" customHeight="1" x14ac:dyDescent="0.2">
      <c r="A35" s="62">
        <v>28</v>
      </c>
      <c r="B35" s="104">
        <f>SUM('GENSET #1:GENSET #5'!D37)</f>
        <v>30401</v>
      </c>
      <c r="C35" s="104">
        <f>'Diesel consumption'!D32</f>
        <v>8110</v>
      </c>
      <c r="D35" s="126">
        <f>'SOLAR METER READING'!D36</f>
        <v>3107</v>
      </c>
      <c r="E35" s="123">
        <f>'Gas-2'!G33</f>
        <v>225</v>
      </c>
      <c r="F35" s="104">
        <f>WATER!V33</f>
        <v>0</v>
      </c>
      <c r="G35" s="334">
        <f>WATER!W33</f>
        <v>0</v>
      </c>
      <c r="H35" s="337" t="str">
        <f>'SOLAR METER READING'!E36</f>
        <v>sunny</v>
      </c>
      <c r="I35" s="336">
        <f>'SOLAR METER READING'!F36</f>
        <v>29</v>
      </c>
      <c r="J35" s="314">
        <f t="shared" si="0"/>
        <v>-5938</v>
      </c>
    </row>
    <row r="36" spans="1:12" ht="15.75" customHeight="1" x14ac:dyDescent="0.2">
      <c r="A36" s="62">
        <v>29</v>
      </c>
      <c r="B36" s="104">
        <f>SUM('GENSET #1:GENSET #5'!D38)</f>
        <v>21839</v>
      </c>
      <c r="C36" s="104">
        <f>'Diesel consumption'!D33</f>
        <v>8120</v>
      </c>
      <c r="D36" s="126">
        <f>'SOLAR METER READING'!D37</f>
        <v>2977</v>
      </c>
      <c r="E36" s="123">
        <f>'Gas-2'!G34</f>
        <v>270</v>
      </c>
      <c r="F36" s="104">
        <f>WATER!V34</f>
        <v>0</v>
      </c>
      <c r="G36" s="334">
        <f>WATER!W34</f>
        <v>0</v>
      </c>
      <c r="H36" s="337" t="str">
        <f>'SOLAR METER READING'!E37</f>
        <v>sunny</v>
      </c>
      <c r="I36" s="336">
        <f>'SOLAR METER READING'!F37</f>
        <v>29</v>
      </c>
      <c r="J36" s="314">
        <f t="shared" si="0"/>
        <v>-8562</v>
      </c>
    </row>
    <row r="37" spans="1:12" ht="15.75" customHeight="1" x14ac:dyDescent="0.2">
      <c r="A37" s="62">
        <v>30</v>
      </c>
      <c r="B37" s="104">
        <f>SUM('GENSET #1:GENSET #5'!D39)</f>
        <v>0</v>
      </c>
      <c r="C37" s="104">
        <f>'Diesel consumption'!D34</f>
        <v>0</v>
      </c>
      <c r="D37" s="126">
        <f>'SOLAR METER READING'!D38</f>
        <v>0</v>
      </c>
      <c r="E37" s="123">
        <f>'Gas-2'!G35</f>
        <v>0</v>
      </c>
      <c r="F37" s="104">
        <f>WATER!V35</f>
        <v>0</v>
      </c>
      <c r="G37" s="334">
        <f>WATER!W35</f>
        <v>0</v>
      </c>
      <c r="H37" s="337">
        <f>'SOLAR METER READING'!E38</f>
        <v>0</v>
      </c>
      <c r="I37" s="336">
        <f>'SOLAR METER READING'!F38</f>
        <v>0</v>
      </c>
      <c r="J37" s="314">
        <f t="shared" si="0"/>
        <v>-21839</v>
      </c>
    </row>
    <row r="38" spans="1:12" ht="18.75" customHeight="1" thickBot="1" x14ac:dyDescent="0.25">
      <c r="A38" s="115" t="s">
        <v>7</v>
      </c>
      <c r="B38" s="121">
        <f>SUM(B8:B37)</f>
        <v>800930</v>
      </c>
      <c r="C38" s="121">
        <f>SUM(C8:C37)</f>
        <v>220280</v>
      </c>
      <c r="D38" s="121">
        <f>SUM(D8:D37)</f>
        <v>77659</v>
      </c>
      <c r="E38" s="128">
        <f>SUM(E8:E37)</f>
        <v>7380</v>
      </c>
      <c r="F38" s="9">
        <f>SUM(F8:F37)</f>
        <v>11410</v>
      </c>
      <c r="G38" s="334">
        <f>SUM(G8:G37)/30</f>
        <v>34.996666666666663</v>
      </c>
      <c r="H38" s="337">
        <f>'SOLAR METER READING'!E40</f>
        <v>0</v>
      </c>
      <c r="I38" s="336">
        <f>'SOLAR METER READING'!F40</f>
        <v>0</v>
      </c>
      <c r="L38" s="100"/>
    </row>
    <row r="39" spans="1:12" ht="13.5" thickTop="1" x14ac:dyDescent="0.2">
      <c r="A39" s="115" t="s">
        <v>152</v>
      </c>
      <c r="B39" s="124">
        <f>B38/30</f>
        <v>26697.666666666668</v>
      </c>
      <c r="C39" s="124">
        <f>C38/30</f>
        <v>7342.666666666667</v>
      </c>
      <c r="D39" s="124">
        <f>D38/30</f>
        <v>2588.6333333333332</v>
      </c>
      <c r="E39" s="67">
        <f>E38/30</f>
        <v>246</v>
      </c>
      <c r="F39" s="2">
        <f>F38/30</f>
        <v>380.33333333333331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16" zoomScaleNormal="100" workbookViewId="0">
      <selection activeCell="C38" sqref="C38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58" t="s">
        <v>16</v>
      </c>
      <c r="D1" s="358"/>
    </row>
    <row r="2" spans="1:6" x14ac:dyDescent="0.2">
      <c r="C2" s="358"/>
      <c r="D2" s="358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44531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59" t="s">
        <v>18</v>
      </c>
      <c r="C8" s="360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18250842</v>
      </c>
      <c r="C10" s="72">
        <v>18252052</v>
      </c>
      <c r="D10" s="6">
        <f>MAX(0,C10-B10)</f>
        <v>1210</v>
      </c>
      <c r="E10" s="29"/>
      <c r="F10" s="29"/>
    </row>
    <row r="11" spans="1:6" ht="13.5" customHeight="1" x14ac:dyDescent="0.2">
      <c r="A11" s="30">
        <v>2</v>
      </c>
      <c r="B11" s="31">
        <f>C10</f>
        <v>18252052</v>
      </c>
      <c r="C11" s="72">
        <v>18259708</v>
      </c>
      <c r="D11" s="6">
        <f>MAX(0,C11-B11)</f>
        <v>7656</v>
      </c>
      <c r="E11" s="34"/>
      <c r="F11" s="34"/>
    </row>
    <row r="12" spans="1:6" ht="13.5" customHeight="1" x14ac:dyDescent="0.2">
      <c r="A12" s="30">
        <v>3</v>
      </c>
      <c r="B12" s="31">
        <f t="shared" ref="B12:B40" si="0">C11</f>
        <v>18259708</v>
      </c>
      <c r="C12" s="72">
        <v>18259708</v>
      </c>
      <c r="D12" s="6">
        <f t="shared" ref="D12:D40" si="1">MAX(0,C12-B12)</f>
        <v>0</v>
      </c>
      <c r="E12" s="34"/>
      <c r="F12" s="34"/>
    </row>
    <row r="13" spans="1:6" ht="13.5" customHeight="1" x14ac:dyDescent="0.2">
      <c r="A13" s="30">
        <v>4</v>
      </c>
      <c r="B13" s="31">
        <f t="shared" si="0"/>
        <v>18259708</v>
      </c>
      <c r="C13" s="72">
        <v>18263379</v>
      </c>
      <c r="D13" s="6">
        <f t="shared" si="1"/>
        <v>3671</v>
      </c>
      <c r="E13" s="34"/>
      <c r="F13" s="34"/>
    </row>
    <row r="14" spans="1:6" ht="13.5" customHeight="1" x14ac:dyDescent="0.2">
      <c r="A14" s="30">
        <v>5</v>
      </c>
      <c r="B14" s="31">
        <f t="shared" si="0"/>
        <v>18263379</v>
      </c>
      <c r="C14" s="72">
        <v>18273408</v>
      </c>
      <c r="D14" s="6">
        <f t="shared" si="1"/>
        <v>10029</v>
      </c>
      <c r="E14" s="34"/>
      <c r="F14" s="34"/>
    </row>
    <row r="15" spans="1:6" ht="13.5" customHeight="1" x14ac:dyDescent="0.2">
      <c r="A15" s="30">
        <v>6</v>
      </c>
      <c r="B15" s="31">
        <f t="shared" si="0"/>
        <v>18273408</v>
      </c>
      <c r="C15" s="72">
        <v>18279385</v>
      </c>
      <c r="D15" s="6">
        <f t="shared" si="1"/>
        <v>5977</v>
      </c>
      <c r="E15" s="34"/>
      <c r="F15" s="34"/>
    </row>
    <row r="16" spans="1:6" ht="13.5" customHeight="1" x14ac:dyDescent="0.2">
      <c r="A16" s="30">
        <v>7</v>
      </c>
      <c r="B16" s="31">
        <f t="shared" si="0"/>
        <v>18279385</v>
      </c>
      <c r="C16" s="72">
        <v>18287381</v>
      </c>
      <c r="D16" s="6">
        <f t="shared" si="1"/>
        <v>7996</v>
      </c>
      <c r="E16" s="34"/>
      <c r="F16" s="34"/>
    </row>
    <row r="17" spans="1:6" ht="13.5" customHeight="1" x14ac:dyDescent="0.2">
      <c r="A17" s="30">
        <v>8</v>
      </c>
      <c r="B17" s="31">
        <f t="shared" si="0"/>
        <v>18287381</v>
      </c>
      <c r="C17" s="72">
        <v>18293247</v>
      </c>
      <c r="D17" s="6">
        <f t="shared" si="1"/>
        <v>5866</v>
      </c>
      <c r="E17" s="34"/>
      <c r="F17" s="34"/>
    </row>
    <row r="18" spans="1:6" ht="13.5" customHeight="1" x14ac:dyDescent="0.2">
      <c r="A18" s="30">
        <v>9</v>
      </c>
      <c r="B18" s="31">
        <f t="shared" si="0"/>
        <v>18293247</v>
      </c>
      <c r="C18" s="72">
        <v>18293247</v>
      </c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1">
        <f t="shared" si="0"/>
        <v>18293247</v>
      </c>
      <c r="C19" s="72">
        <v>18299977</v>
      </c>
      <c r="D19" s="6">
        <f t="shared" si="1"/>
        <v>6730</v>
      </c>
      <c r="E19" s="34"/>
      <c r="F19" s="34"/>
    </row>
    <row r="20" spans="1:6" ht="13.5" customHeight="1" x14ac:dyDescent="0.2">
      <c r="A20" s="30">
        <v>11</v>
      </c>
      <c r="B20" s="31">
        <f t="shared" si="0"/>
        <v>18299977</v>
      </c>
      <c r="C20" s="72">
        <v>18305460</v>
      </c>
      <c r="D20" s="6">
        <f t="shared" si="1"/>
        <v>5483</v>
      </c>
      <c r="E20" s="34"/>
      <c r="F20" s="34"/>
    </row>
    <row r="21" spans="1:6" ht="13.5" customHeight="1" x14ac:dyDescent="0.2">
      <c r="A21" s="30">
        <v>12</v>
      </c>
      <c r="B21" s="31">
        <f t="shared" si="0"/>
        <v>18305460</v>
      </c>
      <c r="C21" s="72">
        <v>18309548</v>
      </c>
      <c r="D21" s="6">
        <f t="shared" si="1"/>
        <v>4088</v>
      </c>
      <c r="E21" s="34"/>
      <c r="F21" s="34"/>
    </row>
    <row r="22" spans="1:6" ht="13.5" customHeight="1" x14ac:dyDescent="0.2">
      <c r="A22" s="30">
        <v>13</v>
      </c>
      <c r="B22" s="31">
        <f t="shared" si="0"/>
        <v>18309548</v>
      </c>
      <c r="C22" s="72">
        <v>18311406</v>
      </c>
      <c r="D22" s="6">
        <f t="shared" si="1"/>
        <v>1858</v>
      </c>
      <c r="E22" s="34"/>
      <c r="F22" s="34"/>
    </row>
    <row r="23" spans="1:6" ht="13.5" customHeight="1" x14ac:dyDescent="0.2">
      <c r="A23" s="30">
        <v>14</v>
      </c>
      <c r="B23" s="31">
        <f t="shared" si="0"/>
        <v>18311406</v>
      </c>
      <c r="C23" s="72">
        <v>18317199</v>
      </c>
      <c r="D23" s="6">
        <f t="shared" si="1"/>
        <v>5793</v>
      </c>
      <c r="E23" s="34"/>
      <c r="F23" s="34"/>
    </row>
    <row r="24" spans="1:6" ht="13.5" customHeight="1" x14ac:dyDescent="0.2">
      <c r="A24" s="30">
        <v>15</v>
      </c>
      <c r="B24" s="31">
        <f t="shared" si="0"/>
        <v>18317199</v>
      </c>
      <c r="C24" s="72">
        <v>18324935</v>
      </c>
      <c r="D24" s="6">
        <f t="shared" si="1"/>
        <v>7736</v>
      </c>
      <c r="E24" s="34"/>
      <c r="F24" s="34"/>
    </row>
    <row r="25" spans="1:6" ht="13.5" customHeight="1" x14ac:dyDescent="0.2">
      <c r="A25" s="30">
        <v>16</v>
      </c>
      <c r="B25" s="31">
        <f t="shared" si="0"/>
        <v>18324935</v>
      </c>
      <c r="C25" s="72">
        <v>18326522</v>
      </c>
      <c r="D25" s="6">
        <f t="shared" si="1"/>
        <v>1587</v>
      </c>
      <c r="E25" s="34"/>
      <c r="F25" s="34"/>
    </row>
    <row r="26" spans="1:6" ht="13.5" customHeight="1" x14ac:dyDescent="0.2">
      <c r="A26" s="30">
        <v>17</v>
      </c>
      <c r="B26" s="31">
        <f t="shared" si="0"/>
        <v>18326522</v>
      </c>
      <c r="C26" s="72">
        <v>18334270</v>
      </c>
      <c r="D26" s="6">
        <f t="shared" si="1"/>
        <v>7748</v>
      </c>
      <c r="E26" s="34"/>
      <c r="F26" s="34"/>
    </row>
    <row r="27" spans="1:6" ht="13.5" customHeight="1" x14ac:dyDescent="0.2">
      <c r="A27" s="30">
        <v>18</v>
      </c>
      <c r="B27" s="31">
        <f t="shared" si="0"/>
        <v>18334270</v>
      </c>
      <c r="C27" s="72">
        <v>18338808</v>
      </c>
      <c r="D27" s="6">
        <f t="shared" si="1"/>
        <v>4538</v>
      </c>
      <c r="E27" s="34"/>
      <c r="F27" s="34"/>
    </row>
    <row r="28" spans="1:6" ht="13.5" customHeight="1" x14ac:dyDescent="0.2">
      <c r="A28" s="30">
        <v>19</v>
      </c>
      <c r="B28" s="31">
        <f t="shared" si="0"/>
        <v>18338808</v>
      </c>
      <c r="C28" s="72">
        <v>18340418</v>
      </c>
      <c r="D28" s="6">
        <f t="shared" si="1"/>
        <v>1610</v>
      </c>
      <c r="E28" s="34"/>
      <c r="F28" s="34"/>
    </row>
    <row r="29" spans="1:6" ht="13.5" customHeight="1" x14ac:dyDescent="0.2">
      <c r="A29" s="30">
        <v>20</v>
      </c>
      <c r="B29" s="31">
        <f t="shared" si="0"/>
        <v>18340418</v>
      </c>
      <c r="C29" s="72">
        <v>18348424</v>
      </c>
      <c r="D29" s="6">
        <f t="shared" si="1"/>
        <v>8006</v>
      </c>
      <c r="E29" s="34"/>
      <c r="F29" s="34"/>
    </row>
    <row r="30" spans="1:6" ht="13.5" customHeight="1" x14ac:dyDescent="0.2">
      <c r="A30" s="30">
        <v>21</v>
      </c>
      <c r="B30" s="31">
        <f t="shared" si="0"/>
        <v>18348424</v>
      </c>
      <c r="C30" s="72">
        <v>18354295</v>
      </c>
      <c r="D30" s="6">
        <f t="shared" si="1"/>
        <v>5871</v>
      </c>
      <c r="E30" s="34"/>
      <c r="F30" s="34"/>
    </row>
    <row r="31" spans="1:6" ht="13.5" customHeight="1" x14ac:dyDescent="0.2">
      <c r="A31" s="30">
        <v>22</v>
      </c>
      <c r="B31" s="31">
        <f t="shared" si="0"/>
        <v>18354295</v>
      </c>
      <c r="C31" s="72">
        <v>18361672</v>
      </c>
      <c r="D31" s="6">
        <f t="shared" si="1"/>
        <v>7377</v>
      </c>
      <c r="E31" s="34"/>
      <c r="F31" s="34"/>
    </row>
    <row r="32" spans="1:6" ht="13.5" customHeight="1" x14ac:dyDescent="0.2">
      <c r="A32" s="30">
        <v>23</v>
      </c>
      <c r="B32" s="31">
        <f t="shared" si="0"/>
        <v>18361672</v>
      </c>
      <c r="C32" s="72">
        <v>18366261</v>
      </c>
      <c r="D32" s="6">
        <f t="shared" si="1"/>
        <v>4589</v>
      </c>
      <c r="E32" s="35"/>
      <c r="F32" s="34"/>
    </row>
    <row r="33" spans="1:10" ht="13.5" customHeight="1" x14ac:dyDescent="0.2">
      <c r="A33" s="30">
        <v>24</v>
      </c>
      <c r="B33" s="31">
        <f t="shared" si="0"/>
        <v>18366261</v>
      </c>
      <c r="C33" s="72">
        <v>18373108</v>
      </c>
      <c r="D33" s="6">
        <f t="shared" si="1"/>
        <v>6847</v>
      </c>
      <c r="E33" s="35"/>
      <c r="F33" s="34"/>
    </row>
    <row r="34" spans="1:10" ht="13.5" customHeight="1" x14ac:dyDescent="0.2">
      <c r="A34" s="30">
        <v>25</v>
      </c>
      <c r="B34" s="31">
        <f t="shared" si="0"/>
        <v>18373108</v>
      </c>
      <c r="C34" s="93">
        <v>18380699</v>
      </c>
      <c r="D34" s="6">
        <f t="shared" si="1"/>
        <v>7591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0"/>
        <v>18380699</v>
      </c>
      <c r="C35" s="72">
        <v>18388231</v>
      </c>
      <c r="D35" s="6">
        <f t="shared" si="1"/>
        <v>7532</v>
      </c>
      <c r="E35" s="35"/>
      <c r="F35" s="34"/>
    </row>
    <row r="36" spans="1:10" ht="13.5" customHeight="1" x14ac:dyDescent="0.2">
      <c r="A36" s="30">
        <v>27</v>
      </c>
      <c r="B36" s="31">
        <f t="shared" si="0"/>
        <v>18388231</v>
      </c>
      <c r="C36" s="72">
        <v>18402803</v>
      </c>
      <c r="D36" s="6">
        <f t="shared" si="1"/>
        <v>14572</v>
      </c>
      <c r="E36" s="35"/>
      <c r="F36" s="34"/>
    </row>
    <row r="37" spans="1:10" ht="13.5" customHeight="1" x14ac:dyDescent="0.2">
      <c r="A37" s="30">
        <v>28</v>
      </c>
      <c r="B37" s="31">
        <f t="shared" si="0"/>
        <v>18402803</v>
      </c>
      <c r="C37" s="72">
        <v>18410788</v>
      </c>
      <c r="D37" s="6">
        <f t="shared" si="1"/>
        <v>7985</v>
      </c>
      <c r="E37" s="35"/>
      <c r="F37" s="34"/>
    </row>
    <row r="38" spans="1:10" ht="13.5" customHeight="1" x14ac:dyDescent="0.2">
      <c r="A38" s="30">
        <v>29</v>
      </c>
      <c r="B38" s="31">
        <f t="shared" si="0"/>
        <v>18410788</v>
      </c>
      <c r="C38" s="72"/>
      <c r="D38" s="6">
        <f t="shared" si="1"/>
        <v>0</v>
      </c>
      <c r="E38" s="35"/>
      <c r="F38" s="34"/>
    </row>
    <row r="39" spans="1:10" ht="13.5" customHeight="1" x14ac:dyDescent="0.2">
      <c r="A39" s="30">
        <v>30</v>
      </c>
      <c r="B39" s="31">
        <f t="shared" si="0"/>
        <v>0</v>
      </c>
      <c r="C39" s="72"/>
      <c r="D39" s="6">
        <f t="shared" si="1"/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0"/>
        <v>0</v>
      </c>
      <c r="C40" s="72"/>
      <c r="D40" s="6">
        <f t="shared" si="1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159946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16" workbookViewId="0">
      <selection activeCell="C39" sqref="C39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58" t="s">
        <v>23</v>
      </c>
      <c r="D1" s="358"/>
    </row>
    <row r="2" spans="1:7" x14ac:dyDescent="0.2">
      <c r="C2" s="358"/>
      <c r="D2" s="358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f>'GENSET #1'!A6</f>
        <v>44531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59" t="s">
        <v>25</v>
      </c>
      <c r="C8" s="361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31527500</v>
      </c>
      <c r="C10" s="72">
        <v>31543727</v>
      </c>
      <c r="D10" s="6">
        <f>MAX(0,C10-B10)</f>
        <v>16227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31543727</v>
      </c>
      <c r="C11" s="72">
        <v>31548922</v>
      </c>
      <c r="D11" s="6">
        <f t="shared" ref="D11:D40" si="0">MAX(0,C11-B11)</f>
        <v>5195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31548922</v>
      </c>
      <c r="C12" s="72">
        <v>31562067</v>
      </c>
      <c r="D12" s="6">
        <f t="shared" si="0"/>
        <v>13145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31562067</v>
      </c>
      <c r="C13" s="72">
        <v>31567758</v>
      </c>
      <c r="D13" s="6">
        <f t="shared" si="0"/>
        <v>5691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31567758</v>
      </c>
      <c r="C14" s="72">
        <v>31570417</v>
      </c>
      <c r="D14" s="6">
        <f t="shared" si="0"/>
        <v>2659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31570417</v>
      </c>
      <c r="C15" s="72">
        <v>31575633</v>
      </c>
      <c r="D15" s="6">
        <f t="shared" si="0"/>
        <v>5216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31575633</v>
      </c>
      <c r="C16" s="72">
        <v>31589690</v>
      </c>
      <c r="D16" s="6">
        <f t="shared" si="0"/>
        <v>14057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31589690</v>
      </c>
      <c r="C17" s="72">
        <v>31590002</v>
      </c>
      <c r="D17" s="6">
        <f t="shared" si="0"/>
        <v>312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31590002</v>
      </c>
      <c r="C18" s="72">
        <v>31597177</v>
      </c>
      <c r="D18" s="6">
        <f t="shared" si="0"/>
        <v>7175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31597177</v>
      </c>
      <c r="C19" s="72">
        <v>31604436</v>
      </c>
      <c r="D19" s="6">
        <f t="shared" si="0"/>
        <v>7259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31604436</v>
      </c>
      <c r="C20" s="72">
        <v>31609004</v>
      </c>
      <c r="D20" s="6">
        <f t="shared" si="0"/>
        <v>4568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31609004</v>
      </c>
      <c r="C21" s="72">
        <v>31619338</v>
      </c>
      <c r="D21" s="6">
        <f t="shared" si="0"/>
        <v>10334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31619338</v>
      </c>
      <c r="C22" s="72">
        <v>31625930</v>
      </c>
      <c r="D22" s="6">
        <f t="shared" si="0"/>
        <v>6592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31625930</v>
      </c>
      <c r="C23" s="72">
        <v>31636786</v>
      </c>
      <c r="D23" s="6">
        <f t="shared" si="0"/>
        <v>10856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31636786</v>
      </c>
      <c r="C24" s="72">
        <v>31642906</v>
      </c>
      <c r="D24" s="6">
        <f t="shared" si="0"/>
        <v>6120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31642906</v>
      </c>
      <c r="C25" s="72">
        <v>31653112</v>
      </c>
      <c r="D25" s="6">
        <f t="shared" si="0"/>
        <v>10206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31653112</v>
      </c>
      <c r="C26" s="72">
        <v>31659801</v>
      </c>
      <c r="D26" s="6">
        <f t="shared" si="0"/>
        <v>6689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31659801</v>
      </c>
      <c r="C27" s="72">
        <v>31665838</v>
      </c>
      <c r="D27" s="6">
        <f t="shared" si="0"/>
        <v>6037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31665838</v>
      </c>
      <c r="C28" s="72">
        <v>31682808</v>
      </c>
      <c r="D28" s="6">
        <f t="shared" si="0"/>
        <v>16970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31682808</v>
      </c>
      <c r="C29" s="72">
        <v>31688082</v>
      </c>
      <c r="D29" s="6">
        <f t="shared" si="0"/>
        <v>5274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31688082</v>
      </c>
      <c r="C30" s="72">
        <v>31696596</v>
      </c>
      <c r="D30" s="6">
        <f t="shared" si="0"/>
        <v>8514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31696596</v>
      </c>
      <c r="C31" s="72">
        <v>31703188</v>
      </c>
      <c r="D31" s="6">
        <f t="shared" si="0"/>
        <v>6592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31703188</v>
      </c>
      <c r="C32" s="72">
        <v>31714514</v>
      </c>
      <c r="D32" s="6">
        <f t="shared" si="0"/>
        <v>11326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31714514</v>
      </c>
      <c r="C33" s="72">
        <v>31722176</v>
      </c>
      <c r="D33" s="6">
        <f t="shared" si="0"/>
        <v>7662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31722176</v>
      </c>
      <c r="C34" s="72">
        <v>31728210</v>
      </c>
      <c r="D34" s="6">
        <f t="shared" si="0"/>
        <v>6034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31728210</v>
      </c>
      <c r="C35" s="72">
        <v>31734338</v>
      </c>
      <c r="D35" s="6">
        <f t="shared" si="0"/>
        <v>6128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31734338</v>
      </c>
      <c r="C36" s="72">
        <v>31741348</v>
      </c>
      <c r="D36" s="6">
        <f t="shared" si="0"/>
        <v>7010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31741348</v>
      </c>
      <c r="C37" s="72">
        <v>31748779</v>
      </c>
      <c r="D37" s="6">
        <f t="shared" si="0"/>
        <v>7431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31748779</v>
      </c>
      <c r="C38" s="72">
        <v>31756174</v>
      </c>
      <c r="D38" s="6">
        <f t="shared" si="0"/>
        <v>7395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31756174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0</v>
      </c>
      <c r="C40" s="72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228674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43"/>
  <sheetViews>
    <sheetView topLeftCell="A16" workbookViewId="0">
      <selection activeCell="C39" sqref="C39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f>'GENSET #2'!A6</f>
        <v>44531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14092185</v>
      </c>
      <c r="C10" s="32">
        <v>14094845</v>
      </c>
      <c r="D10" s="38">
        <f>MAX(0,C10-B10)</f>
        <v>2660</v>
      </c>
    </row>
    <row r="11" spans="1:5" ht="15.75" customHeight="1" x14ac:dyDescent="0.2">
      <c r="A11" s="45">
        <v>2</v>
      </c>
      <c r="B11" s="33">
        <f>C10</f>
        <v>14094845</v>
      </c>
      <c r="C11" s="32">
        <v>14101139</v>
      </c>
      <c r="D11" s="38">
        <f t="shared" ref="D11:D40" si="0">MAX(0,C11-B11)</f>
        <v>6294</v>
      </c>
    </row>
    <row r="12" spans="1:5" x14ac:dyDescent="0.2">
      <c r="A12" s="45">
        <v>3</v>
      </c>
      <c r="B12" s="33">
        <f t="shared" ref="B12:B40" si="1">C11</f>
        <v>14101139</v>
      </c>
      <c r="C12" s="32">
        <v>14108482</v>
      </c>
      <c r="D12" s="38">
        <f t="shared" si="0"/>
        <v>7343</v>
      </c>
      <c r="E12" s="55"/>
    </row>
    <row r="13" spans="1:5" x14ac:dyDescent="0.2">
      <c r="A13" s="45">
        <v>4</v>
      </c>
      <c r="B13" s="33">
        <f t="shared" si="1"/>
        <v>14108482</v>
      </c>
      <c r="C13" s="32">
        <v>14116648</v>
      </c>
      <c r="D13" s="38">
        <f t="shared" si="0"/>
        <v>8166</v>
      </c>
      <c r="E13" s="55"/>
    </row>
    <row r="14" spans="1:5" ht="13.5" customHeight="1" x14ac:dyDescent="0.2">
      <c r="A14" s="45">
        <v>5</v>
      </c>
      <c r="B14" s="33">
        <f t="shared" si="1"/>
        <v>14116648</v>
      </c>
      <c r="C14" s="32">
        <v>14117018</v>
      </c>
      <c r="D14" s="38">
        <f t="shared" si="0"/>
        <v>370</v>
      </c>
      <c r="E14" s="55"/>
    </row>
    <row r="15" spans="1:5" ht="13.5" customHeight="1" x14ac:dyDescent="0.2">
      <c r="A15" s="45">
        <v>6</v>
      </c>
      <c r="B15" s="33">
        <f t="shared" si="1"/>
        <v>14117018</v>
      </c>
      <c r="C15" s="32">
        <v>14121739</v>
      </c>
      <c r="D15" s="38">
        <f t="shared" si="0"/>
        <v>4721</v>
      </c>
      <c r="E15" s="55"/>
    </row>
    <row r="16" spans="1:5" ht="13.5" customHeight="1" x14ac:dyDescent="0.2">
      <c r="A16" s="45">
        <v>7</v>
      </c>
      <c r="B16" s="33">
        <f t="shared" si="1"/>
        <v>14121739</v>
      </c>
      <c r="C16" s="32">
        <v>14121778</v>
      </c>
      <c r="D16" s="38">
        <f t="shared" si="0"/>
        <v>39</v>
      </c>
      <c r="E16" s="55"/>
    </row>
    <row r="17" spans="1:5" ht="13.5" customHeight="1" x14ac:dyDescent="0.2">
      <c r="A17" s="45">
        <v>8</v>
      </c>
      <c r="B17" s="33">
        <f t="shared" si="1"/>
        <v>14121778</v>
      </c>
      <c r="C17" s="32">
        <v>14132382</v>
      </c>
      <c r="D17" s="38">
        <f t="shared" si="0"/>
        <v>10604</v>
      </c>
      <c r="E17" s="55"/>
    </row>
    <row r="18" spans="1:5" ht="13.5" customHeight="1" x14ac:dyDescent="0.2">
      <c r="A18" s="45">
        <v>9</v>
      </c>
      <c r="B18" s="33">
        <f t="shared" si="1"/>
        <v>14132382</v>
      </c>
      <c r="C18" s="32">
        <v>14138709</v>
      </c>
      <c r="D18" s="38">
        <f t="shared" si="0"/>
        <v>6327</v>
      </c>
      <c r="E18" s="55"/>
    </row>
    <row r="19" spans="1:5" ht="13.5" customHeight="1" x14ac:dyDescent="0.2">
      <c r="A19" s="45">
        <v>10</v>
      </c>
      <c r="B19" s="33">
        <f t="shared" si="1"/>
        <v>14138709</v>
      </c>
      <c r="C19" s="32">
        <v>14144814</v>
      </c>
      <c r="D19" s="38">
        <f t="shared" si="0"/>
        <v>6105</v>
      </c>
      <c r="E19" s="55"/>
    </row>
    <row r="20" spans="1:5" ht="13.5" customHeight="1" x14ac:dyDescent="0.2">
      <c r="A20" s="45">
        <v>11</v>
      </c>
      <c r="B20" s="33">
        <f t="shared" si="1"/>
        <v>14144814</v>
      </c>
      <c r="C20" s="32">
        <v>14152081</v>
      </c>
      <c r="D20" s="38">
        <f t="shared" si="0"/>
        <v>7267</v>
      </c>
      <c r="E20" s="55"/>
    </row>
    <row r="21" spans="1:5" ht="13.5" customHeight="1" x14ac:dyDescent="0.2">
      <c r="A21" s="45">
        <v>12</v>
      </c>
      <c r="B21" s="33">
        <f t="shared" si="1"/>
        <v>14152081</v>
      </c>
      <c r="C21" s="32">
        <v>14158019</v>
      </c>
      <c r="D21" s="38">
        <f t="shared" si="0"/>
        <v>5938</v>
      </c>
      <c r="E21" s="55"/>
    </row>
    <row r="22" spans="1:5" ht="13.5" customHeight="1" x14ac:dyDescent="0.2">
      <c r="A22" s="45">
        <v>13</v>
      </c>
      <c r="B22" s="33">
        <f t="shared" si="1"/>
        <v>14158019</v>
      </c>
      <c r="C22" s="32">
        <v>14164187</v>
      </c>
      <c r="D22" s="38">
        <f t="shared" si="0"/>
        <v>6168</v>
      </c>
      <c r="E22" s="55"/>
    </row>
    <row r="23" spans="1:5" ht="13.5" customHeight="1" x14ac:dyDescent="0.2">
      <c r="A23" s="45">
        <v>14</v>
      </c>
      <c r="B23" s="33">
        <f t="shared" si="1"/>
        <v>14164187</v>
      </c>
      <c r="C23" s="32">
        <v>14168895</v>
      </c>
      <c r="D23" s="38">
        <f t="shared" si="0"/>
        <v>4708</v>
      </c>
      <c r="E23" s="55"/>
    </row>
    <row r="24" spans="1:5" ht="13.5" customHeight="1" x14ac:dyDescent="0.2">
      <c r="A24" s="45">
        <v>15</v>
      </c>
      <c r="B24" s="33">
        <f t="shared" si="1"/>
        <v>14168895</v>
      </c>
      <c r="C24" s="32">
        <v>14172559</v>
      </c>
      <c r="D24" s="38">
        <f t="shared" si="0"/>
        <v>3664</v>
      </c>
      <c r="E24" s="55"/>
    </row>
    <row r="25" spans="1:5" ht="13.5" customHeight="1" x14ac:dyDescent="0.2">
      <c r="A25" s="45">
        <v>16</v>
      </c>
      <c r="B25" s="33">
        <f t="shared" si="1"/>
        <v>14172559</v>
      </c>
      <c r="C25" s="32">
        <v>14180090</v>
      </c>
      <c r="D25" s="38">
        <f t="shared" si="0"/>
        <v>7531</v>
      </c>
      <c r="E25" s="55"/>
    </row>
    <row r="26" spans="1:5" ht="13.5" customHeight="1" x14ac:dyDescent="0.2">
      <c r="A26" s="45">
        <v>17</v>
      </c>
      <c r="B26" s="33">
        <f t="shared" si="1"/>
        <v>14180090</v>
      </c>
      <c r="C26" s="32">
        <v>14183446</v>
      </c>
      <c r="D26" s="38">
        <f t="shared" si="0"/>
        <v>3356</v>
      </c>
      <c r="E26" s="55"/>
    </row>
    <row r="27" spans="1:5" ht="13.5" customHeight="1" x14ac:dyDescent="0.2">
      <c r="A27" s="45">
        <v>18</v>
      </c>
      <c r="B27" s="33">
        <f t="shared" si="1"/>
        <v>14183446</v>
      </c>
      <c r="C27" s="32">
        <v>14190726</v>
      </c>
      <c r="D27" s="38">
        <f t="shared" si="0"/>
        <v>7280</v>
      </c>
      <c r="E27" s="55"/>
    </row>
    <row r="28" spans="1:5" ht="13.5" customHeight="1" x14ac:dyDescent="0.2">
      <c r="A28" s="45">
        <v>19</v>
      </c>
      <c r="B28" s="33">
        <f t="shared" si="1"/>
        <v>14190726</v>
      </c>
      <c r="C28" s="32">
        <v>14195701</v>
      </c>
      <c r="D28" s="38">
        <f t="shared" si="0"/>
        <v>4975</v>
      </c>
      <c r="E28" s="55"/>
    </row>
    <row r="29" spans="1:5" ht="13.5" customHeight="1" x14ac:dyDescent="0.2">
      <c r="A29" s="45">
        <v>20</v>
      </c>
      <c r="B29" s="33">
        <f t="shared" si="1"/>
        <v>14195701</v>
      </c>
      <c r="C29" s="32">
        <v>14202114</v>
      </c>
      <c r="D29" s="38">
        <f t="shared" si="0"/>
        <v>6413</v>
      </c>
      <c r="E29" s="55"/>
    </row>
    <row r="30" spans="1:5" ht="13.5" customHeight="1" x14ac:dyDescent="0.2">
      <c r="A30" s="45">
        <v>21</v>
      </c>
      <c r="B30" s="33">
        <f t="shared" si="1"/>
        <v>14202114</v>
      </c>
      <c r="C30" s="32">
        <v>14209196</v>
      </c>
      <c r="D30" s="38">
        <f t="shared" si="0"/>
        <v>7082</v>
      </c>
      <c r="E30" s="55"/>
    </row>
    <row r="31" spans="1:5" ht="13.5" customHeight="1" x14ac:dyDescent="0.2">
      <c r="A31" s="45">
        <v>22</v>
      </c>
      <c r="B31" s="33">
        <f t="shared" si="1"/>
        <v>14209196</v>
      </c>
      <c r="C31" s="32">
        <v>14216920</v>
      </c>
      <c r="D31" s="38">
        <f t="shared" si="0"/>
        <v>7724</v>
      </c>
      <c r="E31" s="55"/>
    </row>
    <row r="32" spans="1:5" ht="13.5" customHeight="1" x14ac:dyDescent="0.2">
      <c r="A32" s="45">
        <v>23</v>
      </c>
      <c r="B32" s="33">
        <f t="shared" si="1"/>
        <v>14216920</v>
      </c>
      <c r="C32" s="32">
        <v>14222340</v>
      </c>
      <c r="D32" s="38">
        <f t="shared" si="0"/>
        <v>5420</v>
      </c>
      <c r="E32" s="55"/>
    </row>
    <row r="33" spans="1:10" ht="13.5" customHeight="1" x14ac:dyDescent="0.2">
      <c r="A33" s="45">
        <v>24</v>
      </c>
      <c r="B33" s="33">
        <f t="shared" si="1"/>
        <v>14222340</v>
      </c>
      <c r="C33" s="32">
        <v>14226388</v>
      </c>
      <c r="D33" s="38">
        <f t="shared" si="0"/>
        <v>4048</v>
      </c>
      <c r="E33" s="55"/>
    </row>
    <row r="34" spans="1:10" ht="13.5" customHeight="1" x14ac:dyDescent="0.2">
      <c r="A34" s="45">
        <v>25</v>
      </c>
      <c r="B34" s="33">
        <f t="shared" si="1"/>
        <v>14226388</v>
      </c>
      <c r="C34" s="32">
        <v>14234846</v>
      </c>
      <c r="D34" s="38">
        <f t="shared" si="0"/>
        <v>8458</v>
      </c>
      <c r="E34" s="85"/>
      <c r="F34" s="86"/>
      <c r="G34" s="89"/>
      <c r="H34" s="90"/>
      <c r="I34" s="89"/>
      <c r="J34" s="89"/>
    </row>
    <row r="35" spans="1:10" s="3" customFormat="1" ht="13.5" customHeight="1" x14ac:dyDescent="0.2">
      <c r="A35" s="45">
        <v>26</v>
      </c>
      <c r="B35" s="33">
        <f t="shared" si="1"/>
        <v>14234846</v>
      </c>
      <c r="C35" s="32">
        <v>14238759</v>
      </c>
      <c r="D35" s="38">
        <f t="shared" si="0"/>
        <v>3913</v>
      </c>
      <c r="E35" s="85"/>
      <c r="F35" s="87"/>
      <c r="G35" s="90"/>
      <c r="H35" s="90"/>
      <c r="I35" s="90"/>
      <c r="J35" s="90"/>
    </row>
    <row r="36" spans="1:10" ht="13.5" customHeight="1" x14ac:dyDescent="0.2">
      <c r="A36" s="45">
        <v>27</v>
      </c>
      <c r="B36" s="33">
        <f t="shared" si="1"/>
        <v>14238759</v>
      </c>
      <c r="C36" s="32">
        <v>14242032</v>
      </c>
      <c r="D36" s="38">
        <f t="shared" si="0"/>
        <v>3273</v>
      </c>
      <c r="E36" s="85"/>
      <c r="F36" s="86"/>
      <c r="G36" s="89"/>
      <c r="H36" s="89"/>
      <c r="I36" s="89"/>
      <c r="J36" s="89"/>
    </row>
    <row r="37" spans="1:10" ht="13.5" customHeight="1" x14ac:dyDescent="0.2">
      <c r="A37" s="45">
        <v>28</v>
      </c>
      <c r="B37" s="33">
        <f t="shared" si="1"/>
        <v>14242032</v>
      </c>
      <c r="C37" s="32">
        <v>14246048</v>
      </c>
      <c r="D37" s="38">
        <f t="shared" si="0"/>
        <v>4016</v>
      </c>
      <c r="E37" s="85"/>
      <c r="F37" s="86"/>
      <c r="G37" s="89"/>
      <c r="H37" s="89"/>
      <c r="I37" s="89"/>
      <c r="J37" s="89"/>
    </row>
    <row r="38" spans="1:10" ht="13.5" customHeight="1" x14ac:dyDescent="0.2">
      <c r="A38" s="45">
        <v>29</v>
      </c>
      <c r="B38" s="33">
        <f t="shared" si="1"/>
        <v>14246048</v>
      </c>
      <c r="C38" s="32">
        <v>14249619</v>
      </c>
      <c r="D38" s="38">
        <f t="shared" si="0"/>
        <v>3571</v>
      </c>
      <c r="E38" s="362"/>
      <c r="F38" s="363"/>
      <c r="G38" s="89"/>
      <c r="H38" s="89"/>
      <c r="I38" s="89"/>
      <c r="J38" s="89"/>
    </row>
    <row r="39" spans="1:10" ht="13.5" customHeight="1" x14ac:dyDescent="0.2">
      <c r="A39" s="45">
        <v>30</v>
      </c>
      <c r="B39" s="33">
        <f t="shared" si="1"/>
        <v>14249619</v>
      </c>
      <c r="C39" s="32"/>
      <c r="D39" s="38">
        <f t="shared" si="0"/>
        <v>0</v>
      </c>
      <c r="E39" s="85"/>
      <c r="F39" s="86"/>
      <c r="G39" s="89"/>
      <c r="H39" s="89"/>
      <c r="I39" s="89"/>
      <c r="J39" s="89"/>
    </row>
    <row r="40" spans="1:10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85"/>
      <c r="F40" s="86"/>
      <c r="G40" s="89"/>
      <c r="H40" s="89"/>
      <c r="I40" s="89"/>
      <c r="J40" s="89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157434</v>
      </c>
      <c r="E41" s="85"/>
      <c r="F41" s="86"/>
      <c r="G41" s="89"/>
      <c r="H41" s="89"/>
      <c r="I41" s="89"/>
      <c r="J41" s="89"/>
    </row>
    <row r="42" spans="1:10" ht="12" customHeight="1" thickTop="1" x14ac:dyDescent="0.2">
      <c r="E42" s="85"/>
      <c r="F42" s="86"/>
      <c r="G42" s="89"/>
      <c r="H42" s="89"/>
      <c r="I42" s="89"/>
      <c r="J42" s="89"/>
    </row>
    <row r="43" spans="1:10" ht="14.25" customHeight="1" x14ac:dyDescent="0.2">
      <c r="E43" s="88"/>
      <c r="F43" s="86"/>
      <c r="G43" s="89"/>
      <c r="H43" s="89"/>
      <c r="I43" s="89"/>
      <c r="J43" s="89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18" workbookViewId="0">
      <selection activeCell="C39" sqref="C39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58" t="s">
        <v>30</v>
      </c>
      <c r="D1" s="358"/>
    </row>
    <row r="2" spans="1:5" x14ac:dyDescent="0.2">
      <c r="C2" s="358"/>
      <c r="D2" s="358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f>'GENSET #3'!A6</f>
        <v>44531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59" t="s">
        <v>32</v>
      </c>
      <c r="C8" s="361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12064490</v>
      </c>
      <c r="C10" s="32">
        <v>12067194</v>
      </c>
      <c r="D10" s="38">
        <f>MAX(0,C10-B10)</f>
        <v>2704</v>
      </c>
      <c r="E10" s="29"/>
    </row>
    <row r="11" spans="1:5" ht="13.5" customHeight="1" x14ac:dyDescent="0.2">
      <c r="A11" s="45">
        <v>2</v>
      </c>
      <c r="B11" s="33">
        <f>C10</f>
        <v>12067194</v>
      </c>
      <c r="C11" s="32">
        <v>12070026</v>
      </c>
      <c r="D11" s="38">
        <f t="shared" ref="D11:D40" si="0">MAX(0,C11-B11)</f>
        <v>2832</v>
      </c>
      <c r="E11" s="34"/>
    </row>
    <row r="12" spans="1:5" ht="13.5" customHeight="1" x14ac:dyDescent="0.2">
      <c r="A12" s="45">
        <v>3</v>
      </c>
      <c r="B12" s="33">
        <f t="shared" ref="B12:B40" si="1">C11</f>
        <v>12070026</v>
      </c>
      <c r="C12" s="32">
        <v>12072126</v>
      </c>
      <c r="D12" s="38">
        <f t="shared" si="0"/>
        <v>2100</v>
      </c>
      <c r="E12" s="34"/>
    </row>
    <row r="13" spans="1:5" ht="13.5" customHeight="1" x14ac:dyDescent="0.2">
      <c r="A13" s="45">
        <v>4</v>
      </c>
      <c r="B13" s="33">
        <f t="shared" si="1"/>
        <v>12072126</v>
      </c>
      <c r="C13" s="32">
        <v>12073958</v>
      </c>
      <c r="D13" s="38">
        <f t="shared" si="0"/>
        <v>1832</v>
      </c>
      <c r="E13" s="34"/>
    </row>
    <row r="14" spans="1:5" ht="13.5" customHeight="1" x14ac:dyDescent="0.2">
      <c r="A14" s="45">
        <v>5</v>
      </c>
      <c r="B14" s="33">
        <f t="shared" si="1"/>
        <v>12073958</v>
      </c>
      <c r="C14" s="32">
        <v>12076480</v>
      </c>
      <c r="D14" s="38">
        <f t="shared" si="0"/>
        <v>2522</v>
      </c>
      <c r="E14" s="34"/>
    </row>
    <row r="15" spans="1:5" ht="13.5" customHeight="1" x14ac:dyDescent="0.2">
      <c r="A15" s="45">
        <v>6</v>
      </c>
      <c r="B15" s="33">
        <f t="shared" si="1"/>
        <v>12076480</v>
      </c>
      <c r="C15" s="32">
        <v>12078714</v>
      </c>
      <c r="D15" s="38">
        <f t="shared" si="0"/>
        <v>2234</v>
      </c>
      <c r="E15" s="34"/>
    </row>
    <row r="16" spans="1:5" ht="13.5" customHeight="1" x14ac:dyDescent="0.2">
      <c r="A16" s="45">
        <v>7</v>
      </c>
      <c r="B16" s="33">
        <f t="shared" si="1"/>
        <v>12078714</v>
      </c>
      <c r="C16" s="32">
        <v>12079507</v>
      </c>
      <c r="D16" s="38">
        <f t="shared" si="0"/>
        <v>793</v>
      </c>
      <c r="E16" s="34"/>
    </row>
    <row r="17" spans="1:5" ht="13.5" customHeight="1" x14ac:dyDescent="0.2">
      <c r="A17" s="45">
        <v>8</v>
      </c>
      <c r="B17" s="33">
        <f t="shared" si="1"/>
        <v>12079507</v>
      </c>
      <c r="C17" s="32">
        <v>12083462</v>
      </c>
      <c r="D17" s="38">
        <f t="shared" si="0"/>
        <v>3955</v>
      </c>
      <c r="E17" s="34"/>
    </row>
    <row r="18" spans="1:5" ht="13.5" customHeight="1" x14ac:dyDescent="0.2">
      <c r="A18" s="45">
        <v>9</v>
      </c>
      <c r="B18" s="33">
        <f t="shared" si="1"/>
        <v>12083462</v>
      </c>
      <c r="C18" s="32">
        <v>12088209</v>
      </c>
      <c r="D18" s="38">
        <f t="shared" si="0"/>
        <v>4747</v>
      </c>
      <c r="E18" s="34"/>
    </row>
    <row r="19" spans="1:5" ht="13.5" customHeight="1" x14ac:dyDescent="0.2">
      <c r="A19" s="45">
        <v>10</v>
      </c>
      <c r="B19" s="33">
        <f t="shared" si="1"/>
        <v>12088209</v>
      </c>
      <c r="C19" s="32">
        <v>12093130</v>
      </c>
      <c r="D19" s="38">
        <f t="shared" si="0"/>
        <v>4921</v>
      </c>
      <c r="E19" s="34"/>
    </row>
    <row r="20" spans="1:5" ht="13.5" customHeight="1" x14ac:dyDescent="0.2">
      <c r="A20" s="45">
        <v>11</v>
      </c>
      <c r="B20" s="33">
        <f t="shared" si="1"/>
        <v>12093130</v>
      </c>
      <c r="C20" s="32">
        <v>12095704</v>
      </c>
      <c r="D20" s="38">
        <f t="shared" si="0"/>
        <v>2574</v>
      </c>
      <c r="E20" s="34"/>
    </row>
    <row r="21" spans="1:5" ht="13.5" customHeight="1" x14ac:dyDescent="0.2">
      <c r="A21" s="45">
        <v>12</v>
      </c>
      <c r="B21" s="33">
        <f t="shared" si="1"/>
        <v>12095704</v>
      </c>
      <c r="C21" s="32">
        <v>12097574</v>
      </c>
      <c r="D21" s="38">
        <f t="shared" si="0"/>
        <v>1870</v>
      </c>
      <c r="E21" s="34"/>
    </row>
    <row r="22" spans="1:5" ht="13.5" customHeight="1" x14ac:dyDescent="0.2">
      <c r="A22" s="45">
        <v>13</v>
      </c>
      <c r="B22" s="33">
        <f t="shared" si="1"/>
        <v>12097574</v>
      </c>
      <c r="C22" s="32">
        <v>12101283</v>
      </c>
      <c r="D22" s="38">
        <f t="shared" si="0"/>
        <v>3709</v>
      </c>
      <c r="E22" s="34"/>
    </row>
    <row r="23" spans="1:5" ht="13.5" customHeight="1" x14ac:dyDescent="0.2">
      <c r="A23" s="45">
        <v>14</v>
      </c>
      <c r="B23" s="33">
        <f t="shared" si="1"/>
        <v>12101283</v>
      </c>
      <c r="C23" s="32">
        <v>12103998</v>
      </c>
      <c r="D23" s="38">
        <f t="shared" si="0"/>
        <v>2715</v>
      </c>
      <c r="E23" s="34"/>
    </row>
    <row r="24" spans="1:5" ht="13.5" customHeight="1" x14ac:dyDescent="0.2">
      <c r="A24" s="45">
        <v>15</v>
      </c>
      <c r="B24" s="33">
        <f t="shared" si="1"/>
        <v>12103998</v>
      </c>
      <c r="C24" s="32">
        <v>12105912</v>
      </c>
      <c r="D24" s="38">
        <f t="shared" si="0"/>
        <v>1914</v>
      </c>
      <c r="E24" s="34"/>
    </row>
    <row r="25" spans="1:5" ht="13.5" customHeight="1" x14ac:dyDescent="0.2">
      <c r="A25" s="45">
        <v>16</v>
      </c>
      <c r="B25" s="33">
        <f t="shared" si="1"/>
        <v>12105912</v>
      </c>
      <c r="C25" s="32">
        <v>12108583</v>
      </c>
      <c r="D25" s="38">
        <f t="shared" si="0"/>
        <v>2671</v>
      </c>
      <c r="E25" s="34"/>
    </row>
    <row r="26" spans="1:5" ht="13.5" customHeight="1" x14ac:dyDescent="0.2">
      <c r="A26" s="45">
        <v>17</v>
      </c>
      <c r="B26" s="33">
        <f t="shared" si="1"/>
        <v>12108583</v>
      </c>
      <c r="C26" s="32">
        <v>12111673</v>
      </c>
      <c r="D26" s="38">
        <f t="shared" si="0"/>
        <v>3090</v>
      </c>
      <c r="E26" s="34"/>
    </row>
    <row r="27" spans="1:5" ht="13.5" customHeight="1" x14ac:dyDescent="0.2">
      <c r="A27" s="45">
        <v>18</v>
      </c>
      <c r="B27" s="33">
        <f t="shared" si="1"/>
        <v>12111673</v>
      </c>
      <c r="C27" s="83">
        <v>12114927</v>
      </c>
      <c r="D27" s="38">
        <f t="shared" si="0"/>
        <v>3254</v>
      </c>
      <c r="E27" s="84"/>
    </row>
    <row r="28" spans="1:5" ht="13.5" customHeight="1" x14ac:dyDescent="0.2">
      <c r="A28" s="45">
        <v>19</v>
      </c>
      <c r="B28" s="33">
        <f t="shared" si="1"/>
        <v>12114927</v>
      </c>
      <c r="C28" s="32">
        <v>12117049</v>
      </c>
      <c r="D28" s="38">
        <f t="shared" si="0"/>
        <v>2122</v>
      </c>
      <c r="E28" s="34"/>
    </row>
    <row r="29" spans="1:5" ht="13.5" customHeight="1" x14ac:dyDescent="0.2">
      <c r="A29" s="45">
        <v>20</v>
      </c>
      <c r="B29" s="33">
        <f t="shared" si="1"/>
        <v>12117049</v>
      </c>
      <c r="C29" s="32">
        <v>12118137</v>
      </c>
      <c r="D29" s="38">
        <f t="shared" si="0"/>
        <v>1088</v>
      </c>
      <c r="E29" s="34"/>
    </row>
    <row r="30" spans="1:5" ht="13.5" customHeight="1" x14ac:dyDescent="0.2">
      <c r="A30" s="45">
        <v>21</v>
      </c>
      <c r="B30" s="33">
        <f t="shared" si="1"/>
        <v>12118137</v>
      </c>
      <c r="C30" s="32">
        <v>12119727</v>
      </c>
      <c r="D30" s="38">
        <f t="shared" si="0"/>
        <v>1590</v>
      </c>
      <c r="E30" s="34"/>
    </row>
    <row r="31" spans="1:5" ht="13.5" customHeight="1" x14ac:dyDescent="0.2">
      <c r="A31" s="45">
        <v>22</v>
      </c>
      <c r="B31" s="33">
        <f t="shared" si="1"/>
        <v>12119727</v>
      </c>
      <c r="C31" s="32">
        <v>12122082</v>
      </c>
      <c r="D31" s="38">
        <f t="shared" si="0"/>
        <v>2355</v>
      </c>
      <c r="E31" s="34"/>
    </row>
    <row r="32" spans="1:5" ht="13.5" customHeight="1" x14ac:dyDescent="0.2">
      <c r="A32" s="45">
        <v>23</v>
      </c>
      <c r="B32" s="33">
        <f t="shared" si="1"/>
        <v>12122082</v>
      </c>
      <c r="C32" s="32">
        <v>12123608</v>
      </c>
      <c r="D32" s="38">
        <f t="shared" si="0"/>
        <v>1526</v>
      </c>
      <c r="E32" s="35"/>
    </row>
    <row r="33" spans="1:5" ht="13.5" customHeight="1" x14ac:dyDescent="0.2">
      <c r="A33" s="45">
        <v>24</v>
      </c>
      <c r="B33" s="33">
        <f t="shared" si="1"/>
        <v>12123608</v>
      </c>
      <c r="C33" s="32">
        <v>12127069</v>
      </c>
      <c r="D33" s="38">
        <f t="shared" si="0"/>
        <v>3461</v>
      </c>
      <c r="E33" s="35"/>
    </row>
    <row r="34" spans="1:5" ht="13.5" customHeight="1" x14ac:dyDescent="0.2">
      <c r="A34" s="45">
        <v>25</v>
      </c>
      <c r="B34" s="33">
        <f t="shared" si="1"/>
        <v>12127069</v>
      </c>
      <c r="C34" s="32">
        <v>12129666</v>
      </c>
      <c r="D34" s="38">
        <f t="shared" si="0"/>
        <v>2597</v>
      </c>
      <c r="E34" s="35"/>
    </row>
    <row r="35" spans="1:5" s="3" customFormat="1" ht="13.5" customHeight="1" x14ac:dyDescent="0.2">
      <c r="A35" s="45">
        <v>26</v>
      </c>
      <c r="B35" s="33">
        <f t="shared" si="1"/>
        <v>12129666</v>
      </c>
      <c r="C35" s="32">
        <v>12133038</v>
      </c>
      <c r="D35" s="38">
        <f t="shared" si="0"/>
        <v>3372</v>
      </c>
      <c r="E35" s="35"/>
    </row>
    <row r="36" spans="1:5" ht="13.5" customHeight="1" x14ac:dyDescent="0.2">
      <c r="A36" s="45">
        <v>27</v>
      </c>
      <c r="B36" s="33">
        <f t="shared" si="1"/>
        <v>12133038</v>
      </c>
      <c r="C36" s="32">
        <v>12136843</v>
      </c>
      <c r="D36" s="38">
        <f t="shared" si="0"/>
        <v>3805</v>
      </c>
      <c r="E36" s="48"/>
    </row>
    <row r="37" spans="1:5" ht="13.5" customHeight="1" x14ac:dyDescent="0.2">
      <c r="A37" s="45">
        <v>28</v>
      </c>
      <c r="B37" s="33">
        <f t="shared" si="1"/>
        <v>12136843</v>
      </c>
      <c r="C37" s="32">
        <v>12140620</v>
      </c>
      <c r="D37" s="38">
        <f t="shared" si="0"/>
        <v>3777</v>
      </c>
      <c r="E37" s="48"/>
    </row>
    <row r="38" spans="1:5" ht="13.5" customHeight="1" x14ac:dyDescent="0.2">
      <c r="A38" s="45">
        <v>29</v>
      </c>
      <c r="B38" s="33">
        <f t="shared" si="1"/>
        <v>12140620</v>
      </c>
      <c r="C38" s="32">
        <v>12144212</v>
      </c>
      <c r="D38" s="38">
        <f t="shared" si="0"/>
        <v>3592</v>
      </c>
      <c r="E38" s="48"/>
    </row>
    <row r="39" spans="1:5" ht="13.5" customHeight="1" x14ac:dyDescent="0.2">
      <c r="A39" s="45">
        <v>30</v>
      </c>
      <c r="B39" s="33">
        <f t="shared" si="1"/>
        <v>12144212</v>
      </c>
      <c r="C39" s="32"/>
      <c r="D39" s="38">
        <f t="shared" si="0"/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79722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42"/>
  <sheetViews>
    <sheetView topLeftCell="A10" workbookViewId="0">
      <selection activeCell="C39" sqref="C39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58" t="s">
        <v>16</v>
      </c>
      <c r="D1" s="358"/>
    </row>
    <row r="2" spans="1:5" x14ac:dyDescent="0.2">
      <c r="C2" s="358"/>
      <c r="D2" s="358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4"/>
      <c r="B5" s="132"/>
      <c r="C5" s="133"/>
      <c r="D5" s="133"/>
      <c r="E5" s="133"/>
    </row>
    <row r="6" spans="1:5" x14ac:dyDescent="0.2">
      <c r="A6" s="74">
        <f>'GENSET #4'!A6</f>
        <v>44531</v>
      </c>
    </row>
    <row r="7" spans="1:5" ht="13.5" thickBot="1" x14ac:dyDescent="0.25">
      <c r="A7" s="134"/>
    </row>
    <row r="8" spans="1:5" ht="15.75" customHeight="1" thickBot="1" x14ac:dyDescent="0.25">
      <c r="A8" s="58"/>
      <c r="B8" s="359" t="s">
        <v>34</v>
      </c>
      <c r="C8" s="361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19270644</v>
      </c>
      <c r="C10" s="32">
        <v>19272929</v>
      </c>
      <c r="D10" s="38">
        <f>MAX(0,C10-B10)</f>
        <v>2285</v>
      </c>
      <c r="E10" s="29"/>
    </row>
    <row r="11" spans="1:5" ht="13.5" customHeight="1" x14ac:dyDescent="0.2">
      <c r="A11" s="61">
        <v>2</v>
      </c>
      <c r="B11" s="33">
        <f>C10</f>
        <v>19272929</v>
      </c>
      <c r="C11" s="32">
        <v>19276962</v>
      </c>
      <c r="D11" s="38">
        <f t="shared" ref="D11:D40" si="0">MAX(0,C11-B11)</f>
        <v>4033</v>
      </c>
      <c r="E11" s="34"/>
    </row>
    <row r="12" spans="1:5" ht="13.5" customHeight="1" x14ac:dyDescent="0.2">
      <c r="A12" s="60">
        <v>3</v>
      </c>
      <c r="B12" s="33">
        <f t="shared" ref="B12:B40" si="1">C11</f>
        <v>19276962</v>
      </c>
      <c r="C12" s="32">
        <v>19280437</v>
      </c>
      <c r="D12" s="38">
        <f t="shared" si="0"/>
        <v>3475</v>
      </c>
      <c r="E12" s="34"/>
    </row>
    <row r="13" spans="1:5" ht="13.5" customHeight="1" x14ac:dyDescent="0.2">
      <c r="A13" s="61">
        <v>4</v>
      </c>
      <c r="B13" s="33">
        <f t="shared" si="1"/>
        <v>19280437</v>
      </c>
      <c r="C13" s="32">
        <v>19288144</v>
      </c>
      <c r="D13" s="38">
        <f t="shared" si="0"/>
        <v>7707</v>
      </c>
      <c r="E13" s="34"/>
    </row>
    <row r="14" spans="1:5" ht="13.5" customHeight="1" x14ac:dyDescent="0.2">
      <c r="A14" s="60">
        <v>5</v>
      </c>
      <c r="B14" s="33">
        <f t="shared" si="1"/>
        <v>19288144</v>
      </c>
      <c r="C14" s="32">
        <v>19298237</v>
      </c>
      <c r="D14" s="38">
        <f t="shared" si="0"/>
        <v>10093</v>
      </c>
      <c r="E14" s="34"/>
    </row>
    <row r="15" spans="1:5" ht="13.5" customHeight="1" x14ac:dyDescent="0.2">
      <c r="A15" s="61">
        <v>6</v>
      </c>
      <c r="B15" s="33">
        <f t="shared" si="1"/>
        <v>19298237</v>
      </c>
      <c r="C15" s="32">
        <v>19306100</v>
      </c>
      <c r="D15" s="38">
        <f t="shared" si="0"/>
        <v>7863</v>
      </c>
      <c r="E15" s="34"/>
    </row>
    <row r="16" spans="1:5" ht="13.5" customHeight="1" x14ac:dyDescent="0.2">
      <c r="A16" s="60">
        <v>7</v>
      </c>
      <c r="B16" s="33">
        <f t="shared" si="1"/>
        <v>19306100</v>
      </c>
      <c r="C16" s="32">
        <v>19309135</v>
      </c>
      <c r="D16" s="38">
        <f t="shared" si="0"/>
        <v>3035</v>
      </c>
      <c r="E16" s="34"/>
    </row>
    <row r="17" spans="1:5" ht="13.5" customHeight="1" x14ac:dyDescent="0.2">
      <c r="A17" s="61">
        <v>8</v>
      </c>
      <c r="B17" s="33">
        <f t="shared" si="1"/>
        <v>19309135</v>
      </c>
      <c r="C17" s="32">
        <v>19315943</v>
      </c>
      <c r="D17" s="38">
        <f t="shared" si="0"/>
        <v>6808</v>
      </c>
      <c r="E17" s="34"/>
    </row>
    <row r="18" spans="1:5" ht="13.5" customHeight="1" x14ac:dyDescent="0.2">
      <c r="A18" s="60">
        <v>9</v>
      </c>
      <c r="B18" s="33">
        <f t="shared" si="1"/>
        <v>19315943</v>
      </c>
      <c r="C18" s="32">
        <v>19322960</v>
      </c>
      <c r="D18" s="38">
        <f t="shared" si="0"/>
        <v>7017</v>
      </c>
      <c r="E18" s="34"/>
    </row>
    <row r="19" spans="1:5" ht="13.5" customHeight="1" x14ac:dyDescent="0.2">
      <c r="A19" s="61">
        <v>10</v>
      </c>
      <c r="B19" s="33">
        <f t="shared" si="1"/>
        <v>19322960</v>
      </c>
      <c r="C19" s="32">
        <v>19323003</v>
      </c>
      <c r="D19" s="38">
        <f t="shared" si="0"/>
        <v>43</v>
      </c>
      <c r="E19" s="34"/>
    </row>
    <row r="20" spans="1:5" ht="13.5" customHeight="1" x14ac:dyDescent="0.2">
      <c r="A20" s="60">
        <v>11</v>
      </c>
      <c r="B20" s="33">
        <f t="shared" si="1"/>
        <v>19323003</v>
      </c>
      <c r="C20" s="32">
        <v>19330320</v>
      </c>
      <c r="D20" s="38">
        <f t="shared" si="0"/>
        <v>7317</v>
      </c>
      <c r="E20" s="34"/>
    </row>
    <row r="21" spans="1:5" ht="13.5" customHeight="1" x14ac:dyDescent="0.2">
      <c r="A21" s="61">
        <v>12</v>
      </c>
      <c r="B21" s="33">
        <f t="shared" si="1"/>
        <v>19330320</v>
      </c>
      <c r="C21" s="32">
        <v>19334375</v>
      </c>
      <c r="D21" s="38">
        <f t="shared" si="0"/>
        <v>4055</v>
      </c>
      <c r="E21" s="34"/>
    </row>
    <row r="22" spans="1:5" ht="13.5" customHeight="1" x14ac:dyDescent="0.2">
      <c r="A22" s="60">
        <v>13</v>
      </c>
      <c r="B22" s="33">
        <f t="shared" si="1"/>
        <v>19334375</v>
      </c>
      <c r="C22" s="32">
        <v>19341137</v>
      </c>
      <c r="D22" s="38">
        <f t="shared" si="0"/>
        <v>6762</v>
      </c>
      <c r="E22" s="34"/>
    </row>
    <row r="23" spans="1:5" ht="13.5" customHeight="1" x14ac:dyDescent="0.2">
      <c r="A23" s="61">
        <v>14</v>
      </c>
      <c r="B23" s="33">
        <f t="shared" si="1"/>
        <v>19341137</v>
      </c>
      <c r="C23" s="32">
        <v>19342305</v>
      </c>
      <c r="D23" s="38">
        <f t="shared" si="0"/>
        <v>1168</v>
      </c>
      <c r="E23" s="34"/>
    </row>
    <row r="24" spans="1:5" ht="13.5" customHeight="1" x14ac:dyDescent="0.2">
      <c r="A24" s="60">
        <v>15</v>
      </c>
      <c r="B24" s="33">
        <f t="shared" si="1"/>
        <v>19342305</v>
      </c>
      <c r="C24" s="32">
        <v>19349648</v>
      </c>
      <c r="D24" s="38">
        <f t="shared" si="0"/>
        <v>7343</v>
      </c>
      <c r="E24" s="34"/>
    </row>
    <row r="25" spans="1:5" ht="13.5" customHeight="1" x14ac:dyDescent="0.2">
      <c r="A25" s="61">
        <v>16</v>
      </c>
      <c r="B25" s="33">
        <f t="shared" si="1"/>
        <v>19349648</v>
      </c>
      <c r="C25" s="32">
        <v>19355346</v>
      </c>
      <c r="D25" s="38">
        <f t="shared" si="0"/>
        <v>5698</v>
      </c>
      <c r="E25" s="34"/>
    </row>
    <row r="26" spans="1:5" ht="13.5" customHeight="1" x14ac:dyDescent="0.2">
      <c r="A26" s="60">
        <v>17</v>
      </c>
      <c r="B26" s="33">
        <f t="shared" si="1"/>
        <v>19355346</v>
      </c>
      <c r="C26" s="32">
        <v>19363093</v>
      </c>
      <c r="D26" s="38">
        <f t="shared" si="0"/>
        <v>7747</v>
      </c>
      <c r="E26" s="34"/>
    </row>
    <row r="27" spans="1:5" ht="13.5" customHeight="1" x14ac:dyDescent="0.2">
      <c r="A27" s="61">
        <v>18</v>
      </c>
      <c r="B27" s="33">
        <f t="shared" si="1"/>
        <v>19363093</v>
      </c>
      <c r="C27" s="32">
        <v>19370898</v>
      </c>
      <c r="D27" s="38">
        <f t="shared" si="0"/>
        <v>7805</v>
      </c>
      <c r="E27" s="34"/>
    </row>
    <row r="28" spans="1:5" ht="13.5" customHeight="1" x14ac:dyDescent="0.2">
      <c r="A28" s="60">
        <v>19</v>
      </c>
      <c r="B28" s="33">
        <f t="shared" si="1"/>
        <v>19370898</v>
      </c>
      <c r="C28" s="32">
        <v>19373958</v>
      </c>
      <c r="D28" s="38">
        <f t="shared" si="0"/>
        <v>3060</v>
      </c>
      <c r="E28" s="34"/>
    </row>
    <row r="29" spans="1:5" ht="13.5" customHeight="1" x14ac:dyDescent="0.2">
      <c r="A29" s="61">
        <v>20</v>
      </c>
      <c r="B29" s="33">
        <f t="shared" si="1"/>
        <v>19373958</v>
      </c>
      <c r="C29" s="32">
        <v>19383037</v>
      </c>
      <c r="D29" s="38">
        <f t="shared" si="0"/>
        <v>9079</v>
      </c>
      <c r="E29" s="34"/>
    </row>
    <row r="30" spans="1:5" ht="13.5" customHeight="1" x14ac:dyDescent="0.2">
      <c r="A30" s="60">
        <v>21</v>
      </c>
      <c r="B30" s="33">
        <f t="shared" si="1"/>
        <v>19383037</v>
      </c>
      <c r="C30" s="32">
        <v>19390358</v>
      </c>
      <c r="D30" s="38">
        <f t="shared" si="0"/>
        <v>7321</v>
      </c>
      <c r="E30" s="34"/>
    </row>
    <row r="31" spans="1:5" ht="13.5" customHeight="1" x14ac:dyDescent="0.2">
      <c r="A31" s="61">
        <v>22</v>
      </c>
      <c r="B31" s="33">
        <f t="shared" si="1"/>
        <v>19390358</v>
      </c>
      <c r="C31" s="32">
        <v>19396022</v>
      </c>
      <c r="D31" s="38">
        <f t="shared" si="0"/>
        <v>5664</v>
      </c>
      <c r="E31" s="34"/>
    </row>
    <row r="32" spans="1:5" ht="13.5" customHeight="1" x14ac:dyDescent="0.2">
      <c r="A32" s="60">
        <v>23</v>
      </c>
      <c r="B32" s="33">
        <f t="shared" si="1"/>
        <v>19396022</v>
      </c>
      <c r="C32" s="32">
        <v>19403148</v>
      </c>
      <c r="D32" s="38">
        <f t="shared" si="0"/>
        <v>7126</v>
      </c>
      <c r="E32" s="35"/>
    </row>
    <row r="33" spans="1:5" ht="13.5" customHeight="1" x14ac:dyDescent="0.2">
      <c r="A33" s="61">
        <v>24</v>
      </c>
      <c r="B33" s="33">
        <f t="shared" si="1"/>
        <v>19403148</v>
      </c>
      <c r="C33" s="32">
        <v>19411193</v>
      </c>
      <c r="D33" s="38">
        <f t="shared" si="0"/>
        <v>8045</v>
      </c>
      <c r="E33" s="35"/>
    </row>
    <row r="34" spans="1:5" ht="13.5" customHeight="1" x14ac:dyDescent="0.2">
      <c r="A34" s="60">
        <v>25</v>
      </c>
      <c r="B34" s="33">
        <f t="shared" si="1"/>
        <v>19411193</v>
      </c>
      <c r="C34" s="32">
        <v>19415952</v>
      </c>
      <c r="D34" s="38">
        <f t="shared" si="0"/>
        <v>4759</v>
      </c>
      <c r="E34" s="35"/>
    </row>
    <row r="35" spans="1:5" s="3" customFormat="1" ht="13.5" customHeight="1" x14ac:dyDescent="0.2">
      <c r="A35" s="227">
        <v>26</v>
      </c>
      <c r="B35" s="33">
        <f t="shared" si="1"/>
        <v>19415952</v>
      </c>
      <c r="C35" s="32">
        <v>19423646</v>
      </c>
      <c r="D35" s="38">
        <f t="shared" si="0"/>
        <v>7694</v>
      </c>
      <c r="E35" s="35"/>
    </row>
    <row r="36" spans="1:5" ht="13.5" customHeight="1" x14ac:dyDescent="0.2">
      <c r="A36" s="60">
        <v>27</v>
      </c>
      <c r="B36" s="33">
        <f t="shared" si="1"/>
        <v>19423646</v>
      </c>
      <c r="C36" s="32">
        <v>19431325</v>
      </c>
      <c r="D36" s="38">
        <f t="shared" si="0"/>
        <v>7679</v>
      </c>
      <c r="E36" s="48"/>
    </row>
    <row r="37" spans="1:5" ht="13.5" customHeight="1" x14ac:dyDescent="0.2">
      <c r="A37" s="61">
        <v>28</v>
      </c>
      <c r="B37" s="33">
        <f t="shared" si="1"/>
        <v>19431325</v>
      </c>
      <c r="C37" s="32">
        <v>19438517</v>
      </c>
      <c r="D37" s="38">
        <f t="shared" si="0"/>
        <v>7192</v>
      </c>
      <c r="E37" s="48"/>
    </row>
    <row r="38" spans="1:5" ht="13.5" customHeight="1" x14ac:dyDescent="0.2">
      <c r="A38" s="61">
        <v>29</v>
      </c>
      <c r="B38" s="33">
        <f t="shared" si="1"/>
        <v>19438517</v>
      </c>
      <c r="C38" s="32">
        <v>19445798</v>
      </c>
      <c r="D38" s="38">
        <f t="shared" si="0"/>
        <v>7281</v>
      </c>
      <c r="E38" s="48"/>
    </row>
    <row r="39" spans="1:5" ht="13.5" customHeight="1" x14ac:dyDescent="0.2">
      <c r="A39" s="61">
        <v>30</v>
      </c>
      <c r="B39" s="33">
        <f t="shared" si="1"/>
        <v>19445798</v>
      </c>
      <c r="C39" s="32"/>
      <c r="D39" s="38">
        <f t="shared" si="0"/>
        <v>0</v>
      </c>
      <c r="E39" s="48"/>
    </row>
    <row r="40" spans="1:5" ht="13.5" customHeight="1" x14ac:dyDescent="0.2">
      <c r="A40" s="61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s="57" t="s">
        <v>7</v>
      </c>
      <c r="D41" s="49">
        <f>SUM(D10:D40)</f>
        <v>175154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D36" sqref="D36"/>
    </sheetView>
  </sheetViews>
  <sheetFormatPr defaultRowHeight="12.75" x14ac:dyDescent="0.2"/>
  <cols>
    <col min="1" max="1" width="10.140625" bestFit="1" customWidth="1"/>
    <col min="2" max="2" width="13.85546875" style="284" customWidth="1"/>
    <col min="3" max="3" width="10.7109375" style="284" customWidth="1"/>
    <col min="4" max="4" width="12.42578125" style="284" customWidth="1"/>
    <col min="5" max="5" width="5.85546875" customWidth="1"/>
    <col min="6" max="6" width="12.85546875" customWidth="1"/>
    <col min="7" max="7" width="12.85546875" style="284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66" t="s">
        <v>155</v>
      </c>
      <c r="B1" s="367"/>
      <c r="C1" s="367"/>
      <c r="D1" s="368"/>
      <c r="F1" s="372" t="s">
        <v>158</v>
      </c>
      <c r="G1" s="373"/>
      <c r="H1" s="374"/>
    </row>
    <row r="2" spans="1:13" x14ac:dyDescent="0.2">
      <c r="A2" s="286">
        <f>'GENSET #5'!A6</f>
        <v>44531</v>
      </c>
      <c r="B2" s="294"/>
      <c r="C2" s="294"/>
      <c r="D2" s="287"/>
      <c r="F2" s="375"/>
      <c r="G2" s="376"/>
      <c r="H2" s="377"/>
    </row>
    <row r="3" spans="1:13" x14ac:dyDescent="0.2">
      <c r="A3" s="291"/>
      <c r="B3" s="292"/>
      <c r="C3" s="292"/>
      <c r="D3" s="293" t="s">
        <v>38</v>
      </c>
      <c r="E3" s="285"/>
      <c r="F3" s="369" t="s">
        <v>58</v>
      </c>
      <c r="G3" s="370"/>
      <c r="H3" s="371"/>
    </row>
    <row r="4" spans="1:13" s="18" customFormat="1" ht="34.5" customHeight="1" x14ac:dyDescent="0.2">
      <c r="A4" s="295" t="s">
        <v>39</v>
      </c>
      <c r="B4" s="295" t="s">
        <v>40</v>
      </c>
      <c r="C4" s="295" t="s">
        <v>41</v>
      </c>
      <c r="D4" s="296" t="s">
        <v>156</v>
      </c>
      <c r="E4" s="297"/>
      <c r="F4" s="298" t="s">
        <v>49</v>
      </c>
      <c r="G4" s="298" t="s">
        <v>50</v>
      </c>
      <c r="H4" s="299" t="s">
        <v>157</v>
      </c>
      <c r="J4" s="290" t="s">
        <v>63</v>
      </c>
      <c r="L4" s="364" t="s">
        <v>64</v>
      </c>
      <c r="M4" s="365"/>
    </row>
    <row r="5" spans="1:13" x14ac:dyDescent="0.2">
      <c r="A5" s="99">
        <v>1</v>
      </c>
      <c r="B5" s="62">
        <v>45413760</v>
      </c>
      <c r="C5" s="288">
        <v>45420810</v>
      </c>
      <c r="D5" s="288">
        <f>MAX(0,C5-B5)</f>
        <v>7050</v>
      </c>
      <c r="F5" s="283">
        <v>910600</v>
      </c>
      <c r="G5" s="283">
        <v>915450</v>
      </c>
      <c r="H5" s="283">
        <f>MAX(0,G5-F5)</f>
        <v>4850</v>
      </c>
      <c r="J5" s="97">
        <f>D5/200</f>
        <v>35.25</v>
      </c>
      <c r="L5" s="8">
        <f>2.68*D5</f>
        <v>18894</v>
      </c>
      <c r="M5" s="8">
        <f>L5/1000</f>
        <v>18.893999999999998</v>
      </c>
    </row>
    <row r="6" spans="1:13" x14ac:dyDescent="0.2">
      <c r="A6" s="99">
        <v>2</v>
      </c>
      <c r="B6" s="62">
        <f>C5</f>
        <v>45420810</v>
      </c>
      <c r="C6" s="62">
        <v>45428160</v>
      </c>
      <c r="D6" s="288">
        <f t="shared" ref="D6:D35" si="0">MAX(0,C6-B6)</f>
        <v>7350</v>
      </c>
      <c r="F6" s="283">
        <f>G5</f>
        <v>915450</v>
      </c>
      <c r="G6" s="283">
        <v>917310</v>
      </c>
      <c r="H6" s="283">
        <f t="shared" ref="H6:H35" si="1">MAX(0,G6-F6)</f>
        <v>1860</v>
      </c>
      <c r="J6" s="97">
        <f t="shared" ref="J6:J34" si="2">D6/200</f>
        <v>36.75</v>
      </c>
      <c r="L6" s="8">
        <f t="shared" ref="L6:L36" si="3">2.68*D6</f>
        <v>19698</v>
      </c>
      <c r="M6" s="8">
        <f t="shared" ref="M6:M36" si="4">L6/1000</f>
        <v>19.698</v>
      </c>
    </row>
    <row r="7" spans="1:13" x14ac:dyDescent="0.2">
      <c r="A7" s="99">
        <v>3</v>
      </c>
      <c r="B7" s="62">
        <f t="shared" ref="B7:B35" si="5">C6</f>
        <v>45428160</v>
      </c>
      <c r="C7" s="62">
        <v>45435500</v>
      </c>
      <c r="D7" s="288">
        <f t="shared" si="0"/>
        <v>7340</v>
      </c>
      <c r="F7" s="283">
        <f t="shared" ref="F7:F35" si="6">G6</f>
        <v>917310</v>
      </c>
      <c r="G7" s="283">
        <v>919290</v>
      </c>
      <c r="H7" s="283">
        <f t="shared" si="1"/>
        <v>1980</v>
      </c>
      <c r="J7" s="97">
        <f t="shared" si="2"/>
        <v>36.700000000000003</v>
      </c>
      <c r="L7" s="8">
        <f t="shared" si="3"/>
        <v>19671.2</v>
      </c>
      <c r="M7" s="8">
        <f t="shared" si="4"/>
        <v>19.671200000000002</v>
      </c>
    </row>
    <row r="8" spans="1:13" x14ac:dyDescent="0.2">
      <c r="A8" s="99">
        <v>4</v>
      </c>
      <c r="B8" s="62">
        <f t="shared" si="5"/>
        <v>45435500</v>
      </c>
      <c r="C8" s="62">
        <v>45442950</v>
      </c>
      <c r="D8" s="288">
        <f t="shared" si="0"/>
        <v>7450</v>
      </c>
      <c r="F8" s="283">
        <f t="shared" si="6"/>
        <v>919290</v>
      </c>
      <c r="G8" s="283">
        <v>920190</v>
      </c>
      <c r="H8" s="283">
        <f t="shared" si="1"/>
        <v>900</v>
      </c>
      <c r="J8" s="97">
        <f t="shared" si="2"/>
        <v>37.25</v>
      </c>
      <c r="L8" s="8">
        <f t="shared" si="3"/>
        <v>19966</v>
      </c>
      <c r="M8" s="8">
        <f t="shared" si="4"/>
        <v>19.966000000000001</v>
      </c>
    </row>
    <row r="9" spans="1:13" x14ac:dyDescent="0.2">
      <c r="A9" s="99">
        <v>5</v>
      </c>
      <c r="B9" s="62">
        <f t="shared" si="5"/>
        <v>45442950</v>
      </c>
      <c r="C9" s="62">
        <v>45450100</v>
      </c>
      <c r="D9" s="288">
        <f t="shared" si="0"/>
        <v>7150</v>
      </c>
      <c r="F9" s="283">
        <f t="shared" si="6"/>
        <v>920190</v>
      </c>
      <c r="G9" s="283">
        <v>923100</v>
      </c>
      <c r="H9" s="283">
        <f t="shared" si="1"/>
        <v>2910</v>
      </c>
      <c r="J9" s="97">
        <f t="shared" si="2"/>
        <v>35.75</v>
      </c>
      <c r="L9" s="8">
        <f t="shared" si="3"/>
        <v>19162</v>
      </c>
      <c r="M9" s="8">
        <f t="shared" si="4"/>
        <v>19.161999999999999</v>
      </c>
    </row>
    <row r="10" spans="1:13" x14ac:dyDescent="0.2">
      <c r="A10" s="99">
        <v>6</v>
      </c>
      <c r="B10" s="62">
        <f t="shared" si="5"/>
        <v>45450100</v>
      </c>
      <c r="C10" s="62">
        <v>45457250</v>
      </c>
      <c r="D10" s="288">
        <f t="shared" si="0"/>
        <v>7150</v>
      </c>
      <c r="F10" s="283">
        <f t="shared" si="6"/>
        <v>923100</v>
      </c>
      <c r="G10" s="283">
        <v>925470</v>
      </c>
      <c r="H10" s="283">
        <f t="shared" si="1"/>
        <v>2370</v>
      </c>
      <c r="J10" s="97">
        <f t="shared" si="2"/>
        <v>35.75</v>
      </c>
      <c r="L10" s="8">
        <f t="shared" si="3"/>
        <v>19162</v>
      </c>
      <c r="M10" s="8">
        <f t="shared" si="4"/>
        <v>19.161999999999999</v>
      </c>
    </row>
    <row r="11" spans="1:13" x14ac:dyDescent="0.2">
      <c r="A11" s="99">
        <v>7</v>
      </c>
      <c r="B11" s="62">
        <f t="shared" si="5"/>
        <v>45457250</v>
      </c>
      <c r="C11" s="62">
        <v>45464770</v>
      </c>
      <c r="D11" s="288">
        <f t="shared" si="0"/>
        <v>7520</v>
      </c>
      <c r="F11" s="283">
        <f t="shared" si="6"/>
        <v>925470</v>
      </c>
      <c r="G11" s="283">
        <v>929000</v>
      </c>
      <c r="H11" s="283">
        <f t="shared" si="1"/>
        <v>3530</v>
      </c>
      <c r="J11" s="97">
        <f t="shared" si="2"/>
        <v>37.6</v>
      </c>
      <c r="L11" s="8">
        <f t="shared" si="3"/>
        <v>20153.600000000002</v>
      </c>
      <c r="M11" s="8">
        <f t="shared" si="4"/>
        <v>20.153600000000001</v>
      </c>
    </row>
    <row r="12" spans="1:13" x14ac:dyDescent="0.2">
      <c r="A12" s="99">
        <v>8</v>
      </c>
      <c r="B12" s="62">
        <f t="shared" si="5"/>
        <v>45464770</v>
      </c>
      <c r="C12" s="62">
        <v>45471870</v>
      </c>
      <c r="D12" s="288">
        <f t="shared" si="0"/>
        <v>7100</v>
      </c>
      <c r="F12" s="283">
        <f t="shared" si="6"/>
        <v>929000</v>
      </c>
      <c r="G12" s="283">
        <v>930040</v>
      </c>
      <c r="H12" s="283">
        <f t="shared" si="1"/>
        <v>1040</v>
      </c>
      <c r="J12" s="97">
        <f t="shared" si="2"/>
        <v>35.5</v>
      </c>
      <c r="L12" s="8">
        <f t="shared" si="3"/>
        <v>19028</v>
      </c>
      <c r="M12" s="8">
        <f t="shared" si="4"/>
        <v>19.027999999999999</v>
      </c>
    </row>
    <row r="13" spans="1:13" x14ac:dyDescent="0.2">
      <c r="A13" s="99">
        <v>9</v>
      </c>
      <c r="B13" s="62">
        <f t="shared" si="5"/>
        <v>45471870</v>
      </c>
      <c r="C13" s="62">
        <v>45478590</v>
      </c>
      <c r="D13" s="288">
        <f t="shared" si="0"/>
        <v>6720</v>
      </c>
      <c r="F13" s="283">
        <f t="shared" si="6"/>
        <v>930040</v>
      </c>
      <c r="G13" s="283">
        <v>933620</v>
      </c>
      <c r="H13" s="283">
        <f t="shared" si="1"/>
        <v>3580</v>
      </c>
      <c r="J13" s="97">
        <f t="shared" si="2"/>
        <v>33.6</v>
      </c>
      <c r="L13" s="8">
        <f t="shared" si="3"/>
        <v>18009.600000000002</v>
      </c>
      <c r="M13" s="8">
        <f t="shared" si="4"/>
        <v>18.009600000000002</v>
      </c>
    </row>
    <row r="14" spans="1:13" x14ac:dyDescent="0.2">
      <c r="A14" s="99">
        <v>10</v>
      </c>
      <c r="B14" s="62">
        <f t="shared" si="5"/>
        <v>45478590</v>
      </c>
      <c r="C14" s="62">
        <v>45485410</v>
      </c>
      <c r="D14" s="288">
        <f t="shared" si="0"/>
        <v>6820</v>
      </c>
      <c r="F14" s="283">
        <f t="shared" si="6"/>
        <v>933620</v>
      </c>
      <c r="G14" s="283">
        <v>934310</v>
      </c>
      <c r="H14" s="283">
        <f t="shared" si="1"/>
        <v>690</v>
      </c>
      <c r="J14" s="97">
        <f t="shared" si="2"/>
        <v>34.1</v>
      </c>
      <c r="L14" s="8">
        <f t="shared" si="3"/>
        <v>18277.600000000002</v>
      </c>
      <c r="M14" s="8">
        <f t="shared" si="4"/>
        <v>18.277600000000003</v>
      </c>
    </row>
    <row r="15" spans="1:13" x14ac:dyDescent="0.2">
      <c r="A15" s="99">
        <v>11</v>
      </c>
      <c r="B15" s="62">
        <f t="shared" si="5"/>
        <v>45485410</v>
      </c>
      <c r="C15" s="62">
        <v>45492700</v>
      </c>
      <c r="D15" s="288">
        <f t="shared" si="0"/>
        <v>7290</v>
      </c>
      <c r="F15" s="283">
        <f t="shared" si="6"/>
        <v>934310</v>
      </c>
      <c r="G15" s="283">
        <v>936640</v>
      </c>
      <c r="H15" s="283">
        <f t="shared" si="1"/>
        <v>2330</v>
      </c>
      <c r="J15" s="97">
        <f t="shared" si="2"/>
        <v>36.450000000000003</v>
      </c>
      <c r="L15" s="8">
        <f t="shared" si="3"/>
        <v>19537.2</v>
      </c>
      <c r="M15" s="8">
        <f t="shared" si="4"/>
        <v>19.537200000000002</v>
      </c>
    </row>
    <row r="16" spans="1:13" x14ac:dyDescent="0.2">
      <c r="A16" s="99">
        <v>12</v>
      </c>
      <c r="B16" s="62">
        <f t="shared" si="5"/>
        <v>45492700</v>
      </c>
      <c r="C16" s="62">
        <v>45499880</v>
      </c>
      <c r="D16" s="288">
        <f t="shared" si="0"/>
        <v>7180</v>
      </c>
      <c r="F16" s="283">
        <f t="shared" si="6"/>
        <v>936640</v>
      </c>
      <c r="G16" s="283">
        <v>937180</v>
      </c>
      <c r="H16" s="283">
        <f t="shared" si="1"/>
        <v>540</v>
      </c>
      <c r="J16" s="97">
        <f t="shared" si="2"/>
        <v>35.9</v>
      </c>
      <c r="L16" s="8">
        <f t="shared" si="3"/>
        <v>19242.400000000001</v>
      </c>
      <c r="M16" s="8">
        <f t="shared" si="4"/>
        <v>19.2424</v>
      </c>
    </row>
    <row r="17" spans="1:13" x14ac:dyDescent="0.2">
      <c r="A17" s="99">
        <v>13</v>
      </c>
      <c r="B17" s="62">
        <f t="shared" si="5"/>
        <v>45499880</v>
      </c>
      <c r="C17" s="62">
        <v>45506990</v>
      </c>
      <c r="D17" s="288">
        <f t="shared" si="0"/>
        <v>7110</v>
      </c>
      <c r="F17" s="283">
        <f t="shared" si="6"/>
        <v>937180</v>
      </c>
      <c r="G17" s="283">
        <v>938486</v>
      </c>
      <c r="H17" s="283">
        <f t="shared" si="1"/>
        <v>1306</v>
      </c>
      <c r="J17" s="97">
        <f t="shared" si="2"/>
        <v>35.549999999999997</v>
      </c>
      <c r="L17" s="8">
        <f t="shared" si="3"/>
        <v>19054.800000000003</v>
      </c>
      <c r="M17" s="8">
        <f t="shared" si="4"/>
        <v>19.054800000000004</v>
      </c>
    </row>
    <row r="18" spans="1:13" x14ac:dyDescent="0.2">
      <c r="A18" s="99">
        <v>14</v>
      </c>
      <c r="B18" s="62">
        <f t="shared" si="5"/>
        <v>45506990</v>
      </c>
      <c r="C18" s="62">
        <v>45513880</v>
      </c>
      <c r="D18" s="288">
        <f t="shared" si="0"/>
        <v>6890</v>
      </c>
      <c r="F18" s="283">
        <f t="shared" si="6"/>
        <v>938486</v>
      </c>
      <c r="G18" s="283">
        <v>939440</v>
      </c>
      <c r="H18" s="283">
        <f t="shared" si="1"/>
        <v>954</v>
      </c>
      <c r="J18" s="97">
        <f t="shared" si="2"/>
        <v>34.450000000000003</v>
      </c>
      <c r="L18" s="8">
        <f t="shared" si="3"/>
        <v>18465.2</v>
      </c>
      <c r="M18" s="8">
        <f t="shared" si="4"/>
        <v>18.465199999999999</v>
      </c>
    </row>
    <row r="19" spans="1:13" x14ac:dyDescent="0.2">
      <c r="A19" s="99">
        <v>15</v>
      </c>
      <c r="B19" s="62">
        <f t="shared" si="5"/>
        <v>45513880</v>
      </c>
      <c r="C19" s="62">
        <v>45521110</v>
      </c>
      <c r="D19" s="288">
        <f t="shared" si="0"/>
        <v>7230</v>
      </c>
      <c r="F19" s="283">
        <f t="shared" si="6"/>
        <v>939440</v>
      </c>
      <c r="G19" s="283">
        <v>940179</v>
      </c>
      <c r="H19" s="283">
        <f t="shared" si="1"/>
        <v>739</v>
      </c>
      <c r="J19" s="97">
        <f t="shared" si="2"/>
        <v>36.15</v>
      </c>
      <c r="L19" s="8">
        <f t="shared" si="3"/>
        <v>19376.400000000001</v>
      </c>
      <c r="M19" s="8">
        <f t="shared" si="4"/>
        <v>19.3764</v>
      </c>
    </row>
    <row r="20" spans="1:13" x14ac:dyDescent="0.2">
      <c r="A20" s="99">
        <v>16</v>
      </c>
      <c r="B20" s="62">
        <f t="shared" si="5"/>
        <v>45521110</v>
      </c>
      <c r="C20" s="62">
        <v>45528520</v>
      </c>
      <c r="D20" s="288">
        <f t="shared" si="0"/>
        <v>7410</v>
      </c>
      <c r="F20" s="283">
        <f t="shared" si="6"/>
        <v>940179</v>
      </c>
      <c r="G20" s="283">
        <v>942830</v>
      </c>
      <c r="H20" s="283">
        <f t="shared" si="1"/>
        <v>2651</v>
      </c>
      <c r="J20" s="97">
        <f t="shared" si="2"/>
        <v>37.049999999999997</v>
      </c>
      <c r="L20" s="8">
        <f t="shared" si="3"/>
        <v>19858.800000000003</v>
      </c>
      <c r="M20" s="8">
        <f t="shared" si="4"/>
        <v>19.858800000000002</v>
      </c>
    </row>
    <row r="21" spans="1:13" x14ac:dyDescent="0.2">
      <c r="A21" s="99">
        <v>17</v>
      </c>
      <c r="B21" s="62">
        <f t="shared" si="5"/>
        <v>45528520</v>
      </c>
      <c r="C21" s="62">
        <v>45536440</v>
      </c>
      <c r="D21" s="288">
        <f t="shared" si="0"/>
        <v>7920</v>
      </c>
      <c r="F21" s="283">
        <f t="shared" si="6"/>
        <v>942830</v>
      </c>
      <c r="G21" s="283">
        <v>943370</v>
      </c>
      <c r="H21" s="283">
        <f t="shared" si="1"/>
        <v>540</v>
      </c>
      <c r="J21" s="97">
        <f t="shared" si="2"/>
        <v>39.6</v>
      </c>
      <c r="L21" s="8">
        <f t="shared" si="3"/>
        <v>21225.600000000002</v>
      </c>
      <c r="M21" s="8">
        <f t="shared" si="4"/>
        <v>21.225600000000004</v>
      </c>
    </row>
    <row r="22" spans="1:13" x14ac:dyDescent="0.2">
      <c r="A22" s="99">
        <v>18</v>
      </c>
      <c r="B22" s="62">
        <f t="shared" si="5"/>
        <v>45536440</v>
      </c>
      <c r="C22" s="62">
        <v>45544330</v>
      </c>
      <c r="D22" s="288">
        <f t="shared" si="0"/>
        <v>7890</v>
      </c>
      <c r="F22" s="283">
        <f t="shared" si="6"/>
        <v>943370</v>
      </c>
      <c r="G22" s="283">
        <v>944580</v>
      </c>
      <c r="H22" s="283">
        <f t="shared" si="1"/>
        <v>1210</v>
      </c>
      <c r="J22" s="97">
        <f t="shared" si="2"/>
        <v>39.450000000000003</v>
      </c>
      <c r="L22" s="8">
        <f t="shared" si="3"/>
        <v>21145.200000000001</v>
      </c>
      <c r="M22" s="8">
        <f t="shared" si="4"/>
        <v>21.145199999999999</v>
      </c>
    </row>
    <row r="23" spans="1:13" x14ac:dyDescent="0.2">
      <c r="A23" s="99">
        <v>19</v>
      </c>
      <c r="B23" s="62">
        <f t="shared" si="5"/>
        <v>45544330</v>
      </c>
      <c r="C23" s="62">
        <v>45552230</v>
      </c>
      <c r="D23" s="288">
        <f t="shared" si="0"/>
        <v>7900</v>
      </c>
      <c r="F23" s="283">
        <f t="shared" si="6"/>
        <v>944580</v>
      </c>
      <c r="G23" s="283">
        <v>944580</v>
      </c>
      <c r="H23" s="283">
        <f t="shared" si="1"/>
        <v>0</v>
      </c>
      <c r="J23" s="97">
        <f t="shared" si="2"/>
        <v>39.5</v>
      </c>
      <c r="L23" s="8">
        <f t="shared" si="3"/>
        <v>21172</v>
      </c>
      <c r="M23" s="8">
        <f t="shared" si="4"/>
        <v>21.172000000000001</v>
      </c>
    </row>
    <row r="24" spans="1:13" x14ac:dyDescent="0.2">
      <c r="A24" s="99">
        <v>20</v>
      </c>
      <c r="B24" s="62">
        <f t="shared" si="5"/>
        <v>45552230</v>
      </c>
      <c r="C24" s="62">
        <v>45560570</v>
      </c>
      <c r="D24" s="288">
        <f t="shared" si="0"/>
        <v>8340</v>
      </c>
      <c r="F24" s="283">
        <f t="shared" si="6"/>
        <v>944580</v>
      </c>
      <c r="G24" s="283">
        <v>948140</v>
      </c>
      <c r="H24" s="283">
        <f t="shared" si="1"/>
        <v>3560</v>
      </c>
      <c r="J24" s="97">
        <f t="shared" si="2"/>
        <v>41.7</v>
      </c>
      <c r="L24" s="8">
        <f t="shared" si="3"/>
        <v>22351.200000000001</v>
      </c>
      <c r="M24" s="8">
        <f t="shared" si="4"/>
        <v>22.351200000000002</v>
      </c>
    </row>
    <row r="25" spans="1:13" x14ac:dyDescent="0.2">
      <c r="A25" s="99">
        <v>21</v>
      </c>
      <c r="B25" s="62">
        <f t="shared" si="5"/>
        <v>45560570</v>
      </c>
      <c r="C25" s="62">
        <v>45569200</v>
      </c>
      <c r="D25" s="288">
        <f t="shared" si="0"/>
        <v>8630</v>
      </c>
      <c r="F25" s="283">
        <f t="shared" si="6"/>
        <v>948140</v>
      </c>
      <c r="G25" s="283">
        <v>949060</v>
      </c>
      <c r="H25" s="283">
        <f t="shared" si="1"/>
        <v>920</v>
      </c>
      <c r="J25" s="97">
        <f t="shared" si="2"/>
        <v>43.15</v>
      </c>
      <c r="L25" s="8">
        <f t="shared" si="3"/>
        <v>23128.400000000001</v>
      </c>
      <c r="M25" s="8">
        <f t="shared" si="4"/>
        <v>23.128400000000003</v>
      </c>
    </row>
    <row r="26" spans="1:13" x14ac:dyDescent="0.2">
      <c r="A26" s="99">
        <v>22</v>
      </c>
      <c r="B26" s="62">
        <f t="shared" si="5"/>
        <v>45569200</v>
      </c>
      <c r="C26" s="62">
        <v>45577460</v>
      </c>
      <c r="D26" s="288">
        <f t="shared" si="0"/>
        <v>8260</v>
      </c>
      <c r="F26" s="283">
        <f t="shared" si="6"/>
        <v>949060</v>
      </c>
      <c r="G26" s="283">
        <v>949830</v>
      </c>
      <c r="H26" s="283">
        <f t="shared" si="1"/>
        <v>770</v>
      </c>
      <c r="J26" s="97">
        <f t="shared" si="2"/>
        <v>41.3</v>
      </c>
      <c r="L26" s="8">
        <f t="shared" si="3"/>
        <v>22136.800000000003</v>
      </c>
      <c r="M26" s="8">
        <f t="shared" si="4"/>
        <v>22.136800000000004</v>
      </c>
    </row>
    <row r="27" spans="1:13" x14ac:dyDescent="0.2">
      <c r="A27" s="99">
        <v>23</v>
      </c>
      <c r="B27" s="62">
        <f t="shared" si="5"/>
        <v>45577460</v>
      </c>
      <c r="C27" s="62">
        <v>45585780</v>
      </c>
      <c r="D27" s="288">
        <f t="shared" si="0"/>
        <v>8320</v>
      </c>
      <c r="F27" s="283">
        <f t="shared" si="6"/>
        <v>949830</v>
      </c>
      <c r="G27" s="283">
        <v>955600</v>
      </c>
      <c r="H27" s="283">
        <f t="shared" si="1"/>
        <v>5770</v>
      </c>
      <c r="J27" s="97">
        <f t="shared" si="2"/>
        <v>41.6</v>
      </c>
      <c r="L27" s="8">
        <f t="shared" si="3"/>
        <v>22297.600000000002</v>
      </c>
      <c r="M27" s="8">
        <f t="shared" si="4"/>
        <v>22.297600000000003</v>
      </c>
    </row>
    <row r="28" spans="1:13" x14ac:dyDescent="0.2">
      <c r="A28" s="99">
        <v>24</v>
      </c>
      <c r="B28" s="62">
        <f t="shared" si="5"/>
        <v>45585780</v>
      </c>
      <c r="C28" s="62">
        <v>45593900</v>
      </c>
      <c r="D28" s="288">
        <f t="shared" si="0"/>
        <v>8120</v>
      </c>
      <c r="F28" s="283">
        <f t="shared" si="6"/>
        <v>955600</v>
      </c>
      <c r="G28" s="283">
        <v>956950</v>
      </c>
      <c r="H28" s="283">
        <f t="shared" si="1"/>
        <v>1350</v>
      </c>
      <c r="J28" s="97">
        <f t="shared" si="2"/>
        <v>40.6</v>
      </c>
      <c r="L28" s="8">
        <f t="shared" si="3"/>
        <v>21761.600000000002</v>
      </c>
      <c r="M28" s="8">
        <f>L28/1000</f>
        <v>21.761600000000001</v>
      </c>
    </row>
    <row r="29" spans="1:13" x14ac:dyDescent="0.2">
      <c r="A29" s="99">
        <v>25</v>
      </c>
      <c r="B29" s="62">
        <f t="shared" si="5"/>
        <v>45593900</v>
      </c>
      <c r="C29" s="62">
        <v>45602250</v>
      </c>
      <c r="D29" s="288">
        <f t="shared" si="0"/>
        <v>8350</v>
      </c>
      <c r="E29" s="87"/>
      <c r="F29" s="283">
        <f t="shared" si="6"/>
        <v>956950</v>
      </c>
      <c r="G29" s="283">
        <v>957550</v>
      </c>
      <c r="H29" s="283">
        <f t="shared" si="1"/>
        <v>600</v>
      </c>
      <c r="J29" s="97">
        <f t="shared" si="2"/>
        <v>41.75</v>
      </c>
      <c r="L29" s="8">
        <f t="shared" si="3"/>
        <v>22378</v>
      </c>
      <c r="M29" s="8">
        <f t="shared" si="4"/>
        <v>22.378</v>
      </c>
    </row>
    <row r="30" spans="1:13" x14ac:dyDescent="0.2">
      <c r="A30" s="99">
        <v>26</v>
      </c>
      <c r="B30" s="62">
        <f t="shared" si="5"/>
        <v>45602250</v>
      </c>
      <c r="C30" s="62">
        <v>45609840</v>
      </c>
      <c r="D30" s="288">
        <f t="shared" si="0"/>
        <v>7590</v>
      </c>
      <c r="F30" s="283">
        <f t="shared" si="6"/>
        <v>957550</v>
      </c>
      <c r="G30" s="283">
        <v>958340</v>
      </c>
      <c r="H30" s="283">
        <f t="shared" si="1"/>
        <v>790</v>
      </c>
      <c r="J30" s="97">
        <f t="shared" si="2"/>
        <v>37.950000000000003</v>
      </c>
      <c r="L30" s="8">
        <f t="shared" si="3"/>
        <v>20341.2</v>
      </c>
      <c r="M30" s="8">
        <f t="shared" si="4"/>
        <v>20.341200000000001</v>
      </c>
    </row>
    <row r="31" spans="1:13" x14ac:dyDescent="0.2">
      <c r="A31" s="99">
        <v>27</v>
      </c>
      <c r="B31" s="62">
        <f t="shared" si="5"/>
        <v>45609840</v>
      </c>
      <c r="C31" s="62">
        <v>45617810</v>
      </c>
      <c r="D31" s="288">
        <f t="shared" si="0"/>
        <v>7970</v>
      </c>
      <c r="F31" s="283">
        <f t="shared" si="6"/>
        <v>958340</v>
      </c>
      <c r="G31" s="283">
        <v>958480</v>
      </c>
      <c r="H31" s="283">
        <f t="shared" si="1"/>
        <v>140</v>
      </c>
      <c r="J31" s="97">
        <f t="shared" si="2"/>
        <v>39.85</v>
      </c>
      <c r="L31" s="8">
        <f t="shared" si="3"/>
        <v>21359.600000000002</v>
      </c>
      <c r="M31" s="8">
        <f t="shared" si="4"/>
        <v>21.359600000000004</v>
      </c>
    </row>
    <row r="32" spans="1:13" x14ac:dyDescent="0.2">
      <c r="A32" s="99">
        <v>28</v>
      </c>
      <c r="B32" s="62">
        <f t="shared" si="5"/>
        <v>45617810</v>
      </c>
      <c r="C32" s="62">
        <v>45625920</v>
      </c>
      <c r="D32" s="288">
        <f t="shared" si="0"/>
        <v>8110</v>
      </c>
      <c r="F32" s="283">
        <f t="shared" si="6"/>
        <v>958480</v>
      </c>
      <c r="G32" s="283">
        <v>963820</v>
      </c>
      <c r="H32" s="283">
        <f t="shared" si="1"/>
        <v>5340</v>
      </c>
      <c r="J32" s="97">
        <f t="shared" si="2"/>
        <v>40.549999999999997</v>
      </c>
      <c r="L32" s="8">
        <f t="shared" si="3"/>
        <v>21734.800000000003</v>
      </c>
      <c r="M32" s="8">
        <f t="shared" si="4"/>
        <v>21.734800000000003</v>
      </c>
    </row>
    <row r="33" spans="1:13" x14ac:dyDescent="0.2">
      <c r="A33" s="99">
        <v>29</v>
      </c>
      <c r="B33" s="62">
        <f t="shared" si="5"/>
        <v>45625920</v>
      </c>
      <c r="C33" s="62">
        <v>45634040</v>
      </c>
      <c r="D33" s="288">
        <f t="shared" si="0"/>
        <v>8120</v>
      </c>
      <c r="F33" s="283">
        <f t="shared" si="6"/>
        <v>963820</v>
      </c>
      <c r="G33" s="283">
        <v>963820</v>
      </c>
      <c r="H33" s="283">
        <f t="shared" si="1"/>
        <v>0</v>
      </c>
      <c r="J33" s="97">
        <f t="shared" si="2"/>
        <v>40.6</v>
      </c>
      <c r="L33" s="8">
        <f t="shared" si="3"/>
        <v>21761.600000000002</v>
      </c>
      <c r="M33" s="8">
        <f t="shared" si="4"/>
        <v>21.761600000000001</v>
      </c>
    </row>
    <row r="34" spans="1:13" x14ac:dyDescent="0.2">
      <c r="A34" s="99">
        <v>30</v>
      </c>
      <c r="B34" s="62">
        <f t="shared" si="5"/>
        <v>45634040</v>
      </c>
      <c r="C34" s="62"/>
      <c r="D34" s="288">
        <f t="shared" si="0"/>
        <v>0</v>
      </c>
      <c r="F34" s="283">
        <f t="shared" si="6"/>
        <v>963820</v>
      </c>
      <c r="G34" s="283"/>
      <c r="H34" s="283">
        <f t="shared" si="1"/>
        <v>0</v>
      </c>
      <c r="J34" s="97">
        <f t="shared" si="2"/>
        <v>0</v>
      </c>
      <c r="L34" s="8">
        <f t="shared" si="3"/>
        <v>0</v>
      </c>
      <c r="M34" s="8">
        <f t="shared" si="4"/>
        <v>0</v>
      </c>
    </row>
    <row r="35" spans="1:13" x14ac:dyDescent="0.2">
      <c r="A35" s="99">
        <v>31</v>
      </c>
      <c r="B35" s="62">
        <f t="shared" si="5"/>
        <v>0</v>
      </c>
      <c r="C35" s="62"/>
      <c r="D35" s="288">
        <f t="shared" si="0"/>
        <v>0</v>
      </c>
      <c r="F35" s="283">
        <f t="shared" si="6"/>
        <v>0</v>
      </c>
      <c r="G35" s="283"/>
      <c r="H35" s="283">
        <f t="shared" si="1"/>
        <v>0</v>
      </c>
      <c r="J35" s="97"/>
      <c r="L35" s="8"/>
      <c r="M35" s="8"/>
    </row>
    <row r="36" spans="1:13" ht="13.5" thickBot="1" x14ac:dyDescent="0.25">
      <c r="D36" s="289">
        <f>SUM(D5:D35)</f>
        <v>220280</v>
      </c>
      <c r="F36" s="95"/>
      <c r="G36" s="305"/>
      <c r="H36" s="283"/>
      <c r="J36" s="97">
        <f>SUM(J5:J34)</f>
        <v>1101.4000000000001</v>
      </c>
      <c r="L36" s="8">
        <f t="shared" si="3"/>
        <v>590350.4</v>
      </c>
      <c r="M36" s="8">
        <f t="shared" si="4"/>
        <v>590.35040000000004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topLeftCell="A9" zoomScaleNormal="100" workbookViewId="0">
      <selection activeCell="Q44" sqref="Q44"/>
    </sheetView>
  </sheetViews>
  <sheetFormatPr defaultRowHeight="12.75" x14ac:dyDescent="0.2"/>
  <cols>
    <col min="1" max="1" width="5.28515625" style="131" customWidth="1"/>
    <col min="2" max="2" width="12.7109375" customWidth="1"/>
    <col min="3" max="3" width="9.85546875" customWidth="1"/>
    <col min="4" max="4" width="16.140625" style="2" customWidth="1"/>
    <col min="5" max="5" width="16.28515625" style="228" customWidth="1"/>
    <col min="6" max="6" width="13.28515625" customWidth="1"/>
    <col min="10" max="10" width="12" bestFit="1" customWidth="1"/>
  </cols>
  <sheetData>
    <row r="1" spans="1:11" ht="6.75" customHeight="1" x14ac:dyDescent="0.2">
      <c r="B1" s="18"/>
      <c r="C1" s="358"/>
      <c r="D1" s="358"/>
    </row>
    <row r="2" spans="1:11" hidden="1" x14ac:dyDescent="0.2">
      <c r="B2" s="18"/>
      <c r="C2" s="358"/>
      <c r="D2" s="358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0"/>
      <c r="B5" s="74">
        <f>'Diesel consumption'!A2</f>
        <v>44531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01"/>
      <c r="B7" s="378" t="s">
        <v>189</v>
      </c>
      <c r="C7" s="379"/>
      <c r="D7" s="379"/>
      <c r="E7" s="379"/>
      <c r="F7" s="379"/>
    </row>
    <row r="8" spans="1:11" ht="38.25" x14ac:dyDescent="0.2">
      <c r="A8" s="301" t="s">
        <v>5</v>
      </c>
      <c r="B8" s="302" t="s">
        <v>19</v>
      </c>
      <c r="C8" s="303" t="s">
        <v>20</v>
      </c>
      <c r="D8" s="304" t="s">
        <v>29</v>
      </c>
      <c r="E8" s="302" t="s">
        <v>124</v>
      </c>
      <c r="F8" s="302" t="s">
        <v>188</v>
      </c>
    </row>
    <row r="9" spans="1:11" x14ac:dyDescent="0.2">
      <c r="A9" s="300">
        <v>1</v>
      </c>
      <c r="B9" s="33">
        <v>3182638</v>
      </c>
      <c r="C9" s="33">
        <v>3185724</v>
      </c>
      <c r="D9" s="68">
        <f>MAX(0,C9-B9)</f>
        <v>3086</v>
      </c>
      <c r="E9" s="347" t="s">
        <v>194</v>
      </c>
      <c r="F9" s="338">
        <v>30</v>
      </c>
    </row>
    <row r="10" spans="1:11" x14ac:dyDescent="0.2">
      <c r="A10" s="70">
        <v>2</v>
      </c>
      <c r="B10" s="33">
        <f>C9</f>
        <v>3185724</v>
      </c>
      <c r="C10" s="33">
        <v>3188798</v>
      </c>
      <c r="D10" s="68">
        <f t="shared" ref="D10:D39" si="0">MAX(0,C10-B10)</f>
        <v>3074</v>
      </c>
      <c r="E10" s="75" t="s">
        <v>194</v>
      </c>
      <c r="F10" s="338">
        <v>30</v>
      </c>
    </row>
    <row r="11" spans="1:11" x14ac:dyDescent="0.2">
      <c r="A11" s="131">
        <v>3</v>
      </c>
      <c r="B11" s="33">
        <f t="shared" ref="B11:B39" si="1">C10</f>
        <v>3188798</v>
      </c>
      <c r="C11" s="33">
        <v>3191740</v>
      </c>
      <c r="D11" s="68">
        <f t="shared" si="0"/>
        <v>2942</v>
      </c>
      <c r="E11" s="75" t="s">
        <v>195</v>
      </c>
      <c r="F11" s="338">
        <v>27</v>
      </c>
    </row>
    <row r="12" spans="1:11" x14ac:dyDescent="0.2">
      <c r="A12" s="70">
        <v>4</v>
      </c>
      <c r="B12" s="33">
        <f t="shared" si="1"/>
        <v>3191740</v>
      </c>
      <c r="C12" s="33">
        <v>3193522</v>
      </c>
      <c r="D12" s="68">
        <f t="shared" si="0"/>
        <v>1782</v>
      </c>
      <c r="E12" s="75" t="s">
        <v>195</v>
      </c>
      <c r="F12" s="338">
        <v>27</v>
      </c>
    </row>
    <row r="13" spans="1:11" x14ac:dyDescent="0.2">
      <c r="A13" s="131">
        <v>5</v>
      </c>
      <c r="B13" s="33">
        <f t="shared" si="1"/>
        <v>3193522</v>
      </c>
      <c r="C13" s="33">
        <v>3196618</v>
      </c>
      <c r="D13" s="68">
        <f t="shared" si="0"/>
        <v>3096</v>
      </c>
      <c r="E13" s="75" t="s">
        <v>194</v>
      </c>
      <c r="F13" s="338">
        <v>30</v>
      </c>
      <c r="J13" t="s">
        <v>60</v>
      </c>
      <c r="K13" t="s">
        <v>59</v>
      </c>
    </row>
    <row r="14" spans="1:11" x14ac:dyDescent="0.2">
      <c r="A14" s="70">
        <v>6</v>
      </c>
      <c r="B14" s="33">
        <f t="shared" si="1"/>
        <v>3196618</v>
      </c>
      <c r="C14" s="33">
        <v>3199703</v>
      </c>
      <c r="D14" s="68">
        <f t="shared" si="0"/>
        <v>3085</v>
      </c>
      <c r="E14" s="75" t="s">
        <v>194</v>
      </c>
      <c r="F14" s="338">
        <v>29</v>
      </c>
      <c r="J14" s="96" t="s">
        <v>61</v>
      </c>
      <c r="K14" t="s">
        <v>62</v>
      </c>
    </row>
    <row r="15" spans="1:11" x14ac:dyDescent="0.2">
      <c r="A15" s="131">
        <v>7</v>
      </c>
      <c r="B15" s="33">
        <f t="shared" si="1"/>
        <v>3199703</v>
      </c>
      <c r="C15" s="33">
        <v>3202530</v>
      </c>
      <c r="D15" s="68">
        <f t="shared" si="0"/>
        <v>2827</v>
      </c>
      <c r="E15" s="75" t="s">
        <v>195</v>
      </c>
      <c r="F15" s="338">
        <v>28</v>
      </c>
    </row>
    <row r="16" spans="1:11" x14ac:dyDescent="0.2">
      <c r="A16" s="70">
        <v>8</v>
      </c>
      <c r="B16" s="33">
        <f t="shared" si="1"/>
        <v>3202530</v>
      </c>
      <c r="C16" s="33">
        <v>3205434</v>
      </c>
      <c r="D16" s="68">
        <f t="shared" si="0"/>
        <v>2904</v>
      </c>
      <c r="E16" s="75" t="s">
        <v>196</v>
      </c>
      <c r="F16" s="338">
        <v>29</v>
      </c>
    </row>
    <row r="17" spans="1:10" x14ac:dyDescent="0.2">
      <c r="A17" s="131">
        <v>9</v>
      </c>
      <c r="B17" s="33">
        <f t="shared" si="1"/>
        <v>3205434</v>
      </c>
      <c r="C17" s="33">
        <v>3208346</v>
      </c>
      <c r="D17" s="68">
        <f t="shared" si="0"/>
        <v>2912</v>
      </c>
      <c r="E17" s="71" t="s">
        <v>196</v>
      </c>
      <c r="F17" s="338">
        <v>27</v>
      </c>
    </row>
    <row r="18" spans="1:10" x14ac:dyDescent="0.2">
      <c r="A18" s="70">
        <v>10</v>
      </c>
      <c r="B18" s="33">
        <f t="shared" si="1"/>
        <v>3208346</v>
      </c>
      <c r="C18" s="33">
        <v>3210175</v>
      </c>
      <c r="D18" s="68">
        <f t="shared" si="0"/>
        <v>1829</v>
      </c>
      <c r="E18" s="71" t="s">
        <v>197</v>
      </c>
      <c r="F18" s="338">
        <v>27</v>
      </c>
    </row>
    <row r="19" spans="1:10" x14ac:dyDescent="0.2">
      <c r="A19" s="131">
        <v>11</v>
      </c>
      <c r="B19" s="33">
        <f t="shared" si="1"/>
        <v>3210175</v>
      </c>
      <c r="C19" s="33">
        <v>3212277</v>
      </c>
      <c r="D19" s="68">
        <f t="shared" si="0"/>
        <v>2102</v>
      </c>
      <c r="E19" s="71" t="s">
        <v>195</v>
      </c>
      <c r="F19" s="338">
        <v>28</v>
      </c>
    </row>
    <row r="20" spans="1:10" x14ac:dyDescent="0.2">
      <c r="A20" s="70">
        <v>12</v>
      </c>
      <c r="B20" s="33">
        <f t="shared" si="1"/>
        <v>3212277</v>
      </c>
      <c r="C20" s="33">
        <v>3213077</v>
      </c>
      <c r="D20" s="68">
        <f t="shared" si="0"/>
        <v>800</v>
      </c>
      <c r="E20" s="71" t="s">
        <v>197</v>
      </c>
      <c r="F20" s="338">
        <v>27</v>
      </c>
    </row>
    <row r="21" spans="1:10" x14ac:dyDescent="0.2">
      <c r="A21" s="131">
        <v>13</v>
      </c>
      <c r="B21" s="33">
        <f t="shared" si="1"/>
        <v>3213077</v>
      </c>
      <c r="C21" s="33">
        <v>3214226</v>
      </c>
      <c r="D21" s="68">
        <f t="shared" si="0"/>
        <v>1149</v>
      </c>
      <c r="E21" s="71" t="s">
        <v>195</v>
      </c>
      <c r="F21" s="338">
        <v>27</v>
      </c>
    </row>
    <row r="22" spans="1:10" x14ac:dyDescent="0.2">
      <c r="A22" s="70">
        <v>14</v>
      </c>
      <c r="B22" s="33">
        <f t="shared" si="1"/>
        <v>3214226</v>
      </c>
      <c r="C22" s="33">
        <v>3216552</v>
      </c>
      <c r="D22" s="68">
        <f t="shared" si="0"/>
        <v>2326</v>
      </c>
      <c r="E22" s="71" t="s">
        <v>195</v>
      </c>
      <c r="F22" s="338">
        <v>27</v>
      </c>
    </row>
    <row r="23" spans="1:10" x14ac:dyDescent="0.2">
      <c r="A23" s="131">
        <v>15</v>
      </c>
      <c r="B23" s="33">
        <f t="shared" si="1"/>
        <v>3216552</v>
      </c>
      <c r="C23" s="33">
        <v>3219478</v>
      </c>
      <c r="D23" s="68">
        <f t="shared" si="0"/>
        <v>2926</v>
      </c>
      <c r="E23" s="71" t="s">
        <v>195</v>
      </c>
      <c r="F23" s="338">
        <v>27</v>
      </c>
    </row>
    <row r="24" spans="1:10" x14ac:dyDescent="0.2">
      <c r="A24" s="70">
        <v>16</v>
      </c>
      <c r="B24" s="33">
        <f t="shared" si="1"/>
        <v>3219478</v>
      </c>
      <c r="C24" s="33">
        <v>3222444</v>
      </c>
      <c r="D24" s="68">
        <f t="shared" si="0"/>
        <v>2966</v>
      </c>
      <c r="E24" s="71" t="s">
        <v>195</v>
      </c>
      <c r="F24" s="338">
        <v>27</v>
      </c>
    </row>
    <row r="25" spans="1:10" x14ac:dyDescent="0.2">
      <c r="A25" s="131">
        <v>17</v>
      </c>
      <c r="B25" s="33">
        <f t="shared" si="1"/>
        <v>3222444</v>
      </c>
      <c r="C25" s="33">
        <v>3225103</v>
      </c>
      <c r="D25" s="68">
        <f t="shared" si="0"/>
        <v>2659</v>
      </c>
      <c r="E25" s="71" t="s">
        <v>195</v>
      </c>
      <c r="F25" s="338">
        <v>28</v>
      </c>
    </row>
    <row r="26" spans="1:10" x14ac:dyDescent="0.2">
      <c r="A26" s="70">
        <v>18</v>
      </c>
      <c r="B26" s="33">
        <f t="shared" si="1"/>
        <v>3225103</v>
      </c>
      <c r="C26" s="33">
        <v>3228087</v>
      </c>
      <c r="D26" s="68">
        <f t="shared" si="0"/>
        <v>2984</v>
      </c>
      <c r="E26" s="75" t="s">
        <v>195</v>
      </c>
      <c r="F26" s="338">
        <v>28</v>
      </c>
      <c r="J26" s="3" t="s">
        <v>163</v>
      </c>
    </row>
    <row r="27" spans="1:10" x14ac:dyDescent="0.2">
      <c r="A27" s="131">
        <v>19</v>
      </c>
      <c r="B27" s="33">
        <f t="shared" si="1"/>
        <v>3228087</v>
      </c>
      <c r="C27" s="33">
        <v>3230766</v>
      </c>
      <c r="D27" s="68">
        <f t="shared" si="0"/>
        <v>2679</v>
      </c>
      <c r="E27" s="75" t="s">
        <v>194</v>
      </c>
      <c r="F27" s="338">
        <v>29</v>
      </c>
    </row>
    <row r="28" spans="1:10" x14ac:dyDescent="0.2">
      <c r="A28" s="70">
        <v>20</v>
      </c>
      <c r="B28" s="33">
        <f t="shared" si="1"/>
        <v>3230766</v>
      </c>
      <c r="C28" s="33">
        <v>3233632</v>
      </c>
      <c r="D28" s="68">
        <f t="shared" si="0"/>
        <v>2866</v>
      </c>
      <c r="E28" s="75" t="s">
        <v>194</v>
      </c>
      <c r="F28" s="338">
        <v>29</v>
      </c>
    </row>
    <row r="29" spans="1:10" x14ac:dyDescent="0.2">
      <c r="A29" s="131">
        <v>21</v>
      </c>
      <c r="B29" s="33">
        <f t="shared" si="1"/>
        <v>3233632</v>
      </c>
      <c r="C29" s="33">
        <v>3236550</v>
      </c>
      <c r="D29" s="68">
        <f t="shared" si="0"/>
        <v>2918</v>
      </c>
      <c r="E29" s="75" t="s">
        <v>194</v>
      </c>
      <c r="F29" s="338">
        <v>29</v>
      </c>
    </row>
    <row r="30" spans="1:10" x14ac:dyDescent="0.2">
      <c r="A30" s="70">
        <v>22</v>
      </c>
      <c r="B30" s="33">
        <f t="shared" si="1"/>
        <v>3236550</v>
      </c>
      <c r="C30" s="33">
        <v>3239323</v>
      </c>
      <c r="D30" s="68">
        <f t="shared" si="0"/>
        <v>2773</v>
      </c>
      <c r="E30" s="75" t="s">
        <v>194</v>
      </c>
      <c r="F30" s="338">
        <v>29</v>
      </c>
    </row>
    <row r="31" spans="1:10" x14ac:dyDescent="0.2">
      <c r="A31" s="131">
        <v>23</v>
      </c>
      <c r="B31" s="33">
        <f t="shared" si="1"/>
        <v>3239323</v>
      </c>
      <c r="C31" s="33">
        <v>3242343</v>
      </c>
      <c r="D31" s="68">
        <f t="shared" si="0"/>
        <v>3020</v>
      </c>
      <c r="E31" s="75" t="s">
        <v>194</v>
      </c>
      <c r="F31" s="338">
        <v>29</v>
      </c>
    </row>
    <row r="32" spans="1:10" x14ac:dyDescent="0.2">
      <c r="A32" s="70">
        <v>24</v>
      </c>
      <c r="B32" s="33">
        <f t="shared" si="1"/>
        <v>3242343</v>
      </c>
      <c r="C32" s="94">
        <v>3245360</v>
      </c>
      <c r="D32" s="68">
        <f t="shared" si="0"/>
        <v>3017</v>
      </c>
      <c r="E32" s="71" t="s">
        <v>194</v>
      </c>
      <c r="F32" s="338">
        <v>29</v>
      </c>
    </row>
    <row r="33" spans="1:6" x14ac:dyDescent="0.2">
      <c r="A33" s="131">
        <v>25</v>
      </c>
      <c r="B33" s="33">
        <f t="shared" si="1"/>
        <v>3245360</v>
      </c>
      <c r="C33" s="33">
        <v>3248390</v>
      </c>
      <c r="D33" s="68">
        <f t="shared" si="0"/>
        <v>3030</v>
      </c>
      <c r="E33" s="71" t="s">
        <v>194</v>
      </c>
      <c r="F33" s="338">
        <v>29</v>
      </c>
    </row>
    <row r="34" spans="1:6" x14ac:dyDescent="0.2">
      <c r="A34" s="70">
        <v>26</v>
      </c>
      <c r="B34" s="33">
        <f t="shared" si="1"/>
        <v>3248390</v>
      </c>
      <c r="C34" s="33">
        <v>3251335</v>
      </c>
      <c r="D34" s="68">
        <f t="shared" si="0"/>
        <v>2945</v>
      </c>
      <c r="E34" s="71" t="s">
        <v>194</v>
      </c>
      <c r="F34" s="338">
        <v>29</v>
      </c>
    </row>
    <row r="35" spans="1:6" x14ac:dyDescent="0.2">
      <c r="A35" s="131">
        <v>27</v>
      </c>
      <c r="B35" s="33">
        <f t="shared" si="1"/>
        <v>3251335</v>
      </c>
      <c r="C35" s="33">
        <v>3254213</v>
      </c>
      <c r="D35" s="68">
        <f t="shared" si="0"/>
        <v>2878</v>
      </c>
      <c r="E35" s="71" t="s">
        <v>194</v>
      </c>
      <c r="F35" s="338">
        <v>29</v>
      </c>
    </row>
    <row r="36" spans="1:6" x14ac:dyDescent="0.2">
      <c r="A36" s="70">
        <v>28</v>
      </c>
      <c r="B36" s="33">
        <f t="shared" si="1"/>
        <v>3254213</v>
      </c>
      <c r="C36" s="33">
        <v>3257320</v>
      </c>
      <c r="D36" s="68">
        <f t="shared" si="0"/>
        <v>3107</v>
      </c>
      <c r="E36" s="71" t="s">
        <v>194</v>
      </c>
      <c r="F36" s="338">
        <v>29</v>
      </c>
    </row>
    <row r="37" spans="1:6" x14ac:dyDescent="0.2">
      <c r="A37" s="70">
        <v>29</v>
      </c>
      <c r="B37" s="33">
        <f t="shared" si="1"/>
        <v>3257320</v>
      </c>
      <c r="C37" s="33">
        <v>3260297</v>
      </c>
      <c r="D37" s="68">
        <f t="shared" si="0"/>
        <v>2977</v>
      </c>
      <c r="E37" s="71" t="s">
        <v>194</v>
      </c>
      <c r="F37" s="338">
        <v>29</v>
      </c>
    </row>
    <row r="38" spans="1:6" x14ac:dyDescent="0.2">
      <c r="A38" s="70">
        <v>30</v>
      </c>
      <c r="B38" s="33">
        <f t="shared" si="1"/>
        <v>3260297</v>
      </c>
      <c r="C38" s="33"/>
      <c r="D38" s="68">
        <f t="shared" si="0"/>
        <v>0</v>
      </c>
      <c r="E38" s="71"/>
      <c r="F38" s="338"/>
    </row>
    <row r="39" spans="1:6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29"/>
      <c r="F39" s="338"/>
    </row>
    <row r="40" spans="1:6" ht="13.5" thickBot="1" x14ac:dyDescent="0.25">
      <c r="A40" s="131" t="s">
        <v>7</v>
      </c>
      <c r="B40" s="18"/>
      <c r="C40" s="18"/>
      <c r="D40" s="69">
        <f>SUM(D9:D39)</f>
        <v>77659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R37"/>
  <sheetViews>
    <sheetView zoomScale="90" zoomScaleNormal="90" workbookViewId="0">
      <pane xSplit="2" ySplit="4" topLeftCell="EG5" activePane="bottomRight" state="frozen"/>
      <selection pane="topRight" activeCell="C1" sqref="C1"/>
      <selection pane="bottomLeft" activeCell="A5" sqref="A5"/>
      <selection pane="bottomRight" activeCell="FI33" sqref="FI33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2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  <col min="155" max="155" width="10.42578125" bestFit="1" customWidth="1"/>
    <col min="160" max="160" width="10.42578125" bestFit="1" customWidth="1"/>
    <col min="163" max="163" width="2.28515625" style="318" customWidth="1"/>
    <col min="164" max="164" width="11.28515625" style="284" bestFit="1" customWidth="1"/>
    <col min="166" max="166" width="11.28515625" bestFit="1" customWidth="1"/>
    <col min="168" max="168" width="11.28515625" bestFit="1" customWidth="1"/>
    <col min="170" max="170" width="11.28515625" style="284" bestFit="1" customWidth="1"/>
    <col min="172" max="172" width="11.28515625" style="284" bestFit="1" customWidth="1"/>
    <col min="173" max="173" width="17.28515625" customWidth="1"/>
    <col min="174" max="174" width="14.28515625" customWidth="1"/>
    <col min="175" max="175" width="11" customWidth="1"/>
  </cols>
  <sheetData>
    <row r="1" spans="1:175" s="1" customFormat="1" ht="23.25" customHeight="1" x14ac:dyDescent="0.2">
      <c r="A1" s="393">
        <f>'SOLAR METER READING'!B5</f>
        <v>44531</v>
      </c>
      <c r="B1" s="393"/>
      <c r="C1" s="393"/>
      <c r="D1" s="397"/>
      <c r="E1" s="397"/>
      <c r="F1" s="397"/>
      <c r="G1" s="397"/>
      <c r="H1" s="397"/>
      <c r="I1" s="397"/>
      <c r="J1" s="24"/>
      <c r="K1" s="245"/>
      <c r="L1" s="245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1"/>
      <c r="BU1" s="101"/>
      <c r="BZ1" s="101"/>
      <c r="CE1" s="98"/>
      <c r="FG1" s="317"/>
      <c r="FH1" s="382" t="s">
        <v>167</v>
      </c>
      <c r="FI1" s="382"/>
      <c r="FJ1" s="382"/>
      <c r="FK1" s="382"/>
      <c r="FL1" s="382"/>
      <c r="FM1" s="382"/>
      <c r="FN1" s="382"/>
      <c r="FO1" s="382"/>
      <c r="FP1" s="382"/>
      <c r="FQ1" s="382"/>
      <c r="FR1" s="382"/>
      <c r="FS1" s="382"/>
    </row>
    <row r="2" spans="1:175" ht="23.25" customHeight="1" thickBot="1" x14ac:dyDescent="0.25">
      <c r="A2" s="260" t="s">
        <v>44</v>
      </c>
      <c r="B2" s="260"/>
      <c r="FH2" s="383"/>
      <c r="FI2" s="383"/>
      <c r="FJ2" s="383"/>
      <c r="FK2" s="383"/>
      <c r="FL2" s="383"/>
      <c r="FM2" s="383"/>
      <c r="FN2" s="383"/>
      <c r="FO2" s="383"/>
      <c r="FP2" s="383"/>
      <c r="FQ2" s="383"/>
      <c r="FR2" s="383"/>
      <c r="FS2" s="383"/>
    </row>
    <row r="3" spans="1:175" s="82" customFormat="1" ht="15.75" customHeight="1" thickBot="1" x14ac:dyDescent="0.25">
      <c r="A3" s="309"/>
      <c r="B3" s="309"/>
      <c r="C3" s="394" t="s">
        <v>176</v>
      </c>
      <c r="D3" s="394"/>
      <c r="E3" s="394"/>
      <c r="F3" s="394"/>
      <c r="G3" s="394"/>
      <c r="H3" s="395" t="s">
        <v>177</v>
      </c>
      <c r="I3" s="394"/>
      <c r="J3" s="394"/>
      <c r="K3" s="394"/>
      <c r="L3" s="396"/>
      <c r="M3" s="389" t="s">
        <v>185</v>
      </c>
      <c r="N3" s="389"/>
      <c r="O3" s="389"/>
      <c r="P3" s="389"/>
      <c r="Q3" s="389"/>
      <c r="R3" s="389" t="s">
        <v>45</v>
      </c>
      <c r="S3" s="389"/>
      <c r="T3" s="389"/>
      <c r="U3" s="389"/>
      <c r="V3" s="389"/>
      <c r="W3" s="389" t="s">
        <v>46</v>
      </c>
      <c r="X3" s="389"/>
      <c r="Y3" s="389"/>
      <c r="Z3" s="389"/>
      <c r="AA3" s="389"/>
      <c r="AB3" s="389" t="s">
        <v>47</v>
      </c>
      <c r="AC3" s="389"/>
      <c r="AD3" s="389"/>
      <c r="AE3" s="389"/>
      <c r="AF3" s="389"/>
      <c r="AG3" s="389" t="s">
        <v>48</v>
      </c>
      <c r="AH3" s="389"/>
      <c r="AI3" s="389"/>
      <c r="AJ3" s="389"/>
      <c r="AK3" s="389"/>
      <c r="AL3" s="389" t="s">
        <v>178</v>
      </c>
      <c r="AM3" s="389"/>
      <c r="AN3" s="389"/>
      <c r="AO3" s="389"/>
      <c r="AP3" s="389"/>
      <c r="AQ3" s="389" t="s">
        <v>179</v>
      </c>
      <c r="AR3" s="389"/>
      <c r="AS3" s="389"/>
      <c r="AT3" s="389"/>
      <c r="AU3" s="389"/>
      <c r="AV3" s="389" t="s">
        <v>71</v>
      </c>
      <c r="AW3" s="389"/>
      <c r="AX3" s="389"/>
      <c r="AY3" s="389"/>
      <c r="AZ3" s="389"/>
      <c r="BA3" s="389" t="s">
        <v>69</v>
      </c>
      <c r="BB3" s="389"/>
      <c r="BC3" s="389"/>
      <c r="BD3" s="389"/>
      <c r="BE3" s="389"/>
      <c r="BF3" s="389" t="s">
        <v>70</v>
      </c>
      <c r="BG3" s="389"/>
      <c r="BH3" s="389"/>
      <c r="BI3" s="389"/>
      <c r="BJ3" s="389"/>
      <c r="BK3" s="389" t="s">
        <v>180</v>
      </c>
      <c r="BL3" s="389"/>
      <c r="BM3" s="389"/>
      <c r="BN3" s="389"/>
      <c r="BO3" s="389"/>
      <c r="BP3" s="389" t="s">
        <v>181</v>
      </c>
      <c r="BQ3" s="389"/>
      <c r="BR3" s="389"/>
      <c r="BS3" s="389"/>
      <c r="BT3" s="389"/>
      <c r="BU3" s="389" t="s">
        <v>159</v>
      </c>
      <c r="BV3" s="389"/>
      <c r="BW3" s="389"/>
      <c r="BX3" s="389"/>
      <c r="BY3" s="389"/>
      <c r="BZ3" s="389" t="s">
        <v>182</v>
      </c>
      <c r="CA3" s="389"/>
      <c r="CB3" s="389"/>
      <c r="CC3" s="389"/>
      <c r="CD3" s="389"/>
      <c r="CE3" s="389" t="s">
        <v>183</v>
      </c>
      <c r="CF3" s="389"/>
      <c r="CG3" s="389"/>
      <c r="CH3" s="389"/>
      <c r="CI3" s="389"/>
      <c r="CJ3" s="390" t="s">
        <v>65</v>
      </c>
      <c r="CK3" s="391"/>
      <c r="CL3" s="391"/>
      <c r="CM3" s="391"/>
      <c r="CN3" s="392"/>
      <c r="CO3" s="390" t="s">
        <v>54</v>
      </c>
      <c r="CP3" s="391"/>
      <c r="CQ3" s="391"/>
      <c r="CR3" s="391"/>
      <c r="CS3" s="392"/>
      <c r="CT3" s="390" t="s">
        <v>55</v>
      </c>
      <c r="CU3" s="391"/>
      <c r="CV3" s="391"/>
      <c r="CW3" s="391"/>
      <c r="CX3" s="392"/>
      <c r="CY3" s="390" t="s">
        <v>56</v>
      </c>
      <c r="CZ3" s="391"/>
      <c r="DA3" s="391"/>
      <c r="DB3" s="391"/>
      <c r="DC3" s="392"/>
      <c r="DD3" s="390" t="s">
        <v>57</v>
      </c>
      <c r="DE3" s="391"/>
      <c r="DF3" s="391"/>
      <c r="DG3" s="391"/>
      <c r="DH3" s="392"/>
      <c r="DI3" s="390" t="s">
        <v>67</v>
      </c>
      <c r="DJ3" s="391"/>
      <c r="DK3" s="391"/>
      <c r="DL3" s="391"/>
      <c r="DM3" s="392"/>
      <c r="DN3" s="390" t="s">
        <v>79</v>
      </c>
      <c r="DO3" s="391"/>
      <c r="DP3" s="391"/>
      <c r="DQ3" s="391"/>
      <c r="DR3" s="392"/>
      <c r="DS3" s="390" t="s">
        <v>80</v>
      </c>
      <c r="DT3" s="391"/>
      <c r="DU3" s="391"/>
      <c r="DV3" s="391"/>
      <c r="DW3" s="392"/>
      <c r="DX3" s="390" t="s">
        <v>81</v>
      </c>
      <c r="DY3" s="391"/>
      <c r="DZ3" s="391"/>
      <c r="EA3" s="391"/>
      <c r="EB3" s="392"/>
      <c r="EC3" s="390" t="s">
        <v>82</v>
      </c>
      <c r="ED3" s="391"/>
      <c r="EE3" s="391"/>
      <c r="EF3" s="391"/>
      <c r="EG3" s="392"/>
      <c r="EH3" s="390" t="s">
        <v>83</v>
      </c>
      <c r="EI3" s="391"/>
      <c r="EJ3" s="391"/>
      <c r="EK3" s="391"/>
      <c r="EL3" s="392"/>
      <c r="EM3" s="390" t="s">
        <v>84</v>
      </c>
      <c r="EN3" s="391"/>
      <c r="EO3" s="391"/>
      <c r="EP3" s="391"/>
      <c r="EQ3" s="392"/>
      <c r="ER3" s="390" t="s">
        <v>184</v>
      </c>
      <c r="ES3" s="391"/>
      <c r="ET3" s="391"/>
      <c r="EU3" s="391"/>
      <c r="EV3" s="392"/>
      <c r="EW3" s="390" t="s">
        <v>161</v>
      </c>
      <c r="EX3" s="391"/>
      <c r="EY3" s="391"/>
      <c r="EZ3" s="391"/>
      <c r="FA3" s="392"/>
      <c r="FB3" s="390" t="s">
        <v>162</v>
      </c>
      <c r="FC3" s="391"/>
      <c r="FD3" s="391"/>
      <c r="FE3" s="391"/>
      <c r="FF3" s="392"/>
      <c r="FG3" s="388"/>
      <c r="FH3" s="384" t="s">
        <v>165</v>
      </c>
      <c r="FI3" s="385"/>
      <c r="FJ3" s="386" t="s">
        <v>169</v>
      </c>
      <c r="FK3" s="387"/>
      <c r="FL3" s="386" t="s">
        <v>186</v>
      </c>
      <c r="FM3" s="387"/>
      <c r="FN3" s="384" t="s">
        <v>166</v>
      </c>
      <c r="FO3" s="385"/>
      <c r="FP3" s="384" t="s">
        <v>187</v>
      </c>
      <c r="FQ3" s="385"/>
      <c r="FR3" s="380" t="s">
        <v>170</v>
      </c>
      <c r="FS3" s="381"/>
    </row>
    <row r="4" spans="1:175" s="82" customFormat="1" ht="26.25" customHeight="1" thickBot="1" x14ac:dyDescent="0.25">
      <c r="A4" s="311" t="s">
        <v>5</v>
      </c>
      <c r="B4" s="312" t="s">
        <v>123</v>
      </c>
      <c r="C4" s="306" t="s">
        <v>49</v>
      </c>
      <c r="D4" s="80" t="s">
        <v>50</v>
      </c>
      <c r="E4" s="81" t="s">
        <v>51</v>
      </c>
      <c r="F4" s="81" t="s">
        <v>150</v>
      </c>
      <c r="G4" s="257" t="s">
        <v>151</v>
      </c>
      <c r="H4" s="270" t="s">
        <v>49</v>
      </c>
      <c r="I4" s="80" t="s">
        <v>50</v>
      </c>
      <c r="J4" s="81" t="s">
        <v>51</v>
      </c>
      <c r="K4" s="81" t="s">
        <v>153</v>
      </c>
      <c r="L4" s="271" t="s">
        <v>151</v>
      </c>
      <c r="M4" s="280" t="s">
        <v>49</v>
      </c>
      <c r="N4" s="280" t="s">
        <v>50</v>
      </c>
      <c r="O4" s="281" t="s">
        <v>51</v>
      </c>
      <c r="P4" s="281" t="s">
        <v>154</v>
      </c>
      <c r="Q4" s="281" t="s">
        <v>151</v>
      </c>
      <c r="R4" s="280" t="s">
        <v>49</v>
      </c>
      <c r="S4" s="280" t="s">
        <v>50</v>
      </c>
      <c r="T4" s="281" t="s">
        <v>51</v>
      </c>
      <c r="U4" s="281" t="s">
        <v>153</v>
      </c>
      <c r="V4" s="281" t="s">
        <v>151</v>
      </c>
      <c r="W4" s="280" t="s">
        <v>49</v>
      </c>
      <c r="X4" s="280" t="s">
        <v>50</v>
      </c>
      <c r="Y4" s="281" t="s">
        <v>51</v>
      </c>
      <c r="Z4" s="281" t="s">
        <v>153</v>
      </c>
      <c r="AA4" s="281" t="s">
        <v>151</v>
      </c>
      <c r="AB4" s="280" t="s">
        <v>49</v>
      </c>
      <c r="AC4" s="280" t="s">
        <v>50</v>
      </c>
      <c r="AD4" s="281" t="s">
        <v>51</v>
      </c>
      <c r="AE4" s="281" t="s">
        <v>153</v>
      </c>
      <c r="AF4" s="281" t="s">
        <v>151</v>
      </c>
      <c r="AG4" s="280" t="s">
        <v>49</v>
      </c>
      <c r="AH4" s="280" t="s">
        <v>50</v>
      </c>
      <c r="AI4" s="281" t="s">
        <v>51</v>
      </c>
      <c r="AJ4" s="281" t="s">
        <v>153</v>
      </c>
      <c r="AK4" s="281" t="s">
        <v>151</v>
      </c>
      <c r="AL4" s="280" t="s">
        <v>49</v>
      </c>
      <c r="AM4" s="280" t="s">
        <v>50</v>
      </c>
      <c r="AN4" s="281" t="s">
        <v>51</v>
      </c>
      <c r="AO4" s="281" t="s">
        <v>153</v>
      </c>
      <c r="AP4" s="281" t="s">
        <v>151</v>
      </c>
      <c r="AQ4" s="280" t="s">
        <v>49</v>
      </c>
      <c r="AR4" s="280" t="s">
        <v>50</v>
      </c>
      <c r="AS4" s="281" t="s">
        <v>51</v>
      </c>
      <c r="AT4" s="281" t="s">
        <v>153</v>
      </c>
      <c r="AU4" s="281" t="s">
        <v>151</v>
      </c>
      <c r="AV4" s="280" t="s">
        <v>49</v>
      </c>
      <c r="AW4" s="280" t="s">
        <v>50</v>
      </c>
      <c r="AX4" s="281" t="s">
        <v>51</v>
      </c>
      <c r="AY4" s="281" t="s">
        <v>153</v>
      </c>
      <c r="AZ4" s="281" t="s">
        <v>151</v>
      </c>
      <c r="BA4" s="280" t="s">
        <v>49</v>
      </c>
      <c r="BB4" s="280" t="s">
        <v>50</v>
      </c>
      <c r="BC4" s="281" t="s">
        <v>51</v>
      </c>
      <c r="BD4" s="281" t="s">
        <v>153</v>
      </c>
      <c r="BE4" s="281" t="s">
        <v>151</v>
      </c>
      <c r="BF4" s="280" t="s">
        <v>49</v>
      </c>
      <c r="BG4" s="280" t="s">
        <v>50</v>
      </c>
      <c r="BH4" s="281" t="s">
        <v>51</v>
      </c>
      <c r="BI4" s="281" t="s">
        <v>153</v>
      </c>
      <c r="BJ4" s="281" t="s">
        <v>151</v>
      </c>
      <c r="BK4" s="280" t="s">
        <v>49</v>
      </c>
      <c r="BL4" s="280" t="s">
        <v>50</v>
      </c>
      <c r="BM4" s="281" t="s">
        <v>51</v>
      </c>
      <c r="BN4" s="281" t="s">
        <v>153</v>
      </c>
      <c r="BO4" s="281" t="s">
        <v>151</v>
      </c>
      <c r="BP4" s="280" t="s">
        <v>49</v>
      </c>
      <c r="BQ4" s="280" t="s">
        <v>50</v>
      </c>
      <c r="BR4" s="281" t="s">
        <v>51</v>
      </c>
      <c r="BS4" s="281" t="s">
        <v>153</v>
      </c>
      <c r="BT4" s="281" t="s">
        <v>151</v>
      </c>
      <c r="BU4" s="280" t="s">
        <v>49</v>
      </c>
      <c r="BV4" s="280" t="s">
        <v>50</v>
      </c>
      <c r="BW4" s="281" t="s">
        <v>51</v>
      </c>
      <c r="BX4" s="281" t="s">
        <v>153</v>
      </c>
      <c r="BY4" s="281" t="s">
        <v>151</v>
      </c>
      <c r="BZ4" s="280" t="s">
        <v>49</v>
      </c>
      <c r="CA4" s="280" t="s">
        <v>50</v>
      </c>
      <c r="CB4" s="281" t="s">
        <v>51</v>
      </c>
      <c r="CC4" s="281" t="s">
        <v>153</v>
      </c>
      <c r="CD4" s="281" t="s">
        <v>151</v>
      </c>
      <c r="CE4" s="280" t="s">
        <v>49</v>
      </c>
      <c r="CF4" s="280" t="s">
        <v>50</v>
      </c>
      <c r="CG4" s="281" t="s">
        <v>51</v>
      </c>
      <c r="CH4" s="281" t="s">
        <v>153</v>
      </c>
      <c r="CI4" s="281" t="s">
        <v>151</v>
      </c>
      <c r="CJ4" s="91" t="s">
        <v>49</v>
      </c>
      <c r="CK4" s="91" t="s">
        <v>50</v>
      </c>
      <c r="CL4" s="282" t="s">
        <v>66</v>
      </c>
      <c r="CM4" s="282" t="s">
        <v>153</v>
      </c>
      <c r="CN4" s="282" t="s">
        <v>151</v>
      </c>
      <c r="CO4" s="91" t="s">
        <v>49</v>
      </c>
      <c r="CP4" s="91" t="s">
        <v>50</v>
      </c>
      <c r="CQ4" s="282" t="s">
        <v>51</v>
      </c>
      <c r="CR4" s="282" t="s">
        <v>153</v>
      </c>
      <c r="CS4" s="282" t="s">
        <v>151</v>
      </c>
      <c r="CT4" s="91" t="s">
        <v>49</v>
      </c>
      <c r="CU4" s="91" t="s">
        <v>50</v>
      </c>
      <c r="CV4" s="282" t="s">
        <v>51</v>
      </c>
      <c r="CW4" s="282" t="s">
        <v>153</v>
      </c>
      <c r="CX4" s="282" t="s">
        <v>151</v>
      </c>
      <c r="CY4" s="91" t="s">
        <v>49</v>
      </c>
      <c r="CZ4" s="91" t="s">
        <v>50</v>
      </c>
      <c r="DA4" s="282" t="s">
        <v>51</v>
      </c>
      <c r="DB4" s="282" t="s">
        <v>153</v>
      </c>
      <c r="DC4" s="282" t="s">
        <v>151</v>
      </c>
      <c r="DD4" s="91" t="s">
        <v>49</v>
      </c>
      <c r="DE4" s="91" t="s">
        <v>50</v>
      </c>
      <c r="DF4" s="282" t="s">
        <v>51</v>
      </c>
      <c r="DG4" s="282" t="s">
        <v>153</v>
      </c>
      <c r="DH4" s="282" t="s">
        <v>151</v>
      </c>
      <c r="DI4" s="91" t="s">
        <v>49</v>
      </c>
      <c r="DJ4" s="91" t="s">
        <v>50</v>
      </c>
      <c r="DK4" s="282" t="s">
        <v>51</v>
      </c>
      <c r="DL4" s="282" t="s">
        <v>153</v>
      </c>
      <c r="DM4" s="282" t="s">
        <v>151</v>
      </c>
      <c r="DN4" s="91" t="s">
        <v>49</v>
      </c>
      <c r="DO4" s="91" t="s">
        <v>50</v>
      </c>
      <c r="DP4" s="282" t="s">
        <v>51</v>
      </c>
      <c r="DQ4" s="282" t="s">
        <v>153</v>
      </c>
      <c r="DR4" s="282" t="s">
        <v>151</v>
      </c>
      <c r="DS4" s="91" t="s">
        <v>49</v>
      </c>
      <c r="DT4" s="91" t="s">
        <v>50</v>
      </c>
      <c r="DU4" s="282" t="s">
        <v>51</v>
      </c>
      <c r="DV4" s="282" t="s">
        <v>153</v>
      </c>
      <c r="DW4" s="282" t="s">
        <v>151</v>
      </c>
      <c r="DX4" s="91" t="s">
        <v>49</v>
      </c>
      <c r="DY4" s="91" t="s">
        <v>50</v>
      </c>
      <c r="DZ4" s="282" t="s">
        <v>51</v>
      </c>
      <c r="EA4" s="282" t="s">
        <v>153</v>
      </c>
      <c r="EB4" s="282" t="s">
        <v>151</v>
      </c>
      <c r="EC4" s="91" t="s">
        <v>49</v>
      </c>
      <c r="ED4" s="91" t="s">
        <v>50</v>
      </c>
      <c r="EE4" s="282" t="s">
        <v>51</v>
      </c>
      <c r="EF4" s="282" t="s">
        <v>153</v>
      </c>
      <c r="EG4" s="282" t="s">
        <v>151</v>
      </c>
      <c r="EH4" s="91" t="s">
        <v>49</v>
      </c>
      <c r="EI4" s="91" t="s">
        <v>50</v>
      </c>
      <c r="EJ4" s="282" t="s">
        <v>51</v>
      </c>
      <c r="EK4" s="282" t="s">
        <v>153</v>
      </c>
      <c r="EL4" s="282" t="s">
        <v>151</v>
      </c>
      <c r="EM4" s="91" t="s">
        <v>49</v>
      </c>
      <c r="EN4" s="91" t="s">
        <v>50</v>
      </c>
      <c r="EO4" s="282" t="s">
        <v>51</v>
      </c>
      <c r="EP4" s="282" t="s">
        <v>153</v>
      </c>
      <c r="EQ4" s="282" t="s">
        <v>151</v>
      </c>
      <c r="ER4" s="91" t="s">
        <v>49</v>
      </c>
      <c r="ES4" s="91" t="s">
        <v>50</v>
      </c>
      <c r="ET4" s="282" t="s">
        <v>51</v>
      </c>
      <c r="EU4" s="282" t="s">
        <v>153</v>
      </c>
      <c r="EV4" s="282" t="s">
        <v>151</v>
      </c>
      <c r="EW4" s="91" t="s">
        <v>49</v>
      </c>
      <c r="EX4" s="91" t="s">
        <v>50</v>
      </c>
      <c r="EY4" s="282" t="s">
        <v>51</v>
      </c>
      <c r="EZ4" s="282" t="s">
        <v>153</v>
      </c>
      <c r="FA4" s="282" t="s">
        <v>151</v>
      </c>
      <c r="FB4" s="91" t="s">
        <v>49</v>
      </c>
      <c r="FC4" s="91" t="s">
        <v>50</v>
      </c>
      <c r="FD4" s="282" t="s">
        <v>51</v>
      </c>
      <c r="FE4" s="282" t="s">
        <v>153</v>
      </c>
      <c r="FF4" s="282" t="s">
        <v>151</v>
      </c>
      <c r="FG4" s="388"/>
      <c r="FH4" s="320" t="s">
        <v>168</v>
      </c>
      <c r="FI4" s="321" t="s">
        <v>152</v>
      </c>
      <c r="FJ4" s="320" t="s">
        <v>168</v>
      </c>
      <c r="FK4" s="321" t="s">
        <v>152</v>
      </c>
      <c r="FL4" s="320" t="s">
        <v>168</v>
      </c>
      <c r="FM4" s="321" t="s">
        <v>152</v>
      </c>
      <c r="FN4" s="320" t="s">
        <v>168</v>
      </c>
      <c r="FO4" s="321" t="s">
        <v>152</v>
      </c>
      <c r="FP4" s="320" t="s">
        <v>168</v>
      </c>
      <c r="FQ4" s="321" t="s">
        <v>152</v>
      </c>
      <c r="FR4" s="329" t="s">
        <v>168</v>
      </c>
      <c r="FS4" s="330" t="s">
        <v>152</v>
      </c>
    </row>
    <row r="5" spans="1:175" s="3" customFormat="1" x14ac:dyDescent="0.2">
      <c r="A5" s="310">
        <v>1</v>
      </c>
      <c r="B5" s="313">
        <f>'Finance Only'!G8</f>
        <v>37.9</v>
      </c>
      <c r="C5" s="307">
        <v>26086177</v>
      </c>
      <c r="D5" s="251">
        <v>26088662</v>
      </c>
      <c r="E5" s="247">
        <f>MAX(0,D5-C5)</f>
        <v>2485</v>
      </c>
      <c r="F5" s="261"/>
      <c r="G5" s="262"/>
      <c r="H5" s="277">
        <v>23532922</v>
      </c>
      <c r="I5" s="251">
        <v>23537291</v>
      </c>
      <c r="J5" s="246">
        <f>MAX(0,I5-H5)</f>
        <v>4369</v>
      </c>
      <c r="K5" s="272"/>
      <c r="L5" s="273"/>
      <c r="M5" s="253">
        <v>88369570</v>
      </c>
      <c r="N5" s="253">
        <v>88382762</v>
      </c>
      <c r="O5" s="269">
        <f>MAX(0,N5-M5)</f>
        <v>13192</v>
      </c>
      <c r="P5" s="278"/>
      <c r="Q5" s="279"/>
      <c r="R5" s="253">
        <v>2373800</v>
      </c>
      <c r="S5" s="253">
        <v>2375500</v>
      </c>
      <c r="T5" s="248">
        <f>MAX(0,S5-R5)</f>
        <v>1700</v>
      </c>
      <c r="U5" s="265"/>
      <c r="V5" s="266"/>
      <c r="W5" s="253">
        <v>3245009</v>
      </c>
      <c r="X5" s="253">
        <v>3247819</v>
      </c>
      <c r="Y5" s="248">
        <f>MAX(0,X5-W5)</f>
        <v>2810</v>
      </c>
      <c r="Z5" s="265"/>
      <c r="AA5" s="266"/>
      <c r="AB5" s="254">
        <v>2015700</v>
      </c>
      <c r="AC5" s="253">
        <v>2018200</v>
      </c>
      <c r="AD5" s="248">
        <f>MAX(0,AC5-AB5)</f>
        <v>2500</v>
      </c>
      <c r="AE5" s="265"/>
      <c r="AF5" s="266"/>
      <c r="AG5" s="253">
        <v>884645</v>
      </c>
      <c r="AH5" s="253">
        <v>885468</v>
      </c>
      <c r="AI5" s="248">
        <f>MAX(0,AH5-AG5)</f>
        <v>823</v>
      </c>
      <c r="AJ5" s="265"/>
      <c r="AK5" s="266"/>
      <c r="AL5" s="253">
        <v>895790</v>
      </c>
      <c r="AM5" s="253">
        <v>896500</v>
      </c>
      <c r="AN5" s="248">
        <f>MAX(0,AM5-AL5)</f>
        <v>710</v>
      </c>
      <c r="AO5" s="265"/>
      <c r="AP5" s="266"/>
      <c r="AQ5" s="253">
        <v>2007400</v>
      </c>
      <c r="AR5" s="253">
        <v>2008800</v>
      </c>
      <c r="AS5" s="248">
        <v>785</v>
      </c>
      <c r="AT5" s="265"/>
      <c r="AU5" s="266"/>
      <c r="AV5" s="253">
        <v>581443</v>
      </c>
      <c r="AW5" s="253">
        <v>581814</v>
      </c>
      <c r="AX5" s="248">
        <v>443</v>
      </c>
      <c r="AY5" s="265"/>
      <c r="AZ5" s="266"/>
      <c r="BA5" s="253">
        <v>824390</v>
      </c>
      <c r="BB5" s="253">
        <v>825220</v>
      </c>
      <c r="BC5" s="248">
        <v>871</v>
      </c>
      <c r="BD5" s="265"/>
      <c r="BE5" s="266"/>
      <c r="BF5" s="253">
        <v>910740</v>
      </c>
      <c r="BG5" s="253">
        <v>911450</v>
      </c>
      <c r="BH5" s="248">
        <v>865</v>
      </c>
      <c r="BI5" s="265"/>
      <c r="BJ5" s="266"/>
      <c r="BK5" s="253">
        <v>1413200</v>
      </c>
      <c r="BL5" s="253">
        <v>1413900</v>
      </c>
      <c r="BM5" s="248">
        <v>1205</v>
      </c>
      <c r="BN5" s="265"/>
      <c r="BO5" s="266"/>
      <c r="BP5" s="253">
        <v>912290</v>
      </c>
      <c r="BQ5" s="253">
        <v>913550</v>
      </c>
      <c r="BR5" s="248">
        <v>944</v>
      </c>
      <c r="BS5" s="265"/>
      <c r="BT5" s="266"/>
      <c r="BU5" s="253">
        <v>444870</v>
      </c>
      <c r="BV5" s="253">
        <v>4452300</v>
      </c>
      <c r="BW5" s="248">
        <v>355</v>
      </c>
      <c r="BX5" s="265"/>
      <c r="BY5" s="266"/>
      <c r="BZ5" s="253">
        <v>716380</v>
      </c>
      <c r="CA5" s="253">
        <v>717600</v>
      </c>
      <c r="CB5" s="248">
        <v>1250</v>
      </c>
      <c r="CC5" s="265"/>
      <c r="CD5" s="266"/>
      <c r="CE5" s="253">
        <v>220350</v>
      </c>
      <c r="CF5" s="253">
        <v>220760</v>
      </c>
      <c r="CG5" s="248">
        <v>380</v>
      </c>
      <c r="CH5" s="265"/>
      <c r="CI5" s="266"/>
      <c r="CJ5" s="254">
        <v>498220</v>
      </c>
      <c r="CK5" s="254">
        <v>499280</v>
      </c>
      <c r="CL5" s="248">
        <f>MAX(0,CK5-CJ5)</f>
        <v>1060</v>
      </c>
      <c r="CM5" s="265"/>
      <c r="CN5" s="266"/>
      <c r="CO5" s="253">
        <v>404940</v>
      </c>
      <c r="CP5" s="253">
        <v>405640</v>
      </c>
      <c r="CQ5" s="250">
        <f>MAX(0,CP5-CO5)</f>
        <v>700</v>
      </c>
      <c r="CR5" s="265"/>
      <c r="CS5" s="266"/>
      <c r="CT5" s="253">
        <v>341930</v>
      </c>
      <c r="CU5" s="253">
        <v>342480</v>
      </c>
      <c r="CV5" s="248">
        <f>MAX(0,CU5-CT5)</f>
        <v>550</v>
      </c>
      <c r="CW5" s="265"/>
      <c r="CX5" s="266"/>
      <c r="CY5" s="253">
        <v>593290</v>
      </c>
      <c r="CZ5" s="253">
        <v>594400</v>
      </c>
      <c r="DA5" s="248">
        <f>MAX(0,CZ5-CY5)</f>
        <v>1110</v>
      </c>
      <c r="DB5" s="265"/>
      <c r="DC5" s="266"/>
      <c r="DD5" s="253">
        <v>445100</v>
      </c>
      <c r="DE5" s="253">
        <v>446170</v>
      </c>
      <c r="DF5" s="248">
        <f>MAX(0,DE5-DD5)</f>
        <v>1070</v>
      </c>
      <c r="DG5" s="265"/>
      <c r="DH5" s="266"/>
      <c r="DI5" s="253">
        <v>407270</v>
      </c>
      <c r="DJ5" s="253">
        <v>408020</v>
      </c>
      <c r="DK5" s="248">
        <f>MAX(0,DJ5-DI5)</f>
        <v>750</v>
      </c>
      <c r="DL5" s="265"/>
      <c r="DM5" s="266"/>
      <c r="DN5" s="253">
        <v>239310</v>
      </c>
      <c r="DO5" s="253">
        <v>239500</v>
      </c>
      <c r="DP5" s="248">
        <f>MAX(0,DO5-DN5)</f>
        <v>190</v>
      </c>
      <c r="DQ5" s="265"/>
      <c r="DR5" s="266"/>
      <c r="DS5" s="253">
        <v>71543</v>
      </c>
      <c r="DT5" s="249">
        <v>71694</v>
      </c>
      <c r="DU5" s="248">
        <f>MAX(0,DT5-DS5)</f>
        <v>151</v>
      </c>
      <c r="DV5" s="265"/>
      <c r="DW5" s="266"/>
      <c r="DX5" s="253">
        <v>465090</v>
      </c>
      <c r="DY5" s="249">
        <v>465780</v>
      </c>
      <c r="DZ5" s="248">
        <f>MAX(0,DY5-DX5)</f>
        <v>690</v>
      </c>
      <c r="EA5" s="265"/>
      <c r="EB5" s="266"/>
      <c r="EC5" s="253">
        <v>148170</v>
      </c>
      <c r="ED5" s="249">
        <v>148440</v>
      </c>
      <c r="EE5" s="248">
        <f>MAX(0,ED5-EC5)</f>
        <v>270</v>
      </c>
      <c r="EF5" s="265"/>
      <c r="EG5" s="266"/>
      <c r="EH5" s="253">
        <v>148640</v>
      </c>
      <c r="EI5" s="249">
        <v>149010</v>
      </c>
      <c r="EJ5" s="248">
        <f>MAX(0,EI5-EH5)</f>
        <v>370</v>
      </c>
      <c r="EK5" s="265"/>
      <c r="EL5" s="266"/>
      <c r="EM5" s="253">
        <v>273840</v>
      </c>
      <c r="EN5" s="249">
        <v>274400</v>
      </c>
      <c r="EO5" s="248">
        <f>MAX(0,EN5-EM5)</f>
        <v>560</v>
      </c>
      <c r="EP5" s="265"/>
      <c r="EQ5" s="266"/>
      <c r="ER5" s="253">
        <v>69098</v>
      </c>
      <c r="ES5" s="249"/>
      <c r="ET5" s="248">
        <f>MAX(0,ES5-ER5)</f>
        <v>0</v>
      </c>
      <c r="EU5" s="265"/>
      <c r="EV5" s="266"/>
      <c r="EW5" s="253">
        <v>72361</v>
      </c>
      <c r="EX5" s="249">
        <v>72640</v>
      </c>
      <c r="EY5" s="248">
        <f>MAX(0,EX5-EW5)</f>
        <v>279</v>
      </c>
      <c r="EZ5" s="265"/>
      <c r="FA5" s="266"/>
      <c r="FB5" s="253">
        <v>721420</v>
      </c>
      <c r="FC5" s="249">
        <v>725470</v>
      </c>
      <c r="FD5" s="248">
        <f>MAX(0,FC5-FB5)</f>
        <v>4050</v>
      </c>
      <c r="FE5" s="265"/>
      <c r="FF5" s="266"/>
      <c r="FG5" s="319"/>
      <c r="FH5" s="325">
        <f>SUM(E5+J5)</f>
        <v>6854</v>
      </c>
      <c r="FI5" s="322"/>
      <c r="FJ5" s="325">
        <f>SUM(T5+Y5+DZ5+EE5+EJ5+EO5)</f>
        <v>6400</v>
      </c>
      <c r="FK5" s="322"/>
      <c r="FL5" s="325">
        <f>SUM(AN5+AS5)</f>
        <v>1495</v>
      </c>
      <c r="FM5" s="322"/>
      <c r="FN5" s="325">
        <f>SUM(AX5+BC5+BH5)</f>
        <v>2179</v>
      </c>
      <c r="FO5" s="322"/>
      <c r="FP5" s="325">
        <f>SUM(BM5+BR5+ET5)</f>
        <v>2149</v>
      </c>
      <c r="FQ5" s="322"/>
      <c r="FR5" s="325">
        <f>SUM(EY5+FD5)</f>
        <v>4329</v>
      </c>
      <c r="FS5" s="322"/>
    </row>
    <row r="6" spans="1:175" s="3" customFormat="1" ht="13.5" customHeight="1" x14ac:dyDescent="0.2">
      <c r="A6" s="310">
        <v>2</v>
      </c>
      <c r="B6" s="313">
        <f>'Finance Only'!G9</f>
        <v>44.7</v>
      </c>
      <c r="C6" s="308">
        <f>D5</f>
        <v>26088662</v>
      </c>
      <c r="D6" s="251">
        <v>26091140</v>
      </c>
      <c r="E6" s="252">
        <f>MAX(0,D6-C6)</f>
        <v>2478</v>
      </c>
      <c r="F6" s="263">
        <f>E6-E5</f>
        <v>-7</v>
      </c>
      <c r="G6" s="264">
        <f>(E6/'Finance Only'!B9)*100</f>
        <v>9.5271049596309112</v>
      </c>
      <c r="H6" s="274">
        <f>I5</f>
        <v>23537291</v>
      </c>
      <c r="I6" s="251">
        <v>23541584</v>
      </c>
      <c r="J6" s="251">
        <f>MAX(0,I6-H6)</f>
        <v>4293</v>
      </c>
      <c r="K6" s="275">
        <f>J6-J5</f>
        <v>-76</v>
      </c>
      <c r="L6" s="276">
        <f>(J6/'Finance Only'!B9)*100</f>
        <v>16.505190311418687</v>
      </c>
      <c r="M6" s="259">
        <f>N5</f>
        <v>88382762</v>
      </c>
      <c r="N6" s="253">
        <v>88396492</v>
      </c>
      <c r="O6" s="254">
        <f>MAX(0,N6-M6)</f>
        <v>13730</v>
      </c>
      <c r="P6" s="267">
        <f>O6-O5</f>
        <v>538</v>
      </c>
      <c r="Q6" s="268">
        <f>(O6/'Finance Only'!B9)*100</f>
        <v>52.787389465590159</v>
      </c>
      <c r="R6" s="258">
        <f>S5</f>
        <v>2375500</v>
      </c>
      <c r="S6" s="253">
        <v>2377400</v>
      </c>
      <c r="T6" s="254">
        <f>MAX(0,S6-R6)</f>
        <v>1900</v>
      </c>
      <c r="U6" s="267">
        <f>T6-T5</f>
        <v>200</v>
      </c>
      <c r="V6" s="268">
        <f>(T6/'Finance Only'!B9)*100</f>
        <v>7.304882737408688</v>
      </c>
      <c r="W6" s="253">
        <f>X5</f>
        <v>3247819</v>
      </c>
      <c r="X6" s="253">
        <v>3250632</v>
      </c>
      <c r="Y6" s="254">
        <f>MAX(0,X6-W6)</f>
        <v>2813</v>
      </c>
      <c r="Z6" s="267">
        <f>Y6-Y5</f>
        <v>3</v>
      </c>
      <c r="AA6" s="268">
        <f>(Y6/'Finance Only'!B9)*100</f>
        <v>10.815071126489812</v>
      </c>
      <c r="AB6" s="253">
        <f>AC5</f>
        <v>2018200</v>
      </c>
      <c r="AC6" s="253">
        <v>2020600</v>
      </c>
      <c r="AD6" s="254">
        <f>MAX(0,AC6-AB6)</f>
        <v>2400</v>
      </c>
      <c r="AE6" s="267">
        <f>AD6-AD5</f>
        <v>-100</v>
      </c>
      <c r="AF6" s="268">
        <f>(AD6/'Finance Only'!B9)*100</f>
        <v>9.2272202998846602</v>
      </c>
      <c r="AG6" s="253">
        <f>AH5</f>
        <v>885468</v>
      </c>
      <c r="AH6" s="253">
        <v>886349</v>
      </c>
      <c r="AI6" s="254">
        <f>MAX(0,AH6-AG6)</f>
        <v>881</v>
      </c>
      <c r="AJ6" s="267">
        <f>AI6-AI5</f>
        <v>58</v>
      </c>
      <c r="AK6" s="268">
        <f>(AI6/'Finance Only'!B9)*100</f>
        <v>3.3871587850826606</v>
      </c>
      <c r="AL6" s="253">
        <f>AM5</f>
        <v>896500</v>
      </c>
      <c r="AM6" s="253">
        <v>897180</v>
      </c>
      <c r="AN6" s="254">
        <f>MAX(0,AM6-AL6)</f>
        <v>680</v>
      </c>
      <c r="AO6" s="267">
        <f>AN6-AN5</f>
        <v>-30</v>
      </c>
      <c r="AP6" s="268">
        <f>(AN6/'Finance Only'!B9)*100</f>
        <v>2.6143790849673203</v>
      </c>
      <c r="AQ6" s="253">
        <f>AR5</f>
        <v>2008800</v>
      </c>
      <c r="AR6" s="253">
        <v>2010500</v>
      </c>
      <c r="AS6" s="254">
        <f>MAX(0,AR6-AQ6)</f>
        <v>1700</v>
      </c>
      <c r="AT6" s="267">
        <f>AS6-AS5</f>
        <v>915</v>
      </c>
      <c r="AU6" s="268">
        <f>(AS6/'Finance Only'!B9)*100</f>
        <v>6.5359477124183014</v>
      </c>
      <c r="AV6" s="253">
        <f>AW5</f>
        <v>581814</v>
      </c>
      <c r="AW6" s="253">
        <v>582206</v>
      </c>
      <c r="AX6" s="254">
        <f>MAX(0,AW6-AV6)</f>
        <v>392</v>
      </c>
      <c r="AY6" s="267">
        <f>AX6-AX5</f>
        <v>-51</v>
      </c>
      <c r="AZ6" s="268">
        <f>(AX6/'Finance Only'!B9)*100</f>
        <v>1.507112648981161</v>
      </c>
      <c r="BA6" s="253">
        <f>BB5</f>
        <v>825220</v>
      </c>
      <c r="BB6" s="253">
        <v>826060</v>
      </c>
      <c r="BC6" s="254">
        <f>MAX(0,BB6-BA6)</f>
        <v>840</v>
      </c>
      <c r="BD6" s="267">
        <f>BC6-BC5</f>
        <v>-31</v>
      </c>
      <c r="BE6" s="268">
        <f>(BC6/'Finance Only'!B9)*100</f>
        <v>3.2295271049596308</v>
      </c>
      <c r="BF6" s="253">
        <f>BG5</f>
        <v>911450</v>
      </c>
      <c r="BG6" s="253">
        <v>912220</v>
      </c>
      <c r="BH6" s="254">
        <f>MAX(0,BG6-BF6)</f>
        <v>770</v>
      </c>
      <c r="BI6" s="267">
        <f>BH6-BH5</f>
        <v>-95</v>
      </c>
      <c r="BJ6" s="268">
        <f>(BH6/'Finance Only'!B9)*100</f>
        <v>2.960399846212995</v>
      </c>
      <c r="BK6" s="253">
        <f>BL5</f>
        <v>1413900</v>
      </c>
      <c r="BL6" s="253">
        <v>1414700</v>
      </c>
      <c r="BM6" s="254">
        <f>MAX(0,BL6-BK6)</f>
        <v>800</v>
      </c>
      <c r="BN6" s="267">
        <f>BM6-BM5</f>
        <v>-405</v>
      </c>
      <c r="BO6" s="268">
        <f>(BM6/'Finance Only'!B9)*100</f>
        <v>3.0757400999615534</v>
      </c>
      <c r="BP6" s="253">
        <f>BQ5</f>
        <v>913550</v>
      </c>
      <c r="BQ6" s="253">
        <v>915030</v>
      </c>
      <c r="BR6" s="254">
        <f>MAX(0,BQ6-BP6)</f>
        <v>1480</v>
      </c>
      <c r="BS6" s="267">
        <f>BR6-BR5</f>
        <v>536</v>
      </c>
      <c r="BT6" s="268">
        <f>(BR6/'Finance Only'!B9)*100</f>
        <v>5.6901191849288733</v>
      </c>
      <c r="BU6" s="253">
        <f>BV5</f>
        <v>4452300</v>
      </c>
      <c r="BV6" s="253">
        <v>4456300</v>
      </c>
      <c r="BW6" s="254">
        <f>MAX(0,BV6-BU6)</f>
        <v>4000</v>
      </c>
      <c r="BX6" s="267">
        <f>BW6-BW5</f>
        <v>3645</v>
      </c>
      <c r="BY6" s="268">
        <f>(BW6/'Finance Only'!B9)*100</f>
        <v>15.378700499807765</v>
      </c>
      <c r="BZ6" s="253">
        <f>CA5</f>
        <v>717600</v>
      </c>
      <c r="CA6" s="253">
        <v>718810</v>
      </c>
      <c r="CB6" s="254">
        <f>MAX(0,CA6-BZ6)</f>
        <v>1210</v>
      </c>
      <c r="CC6" s="267">
        <f>CB6-CB5</f>
        <v>-40</v>
      </c>
      <c r="CD6" s="268">
        <f>(CB6/'Finance Only'!B9)*100</f>
        <v>4.6520569011918491</v>
      </c>
      <c r="CE6" s="253">
        <f>CF5</f>
        <v>220760</v>
      </c>
      <c r="CF6" s="253">
        <v>221190</v>
      </c>
      <c r="CG6" s="254">
        <f>MAX(0,CF6-CE6)</f>
        <v>430</v>
      </c>
      <c r="CH6" s="267">
        <f>CG6-CG5</f>
        <v>50</v>
      </c>
      <c r="CI6" s="268">
        <f>(CG6/'Finance Only'!B9)*100</f>
        <v>1.6532103037293349</v>
      </c>
      <c r="CJ6" s="254">
        <f>CK5</f>
        <v>499280</v>
      </c>
      <c r="CK6" s="254">
        <v>500280</v>
      </c>
      <c r="CL6" s="254">
        <f>MAX(0,CK6-CJ6)</f>
        <v>1000</v>
      </c>
      <c r="CM6" s="267">
        <f>CL6-CL5</f>
        <v>-60</v>
      </c>
      <c r="CN6" s="268">
        <f>(CL6/'Finance Only'!B9)*100</f>
        <v>3.8446751249519413</v>
      </c>
      <c r="CO6" s="253">
        <f>CP5</f>
        <v>405640</v>
      </c>
      <c r="CP6" s="253">
        <v>406500</v>
      </c>
      <c r="CQ6" s="255">
        <f>MAX(0,CP6-CO6)</f>
        <v>860</v>
      </c>
      <c r="CR6" s="267">
        <f>CQ6-CQ5</f>
        <v>160</v>
      </c>
      <c r="CS6" s="268">
        <f>(CQ6/'Finance Only'!B9)*100</f>
        <v>3.3064206074586697</v>
      </c>
      <c r="CT6" s="253">
        <f>CU5</f>
        <v>342480</v>
      </c>
      <c r="CU6" s="253">
        <v>343090</v>
      </c>
      <c r="CV6" s="254">
        <f>MAX(0,CU6-CT6)</f>
        <v>610</v>
      </c>
      <c r="CW6" s="267">
        <f>CV6-CV5</f>
        <v>60</v>
      </c>
      <c r="CX6" s="268">
        <f>(CV6/'Finance Only'!B9)*100</f>
        <v>2.3452518262206845</v>
      </c>
      <c r="CY6" s="253">
        <f>CZ5</f>
        <v>594400</v>
      </c>
      <c r="CZ6" s="253">
        <v>595430</v>
      </c>
      <c r="DA6" s="254">
        <f>MAX(0,CZ6-CY6)</f>
        <v>1030</v>
      </c>
      <c r="DB6" s="267">
        <f>DA6-DA5</f>
        <v>-80</v>
      </c>
      <c r="DC6" s="268">
        <f>(DA6/'Finance Only'!B9)*100</f>
        <v>3.9600153787004997</v>
      </c>
      <c r="DD6" s="253">
        <f>DE5</f>
        <v>446170</v>
      </c>
      <c r="DE6" s="253">
        <v>447060</v>
      </c>
      <c r="DF6" s="254">
        <f>MAX(0,DE6-DD6)</f>
        <v>890</v>
      </c>
      <c r="DG6" s="267">
        <f>DF6-DF5</f>
        <v>-180</v>
      </c>
      <c r="DH6" s="268">
        <f>(DF6/'Finance Only'!B9)*100</f>
        <v>3.4217608612072277</v>
      </c>
      <c r="DI6" s="253">
        <f>DJ5</f>
        <v>408020</v>
      </c>
      <c r="DJ6" s="253">
        <v>408790</v>
      </c>
      <c r="DK6" s="254">
        <f>MAX(0,DJ6-DI6)</f>
        <v>770</v>
      </c>
      <c r="DL6" s="267">
        <f>DK6-DK5</f>
        <v>20</v>
      </c>
      <c r="DM6" s="268">
        <f>(DK6/'Finance Only'!B9)*100</f>
        <v>2.960399846212995</v>
      </c>
      <c r="DN6" s="253">
        <f>DO5</f>
        <v>239500</v>
      </c>
      <c r="DO6" s="253">
        <v>239680</v>
      </c>
      <c r="DP6" s="254">
        <f>MAX(0,DO6-DN6)</f>
        <v>180</v>
      </c>
      <c r="DQ6" s="267">
        <f>DP6-DP5</f>
        <v>-10</v>
      </c>
      <c r="DR6" s="268">
        <f>(DP6/'Finance Only'!B9)*100</f>
        <v>0.69204152249134954</v>
      </c>
      <c r="DS6" s="253">
        <f>DT5</f>
        <v>71694</v>
      </c>
      <c r="DT6" s="253">
        <v>71818</v>
      </c>
      <c r="DU6" s="254">
        <f>MAX(0,DT6-DS6)</f>
        <v>124</v>
      </c>
      <c r="DV6" s="267">
        <f>DU6-DU5</f>
        <v>-27</v>
      </c>
      <c r="DW6" s="268">
        <f>(DU6/'Finance Only'!B9)*100</f>
        <v>0.47673971549404071</v>
      </c>
      <c r="DX6" s="253">
        <f>DY5</f>
        <v>465780</v>
      </c>
      <c r="DY6" s="253">
        <v>466480</v>
      </c>
      <c r="DZ6" s="254">
        <f>MAX(0,DY6-DX6)</f>
        <v>700</v>
      </c>
      <c r="EA6" s="267">
        <f>DZ6-DZ5</f>
        <v>10</v>
      </c>
      <c r="EB6" s="268">
        <f>(DZ6/'Finance Only'!B9)*100</f>
        <v>2.6912725874663588</v>
      </c>
      <c r="EC6" s="253">
        <f>ED5</f>
        <v>148440</v>
      </c>
      <c r="ED6" s="253">
        <v>148700</v>
      </c>
      <c r="EE6" s="254">
        <f>MAX(0,ED6-EC6)</f>
        <v>260</v>
      </c>
      <c r="EF6" s="267">
        <f>EE6-EE5</f>
        <v>-10</v>
      </c>
      <c r="EG6" s="268">
        <f>(EE6/'Finance Only'!B9)*100</f>
        <v>0.99961553248750479</v>
      </c>
      <c r="EH6" s="253">
        <f>EI5</f>
        <v>149010</v>
      </c>
      <c r="EI6" s="253">
        <v>149350</v>
      </c>
      <c r="EJ6" s="254">
        <f>MAX(0,EI6-EH6)</f>
        <v>340</v>
      </c>
      <c r="EK6" s="267">
        <f>EJ6-EJ5</f>
        <v>-30</v>
      </c>
      <c r="EL6" s="268">
        <f>(EJ6/'Finance Only'!B9)*100</f>
        <v>1.3071895424836601</v>
      </c>
      <c r="EM6" s="253">
        <f>EN5</f>
        <v>274400</v>
      </c>
      <c r="EN6" s="253">
        <v>274920</v>
      </c>
      <c r="EO6" s="254">
        <f>MAX(0,EN6-EM6)</f>
        <v>520</v>
      </c>
      <c r="EP6" s="267">
        <f>EO6-EO5</f>
        <v>-40</v>
      </c>
      <c r="EQ6" s="268">
        <f>(EO6/'Finance Only'!B9)*100</f>
        <v>1.9992310649750096</v>
      </c>
      <c r="ER6" s="253">
        <f>ES5</f>
        <v>0</v>
      </c>
      <c r="ES6" s="253"/>
      <c r="ET6" s="254">
        <f>MAX(0,ES6-ER6)</f>
        <v>0</v>
      </c>
      <c r="EU6" s="267">
        <f>ET6-ET5</f>
        <v>0</v>
      </c>
      <c r="EV6" s="268">
        <f>(ET6/'Finance Only'!B9)*100</f>
        <v>0</v>
      </c>
      <c r="EW6" s="253">
        <f>EX5</f>
        <v>72640</v>
      </c>
      <c r="EX6" s="253">
        <v>73006</v>
      </c>
      <c r="EY6" s="254">
        <f>MAX(0,EX6-EW6)</f>
        <v>366</v>
      </c>
      <c r="EZ6" s="267">
        <f>EY6-EY5</f>
        <v>87</v>
      </c>
      <c r="FA6" s="268">
        <f>(EY6/'Finance Only'!G9)*100</f>
        <v>818.79194630872473</v>
      </c>
      <c r="FB6" s="253">
        <f>FC5</f>
        <v>725470</v>
      </c>
      <c r="FC6" s="253">
        <v>729940</v>
      </c>
      <c r="FD6" s="254">
        <f>MAX(0,FC6-FB6)</f>
        <v>4470</v>
      </c>
      <c r="FE6" s="267">
        <f>FD6-FD5</f>
        <v>420</v>
      </c>
      <c r="FF6" s="268" t="e">
        <f>(FD6/'Finance Only'!M9)*100</f>
        <v>#DIV/0!</v>
      </c>
      <c r="FG6" s="319"/>
      <c r="FH6" s="325">
        <f t="shared" ref="FH6:FH35" si="0">SUM(E6+J6)</f>
        <v>6771</v>
      </c>
      <c r="FI6" s="322"/>
      <c r="FJ6" s="325">
        <f t="shared" ref="FJ6:FJ35" si="1">SUM(T6+Y6+DZ6+EE6+EJ6+EO6)</f>
        <v>6533</v>
      </c>
      <c r="FK6" s="322"/>
      <c r="FL6" s="325">
        <f t="shared" ref="FL6:FL35" si="2">SUM(AN6+AS6)</f>
        <v>2380</v>
      </c>
      <c r="FM6" s="322"/>
      <c r="FN6" s="325">
        <f t="shared" ref="FN6:FN35" si="3">SUM(AX6+BC6+BH6)</f>
        <v>2002</v>
      </c>
      <c r="FO6" s="322"/>
      <c r="FP6" s="325">
        <f t="shared" ref="FP6:FP35" si="4">SUM(BM6+BR6+ET6)</f>
        <v>2280</v>
      </c>
      <c r="FQ6" s="322"/>
      <c r="FR6" s="325">
        <f t="shared" ref="FR6:FR35" si="5">SUM(EY6+FD6)</f>
        <v>4836</v>
      </c>
      <c r="FS6" s="322"/>
    </row>
    <row r="7" spans="1:175" s="3" customFormat="1" ht="13.5" customHeight="1" x14ac:dyDescent="0.2">
      <c r="A7" s="310">
        <v>3</v>
      </c>
      <c r="B7" s="313">
        <f>'Finance Only'!G10</f>
        <v>40.799999999999997</v>
      </c>
      <c r="C7" s="308">
        <f t="shared" ref="C7:C35" si="6">D6</f>
        <v>26091140</v>
      </c>
      <c r="D7" s="251">
        <v>26093621</v>
      </c>
      <c r="E7" s="252">
        <f t="shared" ref="E7:E35" si="7">MAX(0,D7-C7)</f>
        <v>2481</v>
      </c>
      <c r="F7" s="263">
        <f t="shared" ref="F7:F34" si="8">E7-E6</f>
        <v>3</v>
      </c>
      <c r="G7" s="264">
        <f>(E7/'Finance Only'!B10)*100</f>
        <v>9.5192418370870584</v>
      </c>
      <c r="H7" s="274">
        <f t="shared" ref="H7:H35" si="9">I6</f>
        <v>23541584</v>
      </c>
      <c r="I7" s="251">
        <v>23545962</v>
      </c>
      <c r="J7" s="251">
        <f t="shared" ref="J7:J35" si="10">MAX(0,I7-H7)</f>
        <v>4378</v>
      </c>
      <c r="K7" s="275">
        <f t="shared" ref="K7:K34" si="11">J7-J6</f>
        <v>85</v>
      </c>
      <c r="L7" s="276">
        <f>(J7/'Finance Only'!B10)*100</f>
        <v>16.797759275601425</v>
      </c>
      <c r="M7" s="259">
        <f t="shared" ref="M7:M35" si="12">N6</f>
        <v>88396492</v>
      </c>
      <c r="N7" s="253">
        <v>88410629</v>
      </c>
      <c r="O7" s="254">
        <f t="shared" ref="O7:O35" si="13">MAX(0,N7-M7)</f>
        <v>14137</v>
      </c>
      <c r="P7" s="267">
        <f t="shared" ref="P7:P34" si="14">O7-O6</f>
        <v>407</v>
      </c>
      <c r="Q7" s="268">
        <f>(O7/'Finance Only'!B10)*100</f>
        <v>54.241645244215938</v>
      </c>
      <c r="R7" s="258">
        <f t="shared" ref="R7:R35" si="15">S6</f>
        <v>2377400</v>
      </c>
      <c r="S7" s="253">
        <v>2379200</v>
      </c>
      <c r="T7" s="254">
        <f t="shared" ref="T7:T35" si="16">MAX(0,S7-R7)</f>
        <v>1800</v>
      </c>
      <c r="U7" s="267">
        <f t="shared" ref="U7:U34" si="17">T7-T6</f>
        <v>-100</v>
      </c>
      <c r="V7" s="268">
        <f>(T7/'Finance Only'!B10)*100</f>
        <v>6.9063423243678788</v>
      </c>
      <c r="W7" s="253">
        <f t="shared" ref="W7:W35" si="18">X6</f>
        <v>3250632</v>
      </c>
      <c r="X7" s="253">
        <v>3253486</v>
      </c>
      <c r="Y7" s="254">
        <f t="shared" ref="Y7:Y35" si="19">MAX(0,X7-W7)</f>
        <v>2854</v>
      </c>
      <c r="Z7" s="267">
        <f t="shared" ref="Z7:Z34" si="20">Y7-Y6</f>
        <v>41</v>
      </c>
      <c r="AA7" s="268">
        <f>(Y7/'Finance Only'!B10)*100</f>
        <v>10.950389440969957</v>
      </c>
      <c r="AB7" s="253">
        <f t="shared" ref="AB7:AB35" si="21">AC6</f>
        <v>2020600</v>
      </c>
      <c r="AC7" s="253">
        <v>2023200</v>
      </c>
      <c r="AD7" s="254">
        <f t="shared" ref="AD7:AD35" si="22">MAX(0,AC7-AB7)</f>
        <v>2600</v>
      </c>
      <c r="AE7" s="267">
        <f t="shared" ref="AE7:AE34" si="23">AD7-AD6</f>
        <v>200</v>
      </c>
      <c r="AF7" s="268">
        <f>(AD7/'Finance Only'!B10)*100</f>
        <v>9.9758278018647122</v>
      </c>
      <c r="AG7" s="253">
        <f t="shared" ref="AG7:AG35" si="24">AH6</f>
        <v>886349</v>
      </c>
      <c r="AH7" s="253">
        <v>887192</v>
      </c>
      <c r="AI7" s="254">
        <f t="shared" ref="AI7:AI35" si="25">MAX(0,AH7-AG7)</f>
        <v>843</v>
      </c>
      <c r="AJ7" s="267">
        <f t="shared" ref="AJ7:AJ34" si="26">AI7-AI6</f>
        <v>-38</v>
      </c>
      <c r="AK7" s="268">
        <f>(AI7/'Finance Only'!B10)*100</f>
        <v>3.2344703219122897</v>
      </c>
      <c r="AL7" s="253">
        <f t="shared" ref="AL7:AL35" si="27">AM6</f>
        <v>897180</v>
      </c>
      <c r="AM7" s="253">
        <v>897860</v>
      </c>
      <c r="AN7" s="254">
        <f t="shared" ref="AN7:AN35" si="28">MAX(0,AM7-AL7)</f>
        <v>680</v>
      </c>
      <c r="AO7" s="267">
        <f t="shared" ref="AO7:AO34" si="29">AN7-AN6</f>
        <v>0</v>
      </c>
      <c r="AP7" s="268">
        <f>(AN7/'Finance Only'!B10)*100</f>
        <v>2.6090626558723096</v>
      </c>
      <c r="AQ7" s="253">
        <f t="shared" ref="AQ7:AQ35" si="30">AR6</f>
        <v>2010500</v>
      </c>
      <c r="AR7" s="253">
        <v>2011900</v>
      </c>
      <c r="AS7" s="254">
        <f t="shared" ref="AS7:AS35" si="31">MAX(0,AR7-AQ7)</f>
        <v>1400</v>
      </c>
      <c r="AT7" s="267">
        <f t="shared" ref="AT7:AT34" si="32">AS7-AS6</f>
        <v>-300</v>
      </c>
      <c r="AU7" s="268">
        <f>(AS7/'Finance Only'!B10)*100</f>
        <v>5.3715995856194603</v>
      </c>
      <c r="AV7" s="253">
        <f t="shared" ref="AV7:AV35" si="33">AW6</f>
        <v>582206</v>
      </c>
      <c r="AW7" s="253">
        <v>582607</v>
      </c>
      <c r="AX7" s="254">
        <f t="shared" ref="AX7:AX35" si="34">MAX(0,AW7-AV7)</f>
        <v>401</v>
      </c>
      <c r="AY7" s="267">
        <f t="shared" ref="AY7:AY34" si="35">AX7-AX6</f>
        <v>9</v>
      </c>
      <c r="AZ7" s="268">
        <f>(AX7/'Finance Only'!B10)*100</f>
        <v>1.5385795955952883</v>
      </c>
      <c r="BA7" s="253">
        <f t="shared" ref="BA7:BA35" si="36">BB6</f>
        <v>826060</v>
      </c>
      <c r="BB7" s="253">
        <v>826970</v>
      </c>
      <c r="BC7" s="254">
        <f t="shared" ref="BC7:BC35" si="37">MAX(0,BB7-BA7)</f>
        <v>910</v>
      </c>
      <c r="BD7" s="267">
        <f t="shared" ref="BD7:BD34" si="38">BC7-BC6</f>
        <v>70</v>
      </c>
      <c r="BE7" s="268">
        <f>(BC7/'Finance Only'!B10)*100</f>
        <v>3.4915397306526494</v>
      </c>
      <c r="BF7" s="253">
        <f t="shared" ref="BF7:BF35" si="39">BG6</f>
        <v>912220</v>
      </c>
      <c r="BG7" s="253">
        <v>913080</v>
      </c>
      <c r="BH7" s="254">
        <f t="shared" ref="BH7:BH35" si="40">MAX(0,BG7-BF7)</f>
        <v>860</v>
      </c>
      <c r="BI7" s="267">
        <f t="shared" ref="BI7:BI34" si="41">BH7-BH6</f>
        <v>90</v>
      </c>
      <c r="BJ7" s="268">
        <f>(BH7/'Finance Only'!B10)*100</f>
        <v>3.2996968883090969</v>
      </c>
      <c r="BK7" s="253">
        <f t="shared" ref="BK7:BK35" si="42">BL6</f>
        <v>1414700</v>
      </c>
      <c r="BL7" s="253">
        <v>1415500</v>
      </c>
      <c r="BM7" s="254">
        <f t="shared" ref="BM7:BM35" si="43">MAX(0,BL7-BK7)</f>
        <v>800</v>
      </c>
      <c r="BN7" s="267">
        <f t="shared" ref="BN7:BN34" si="44">BM7-BM6</f>
        <v>0</v>
      </c>
      <c r="BO7" s="268">
        <f>(BM7/'Finance Only'!B10)*100</f>
        <v>3.0694854774968348</v>
      </c>
      <c r="BP7" s="253">
        <f t="shared" ref="BP7:BP35" si="45">BQ6</f>
        <v>915030</v>
      </c>
      <c r="BQ7" s="253">
        <v>916640</v>
      </c>
      <c r="BR7" s="254">
        <f t="shared" ref="BR7:BR35" si="46">MAX(0,BQ7-BP7)</f>
        <v>1610</v>
      </c>
      <c r="BS7" s="267">
        <f t="shared" ref="BS7:BS34" si="47">BR7-BR6</f>
        <v>130</v>
      </c>
      <c r="BT7" s="268">
        <f>(BR7/'Finance Only'!B10)*100</f>
        <v>6.1773395234623791</v>
      </c>
      <c r="BU7" s="253">
        <f t="shared" ref="BU7:BU35" si="48">BV6</f>
        <v>4456300</v>
      </c>
      <c r="BV7" s="253">
        <v>4460700</v>
      </c>
      <c r="BW7" s="254">
        <f t="shared" ref="BW7:BW35" si="49">MAX(0,BV7-BU7)</f>
        <v>4400</v>
      </c>
      <c r="BX7" s="267">
        <f t="shared" ref="BX7:BX34" si="50">BW7-BW6</f>
        <v>400</v>
      </c>
      <c r="BY7" s="268">
        <f>(BW7/'Finance Only'!B10)*100</f>
        <v>16.882170126232591</v>
      </c>
      <c r="BZ7" s="253">
        <f t="shared" ref="BZ7:BZ35" si="51">CA6</f>
        <v>718810</v>
      </c>
      <c r="CA7" s="253">
        <v>719990</v>
      </c>
      <c r="CB7" s="254">
        <f t="shared" ref="CB7:CB35" si="52">MAX(0,CA7-BZ7)</f>
        <v>1180</v>
      </c>
      <c r="CC7" s="267">
        <f t="shared" ref="CC7:CC34" si="53">CB7-CB6</f>
        <v>-30</v>
      </c>
      <c r="CD7" s="268">
        <f>(CB7/'Finance Only'!B10)*100</f>
        <v>4.5274910793078309</v>
      </c>
      <c r="CE7" s="253">
        <f t="shared" ref="CE7:CE35" si="54">CF6</f>
        <v>221190</v>
      </c>
      <c r="CF7" s="253">
        <v>221640</v>
      </c>
      <c r="CG7" s="254">
        <f t="shared" ref="CG7:CG35" si="55">MAX(0,CF7-CE7)</f>
        <v>450</v>
      </c>
      <c r="CH7" s="267">
        <f t="shared" ref="CH7:CH34" si="56">CG7-CG6</f>
        <v>20</v>
      </c>
      <c r="CI7" s="268">
        <f>(CG7/'Finance Only'!B10)*100</f>
        <v>1.7265855810919697</v>
      </c>
      <c r="CJ7" s="254">
        <f t="shared" ref="CJ7:CJ35" si="57">CK6</f>
        <v>500280</v>
      </c>
      <c r="CK7" s="254">
        <v>501250</v>
      </c>
      <c r="CL7" s="254">
        <f t="shared" ref="CL7:CL35" si="58">MAX(0,CK7-CJ7)</f>
        <v>970</v>
      </c>
      <c r="CM7" s="267">
        <f t="shared" ref="CM7:CM34" si="59">CL7-CL6</f>
        <v>-30</v>
      </c>
      <c r="CN7" s="268">
        <f>(CL7/'Finance Only'!B10)*100</f>
        <v>3.721751141464912</v>
      </c>
      <c r="CO7" s="253">
        <f>CP6</f>
        <v>406500</v>
      </c>
      <c r="CP7" s="253">
        <v>407370</v>
      </c>
      <c r="CQ7" s="255">
        <f>MAX(0,CP7-CO7)</f>
        <v>870</v>
      </c>
      <c r="CR7" s="267">
        <f t="shared" ref="CR7:CR34" si="60">CQ7-CQ6</f>
        <v>10</v>
      </c>
      <c r="CS7" s="268">
        <f>(CQ7/'Finance Only'!B10)*100</f>
        <v>3.3380654567778079</v>
      </c>
      <c r="CT7" s="253">
        <f t="shared" ref="CT7:CT35" si="61">CU6</f>
        <v>343090</v>
      </c>
      <c r="CU7" s="253">
        <v>343700</v>
      </c>
      <c r="CV7" s="254">
        <f t="shared" ref="CV7:CV35" si="62">MAX(0,CU7-CT7)</f>
        <v>610</v>
      </c>
      <c r="CW7" s="267">
        <f t="shared" ref="CW7:CW34" si="63">CV7-CV6</f>
        <v>0</v>
      </c>
      <c r="CX7" s="268">
        <f>(CV7/'Finance Only'!B10)*100</f>
        <v>2.3404826765913365</v>
      </c>
      <c r="CY7" s="253">
        <f t="shared" ref="CY7:CY35" si="64">CZ6</f>
        <v>595430</v>
      </c>
      <c r="CZ7" s="253">
        <v>596480</v>
      </c>
      <c r="DA7" s="254">
        <f t="shared" ref="DA7:DA35" si="65">MAX(0,CZ7-CY7)</f>
        <v>1050</v>
      </c>
      <c r="DB7" s="267">
        <f t="shared" ref="DB7:DB34" si="66">DA7-DA6</f>
        <v>20</v>
      </c>
      <c r="DC7" s="268">
        <f>(DA7/'Finance Only'!B10)*100</f>
        <v>4.0286996892145952</v>
      </c>
      <c r="DD7" s="253">
        <f t="shared" ref="DD7:DD35" si="67">DE6</f>
        <v>447060</v>
      </c>
      <c r="DE7" s="253">
        <v>447880</v>
      </c>
      <c r="DF7" s="254">
        <f t="shared" ref="DF7:DF35" si="68">MAX(0,DE7-DD7)</f>
        <v>820</v>
      </c>
      <c r="DG7" s="267">
        <f t="shared" ref="DG7:DG34" si="69">DF7-DF6</f>
        <v>-70</v>
      </c>
      <c r="DH7" s="268">
        <f>(DF7/'Finance Only'!B10)*100</f>
        <v>3.1462226144342553</v>
      </c>
      <c r="DI7" s="253">
        <f t="shared" ref="DI7:DI35" si="70">DJ6</f>
        <v>408790</v>
      </c>
      <c r="DJ7" s="253">
        <v>409530</v>
      </c>
      <c r="DK7" s="254">
        <f t="shared" ref="DK7:DK35" si="71">MAX(0,DJ7-DI7)</f>
        <v>740</v>
      </c>
      <c r="DL7" s="267">
        <f t="shared" ref="DL7:DL34" si="72">DK7-DK6</f>
        <v>-30</v>
      </c>
      <c r="DM7" s="268">
        <f>(DK7/'Finance Only'!B10)*100</f>
        <v>2.8392740666845722</v>
      </c>
      <c r="DN7" s="253">
        <f t="shared" ref="DN7:DN35" si="73">DO6</f>
        <v>239680</v>
      </c>
      <c r="DO7" s="253">
        <v>239850</v>
      </c>
      <c r="DP7" s="254">
        <f t="shared" ref="DP7:DP35" si="74">MAX(0,DO7-DN7)</f>
        <v>170</v>
      </c>
      <c r="DQ7" s="267">
        <f t="shared" ref="DQ7:DQ34" si="75">DP7-DP6</f>
        <v>-10</v>
      </c>
      <c r="DR7" s="268">
        <f>(DP7/'Finance Only'!B10)*100</f>
        <v>0.65226566396807739</v>
      </c>
      <c r="DS7" s="253">
        <f t="shared" ref="DS7:DS35" si="76">DT6</f>
        <v>71818</v>
      </c>
      <c r="DT7" s="253">
        <v>71943</v>
      </c>
      <c r="DU7" s="254">
        <f t="shared" ref="DU7:DU35" si="77">MAX(0,DT7-DS7)</f>
        <v>125</v>
      </c>
      <c r="DV7" s="267">
        <f t="shared" ref="DV7:DV34" si="78">DU7-DU6</f>
        <v>1</v>
      </c>
      <c r="DW7" s="268">
        <f>(DU7/'Finance Only'!B10)*100</f>
        <v>0.47960710585888039</v>
      </c>
      <c r="DX7" s="253">
        <f t="shared" ref="DX7:DX35" si="79">DY6</f>
        <v>466480</v>
      </c>
      <c r="DY7" s="253">
        <v>467160</v>
      </c>
      <c r="DZ7" s="254">
        <f t="shared" ref="DZ7:DZ35" si="80">MAX(0,DY7-DX7)</f>
        <v>680</v>
      </c>
      <c r="EA7" s="267">
        <f t="shared" ref="EA7:EA34" si="81">DZ7-DZ6</f>
        <v>-20</v>
      </c>
      <c r="EB7" s="268">
        <f>(DZ7/'Finance Only'!B10)*100</f>
        <v>2.6090626558723096</v>
      </c>
      <c r="EC7" s="253">
        <f t="shared" ref="EC7:EC35" si="82">ED6</f>
        <v>148700</v>
      </c>
      <c r="ED7" s="253">
        <v>148950</v>
      </c>
      <c r="EE7" s="254">
        <f t="shared" ref="EE7:EE35" si="83">MAX(0,ED7-EC7)</f>
        <v>250</v>
      </c>
      <c r="EF7" s="267">
        <f t="shared" ref="EF7:EF34" si="84">EE7-EE6</f>
        <v>-10</v>
      </c>
      <c r="EG7" s="268">
        <f>(EE7/'Finance Only'!B10)*100</f>
        <v>0.95921421171776078</v>
      </c>
      <c r="EH7" s="253">
        <f t="shared" ref="EH7:EH35" si="85">EI6</f>
        <v>149350</v>
      </c>
      <c r="EI7" s="253">
        <v>149570</v>
      </c>
      <c r="EJ7" s="254">
        <f t="shared" ref="EJ7:EJ35" si="86">MAX(0,EI7-EH7)</f>
        <v>220</v>
      </c>
      <c r="EK7" s="267">
        <f t="shared" ref="EK7:EK34" si="87">EJ7-EJ6</f>
        <v>-120</v>
      </c>
      <c r="EL7" s="268">
        <f>(EJ7/'Finance Only'!B10)*100</f>
        <v>0.84410850631162948</v>
      </c>
      <c r="EM7" s="253">
        <f t="shared" ref="EM7:EM35" si="88">EN6</f>
        <v>274920</v>
      </c>
      <c r="EN7" s="253">
        <v>278420</v>
      </c>
      <c r="EO7" s="254">
        <f t="shared" ref="EO7:EO35" si="89">MAX(0,EN7-EM7)</f>
        <v>3500</v>
      </c>
      <c r="EP7" s="267">
        <f t="shared" ref="EP7:EP34" si="90">EO7-EO6</f>
        <v>2980</v>
      </c>
      <c r="EQ7" s="268">
        <f>(EO7/'Finance Only'!B10)*100</f>
        <v>13.428998964048652</v>
      </c>
      <c r="ER7" s="253">
        <f t="shared" ref="ER7:ER35" si="91">ES6</f>
        <v>0</v>
      </c>
      <c r="ES7" s="253"/>
      <c r="ET7" s="254">
        <f t="shared" ref="ET7:ET35" si="92">MAX(0,ES7-ER7)</f>
        <v>0</v>
      </c>
      <c r="EU7" s="267">
        <f t="shared" ref="EU7:EU34" si="93">ET7-ET6</f>
        <v>0</v>
      </c>
      <c r="EV7" s="268">
        <f>(ET7/'Finance Only'!B10)*100</f>
        <v>0</v>
      </c>
      <c r="EW7" s="253">
        <f t="shared" ref="EW7:EW35" si="94">EX6</f>
        <v>73006</v>
      </c>
      <c r="EX7" s="253">
        <v>73218</v>
      </c>
      <c r="EY7" s="254">
        <f t="shared" ref="EY7:EY35" si="95">MAX(0,EX7-EW7)</f>
        <v>212</v>
      </c>
      <c r="EZ7" s="267">
        <f t="shared" ref="EZ7:EZ35" si="96">EY7-EY6</f>
        <v>-154</v>
      </c>
      <c r="FA7" s="268">
        <f>(EY7/'Finance Only'!G10)*100</f>
        <v>519.60784313725492</v>
      </c>
      <c r="FB7" s="253">
        <f t="shared" ref="FB7:FB35" si="97">FC6</f>
        <v>729940</v>
      </c>
      <c r="FC7" s="253">
        <v>731530</v>
      </c>
      <c r="FD7" s="254">
        <f t="shared" ref="FD7:FD35" si="98">MAX(0,FC7-FB7)</f>
        <v>1590</v>
      </c>
      <c r="FE7" s="267">
        <f t="shared" ref="FE7:FE35" si="99">FD7-FD6</f>
        <v>-2880</v>
      </c>
      <c r="FF7" s="268" t="e">
        <f>(FD7/'Finance Only'!M10)*100</f>
        <v>#DIV/0!</v>
      </c>
      <c r="FG7" s="319"/>
      <c r="FH7" s="325">
        <f t="shared" si="0"/>
        <v>6859</v>
      </c>
      <c r="FI7" s="322"/>
      <c r="FJ7" s="325">
        <f t="shared" si="1"/>
        <v>9304</v>
      </c>
      <c r="FK7" s="322"/>
      <c r="FL7" s="325">
        <f t="shared" si="2"/>
        <v>2080</v>
      </c>
      <c r="FM7" s="322"/>
      <c r="FN7" s="325">
        <f t="shared" si="3"/>
        <v>2171</v>
      </c>
      <c r="FO7" s="322"/>
      <c r="FP7" s="325">
        <f t="shared" si="4"/>
        <v>2410</v>
      </c>
      <c r="FQ7" s="322"/>
      <c r="FR7" s="325">
        <f t="shared" si="5"/>
        <v>1802</v>
      </c>
      <c r="FS7" s="322"/>
    </row>
    <row r="8" spans="1:175" s="3" customFormat="1" ht="13.5" customHeight="1" x14ac:dyDescent="0.2">
      <c r="A8" s="310">
        <v>4</v>
      </c>
      <c r="B8" s="313">
        <f>'Finance Only'!G11</f>
        <v>36.9</v>
      </c>
      <c r="C8" s="308">
        <f t="shared" si="6"/>
        <v>26093621</v>
      </c>
      <c r="D8" s="251">
        <v>26096084</v>
      </c>
      <c r="E8" s="252">
        <f t="shared" si="7"/>
        <v>2463</v>
      </c>
      <c r="F8" s="263">
        <f t="shared" si="8"/>
        <v>-18</v>
      </c>
      <c r="G8" s="264">
        <f>(E8/'Finance Only'!B11)*100</f>
        <v>9.0996416300291862</v>
      </c>
      <c r="H8" s="274">
        <f t="shared" si="9"/>
        <v>23545962</v>
      </c>
      <c r="I8" s="251">
        <v>23550078</v>
      </c>
      <c r="J8" s="251">
        <f t="shared" si="10"/>
        <v>4116</v>
      </c>
      <c r="K8" s="275">
        <f t="shared" si="11"/>
        <v>-262</v>
      </c>
      <c r="L8" s="276">
        <f>(J8/'Finance Only'!B11)*100</f>
        <v>15.206709276979346</v>
      </c>
      <c r="M8" s="259">
        <f t="shared" si="12"/>
        <v>88410629</v>
      </c>
      <c r="N8" s="253">
        <v>88425253</v>
      </c>
      <c r="O8" s="254">
        <f t="shared" si="13"/>
        <v>14624</v>
      </c>
      <c r="P8" s="267">
        <f t="shared" si="14"/>
        <v>487</v>
      </c>
      <c r="Q8" s="268">
        <f>(O8/'Finance Only'!B11)*100</f>
        <v>54.02889126981195</v>
      </c>
      <c r="R8" s="258">
        <f>S7</f>
        <v>2379200</v>
      </c>
      <c r="S8" s="253">
        <v>2381100</v>
      </c>
      <c r="T8" s="254">
        <f t="shared" si="16"/>
        <v>1900</v>
      </c>
      <c r="U8" s="267">
        <f t="shared" si="17"/>
        <v>100</v>
      </c>
      <c r="V8" s="268">
        <f>(T8/'Finance Only'!B11)*100</f>
        <v>7.0196179850001847</v>
      </c>
      <c r="W8" s="253">
        <f t="shared" si="18"/>
        <v>3253486</v>
      </c>
      <c r="X8" s="253">
        <v>3256314</v>
      </c>
      <c r="Y8" s="254">
        <f t="shared" si="19"/>
        <v>2828</v>
      </c>
      <c r="Z8" s="267">
        <f t="shared" si="20"/>
        <v>-26</v>
      </c>
      <c r="AA8" s="268">
        <f>(Y8/'Finance Only'!B11)*100</f>
        <v>10.448147190305539</v>
      </c>
      <c r="AB8" s="253">
        <f t="shared" si="21"/>
        <v>2023200</v>
      </c>
      <c r="AC8" s="253">
        <v>2025700</v>
      </c>
      <c r="AD8" s="254">
        <f t="shared" si="22"/>
        <v>2500</v>
      </c>
      <c r="AE8" s="267">
        <f t="shared" si="23"/>
        <v>-100</v>
      </c>
      <c r="AF8" s="268">
        <f>(AD8/'Finance Only'!B11)*100</f>
        <v>9.2363394539476111</v>
      </c>
      <c r="AG8" s="253">
        <f t="shared" si="24"/>
        <v>887192</v>
      </c>
      <c r="AH8" s="253">
        <v>888077</v>
      </c>
      <c r="AI8" s="254">
        <f t="shared" si="25"/>
        <v>885</v>
      </c>
      <c r="AJ8" s="267">
        <f t="shared" si="26"/>
        <v>42</v>
      </c>
      <c r="AK8" s="268">
        <f>(AI8/'Finance Only'!B11)*100</f>
        <v>3.2696641666974542</v>
      </c>
      <c r="AL8" s="253">
        <f t="shared" si="27"/>
        <v>897860</v>
      </c>
      <c r="AM8" s="253">
        <v>898500</v>
      </c>
      <c r="AN8" s="254">
        <f t="shared" si="28"/>
        <v>640</v>
      </c>
      <c r="AO8" s="267">
        <f t="shared" si="29"/>
        <v>-40</v>
      </c>
      <c r="AP8" s="268">
        <f>(AN8/'Finance Only'!B11)*100</f>
        <v>2.3645029002105886</v>
      </c>
      <c r="AQ8" s="253">
        <f t="shared" si="30"/>
        <v>2011900</v>
      </c>
      <c r="AR8" s="253">
        <v>2013700</v>
      </c>
      <c r="AS8" s="254">
        <f t="shared" si="31"/>
        <v>1800</v>
      </c>
      <c r="AT8" s="267">
        <f t="shared" si="32"/>
        <v>400</v>
      </c>
      <c r="AU8" s="268">
        <f>(AS8/'Finance Only'!B11)*100</f>
        <v>6.6501644068422809</v>
      </c>
      <c r="AV8" s="253">
        <f t="shared" si="33"/>
        <v>582607</v>
      </c>
      <c r="AW8" s="253">
        <v>582992</v>
      </c>
      <c r="AX8" s="254">
        <f t="shared" si="34"/>
        <v>385</v>
      </c>
      <c r="AY8" s="267">
        <f t="shared" si="35"/>
        <v>-16</v>
      </c>
      <c r="AZ8" s="268">
        <f>(AX8/'Finance Only'!B11)*100</f>
        <v>1.4223962759079323</v>
      </c>
      <c r="BA8" s="253">
        <f t="shared" si="36"/>
        <v>826970</v>
      </c>
      <c r="BB8" s="253">
        <v>827980</v>
      </c>
      <c r="BC8" s="254">
        <f t="shared" si="37"/>
        <v>1010</v>
      </c>
      <c r="BD8" s="267">
        <f t="shared" si="38"/>
        <v>100</v>
      </c>
      <c r="BE8" s="268">
        <f>(BC8/'Finance Only'!B11)*100</f>
        <v>3.7314811393948348</v>
      </c>
      <c r="BF8" s="253">
        <f t="shared" si="39"/>
        <v>913080</v>
      </c>
      <c r="BG8" s="253">
        <v>914040</v>
      </c>
      <c r="BH8" s="254">
        <f t="shared" si="40"/>
        <v>960</v>
      </c>
      <c r="BI8" s="267">
        <f t="shared" si="41"/>
        <v>100</v>
      </c>
      <c r="BJ8" s="268">
        <f>(BH8/'Finance Only'!B11)*100</f>
        <v>3.5467543503158829</v>
      </c>
      <c r="BK8" s="253">
        <f t="shared" si="42"/>
        <v>1415500</v>
      </c>
      <c r="BL8" s="253">
        <v>1416300</v>
      </c>
      <c r="BM8" s="254">
        <f t="shared" si="43"/>
        <v>800</v>
      </c>
      <c r="BN8" s="267">
        <f t="shared" si="44"/>
        <v>0</v>
      </c>
      <c r="BO8" s="268">
        <f>(BM8/'Finance Only'!B11)*100</f>
        <v>2.9556286252632358</v>
      </c>
      <c r="BP8" s="253">
        <f t="shared" si="45"/>
        <v>916640</v>
      </c>
      <c r="BQ8" s="253">
        <v>918330</v>
      </c>
      <c r="BR8" s="254">
        <f t="shared" si="46"/>
        <v>1690</v>
      </c>
      <c r="BS8" s="267">
        <f t="shared" si="47"/>
        <v>80</v>
      </c>
      <c r="BT8" s="268">
        <f>(BR8/'Finance Only'!B11)*100</f>
        <v>6.2437654708685857</v>
      </c>
      <c r="BU8" s="253">
        <f t="shared" si="48"/>
        <v>4460700</v>
      </c>
      <c r="BV8" s="253">
        <v>4465400</v>
      </c>
      <c r="BW8" s="254">
        <f t="shared" si="49"/>
        <v>4700</v>
      </c>
      <c r="BX8" s="267">
        <f t="shared" si="50"/>
        <v>300</v>
      </c>
      <c r="BY8" s="268">
        <f>(BW8/'Finance Only'!B11)*100</f>
        <v>17.364318173421509</v>
      </c>
      <c r="BZ8" s="253">
        <f t="shared" si="51"/>
        <v>719990</v>
      </c>
      <c r="CA8" s="253">
        <v>721160</v>
      </c>
      <c r="CB8" s="254">
        <f t="shared" si="52"/>
        <v>1170</v>
      </c>
      <c r="CC8" s="267">
        <f t="shared" si="53"/>
        <v>-10</v>
      </c>
      <c r="CD8" s="268">
        <f>(CB8/'Finance Only'!B11)*100</f>
        <v>4.322606864447482</v>
      </c>
      <c r="CE8" s="253">
        <f t="shared" si="54"/>
        <v>221640</v>
      </c>
      <c r="CF8" s="253">
        <v>222000</v>
      </c>
      <c r="CG8" s="254">
        <f t="shared" si="55"/>
        <v>360</v>
      </c>
      <c r="CH8" s="267">
        <f t="shared" si="56"/>
        <v>-90</v>
      </c>
      <c r="CI8" s="268">
        <f>(CG8/'Finance Only'!B11)*100</f>
        <v>1.3300328813684561</v>
      </c>
      <c r="CJ8" s="254">
        <f t="shared" si="57"/>
        <v>501250</v>
      </c>
      <c r="CK8" s="254">
        <v>502200</v>
      </c>
      <c r="CL8" s="254">
        <f t="shared" si="58"/>
        <v>950</v>
      </c>
      <c r="CM8" s="267">
        <f t="shared" si="59"/>
        <v>-20</v>
      </c>
      <c r="CN8" s="268">
        <f>(CL8/'Finance Only'!B11)*100</f>
        <v>3.5098089925000924</v>
      </c>
      <c r="CO8" s="253">
        <f>CP7</f>
        <v>407370</v>
      </c>
      <c r="CP8" s="253">
        <v>408140</v>
      </c>
      <c r="CQ8" s="255">
        <f>MAX(0,CP8-CO8)</f>
        <v>770</v>
      </c>
      <c r="CR8" s="267">
        <f t="shared" si="60"/>
        <v>-100</v>
      </c>
      <c r="CS8" s="268">
        <f>(CQ8/'Finance Only'!B11)*100</f>
        <v>2.8447925518158645</v>
      </c>
      <c r="CT8" s="253">
        <f t="shared" si="61"/>
        <v>343700</v>
      </c>
      <c r="CU8" s="253">
        <v>344320</v>
      </c>
      <c r="CV8" s="254">
        <f t="shared" si="62"/>
        <v>620</v>
      </c>
      <c r="CW8" s="267">
        <f t="shared" si="63"/>
        <v>10</v>
      </c>
      <c r="CX8" s="268">
        <f>(CV8/'Finance Only'!B11)*100</f>
        <v>2.2906121845790075</v>
      </c>
      <c r="CY8" s="253">
        <f t="shared" si="64"/>
        <v>596480</v>
      </c>
      <c r="CZ8" s="253">
        <v>597720</v>
      </c>
      <c r="DA8" s="254">
        <f t="shared" si="65"/>
        <v>1240</v>
      </c>
      <c r="DB8" s="267">
        <f t="shared" si="66"/>
        <v>190</v>
      </c>
      <c r="DC8" s="268">
        <f>(DA8/'Finance Only'!B11)*100</f>
        <v>4.581224369158015</v>
      </c>
      <c r="DD8" s="253">
        <f t="shared" si="67"/>
        <v>447880</v>
      </c>
      <c r="DE8" s="253">
        <v>448660</v>
      </c>
      <c r="DF8" s="254">
        <f t="shared" si="68"/>
        <v>780</v>
      </c>
      <c r="DG8" s="267">
        <f t="shared" si="69"/>
        <v>-40</v>
      </c>
      <c r="DH8" s="268">
        <f>(DF8/'Finance Only'!B11)*100</f>
        <v>2.8817379096316551</v>
      </c>
      <c r="DI8" s="253">
        <f t="shared" si="70"/>
        <v>409530</v>
      </c>
      <c r="DJ8" s="253">
        <v>410240</v>
      </c>
      <c r="DK8" s="254">
        <f t="shared" si="71"/>
        <v>710</v>
      </c>
      <c r="DL8" s="267">
        <f t="shared" si="72"/>
        <v>-30</v>
      </c>
      <c r="DM8" s="268">
        <f>(DK8/'Finance Only'!B11)*100</f>
        <v>2.6231204049211216</v>
      </c>
      <c r="DN8" s="253">
        <f t="shared" si="73"/>
        <v>239850</v>
      </c>
      <c r="DO8" s="253">
        <v>240030</v>
      </c>
      <c r="DP8" s="254">
        <f t="shared" si="74"/>
        <v>180</v>
      </c>
      <c r="DQ8" s="267">
        <f t="shared" si="75"/>
        <v>10</v>
      </c>
      <c r="DR8" s="268">
        <f>(DP8/'Finance Only'!B11)*100</f>
        <v>0.66501644068422805</v>
      </c>
      <c r="DS8" s="253">
        <f t="shared" si="76"/>
        <v>71943</v>
      </c>
      <c r="DT8" s="253">
        <v>72095</v>
      </c>
      <c r="DU8" s="254">
        <f t="shared" si="77"/>
        <v>152</v>
      </c>
      <c r="DV8" s="267">
        <f t="shared" si="78"/>
        <v>27</v>
      </c>
      <c r="DW8" s="268">
        <f>(DU8/'Finance Only'!B11)*100</f>
        <v>0.56156943880001475</v>
      </c>
      <c r="DX8" s="253">
        <f t="shared" si="79"/>
        <v>467160</v>
      </c>
      <c r="DY8" s="253">
        <v>467920</v>
      </c>
      <c r="DZ8" s="254">
        <f t="shared" si="80"/>
        <v>760</v>
      </c>
      <c r="EA8" s="267">
        <f t="shared" si="81"/>
        <v>80</v>
      </c>
      <c r="EB8" s="268">
        <f>(DZ8/'Finance Only'!B11)*100</f>
        <v>2.8078471940000735</v>
      </c>
      <c r="EC8" s="253">
        <f t="shared" si="82"/>
        <v>148950</v>
      </c>
      <c r="ED8" s="253">
        <v>149720</v>
      </c>
      <c r="EE8" s="254">
        <f t="shared" si="83"/>
        <v>770</v>
      </c>
      <c r="EF8" s="267">
        <f t="shared" si="84"/>
        <v>520</v>
      </c>
      <c r="EG8" s="268">
        <f>(EE8/'Finance Only'!B11)*100</f>
        <v>2.8447925518158645</v>
      </c>
      <c r="EH8" s="253">
        <f t="shared" si="85"/>
        <v>149570</v>
      </c>
      <c r="EI8" s="253">
        <v>149910</v>
      </c>
      <c r="EJ8" s="254">
        <f t="shared" si="86"/>
        <v>340</v>
      </c>
      <c r="EK8" s="267">
        <f t="shared" si="87"/>
        <v>120</v>
      </c>
      <c r="EL8" s="268">
        <f>(EJ8/'Finance Only'!B11)*100</f>
        <v>1.2561421657368752</v>
      </c>
      <c r="EM8" s="253">
        <f t="shared" si="88"/>
        <v>278420</v>
      </c>
      <c r="EN8" s="253">
        <v>275970</v>
      </c>
      <c r="EO8" s="254">
        <f t="shared" si="89"/>
        <v>0</v>
      </c>
      <c r="EP8" s="267">
        <f t="shared" si="90"/>
        <v>-3500</v>
      </c>
      <c r="EQ8" s="268">
        <f>(EO8/'Finance Only'!B11)*100</f>
        <v>0</v>
      </c>
      <c r="ER8" s="253">
        <f t="shared" si="91"/>
        <v>0</v>
      </c>
      <c r="ES8" s="253"/>
      <c r="ET8" s="254">
        <f t="shared" si="92"/>
        <v>0</v>
      </c>
      <c r="EU8" s="267">
        <f t="shared" si="93"/>
        <v>0</v>
      </c>
      <c r="EV8" s="268">
        <f>(ET8/'Finance Only'!B11)*100</f>
        <v>0</v>
      </c>
      <c r="EW8" s="253">
        <f t="shared" si="94"/>
        <v>73218</v>
      </c>
      <c r="EX8" s="253">
        <v>73619</v>
      </c>
      <c r="EY8" s="254">
        <f t="shared" si="95"/>
        <v>401</v>
      </c>
      <c r="EZ8" s="267">
        <f t="shared" si="96"/>
        <v>189</v>
      </c>
      <c r="FA8" s="268">
        <f>(EY8/'Finance Only'!G11)*100</f>
        <v>1086.7208672086722</v>
      </c>
      <c r="FB8" s="253">
        <f t="shared" si="97"/>
        <v>731530</v>
      </c>
      <c r="FC8" s="253">
        <v>735980</v>
      </c>
      <c r="FD8" s="254">
        <f t="shared" si="98"/>
        <v>4450</v>
      </c>
      <c r="FE8" s="267">
        <f t="shared" si="99"/>
        <v>2860</v>
      </c>
      <c r="FF8" s="268" t="e">
        <f>(FD8/'Finance Only'!M11)*100</f>
        <v>#DIV/0!</v>
      </c>
      <c r="FG8" s="319"/>
      <c r="FH8" s="325">
        <f t="shared" si="0"/>
        <v>6579</v>
      </c>
      <c r="FI8" s="322"/>
      <c r="FJ8" s="325">
        <f t="shared" si="1"/>
        <v>6598</v>
      </c>
      <c r="FK8" s="322"/>
      <c r="FL8" s="325">
        <f t="shared" si="2"/>
        <v>2440</v>
      </c>
      <c r="FM8" s="322"/>
      <c r="FN8" s="325">
        <f t="shared" si="3"/>
        <v>2355</v>
      </c>
      <c r="FO8" s="322"/>
      <c r="FP8" s="325">
        <f t="shared" si="4"/>
        <v>2490</v>
      </c>
      <c r="FQ8" s="322"/>
      <c r="FR8" s="325">
        <f t="shared" si="5"/>
        <v>4851</v>
      </c>
      <c r="FS8" s="322"/>
    </row>
    <row r="9" spans="1:175" s="3" customFormat="1" ht="13.5" customHeight="1" x14ac:dyDescent="0.2">
      <c r="A9" s="310">
        <v>5</v>
      </c>
      <c r="B9" s="313">
        <f>'Finance Only'!G12</f>
        <v>28.2</v>
      </c>
      <c r="C9" s="308">
        <f t="shared" si="6"/>
        <v>26096084</v>
      </c>
      <c r="D9" s="251">
        <v>26098701</v>
      </c>
      <c r="E9" s="252">
        <f t="shared" si="7"/>
        <v>2617</v>
      </c>
      <c r="F9" s="263">
        <f t="shared" si="8"/>
        <v>154</v>
      </c>
      <c r="G9" s="264">
        <f>(E9/'Finance Only'!B12)*100</f>
        <v>10.193588595022007</v>
      </c>
      <c r="H9" s="274">
        <f t="shared" si="9"/>
        <v>23550078</v>
      </c>
      <c r="I9" s="251">
        <v>23554307</v>
      </c>
      <c r="J9" s="251">
        <f t="shared" si="10"/>
        <v>4229</v>
      </c>
      <c r="K9" s="275">
        <f t="shared" si="11"/>
        <v>113</v>
      </c>
      <c r="L9" s="276">
        <f>(J9/'Finance Only'!B12)*100</f>
        <v>16.47255871927706</v>
      </c>
      <c r="M9" s="259">
        <f t="shared" si="12"/>
        <v>88425253</v>
      </c>
      <c r="N9" s="253">
        <v>88438795</v>
      </c>
      <c r="O9" s="254">
        <f t="shared" si="13"/>
        <v>13542</v>
      </c>
      <c r="P9" s="267">
        <f t="shared" si="14"/>
        <v>-1082</v>
      </c>
      <c r="Q9" s="268">
        <f>(O9/'Finance Only'!B12)*100</f>
        <v>52.748023215050836</v>
      </c>
      <c r="R9" s="258">
        <f t="shared" si="15"/>
        <v>2381100</v>
      </c>
      <c r="S9" s="253">
        <v>2382800</v>
      </c>
      <c r="T9" s="254">
        <f t="shared" si="16"/>
        <v>1700</v>
      </c>
      <c r="U9" s="267">
        <f t="shared" si="17"/>
        <v>-200</v>
      </c>
      <c r="V9" s="268">
        <f>(T9/'Finance Only'!B12)*100</f>
        <v>6.6217426868694735</v>
      </c>
      <c r="W9" s="253">
        <f t="shared" si="18"/>
        <v>3256314</v>
      </c>
      <c r="X9" s="253">
        <v>3259191</v>
      </c>
      <c r="Y9" s="254">
        <f t="shared" si="19"/>
        <v>2877</v>
      </c>
      <c r="Z9" s="267">
        <f t="shared" si="20"/>
        <v>49</v>
      </c>
      <c r="AA9" s="268">
        <f>(Y9/'Finance Only'!B12)*100</f>
        <v>11.206325711837339</v>
      </c>
      <c r="AB9" s="253">
        <f t="shared" si="21"/>
        <v>2025700</v>
      </c>
      <c r="AC9" s="253">
        <v>2028100</v>
      </c>
      <c r="AD9" s="254">
        <f t="shared" si="22"/>
        <v>2400</v>
      </c>
      <c r="AE9" s="267">
        <f t="shared" si="23"/>
        <v>-100</v>
      </c>
      <c r="AF9" s="268">
        <f>(AD9/'Finance Only'!B12)*100</f>
        <v>9.3483426167569039</v>
      </c>
      <c r="AG9" s="253">
        <f t="shared" si="24"/>
        <v>888077</v>
      </c>
      <c r="AH9" s="253">
        <v>888948</v>
      </c>
      <c r="AI9" s="254">
        <f t="shared" si="25"/>
        <v>871</v>
      </c>
      <c r="AJ9" s="267">
        <f t="shared" si="26"/>
        <v>-14</v>
      </c>
      <c r="AK9" s="268">
        <f>(AI9/'Finance Only'!B12)*100</f>
        <v>3.3926693413313598</v>
      </c>
      <c r="AL9" s="253">
        <f t="shared" si="27"/>
        <v>898500</v>
      </c>
      <c r="AM9" s="253">
        <v>899190</v>
      </c>
      <c r="AN9" s="254">
        <f t="shared" si="28"/>
        <v>690</v>
      </c>
      <c r="AO9" s="267">
        <f t="shared" si="29"/>
        <v>50</v>
      </c>
      <c r="AP9" s="268">
        <f>(AN9/'Finance Only'!B12)*100</f>
        <v>2.68764850231761</v>
      </c>
      <c r="AQ9" s="253">
        <f t="shared" si="30"/>
        <v>2013700</v>
      </c>
      <c r="AR9" s="253">
        <v>2015100</v>
      </c>
      <c r="AS9" s="254">
        <f t="shared" si="31"/>
        <v>1400</v>
      </c>
      <c r="AT9" s="267">
        <f t="shared" si="32"/>
        <v>-400</v>
      </c>
      <c r="AU9" s="268">
        <f>(AS9/'Finance Only'!B12)*100</f>
        <v>5.4531998597748608</v>
      </c>
      <c r="AV9" s="253">
        <f t="shared" si="33"/>
        <v>582992</v>
      </c>
      <c r="AW9" s="253">
        <v>583366</v>
      </c>
      <c r="AX9" s="254">
        <f t="shared" si="34"/>
        <v>374</v>
      </c>
      <c r="AY9" s="267">
        <f t="shared" si="35"/>
        <v>-11</v>
      </c>
      <c r="AZ9" s="268">
        <f>(AX9/'Finance Only'!B12)*100</f>
        <v>1.4567833911112842</v>
      </c>
      <c r="BA9" s="253">
        <f t="shared" si="36"/>
        <v>827980</v>
      </c>
      <c r="BB9" s="253">
        <v>828810</v>
      </c>
      <c r="BC9" s="254">
        <f t="shared" si="37"/>
        <v>830</v>
      </c>
      <c r="BD9" s="267">
        <f t="shared" si="38"/>
        <v>-180</v>
      </c>
      <c r="BE9" s="268">
        <f>(BC9/'Finance Only'!B12)*100</f>
        <v>3.232968488295096</v>
      </c>
      <c r="BF9" s="253">
        <f t="shared" si="39"/>
        <v>914040</v>
      </c>
      <c r="BG9" s="253">
        <v>914940</v>
      </c>
      <c r="BH9" s="254">
        <f t="shared" si="40"/>
        <v>900</v>
      </c>
      <c r="BI9" s="267">
        <f t="shared" si="41"/>
        <v>-60</v>
      </c>
      <c r="BJ9" s="268">
        <f>(BH9/'Finance Only'!B12)*100</f>
        <v>3.5056284812838392</v>
      </c>
      <c r="BK9" s="253">
        <f t="shared" si="42"/>
        <v>1416300</v>
      </c>
      <c r="BL9" s="253">
        <v>1416900</v>
      </c>
      <c r="BM9" s="254">
        <f t="shared" si="43"/>
        <v>600</v>
      </c>
      <c r="BN9" s="267">
        <f t="shared" si="44"/>
        <v>-200</v>
      </c>
      <c r="BO9" s="268">
        <f>(BM9/'Finance Only'!B12)*100</f>
        <v>2.337085654189226</v>
      </c>
      <c r="BP9" s="253">
        <f t="shared" si="45"/>
        <v>918330</v>
      </c>
      <c r="BQ9" s="253">
        <v>919890</v>
      </c>
      <c r="BR9" s="254">
        <f t="shared" si="46"/>
        <v>1560</v>
      </c>
      <c r="BS9" s="267">
        <f t="shared" si="47"/>
        <v>-130</v>
      </c>
      <c r="BT9" s="268">
        <f>(BR9/'Finance Only'!B12)*100</f>
        <v>6.076422700891988</v>
      </c>
      <c r="BU9" s="253">
        <f t="shared" si="48"/>
        <v>4465400</v>
      </c>
      <c r="BV9" s="253">
        <v>4469400</v>
      </c>
      <c r="BW9" s="254">
        <f t="shared" si="49"/>
        <v>4000</v>
      </c>
      <c r="BX9" s="267">
        <f t="shared" si="50"/>
        <v>-700</v>
      </c>
      <c r="BY9" s="268">
        <f>(BW9/'Finance Only'!B12)*100</f>
        <v>15.580571027928173</v>
      </c>
      <c r="BZ9" s="253">
        <f t="shared" si="51"/>
        <v>721160</v>
      </c>
      <c r="CA9" s="253">
        <v>722370</v>
      </c>
      <c r="CB9" s="254">
        <f t="shared" si="52"/>
        <v>1210</v>
      </c>
      <c r="CC9" s="267">
        <f t="shared" si="53"/>
        <v>40</v>
      </c>
      <c r="CD9" s="268">
        <f>(CB9/'Finance Only'!B12)*100</f>
        <v>4.7131227359482724</v>
      </c>
      <c r="CE9" s="253">
        <f t="shared" si="54"/>
        <v>222000</v>
      </c>
      <c r="CF9" s="253">
        <v>222370</v>
      </c>
      <c r="CG9" s="254">
        <f t="shared" si="55"/>
        <v>370</v>
      </c>
      <c r="CH9" s="267">
        <f t="shared" si="56"/>
        <v>10</v>
      </c>
      <c r="CI9" s="268">
        <f>(CG9/'Finance Only'!B12)*100</f>
        <v>1.441202820083356</v>
      </c>
      <c r="CJ9" s="254">
        <f t="shared" si="57"/>
        <v>502200</v>
      </c>
      <c r="CK9" s="254">
        <v>503110</v>
      </c>
      <c r="CL9" s="254">
        <f t="shared" si="58"/>
        <v>910</v>
      </c>
      <c r="CM9" s="267">
        <f t="shared" si="59"/>
        <v>-40</v>
      </c>
      <c r="CN9" s="268">
        <f>(CL9/'Finance Only'!B12)*100</f>
        <v>3.5445799088536596</v>
      </c>
      <c r="CO9" s="253">
        <f>CP8</f>
        <v>408140</v>
      </c>
      <c r="CP9" s="253">
        <v>408980</v>
      </c>
      <c r="CQ9" s="255">
        <f t="shared" ref="CQ9:CQ35" si="100">MAX(0,CP9-CO9)</f>
        <v>840</v>
      </c>
      <c r="CR9" s="267">
        <f t="shared" si="60"/>
        <v>70</v>
      </c>
      <c r="CS9" s="268">
        <f>(CQ9/'Finance Only'!B12)*100</f>
        <v>3.2719199158649168</v>
      </c>
      <c r="CT9" s="253">
        <f t="shared" si="61"/>
        <v>344320</v>
      </c>
      <c r="CU9" s="253">
        <v>344930</v>
      </c>
      <c r="CV9" s="254">
        <f t="shared" si="62"/>
        <v>610</v>
      </c>
      <c r="CW9" s="267">
        <f t="shared" si="63"/>
        <v>-10</v>
      </c>
      <c r="CX9" s="268">
        <f>(CV9/'Finance Only'!B12)*100</f>
        <v>2.3760370817590464</v>
      </c>
      <c r="CY9" s="253">
        <f t="shared" si="64"/>
        <v>597720</v>
      </c>
      <c r="CZ9" s="253">
        <v>598800</v>
      </c>
      <c r="DA9" s="254">
        <f t="shared" si="65"/>
        <v>1080</v>
      </c>
      <c r="DB9" s="267">
        <f t="shared" si="66"/>
        <v>-160</v>
      </c>
      <c r="DC9" s="268">
        <f>(DA9/'Finance Only'!B12)*100</f>
        <v>4.2067541775406063</v>
      </c>
      <c r="DD9" s="253">
        <f t="shared" si="67"/>
        <v>448660</v>
      </c>
      <c r="DE9" s="253">
        <v>449530</v>
      </c>
      <c r="DF9" s="254">
        <f t="shared" si="68"/>
        <v>870</v>
      </c>
      <c r="DG9" s="267">
        <f t="shared" si="69"/>
        <v>90</v>
      </c>
      <c r="DH9" s="268">
        <f>(DF9/'Finance Only'!B12)*100</f>
        <v>3.3887741985743776</v>
      </c>
      <c r="DI9" s="253">
        <f t="shared" si="70"/>
        <v>410240</v>
      </c>
      <c r="DJ9" s="253">
        <v>410980</v>
      </c>
      <c r="DK9" s="254">
        <f t="shared" si="71"/>
        <v>740</v>
      </c>
      <c r="DL9" s="267">
        <f t="shared" si="72"/>
        <v>30</v>
      </c>
      <c r="DM9" s="268">
        <f>(DK9/'Finance Only'!B12)*100</f>
        <v>2.882405640166712</v>
      </c>
      <c r="DN9" s="253">
        <f t="shared" si="73"/>
        <v>240030</v>
      </c>
      <c r="DO9" s="253">
        <v>240200</v>
      </c>
      <c r="DP9" s="254">
        <f t="shared" si="74"/>
        <v>170</v>
      </c>
      <c r="DQ9" s="267">
        <f t="shared" si="75"/>
        <v>-10</v>
      </c>
      <c r="DR9" s="268">
        <f>(DP9/'Finance Only'!B12)*100</f>
        <v>0.6621742686869474</v>
      </c>
      <c r="DS9" s="253">
        <f t="shared" si="76"/>
        <v>72095</v>
      </c>
      <c r="DT9" s="253">
        <v>72236</v>
      </c>
      <c r="DU9" s="254">
        <f t="shared" si="77"/>
        <v>141</v>
      </c>
      <c r="DV9" s="267">
        <f t="shared" si="78"/>
        <v>-11</v>
      </c>
      <c r="DW9" s="268">
        <f>(DU9/'Finance Only'!B12)*100</f>
        <v>0.54921512873446809</v>
      </c>
      <c r="DX9" s="253">
        <f t="shared" si="79"/>
        <v>467920</v>
      </c>
      <c r="DY9" s="253">
        <v>468620</v>
      </c>
      <c r="DZ9" s="254">
        <f t="shared" si="80"/>
        <v>700</v>
      </c>
      <c r="EA9" s="267">
        <f t="shared" si="81"/>
        <v>-60</v>
      </c>
      <c r="EB9" s="268">
        <f>(DZ9/'Finance Only'!B12)*100</f>
        <v>2.7265999298874304</v>
      </c>
      <c r="EC9" s="253">
        <f t="shared" si="82"/>
        <v>149720</v>
      </c>
      <c r="ED9" s="253">
        <v>149500</v>
      </c>
      <c r="EE9" s="254">
        <f t="shared" si="83"/>
        <v>0</v>
      </c>
      <c r="EF9" s="267">
        <f t="shared" si="84"/>
        <v>-770</v>
      </c>
      <c r="EG9" s="268">
        <f>(EE9/'Finance Only'!B12)*100</f>
        <v>0</v>
      </c>
      <c r="EH9" s="253">
        <f t="shared" si="85"/>
        <v>149910</v>
      </c>
      <c r="EI9" s="253">
        <v>150290</v>
      </c>
      <c r="EJ9" s="254">
        <f t="shared" si="86"/>
        <v>380</v>
      </c>
      <c r="EK9" s="267">
        <f t="shared" si="87"/>
        <v>40</v>
      </c>
      <c r="EL9" s="268">
        <f>(EJ9/'Finance Only'!B12)*100</f>
        <v>1.4801542476531764</v>
      </c>
      <c r="EM9" s="253">
        <f t="shared" si="88"/>
        <v>275970</v>
      </c>
      <c r="EN9" s="253">
        <v>276490</v>
      </c>
      <c r="EO9" s="254">
        <f t="shared" si="89"/>
        <v>520</v>
      </c>
      <c r="EP9" s="267">
        <f t="shared" si="90"/>
        <v>520</v>
      </c>
      <c r="EQ9" s="268">
        <f>(EO9/'Finance Only'!B12)*100</f>
        <v>2.0254742336306624</v>
      </c>
      <c r="ER9" s="253">
        <f t="shared" si="91"/>
        <v>0</v>
      </c>
      <c r="ES9" s="253"/>
      <c r="ET9" s="254">
        <f t="shared" si="92"/>
        <v>0</v>
      </c>
      <c r="EU9" s="267">
        <f t="shared" si="93"/>
        <v>0</v>
      </c>
      <c r="EV9" s="268">
        <f>(ET9/'Finance Only'!B12)*100</f>
        <v>0</v>
      </c>
      <c r="EW9" s="253">
        <f t="shared" si="94"/>
        <v>73619</v>
      </c>
      <c r="EX9" s="253">
        <v>74899</v>
      </c>
      <c r="EY9" s="254">
        <f t="shared" si="95"/>
        <v>1280</v>
      </c>
      <c r="EZ9" s="267">
        <f t="shared" si="96"/>
        <v>879</v>
      </c>
      <c r="FA9" s="268">
        <f>(EY9/'Finance Only'!G12)*100</f>
        <v>4539.0070921985816</v>
      </c>
      <c r="FB9" s="253">
        <f t="shared" si="97"/>
        <v>735980</v>
      </c>
      <c r="FC9" s="253">
        <v>740190</v>
      </c>
      <c r="FD9" s="254">
        <f t="shared" si="98"/>
        <v>4210</v>
      </c>
      <c r="FE9" s="267">
        <f t="shared" si="99"/>
        <v>-240</v>
      </c>
      <c r="FF9" s="268" t="e">
        <f>(FD9/'Finance Only'!M12)*100</f>
        <v>#DIV/0!</v>
      </c>
      <c r="FG9" s="319"/>
      <c r="FH9" s="325">
        <f t="shared" si="0"/>
        <v>6846</v>
      </c>
      <c r="FI9" s="322"/>
      <c r="FJ9" s="325">
        <f t="shared" si="1"/>
        <v>6177</v>
      </c>
      <c r="FK9" s="322"/>
      <c r="FL9" s="325">
        <f t="shared" si="2"/>
        <v>2090</v>
      </c>
      <c r="FM9" s="322"/>
      <c r="FN9" s="325">
        <f t="shared" si="3"/>
        <v>2104</v>
      </c>
      <c r="FO9" s="322"/>
      <c r="FP9" s="325">
        <f t="shared" si="4"/>
        <v>2160</v>
      </c>
      <c r="FQ9" s="322"/>
      <c r="FR9" s="325">
        <f t="shared" si="5"/>
        <v>5490</v>
      </c>
      <c r="FS9" s="322"/>
    </row>
    <row r="10" spans="1:175" s="3" customFormat="1" ht="13.5" customHeight="1" x14ac:dyDescent="0.2">
      <c r="A10" s="310">
        <v>6</v>
      </c>
      <c r="B10" s="313">
        <f>'Finance Only'!G13</f>
        <v>28.2</v>
      </c>
      <c r="C10" s="308">
        <f t="shared" si="6"/>
        <v>26098701</v>
      </c>
      <c r="D10" s="251">
        <v>26101367</v>
      </c>
      <c r="E10" s="252">
        <f t="shared" si="7"/>
        <v>2666</v>
      </c>
      <c r="F10" s="263">
        <f t="shared" si="8"/>
        <v>49</v>
      </c>
      <c r="G10" s="264">
        <f>(E10/'Finance Only'!B13)*100</f>
        <v>10.249509822767291</v>
      </c>
      <c r="H10" s="274">
        <f t="shared" si="9"/>
        <v>23554307</v>
      </c>
      <c r="I10" s="251">
        <v>23558449</v>
      </c>
      <c r="J10" s="251">
        <f t="shared" si="10"/>
        <v>4142</v>
      </c>
      <c r="K10" s="275">
        <f t="shared" si="11"/>
        <v>-87</v>
      </c>
      <c r="L10" s="276">
        <f>(J10/'Finance Only'!B13)*100</f>
        <v>15.924032140248357</v>
      </c>
      <c r="M10" s="259">
        <f t="shared" si="12"/>
        <v>88438795</v>
      </c>
      <c r="N10" s="253">
        <v>88452520</v>
      </c>
      <c r="O10" s="254">
        <f t="shared" si="13"/>
        <v>13725</v>
      </c>
      <c r="P10" s="267">
        <f t="shared" si="14"/>
        <v>183</v>
      </c>
      <c r="Q10" s="268">
        <f>(O10/'Finance Only'!B13)*100</f>
        <v>52.766137403406255</v>
      </c>
      <c r="R10" s="258">
        <f t="shared" si="15"/>
        <v>2382800</v>
      </c>
      <c r="S10" s="253">
        <v>2384500</v>
      </c>
      <c r="T10" s="254">
        <f t="shared" si="16"/>
        <v>1700</v>
      </c>
      <c r="U10" s="267">
        <f t="shared" si="17"/>
        <v>0</v>
      </c>
      <c r="V10" s="268">
        <f>(T10/'Finance Only'!B13)*100</f>
        <v>6.5356964361231782</v>
      </c>
      <c r="W10" s="253">
        <f t="shared" si="18"/>
        <v>3259191</v>
      </c>
      <c r="X10" s="253">
        <v>3261918</v>
      </c>
      <c r="Y10" s="254">
        <f t="shared" si="19"/>
        <v>2727</v>
      </c>
      <c r="Z10" s="267">
        <f t="shared" si="20"/>
        <v>-150</v>
      </c>
      <c r="AA10" s="268">
        <f>(Y10/'Finance Only'!B13)*100</f>
        <v>10.484025989004651</v>
      </c>
      <c r="AB10" s="253">
        <f t="shared" si="21"/>
        <v>2028100</v>
      </c>
      <c r="AC10" s="253">
        <v>2030600</v>
      </c>
      <c r="AD10" s="254">
        <f t="shared" si="22"/>
        <v>2500</v>
      </c>
      <c r="AE10" s="267">
        <f t="shared" si="23"/>
        <v>100</v>
      </c>
      <c r="AF10" s="268">
        <f>(AD10/'Finance Only'!B13)*100</f>
        <v>9.6113182884164381</v>
      </c>
      <c r="AG10" s="253">
        <f t="shared" si="24"/>
        <v>888948</v>
      </c>
      <c r="AH10" s="253">
        <v>889838</v>
      </c>
      <c r="AI10" s="254">
        <f t="shared" si="25"/>
        <v>890</v>
      </c>
      <c r="AJ10" s="267">
        <f t="shared" si="26"/>
        <v>19</v>
      </c>
      <c r="AK10" s="268">
        <f>(AI10/'Finance Only'!B13)*100</f>
        <v>3.4216293106762525</v>
      </c>
      <c r="AL10" s="253">
        <f t="shared" si="27"/>
        <v>899190</v>
      </c>
      <c r="AM10" s="253">
        <v>899880</v>
      </c>
      <c r="AN10" s="254">
        <f t="shared" si="28"/>
        <v>690</v>
      </c>
      <c r="AO10" s="267">
        <f t="shared" si="29"/>
        <v>0</v>
      </c>
      <c r="AP10" s="268">
        <f>(AN10/'Finance Only'!B13)*100</f>
        <v>2.6527238476029376</v>
      </c>
      <c r="AQ10" s="253">
        <f t="shared" si="30"/>
        <v>2015100</v>
      </c>
      <c r="AR10" s="253">
        <v>2017600</v>
      </c>
      <c r="AS10" s="254">
        <f t="shared" si="31"/>
        <v>2500</v>
      </c>
      <c r="AT10" s="267">
        <f t="shared" si="32"/>
        <v>1100</v>
      </c>
      <c r="AU10" s="268">
        <f>(AS10/'Finance Only'!B13)*100</f>
        <v>9.6113182884164381</v>
      </c>
      <c r="AV10" s="253">
        <f t="shared" si="33"/>
        <v>583366</v>
      </c>
      <c r="AW10" s="253">
        <v>583760</v>
      </c>
      <c r="AX10" s="254">
        <f t="shared" si="34"/>
        <v>394</v>
      </c>
      <c r="AY10" s="267">
        <f t="shared" si="35"/>
        <v>20</v>
      </c>
      <c r="AZ10" s="268">
        <f>(AX10/'Finance Only'!B13)*100</f>
        <v>1.5147437622544309</v>
      </c>
      <c r="BA10" s="253">
        <f t="shared" si="36"/>
        <v>828810</v>
      </c>
      <c r="BB10" s="253">
        <v>829650</v>
      </c>
      <c r="BC10" s="254">
        <f t="shared" si="37"/>
        <v>840</v>
      </c>
      <c r="BD10" s="267">
        <f t="shared" si="38"/>
        <v>10</v>
      </c>
      <c r="BE10" s="268">
        <f>(BC10/'Finance Only'!B13)*100</f>
        <v>3.2294029449079233</v>
      </c>
      <c r="BF10" s="253">
        <f t="shared" si="39"/>
        <v>914940</v>
      </c>
      <c r="BG10" s="253">
        <v>915820</v>
      </c>
      <c r="BH10" s="254">
        <f t="shared" si="40"/>
        <v>880</v>
      </c>
      <c r="BI10" s="267">
        <f t="shared" si="41"/>
        <v>-20</v>
      </c>
      <c r="BJ10" s="268">
        <f>(BH10/'Finance Only'!B13)*100</f>
        <v>3.3831840375225868</v>
      </c>
      <c r="BK10" s="253">
        <f t="shared" si="42"/>
        <v>1416900</v>
      </c>
      <c r="BL10" s="253">
        <v>1417600</v>
      </c>
      <c r="BM10" s="254">
        <f t="shared" si="43"/>
        <v>700</v>
      </c>
      <c r="BN10" s="267">
        <f t="shared" si="44"/>
        <v>100</v>
      </c>
      <c r="BO10" s="268">
        <f>(BM10/'Finance Only'!B13)*100</f>
        <v>2.6911691207566029</v>
      </c>
      <c r="BP10" s="253">
        <f t="shared" si="45"/>
        <v>919890</v>
      </c>
      <c r="BQ10" s="253">
        <v>921340</v>
      </c>
      <c r="BR10" s="254">
        <f t="shared" si="46"/>
        <v>1450</v>
      </c>
      <c r="BS10" s="267">
        <f t="shared" si="47"/>
        <v>-110</v>
      </c>
      <c r="BT10" s="268">
        <f>(BR10/'Finance Only'!B13)*100</f>
        <v>5.5745646072815349</v>
      </c>
      <c r="BU10" s="253">
        <f t="shared" si="48"/>
        <v>4469400</v>
      </c>
      <c r="BV10" s="253">
        <v>4473700</v>
      </c>
      <c r="BW10" s="254">
        <f t="shared" si="49"/>
        <v>4300</v>
      </c>
      <c r="BX10" s="267">
        <f t="shared" si="50"/>
        <v>300</v>
      </c>
      <c r="BY10" s="268">
        <f>(BW10/'Finance Only'!B13)*100</f>
        <v>16.531467456076278</v>
      </c>
      <c r="BZ10" s="253">
        <f t="shared" si="51"/>
        <v>722370</v>
      </c>
      <c r="CA10" s="253">
        <v>723580</v>
      </c>
      <c r="CB10" s="254">
        <f t="shared" si="52"/>
        <v>1210</v>
      </c>
      <c r="CC10" s="267">
        <f t="shared" si="53"/>
        <v>0</v>
      </c>
      <c r="CD10" s="268">
        <f>(CB10/'Finance Only'!B13)*100</f>
        <v>4.6518780515935569</v>
      </c>
      <c r="CE10" s="253">
        <f t="shared" si="54"/>
        <v>222370</v>
      </c>
      <c r="CF10" s="253">
        <v>222790</v>
      </c>
      <c r="CG10" s="254">
        <f t="shared" si="55"/>
        <v>420</v>
      </c>
      <c r="CH10" s="267">
        <f t="shared" si="56"/>
        <v>50</v>
      </c>
      <c r="CI10" s="268">
        <f>(CG10/'Finance Only'!B13)*100</f>
        <v>1.6147014724539617</v>
      </c>
      <c r="CJ10" s="254">
        <f t="shared" si="57"/>
        <v>503110</v>
      </c>
      <c r="CK10" s="254">
        <v>504060</v>
      </c>
      <c r="CL10" s="254">
        <f t="shared" si="58"/>
        <v>950</v>
      </c>
      <c r="CM10" s="267">
        <f t="shared" si="59"/>
        <v>40</v>
      </c>
      <c r="CN10" s="268">
        <f>(CL10/'Finance Only'!B13)*100</f>
        <v>3.6523009495982466</v>
      </c>
      <c r="CO10" s="253">
        <f t="shared" ref="CO10:CO35" si="101">CP9</f>
        <v>408980</v>
      </c>
      <c r="CP10" s="253">
        <v>409770</v>
      </c>
      <c r="CQ10" s="255">
        <f t="shared" si="100"/>
        <v>790</v>
      </c>
      <c r="CR10" s="267">
        <f t="shared" si="60"/>
        <v>-50</v>
      </c>
      <c r="CS10" s="268">
        <f>(CQ10/'Finance Only'!B13)*100</f>
        <v>3.0371765791395946</v>
      </c>
      <c r="CT10" s="253">
        <f t="shared" si="61"/>
        <v>344930</v>
      </c>
      <c r="CU10" s="253">
        <v>345450</v>
      </c>
      <c r="CV10" s="254">
        <f t="shared" si="62"/>
        <v>520</v>
      </c>
      <c r="CW10" s="267">
        <f t="shared" si="63"/>
        <v>-90</v>
      </c>
      <c r="CX10" s="268">
        <f>(CV10/'Finance Only'!B13)*100</f>
        <v>1.9991542039906194</v>
      </c>
      <c r="CY10" s="253">
        <f t="shared" si="64"/>
        <v>598800</v>
      </c>
      <c r="CZ10" s="253">
        <v>599830</v>
      </c>
      <c r="DA10" s="254">
        <f t="shared" si="65"/>
        <v>1030</v>
      </c>
      <c r="DB10" s="267">
        <f t="shared" si="66"/>
        <v>-50</v>
      </c>
      <c r="DC10" s="268">
        <f>(DA10/'Finance Only'!B13)*100</f>
        <v>3.959863134827573</v>
      </c>
      <c r="DD10" s="253">
        <f t="shared" si="67"/>
        <v>449530</v>
      </c>
      <c r="DE10" s="253">
        <v>450390</v>
      </c>
      <c r="DF10" s="254">
        <f t="shared" si="68"/>
        <v>860</v>
      </c>
      <c r="DG10" s="267">
        <f t="shared" si="69"/>
        <v>-10</v>
      </c>
      <c r="DH10" s="268">
        <f>(DF10/'Finance Only'!B13)*100</f>
        <v>3.3062934912152548</v>
      </c>
      <c r="DI10" s="253">
        <f t="shared" si="70"/>
        <v>410980</v>
      </c>
      <c r="DJ10" s="253">
        <v>411650</v>
      </c>
      <c r="DK10" s="254">
        <f t="shared" si="71"/>
        <v>670</v>
      </c>
      <c r="DL10" s="267">
        <f t="shared" si="72"/>
        <v>-70</v>
      </c>
      <c r="DM10" s="268">
        <f>(DK10/'Finance Only'!B13)*100</f>
        <v>2.5758333012956056</v>
      </c>
      <c r="DN10" s="253">
        <f t="shared" si="73"/>
        <v>240200</v>
      </c>
      <c r="DO10" s="253">
        <v>240830</v>
      </c>
      <c r="DP10" s="254">
        <f t="shared" si="74"/>
        <v>630</v>
      </c>
      <c r="DQ10" s="267">
        <f t="shared" si="75"/>
        <v>460</v>
      </c>
      <c r="DR10" s="268">
        <f>(DP10/'Finance Only'!B13)*100</f>
        <v>2.4220522086809426</v>
      </c>
      <c r="DS10" s="253">
        <f t="shared" si="76"/>
        <v>72236</v>
      </c>
      <c r="DT10" s="253">
        <v>72379</v>
      </c>
      <c r="DU10" s="254">
        <f t="shared" si="77"/>
        <v>143</v>
      </c>
      <c r="DV10" s="267">
        <f t="shared" si="78"/>
        <v>2</v>
      </c>
      <c r="DW10" s="268">
        <f>(DU10/'Finance Only'!B13)*100</f>
        <v>0.54976740609742036</v>
      </c>
      <c r="DX10" s="253">
        <f t="shared" si="79"/>
        <v>468620</v>
      </c>
      <c r="DY10" s="253">
        <v>469300</v>
      </c>
      <c r="DZ10" s="254">
        <f t="shared" si="80"/>
        <v>680</v>
      </c>
      <c r="EA10" s="267">
        <f t="shared" si="81"/>
        <v>-20</v>
      </c>
      <c r="EB10" s="268">
        <f>(DZ10/'Finance Only'!B13)*100</f>
        <v>2.6142785744492714</v>
      </c>
      <c r="EC10" s="253">
        <f t="shared" si="82"/>
        <v>149500</v>
      </c>
      <c r="ED10" s="253">
        <v>149740</v>
      </c>
      <c r="EE10" s="254">
        <f t="shared" si="83"/>
        <v>240</v>
      </c>
      <c r="EF10" s="267">
        <f t="shared" si="84"/>
        <v>240</v>
      </c>
      <c r="EG10" s="268">
        <f>(EE10/'Finance Only'!B13)*100</f>
        <v>0.92268655568797808</v>
      </c>
      <c r="EH10" s="253">
        <f t="shared" si="85"/>
        <v>150290</v>
      </c>
      <c r="EI10" s="253">
        <v>150610</v>
      </c>
      <c r="EJ10" s="254">
        <f t="shared" si="86"/>
        <v>320</v>
      </c>
      <c r="EK10" s="267">
        <f t="shared" si="87"/>
        <v>-60</v>
      </c>
      <c r="EL10" s="268">
        <f>(EJ10/'Finance Only'!B13)*100</f>
        <v>1.2302487409173042</v>
      </c>
      <c r="EM10" s="253">
        <f t="shared" si="88"/>
        <v>276490</v>
      </c>
      <c r="EN10" s="253">
        <v>277000</v>
      </c>
      <c r="EO10" s="254">
        <f t="shared" si="89"/>
        <v>510</v>
      </c>
      <c r="EP10" s="267">
        <f t="shared" si="90"/>
        <v>-10</v>
      </c>
      <c r="EQ10" s="268">
        <f>(EO10/'Finance Only'!B13)*100</f>
        <v>1.9607089308369536</v>
      </c>
      <c r="ER10" s="253">
        <f t="shared" si="91"/>
        <v>0</v>
      </c>
      <c r="ES10" s="253"/>
      <c r="ET10" s="254">
        <f t="shared" si="92"/>
        <v>0</v>
      </c>
      <c r="EU10" s="267">
        <f t="shared" si="93"/>
        <v>0</v>
      </c>
      <c r="EV10" s="268">
        <f>(ET10/'Finance Only'!B13)*100</f>
        <v>0</v>
      </c>
      <c r="EW10" s="253">
        <f t="shared" si="94"/>
        <v>74899</v>
      </c>
      <c r="EX10" s="253">
        <v>77135</v>
      </c>
      <c r="EY10" s="254">
        <f t="shared" si="95"/>
        <v>2236</v>
      </c>
      <c r="EZ10" s="267">
        <f t="shared" si="96"/>
        <v>956</v>
      </c>
      <c r="FA10" s="268">
        <f>(EY10/'Finance Only'!G13)*100</f>
        <v>7929.078014184397</v>
      </c>
      <c r="FB10" s="253">
        <f t="shared" si="97"/>
        <v>740190</v>
      </c>
      <c r="FC10" s="253">
        <v>745560</v>
      </c>
      <c r="FD10" s="254">
        <f t="shared" si="98"/>
        <v>5370</v>
      </c>
      <c r="FE10" s="267">
        <f t="shared" si="99"/>
        <v>1160</v>
      </c>
      <c r="FF10" s="268" t="e">
        <f>(FD10/'Finance Only'!M13)*100</f>
        <v>#DIV/0!</v>
      </c>
      <c r="FG10" s="319"/>
      <c r="FH10" s="325">
        <f t="shared" si="0"/>
        <v>6808</v>
      </c>
      <c r="FI10" s="322"/>
      <c r="FJ10" s="325">
        <f t="shared" si="1"/>
        <v>6177</v>
      </c>
      <c r="FK10" s="322"/>
      <c r="FL10" s="325">
        <f t="shared" si="2"/>
        <v>3190</v>
      </c>
      <c r="FM10" s="322"/>
      <c r="FN10" s="325">
        <f t="shared" si="3"/>
        <v>2114</v>
      </c>
      <c r="FO10" s="322"/>
      <c r="FP10" s="325">
        <f t="shared" si="4"/>
        <v>2150</v>
      </c>
      <c r="FQ10" s="322"/>
      <c r="FR10" s="325">
        <f t="shared" si="5"/>
        <v>7606</v>
      </c>
      <c r="FS10" s="322"/>
    </row>
    <row r="11" spans="1:175" s="3" customFormat="1" ht="13.5" customHeight="1" x14ac:dyDescent="0.2">
      <c r="A11" s="310">
        <v>7</v>
      </c>
      <c r="B11" s="313">
        <f>'Finance Only'!G14</f>
        <v>27.2</v>
      </c>
      <c r="C11" s="308">
        <f t="shared" si="6"/>
        <v>26101367</v>
      </c>
      <c r="D11" s="251">
        <v>26104007</v>
      </c>
      <c r="E11" s="252">
        <f t="shared" si="7"/>
        <v>2640</v>
      </c>
      <c r="F11" s="263">
        <f t="shared" si="8"/>
        <v>-26</v>
      </c>
      <c r="G11" s="264">
        <f>(E11/'Finance Only'!B14)*100</f>
        <v>10.185185185185185</v>
      </c>
      <c r="H11" s="274">
        <f t="shared" si="9"/>
        <v>23558449</v>
      </c>
      <c r="I11" s="251">
        <v>23562972</v>
      </c>
      <c r="J11" s="251">
        <f t="shared" si="10"/>
        <v>4523</v>
      </c>
      <c r="K11" s="275">
        <f t="shared" si="11"/>
        <v>381</v>
      </c>
      <c r="L11" s="276">
        <f>(J11/'Finance Only'!B14)*100</f>
        <v>17.449845679012345</v>
      </c>
      <c r="M11" s="259">
        <f t="shared" si="12"/>
        <v>88452520</v>
      </c>
      <c r="N11" s="253">
        <v>88466810</v>
      </c>
      <c r="O11" s="254">
        <f t="shared" si="13"/>
        <v>14290</v>
      </c>
      <c r="P11" s="267">
        <f t="shared" si="14"/>
        <v>565</v>
      </c>
      <c r="Q11" s="268">
        <f>(O11/'Finance Only'!B14)*100</f>
        <v>55.131172839506171</v>
      </c>
      <c r="R11" s="258">
        <f t="shared" si="15"/>
        <v>2384500</v>
      </c>
      <c r="S11" s="253">
        <v>2386300</v>
      </c>
      <c r="T11" s="254">
        <f t="shared" si="16"/>
        <v>1800</v>
      </c>
      <c r="U11" s="267">
        <f t="shared" si="17"/>
        <v>100</v>
      </c>
      <c r="V11" s="268">
        <f>(T11/'Finance Only'!B14)*100</f>
        <v>6.9444444444444446</v>
      </c>
      <c r="W11" s="253">
        <f t="shared" si="18"/>
        <v>3261918</v>
      </c>
      <c r="X11" s="253">
        <v>3264703</v>
      </c>
      <c r="Y11" s="254">
        <f t="shared" si="19"/>
        <v>2785</v>
      </c>
      <c r="Z11" s="267">
        <f t="shared" si="20"/>
        <v>58</v>
      </c>
      <c r="AA11" s="268">
        <f>(Y11/'Finance Only'!B14)*100</f>
        <v>10.7445987654321</v>
      </c>
      <c r="AB11" s="253">
        <f t="shared" si="21"/>
        <v>2030600</v>
      </c>
      <c r="AC11" s="253">
        <v>2033100</v>
      </c>
      <c r="AD11" s="254">
        <f t="shared" si="22"/>
        <v>2500</v>
      </c>
      <c r="AE11" s="267">
        <f t="shared" si="23"/>
        <v>0</v>
      </c>
      <c r="AF11" s="268">
        <f>(AD11/'Finance Only'!B14)*100</f>
        <v>9.6450617283950617</v>
      </c>
      <c r="AG11" s="253">
        <f t="shared" si="24"/>
        <v>889838</v>
      </c>
      <c r="AH11" s="253">
        <v>890679</v>
      </c>
      <c r="AI11" s="254">
        <f t="shared" si="25"/>
        <v>841</v>
      </c>
      <c r="AJ11" s="267">
        <f t="shared" si="26"/>
        <v>-49</v>
      </c>
      <c r="AK11" s="268">
        <f>(AI11/'Finance Only'!B14)*100</f>
        <v>3.2445987654320989</v>
      </c>
      <c r="AL11" s="253">
        <f t="shared" si="27"/>
        <v>899880</v>
      </c>
      <c r="AM11" s="253">
        <v>900550</v>
      </c>
      <c r="AN11" s="254">
        <f t="shared" si="28"/>
        <v>670</v>
      </c>
      <c r="AO11" s="267">
        <f t="shared" si="29"/>
        <v>-20</v>
      </c>
      <c r="AP11" s="268">
        <f>(AN11/'Finance Only'!B14)*100</f>
        <v>2.5848765432098766</v>
      </c>
      <c r="AQ11" s="253">
        <f t="shared" si="30"/>
        <v>2017600</v>
      </c>
      <c r="AR11" s="253">
        <v>2018000</v>
      </c>
      <c r="AS11" s="254">
        <f t="shared" si="31"/>
        <v>400</v>
      </c>
      <c r="AT11" s="267">
        <f t="shared" si="32"/>
        <v>-2100</v>
      </c>
      <c r="AU11" s="268">
        <f>(AS11/'Finance Only'!B14)*100</f>
        <v>1.5432098765432098</v>
      </c>
      <c r="AV11" s="253">
        <f t="shared" si="33"/>
        <v>583760</v>
      </c>
      <c r="AW11" s="253">
        <v>584195</v>
      </c>
      <c r="AX11" s="254">
        <f t="shared" si="34"/>
        <v>435</v>
      </c>
      <c r="AY11" s="267">
        <f t="shared" si="35"/>
        <v>41</v>
      </c>
      <c r="AZ11" s="268">
        <f>(AX11/'Finance Only'!B14)*100</f>
        <v>1.6782407407407409</v>
      </c>
      <c r="BA11" s="253">
        <f t="shared" si="36"/>
        <v>829650</v>
      </c>
      <c r="BB11" s="253">
        <v>830550</v>
      </c>
      <c r="BC11" s="254">
        <f t="shared" si="37"/>
        <v>900</v>
      </c>
      <c r="BD11" s="267">
        <f t="shared" si="38"/>
        <v>60</v>
      </c>
      <c r="BE11" s="268">
        <f>(BC11/'Finance Only'!B14)*100</f>
        <v>3.4722222222222223</v>
      </c>
      <c r="BF11" s="253">
        <f t="shared" si="39"/>
        <v>915820</v>
      </c>
      <c r="BG11" s="253">
        <v>916730</v>
      </c>
      <c r="BH11" s="254">
        <f t="shared" si="40"/>
        <v>910</v>
      </c>
      <c r="BI11" s="267">
        <f t="shared" si="41"/>
        <v>30</v>
      </c>
      <c r="BJ11" s="268">
        <f>(BH11/'Finance Only'!B14)*100</f>
        <v>3.5108024691358026</v>
      </c>
      <c r="BK11" s="253">
        <f t="shared" si="42"/>
        <v>1417600</v>
      </c>
      <c r="BL11" s="253">
        <v>1418300</v>
      </c>
      <c r="BM11" s="254">
        <f t="shared" si="43"/>
        <v>700</v>
      </c>
      <c r="BN11" s="267">
        <f t="shared" si="44"/>
        <v>0</v>
      </c>
      <c r="BO11" s="268">
        <f>(BM11/'Finance Only'!B14)*100</f>
        <v>2.7006172839506171</v>
      </c>
      <c r="BP11" s="253">
        <f t="shared" si="45"/>
        <v>921340</v>
      </c>
      <c r="BQ11" s="253">
        <v>923070</v>
      </c>
      <c r="BR11" s="254">
        <f t="shared" si="46"/>
        <v>1730</v>
      </c>
      <c r="BS11" s="267">
        <f t="shared" si="47"/>
        <v>280</v>
      </c>
      <c r="BT11" s="268">
        <f>(BR11/'Finance Only'!B14)*100</f>
        <v>6.6743827160493829</v>
      </c>
      <c r="BU11" s="253">
        <f t="shared" si="48"/>
        <v>4473700</v>
      </c>
      <c r="BV11" s="253">
        <v>4478200</v>
      </c>
      <c r="BW11" s="254">
        <f t="shared" si="49"/>
        <v>4500</v>
      </c>
      <c r="BX11" s="267">
        <f t="shared" si="50"/>
        <v>200</v>
      </c>
      <c r="BY11" s="268">
        <f>(BW11/'Finance Only'!B14)*100</f>
        <v>17.361111111111111</v>
      </c>
      <c r="BZ11" s="253">
        <f t="shared" si="51"/>
        <v>723580</v>
      </c>
      <c r="CA11" s="253">
        <v>724800</v>
      </c>
      <c r="CB11" s="254">
        <f t="shared" si="52"/>
        <v>1220</v>
      </c>
      <c r="CC11" s="267">
        <f t="shared" si="53"/>
        <v>10</v>
      </c>
      <c r="CD11" s="268">
        <f>(CB11/'Finance Only'!B14)*100</f>
        <v>4.7067901234567904</v>
      </c>
      <c r="CE11" s="253">
        <f t="shared" si="54"/>
        <v>222790</v>
      </c>
      <c r="CF11" s="253">
        <v>223200</v>
      </c>
      <c r="CG11" s="254">
        <f t="shared" si="55"/>
        <v>410</v>
      </c>
      <c r="CH11" s="267">
        <f t="shared" si="56"/>
        <v>-10</v>
      </c>
      <c r="CI11" s="268">
        <f>(CG11/'Finance Only'!B14)*100</f>
        <v>1.5817901234567902</v>
      </c>
      <c r="CJ11" s="254">
        <f t="shared" si="57"/>
        <v>504060</v>
      </c>
      <c r="CK11" s="254">
        <v>505240</v>
      </c>
      <c r="CL11" s="254">
        <f t="shared" si="58"/>
        <v>1180</v>
      </c>
      <c r="CM11" s="267">
        <f t="shared" si="59"/>
        <v>230</v>
      </c>
      <c r="CN11" s="268">
        <f>(CL11/'Finance Only'!B14)*100</f>
        <v>4.5524691358024691</v>
      </c>
      <c r="CO11" s="253">
        <f t="shared" si="101"/>
        <v>409770</v>
      </c>
      <c r="CP11" s="253">
        <v>410970</v>
      </c>
      <c r="CQ11" s="255">
        <f t="shared" si="100"/>
        <v>1200</v>
      </c>
      <c r="CR11" s="267">
        <f t="shared" si="60"/>
        <v>410</v>
      </c>
      <c r="CS11" s="268">
        <f>(CQ11/'Finance Only'!B14)*100</f>
        <v>4.6296296296296298</v>
      </c>
      <c r="CT11" s="253">
        <f t="shared" si="61"/>
        <v>345450</v>
      </c>
      <c r="CU11" s="253">
        <v>346090</v>
      </c>
      <c r="CV11" s="254">
        <f t="shared" si="62"/>
        <v>640</v>
      </c>
      <c r="CW11" s="267">
        <f t="shared" si="63"/>
        <v>120</v>
      </c>
      <c r="CX11" s="268">
        <f>(CV11/'Finance Only'!B14)*100</f>
        <v>2.4691358024691357</v>
      </c>
      <c r="CY11" s="253">
        <f t="shared" si="64"/>
        <v>599830</v>
      </c>
      <c r="CZ11" s="253">
        <v>600890</v>
      </c>
      <c r="DA11" s="254">
        <f t="shared" si="65"/>
        <v>1060</v>
      </c>
      <c r="DB11" s="267">
        <f t="shared" si="66"/>
        <v>30</v>
      </c>
      <c r="DC11" s="268">
        <f>(DA11/'Finance Only'!B14)*100</f>
        <v>4.0895061728395063</v>
      </c>
      <c r="DD11" s="253">
        <f t="shared" si="67"/>
        <v>450390</v>
      </c>
      <c r="DE11" s="253">
        <v>451140</v>
      </c>
      <c r="DF11" s="254">
        <f t="shared" si="68"/>
        <v>750</v>
      </c>
      <c r="DG11" s="267">
        <f t="shared" si="69"/>
        <v>-110</v>
      </c>
      <c r="DH11" s="268">
        <f>(DF11/'Finance Only'!B14)*100</f>
        <v>2.8935185185185186</v>
      </c>
      <c r="DI11" s="253">
        <f t="shared" si="70"/>
        <v>411650</v>
      </c>
      <c r="DJ11" s="253">
        <v>412490</v>
      </c>
      <c r="DK11" s="254">
        <f t="shared" si="71"/>
        <v>840</v>
      </c>
      <c r="DL11" s="267">
        <f t="shared" si="72"/>
        <v>170</v>
      </c>
      <c r="DM11" s="268">
        <f>(DK11/'Finance Only'!B14)*100</f>
        <v>3.2407407407407405</v>
      </c>
      <c r="DN11" s="253">
        <f t="shared" si="73"/>
        <v>240830</v>
      </c>
      <c r="DO11" s="253">
        <v>240590</v>
      </c>
      <c r="DP11" s="254">
        <f t="shared" si="74"/>
        <v>0</v>
      </c>
      <c r="DQ11" s="267">
        <f t="shared" si="75"/>
        <v>-630</v>
      </c>
      <c r="DR11" s="268">
        <f>(DP11/'Finance Only'!B14)*100</f>
        <v>0</v>
      </c>
      <c r="DS11" s="253">
        <f t="shared" si="76"/>
        <v>72379</v>
      </c>
      <c r="DT11" s="253">
        <v>72504</v>
      </c>
      <c r="DU11" s="254">
        <f t="shared" si="77"/>
        <v>125</v>
      </c>
      <c r="DV11" s="267">
        <f t="shared" si="78"/>
        <v>-18</v>
      </c>
      <c r="DW11" s="268">
        <f>(DU11/'Finance Only'!B14)*100</f>
        <v>0.48225308641975306</v>
      </c>
      <c r="DX11" s="253">
        <f t="shared" si="79"/>
        <v>469300</v>
      </c>
      <c r="DY11" s="253">
        <v>470050</v>
      </c>
      <c r="DZ11" s="254">
        <f t="shared" si="80"/>
        <v>750</v>
      </c>
      <c r="EA11" s="267">
        <f t="shared" si="81"/>
        <v>70</v>
      </c>
      <c r="EB11" s="268">
        <f>(DZ11/'Finance Only'!B14)*100</f>
        <v>2.8935185185185186</v>
      </c>
      <c r="EC11" s="253">
        <f t="shared" si="82"/>
        <v>149740</v>
      </c>
      <c r="ED11" s="253">
        <v>150020</v>
      </c>
      <c r="EE11" s="254">
        <f t="shared" si="83"/>
        <v>280</v>
      </c>
      <c r="EF11" s="267">
        <f t="shared" si="84"/>
        <v>40</v>
      </c>
      <c r="EG11" s="268">
        <f>(EE11/'Finance Only'!B14)*100</f>
        <v>1.0802469135802468</v>
      </c>
      <c r="EH11" s="253">
        <f t="shared" si="85"/>
        <v>150610</v>
      </c>
      <c r="EI11" s="253">
        <v>150970</v>
      </c>
      <c r="EJ11" s="254">
        <f t="shared" si="86"/>
        <v>360</v>
      </c>
      <c r="EK11" s="267">
        <f t="shared" si="87"/>
        <v>40</v>
      </c>
      <c r="EL11" s="268">
        <f>(EJ11/'Finance Only'!B14)*100</f>
        <v>1.3888888888888888</v>
      </c>
      <c r="EM11" s="253">
        <f t="shared" si="88"/>
        <v>277000</v>
      </c>
      <c r="EN11" s="253">
        <v>277510</v>
      </c>
      <c r="EO11" s="254">
        <f t="shared" si="89"/>
        <v>510</v>
      </c>
      <c r="EP11" s="267">
        <f t="shared" si="90"/>
        <v>0</v>
      </c>
      <c r="EQ11" s="268">
        <f>(EO11/'Finance Only'!B14)*100</f>
        <v>1.9675925925925926</v>
      </c>
      <c r="ER11" s="253">
        <f t="shared" si="91"/>
        <v>0</v>
      </c>
      <c r="ES11" s="253"/>
      <c r="ET11" s="254">
        <f t="shared" si="92"/>
        <v>0</v>
      </c>
      <c r="EU11" s="267">
        <f t="shared" si="93"/>
        <v>0</v>
      </c>
      <c r="EV11" s="268">
        <f>(ET11/'Finance Only'!B14)*100</f>
        <v>0</v>
      </c>
      <c r="EW11" s="253">
        <f t="shared" si="94"/>
        <v>77135</v>
      </c>
      <c r="EX11" s="253">
        <v>78657</v>
      </c>
      <c r="EY11" s="254">
        <f t="shared" si="95"/>
        <v>1522</v>
      </c>
      <c r="EZ11" s="267">
        <f t="shared" si="96"/>
        <v>-714</v>
      </c>
      <c r="FA11" s="268">
        <f>(EY11/'Finance Only'!G14)*100</f>
        <v>5595.588235294118</v>
      </c>
      <c r="FB11" s="253">
        <f t="shared" si="97"/>
        <v>745560</v>
      </c>
      <c r="FC11" s="253">
        <v>751340</v>
      </c>
      <c r="FD11" s="254">
        <f t="shared" si="98"/>
        <v>5780</v>
      </c>
      <c r="FE11" s="267">
        <f t="shared" si="99"/>
        <v>410</v>
      </c>
      <c r="FF11" s="268" t="e">
        <f>(FD11/'Finance Only'!M14)*100</f>
        <v>#DIV/0!</v>
      </c>
      <c r="FG11" s="319"/>
      <c r="FH11" s="325">
        <f t="shared" si="0"/>
        <v>7163</v>
      </c>
      <c r="FI11" s="322"/>
      <c r="FJ11" s="325">
        <f t="shared" si="1"/>
        <v>6485</v>
      </c>
      <c r="FK11" s="322"/>
      <c r="FL11" s="325">
        <f t="shared" si="2"/>
        <v>1070</v>
      </c>
      <c r="FM11" s="322"/>
      <c r="FN11" s="325">
        <f t="shared" si="3"/>
        <v>2245</v>
      </c>
      <c r="FO11" s="322"/>
      <c r="FP11" s="325">
        <f t="shared" si="4"/>
        <v>2430</v>
      </c>
      <c r="FQ11" s="322"/>
      <c r="FR11" s="325">
        <f t="shared" si="5"/>
        <v>7302</v>
      </c>
      <c r="FS11" s="322"/>
    </row>
    <row r="12" spans="1:175" s="3" customFormat="1" ht="13.5" customHeight="1" x14ac:dyDescent="0.2">
      <c r="A12" s="310">
        <v>8</v>
      </c>
      <c r="B12" s="313">
        <f>'Finance Only'!G15</f>
        <v>27.2</v>
      </c>
      <c r="C12" s="308">
        <f t="shared" si="6"/>
        <v>26104007</v>
      </c>
      <c r="D12" s="251">
        <v>26106598</v>
      </c>
      <c r="E12" s="252">
        <f t="shared" si="7"/>
        <v>2591</v>
      </c>
      <c r="F12" s="263">
        <f t="shared" si="8"/>
        <v>-49</v>
      </c>
      <c r="G12" s="264">
        <f>(E12/'Finance Only'!B15)*100</f>
        <v>9.406425848611363</v>
      </c>
      <c r="H12" s="274">
        <f t="shared" si="9"/>
        <v>23562972</v>
      </c>
      <c r="I12" s="251">
        <v>23567333</v>
      </c>
      <c r="J12" s="251">
        <f t="shared" si="10"/>
        <v>4361</v>
      </c>
      <c r="K12" s="275">
        <f t="shared" si="11"/>
        <v>-162</v>
      </c>
      <c r="L12" s="276">
        <f>(J12/'Finance Only'!B15)*100</f>
        <v>15.832274459974588</v>
      </c>
      <c r="M12" s="259">
        <f t="shared" si="12"/>
        <v>88466810</v>
      </c>
      <c r="N12" s="253">
        <v>88481515</v>
      </c>
      <c r="O12" s="254">
        <f t="shared" si="13"/>
        <v>14705</v>
      </c>
      <c r="P12" s="267">
        <f t="shared" si="14"/>
        <v>415</v>
      </c>
      <c r="Q12" s="268">
        <f>(O12/'Finance Only'!B15)*100</f>
        <v>53.385369395534575</v>
      </c>
      <c r="R12" s="258">
        <f t="shared" si="15"/>
        <v>2386300</v>
      </c>
      <c r="S12" s="253">
        <v>2387900</v>
      </c>
      <c r="T12" s="254">
        <f t="shared" si="16"/>
        <v>1600</v>
      </c>
      <c r="U12" s="267">
        <f t="shared" si="17"/>
        <v>-200</v>
      </c>
      <c r="V12" s="268">
        <f>(T12/'Finance Only'!B15)*100</f>
        <v>5.8086767108368127</v>
      </c>
      <c r="W12" s="253">
        <f t="shared" si="18"/>
        <v>3264703</v>
      </c>
      <c r="X12" s="253">
        <v>3267406</v>
      </c>
      <c r="Y12" s="254">
        <f t="shared" si="19"/>
        <v>2703</v>
      </c>
      <c r="Z12" s="267">
        <f t="shared" si="20"/>
        <v>-82</v>
      </c>
      <c r="AA12" s="268">
        <f>(Y12/'Finance Only'!B15)*100</f>
        <v>9.8130332183699398</v>
      </c>
      <c r="AB12" s="253">
        <f t="shared" si="21"/>
        <v>2033100</v>
      </c>
      <c r="AC12" s="253">
        <v>2035600</v>
      </c>
      <c r="AD12" s="254">
        <f t="shared" si="22"/>
        <v>2500</v>
      </c>
      <c r="AE12" s="267">
        <f t="shared" si="23"/>
        <v>0</v>
      </c>
      <c r="AF12" s="268">
        <f>(AD12/'Finance Only'!B15)*100</f>
        <v>9.076057360682519</v>
      </c>
      <c r="AG12" s="253">
        <f t="shared" si="24"/>
        <v>890679</v>
      </c>
      <c r="AH12" s="253">
        <v>891528</v>
      </c>
      <c r="AI12" s="254">
        <f t="shared" si="25"/>
        <v>849</v>
      </c>
      <c r="AJ12" s="267">
        <f t="shared" si="26"/>
        <v>8</v>
      </c>
      <c r="AK12" s="268">
        <f>(AI12/'Finance Only'!B15)*100</f>
        <v>3.0822290796877838</v>
      </c>
      <c r="AL12" s="253">
        <f t="shared" si="27"/>
        <v>900550</v>
      </c>
      <c r="AM12" s="253">
        <v>901250</v>
      </c>
      <c r="AN12" s="254">
        <f t="shared" si="28"/>
        <v>700</v>
      </c>
      <c r="AO12" s="267">
        <f t="shared" si="29"/>
        <v>30</v>
      </c>
      <c r="AP12" s="268">
        <f>(AN12/'Finance Only'!B15)*100</f>
        <v>2.5412960609911055</v>
      </c>
      <c r="AQ12" s="253">
        <f t="shared" si="30"/>
        <v>2018000</v>
      </c>
      <c r="AR12" s="253">
        <v>2019300</v>
      </c>
      <c r="AS12" s="254">
        <f t="shared" si="31"/>
        <v>1300</v>
      </c>
      <c r="AT12" s="267">
        <f t="shared" si="32"/>
        <v>900</v>
      </c>
      <c r="AU12" s="268">
        <f>(AS12/'Finance Only'!B15)*100</f>
        <v>4.7195498275549097</v>
      </c>
      <c r="AV12" s="253">
        <f t="shared" si="33"/>
        <v>584195</v>
      </c>
      <c r="AW12" s="253">
        <v>584668</v>
      </c>
      <c r="AX12" s="254">
        <f t="shared" si="34"/>
        <v>473</v>
      </c>
      <c r="AY12" s="267">
        <f t="shared" si="35"/>
        <v>38</v>
      </c>
      <c r="AZ12" s="268">
        <f>(AX12/'Finance Only'!B15)*100</f>
        <v>1.7171900526411328</v>
      </c>
      <c r="BA12" s="253">
        <f t="shared" si="36"/>
        <v>830550</v>
      </c>
      <c r="BB12" s="253">
        <v>831510</v>
      </c>
      <c r="BC12" s="254">
        <f t="shared" si="37"/>
        <v>960</v>
      </c>
      <c r="BD12" s="267">
        <f t="shared" si="38"/>
        <v>60</v>
      </c>
      <c r="BE12" s="268">
        <f>(BC12/'Finance Only'!B15)*100</f>
        <v>3.4852060265020879</v>
      </c>
      <c r="BF12" s="253">
        <f t="shared" si="39"/>
        <v>916730</v>
      </c>
      <c r="BG12" s="253">
        <v>917690</v>
      </c>
      <c r="BH12" s="254">
        <f t="shared" si="40"/>
        <v>960</v>
      </c>
      <c r="BI12" s="267">
        <f t="shared" si="41"/>
        <v>50</v>
      </c>
      <c r="BJ12" s="268">
        <f>(BH12/'Finance Only'!B15)*100</f>
        <v>3.4852060265020879</v>
      </c>
      <c r="BK12" s="253">
        <f t="shared" si="42"/>
        <v>1418300</v>
      </c>
      <c r="BL12" s="253">
        <v>1419100</v>
      </c>
      <c r="BM12" s="254">
        <f t="shared" si="43"/>
        <v>800</v>
      </c>
      <c r="BN12" s="267">
        <f t="shared" si="44"/>
        <v>100</v>
      </c>
      <c r="BO12" s="268">
        <f>(BM12/'Finance Only'!B15)*100</f>
        <v>2.9043383554184063</v>
      </c>
      <c r="BP12" s="253">
        <f t="shared" si="45"/>
        <v>923070</v>
      </c>
      <c r="BQ12" s="253">
        <v>924790</v>
      </c>
      <c r="BR12" s="254">
        <f t="shared" si="46"/>
        <v>1720</v>
      </c>
      <c r="BS12" s="267">
        <f t="shared" si="47"/>
        <v>-10</v>
      </c>
      <c r="BT12" s="268">
        <f>(BR12/'Finance Only'!B15)*100</f>
        <v>6.2443274641495732</v>
      </c>
      <c r="BU12" s="253">
        <f t="shared" si="48"/>
        <v>4478200</v>
      </c>
      <c r="BV12" s="253">
        <v>4482700</v>
      </c>
      <c r="BW12" s="254">
        <f t="shared" si="49"/>
        <v>4500</v>
      </c>
      <c r="BX12" s="267">
        <f t="shared" si="50"/>
        <v>0</v>
      </c>
      <c r="BY12" s="268">
        <f>(BW12/'Finance Only'!B15)*100</f>
        <v>16.336903249228534</v>
      </c>
      <c r="BZ12" s="253">
        <f t="shared" si="51"/>
        <v>724800</v>
      </c>
      <c r="CA12" s="253">
        <v>726040</v>
      </c>
      <c r="CB12" s="254">
        <f t="shared" si="52"/>
        <v>1240</v>
      </c>
      <c r="CC12" s="267">
        <f t="shared" si="53"/>
        <v>20</v>
      </c>
      <c r="CD12" s="268">
        <f>(CB12/'Finance Only'!B15)*100</f>
        <v>4.5017244508985295</v>
      </c>
      <c r="CE12" s="253">
        <f t="shared" si="54"/>
        <v>223200</v>
      </c>
      <c r="CF12" s="253">
        <v>223600</v>
      </c>
      <c r="CG12" s="254">
        <f t="shared" si="55"/>
        <v>400</v>
      </c>
      <c r="CH12" s="267">
        <f t="shared" si="56"/>
        <v>-10</v>
      </c>
      <c r="CI12" s="268">
        <f>(CG12/'Finance Only'!B15)*100</f>
        <v>1.4521691777092032</v>
      </c>
      <c r="CJ12" s="254">
        <f t="shared" si="57"/>
        <v>505240</v>
      </c>
      <c r="CK12" s="254">
        <v>506210</v>
      </c>
      <c r="CL12" s="254">
        <f t="shared" si="58"/>
        <v>970</v>
      </c>
      <c r="CM12" s="267">
        <f t="shared" si="59"/>
        <v>-210</v>
      </c>
      <c r="CN12" s="268">
        <f>(CL12/'Finance Only'!B15)*100</f>
        <v>3.5215102559448175</v>
      </c>
      <c r="CO12" s="253">
        <f t="shared" si="101"/>
        <v>410970</v>
      </c>
      <c r="CP12" s="253">
        <v>412080</v>
      </c>
      <c r="CQ12" s="255">
        <f t="shared" si="100"/>
        <v>1110</v>
      </c>
      <c r="CR12" s="267">
        <f t="shared" si="60"/>
        <v>-90</v>
      </c>
      <c r="CS12" s="268">
        <f>(CQ12/'Finance Only'!B15)*100</f>
        <v>4.0297694681430389</v>
      </c>
      <c r="CT12" s="253">
        <f t="shared" si="61"/>
        <v>346090</v>
      </c>
      <c r="CU12" s="253">
        <v>346670</v>
      </c>
      <c r="CV12" s="254">
        <f t="shared" si="62"/>
        <v>580</v>
      </c>
      <c r="CW12" s="267">
        <f t="shared" si="63"/>
        <v>-60</v>
      </c>
      <c r="CX12" s="268">
        <f>(CV12/'Finance Only'!B15)*100</f>
        <v>2.1056453076783446</v>
      </c>
      <c r="CY12" s="253">
        <f t="shared" si="64"/>
        <v>600890</v>
      </c>
      <c r="CZ12" s="253">
        <v>601930</v>
      </c>
      <c r="DA12" s="254">
        <f t="shared" si="65"/>
        <v>1040</v>
      </c>
      <c r="DB12" s="267">
        <f t="shared" si="66"/>
        <v>-20</v>
      </c>
      <c r="DC12" s="268">
        <f>(DA12/'Finance Only'!B15)*100</f>
        <v>3.7756398620439278</v>
      </c>
      <c r="DD12" s="253">
        <f t="shared" si="67"/>
        <v>451140</v>
      </c>
      <c r="DE12" s="253">
        <v>451840</v>
      </c>
      <c r="DF12" s="254">
        <f t="shared" si="68"/>
        <v>700</v>
      </c>
      <c r="DG12" s="267">
        <f t="shared" si="69"/>
        <v>-50</v>
      </c>
      <c r="DH12" s="268">
        <f>(DF12/'Finance Only'!B15)*100</f>
        <v>2.5412960609911055</v>
      </c>
      <c r="DI12" s="253">
        <f t="shared" si="70"/>
        <v>412490</v>
      </c>
      <c r="DJ12" s="253">
        <v>413150</v>
      </c>
      <c r="DK12" s="254">
        <f t="shared" si="71"/>
        <v>660</v>
      </c>
      <c r="DL12" s="267">
        <f t="shared" si="72"/>
        <v>-180</v>
      </c>
      <c r="DM12" s="268">
        <f>(DK12/'Finance Only'!B15)*100</f>
        <v>2.3960791432201853</v>
      </c>
      <c r="DN12" s="253">
        <f t="shared" si="73"/>
        <v>240590</v>
      </c>
      <c r="DO12" s="253">
        <v>240800</v>
      </c>
      <c r="DP12" s="254">
        <f t="shared" si="74"/>
        <v>210</v>
      </c>
      <c r="DQ12" s="267">
        <f t="shared" si="75"/>
        <v>210</v>
      </c>
      <c r="DR12" s="268">
        <f>(DP12/'Finance Only'!B15)*100</f>
        <v>0.76238881829733163</v>
      </c>
      <c r="DS12" s="253">
        <f t="shared" si="76"/>
        <v>72504</v>
      </c>
      <c r="DT12" s="253">
        <v>72625</v>
      </c>
      <c r="DU12" s="254">
        <f t="shared" si="77"/>
        <v>121</v>
      </c>
      <c r="DV12" s="267">
        <f t="shared" si="78"/>
        <v>-4</v>
      </c>
      <c r="DW12" s="268">
        <f>(DU12/'Finance Only'!B15)*100</f>
        <v>0.43928117625703395</v>
      </c>
      <c r="DX12" s="253">
        <f t="shared" si="79"/>
        <v>470050</v>
      </c>
      <c r="DY12" s="253">
        <v>470810</v>
      </c>
      <c r="DZ12" s="254">
        <f t="shared" si="80"/>
        <v>760</v>
      </c>
      <c r="EA12" s="267">
        <f t="shared" si="81"/>
        <v>10</v>
      </c>
      <c r="EB12" s="268">
        <f>(DZ12/'Finance Only'!B15)*100</f>
        <v>2.7591214376474862</v>
      </c>
      <c r="EC12" s="253">
        <f t="shared" si="82"/>
        <v>150020</v>
      </c>
      <c r="ED12" s="253">
        <v>150260</v>
      </c>
      <c r="EE12" s="254">
        <f t="shared" si="83"/>
        <v>240</v>
      </c>
      <c r="EF12" s="267">
        <f t="shared" si="84"/>
        <v>-40</v>
      </c>
      <c r="EG12" s="268">
        <f>(EE12/'Finance Only'!B15)*100</f>
        <v>0.87130150662552197</v>
      </c>
      <c r="EH12" s="253">
        <f t="shared" si="85"/>
        <v>150970</v>
      </c>
      <c r="EI12" s="253">
        <v>151310</v>
      </c>
      <c r="EJ12" s="254">
        <f t="shared" si="86"/>
        <v>340</v>
      </c>
      <c r="EK12" s="267">
        <f t="shared" si="87"/>
        <v>-20</v>
      </c>
      <c r="EL12" s="268">
        <f>(EJ12/'Finance Only'!B15)*100</f>
        <v>1.2343438010528225</v>
      </c>
      <c r="EM12" s="253">
        <f t="shared" si="88"/>
        <v>277510</v>
      </c>
      <c r="EN12" s="253">
        <v>277990</v>
      </c>
      <c r="EO12" s="254">
        <f t="shared" si="89"/>
        <v>480</v>
      </c>
      <c r="EP12" s="267">
        <f t="shared" si="90"/>
        <v>-30</v>
      </c>
      <c r="EQ12" s="268">
        <f>(EO12/'Finance Only'!B15)*100</f>
        <v>1.7426030132510439</v>
      </c>
      <c r="ER12" s="253">
        <f t="shared" si="91"/>
        <v>0</v>
      </c>
      <c r="ES12" s="253"/>
      <c r="ET12" s="254">
        <f t="shared" si="92"/>
        <v>0</v>
      </c>
      <c r="EU12" s="267">
        <f t="shared" si="93"/>
        <v>0</v>
      </c>
      <c r="EV12" s="268">
        <f>(ET12/'Finance Only'!B15)*100</f>
        <v>0</v>
      </c>
      <c r="EW12" s="253">
        <f t="shared" si="94"/>
        <v>78657</v>
      </c>
      <c r="EX12" s="253">
        <v>79646</v>
      </c>
      <c r="EY12" s="254">
        <f t="shared" si="95"/>
        <v>989</v>
      </c>
      <c r="EZ12" s="267">
        <f t="shared" si="96"/>
        <v>-533</v>
      </c>
      <c r="FA12" s="268">
        <f>(EY12/'Finance Only'!G15)*100</f>
        <v>3636.0294117647059</v>
      </c>
      <c r="FB12" s="253">
        <f t="shared" si="97"/>
        <v>751340</v>
      </c>
      <c r="FC12" s="253">
        <v>754980</v>
      </c>
      <c r="FD12" s="254">
        <f t="shared" si="98"/>
        <v>3640</v>
      </c>
      <c r="FE12" s="267">
        <f t="shared" si="99"/>
        <v>-2140</v>
      </c>
      <c r="FF12" s="268" t="e">
        <f>(FD12/'Finance Only'!M15)*100</f>
        <v>#DIV/0!</v>
      </c>
      <c r="FG12" s="319"/>
      <c r="FH12" s="325">
        <f t="shared" si="0"/>
        <v>6952</v>
      </c>
      <c r="FI12" s="322"/>
      <c r="FJ12" s="325">
        <f t="shared" si="1"/>
        <v>6123</v>
      </c>
      <c r="FK12" s="322"/>
      <c r="FL12" s="325">
        <f t="shared" si="2"/>
        <v>2000</v>
      </c>
      <c r="FM12" s="322"/>
      <c r="FN12" s="325">
        <f t="shared" si="3"/>
        <v>2393</v>
      </c>
      <c r="FO12" s="322"/>
      <c r="FP12" s="325">
        <f>SUM(BM12+BR12+ET12)</f>
        <v>2520</v>
      </c>
      <c r="FQ12" s="322"/>
      <c r="FR12" s="325">
        <f>SUM(EY12+FD12)</f>
        <v>4629</v>
      </c>
      <c r="FS12" s="322"/>
    </row>
    <row r="13" spans="1:175" s="3" customFormat="1" ht="13.5" customHeight="1" x14ac:dyDescent="0.2">
      <c r="A13" s="310">
        <v>9</v>
      </c>
      <c r="B13" s="313">
        <f>'Finance Only'!G16</f>
        <v>27.2</v>
      </c>
      <c r="C13" s="308">
        <f t="shared" si="6"/>
        <v>26106598</v>
      </c>
      <c r="D13" s="251">
        <v>26109096</v>
      </c>
      <c r="E13" s="252">
        <f t="shared" si="7"/>
        <v>2498</v>
      </c>
      <c r="F13" s="263">
        <f t="shared" si="8"/>
        <v>-93</v>
      </c>
      <c r="G13" s="264">
        <f>(E13/'Finance Only'!B16)*100</f>
        <v>9.8868044011715348</v>
      </c>
      <c r="H13" s="274">
        <f t="shared" si="9"/>
        <v>23567333</v>
      </c>
      <c r="I13" s="251">
        <v>23570848</v>
      </c>
      <c r="J13" s="251">
        <f t="shared" si="10"/>
        <v>3515</v>
      </c>
      <c r="K13" s="275">
        <f t="shared" si="11"/>
        <v>-846</v>
      </c>
      <c r="L13" s="276">
        <f>(J13/'Finance Only'!B16)*100</f>
        <v>13.91197656930262</v>
      </c>
      <c r="M13" s="259">
        <f t="shared" si="12"/>
        <v>88481515</v>
      </c>
      <c r="N13" s="253">
        <v>88495440</v>
      </c>
      <c r="O13" s="254">
        <f t="shared" si="13"/>
        <v>13925</v>
      </c>
      <c r="P13" s="267">
        <f t="shared" si="14"/>
        <v>-780</v>
      </c>
      <c r="Q13" s="268">
        <f>(O13/'Finance Only'!B16)*100</f>
        <v>55.113591387635566</v>
      </c>
      <c r="R13" s="258">
        <f t="shared" si="15"/>
        <v>2387900</v>
      </c>
      <c r="S13" s="253">
        <v>2389500</v>
      </c>
      <c r="T13" s="254">
        <f t="shared" si="16"/>
        <v>1600</v>
      </c>
      <c r="U13" s="267">
        <f t="shared" si="17"/>
        <v>0</v>
      </c>
      <c r="V13" s="268">
        <f>(T13/'Finance Only'!B16)*100</f>
        <v>6.3326209134805662</v>
      </c>
      <c r="W13" s="253">
        <f t="shared" si="18"/>
        <v>3267406</v>
      </c>
      <c r="X13" s="253">
        <v>3270022</v>
      </c>
      <c r="Y13" s="254">
        <f t="shared" si="19"/>
        <v>2616</v>
      </c>
      <c r="Z13" s="267">
        <f t="shared" si="20"/>
        <v>-87</v>
      </c>
      <c r="AA13" s="268">
        <f>(Y13/'Finance Only'!B16)*100</f>
        <v>10.353835193540727</v>
      </c>
      <c r="AB13" s="253">
        <f t="shared" si="21"/>
        <v>2035600</v>
      </c>
      <c r="AC13" s="253">
        <v>2038200</v>
      </c>
      <c r="AD13" s="254">
        <f t="shared" si="22"/>
        <v>2600</v>
      </c>
      <c r="AE13" s="267">
        <f t="shared" si="23"/>
        <v>100</v>
      </c>
      <c r="AF13" s="268">
        <f>(AD13/'Finance Only'!B16)*100</f>
        <v>10.290508984405921</v>
      </c>
      <c r="AG13" s="253">
        <f t="shared" si="24"/>
        <v>891528</v>
      </c>
      <c r="AH13" s="253">
        <v>892344</v>
      </c>
      <c r="AI13" s="254">
        <f t="shared" si="25"/>
        <v>816</v>
      </c>
      <c r="AJ13" s="267">
        <f t="shared" si="26"/>
        <v>-33</v>
      </c>
      <c r="AK13" s="268">
        <f>(AI13/'Finance Only'!B16)*100</f>
        <v>3.2296366658750886</v>
      </c>
      <c r="AL13" s="253">
        <f t="shared" si="27"/>
        <v>901250</v>
      </c>
      <c r="AM13" s="253">
        <v>901910</v>
      </c>
      <c r="AN13" s="254">
        <f t="shared" si="28"/>
        <v>660</v>
      </c>
      <c r="AO13" s="267">
        <f t="shared" si="29"/>
        <v>-40</v>
      </c>
      <c r="AP13" s="268">
        <f>(AN13/'Finance Only'!B16)*100</f>
        <v>2.6122061268107335</v>
      </c>
      <c r="AQ13" s="253">
        <f t="shared" si="30"/>
        <v>2019300</v>
      </c>
      <c r="AR13" s="253">
        <v>2020600</v>
      </c>
      <c r="AS13" s="254">
        <f t="shared" si="31"/>
        <v>1300</v>
      </c>
      <c r="AT13" s="267">
        <f t="shared" si="32"/>
        <v>0</v>
      </c>
      <c r="AU13" s="268">
        <f>(AS13/'Finance Only'!B16)*100</f>
        <v>5.1452544922029606</v>
      </c>
      <c r="AV13" s="253">
        <f t="shared" si="33"/>
        <v>584668</v>
      </c>
      <c r="AW13" s="253">
        <v>585093</v>
      </c>
      <c r="AX13" s="254">
        <f t="shared" si="34"/>
        <v>425</v>
      </c>
      <c r="AY13" s="267">
        <f t="shared" si="35"/>
        <v>-48</v>
      </c>
      <c r="AZ13" s="268">
        <f>(AX13/'Finance Only'!B16)*100</f>
        <v>1.6821024301432754</v>
      </c>
      <c r="BA13" s="253">
        <f t="shared" si="36"/>
        <v>831510</v>
      </c>
      <c r="BB13" s="253">
        <v>832430</v>
      </c>
      <c r="BC13" s="254">
        <f t="shared" si="37"/>
        <v>920</v>
      </c>
      <c r="BD13" s="267">
        <f t="shared" si="38"/>
        <v>-40</v>
      </c>
      <c r="BE13" s="268">
        <f>(BC13/'Finance Only'!B16)*100</f>
        <v>3.6412570252513259</v>
      </c>
      <c r="BF13" s="253">
        <f t="shared" si="39"/>
        <v>917690</v>
      </c>
      <c r="BG13" s="253">
        <v>918630</v>
      </c>
      <c r="BH13" s="254">
        <f t="shared" si="40"/>
        <v>940</v>
      </c>
      <c r="BI13" s="267">
        <f t="shared" si="41"/>
        <v>-20</v>
      </c>
      <c r="BJ13" s="268">
        <f>(BH13/'Finance Only'!B16)*100</f>
        <v>3.7204147866698332</v>
      </c>
      <c r="BK13" s="253">
        <f t="shared" si="42"/>
        <v>1419100</v>
      </c>
      <c r="BL13" s="253">
        <v>1419700</v>
      </c>
      <c r="BM13" s="254">
        <f t="shared" si="43"/>
        <v>600</v>
      </c>
      <c r="BN13" s="267">
        <f t="shared" si="44"/>
        <v>-200</v>
      </c>
      <c r="BO13" s="268">
        <f>(BM13/'Finance Only'!B16)*100</f>
        <v>2.3747328425552126</v>
      </c>
      <c r="BP13" s="253">
        <f t="shared" si="45"/>
        <v>924790</v>
      </c>
      <c r="BQ13" s="253">
        <v>926180</v>
      </c>
      <c r="BR13" s="254">
        <f t="shared" si="46"/>
        <v>1390</v>
      </c>
      <c r="BS13" s="267">
        <f t="shared" si="47"/>
        <v>-330</v>
      </c>
      <c r="BT13" s="268">
        <f>(BR13/'Finance Only'!B16)*100</f>
        <v>5.5014644185862425</v>
      </c>
      <c r="BU13" s="253">
        <f t="shared" si="48"/>
        <v>4482700</v>
      </c>
      <c r="BV13" s="253">
        <v>4487000</v>
      </c>
      <c r="BW13" s="254">
        <f t="shared" si="49"/>
        <v>4300</v>
      </c>
      <c r="BX13" s="267">
        <f t="shared" si="50"/>
        <v>-200</v>
      </c>
      <c r="BY13" s="268">
        <f>(BW13/'Finance Only'!B16)*100</f>
        <v>17.018918704979022</v>
      </c>
      <c r="BZ13" s="253">
        <f t="shared" si="51"/>
        <v>726040</v>
      </c>
      <c r="CA13" s="253">
        <v>727250</v>
      </c>
      <c r="CB13" s="254">
        <f t="shared" si="52"/>
        <v>1210</v>
      </c>
      <c r="CC13" s="267">
        <f t="shared" si="53"/>
        <v>-30</v>
      </c>
      <c r="CD13" s="268">
        <f>(CB13/'Finance Only'!B16)*100</f>
        <v>4.7890445658196787</v>
      </c>
      <c r="CE13" s="253">
        <f t="shared" si="54"/>
        <v>223600</v>
      </c>
      <c r="CF13" s="253">
        <v>224030</v>
      </c>
      <c r="CG13" s="254">
        <f t="shared" si="55"/>
        <v>430</v>
      </c>
      <c r="CH13" s="267">
        <f t="shared" si="56"/>
        <v>30</v>
      </c>
      <c r="CI13" s="268">
        <f>(CG13/'Finance Only'!B16)*100</f>
        <v>1.7018918704979025</v>
      </c>
      <c r="CJ13" s="254">
        <f t="shared" si="57"/>
        <v>506210</v>
      </c>
      <c r="CK13" s="254">
        <v>507020</v>
      </c>
      <c r="CL13" s="254">
        <f t="shared" si="58"/>
        <v>810</v>
      </c>
      <c r="CM13" s="267">
        <f t="shared" si="59"/>
        <v>-160</v>
      </c>
      <c r="CN13" s="268">
        <f>(CL13/'Finance Only'!B16)*100</f>
        <v>3.2058893374495372</v>
      </c>
      <c r="CO13" s="253">
        <f t="shared" si="101"/>
        <v>412080</v>
      </c>
      <c r="CP13" s="253">
        <v>412780</v>
      </c>
      <c r="CQ13" s="255">
        <f t="shared" si="100"/>
        <v>700</v>
      </c>
      <c r="CR13" s="267">
        <f t="shared" si="60"/>
        <v>-410</v>
      </c>
      <c r="CS13" s="268">
        <f>(CQ13/'Finance Only'!B16)*100</f>
        <v>2.7705216496477481</v>
      </c>
      <c r="CT13" s="253">
        <f t="shared" si="61"/>
        <v>346670</v>
      </c>
      <c r="CU13" s="253">
        <v>347100</v>
      </c>
      <c r="CV13" s="254">
        <f t="shared" si="62"/>
        <v>430</v>
      </c>
      <c r="CW13" s="267">
        <f t="shared" si="63"/>
        <v>-150</v>
      </c>
      <c r="CX13" s="268">
        <f>(CV13/'Finance Only'!B16)*100</f>
        <v>1.7018918704979025</v>
      </c>
      <c r="CY13" s="253">
        <f t="shared" si="64"/>
        <v>601930</v>
      </c>
      <c r="CZ13" s="253">
        <v>602880</v>
      </c>
      <c r="DA13" s="254">
        <f t="shared" si="65"/>
        <v>950</v>
      </c>
      <c r="DB13" s="267">
        <f t="shared" si="66"/>
        <v>-90</v>
      </c>
      <c r="DC13" s="268">
        <f>(DA13/'Finance Only'!B16)*100</f>
        <v>3.7599936673790864</v>
      </c>
      <c r="DD13" s="253">
        <f t="shared" si="67"/>
        <v>451840</v>
      </c>
      <c r="DE13" s="253">
        <v>452490</v>
      </c>
      <c r="DF13" s="254">
        <f t="shared" si="68"/>
        <v>650</v>
      </c>
      <c r="DG13" s="267">
        <f t="shared" si="69"/>
        <v>-50</v>
      </c>
      <c r="DH13" s="268">
        <f>(DF13/'Finance Only'!B16)*100</f>
        <v>2.5726272461014803</v>
      </c>
      <c r="DI13" s="253">
        <f t="shared" si="70"/>
        <v>413150</v>
      </c>
      <c r="DJ13" s="253">
        <v>413760</v>
      </c>
      <c r="DK13" s="254">
        <f t="shared" si="71"/>
        <v>610</v>
      </c>
      <c r="DL13" s="267">
        <f t="shared" si="72"/>
        <v>-50</v>
      </c>
      <c r="DM13" s="268">
        <f>(DK13/'Finance Only'!B16)*100</f>
        <v>2.4143117232644657</v>
      </c>
      <c r="DN13" s="253">
        <f t="shared" si="73"/>
        <v>240800</v>
      </c>
      <c r="DO13" s="253">
        <v>240980</v>
      </c>
      <c r="DP13" s="254">
        <f t="shared" si="74"/>
        <v>180</v>
      </c>
      <c r="DQ13" s="267">
        <f t="shared" si="75"/>
        <v>-30</v>
      </c>
      <c r="DR13" s="268">
        <f>(DP13/'Finance Only'!B16)*100</f>
        <v>0.71241985276656372</v>
      </c>
      <c r="DS13" s="253">
        <f t="shared" si="76"/>
        <v>72625</v>
      </c>
      <c r="DT13" s="253">
        <v>72734</v>
      </c>
      <c r="DU13" s="254">
        <f t="shared" si="77"/>
        <v>109</v>
      </c>
      <c r="DV13" s="267">
        <f t="shared" si="78"/>
        <v>-12</v>
      </c>
      <c r="DW13" s="268">
        <f>(DU13/'Finance Only'!B16)*100</f>
        <v>0.43140979973086363</v>
      </c>
      <c r="DX13" s="253">
        <f t="shared" si="79"/>
        <v>470810</v>
      </c>
      <c r="DY13" s="253">
        <v>471530</v>
      </c>
      <c r="DZ13" s="254">
        <f t="shared" si="80"/>
        <v>720</v>
      </c>
      <c r="EA13" s="267">
        <f t="shared" si="81"/>
        <v>-40</v>
      </c>
      <c r="EB13" s="268">
        <f>(DZ13/'Finance Only'!B16)*100</f>
        <v>2.8496794110662549</v>
      </c>
      <c r="EC13" s="253">
        <f t="shared" si="82"/>
        <v>150260</v>
      </c>
      <c r="ED13" s="253">
        <v>150540</v>
      </c>
      <c r="EE13" s="254">
        <f t="shared" si="83"/>
        <v>280</v>
      </c>
      <c r="EF13" s="267">
        <f t="shared" si="84"/>
        <v>40</v>
      </c>
      <c r="EG13" s="268">
        <f>(EE13/'Finance Only'!B16)*100</f>
        <v>1.1082086598590992</v>
      </c>
      <c r="EH13" s="253">
        <f t="shared" si="85"/>
        <v>151310</v>
      </c>
      <c r="EI13" s="253">
        <v>151630</v>
      </c>
      <c r="EJ13" s="254">
        <f t="shared" si="86"/>
        <v>320</v>
      </c>
      <c r="EK13" s="267">
        <f t="shared" si="87"/>
        <v>-20</v>
      </c>
      <c r="EL13" s="268">
        <f>(EJ13/'Finance Only'!B16)*100</f>
        <v>1.2665241826961133</v>
      </c>
      <c r="EM13" s="253">
        <f t="shared" si="88"/>
        <v>277990</v>
      </c>
      <c r="EN13" s="253">
        <v>278500</v>
      </c>
      <c r="EO13" s="254">
        <f t="shared" si="89"/>
        <v>510</v>
      </c>
      <c r="EP13" s="267">
        <f t="shared" si="90"/>
        <v>30</v>
      </c>
      <c r="EQ13" s="268">
        <f>(EO13/'Finance Only'!B16)*100</f>
        <v>2.0185229161719307</v>
      </c>
      <c r="ER13" s="253">
        <f t="shared" si="91"/>
        <v>0</v>
      </c>
      <c r="ES13" s="253"/>
      <c r="ET13" s="254">
        <f t="shared" si="92"/>
        <v>0</v>
      </c>
      <c r="EU13" s="267">
        <f t="shared" si="93"/>
        <v>0</v>
      </c>
      <c r="EV13" s="268">
        <f>(ET13/'Finance Only'!B16)*100</f>
        <v>0</v>
      </c>
      <c r="EW13" s="253">
        <f t="shared" si="94"/>
        <v>79646</v>
      </c>
      <c r="EX13" s="253">
        <v>80312</v>
      </c>
      <c r="EY13" s="254">
        <f t="shared" si="95"/>
        <v>666</v>
      </c>
      <c r="EZ13" s="267">
        <f t="shared" si="96"/>
        <v>-323</v>
      </c>
      <c r="FA13" s="268">
        <f>(EY13/'Finance Only'!G16)*100</f>
        <v>2448.5294117647059</v>
      </c>
      <c r="FB13" s="253">
        <f t="shared" si="97"/>
        <v>754980</v>
      </c>
      <c r="FC13" s="253">
        <v>758980</v>
      </c>
      <c r="FD13" s="254">
        <f t="shared" si="98"/>
        <v>4000</v>
      </c>
      <c r="FE13" s="267">
        <f t="shared" si="99"/>
        <v>360</v>
      </c>
      <c r="FF13" s="268" t="e">
        <f>(FD13/'Finance Only'!M16)*100</f>
        <v>#DIV/0!</v>
      </c>
      <c r="FG13" s="319"/>
      <c r="FH13" s="325">
        <f t="shared" si="0"/>
        <v>6013</v>
      </c>
      <c r="FI13" s="322"/>
      <c r="FJ13" s="325">
        <f t="shared" si="1"/>
        <v>6046</v>
      </c>
      <c r="FK13" s="322"/>
      <c r="FL13" s="325">
        <f t="shared" si="2"/>
        <v>1960</v>
      </c>
      <c r="FM13" s="322"/>
      <c r="FN13" s="325">
        <f t="shared" si="3"/>
        <v>2285</v>
      </c>
      <c r="FO13" s="322"/>
      <c r="FP13" s="325">
        <f t="shared" si="4"/>
        <v>1990</v>
      </c>
      <c r="FQ13" s="322"/>
      <c r="FR13" s="325">
        <f t="shared" si="5"/>
        <v>4666</v>
      </c>
      <c r="FS13" s="322"/>
    </row>
    <row r="14" spans="1:175" s="3" customFormat="1" ht="13.5" customHeight="1" x14ac:dyDescent="0.2">
      <c r="A14" s="310">
        <v>10</v>
      </c>
      <c r="B14" s="313">
        <f>'Finance Only'!G17</f>
        <v>21</v>
      </c>
      <c r="C14" s="308">
        <f t="shared" si="6"/>
        <v>26109096</v>
      </c>
      <c r="D14" s="251">
        <f>26109096+2491</f>
        <v>26111587</v>
      </c>
      <c r="E14" s="252">
        <f t="shared" si="7"/>
        <v>2491</v>
      </c>
      <c r="F14" s="263">
        <f t="shared" si="8"/>
        <v>-7</v>
      </c>
      <c r="G14" s="264">
        <f>(E14/'Finance Only'!B17)*100</f>
        <v>9.9409370260994478</v>
      </c>
      <c r="H14" s="274">
        <f t="shared" si="9"/>
        <v>23570848</v>
      </c>
      <c r="I14" s="251">
        <v>23574366</v>
      </c>
      <c r="J14" s="251">
        <f t="shared" si="10"/>
        <v>3518</v>
      </c>
      <c r="K14" s="275">
        <f t="shared" si="11"/>
        <v>3</v>
      </c>
      <c r="L14" s="276">
        <f>(J14/'Finance Only'!B17)*100</f>
        <v>14.039428525820096</v>
      </c>
      <c r="M14" s="259">
        <f t="shared" si="12"/>
        <v>88495440</v>
      </c>
      <c r="N14" s="253">
        <v>88509492</v>
      </c>
      <c r="O14" s="254">
        <f t="shared" si="13"/>
        <v>14052</v>
      </c>
      <c r="P14" s="267">
        <f t="shared" si="14"/>
        <v>127</v>
      </c>
      <c r="Q14" s="268">
        <f>(O14/'Finance Only'!B17)*100</f>
        <v>56.077899273685048</v>
      </c>
      <c r="R14" s="258">
        <f t="shared" si="15"/>
        <v>2389500</v>
      </c>
      <c r="S14" s="253">
        <v>2391200</v>
      </c>
      <c r="T14" s="254">
        <f t="shared" si="16"/>
        <v>1700</v>
      </c>
      <c r="U14" s="267">
        <f t="shared" si="17"/>
        <v>100</v>
      </c>
      <c r="V14" s="268">
        <f>(T14/'Finance Only'!B17)*100</f>
        <v>6.7842605156037985</v>
      </c>
      <c r="W14" s="253">
        <f t="shared" si="18"/>
        <v>3270022</v>
      </c>
      <c r="X14" s="253">
        <v>3272693</v>
      </c>
      <c r="Y14" s="254">
        <f t="shared" si="19"/>
        <v>2671</v>
      </c>
      <c r="Z14" s="267">
        <f t="shared" si="20"/>
        <v>55</v>
      </c>
      <c r="AA14" s="268">
        <f>(Y14/'Finance Only'!B17)*100</f>
        <v>10.659270492457498</v>
      </c>
      <c r="AB14" s="253">
        <f t="shared" si="21"/>
        <v>2038200</v>
      </c>
      <c r="AC14" s="253">
        <v>2040700</v>
      </c>
      <c r="AD14" s="254">
        <f t="shared" si="22"/>
        <v>2500</v>
      </c>
      <c r="AE14" s="267">
        <f t="shared" si="23"/>
        <v>-100</v>
      </c>
      <c r="AF14" s="268">
        <f>(AD14/'Finance Only'!B17)*100</f>
        <v>9.9768536994173509</v>
      </c>
      <c r="AG14" s="253">
        <f t="shared" si="24"/>
        <v>892344</v>
      </c>
      <c r="AH14" s="253">
        <v>893202</v>
      </c>
      <c r="AI14" s="254">
        <f t="shared" si="25"/>
        <v>858</v>
      </c>
      <c r="AJ14" s="267">
        <f t="shared" si="26"/>
        <v>42</v>
      </c>
      <c r="AK14" s="268">
        <f>(AI14/'Finance Only'!B17)*100</f>
        <v>3.4240561896400354</v>
      </c>
      <c r="AL14" s="253">
        <f t="shared" si="27"/>
        <v>901910</v>
      </c>
      <c r="AM14" s="253">
        <v>902560</v>
      </c>
      <c r="AN14" s="254">
        <f t="shared" si="28"/>
        <v>650</v>
      </c>
      <c r="AO14" s="267">
        <f t="shared" si="29"/>
        <v>-10</v>
      </c>
      <c r="AP14" s="268">
        <f>(AN14/'Finance Only'!B17)*100</f>
        <v>2.5939819618485114</v>
      </c>
      <c r="AQ14" s="253">
        <f t="shared" si="30"/>
        <v>2020600</v>
      </c>
      <c r="AR14" s="253">
        <v>2022000</v>
      </c>
      <c r="AS14" s="254">
        <f t="shared" si="31"/>
        <v>1400</v>
      </c>
      <c r="AT14" s="267">
        <f t="shared" si="32"/>
        <v>100</v>
      </c>
      <c r="AU14" s="268">
        <f>(AS14/'Finance Only'!B17)*100</f>
        <v>5.5870380716737165</v>
      </c>
      <c r="AV14" s="253">
        <f t="shared" si="33"/>
        <v>585093</v>
      </c>
      <c r="AW14" s="253">
        <v>585517</v>
      </c>
      <c r="AX14" s="254">
        <f t="shared" si="34"/>
        <v>424</v>
      </c>
      <c r="AY14" s="267">
        <f t="shared" si="35"/>
        <v>-1</v>
      </c>
      <c r="AZ14" s="268">
        <f>(AX14/'Finance Only'!B17)*100</f>
        <v>1.692074387421183</v>
      </c>
      <c r="BA14" s="253">
        <f t="shared" si="36"/>
        <v>832430</v>
      </c>
      <c r="BB14" s="253">
        <v>833510</v>
      </c>
      <c r="BC14" s="254">
        <f t="shared" si="37"/>
        <v>1080</v>
      </c>
      <c r="BD14" s="267">
        <f t="shared" si="38"/>
        <v>160</v>
      </c>
      <c r="BE14" s="268">
        <f>(BC14/'Finance Only'!B17)*100</f>
        <v>4.3100007981482964</v>
      </c>
      <c r="BF14" s="253">
        <f t="shared" si="39"/>
        <v>918630</v>
      </c>
      <c r="BG14" s="253">
        <v>919630</v>
      </c>
      <c r="BH14" s="254">
        <f t="shared" si="40"/>
        <v>1000</v>
      </c>
      <c r="BI14" s="267">
        <f t="shared" si="41"/>
        <v>60</v>
      </c>
      <c r="BJ14" s="268">
        <f>(BH14/'Finance Only'!B17)*100</f>
        <v>3.9907414797669407</v>
      </c>
      <c r="BK14" s="253">
        <f t="shared" si="42"/>
        <v>1419700</v>
      </c>
      <c r="BL14" s="253">
        <v>1420400</v>
      </c>
      <c r="BM14" s="254">
        <f t="shared" si="43"/>
        <v>700</v>
      </c>
      <c r="BN14" s="267">
        <f t="shared" si="44"/>
        <v>100</v>
      </c>
      <c r="BO14" s="268">
        <f>(BM14/'Finance Only'!B17)*100</f>
        <v>2.7935190358368582</v>
      </c>
      <c r="BP14" s="253">
        <f t="shared" si="45"/>
        <v>926180</v>
      </c>
      <c r="BQ14" s="253">
        <v>927580</v>
      </c>
      <c r="BR14" s="254">
        <f t="shared" si="46"/>
        <v>1400</v>
      </c>
      <c r="BS14" s="267">
        <f t="shared" si="47"/>
        <v>10</v>
      </c>
      <c r="BT14" s="268">
        <f>(BR14/'Finance Only'!B17)*100</f>
        <v>5.5870380716737165</v>
      </c>
      <c r="BU14" s="253">
        <f t="shared" si="48"/>
        <v>4487000</v>
      </c>
      <c r="BV14" s="253">
        <v>4491700</v>
      </c>
      <c r="BW14" s="254">
        <f t="shared" si="49"/>
        <v>4700</v>
      </c>
      <c r="BX14" s="267">
        <f t="shared" si="50"/>
        <v>400</v>
      </c>
      <c r="BY14" s="268">
        <f>(BW14/'Finance Only'!B17)*100</f>
        <v>18.756484954904622</v>
      </c>
      <c r="BZ14" s="253">
        <f t="shared" si="51"/>
        <v>727250</v>
      </c>
      <c r="CA14" s="253">
        <v>728440</v>
      </c>
      <c r="CB14" s="254">
        <f t="shared" si="52"/>
        <v>1190</v>
      </c>
      <c r="CC14" s="267">
        <f t="shared" si="53"/>
        <v>-20</v>
      </c>
      <c r="CD14" s="268">
        <f>(CB14/'Finance Only'!B17)*100</f>
        <v>4.7489823609226596</v>
      </c>
      <c r="CE14" s="253">
        <f t="shared" si="54"/>
        <v>224030</v>
      </c>
      <c r="CF14" s="253">
        <v>224390</v>
      </c>
      <c r="CG14" s="254">
        <f t="shared" si="55"/>
        <v>360</v>
      </c>
      <c r="CH14" s="267">
        <f t="shared" si="56"/>
        <v>-70</v>
      </c>
      <c r="CI14" s="268">
        <f>(CG14/'Finance Only'!B17)*100</f>
        <v>1.4366669327160986</v>
      </c>
      <c r="CJ14" s="254">
        <f t="shared" si="57"/>
        <v>507020</v>
      </c>
      <c r="CK14" s="254">
        <v>507850</v>
      </c>
      <c r="CL14" s="254">
        <f t="shared" si="58"/>
        <v>830</v>
      </c>
      <c r="CM14" s="267">
        <f>CL14-CL13</f>
        <v>20</v>
      </c>
      <c r="CN14" s="268">
        <f>(CL14/'Finance Only'!B17)*100</f>
        <v>3.3123154282065608</v>
      </c>
      <c r="CO14" s="253">
        <f t="shared" si="101"/>
        <v>412780</v>
      </c>
      <c r="CP14" s="253">
        <v>413490</v>
      </c>
      <c r="CQ14" s="255">
        <f t="shared" si="100"/>
        <v>710</v>
      </c>
      <c r="CR14" s="267">
        <f t="shared" si="60"/>
        <v>10</v>
      </c>
      <c r="CS14" s="268">
        <f>(CQ14/'Finance Only'!B17)*100</f>
        <v>2.8334264506345281</v>
      </c>
      <c r="CT14" s="253">
        <f t="shared" si="61"/>
        <v>347100</v>
      </c>
      <c r="CU14" s="253">
        <v>347610</v>
      </c>
      <c r="CV14" s="254">
        <f t="shared" si="62"/>
        <v>510</v>
      </c>
      <c r="CW14" s="267">
        <f t="shared" si="63"/>
        <v>80</v>
      </c>
      <c r="CX14" s="268">
        <f>(CV14/'Finance Only'!B17)*100</f>
        <v>2.0352781546811398</v>
      </c>
      <c r="CY14" s="253">
        <f t="shared" si="64"/>
        <v>602880</v>
      </c>
      <c r="CZ14" s="253">
        <v>603660</v>
      </c>
      <c r="DA14" s="254">
        <f t="shared" si="65"/>
        <v>780</v>
      </c>
      <c r="DB14" s="267">
        <f t="shared" si="66"/>
        <v>-170</v>
      </c>
      <c r="DC14" s="268">
        <f>(DA14/'Finance Only'!B17)*100</f>
        <v>3.1127783542182139</v>
      </c>
      <c r="DD14" s="253">
        <f t="shared" si="67"/>
        <v>452490</v>
      </c>
      <c r="DE14" s="253">
        <v>453210</v>
      </c>
      <c r="DF14" s="254">
        <f t="shared" si="68"/>
        <v>720</v>
      </c>
      <c r="DG14" s="267">
        <f t="shared" si="69"/>
        <v>70</v>
      </c>
      <c r="DH14" s="268">
        <f>(DF14/'Finance Only'!B17)*100</f>
        <v>2.8733338654321972</v>
      </c>
      <c r="DI14" s="253">
        <f t="shared" si="70"/>
        <v>413760</v>
      </c>
      <c r="DJ14" s="253">
        <v>414310</v>
      </c>
      <c r="DK14" s="254">
        <f t="shared" si="71"/>
        <v>550</v>
      </c>
      <c r="DL14" s="267">
        <f t="shared" si="72"/>
        <v>-60</v>
      </c>
      <c r="DM14" s="268">
        <f>(DK14/'Finance Only'!B17)*100</f>
        <v>2.1949078138718172</v>
      </c>
      <c r="DN14" s="253">
        <f t="shared" si="73"/>
        <v>240980</v>
      </c>
      <c r="DO14" s="253">
        <v>241140</v>
      </c>
      <c r="DP14" s="254">
        <f t="shared" si="74"/>
        <v>160</v>
      </c>
      <c r="DQ14" s="267">
        <f t="shared" si="75"/>
        <v>-20</v>
      </c>
      <c r="DR14" s="268">
        <f>(DP14/'Finance Only'!B17)*100</f>
        <v>0.63851863676271048</v>
      </c>
      <c r="DS14" s="253">
        <f t="shared" si="76"/>
        <v>72734</v>
      </c>
      <c r="DT14" s="253">
        <v>72845</v>
      </c>
      <c r="DU14" s="254">
        <f t="shared" si="77"/>
        <v>111</v>
      </c>
      <c r="DV14" s="267">
        <f t="shared" si="78"/>
        <v>2</v>
      </c>
      <c r="DW14" s="268">
        <f>(DU14/'Finance Only'!B17)*100</f>
        <v>0.44297230425413037</v>
      </c>
      <c r="DX14" s="253">
        <f t="shared" si="79"/>
        <v>471530</v>
      </c>
      <c r="DY14" s="253">
        <v>472210</v>
      </c>
      <c r="DZ14" s="254">
        <f t="shared" si="80"/>
        <v>680</v>
      </c>
      <c r="EA14" s="267">
        <f t="shared" si="81"/>
        <v>-40</v>
      </c>
      <c r="EB14" s="268">
        <f>(DZ14/'Finance Only'!B17)*100</f>
        <v>2.7137042062415198</v>
      </c>
      <c r="EC14" s="253">
        <f t="shared" si="82"/>
        <v>150540</v>
      </c>
      <c r="ED14" s="253">
        <v>150790</v>
      </c>
      <c r="EE14" s="254">
        <f t="shared" si="83"/>
        <v>250</v>
      </c>
      <c r="EF14" s="267">
        <f t="shared" si="84"/>
        <v>-30</v>
      </c>
      <c r="EG14" s="268">
        <f>(EE14/'Finance Only'!B17)*100</f>
        <v>0.99768536994173518</v>
      </c>
      <c r="EH14" s="253">
        <f t="shared" si="85"/>
        <v>151630</v>
      </c>
      <c r="EI14" s="253">
        <v>151840</v>
      </c>
      <c r="EJ14" s="254">
        <f t="shared" si="86"/>
        <v>210</v>
      </c>
      <c r="EK14" s="267">
        <f t="shared" si="87"/>
        <v>-110</v>
      </c>
      <c r="EL14" s="268">
        <f>(EJ14/'Finance Only'!B17)*100</f>
        <v>0.83805571075105756</v>
      </c>
      <c r="EM14" s="253">
        <f t="shared" si="88"/>
        <v>278500</v>
      </c>
      <c r="EN14" s="253">
        <v>279000</v>
      </c>
      <c r="EO14" s="254">
        <f t="shared" si="89"/>
        <v>500</v>
      </c>
      <c r="EP14" s="267">
        <f t="shared" si="90"/>
        <v>-10</v>
      </c>
      <c r="EQ14" s="268">
        <f>(EO14/'Finance Only'!B17)*100</f>
        <v>1.9953707398834704</v>
      </c>
      <c r="ER14" s="253">
        <f t="shared" si="91"/>
        <v>0</v>
      </c>
      <c r="ES14" s="253"/>
      <c r="ET14" s="254">
        <f t="shared" si="92"/>
        <v>0</v>
      </c>
      <c r="EU14" s="267">
        <f t="shared" si="93"/>
        <v>0</v>
      </c>
      <c r="EV14" s="268">
        <f>(ET14/'Finance Only'!B17)*100</f>
        <v>0</v>
      </c>
      <c r="EW14" s="253">
        <f t="shared" si="94"/>
        <v>80312</v>
      </c>
      <c r="EX14" s="253">
        <v>81552</v>
      </c>
      <c r="EY14" s="254">
        <f t="shared" si="95"/>
        <v>1240</v>
      </c>
      <c r="EZ14" s="267">
        <f t="shared" si="96"/>
        <v>574</v>
      </c>
      <c r="FA14" s="268">
        <f>(EY14/'Finance Only'!G17)*100</f>
        <v>5904.7619047619055</v>
      </c>
      <c r="FB14" s="253">
        <f t="shared" si="97"/>
        <v>758980</v>
      </c>
      <c r="FC14" s="253">
        <v>761860</v>
      </c>
      <c r="FD14" s="254">
        <f t="shared" si="98"/>
        <v>2880</v>
      </c>
      <c r="FE14" s="267">
        <f t="shared" si="99"/>
        <v>-1120</v>
      </c>
      <c r="FF14" s="268" t="e">
        <f>(FD14/'Finance Only'!M17)*100</f>
        <v>#DIV/0!</v>
      </c>
      <c r="FG14" s="319"/>
      <c r="FH14" s="325">
        <f t="shared" si="0"/>
        <v>6009</v>
      </c>
      <c r="FI14" s="322"/>
      <c r="FJ14" s="325">
        <f t="shared" si="1"/>
        <v>6011</v>
      </c>
      <c r="FK14" s="322"/>
      <c r="FL14" s="325">
        <f t="shared" si="2"/>
        <v>2050</v>
      </c>
      <c r="FM14" s="322"/>
      <c r="FN14" s="325">
        <f t="shared" si="3"/>
        <v>2504</v>
      </c>
      <c r="FO14" s="322"/>
      <c r="FP14" s="325">
        <f t="shared" si="4"/>
        <v>2100</v>
      </c>
      <c r="FQ14" s="322"/>
      <c r="FR14" s="325">
        <f t="shared" si="5"/>
        <v>4120</v>
      </c>
      <c r="FS14" s="322"/>
    </row>
    <row r="15" spans="1:175" s="3" customFormat="1" ht="13.5" customHeight="1" x14ac:dyDescent="0.2">
      <c r="A15" s="310">
        <v>11</v>
      </c>
      <c r="B15" s="313">
        <f>'Finance Only'!G18</f>
        <v>25.2</v>
      </c>
      <c r="C15" s="308">
        <f t="shared" si="6"/>
        <v>26111587</v>
      </c>
      <c r="D15" s="251">
        <v>26114109</v>
      </c>
      <c r="E15" s="252">
        <f t="shared" si="7"/>
        <v>2522</v>
      </c>
      <c r="F15" s="263">
        <f t="shared" si="8"/>
        <v>31</v>
      </c>
      <c r="G15" s="264">
        <f>(E15/'Finance Only'!B18)*100</f>
        <v>9.2689918776875295</v>
      </c>
      <c r="H15" s="274">
        <f t="shared" si="9"/>
        <v>23574366</v>
      </c>
      <c r="I15" s="251">
        <v>23578942</v>
      </c>
      <c r="J15" s="251">
        <f t="shared" si="10"/>
        <v>4576</v>
      </c>
      <c r="K15" s="275">
        <f t="shared" si="11"/>
        <v>1058</v>
      </c>
      <c r="L15" s="276">
        <f>(J15/'Finance Only'!B18)*100</f>
        <v>16.8179646440516</v>
      </c>
      <c r="M15" s="259">
        <f t="shared" si="12"/>
        <v>88509492</v>
      </c>
      <c r="N15" s="253">
        <v>88523928</v>
      </c>
      <c r="O15" s="254">
        <f t="shared" si="13"/>
        <v>14436</v>
      </c>
      <c r="P15" s="267">
        <f t="shared" si="14"/>
        <v>384</v>
      </c>
      <c r="Q15" s="268">
        <f>(O15/'Finance Only'!B18)*100</f>
        <v>53.055974126208241</v>
      </c>
      <c r="R15" s="258">
        <f t="shared" si="15"/>
        <v>2391200</v>
      </c>
      <c r="S15" s="253">
        <v>2392800</v>
      </c>
      <c r="T15" s="254">
        <f t="shared" si="16"/>
        <v>1600</v>
      </c>
      <c r="U15" s="267">
        <f t="shared" si="17"/>
        <v>-100</v>
      </c>
      <c r="V15" s="268">
        <f>(T15/'Finance Only'!B18)*100</f>
        <v>5.8804072181998599</v>
      </c>
      <c r="W15" s="253">
        <f t="shared" si="18"/>
        <v>3272693</v>
      </c>
      <c r="X15" s="253">
        <v>3275479</v>
      </c>
      <c r="Y15" s="254">
        <f t="shared" si="19"/>
        <v>2786</v>
      </c>
      <c r="Z15" s="267">
        <f t="shared" si="20"/>
        <v>115</v>
      </c>
      <c r="AA15" s="268">
        <f>(Y15/'Finance Only'!B18)*100</f>
        <v>10.239259068690506</v>
      </c>
      <c r="AB15" s="253">
        <f t="shared" si="21"/>
        <v>2040700</v>
      </c>
      <c r="AC15" s="253">
        <v>2043200</v>
      </c>
      <c r="AD15" s="254">
        <f t="shared" si="22"/>
        <v>2500</v>
      </c>
      <c r="AE15" s="267">
        <f t="shared" si="23"/>
        <v>0</v>
      </c>
      <c r="AF15" s="268">
        <f>(AD15/'Finance Only'!B18)*100</f>
        <v>9.1881362784372804</v>
      </c>
      <c r="AG15" s="253">
        <f t="shared" si="24"/>
        <v>893202</v>
      </c>
      <c r="AH15" s="253">
        <v>894112</v>
      </c>
      <c r="AI15" s="254">
        <f t="shared" si="25"/>
        <v>910</v>
      </c>
      <c r="AJ15" s="267">
        <f t="shared" si="26"/>
        <v>52</v>
      </c>
      <c r="AK15" s="268">
        <f>(AI15/'Finance Only'!B18)*100</f>
        <v>3.3444816053511706</v>
      </c>
      <c r="AL15" s="253">
        <f t="shared" si="27"/>
        <v>902560</v>
      </c>
      <c r="AM15" s="253">
        <v>903290</v>
      </c>
      <c r="AN15" s="254">
        <f t="shared" si="28"/>
        <v>730</v>
      </c>
      <c r="AO15" s="267">
        <f t="shared" si="29"/>
        <v>80</v>
      </c>
      <c r="AP15" s="268">
        <f>(AN15/'Finance Only'!B18)*100</f>
        <v>2.6829357933036859</v>
      </c>
      <c r="AQ15" s="253">
        <f t="shared" si="30"/>
        <v>2022000</v>
      </c>
      <c r="AR15" s="253">
        <v>2023400</v>
      </c>
      <c r="AS15" s="254">
        <f t="shared" si="31"/>
        <v>1400</v>
      </c>
      <c r="AT15" s="267">
        <f t="shared" si="32"/>
        <v>0</v>
      </c>
      <c r="AU15" s="268">
        <f>(AS15/'Finance Only'!B18)*100</f>
        <v>5.1453563159248779</v>
      </c>
      <c r="AV15" s="253">
        <f t="shared" si="33"/>
        <v>585517</v>
      </c>
      <c r="AW15" s="253">
        <v>586000</v>
      </c>
      <c r="AX15" s="254">
        <f t="shared" si="34"/>
        <v>483</v>
      </c>
      <c r="AY15" s="267">
        <f t="shared" si="35"/>
        <v>59</v>
      </c>
      <c r="AZ15" s="268">
        <f>(AX15/'Finance Only'!B18)*100</f>
        <v>1.7751479289940828</v>
      </c>
      <c r="BA15" s="253">
        <f t="shared" si="36"/>
        <v>833510</v>
      </c>
      <c r="BB15" s="253">
        <v>834600</v>
      </c>
      <c r="BC15" s="254">
        <f t="shared" si="37"/>
        <v>1090</v>
      </c>
      <c r="BD15" s="267">
        <f t="shared" si="38"/>
        <v>10</v>
      </c>
      <c r="BE15" s="268">
        <f>(BC15/'Finance Only'!B18)*100</f>
        <v>4.0060274173986548</v>
      </c>
      <c r="BF15" s="253">
        <f t="shared" si="39"/>
        <v>919630</v>
      </c>
      <c r="BG15" s="253">
        <v>920630</v>
      </c>
      <c r="BH15" s="254">
        <f t="shared" si="40"/>
        <v>1000</v>
      </c>
      <c r="BI15" s="267">
        <f t="shared" si="41"/>
        <v>0</v>
      </c>
      <c r="BJ15" s="268">
        <f>(BH15/'Finance Only'!B18)*100</f>
        <v>3.6752545113749124</v>
      </c>
      <c r="BK15" s="253">
        <f t="shared" si="42"/>
        <v>1420400</v>
      </c>
      <c r="BL15" s="253">
        <v>1421100</v>
      </c>
      <c r="BM15" s="254">
        <f t="shared" si="43"/>
        <v>700</v>
      </c>
      <c r="BN15" s="267">
        <f t="shared" si="44"/>
        <v>0</v>
      </c>
      <c r="BO15" s="268">
        <f>(BM15/'Finance Only'!B18)*100</f>
        <v>2.5726781579624389</v>
      </c>
      <c r="BP15" s="253">
        <f t="shared" si="45"/>
        <v>927580</v>
      </c>
      <c r="BQ15" s="253">
        <v>929380</v>
      </c>
      <c r="BR15" s="254">
        <f t="shared" si="46"/>
        <v>1800</v>
      </c>
      <c r="BS15" s="267">
        <f t="shared" si="47"/>
        <v>400</v>
      </c>
      <c r="BT15" s="268">
        <f>(BR15/'Finance Only'!B18)*100</f>
        <v>6.6154581204748428</v>
      </c>
      <c r="BU15" s="253">
        <f t="shared" si="48"/>
        <v>4491700</v>
      </c>
      <c r="BV15" s="253">
        <v>4496700</v>
      </c>
      <c r="BW15" s="254">
        <f t="shared" si="49"/>
        <v>5000</v>
      </c>
      <c r="BX15" s="267">
        <f t="shared" si="50"/>
        <v>300</v>
      </c>
      <c r="BY15" s="268">
        <f>(BW15/'Finance Only'!B18)*100</f>
        <v>18.376272556874561</v>
      </c>
      <c r="BZ15" s="253">
        <f t="shared" si="51"/>
        <v>728440</v>
      </c>
      <c r="CA15" s="253">
        <v>729620</v>
      </c>
      <c r="CB15" s="254">
        <f t="shared" si="52"/>
        <v>1180</v>
      </c>
      <c r="CC15" s="267">
        <f t="shared" si="53"/>
        <v>-10</v>
      </c>
      <c r="CD15" s="268">
        <f>(CB15/'Finance Only'!B18)*100</f>
        <v>4.3368003234223966</v>
      </c>
      <c r="CE15" s="253">
        <f t="shared" si="54"/>
        <v>224390</v>
      </c>
      <c r="CF15" s="253">
        <v>224720</v>
      </c>
      <c r="CG15" s="254">
        <f t="shared" si="55"/>
        <v>330</v>
      </c>
      <c r="CH15" s="267">
        <f t="shared" si="56"/>
        <v>-30</v>
      </c>
      <c r="CI15" s="268">
        <f>(CG15/'Finance Only'!B18)*100</f>
        <v>1.2128339887537212</v>
      </c>
      <c r="CJ15" s="254">
        <f t="shared" si="57"/>
        <v>507850</v>
      </c>
      <c r="CK15" s="254">
        <v>508940</v>
      </c>
      <c r="CL15" s="254">
        <f t="shared" si="58"/>
        <v>1090</v>
      </c>
      <c r="CM15" s="267">
        <f>CL15-CL14</f>
        <v>260</v>
      </c>
      <c r="CN15" s="268">
        <f>(CL15/'Finance Only'!B18)*100</f>
        <v>4.0060274173986548</v>
      </c>
      <c r="CO15" s="253">
        <f t="shared" si="101"/>
        <v>413490</v>
      </c>
      <c r="CP15" s="253">
        <v>414290</v>
      </c>
      <c r="CQ15" s="255">
        <f t="shared" si="100"/>
        <v>800</v>
      </c>
      <c r="CR15" s="267">
        <f t="shared" si="60"/>
        <v>90</v>
      </c>
      <c r="CS15" s="268">
        <f>(CQ15/'Finance Only'!B18)*100</f>
        <v>2.9402036090999299</v>
      </c>
      <c r="CT15" s="253">
        <f t="shared" si="61"/>
        <v>347610</v>
      </c>
      <c r="CU15" s="253">
        <v>348470</v>
      </c>
      <c r="CV15" s="254">
        <f t="shared" si="62"/>
        <v>860</v>
      </c>
      <c r="CW15" s="267">
        <f t="shared" si="63"/>
        <v>350</v>
      </c>
      <c r="CX15" s="268">
        <f>(CV15/'Finance Only'!B18)*100</f>
        <v>3.1607188797824253</v>
      </c>
      <c r="CY15" s="253">
        <f t="shared" si="64"/>
        <v>603660</v>
      </c>
      <c r="CZ15" s="253">
        <v>604570</v>
      </c>
      <c r="DA15" s="254">
        <f t="shared" si="65"/>
        <v>910</v>
      </c>
      <c r="DB15" s="267">
        <f t="shared" si="66"/>
        <v>130</v>
      </c>
      <c r="DC15" s="268">
        <f>(DA15/'Finance Only'!B18)*100</f>
        <v>3.3444816053511706</v>
      </c>
      <c r="DD15" s="253">
        <f t="shared" si="67"/>
        <v>453210</v>
      </c>
      <c r="DE15" s="253">
        <v>454160</v>
      </c>
      <c r="DF15" s="254">
        <f t="shared" si="68"/>
        <v>950</v>
      </c>
      <c r="DG15" s="267">
        <f t="shared" si="69"/>
        <v>230</v>
      </c>
      <c r="DH15" s="268">
        <f>(DF15/'Finance Only'!B18)*100</f>
        <v>3.4914917858061676</v>
      </c>
      <c r="DI15" s="253">
        <f t="shared" si="70"/>
        <v>414310</v>
      </c>
      <c r="DJ15" s="253">
        <v>415070</v>
      </c>
      <c r="DK15" s="254">
        <f t="shared" si="71"/>
        <v>760</v>
      </c>
      <c r="DL15" s="267">
        <f t="shared" si="72"/>
        <v>210</v>
      </c>
      <c r="DM15" s="268">
        <f>(DK15/'Finance Only'!B18)*100</f>
        <v>2.7931934286449334</v>
      </c>
      <c r="DN15" s="253">
        <f t="shared" si="73"/>
        <v>241140</v>
      </c>
      <c r="DO15" s="253">
        <v>241330</v>
      </c>
      <c r="DP15" s="254">
        <f t="shared" si="74"/>
        <v>190</v>
      </c>
      <c r="DQ15" s="267">
        <f t="shared" si="75"/>
        <v>30</v>
      </c>
      <c r="DR15" s="268">
        <f>(DP15/'Finance Only'!B18)*100</f>
        <v>0.69829835716123334</v>
      </c>
      <c r="DS15" s="253">
        <f t="shared" si="76"/>
        <v>72845</v>
      </c>
      <c r="DT15" s="253">
        <v>72973</v>
      </c>
      <c r="DU15" s="254">
        <f t="shared" si="77"/>
        <v>128</v>
      </c>
      <c r="DV15" s="267">
        <f t="shared" si="78"/>
        <v>17</v>
      </c>
      <c r="DW15" s="268">
        <f>(DU15/'Finance Only'!B18)*100</f>
        <v>0.47043257745598882</v>
      </c>
      <c r="DX15" s="253">
        <f t="shared" si="79"/>
        <v>472210</v>
      </c>
      <c r="DY15" s="253">
        <v>472880</v>
      </c>
      <c r="DZ15" s="254">
        <f t="shared" si="80"/>
        <v>670</v>
      </c>
      <c r="EA15" s="267">
        <f t="shared" si="81"/>
        <v>-10</v>
      </c>
      <c r="EB15" s="268">
        <f>(DZ15/'Finance Only'!B18)*100</f>
        <v>2.4624205226211915</v>
      </c>
      <c r="EC15" s="253">
        <f t="shared" si="82"/>
        <v>150790</v>
      </c>
      <c r="ED15" s="253">
        <v>151050</v>
      </c>
      <c r="EE15" s="254">
        <f t="shared" si="83"/>
        <v>260</v>
      </c>
      <c r="EF15" s="267">
        <f t="shared" si="84"/>
        <v>10</v>
      </c>
      <c r="EG15" s="268">
        <f>(EE15/'Finance Only'!B18)*100</f>
        <v>0.95556617295747737</v>
      </c>
      <c r="EH15" s="253">
        <f t="shared" si="85"/>
        <v>151840</v>
      </c>
      <c r="EI15" s="253">
        <v>152160</v>
      </c>
      <c r="EJ15" s="254">
        <f t="shared" si="86"/>
        <v>320</v>
      </c>
      <c r="EK15" s="267">
        <f t="shared" si="87"/>
        <v>110</v>
      </c>
      <c r="EL15" s="268">
        <f>(EJ15/'Finance Only'!B18)*100</f>
        <v>1.176081443639972</v>
      </c>
      <c r="EM15" s="253">
        <f t="shared" si="88"/>
        <v>279000</v>
      </c>
      <c r="EN15" s="253">
        <v>279520</v>
      </c>
      <c r="EO15" s="254">
        <f t="shared" si="89"/>
        <v>520</v>
      </c>
      <c r="EP15" s="267">
        <f t="shared" si="90"/>
        <v>20</v>
      </c>
      <c r="EQ15" s="268">
        <f>(EO15/'Finance Only'!B18)*100</f>
        <v>1.9111323459149547</v>
      </c>
      <c r="ER15" s="253">
        <f t="shared" si="91"/>
        <v>0</v>
      </c>
      <c r="ES15" s="253"/>
      <c r="ET15" s="254">
        <f t="shared" si="92"/>
        <v>0</v>
      </c>
      <c r="EU15" s="267">
        <f t="shared" si="93"/>
        <v>0</v>
      </c>
      <c r="EV15" s="268">
        <f>(ET15/'Finance Only'!B18)*100</f>
        <v>0</v>
      </c>
      <c r="EW15" s="253">
        <f t="shared" si="94"/>
        <v>81552</v>
      </c>
      <c r="EX15" s="253">
        <v>82989</v>
      </c>
      <c r="EY15" s="254">
        <f t="shared" si="95"/>
        <v>1437</v>
      </c>
      <c r="EZ15" s="267">
        <f t="shared" si="96"/>
        <v>197</v>
      </c>
      <c r="FA15" s="268">
        <f>(EY15/'Finance Only'!G18)*100</f>
        <v>5702.3809523809523</v>
      </c>
      <c r="FB15" s="253">
        <f t="shared" si="97"/>
        <v>761860</v>
      </c>
      <c r="FC15" s="253">
        <v>766350</v>
      </c>
      <c r="FD15" s="254">
        <f t="shared" si="98"/>
        <v>4490</v>
      </c>
      <c r="FE15" s="267">
        <f t="shared" si="99"/>
        <v>1610</v>
      </c>
      <c r="FF15" s="268" t="e">
        <f>(FD15/'Finance Only'!M18)*100</f>
        <v>#DIV/0!</v>
      </c>
      <c r="FG15" s="319"/>
      <c r="FH15" s="325">
        <f t="shared" si="0"/>
        <v>7098</v>
      </c>
      <c r="FI15" s="322"/>
      <c r="FJ15" s="325">
        <f t="shared" si="1"/>
        <v>6156</v>
      </c>
      <c r="FK15" s="322"/>
      <c r="FL15" s="325">
        <f t="shared" si="2"/>
        <v>2130</v>
      </c>
      <c r="FM15" s="322"/>
      <c r="FN15" s="325">
        <f t="shared" si="3"/>
        <v>2573</v>
      </c>
      <c r="FO15" s="322"/>
      <c r="FP15" s="325">
        <f t="shared" si="4"/>
        <v>2500</v>
      </c>
      <c r="FQ15" s="322"/>
      <c r="FR15" s="325">
        <f t="shared" si="5"/>
        <v>5927</v>
      </c>
      <c r="FS15" s="322"/>
    </row>
    <row r="16" spans="1:175" s="3" customFormat="1" ht="13.5" customHeight="1" x14ac:dyDescent="0.2">
      <c r="A16" s="310">
        <v>12</v>
      </c>
      <c r="B16" s="313">
        <f>'Finance Only'!G19</f>
        <v>29.1</v>
      </c>
      <c r="C16" s="308">
        <f t="shared" si="6"/>
        <v>26114109</v>
      </c>
      <c r="D16" s="251">
        <v>26116584</v>
      </c>
      <c r="E16" s="252">
        <f t="shared" si="7"/>
        <v>2475</v>
      </c>
      <c r="F16" s="263">
        <f t="shared" si="8"/>
        <v>-47</v>
      </c>
      <c r="G16" s="264">
        <f>(E16/'Finance Only'!B19)*100</f>
        <v>9.4160167395853147</v>
      </c>
      <c r="H16" s="274">
        <f t="shared" si="9"/>
        <v>23578942</v>
      </c>
      <c r="I16" s="251">
        <v>23582598</v>
      </c>
      <c r="J16" s="251">
        <f t="shared" si="10"/>
        <v>3656</v>
      </c>
      <c r="K16" s="275">
        <f t="shared" si="11"/>
        <v>-920</v>
      </c>
      <c r="L16" s="276">
        <f>(J16/'Finance Only'!B19)*100</f>
        <v>13.909073616130874</v>
      </c>
      <c r="M16" s="259">
        <f t="shared" si="12"/>
        <v>88523928</v>
      </c>
      <c r="N16" s="253">
        <v>88538663</v>
      </c>
      <c r="O16" s="254">
        <f t="shared" si="13"/>
        <v>14735</v>
      </c>
      <c r="P16" s="267">
        <f t="shared" si="14"/>
        <v>299</v>
      </c>
      <c r="Q16" s="268">
        <f>(O16/'Finance Only'!B19)*100</f>
        <v>56.058588548601861</v>
      </c>
      <c r="R16" s="258">
        <f t="shared" si="15"/>
        <v>2392800</v>
      </c>
      <c r="S16" s="253">
        <v>2394400</v>
      </c>
      <c r="T16" s="254">
        <f t="shared" si="16"/>
        <v>1600</v>
      </c>
      <c r="U16" s="267">
        <f t="shared" si="17"/>
        <v>0</v>
      </c>
      <c r="V16" s="268">
        <f>(T16/'Finance Only'!B19)*100</f>
        <v>6.0871219326612138</v>
      </c>
      <c r="W16" s="253">
        <f t="shared" si="18"/>
        <v>3275479</v>
      </c>
      <c r="X16" s="253">
        <v>3278285</v>
      </c>
      <c r="Y16" s="254">
        <f t="shared" si="19"/>
        <v>2806</v>
      </c>
      <c r="Z16" s="267">
        <f t="shared" si="20"/>
        <v>20</v>
      </c>
      <c r="AA16" s="268">
        <f>(Y16/'Finance Only'!B19)*100</f>
        <v>10.675290089404603</v>
      </c>
      <c r="AB16" s="253">
        <f t="shared" si="21"/>
        <v>2043200</v>
      </c>
      <c r="AC16" s="253">
        <v>2045700</v>
      </c>
      <c r="AD16" s="254">
        <f t="shared" si="22"/>
        <v>2500</v>
      </c>
      <c r="AE16" s="267">
        <f t="shared" si="23"/>
        <v>0</v>
      </c>
      <c r="AF16" s="268">
        <f>(AD16/'Finance Only'!B19)*100</f>
        <v>9.5111280197831469</v>
      </c>
      <c r="AG16" s="253">
        <f t="shared" si="24"/>
        <v>894112</v>
      </c>
      <c r="AH16" s="253">
        <v>895091</v>
      </c>
      <c r="AI16" s="254">
        <f t="shared" si="25"/>
        <v>979</v>
      </c>
      <c r="AJ16" s="267">
        <f t="shared" si="26"/>
        <v>69</v>
      </c>
      <c r="AK16" s="268">
        <f>(AI16/'Finance Only'!B19)*100</f>
        <v>3.7245577325470798</v>
      </c>
      <c r="AL16" s="253">
        <f t="shared" si="27"/>
        <v>903290</v>
      </c>
      <c r="AM16" s="253">
        <v>903890</v>
      </c>
      <c r="AN16" s="254">
        <f t="shared" si="28"/>
        <v>600</v>
      </c>
      <c r="AO16" s="267">
        <f t="shared" si="29"/>
        <v>-130</v>
      </c>
      <c r="AP16" s="268">
        <f>(AN16/'Finance Only'!B19)*100</f>
        <v>2.2826707247479554</v>
      </c>
      <c r="AQ16" s="253">
        <f t="shared" si="30"/>
        <v>2023400</v>
      </c>
      <c r="AR16" s="253">
        <v>2024700</v>
      </c>
      <c r="AS16" s="254">
        <f t="shared" si="31"/>
        <v>1300</v>
      </c>
      <c r="AT16" s="267">
        <f t="shared" si="32"/>
        <v>-100</v>
      </c>
      <c r="AU16" s="268">
        <f>(AS16/'Finance Only'!B19)*100</f>
        <v>4.9457865702872361</v>
      </c>
      <c r="AV16" s="253">
        <f t="shared" si="33"/>
        <v>586000</v>
      </c>
      <c r="AW16" s="253">
        <v>586427</v>
      </c>
      <c r="AX16" s="254">
        <f t="shared" si="34"/>
        <v>427</v>
      </c>
      <c r="AY16" s="267">
        <f t="shared" si="35"/>
        <v>-56</v>
      </c>
      <c r="AZ16" s="268">
        <f>(AX16/'Finance Only'!B19)*100</f>
        <v>1.6245006657789614</v>
      </c>
      <c r="BA16" s="253">
        <f t="shared" si="36"/>
        <v>834600</v>
      </c>
      <c r="BB16" s="253">
        <v>835830</v>
      </c>
      <c r="BC16" s="254">
        <f t="shared" si="37"/>
        <v>1230</v>
      </c>
      <c r="BD16" s="267">
        <f t="shared" si="38"/>
        <v>140</v>
      </c>
      <c r="BE16" s="268">
        <f>(BC16/'Finance Only'!B19)*100</f>
        <v>4.6794749857333082</v>
      </c>
      <c r="BF16" s="253">
        <f t="shared" si="39"/>
        <v>920630</v>
      </c>
      <c r="BG16" s="253">
        <v>921720</v>
      </c>
      <c r="BH16" s="254">
        <f t="shared" si="40"/>
        <v>1090</v>
      </c>
      <c r="BI16" s="267">
        <f t="shared" si="41"/>
        <v>90</v>
      </c>
      <c r="BJ16" s="268">
        <f>(BH16/'Finance Only'!B19)*100</f>
        <v>4.1468518166254515</v>
      </c>
      <c r="BK16" s="253">
        <f t="shared" si="42"/>
        <v>1421100</v>
      </c>
      <c r="BL16" s="253">
        <v>1421900</v>
      </c>
      <c r="BM16" s="254">
        <f t="shared" si="43"/>
        <v>800</v>
      </c>
      <c r="BN16" s="267">
        <f t="shared" si="44"/>
        <v>100</v>
      </c>
      <c r="BO16" s="268">
        <f>(BM16/'Finance Only'!B19)*100</f>
        <v>3.0435609663306069</v>
      </c>
      <c r="BP16" s="253">
        <f t="shared" si="45"/>
        <v>929380</v>
      </c>
      <c r="BQ16" s="253">
        <v>931250</v>
      </c>
      <c r="BR16" s="254">
        <f t="shared" si="46"/>
        <v>1870</v>
      </c>
      <c r="BS16" s="267">
        <f t="shared" si="47"/>
        <v>70</v>
      </c>
      <c r="BT16" s="268">
        <f>(BR16/'Finance Only'!B19)*100</f>
        <v>7.1143237587977932</v>
      </c>
      <c r="BU16" s="253">
        <f t="shared" si="48"/>
        <v>4496700</v>
      </c>
      <c r="BV16" s="253">
        <v>4501700</v>
      </c>
      <c r="BW16" s="254">
        <f t="shared" si="49"/>
        <v>5000</v>
      </c>
      <c r="BX16" s="267">
        <f t="shared" si="50"/>
        <v>0</v>
      </c>
      <c r="BY16" s="268">
        <f>(BW16/'Finance Only'!B19)*100</f>
        <v>19.022256039566294</v>
      </c>
      <c r="BZ16" s="253">
        <f t="shared" si="51"/>
        <v>729620</v>
      </c>
      <c r="CA16" s="253">
        <v>730770</v>
      </c>
      <c r="CB16" s="254">
        <f t="shared" si="52"/>
        <v>1150</v>
      </c>
      <c r="CC16" s="267">
        <f t="shared" si="53"/>
        <v>-30</v>
      </c>
      <c r="CD16" s="268">
        <f>(CB16/'Finance Only'!B19)*100</f>
        <v>4.3751188891002473</v>
      </c>
      <c r="CE16" s="253">
        <f t="shared" si="54"/>
        <v>224720</v>
      </c>
      <c r="CF16" s="253">
        <v>225090</v>
      </c>
      <c r="CG16" s="254">
        <f t="shared" si="55"/>
        <v>370</v>
      </c>
      <c r="CH16" s="267">
        <f t="shared" si="56"/>
        <v>40</v>
      </c>
      <c r="CI16" s="268">
        <f>(CG16/'Finance Only'!B19)*100</f>
        <v>1.4076469469279056</v>
      </c>
      <c r="CJ16" s="254">
        <f t="shared" si="57"/>
        <v>508940</v>
      </c>
      <c r="CK16" s="254">
        <v>509640</v>
      </c>
      <c r="CL16" s="254">
        <f t="shared" si="58"/>
        <v>700</v>
      </c>
      <c r="CM16" s="267">
        <f t="shared" si="59"/>
        <v>-390</v>
      </c>
      <c r="CN16" s="268">
        <f>(CL16/'Finance Only'!B19)*100</f>
        <v>2.6631158455392807</v>
      </c>
      <c r="CO16" s="253">
        <f t="shared" si="101"/>
        <v>414290</v>
      </c>
      <c r="CP16" s="253">
        <v>414950</v>
      </c>
      <c r="CQ16" s="255">
        <f>MAX(0,CP16-CO16)</f>
        <v>660</v>
      </c>
      <c r="CR16" s="267">
        <f t="shared" si="60"/>
        <v>-140</v>
      </c>
      <c r="CS16" s="268">
        <f>(CQ16/'Finance Only'!B19)*100</f>
        <v>2.5109377972227507</v>
      </c>
      <c r="CT16" s="253">
        <f t="shared" si="61"/>
        <v>348470</v>
      </c>
      <c r="CU16" s="253">
        <v>349070</v>
      </c>
      <c r="CV16" s="254">
        <f t="shared" si="62"/>
        <v>600</v>
      </c>
      <c r="CW16" s="267">
        <f t="shared" si="63"/>
        <v>-260</v>
      </c>
      <c r="CX16" s="268">
        <f>(CV16/'Finance Only'!B19)*100</f>
        <v>2.2826707247479554</v>
      </c>
      <c r="CY16" s="253">
        <f t="shared" si="64"/>
        <v>604570</v>
      </c>
      <c r="CZ16" s="253">
        <v>605290</v>
      </c>
      <c r="DA16" s="254">
        <f t="shared" si="65"/>
        <v>720</v>
      </c>
      <c r="DB16" s="267">
        <f t="shared" si="66"/>
        <v>-190</v>
      </c>
      <c r="DC16" s="268">
        <f>(DA16/'Finance Only'!B19)*100</f>
        <v>2.7392048696975464</v>
      </c>
      <c r="DD16" s="253">
        <f t="shared" si="67"/>
        <v>454160</v>
      </c>
      <c r="DE16" s="253">
        <v>455070</v>
      </c>
      <c r="DF16" s="254">
        <f t="shared" si="68"/>
        <v>910</v>
      </c>
      <c r="DG16" s="267">
        <f t="shared" si="69"/>
        <v>-40</v>
      </c>
      <c r="DH16" s="268">
        <f>(DF16/'Finance Only'!B19)*100</f>
        <v>3.4620505992010648</v>
      </c>
      <c r="DI16" s="253">
        <f t="shared" si="70"/>
        <v>415070</v>
      </c>
      <c r="DJ16" s="253">
        <v>415660</v>
      </c>
      <c r="DK16" s="254">
        <f t="shared" si="71"/>
        <v>590</v>
      </c>
      <c r="DL16" s="267">
        <f t="shared" si="72"/>
        <v>-170</v>
      </c>
      <c r="DM16" s="268">
        <f>(DK16/'Finance Only'!B19)*100</f>
        <v>2.2446262126688223</v>
      </c>
      <c r="DN16" s="253">
        <f t="shared" si="73"/>
        <v>241330</v>
      </c>
      <c r="DO16" s="253">
        <v>241540</v>
      </c>
      <c r="DP16" s="254">
        <f t="shared" si="74"/>
        <v>210</v>
      </c>
      <c r="DQ16" s="267">
        <f t="shared" si="75"/>
        <v>20</v>
      </c>
      <c r="DR16" s="268">
        <f>(DP16/'Finance Only'!B19)*100</f>
        <v>0.79893475366178435</v>
      </c>
      <c r="DS16" s="253">
        <f t="shared" si="76"/>
        <v>72973</v>
      </c>
      <c r="DT16" s="253">
        <v>73129</v>
      </c>
      <c r="DU16" s="254">
        <f t="shared" si="77"/>
        <v>156</v>
      </c>
      <c r="DV16" s="267">
        <f t="shared" si="78"/>
        <v>28</v>
      </c>
      <c r="DW16" s="268">
        <f>(DU16/'Finance Only'!B19)*100</f>
        <v>0.59349438843446833</v>
      </c>
      <c r="DX16" s="253">
        <f t="shared" si="79"/>
        <v>472880</v>
      </c>
      <c r="DY16" s="253">
        <v>473570</v>
      </c>
      <c r="DZ16" s="254">
        <f t="shared" si="80"/>
        <v>690</v>
      </c>
      <c r="EA16" s="267">
        <f t="shared" si="81"/>
        <v>20</v>
      </c>
      <c r="EB16" s="268">
        <f>(DZ16/'Finance Only'!B19)*100</f>
        <v>2.6250713334601485</v>
      </c>
      <c r="EC16" s="253">
        <f t="shared" si="82"/>
        <v>151050</v>
      </c>
      <c r="ED16" s="253">
        <v>151290</v>
      </c>
      <c r="EE16" s="254">
        <f t="shared" si="83"/>
        <v>240</v>
      </c>
      <c r="EF16" s="267">
        <f t="shared" si="84"/>
        <v>-20</v>
      </c>
      <c r="EG16" s="268">
        <f>(EE16/'Finance Only'!B19)*100</f>
        <v>0.91306828989918198</v>
      </c>
      <c r="EH16" s="253">
        <f t="shared" si="85"/>
        <v>152160</v>
      </c>
      <c r="EI16" s="253">
        <v>152490</v>
      </c>
      <c r="EJ16" s="254">
        <f t="shared" si="86"/>
        <v>330</v>
      </c>
      <c r="EK16" s="267">
        <f t="shared" si="87"/>
        <v>10</v>
      </c>
      <c r="EL16" s="268">
        <f>(EJ16/'Finance Only'!B19)*100</f>
        <v>1.2554688986113753</v>
      </c>
      <c r="EM16" s="253">
        <f t="shared" si="88"/>
        <v>279520</v>
      </c>
      <c r="EN16" s="253">
        <v>280010</v>
      </c>
      <c r="EO16" s="254">
        <f t="shared" si="89"/>
        <v>490</v>
      </c>
      <c r="EP16" s="267">
        <f t="shared" si="90"/>
        <v>-30</v>
      </c>
      <c r="EQ16" s="268">
        <f>(EO16/'Finance Only'!B19)*100</f>
        <v>1.8641810918774968</v>
      </c>
      <c r="ER16" s="253">
        <f t="shared" si="91"/>
        <v>0</v>
      </c>
      <c r="ES16" s="253"/>
      <c r="ET16" s="254">
        <f t="shared" si="92"/>
        <v>0</v>
      </c>
      <c r="EU16" s="267">
        <f t="shared" si="93"/>
        <v>0</v>
      </c>
      <c r="EV16" s="268">
        <f>(ET16/'Finance Only'!B19)*100</f>
        <v>0</v>
      </c>
      <c r="EW16" s="253">
        <f t="shared" si="94"/>
        <v>82989</v>
      </c>
      <c r="EX16" s="253">
        <v>84694</v>
      </c>
      <c r="EY16" s="254">
        <f t="shared" si="95"/>
        <v>1705</v>
      </c>
      <c r="EZ16" s="267">
        <f t="shared" si="96"/>
        <v>268</v>
      </c>
      <c r="FA16" s="268">
        <f>(EY16/'Finance Only'!G19)*100</f>
        <v>5859.1065292096218</v>
      </c>
      <c r="FB16" s="253">
        <f t="shared" si="97"/>
        <v>766350</v>
      </c>
      <c r="FC16" s="253">
        <v>772790</v>
      </c>
      <c r="FD16" s="254">
        <f t="shared" si="98"/>
        <v>6440</v>
      </c>
      <c r="FE16" s="267">
        <f t="shared" si="99"/>
        <v>1950</v>
      </c>
      <c r="FF16" s="268" t="e">
        <f>(FD16/'Finance Only'!M19)*100</f>
        <v>#DIV/0!</v>
      </c>
      <c r="FG16" s="319"/>
      <c r="FH16" s="325">
        <f t="shared" si="0"/>
        <v>6131</v>
      </c>
      <c r="FI16" s="322"/>
      <c r="FJ16" s="325">
        <f t="shared" si="1"/>
        <v>6156</v>
      </c>
      <c r="FK16" s="322"/>
      <c r="FL16" s="325">
        <f t="shared" si="2"/>
        <v>1900</v>
      </c>
      <c r="FM16" s="322"/>
      <c r="FN16" s="325">
        <f t="shared" si="3"/>
        <v>2747</v>
      </c>
      <c r="FO16" s="322"/>
      <c r="FP16" s="325">
        <f t="shared" si="4"/>
        <v>2670</v>
      </c>
      <c r="FQ16" s="322"/>
      <c r="FR16" s="325">
        <f t="shared" si="5"/>
        <v>8145</v>
      </c>
      <c r="FS16" s="322"/>
    </row>
    <row r="17" spans="1:1084" s="3" customFormat="1" ht="13.5" customHeight="1" x14ac:dyDescent="0.2">
      <c r="A17" s="310">
        <v>13</v>
      </c>
      <c r="B17" s="313">
        <f>'Finance Only'!G20</f>
        <v>35.9</v>
      </c>
      <c r="C17" s="308">
        <f t="shared" si="6"/>
        <v>26116584</v>
      </c>
      <c r="D17" s="251">
        <v>26118776</v>
      </c>
      <c r="E17" s="252">
        <f t="shared" si="7"/>
        <v>2192</v>
      </c>
      <c r="F17" s="263">
        <f t="shared" si="8"/>
        <v>-283</v>
      </c>
      <c r="G17" s="264">
        <f>(E17/'Finance Only'!B20)*100</f>
        <v>8.7368966479333583</v>
      </c>
      <c r="H17" s="274">
        <f t="shared" si="9"/>
        <v>23582598</v>
      </c>
      <c r="I17" s="251">
        <v>23586102</v>
      </c>
      <c r="J17" s="251">
        <f t="shared" si="10"/>
        <v>3504</v>
      </c>
      <c r="K17" s="275">
        <f t="shared" si="11"/>
        <v>-152</v>
      </c>
      <c r="L17" s="276">
        <f>(J17/'Finance Only'!B20)*100</f>
        <v>13.966280043046753</v>
      </c>
      <c r="M17" s="259">
        <f t="shared" si="12"/>
        <v>88538663</v>
      </c>
      <c r="N17" s="253">
        <v>88552762</v>
      </c>
      <c r="O17" s="254">
        <f t="shared" si="13"/>
        <v>14099</v>
      </c>
      <c r="P17" s="267">
        <f t="shared" si="14"/>
        <v>-636</v>
      </c>
      <c r="Q17" s="268">
        <f>(O17/'Finance Only'!B20)*100</f>
        <v>56.195942444896176</v>
      </c>
      <c r="R17" s="258">
        <f t="shared" si="15"/>
        <v>2394400</v>
      </c>
      <c r="S17" s="253">
        <v>2396000</v>
      </c>
      <c r="T17" s="254">
        <f t="shared" si="16"/>
        <v>1600</v>
      </c>
      <c r="U17" s="267">
        <f t="shared" si="17"/>
        <v>0</v>
      </c>
      <c r="V17" s="268">
        <f>(T17/'Finance Only'!B20)*100</f>
        <v>6.3772968233090204</v>
      </c>
      <c r="W17" s="253">
        <f t="shared" si="18"/>
        <v>3278285</v>
      </c>
      <c r="X17" s="253">
        <v>3280994</v>
      </c>
      <c r="Y17" s="254">
        <f t="shared" si="19"/>
        <v>2709</v>
      </c>
      <c r="Z17" s="267">
        <f t="shared" si="20"/>
        <v>-97</v>
      </c>
      <c r="AA17" s="268">
        <f>(Y17/'Finance Only'!B20)*100</f>
        <v>10.797560683965084</v>
      </c>
      <c r="AB17" s="253">
        <f t="shared" si="21"/>
        <v>2045700</v>
      </c>
      <c r="AC17" s="253">
        <v>2048200</v>
      </c>
      <c r="AD17" s="254">
        <f t="shared" si="22"/>
        <v>2500</v>
      </c>
      <c r="AE17" s="267">
        <f t="shared" si="23"/>
        <v>0</v>
      </c>
      <c r="AF17" s="268">
        <f>(AD17/'Finance Only'!B20)*100</f>
        <v>9.9645262864203428</v>
      </c>
      <c r="AG17" s="253">
        <f t="shared" si="24"/>
        <v>895091</v>
      </c>
      <c r="AH17" s="253">
        <v>896039</v>
      </c>
      <c r="AI17" s="254">
        <f t="shared" si="25"/>
        <v>948</v>
      </c>
      <c r="AJ17" s="267">
        <f t="shared" si="26"/>
        <v>-31</v>
      </c>
      <c r="AK17" s="268">
        <f>(AI17/'Finance Only'!B20)*100</f>
        <v>3.7785483678105942</v>
      </c>
      <c r="AL17" s="253">
        <f t="shared" si="27"/>
        <v>903890</v>
      </c>
      <c r="AM17" s="253">
        <v>904430</v>
      </c>
      <c r="AN17" s="254">
        <f t="shared" si="28"/>
        <v>540</v>
      </c>
      <c r="AO17" s="267">
        <f t="shared" si="29"/>
        <v>-60</v>
      </c>
      <c r="AP17" s="268">
        <f>(AN17/'Finance Only'!B20)*100</f>
        <v>2.1523376778667944</v>
      </c>
      <c r="AQ17" s="253">
        <f t="shared" si="30"/>
        <v>2024700</v>
      </c>
      <c r="AR17" s="253">
        <v>2026300</v>
      </c>
      <c r="AS17" s="254">
        <f t="shared" si="31"/>
        <v>1600</v>
      </c>
      <c r="AT17" s="267">
        <f t="shared" si="32"/>
        <v>300</v>
      </c>
      <c r="AU17" s="268">
        <f>(AS17/'Finance Only'!B20)*100</f>
        <v>6.3772968233090204</v>
      </c>
      <c r="AV17" s="253">
        <f t="shared" si="33"/>
        <v>586427</v>
      </c>
      <c r="AW17" s="253">
        <v>586843</v>
      </c>
      <c r="AX17" s="254">
        <f t="shared" si="34"/>
        <v>416</v>
      </c>
      <c r="AY17" s="267">
        <f t="shared" si="35"/>
        <v>-11</v>
      </c>
      <c r="AZ17" s="268">
        <f>(AX17/'Finance Only'!B20)*100</f>
        <v>1.658097174060345</v>
      </c>
      <c r="BA17" s="253">
        <f t="shared" si="36"/>
        <v>835830</v>
      </c>
      <c r="BB17" s="253">
        <v>836910</v>
      </c>
      <c r="BC17" s="254">
        <f t="shared" si="37"/>
        <v>1080</v>
      </c>
      <c r="BD17" s="267">
        <f t="shared" si="38"/>
        <v>-150</v>
      </c>
      <c r="BE17" s="268">
        <f>(BC17/'Finance Only'!B20)*100</f>
        <v>4.3046753557335888</v>
      </c>
      <c r="BF17" s="253">
        <f t="shared" si="39"/>
        <v>921720</v>
      </c>
      <c r="BG17" s="253">
        <v>922610</v>
      </c>
      <c r="BH17" s="254">
        <f t="shared" si="40"/>
        <v>890</v>
      </c>
      <c r="BI17" s="267">
        <f t="shared" si="41"/>
        <v>-200</v>
      </c>
      <c r="BJ17" s="268">
        <f>(BH17/'Finance Only'!B20)*100</f>
        <v>3.5473713579656425</v>
      </c>
      <c r="BK17" s="253">
        <f t="shared" si="42"/>
        <v>1421900</v>
      </c>
      <c r="BL17" s="253">
        <v>1422600</v>
      </c>
      <c r="BM17" s="254">
        <f t="shared" si="43"/>
        <v>700</v>
      </c>
      <c r="BN17" s="267">
        <f t="shared" si="44"/>
        <v>-100</v>
      </c>
      <c r="BO17" s="268">
        <f>(BM17/'Finance Only'!B20)*100</f>
        <v>2.7900673601976962</v>
      </c>
      <c r="BP17" s="253">
        <f t="shared" si="45"/>
        <v>931250</v>
      </c>
      <c r="BQ17" s="253">
        <v>932920</v>
      </c>
      <c r="BR17" s="254">
        <f t="shared" si="46"/>
        <v>1670</v>
      </c>
      <c r="BS17" s="267">
        <f t="shared" si="47"/>
        <v>-200</v>
      </c>
      <c r="BT17" s="268">
        <f>(BR17/'Finance Only'!B20)*100</f>
        <v>6.6563035593287898</v>
      </c>
      <c r="BU17" s="253">
        <f t="shared" si="48"/>
        <v>4501700</v>
      </c>
      <c r="BV17" s="253">
        <v>4506900</v>
      </c>
      <c r="BW17" s="254">
        <f t="shared" si="49"/>
        <v>5200</v>
      </c>
      <c r="BX17" s="267">
        <f t="shared" si="50"/>
        <v>200</v>
      </c>
      <c r="BY17" s="268">
        <f>(BW17/'Finance Only'!B20)*100</f>
        <v>20.726214675754314</v>
      </c>
      <c r="BZ17" s="253">
        <f t="shared" si="51"/>
        <v>730770</v>
      </c>
      <c r="CA17" s="253">
        <v>731920</v>
      </c>
      <c r="CB17" s="254">
        <f t="shared" si="52"/>
        <v>1150</v>
      </c>
      <c r="CC17" s="267">
        <f t="shared" si="53"/>
        <v>0</v>
      </c>
      <c r="CD17" s="268">
        <f>(CB17/'Finance Only'!B20)*100</f>
        <v>4.5836820917533574</v>
      </c>
      <c r="CE17" s="253">
        <f t="shared" si="54"/>
        <v>225090</v>
      </c>
      <c r="CF17" s="253">
        <v>225490</v>
      </c>
      <c r="CG17" s="254">
        <f t="shared" si="55"/>
        <v>400</v>
      </c>
      <c r="CH17" s="267">
        <f t="shared" si="56"/>
        <v>30</v>
      </c>
      <c r="CI17" s="268">
        <f>(CG17/'Finance Only'!B20)*100</f>
        <v>1.5943242058272551</v>
      </c>
      <c r="CJ17" s="254">
        <f t="shared" si="57"/>
        <v>509640</v>
      </c>
      <c r="CK17" s="254">
        <v>510570</v>
      </c>
      <c r="CL17" s="254">
        <f t="shared" si="58"/>
        <v>930</v>
      </c>
      <c r="CM17" s="267">
        <f t="shared" si="59"/>
        <v>230</v>
      </c>
      <c r="CN17" s="268">
        <f>(CL17/'Finance Only'!B20)*100</f>
        <v>3.7068037785483678</v>
      </c>
      <c r="CO17" s="253">
        <f t="shared" si="101"/>
        <v>414950</v>
      </c>
      <c r="CP17" s="253">
        <v>415610</v>
      </c>
      <c r="CQ17" s="255">
        <f>MAX(0,CP17-CO17)</f>
        <v>660</v>
      </c>
      <c r="CR17" s="267">
        <f t="shared" si="60"/>
        <v>0</v>
      </c>
      <c r="CS17" s="268">
        <f>(CQ17/'Finance Only'!B20)*100</f>
        <v>2.6306349396149709</v>
      </c>
      <c r="CT17" s="253">
        <f t="shared" si="61"/>
        <v>349070</v>
      </c>
      <c r="CU17" s="253">
        <v>349670</v>
      </c>
      <c r="CV17" s="254">
        <f t="shared" si="62"/>
        <v>600</v>
      </c>
      <c r="CW17" s="267">
        <f t="shared" si="63"/>
        <v>0</v>
      </c>
      <c r="CX17" s="268">
        <f>(CV17/'Finance Only'!B20)*100</f>
        <v>2.3914863087408826</v>
      </c>
      <c r="CY17" s="253">
        <f t="shared" si="64"/>
        <v>605290</v>
      </c>
      <c r="CZ17" s="253">
        <v>605930</v>
      </c>
      <c r="DA17" s="254">
        <f t="shared" si="65"/>
        <v>640</v>
      </c>
      <c r="DB17" s="267">
        <f t="shared" si="66"/>
        <v>-80</v>
      </c>
      <c r="DC17" s="268">
        <f>(DA17/'Finance Only'!B20)*100</f>
        <v>2.550918729323608</v>
      </c>
      <c r="DD17" s="253">
        <f t="shared" si="67"/>
        <v>455070</v>
      </c>
      <c r="DE17" s="253">
        <v>455910</v>
      </c>
      <c r="DF17" s="254">
        <f t="shared" si="68"/>
        <v>840</v>
      </c>
      <c r="DG17" s="267">
        <f t="shared" si="69"/>
        <v>-70</v>
      </c>
      <c r="DH17" s="268">
        <f>(DF17/'Finance Only'!B20)*100</f>
        <v>3.3480808322372351</v>
      </c>
      <c r="DI17" s="253">
        <f t="shared" si="70"/>
        <v>415660</v>
      </c>
      <c r="DJ17" s="253">
        <v>416190</v>
      </c>
      <c r="DK17" s="254">
        <f t="shared" si="71"/>
        <v>530</v>
      </c>
      <c r="DL17" s="267">
        <f t="shared" si="72"/>
        <v>-60</v>
      </c>
      <c r="DM17" s="268">
        <f>(DK17/'Finance Only'!B20)*100</f>
        <v>2.1124795727211132</v>
      </c>
      <c r="DN17" s="253">
        <f t="shared" si="73"/>
        <v>241540</v>
      </c>
      <c r="DO17" s="253">
        <v>241700</v>
      </c>
      <c r="DP17" s="254">
        <f t="shared" si="74"/>
        <v>160</v>
      </c>
      <c r="DQ17" s="267">
        <f t="shared" si="75"/>
        <v>-50</v>
      </c>
      <c r="DR17" s="268">
        <f>(DP17/'Finance Only'!B20)*100</f>
        <v>0.63772968233090199</v>
      </c>
      <c r="DS17" s="253">
        <f t="shared" si="76"/>
        <v>73129</v>
      </c>
      <c r="DT17" s="253">
        <v>73267</v>
      </c>
      <c r="DU17" s="254">
        <f t="shared" si="77"/>
        <v>138</v>
      </c>
      <c r="DV17" s="267">
        <f t="shared" si="78"/>
        <v>-18</v>
      </c>
      <c r="DW17" s="268">
        <f>(DU17/'Finance Only'!B20)*100</f>
        <v>0.55004185101040293</v>
      </c>
      <c r="DX17" s="253">
        <f t="shared" si="79"/>
        <v>473570</v>
      </c>
      <c r="DY17" s="253">
        <v>474250</v>
      </c>
      <c r="DZ17" s="254">
        <f t="shared" si="80"/>
        <v>680</v>
      </c>
      <c r="EA17" s="267">
        <f t="shared" si="81"/>
        <v>-10</v>
      </c>
      <c r="EB17" s="268">
        <f>(DZ17/'Finance Only'!B20)*100</f>
        <v>2.7103511499063337</v>
      </c>
      <c r="EC17" s="253">
        <f t="shared" si="82"/>
        <v>151290</v>
      </c>
      <c r="ED17" s="253">
        <v>151540</v>
      </c>
      <c r="EE17" s="254">
        <f t="shared" si="83"/>
        <v>250</v>
      </c>
      <c r="EF17" s="267">
        <f t="shared" si="84"/>
        <v>10</v>
      </c>
      <c r="EG17" s="268">
        <f>(EE17/'Finance Only'!B20)*100</f>
        <v>0.99645262864203432</v>
      </c>
      <c r="EH17" s="253">
        <f t="shared" si="85"/>
        <v>152490</v>
      </c>
      <c r="EI17" s="253">
        <v>152840</v>
      </c>
      <c r="EJ17" s="254">
        <f t="shared" si="86"/>
        <v>350</v>
      </c>
      <c r="EK17" s="267">
        <f t="shared" si="87"/>
        <v>20</v>
      </c>
      <c r="EL17" s="268">
        <f>(EJ17/'Finance Only'!B20)*100</f>
        <v>1.3950336800988481</v>
      </c>
      <c r="EM17" s="253">
        <f t="shared" si="88"/>
        <v>280010</v>
      </c>
      <c r="EN17" s="253">
        <v>280500</v>
      </c>
      <c r="EO17" s="254">
        <f t="shared" si="89"/>
        <v>490</v>
      </c>
      <c r="EP17" s="267">
        <f t="shared" si="90"/>
        <v>0</v>
      </c>
      <c r="EQ17" s="268">
        <f>(EO17/'Finance Only'!B20)*100</f>
        <v>1.9530471521383874</v>
      </c>
      <c r="ER17" s="253">
        <f t="shared" si="91"/>
        <v>0</v>
      </c>
      <c r="ES17" s="253"/>
      <c r="ET17" s="254">
        <f t="shared" si="92"/>
        <v>0</v>
      </c>
      <c r="EU17" s="267">
        <f t="shared" si="93"/>
        <v>0</v>
      </c>
      <c r="EV17" s="268">
        <f>(ET17/'Finance Only'!B20)*100</f>
        <v>0</v>
      </c>
      <c r="EW17" s="253">
        <f t="shared" si="94"/>
        <v>84694</v>
      </c>
      <c r="EX17" s="253">
        <v>85674</v>
      </c>
      <c r="EY17" s="254">
        <f t="shared" si="95"/>
        <v>980</v>
      </c>
      <c r="EZ17" s="267">
        <f t="shared" si="96"/>
        <v>-725</v>
      </c>
      <c r="FA17" s="268">
        <f>(EY17/'Finance Only'!G20)*100</f>
        <v>2729.8050139275765</v>
      </c>
      <c r="FB17" s="253">
        <f t="shared" si="97"/>
        <v>772790</v>
      </c>
      <c r="FC17" s="253">
        <v>777450</v>
      </c>
      <c r="FD17" s="254">
        <f t="shared" si="98"/>
        <v>4660</v>
      </c>
      <c r="FE17" s="267">
        <f t="shared" si="99"/>
        <v>-1780</v>
      </c>
      <c r="FF17" s="268" t="e">
        <f>(FD17/'Finance Only'!M20)*100</f>
        <v>#DIV/0!</v>
      </c>
      <c r="FG17" s="319"/>
      <c r="FH17" s="325">
        <f t="shared" si="0"/>
        <v>5696</v>
      </c>
      <c r="FI17" s="322"/>
      <c r="FJ17" s="325">
        <f t="shared" si="1"/>
        <v>6079</v>
      </c>
      <c r="FK17" s="322"/>
      <c r="FL17" s="325">
        <f t="shared" si="2"/>
        <v>2140</v>
      </c>
      <c r="FM17" s="322"/>
      <c r="FN17" s="325">
        <f t="shared" si="3"/>
        <v>2386</v>
      </c>
      <c r="FO17" s="322"/>
      <c r="FP17" s="325">
        <f t="shared" si="4"/>
        <v>2370</v>
      </c>
      <c r="FQ17" s="322"/>
      <c r="FR17" s="325">
        <f t="shared" si="5"/>
        <v>5640</v>
      </c>
      <c r="FS17" s="322"/>
    </row>
    <row r="18" spans="1:1084" s="3" customFormat="1" ht="13.5" customHeight="1" x14ac:dyDescent="0.2">
      <c r="A18" s="310">
        <v>14</v>
      </c>
      <c r="B18" s="313">
        <f>'Finance Only'!G21</f>
        <v>35.9</v>
      </c>
      <c r="C18" s="308">
        <f t="shared" si="6"/>
        <v>26118776</v>
      </c>
      <c r="D18" s="251">
        <v>26121068</v>
      </c>
      <c r="E18" s="252">
        <f t="shared" si="7"/>
        <v>2292</v>
      </c>
      <c r="F18" s="263">
        <f t="shared" si="8"/>
        <v>100</v>
      </c>
      <c r="G18" s="264">
        <f>(E18/'Finance Only'!B21)*100</f>
        <v>9.0808240887480185</v>
      </c>
      <c r="H18" s="274">
        <f t="shared" si="9"/>
        <v>23586102</v>
      </c>
      <c r="I18" s="251">
        <v>23590350</v>
      </c>
      <c r="J18" s="251">
        <f t="shared" si="10"/>
        <v>4248</v>
      </c>
      <c r="K18" s="275">
        <f t="shared" si="11"/>
        <v>744</v>
      </c>
      <c r="L18" s="276">
        <f>(J18/'Finance Only'!B21)*100</f>
        <v>16.83042789223455</v>
      </c>
      <c r="M18" s="259">
        <f t="shared" si="12"/>
        <v>88552762</v>
      </c>
      <c r="N18" s="253">
        <v>88566446</v>
      </c>
      <c r="O18" s="254">
        <f t="shared" si="13"/>
        <v>13684</v>
      </c>
      <c r="P18" s="267">
        <f t="shared" si="14"/>
        <v>-415</v>
      </c>
      <c r="Q18" s="268">
        <f>(O18/'Finance Only'!B21)*100</f>
        <v>54.215530903328045</v>
      </c>
      <c r="R18" s="258">
        <f t="shared" si="15"/>
        <v>2396000</v>
      </c>
      <c r="S18" s="253">
        <v>2397700</v>
      </c>
      <c r="T18" s="254">
        <f t="shared" si="16"/>
        <v>1700</v>
      </c>
      <c r="U18" s="267">
        <f t="shared" si="17"/>
        <v>100</v>
      </c>
      <c r="V18" s="268">
        <f>(T18/'Finance Only'!B21)*100</f>
        <v>6.7353407290015852</v>
      </c>
      <c r="W18" s="253">
        <f t="shared" si="18"/>
        <v>3280994</v>
      </c>
      <c r="X18" s="253">
        <v>3283783</v>
      </c>
      <c r="Y18" s="254">
        <f t="shared" si="19"/>
        <v>2789</v>
      </c>
      <c r="Z18" s="267">
        <f t="shared" si="20"/>
        <v>80</v>
      </c>
      <c r="AA18" s="268">
        <f>(Y18/'Finance Only'!B21)*100</f>
        <v>11.049920760697306</v>
      </c>
      <c r="AB18" s="253">
        <f t="shared" si="21"/>
        <v>2048200</v>
      </c>
      <c r="AC18" s="253">
        <v>2050700</v>
      </c>
      <c r="AD18" s="254">
        <f t="shared" si="22"/>
        <v>2500</v>
      </c>
      <c r="AE18" s="267">
        <f t="shared" si="23"/>
        <v>0</v>
      </c>
      <c r="AF18" s="268">
        <f>(AD18/'Finance Only'!B21)*100</f>
        <v>9.9049128367670374</v>
      </c>
      <c r="AG18" s="253">
        <f t="shared" si="24"/>
        <v>896039</v>
      </c>
      <c r="AH18" s="253">
        <v>896943</v>
      </c>
      <c r="AI18" s="254">
        <f t="shared" si="25"/>
        <v>904</v>
      </c>
      <c r="AJ18" s="267">
        <f t="shared" si="26"/>
        <v>-44</v>
      </c>
      <c r="AK18" s="268">
        <f>(AI18/'Finance Only'!B21)*100</f>
        <v>3.5816164817749603</v>
      </c>
      <c r="AL18" s="253">
        <f t="shared" si="27"/>
        <v>904430</v>
      </c>
      <c r="AM18" s="253">
        <v>905050</v>
      </c>
      <c r="AN18" s="254">
        <f t="shared" si="28"/>
        <v>620</v>
      </c>
      <c r="AO18" s="267">
        <f t="shared" si="29"/>
        <v>80</v>
      </c>
      <c r="AP18" s="268">
        <f>(AN18/'Finance Only'!B21)*100</f>
        <v>2.4564183835182249</v>
      </c>
      <c r="AQ18" s="253">
        <f t="shared" si="30"/>
        <v>2026300</v>
      </c>
      <c r="AR18" s="253">
        <v>2027800</v>
      </c>
      <c r="AS18" s="254">
        <f t="shared" si="31"/>
        <v>1500</v>
      </c>
      <c r="AT18" s="267">
        <f t="shared" si="32"/>
        <v>-100</v>
      </c>
      <c r="AU18" s="268">
        <f>(AS18/'Finance Only'!B21)*100</f>
        <v>5.9429477020602217</v>
      </c>
      <c r="AV18" s="253">
        <f t="shared" si="33"/>
        <v>586843</v>
      </c>
      <c r="AW18" s="253">
        <v>587260</v>
      </c>
      <c r="AX18" s="254">
        <f t="shared" si="34"/>
        <v>417</v>
      </c>
      <c r="AY18" s="267">
        <f t="shared" si="35"/>
        <v>1</v>
      </c>
      <c r="AZ18" s="268">
        <f>(AX18/'Finance Only'!B21)*100</f>
        <v>1.6521394611727418</v>
      </c>
      <c r="BA18" s="253">
        <f t="shared" si="36"/>
        <v>836910</v>
      </c>
      <c r="BB18" s="253">
        <v>837810</v>
      </c>
      <c r="BC18" s="254">
        <f t="shared" si="37"/>
        <v>900</v>
      </c>
      <c r="BD18" s="267">
        <f t="shared" si="38"/>
        <v>-180</v>
      </c>
      <c r="BE18" s="268">
        <f>(BC18/'Finance Only'!B21)*100</f>
        <v>3.565768621236133</v>
      </c>
      <c r="BF18" s="253">
        <f t="shared" si="39"/>
        <v>922610</v>
      </c>
      <c r="BG18" s="253">
        <v>923400</v>
      </c>
      <c r="BH18" s="254">
        <f t="shared" si="40"/>
        <v>790</v>
      </c>
      <c r="BI18" s="267">
        <f t="shared" si="41"/>
        <v>-100</v>
      </c>
      <c r="BJ18" s="268">
        <f>(BH18/'Finance Only'!B21)*100</f>
        <v>3.1299524564183834</v>
      </c>
      <c r="BK18" s="253">
        <f t="shared" si="42"/>
        <v>1422600</v>
      </c>
      <c r="BL18" s="253">
        <v>1423200</v>
      </c>
      <c r="BM18" s="254">
        <f t="shared" si="43"/>
        <v>600</v>
      </c>
      <c r="BN18" s="267">
        <f t="shared" si="44"/>
        <v>-100</v>
      </c>
      <c r="BO18" s="268">
        <f>(BM18/'Finance Only'!B21)*100</f>
        <v>2.3771790808240887</v>
      </c>
      <c r="BP18" s="253">
        <f t="shared" si="45"/>
        <v>932920</v>
      </c>
      <c r="BQ18" s="253">
        <v>934460</v>
      </c>
      <c r="BR18" s="254">
        <f t="shared" si="46"/>
        <v>1540</v>
      </c>
      <c r="BS18" s="267">
        <f t="shared" si="47"/>
        <v>-130</v>
      </c>
      <c r="BT18" s="268">
        <f>(BR18/'Finance Only'!B21)*100</f>
        <v>6.1014263074484942</v>
      </c>
      <c r="BU18" s="253">
        <f t="shared" si="48"/>
        <v>4506900</v>
      </c>
      <c r="BV18" s="253">
        <v>4511300</v>
      </c>
      <c r="BW18" s="254">
        <f t="shared" si="49"/>
        <v>4400</v>
      </c>
      <c r="BX18" s="267">
        <f t="shared" si="50"/>
        <v>-800</v>
      </c>
      <c r="BY18" s="268">
        <f>(BW18/'Finance Only'!B21)*100</f>
        <v>17.432646592709986</v>
      </c>
      <c r="BZ18" s="253">
        <f t="shared" si="51"/>
        <v>731920</v>
      </c>
      <c r="CA18" s="253">
        <v>733090</v>
      </c>
      <c r="CB18" s="254">
        <f t="shared" si="52"/>
        <v>1170</v>
      </c>
      <c r="CC18" s="267">
        <f t="shared" si="53"/>
        <v>20</v>
      </c>
      <c r="CD18" s="268">
        <f>(CB18/'Finance Only'!B21)*100</f>
        <v>4.6354992076069728</v>
      </c>
      <c r="CE18" s="253">
        <f t="shared" si="54"/>
        <v>225490</v>
      </c>
      <c r="CF18" s="253">
        <v>225860</v>
      </c>
      <c r="CG18" s="254">
        <f t="shared" si="55"/>
        <v>370</v>
      </c>
      <c r="CH18" s="267">
        <f t="shared" si="56"/>
        <v>-30</v>
      </c>
      <c r="CI18" s="268">
        <f>(CG18/'Finance Only'!B21)*100</f>
        <v>1.4659270998415215</v>
      </c>
      <c r="CJ18" s="254">
        <f t="shared" si="57"/>
        <v>510570</v>
      </c>
      <c r="CK18" s="254">
        <v>511530</v>
      </c>
      <c r="CL18" s="254">
        <f t="shared" si="58"/>
        <v>960</v>
      </c>
      <c r="CM18" s="267">
        <f t="shared" si="59"/>
        <v>30</v>
      </c>
      <c r="CN18" s="268">
        <f>(CL18/'Finance Only'!B21)*100</f>
        <v>3.8034865293185423</v>
      </c>
      <c r="CO18" s="253">
        <f t="shared" si="101"/>
        <v>415610</v>
      </c>
      <c r="CP18" s="253">
        <v>416380</v>
      </c>
      <c r="CQ18" s="255">
        <f>MAX(0,CP18-CO18)</f>
        <v>770</v>
      </c>
      <c r="CR18" s="267">
        <f t="shared" si="60"/>
        <v>110</v>
      </c>
      <c r="CS18" s="268">
        <f>(CQ18/'Finance Only'!B21)*100</f>
        <v>3.0507131537242471</v>
      </c>
      <c r="CT18" s="253">
        <f t="shared" si="61"/>
        <v>349670</v>
      </c>
      <c r="CU18" s="253">
        <v>350470</v>
      </c>
      <c r="CV18" s="254">
        <f t="shared" si="62"/>
        <v>800</v>
      </c>
      <c r="CW18" s="267">
        <f t="shared" si="63"/>
        <v>200</v>
      </c>
      <c r="CX18" s="268">
        <f>(CV18/'Finance Only'!B21)*100</f>
        <v>3.1695721077654517</v>
      </c>
      <c r="CY18" s="253">
        <f t="shared" si="64"/>
        <v>605930</v>
      </c>
      <c r="CZ18" s="253">
        <v>606580</v>
      </c>
      <c r="DA18" s="254">
        <f t="shared" si="65"/>
        <v>650</v>
      </c>
      <c r="DB18" s="267">
        <f t="shared" si="66"/>
        <v>10</v>
      </c>
      <c r="DC18" s="268">
        <f>(DA18/'Finance Only'!B21)*100</f>
        <v>2.5752773375594296</v>
      </c>
      <c r="DD18" s="253">
        <f t="shared" si="67"/>
        <v>455910</v>
      </c>
      <c r="DE18" s="253">
        <v>456790</v>
      </c>
      <c r="DF18" s="254">
        <f t="shared" si="68"/>
        <v>880</v>
      </c>
      <c r="DG18" s="267">
        <f t="shared" si="69"/>
        <v>40</v>
      </c>
      <c r="DH18" s="268">
        <f>(DF18/'Finance Only'!B21)*100</f>
        <v>3.4865293185419968</v>
      </c>
      <c r="DI18" s="253">
        <f t="shared" si="70"/>
        <v>416190</v>
      </c>
      <c r="DJ18" s="253">
        <v>416690</v>
      </c>
      <c r="DK18" s="254">
        <f t="shared" si="71"/>
        <v>500</v>
      </c>
      <c r="DL18" s="267">
        <f t="shared" si="72"/>
        <v>-30</v>
      </c>
      <c r="DM18" s="268">
        <f>(DK18/'Finance Only'!B21)*100</f>
        <v>1.9809825673534072</v>
      </c>
      <c r="DN18" s="253">
        <f t="shared" si="73"/>
        <v>241700</v>
      </c>
      <c r="DO18" s="253">
        <v>241990</v>
      </c>
      <c r="DP18" s="254">
        <f t="shared" si="74"/>
        <v>290</v>
      </c>
      <c r="DQ18" s="267">
        <f t="shared" si="75"/>
        <v>130</v>
      </c>
      <c r="DR18" s="268">
        <f>(DP18/'Finance Only'!B21)*100</f>
        <v>1.1489698890649762</v>
      </c>
      <c r="DS18" s="253">
        <f t="shared" si="76"/>
        <v>73267</v>
      </c>
      <c r="DT18" s="253">
        <v>73447</v>
      </c>
      <c r="DU18" s="254">
        <f t="shared" si="77"/>
        <v>180</v>
      </c>
      <c r="DV18" s="267">
        <f t="shared" si="78"/>
        <v>42</v>
      </c>
      <c r="DW18" s="268">
        <f>(DU18/'Finance Only'!B21)*100</f>
        <v>0.71315372424722667</v>
      </c>
      <c r="DX18" s="253">
        <f t="shared" si="79"/>
        <v>474250</v>
      </c>
      <c r="DY18" s="253">
        <v>474870</v>
      </c>
      <c r="DZ18" s="254">
        <f t="shared" si="80"/>
        <v>620</v>
      </c>
      <c r="EA18" s="267">
        <f t="shared" si="81"/>
        <v>-60</v>
      </c>
      <c r="EB18" s="268">
        <f>(DZ18/'Finance Only'!B21)*100</f>
        <v>2.4564183835182249</v>
      </c>
      <c r="EC18" s="253">
        <f t="shared" si="82"/>
        <v>151540</v>
      </c>
      <c r="ED18" s="253">
        <v>151790</v>
      </c>
      <c r="EE18" s="254">
        <f t="shared" si="83"/>
        <v>250</v>
      </c>
      <c r="EF18" s="267">
        <f t="shared" si="84"/>
        <v>0</v>
      </c>
      <c r="EG18" s="268">
        <f>(EE18/'Finance Only'!B21)*100</f>
        <v>0.99049128367670358</v>
      </c>
      <c r="EH18" s="253">
        <f t="shared" si="85"/>
        <v>152840</v>
      </c>
      <c r="EI18" s="253">
        <v>153200</v>
      </c>
      <c r="EJ18" s="254">
        <f t="shared" si="86"/>
        <v>360</v>
      </c>
      <c r="EK18" s="267">
        <f t="shared" si="87"/>
        <v>10</v>
      </c>
      <c r="EL18" s="268">
        <f>(EJ18/'Finance Only'!B21)*100</f>
        <v>1.4263074484944533</v>
      </c>
      <c r="EM18" s="253">
        <f t="shared" si="88"/>
        <v>280500</v>
      </c>
      <c r="EN18" s="253">
        <v>280980</v>
      </c>
      <c r="EO18" s="254">
        <f t="shared" si="89"/>
        <v>480</v>
      </c>
      <c r="EP18" s="267">
        <f t="shared" si="90"/>
        <v>-10</v>
      </c>
      <c r="EQ18" s="268">
        <f>(EO18/'Finance Only'!B21)*100</f>
        <v>1.9017432646592711</v>
      </c>
      <c r="ER18" s="253">
        <f t="shared" si="91"/>
        <v>0</v>
      </c>
      <c r="ES18" s="253"/>
      <c r="ET18" s="254">
        <f t="shared" si="92"/>
        <v>0</v>
      </c>
      <c r="EU18" s="267">
        <f t="shared" si="93"/>
        <v>0</v>
      </c>
      <c r="EV18" s="268">
        <f>(ET18/'Finance Only'!B21)*100</f>
        <v>0</v>
      </c>
      <c r="EW18" s="253">
        <f t="shared" si="94"/>
        <v>85674</v>
      </c>
      <c r="EX18" s="253">
        <v>86564</v>
      </c>
      <c r="EY18" s="254">
        <f t="shared" si="95"/>
        <v>890</v>
      </c>
      <c r="EZ18" s="267">
        <f t="shared" si="96"/>
        <v>-90</v>
      </c>
      <c r="FA18" s="268">
        <f>(EY18/'Finance Only'!G21)*100</f>
        <v>2479.1086350974933</v>
      </c>
      <c r="FB18" s="253">
        <f t="shared" si="97"/>
        <v>777450</v>
      </c>
      <c r="FC18" s="253">
        <v>780650</v>
      </c>
      <c r="FD18" s="254">
        <f t="shared" si="98"/>
        <v>3200</v>
      </c>
      <c r="FE18" s="267">
        <f t="shared" si="99"/>
        <v>-1460</v>
      </c>
      <c r="FF18" s="268" t="e">
        <f>(FD18/'Finance Only'!M21)*100</f>
        <v>#DIV/0!</v>
      </c>
      <c r="FG18" s="319"/>
      <c r="FH18" s="325">
        <f t="shared" si="0"/>
        <v>6540</v>
      </c>
      <c r="FI18" s="322"/>
      <c r="FJ18" s="325">
        <f t="shared" si="1"/>
        <v>6199</v>
      </c>
      <c r="FK18" s="322"/>
      <c r="FL18" s="325">
        <f t="shared" si="2"/>
        <v>2120</v>
      </c>
      <c r="FM18" s="322"/>
      <c r="FN18" s="325">
        <f t="shared" si="3"/>
        <v>2107</v>
      </c>
      <c r="FO18" s="322"/>
      <c r="FP18" s="325">
        <f t="shared" si="4"/>
        <v>2140</v>
      </c>
      <c r="FQ18" s="322"/>
      <c r="FR18" s="325">
        <f t="shared" si="5"/>
        <v>4090</v>
      </c>
      <c r="FS18" s="322"/>
    </row>
    <row r="19" spans="1:1084" s="3" customFormat="1" ht="13.5" customHeight="1" x14ac:dyDescent="0.2">
      <c r="A19" s="310">
        <v>15</v>
      </c>
      <c r="B19" s="313">
        <f>'Finance Only'!G22</f>
        <v>43.7</v>
      </c>
      <c r="C19" s="308">
        <f t="shared" si="6"/>
        <v>26121068</v>
      </c>
      <c r="D19" s="251">
        <v>26123725</v>
      </c>
      <c r="E19" s="252">
        <f t="shared" si="7"/>
        <v>2657</v>
      </c>
      <c r="F19" s="263">
        <f t="shared" si="8"/>
        <v>365</v>
      </c>
      <c r="G19" s="264">
        <f>(E19/'Finance Only'!B22)*100</f>
        <v>9.9226948500578853</v>
      </c>
      <c r="H19" s="274">
        <f t="shared" si="9"/>
        <v>23590350</v>
      </c>
      <c r="I19" s="251">
        <v>23594939</v>
      </c>
      <c r="J19" s="251">
        <f t="shared" si="10"/>
        <v>4589</v>
      </c>
      <c r="K19" s="275">
        <f t="shared" si="11"/>
        <v>341</v>
      </c>
      <c r="L19" s="276">
        <f>(J19/'Finance Only'!B22)*100</f>
        <v>17.137842177988571</v>
      </c>
      <c r="M19" s="259">
        <f t="shared" si="12"/>
        <v>88566446</v>
      </c>
      <c r="N19" s="253">
        <v>88580250</v>
      </c>
      <c r="O19" s="254">
        <f t="shared" si="13"/>
        <v>13804</v>
      </c>
      <c r="P19" s="267">
        <f t="shared" si="14"/>
        <v>120</v>
      </c>
      <c r="Q19" s="268">
        <f>(O19/'Finance Only'!B22)*100</f>
        <v>51.551704821301861</v>
      </c>
      <c r="R19" s="258">
        <f t="shared" si="15"/>
        <v>2397700</v>
      </c>
      <c r="S19" s="253">
        <v>2399400</v>
      </c>
      <c r="T19" s="254">
        <f t="shared" si="16"/>
        <v>1700</v>
      </c>
      <c r="U19" s="267">
        <f t="shared" si="17"/>
        <v>0</v>
      </c>
      <c r="V19" s="268">
        <f>(T19/'Finance Only'!B22)*100</f>
        <v>6.3487321208499825</v>
      </c>
      <c r="W19" s="253">
        <f t="shared" si="18"/>
        <v>3283783</v>
      </c>
      <c r="X19" s="253">
        <v>3286708</v>
      </c>
      <c r="Y19" s="254">
        <f t="shared" si="19"/>
        <v>2925</v>
      </c>
      <c r="Z19" s="267">
        <f t="shared" si="20"/>
        <v>136</v>
      </c>
      <c r="AA19" s="268">
        <f>(Y19/'Finance Only'!B22)*100</f>
        <v>10.923553796168353</v>
      </c>
      <c r="AB19" s="253">
        <f t="shared" si="21"/>
        <v>2050700</v>
      </c>
      <c r="AC19" s="253">
        <v>2053200</v>
      </c>
      <c r="AD19" s="254">
        <f t="shared" si="22"/>
        <v>2500</v>
      </c>
      <c r="AE19" s="267">
        <f t="shared" si="23"/>
        <v>0</v>
      </c>
      <c r="AF19" s="268">
        <f>(AD19/'Finance Only'!B22)*100</f>
        <v>9.3363707659558575</v>
      </c>
      <c r="AG19" s="253">
        <f t="shared" si="24"/>
        <v>896943</v>
      </c>
      <c r="AH19" s="253">
        <v>897865</v>
      </c>
      <c r="AI19" s="254">
        <f t="shared" si="25"/>
        <v>922</v>
      </c>
      <c r="AJ19" s="267">
        <f t="shared" si="26"/>
        <v>18</v>
      </c>
      <c r="AK19" s="268">
        <f>(AI19/'Finance Only'!B22)*100</f>
        <v>3.4432535384845204</v>
      </c>
      <c r="AL19" s="253">
        <f t="shared" si="27"/>
        <v>905050</v>
      </c>
      <c r="AM19" s="253">
        <v>905660</v>
      </c>
      <c r="AN19" s="254">
        <f t="shared" si="28"/>
        <v>610</v>
      </c>
      <c r="AO19" s="267">
        <f t="shared" si="29"/>
        <v>-10</v>
      </c>
      <c r="AP19" s="268">
        <f>(AN19/'Finance Only'!B22)*100</f>
        <v>2.2780744668932296</v>
      </c>
      <c r="AQ19" s="253">
        <f t="shared" si="30"/>
        <v>2027800</v>
      </c>
      <c r="AR19" s="253">
        <v>2029600</v>
      </c>
      <c r="AS19" s="254">
        <f t="shared" si="31"/>
        <v>1800</v>
      </c>
      <c r="AT19" s="267">
        <f t="shared" si="32"/>
        <v>300</v>
      </c>
      <c r="AU19" s="268">
        <f>(AS19/'Finance Only'!B22)*100</f>
        <v>6.7221869514882169</v>
      </c>
      <c r="AV19" s="253">
        <f t="shared" si="33"/>
        <v>587260</v>
      </c>
      <c r="AW19" s="253">
        <v>587693</v>
      </c>
      <c r="AX19" s="254">
        <f t="shared" si="34"/>
        <v>433</v>
      </c>
      <c r="AY19" s="267">
        <f t="shared" si="35"/>
        <v>16</v>
      </c>
      <c r="AZ19" s="268">
        <f>(AX19/'Finance Only'!B22)*100</f>
        <v>1.6170594166635546</v>
      </c>
      <c r="BA19" s="253">
        <f t="shared" si="36"/>
        <v>837810</v>
      </c>
      <c r="BB19" s="253">
        <v>838690</v>
      </c>
      <c r="BC19" s="254">
        <f t="shared" si="37"/>
        <v>880</v>
      </c>
      <c r="BD19" s="267">
        <f t="shared" si="38"/>
        <v>-20</v>
      </c>
      <c r="BE19" s="268">
        <f>(BC19/'Finance Only'!B22)*100</f>
        <v>3.2864025096164617</v>
      </c>
      <c r="BF19" s="253">
        <f t="shared" si="39"/>
        <v>923400</v>
      </c>
      <c r="BG19" s="253">
        <v>924240</v>
      </c>
      <c r="BH19" s="254">
        <f t="shared" si="40"/>
        <v>840</v>
      </c>
      <c r="BI19" s="267">
        <f t="shared" si="41"/>
        <v>50</v>
      </c>
      <c r="BJ19" s="268">
        <f>(BH19/'Finance Only'!B22)*100</f>
        <v>3.1370205773611679</v>
      </c>
      <c r="BK19" s="253">
        <f t="shared" si="42"/>
        <v>1423200</v>
      </c>
      <c r="BL19" s="253">
        <v>1423800</v>
      </c>
      <c r="BM19" s="254">
        <f t="shared" si="43"/>
        <v>600</v>
      </c>
      <c r="BN19" s="267">
        <f t="shared" si="44"/>
        <v>0</v>
      </c>
      <c r="BO19" s="268">
        <f>(BM19/'Finance Only'!B22)*100</f>
        <v>2.2407289838294058</v>
      </c>
      <c r="BP19" s="253">
        <f t="shared" si="45"/>
        <v>934460</v>
      </c>
      <c r="BQ19" s="253">
        <v>936190</v>
      </c>
      <c r="BR19" s="254">
        <f t="shared" si="46"/>
        <v>1730</v>
      </c>
      <c r="BS19" s="267">
        <f t="shared" si="47"/>
        <v>190</v>
      </c>
      <c r="BT19" s="268">
        <f>(BR19/'Finance Only'!B22)*100</f>
        <v>6.460768570041453</v>
      </c>
      <c r="BU19" s="253">
        <f t="shared" si="48"/>
        <v>4511300</v>
      </c>
      <c r="BV19" s="253">
        <v>4515500</v>
      </c>
      <c r="BW19" s="254">
        <f t="shared" si="49"/>
        <v>4200</v>
      </c>
      <c r="BX19" s="267">
        <f t="shared" si="50"/>
        <v>-200</v>
      </c>
      <c r="BY19" s="268">
        <f>(BW19/'Finance Only'!B22)*100</f>
        <v>15.68510288680584</v>
      </c>
      <c r="BZ19" s="253">
        <f t="shared" si="51"/>
        <v>733090</v>
      </c>
      <c r="CA19" s="253">
        <v>734320</v>
      </c>
      <c r="CB19" s="254">
        <f t="shared" si="52"/>
        <v>1230</v>
      </c>
      <c r="CC19" s="267">
        <f t="shared" si="53"/>
        <v>60</v>
      </c>
      <c r="CD19" s="268">
        <f>(CB19/'Finance Only'!B22)*100</f>
        <v>4.593494416850282</v>
      </c>
      <c r="CE19" s="253">
        <f t="shared" si="54"/>
        <v>225860</v>
      </c>
      <c r="CF19" s="253">
        <v>226280</v>
      </c>
      <c r="CG19" s="254">
        <f t="shared" si="55"/>
        <v>420</v>
      </c>
      <c r="CH19" s="267">
        <f t="shared" si="56"/>
        <v>50</v>
      </c>
      <c r="CI19" s="268">
        <f>(CG19/'Finance Only'!B22)*100</f>
        <v>1.568510288680584</v>
      </c>
      <c r="CJ19" s="254">
        <f t="shared" si="57"/>
        <v>511530</v>
      </c>
      <c r="CK19" s="254">
        <v>512270</v>
      </c>
      <c r="CL19" s="254">
        <f t="shared" si="58"/>
        <v>740</v>
      </c>
      <c r="CM19" s="267">
        <f t="shared" si="59"/>
        <v>-220</v>
      </c>
      <c r="CN19" s="268">
        <f>(CL19/'Finance Only'!B22)*100</f>
        <v>2.763565746722934</v>
      </c>
      <c r="CO19" s="253">
        <f>CP18</f>
        <v>416380</v>
      </c>
      <c r="CP19" s="253">
        <v>417150</v>
      </c>
      <c r="CQ19" s="255">
        <f>MAX(0,CP19-CO19)</f>
        <v>770</v>
      </c>
      <c r="CR19" s="267">
        <f t="shared" si="60"/>
        <v>0</v>
      </c>
      <c r="CS19" s="268">
        <f>(CQ19/'Finance Only'!B22)*100</f>
        <v>2.875602195914404</v>
      </c>
      <c r="CT19" s="253">
        <f t="shared" si="61"/>
        <v>350470</v>
      </c>
      <c r="CU19" s="253">
        <v>351280</v>
      </c>
      <c r="CV19" s="254">
        <f t="shared" si="62"/>
        <v>810</v>
      </c>
      <c r="CW19" s="267">
        <f t="shared" si="63"/>
        <v>10</v>
      </c>
      <c r="CX19" s="268">
        <f>(CV19/'Finance Only'!B22)*100</f>
        <v>3.0249841281696979</v>
      </c>
      <c r="CY19" s="253">
        <f t="shared" si="64"/>
        <v>606580</v>
      </c>
      <c r="CZ19" s="253">
        <v>607710</v>
      </c>
      <c r="DA19" s="254">
        <f t="shared" si="65"/>
        <v>1130</v>
      </c>
      <c r="DB19" s="267">
        <f t="shared" si="66"/>
        <v>480</v>
      </c>
      <c r="DC19" s="268">
        <f>(DA19/'Finance Only'!B22)*100</f>
        <v>4.2200395862120477</v>
      </c>
      <c r="DD19" s="253">
        <f t="shared" si="67"/>
        <v>456790</v>
      </c>
      <c r="DE19" s="253">
        <v>457920</v>
      </c>
      <c r="DF19" s="254">
        <f t="shared" si="68"/>
        <v>1130</v>
      </c>
      <c r="DG19" s="267">
        <f t="shared" si="69"/>
        <v>250</v>
      </c>
      <c r="DH19" s="268">
        <f>(DF19/'Finance Only'!B22)*100</f>
        <v>4.2200395862120477</v>
      </c>
      <c r="DI19" s="253">
        <f t="shared" si="70"/>
        <v>416690</v>
      </c>
      <c r="DJ19" s="253">
        <v>417380</v>
      </c>
      <c r="DK19" s="254">
        <f t="shared" si="71"/>
        <v>690</v>
      </c>
      <c r="DL19" s="267">
        <f t="shared" si="72"/>
        <v>190</v>
      </c>
      <c r="DM19" s="268">
        <f>(DK19/'Finance Only'!B22)*100</f>
        <v>2.5768383314038168</v>
      </c>
      <c r="DN19" s="253">
        <f t="shared" si="73"/>
        <v>241990</v>
      </c>
      <c r="DO19" s="253">
        <v>242400</v>
      </c>
      <c r="DP19" s="254">
        <f t="shared" si="74"/>
        <v>410</v>
      </c>
      <c r="DQ19" s="267">
        <f t="shared" si="75"/>
        <v>120</v>
      </c>
      <c r="DR19" s="268">
        <f>(DP19/'Finance Only'!B22)*100</f>
        <v>1.5311648056167606</v>
      </c>
      <c r="DS19" s="253">
        <f t="shared" si="76"/>
        <v>73447</v>
      </c>
      <c r="DT19" s="253">
        <v>73614</v>
      </c>
      <c r="DU19" s="254">
        <f t="shared" si="77"/>
        <v>167</v>
      </c>
      <c r="DV19" s="267">
        <f t="shared" si="78"/>
        <v>-13</v>
      </c>
      <c r="DW19" s="268">
        <f>(DU19/'Finance Only'!B22)*100</f>
        <v>0.62366956716585131</v>
      </c>
      <c r="DX19" s="253">
        <f t="shared" si="79"/>
        <v>474870</v>
      </c>
      <c r="DY19" s="253">
        <v>475630</v>
      </c>
      <c r="DZ19" s="254">
        <f t="shared" si="80"/>
        <v>760</v>
      </c>
      <c r="EA19" s="267">
        <f t="shared" si="81"/>
        <v>140</v>
      </c>
      <c r="EB19" s="268">
        <f>(DZ19/'Finance Only'!B22)*100</f>
        <v>2.8382567128505807</v>
      </c>
      <c r="EC19" s="253">
        <f t="shared" si="82"/>
        <v>151790</v>
      </c>
      <c r="ED19" s="253">
        <v>152060</v>
      </c>
      <c r="EE19" s="254">
        <f t="shared" si="83"/>
        <v>270</v>
      </c>
      <c r="EF19" s="267">
        <f t="shared" si="84"/>
        <v>20</v>
      </c>
      <c r="EG19" s="268">
        <f>(EE19/'Finance Only'!B22)*100</f>
        <v>1.0083280427232326</v>
      </c>
      <c r="EH19" s="253">
        <f t="shared" si="85"/>
        <v>153200</v>
      </c>
      <c r="EI19" s="253">
        <v>153550</v>
      </c>
      <c r="EJ19" s="254">
        <f t="shared" si="86"/>
        <v>350</v>
      </c>
      <c r="EK19" s="267">
        <f t="shared" si="87"/>
        <v>-10</v>
      </c>
      <c r="EL19" s="268">
        <f>(EJ19/'Finance Only'!B22)*100</f>
        <v>1.3070919072338201</v>
      </c>
      <c r="EM19" s="253">
        <f t="shared" si="88"/>
        <v>280980</v>
      </c>
      <c r="EN19" s="253">
        <v>281470</v>
      </c>
      <c r="EO19" s="254">
        <f t="shared" si="89"/>
        <v>490</v>
      </c>
      <c r="EP19" s="267">
        <f t="shared" si="90"/>
        <v>10</v>
      </c>
      <c r="EQ19" s="268">
        <f>(EO19/'Finance Only'!B22)*100</f>
        <v>1.8299286701273481</v>
      </c>
      <c r="ER19" s="253">
        <f t="shared" si="91"/>
        <v>0</v>
      </c>
      <c r="ES19" s="253"/>
      <c r="ET19" s="254">
        <f t="shared" si="92"/>
        <v>0</v>
      </c>
      <c r="EU19" s="267">
        <f t="shared" si="93"/>
        <v>0</v>
      </c>
      <c r="EV19" s="268">
        <f>(ET19/'Finance Only'!B22)*100</f>
        <v>0</v>
      </c>
      <c r="EW19" s="253">
        <f t="shared" si="94"/>
        <v>86564</v>
      </c>
      <c r="EX19" s="253">
        <v>88444</v>
      </c>
      <c r="EY19" s="254">
        <f t="shared" si="95"/>
        <v>1880</v>
      </c>
      <c r="EZ19" s="267">
        <f t="shared" si="96"/>
        <v>990</v>
      </c>
      <c r="FA19" s="268">
        <f>(EY19/'Finance Only'!G22)*100</f>
        <v>4302.0594965675054</v>
      </c>
      <c r="FB19" s="253">
        <f t="shared" si="97"/>
        <v>780650</v>
      </c>
      <c r="FC19" s="253">
        <v>783300</v>
      </c>
      <c r="FD19" s="254">
        <f t="shared" si="98"/>
        <v>2650</v>
      </c>
      <c r="FE19" s="267">
        <f t="shared" si="99"/>
        <v>-550</v>
      </c>
      <c r="FF19" s="268" t="e">
        <f>(FD19/'Finance Only'!M22)*100</f>
        <v>#DIV/0!</v>
      </c>
      <c r="FG19" s="319"/>
      <c r="FH19" s="325">
        <f t="shared" si="0"/>
        <v>7246</v>
      </c>
      <c r="FI19" s="322"/>
      <c r="FJ19" s="325">
        <f t="shared" si="1"/>
        <v>6495</v>
      </c>
      <c r="FK19" s="322"/>
      <c r="FL19" s="325">
        <f t="shared" si="2"/>
        <v>2410</v>
      </c>
      <c r="FM19" s="322"/>
      <c r="FN19" s="325">
        <f t="shared" si="3"/>
        <v>2153</v>
      </c>
      <c r="FO19" s="322"/>
      <c r="FP19" s="325">
        <f t="shared" si="4"/>
        <v>2330</v>
      </c>
      <c r="FQ19" s="322"/>
      <c r="FR19" s="325">
        <f t="shared" si="5"/>
        <v>4530</v>
      </c>
      <c r="FS19" s="322"/>
    </row>
    <row r="20" spans="1:1084" s="3" customFormat="1" ht="13.5" customHeight="1" x14ac:dyDescent="0.2">
      <c r="A20" s="310">
        <v>16</v>
      </c>
      <c r="B20" s="313">
        <f>'Finance Only'!G23</f>
        <v>48.5</v>
      </c>
      <c r="C20" s="308">
        <f t="shared" si="6"/>
        <v>26123725</v>
      </c>
      <c r="D20" s="251">
        <v>26126489</v>
      </c>
      <c r="E20" s="252">
        <f t="shared" si="7"/>
        <v>2764</v>
      </c>
      <c r="F20" s="263">
        <f t="shared" si="8"/>
        <v>107</v>
      </c>
      <c r="G20" s="264">
        <f>(E20/'Finance Only'!B23)*100</f>
        <v>9.9808615895713721</v>
      </c>
      <c r="H20" s="274">
        <f t="shared" si="9"/>
        <v>23594939</v>
      </c>
      <c r="I20" s="251">
        <v>23600031</v>
      </c>
      <c r="J20" s="251">
        <f t="shared" si="10"/>
        <v>5092</v>
      </c>
      <c r="K20" s="275">
        <f t="shared" si="11"/>
        <v>503</v>
      </c>
      <c r="L20" s="276">
        <f>(J20/'Finance Only'!B23)*100</f>
        <v>18.387318094825407</v>
      </c>
      <c r="M20" s="259">
        <f t="shared" si="12"/>
        <v>88580250</v>
      </c>
      <c r="N20" s="253">
        <v>88593964</v>
      </c>
      <c r="O20" s="254">
        <f t="shared" si="13"/>
        <v>13714</v>
      </c>
      <c r="P20" s="267">
        <f t="shared" si="14"/>
        <v>-90</v>
      </c>
      <c r="Q20" s="268">
        <f>(O20/'Finance Only'!B23)*100</f>
        <v>49.5215397392843</v>
      </c>
      <c r="R20" s="258">
        <f t="shared" si="15"/>
        <v>2399400</v>
      </c>
      <c r="S20" s="253">
        <v>2401100</v>
      </c>
      <c r="T20" s="254">
        <f t="shared" si="16"/>
        <v>1700</v>
      </c>
      <c r="U20" s="267">
        <f t="shared" si="17"/>
        <v>0</v>
      </c>
      <c r="V20" s="268">
        <f>(T20/'Finance Only'!B23)*100</f>
        <v>6.1387354205033766</v>
      </c>
      <c r="W20" s="253">
        <f t="shared" si="18"/>
        <v>3286708</v>
      </c>
      <c r="X20" s="253">
        <v>3289614</v>
      </c>
      <c r="Y20" s="254">
        <f t="shared" si="19"/>
        <v>2906</v>
      </c>
      <c r="Z20" s="267">
        <f t="shared" si="20"/>
        <v>-19</v>
      </c>
      <c r="AA20" s="268">
        <f>(Y20/'Finance Only'!B23)*100</f>
        <v>10.493626548225183</v>
      </c>
      <c r="AB20" s="253">
        <f t="shared" si="21"/>
        <v>2053200</v>
      </c>
      <c r="AC20" s="253">
        <v>2055600</v>
      </c>
      <c r="AD20" s="254">
        <f t="shared" si="22"/>
        <v>2400</v>
      </c>
      <c r="AE20" s="267">
        <f t="shared" si="23"/>
        <v>-100</v>
      </c>
      <c r="AF20" s="268">
        <f>(AD20/'Finance Only'!B23)*100</f>
        <v>8.6664500054165323</v>
      </c>
      <c r="AG20" s="253">
        <f t="shared" si="24"/>
        <v>897865</v>
      </c>
      <c r="AH20" s="253">
        <v>898777</v>
      </c>
      <c r="AI20" s="254">
        <f t="shared" si="25"/>
        <v>912</v>
      </c>
      <c r="AJ20" s="267">
        <f t="shared" si="26"/>
        <v>-10</v>
      </c>
      <c r="AK20" s="268">
        <f>(AI20/'Finance Only'!B23)*100</f>
        <v>3.2932510020582817</v>
      </c>
      <c r="AL20" s="253">
        <f t="shared" si="27"/>
        <v>905660</v>
      </c>
      <c r="AM20" s="253">
        <v>906300</v>
      </c>
      <c r="AN20" s="254">
        <f t="shared" si="28"/>
        <v>640</v>
      </c>
      <c r="AO20" s="267">
        <f t="shared" si="29"/>
        <v>30</v>
      </c>
      <c r="AP20" s="268">
        <f>(AN20/'Finance Only'!B23)*100</f>
        <v>2.3110533347777418</v>
      </c>
      <c r="AQ20" s="253">
        <f t="shared" si="30"/>
        <v>2029600</v>
      </c>
      <c r="AR20" s="253">
        <v>2031400</v>
      </c>
      <c r="AS20" s="254">
        <f t="shared" si="31"/>
        <v>1800</v>
      </c>
      <c r="AT20" s="267">
        <f t="shared" si="32"/>
        <v>0</v>
      </c>
      <c r="AU20" s="268">
        <f>(AS20/'Finance Only'!B23)*100</f>
        <v>6.4998375040623984</v>
      </c>
      <c r="AV20" s="253">
        <f t="shared" si="33"/>
        <v>587693</v>
      </c>
      <c r="AW20" s="253">
        <v>588136</v>
      </c>
      <c r="AX20" s="254">
        <f t="shared" si="34"/>
        <v>443</v>
      </c>
      <c r="AY20" s="267">
        <f t="shared" si="35"/>
        <v>10</v>
      </c>
      <c r="AZ20" s="268">
        <f>(AX20/'Finance Only'!B23)*100</f>
        <v>1.5996822301664679</v>
      </c>
      <c r="BA20" s="253">
        <f t="shared" si="36"/>
        <v>838690</v>
      </c>
      <c r="BB20" s="253">
        <v>839540</v>
      </c>
      <c r="BC20" s="254">
        <f t="shared" si="37"/>
        <v>850</v>
      </c>
      <c r="BD20" s="267">
        <f t="shared" si="38"/>
        <v>-30</v>
      </c>
      <c r="BE20" s="268">
        <f>(BC20/'Finance Only'!B23)*100</f>
        <v>3.0693677102516883</v>
      </c>
      <c r="BF20" s="253">
        <f t="shared" si="39"/>
        <v>924240</v>
      </c>
      <c r="BG20" s="253">
        <v>925080</v>
      </c>
      <c r="BH20" s="254">
        <f t="shared" si="40"/>
        <v>840</v>
      </c>
      <c r="BI20" s="267">
        <f t="shared" si="41"/>
        <v>0</v>
      </c>
      <c r="BJ20" s="268">
        <f>(BH20/'Finance Only'!B23)*100</f>
        <v>3.0332575018957861</v>
      </c>
      <c r="BK20" s="253">
        <f t="shared" si="42"/>
        <v>1423800</v>
      </c>
      <c r="BL20" s="253">
        <v>1424400</v>
      </c>
      <c r="BM20" s="254">
        <f t="shared" si="43"/>
        <v>600</v>
      </c>
      <c r="BN20" s="267">
        <f t="shared" si="44"/>
        <v>0</v>
      </c>
      <c r="BO20" s="268">
        <f>(BM20/'Finance Only'!B23)*100</f>
        <v>2.1666125013541331</v>
      </c>
      <c r="BP20" s="253">
        <f t="shared" si="45"/>
        <v>936190</v>
      </c>
      <c r="BQ20" s="253">
        <v>937680</v>
      </c>
      <c r="BR20" s="254">
        <f t="shared" si="46"/>
        <v>1490</v>
      </c>
      <c r="BS20" s="267">
        <f t="shared" si="47"/>
        <v>-240</v>
      </c>
      <c r="BT20" s="268">
        <f>(BR20/'Finance Only'!B23)*100</f>
        <v>5.3804210450294301</v>
      </c>
      <c r="BU20" s="253">
        <f t="shared" si="48"/>
        <v>4515500</v>
      </c>
      <c r="BV20" s="253">
        <v>4519700</v>
      </c>
      <c r="BW20" s="254">
        <f t="shared" si="49"/>
        <v>4200</v>
      </c>
      <c r="BX20" s="267">
        <f t="shared" si="50"/>
        <v>0</v>
      </c>
      <c r="BY20" s="268">
        <f>(BW20/'Finance Only'!B23)*100</f>
        <v>15.166287509478929</v>
      </c>
      <c r="BZ20" s="253">
        <f t="shared" si="51"/>
        <v>734320</v>
      </c>
      <c r="CA20" s="253">
        <v>735540</v>
      </c>
      <c r="CB20" s="254">
        <f t="shared" si="52"/>
        <v>1220</v>
      </c>
      <c r="CC20" s="267">
        <f t="shared" si="53"/>
        <v>-10</v>
      </c>
      <c r="CD20" s="268">
        <f>(CB20/'Finance Only'!B23)*100</f>
        <v>4.4054454194200705</v>
      </c>
      <c r="CE20" s="253">
        <f t="shared" si="54"/>
        <v>226280</v>
      </c>
      <c r="CF20" s="253">
        <v>226680</v>
      </c>
      <c r="CG20" s="254">
        <f t="shared" si="55"/>
        <v>400</v>
      </c>
      <c r="CH20" s="267">
        <f t="shared" si="56"/>
        <v>-20</v>
      </c>
      <c r="CI20" s="268">
        <f>(CG20/'Finance Only'!B23)*100</f>
        <v>1.4444083342360887</v>
      </c>
      <c r="CJ20" s="254">
        <f t="shared" si="57"/>
        <v>512270</v>
      </c>
      <c r="CK20" s="254">
        <v>513350</v>
      </c>
      <c r="CL20" s="254">
        <f t="shared" si="58"/>
        <v>1080</v>
      </c>
      <c r="CM20" s="267">
        <f t="shared" si="59"/>
        <v>340</v>
      </c>
      <c r="CN20" s="268">
        <f>(CL20/'Finance Only'!B23)*100</f>
        <v>3.8999025024374392</v>
      </c>
      <c r="CO20" s="253">
        <f>CP19</f>
        <v>417150</v>
      </c>
      <c r="CP20" s="253">
        <v>418600</v>
      </c>
      <c r="CQ20" s="255">
        <f t="shared" si="100"/>
        <v>1450</v>
      </c>
      <c r="CR20" s="267">
        <f t="shared" si="60"/>
        <v>680</v>
      </c>
      <c r="CS20" s="268">
        <f>(CQ20/'Finance Only'!B23)*100</f>
        <v>5.2359802116058205</v>
      </c>
      <c r="CT20" s="253">
        <f t="shared" si="61"/>
        <v>351280</v>
      </c>
      <c r="CU20" s="253">
        <v>352240</v>
      </c>
      <c r="CV20" s="254">
        <f t="shared" si="62"/>
        <v>960</v>
      </c>
      <c r="CW20" s="267">
        <f t="shared" si="63"/>
        <v>150</v>
      </c>
      <c r="CX20" s="268">
        <f>(CV20/'Finance Only'!B23)*100</f>
        <v>3.4665800021666122</v>
      </c>
      <c r="CY20" s="253">
        <f t="shared" si="64"/>
        <v>607710</v>
      </c>
      <c r="CZ20" s="253">
        <v>609050</v>
      </c>
      <c r="DA20" s="254">
        <f t="shared" si="65"/>
        <v>1340</v>
      </c>
      <c r="DB20" s="267">
        <f t="shared" si="66"/>
        <v>210</v>
      </c>
      <c r="DC20" s="268">
        <f>(DA20/'Finance Only'!B23)*100</f>
        <v>4.8387679196908966</v>
      </c>
      <c r="DD20" s="253">
        <f t="shared" si="67"/>
        <v>457920</v>
      </c>
      <c r="DE20" s="253">
        <v>458990</v>
      </c>
      <c r="DF20" s="254">
        <f t="shared" si="68"/>
        <v>1070</v>
      </c>
      <c r="DG20" s="267">
        <f t="shared" si="69"/>
        <v>-60</v>
      </c>
      <c r="DH20" s="268">
        <f>(DF20/'Finance Only'!B23)*100</f>
        <v>3.863792294081537</v>
      </c>
      <c r="DI20" s="253">
        <f t="shared" si="70"/>
        <v>417380</v>
      </c>
      <c r="DJ20" s="253">
        <v>418080</v>
      </c>
      <c r="DK20" s="254">
        <f t="shared" si="71"/>
        <v>700</v>
      </c>
      <c r="DL20" s="267">
        <f t="shared" si="72"/>
        <v>10</v>
      </c>
      <c r="DM20" s="268">
        <f>(DK20/'Finance Only'!B23)*100</f>
        <v>2.5277145849131553</v>
      </c>
      <c r="DN20" s="253">
        <f t="shared" si="73"/>
        <v>242400</v>
      </c>
      <c r="DO20" s="253">
        <v>242770</v>
      </c>
      <c r="DP20" s="254">
        <f t="shared" si="74"/>
        <v>370</v>
      </c>
      <c r="DQ20" s="267">
        <f t="shared" si="75"/>
        <v>-40</v>
      </c>
      <c r="DR20" s="268">
        <f>(DP20/'Finance Only'!B23)*100</f>
        <v>1.336077709168382</v>
      </c>
      <c r="DS20" s="253">
        <f t="shared" si="76"/>
        <v>73614</v>
      </c>
      <c r="DT20" s="253">
        <v>73773</v>
      </c>
      <c r="DU20" s="254">
        <f t="shared" si="77"/>
        <v>159</v>
      </c>
      <c r="DV20" s="267">
        <f t="shared" si="78"/>
        <v>-8</v>
      </c>
      <c r="DW20" s="268">
        <f>(DU20/'Finance Only'!B23)*100</f>
        <v>0.57415231285884516</v>
      </c>
      <c r="DX20" s="253">
        <f t="shared" si="79"/>
        <v>475630</v>
      </c>
      <c r="DY20" s="253">
        <v>476370</v>
      </c>
      <c r="DZ20" s="254">
        <f t="shared" si="80"/>
        <v>740</v>
      </c>
      <c r="EA20" s="267">
        <f t="shared" si="81"/>
        <v>-20</v>
      </c>
      <c r="EB20" s="268">
        <f>(DZ20/'Finance Only'!B23)*100</f>
        <v>2.672155418336764</v>
      </c>
      <c r="EC20" s="253">
        <f t="shared" si="82"/>
        <v>152060</v>
      </c>
      <c r="ED20" s="253">
        <v>152320</v>
      </c>
      <c r="EE20" s="254">
        <f t="shared" si="83"/>
        <v>260</v>
      </c>
      <c r="EF20" s="267">
        <f t="shared" si="84"/>
        <v>-10</v>
      </c>
      <c r="EG20" s="268">
        <f>(EE20/'Finance Only'!B23)*100</f>
        <v>0.93886541725345751</v>
      </c>
      <c r="EH20" s="253">
        <f t="shared" si="85"/>
        <v>153550</v>
      </c>
      <c r="EI20" s="253">
        <v>153910</v>
      </c>
      <c r="EJ20" s="254">
        <f t="shared" si="86"/>
        <v>360</v>
      </c>
      <c r="EK20" s="267">
        <f t="shared" si="87"/>
        <v>10</v>
      </c>
      <c r="EL20" s="268">
        <f>(EJ20/'Finance Only'!B23)*100</f>
        <v>1.2999675008124796</v>
      </c>
      <c r="EM20" s="253">
        <f t="shared" si="88"/>
        <v>281470</v>
      </c>
      <c r="EN20" s="253">
        <v>281980</v>
      </c>
      <c r="EO20" s="254">
        <f t="shared" si="89"/>
        <v>510</v>
      </c>
      <c r="EP20" s="267">
        <f t="shared" si="90"/>
        <v>20</v>
      </c>
      <c r="EQ20" s="268">
        <f>(EO20/'Finance Only'!B23)*100</f>
        <v>1.8416206261510131</v>
      </c>
      <c r="ER20" s="253">
        <f t="shared" si="91"/>
        <v>0</v>
      </c>
      <c r="ES20" s="253"/>
      <c r="ET20" s="254">
        <f t="shared" si="92"/>
        <v>0</v>
      </c>
      <c r="EU20" s="267">
        <f t="shared" si="93"/>
        <v>0</v>
      </c>
      <c r="EV20" s="268">
        <f>(ET20/'Finance Only'!B23)*100</f>
        <v>0</v>
      </c>
      <c r="EW20" s="253">
        <f t="shared" si="94"/>
        <v>88444</v>
      </c>
      <c r="EX20" s="253">
        <v>91628</v>
      </c>
      <c r="EY20" s="254">
        <f t="shared" si="95"/>
        <v>3184</v>
      </c>
      <c r="EZ20" s="267">
        <f t="shared" si="96"/>
        <v>1304</v>
      </c>
      <c r="FA20" s="268">
        <f>(EY20/'Finance Only'!G23)*100</f>
        <v>6564.9484536082473</v>
      </c>
      <c r="FB20" s="253">
        <f t="shared" si="97"/>
        <v>783300</v>
      </c>
      <c r="FC20" s="253">
        <v>784830</v>
      </c>
      <c r="FD20" s="254">
        <f t="shared" si="98"/>
        <v>1530</v>
      </c>
      <c r="FE20" s="267">
        <f t="shared" si="99"/>
        <v>-1120</v>
      </c>
      <c r="FF20" s="268" t="e">
        <f>(FD20/'Finance Only'!M23)*100</f>
        <v>#DIV/0!</v>
      </c>
      <c r="FG20" s="319"/>
      <c r="FH20" s="325">
        <f t="shared" si="0"/>
        <v>7856</v>
      </c>
      <c r="FI20" s="322"/>
      <c r="FJ20" s="325">
        <f t="shared" si="1"/>
        <v>6476</v>
      </c>
      <c r="FK20" s="322"/>
      <c r="FL20" s="325">
        <f t="shared" si="2"/>
        <v>2440</v>
      </c>
      <c r="FM20" s="322"/>
      <c r="FN20" s="325">
        <f t="shared" si="3"/>
        <v>2133</v>
      </c>
      <c r="FO20" s="322"/>
      <c r="FP20" s="325">
        <f t="shared" si="4"/>
        <v>2090</v>
      </c>
      <c r="FQ20" s="322"/>
      <c r="FR20" s="325">
        <f t="shared" si="5"/>
        <v>4714</v>
      </c>
      <c r="FS20" s="322"/>
    </row>
    <row r="21" spans="1:1084" s="3" customFormat="1" ht="13.5" customHeight="1" x14ac:dyDescent="0.2">
      <c r="A21" s="310">
        <v>17</v>
      </c>
      <c r="B21" s="313">
        <f>'Finance Only'!G24</f>
        <v>46.6</v>
      </c>
      <c r="C21" s="308">
        <f t="shared" si="6"/>
        <v>26126489</v>
      </c>
      <c r="D21" s="251">
        <v>26129189</v>
      </c>
      <c r="E21" s="252">
        <f t="shared" si="7"/>
        <v>2700</v>
      </c>
      <c r="F21" s="263">
        <f t="shared" si="8"/>
        <v>-64</v>
      </c>
      <c r="G21" s="264">
        <f>(E21/'Finance Only'!B24)*100</f>
        <v>9.4306671323786251</v>
      </c>
      <c r="H21" s="274">
        <f t="shared" si="9"/>
        <v>23600031</v>
      </c>
      <c r="I21" s="251">
        <v>23605593</v>
      </c>
      <c r="J21" s="251">
        <f t="shared" si="10"/>
        <v>5562</v>
      </c>
      <c r="K21" s="275">
        <f t="shared" si="11"/>
        <v>470</v>
      </c>
      <c r="L21" s="276">
        <f>(J21/'Finance Only'!B24)*100</f>
        <v>19.427174292699963</v>
      </c>
      <c r="M21" s="259">
        <f t="shared" si="12"/>
        <v>88593964</v>
      </c>
      <c r="N21" s="253">
        <v>88608461</v>
      </c>
      <c r="O21" s="254">
        <f t="shared" si="13"/>
        <v>14497</v>
      </c>
      <c r="P21" s="267">
        <f t="shared" si="14"/>
        <v>783</v>
      </c>
      <c r="Q21" s="268">
        <f>(O21/'Finance Only'!B24)*100</f>
        <v>50.635696821515893</v>
      </c>
      <c r="R21" s="258">
        <f t="shared" si="15"/>
        <v>2401100</v>
      </c>
      <c r="S21" s="253">
        <v>2402900</v>
      </c>
      <c r="T21" s="254">
        <f t="shared" si="16"/>
        <v>1800</v>
      </c>
      <c r="U21" s="267">
        <f t="shared" si="17"/>
        <v>100</v>
      </c>
      <c r="V21" s="268">
        <f>(T21/'Finance Only'!B24)*100</f>
        <v>6.2871114215857489</v>
      </c>
      <c r="W21" s="253">
        <f t="shared" si="18"/>
        <v>3289614</v>
      </c>
      <c r="X21" s="253">
        <v>3292697</v>
      </c>
      <c r="Y21" s="254">
        <f t="shared" si="19"/>
        <v>3083</v>
      </c>
      <c r="Z21" s="267">
        <f t="shared" si="20"/>
        <v>177</v>
      </c>
      <c r="AA21" s="268">
        <f>(Y21/'Finance Only'!B24)*100</f>
        <v>10.768424729304925</v>
      </c>
      <c r="AB21" s="253">
        <f t="shared" si="21"/>
        <v>2055600</v>
      </c>
      <c r="AC21" s="253">
        <v>2058100</v>
      </c>
      <c r="AD21" s="254">
        <f t="shared" si="22"/>
        <v>2500</v>
      </c>
      <c r="AE21" s="267">
        <f t="shared" si="23"/>
        <v>100</v>
      </c>
      <c r="AF21" s="268">
        <f>(AD21/'Finance Only'!B24)*100</f>
        <v>8.7320991966468746</v>
      </c>
      <c r="AG21" s="253">
        <f t="shared" si="24"/>
        <v>898777</v>
      </c>
      <c r="AH21" s="253">
        <v>899655</v>
      </c>
      <c r="AI21" s="254">
        <f t="shared" si="25"/>
        <v>878</v>
      </c>
      <c r="AJ21" s="267">
        <f t="shared" si="26"/>
        <v>-34</v>
      </c>
      <c r="AK21" s="268">
        <f>(AI21/'Finance Only'!B24)*100</f>
        <v>3.0667132378623818</v>
      </c>
      <c r="AL21" s="253">
        <f t="shared" si="27"/>
        <v>906300</v>
      </c>
      <c r="AM21" s="253">
        <v>906980</v>
      </c>
      <c r="AN21" s="254">
        <f t="shared" si="28"/>
        <v>680</v>
      </c>
      <c r="AO21" s="267">
        <f t="shared" si="29"/>
        <v>40</v>
      </c>
      <c r="AP21" s="268">
        <f>(AN21/'Finance Only'!B24)*100</f>
        <v>2.3751309814879495</v>
      </c>
      <c r="AQ21" s="253">
        <f t="shared" si="30"/>
        <v>2031400</v>
      </c>
      <c r="AR21" s="253">
        <v>2033100</v>
      </c>
      <c r="AS21" s="254">
        <f t="shared" si="31"/>
        <v>1700</v>
      </c>
      <c r="AT21" s="267">
        <f t="shared" si="32"/>
        <v>-100</v>
      </c>
      <c r="AU21" s="268">
        <f>(AS21/'Finance Only'!B24)*100</f>
        <v>5.9378274537198745</v>
      </c>
      <c r="AV21" s="253">
        <f t="shared" si="33"/>
        <v>588136</v>
      </c>
      <c r="AW21" s="253">
        <v>588605</v>
      </c>
      <c r="AX21" s="254">
        <f t="shared" si="34"/>
        <v>469</v>
      </c>
      <c r="AY21" s="267">
        <f t="shared" si="35"/>
        <v>26</v>
      </c>
      <c r="AZ21" s="268">
        <f>(AX21/'Finance Only'!B24)*100</f>
        <v>1.6381418092909537</v>
      </c>
      <c r="BA21" s="253">
        <f t="shared" si="36"/>
        <v>839540</v>
      </c>
      <c r="BB21" s="253">
        <v>840490</v>
      </c>
      <c r="BC21" s="254">
        <f t="shared" si="37"/>
        <v>950</v>
      </c>
      <c r="BD21" s="267">
        <f t="shared" si="38"/>
        <v>100</v>
      </c>
      <c r="BE21" s="268">
        <f>(BC21/'Finance Only'!B24)*100</f>
        <v>3.3181976947258121</v>
      </c>
      <c r="BF21" s="253">
        <f t="shared" si="39"/>
        <v>925080</v>
      </c>
      <c r="BG21" s="253">
        <v>926020</v>
      </c>
      <c r="BH21" s="254">
        <f t="shared" si="40"/>
        <v>940</v>
      </c>
      <c r="BI21" s="267">
        <f t="shared" si="41"/>
        <v>100</v>
      </c>
      <c r="BJ21" s="268">
        <f>(BH21/'Finance Only'!B24)*100</f>
        <v>3.2832692979392246</v>
      </c>
      <c r="BK21" s="253">
        <f t="shared" si="42"/>
        <v>1424400</v>
      </c>
      <c r="BL21" s="253">
        <v>1425000</v>
      </c>
      <c r="BM21" s="254">
        <f t="shared" si="43"/>
        <v>600</v>
      </c>
      <c r="BN21" s="267">
        <f t="shared" si="44"/>
        <v>0</v>
      </c>
      <c r="BO21" s="268">
        <f>(BM21/'Finance Only'!B24)*100</f>
        <v>2.0957038071952496</v>
      </c>
      <c r="BP21" s="253">
        <f t="shared" si="45"/>
        <v>937680</v>
      </c>
      <c r="BQ21" s="253">
        <v>939500</v>
      </c>
      <c r="BR21" s="254">
        <f t="shared" si="46"/>
        <v>1820</v>
      </c>
      <c r="BS21" s="267">
        <f t="shared" si="47"/>
        <v>330</v>
      </c>
      <c r="BT21" s="268">
        <f>(BR21/'Finance Only'!B24)*100</f>
        <v>6.3569682151589246</v>
      </c>
      <c r="BU21" s="253">
        <f t="shared" si="48"/>
        <v>4519700</v>
      </c>
      <c r="BV21" s="253">
        <v>4524300</v>
      </c>
      <c r="BW21" s="254">
        <f t="shared" si="49"/>
        <v>4600</v>
      </c>
      <c r="BX21" s="267">
        <f t="shared" si="50"/>
        <v>400</v>
      </c>
      <c r="BY21" s="268">
        <f>(BW21/'Finance Only'!B24)*100</f>
        <v>16.067062521830248</v>
      </c>
      <c r="BZ21" s="253">
        <f t="shared" si="51"/>
        <v>735540</v>
      </c>
      <c r="CA21" s="253">
        <v>736790</v>
      </c>
      <c r="CB21" s="254">
        <f t="shared" si="52"/>
        <v>1250</v>
      </c>
      <c r="CC21" s="267">
        <f t="shared" si="53"/>
        <v>30</v>
      </c>
      <c r="CD21" s="268">
        <f>(CB21/'Finance Only'!B24)*100</f>
        <v>4.3660495983234373</v>
      </c>
      <c r="CE21" s="253">
        <f t="shared" si="54"/>
        <v>226680</v>
      </c>
      <c r="CF21" s="253">
        <v>227110</v>
      </c>
      <c r="CG21" s="254">
        <f t="shared" si="55"/>
        <v>430</v>
      </c>
      <c r="CH21" s="267">
        <f t="shared" si="56"/>
        <v>30</v>
      </c>
      <c r="CI21" s="268">
        <f>(CG21/'Finance Only'!B24)*100</f>
        <v>1.5019210618232623</v>
      </c>
      <c r="CJ21" s="254">
        <f t="shared" si="57"/>
        <v>513350</v>
      </c>
      <c r="CK21" s="254">
        <v>514600</v>
      </c>
      <c r="CL21" s="254">
        <f t="shared" si="58"/>
        <v>1250</v>
      </c>
      <c r="CM21" s="267">
        <f t="shared" si="59"/>
        <v>170</v>
      </c>
      <c r="CN21" s="268">
        <f>(CL21/'Finance Only'!B24)*100</f>
        <v>4.3660495983234373</v>
      </c>
      <c r="CO21" s="253">
        <f t="shared" si="101"/>
        <v>418600</v>
      </c>
      <c r="CP21" s="253">
        <v>418990</v>
      </c>
      <c r="CQ21" s="255">
        <f t="shared" si="100"/>
        <v>390</v>
      </c>
      <c r="CR21" s="267">
        <f t="shared" si="60"/>
        <v>-1060</v>
      </c>
      <c r="CS21" s="268">
        <f>(CQ21/'Finance Only'!B24)*100</f>
        <v>1.3622074746769124</v>
      </c>
      <c r="CT21" s="253">
        <f t="shared" si="61"/>
        <v>352240</v>
      </c>
      <c r="CU21" s="253">
        <v>353230</v>
      </c>
      <c r="CV21" s="254">
        <f t="shared" si="62"/>
        <v>990</v>
      </c>
      <c r="CW21" s="267">
        <f t="shared" si="63"/>
        <v>30</v>
      </c>
      <c r="CX21" s="268">
        <f>(CV21/'Finance Only'!B24)*100</f>
        <v>3.4579112818721622</v>
      </c>
      <c r="CY21" s="253">
        <f t="shared" si="64"/>
        <v>609050</v>
      </c>
      <c r="CZ21" s="253">
        <v>610310</v>
      </c>
      <c r="DA21" s="254">
        <f t="shared" si="65"/>
        <v>1260</v>
      </c>
      <c r="DB21" s="267">
        <f t="shared" si="66"/>
        <v>-80</v>
      </c>
      <c r="DC21" s="268">
        <f>(DA21/'Finance Only'!B24)*100</f>
        <v>4.4009779951100247</v>
      </c>
      <c r="DD21" s="253">
        <f t="shared" si="67"/>
        <v>458990</v>
      </c>
      <c r="DE21" s="253">
        <v>460160</v>
      </c>
      <c r="DF21" s="254">
        <f t="shared" si="68"/>
        <v>1170</v>
      </c>
      <c r="DG21" s="267">
        <f t="shared" si="69"/>
        <v>100</v>
      </c>
      <c r="DH21" s="268">
        <f>(DF21/'Finance Only'!B24)*100</f>
        <v>4.0866224240307369</v>
      </c>
      <c r="DI21" s="253">
        <f t="shared" si="70"/>
        <v>418080</v>
      </c>
      <c r="DJ21" s="253">
        <v>418790</v>
      </c>
      <c r="DK21" s="254">
        <f t="shared" si="71"/>
        <v>710</v>
      </c>
      <c r="DL21" s="267">
        <f t="shared" si="72"/>
        <v>10</v>
      </c>
      <c r="DM21" s="268">
        <f>(DK21/'Finance Only'!B24)*100</f>
        <v>2.4799161718477123</v>
      </c>
      <c r="DN21" s="253">
        <f t="shared" si="73"/>
        <v>242770</v>
      </c>
      <c r="DO21" s="253">
        <v>243180</v>
      </c>
      <c r="DP21" s="254">
        <f t="shared" si="74"/>
        <v>410</v>
      </c>
      <c r="DQ21" s="267">
        <f t="shared" si="75"/>
        <v>40</v>
      </c>
      <c r="DR21" s="268">
        <f>(DP21/'Finance Only'!B24)*100</f>
        <v>1.4320642682500873</v>
      </c>
      <c r="DS21" s="253">
        <f t="shared" si="76"/>
        <v>73773</v>
      </c>
      <c r="DT21" s="253">
        <v>73895</v>
      </c>
      <c r="DU21" s="254">
        <f t="shared" si="77"/>
        <v>122</v>
      </c>
      <c r="DV21" s="267">
        <f t="shared" si="78"/>
        <v>-37</v>
      </c>
      <c r="DW21" s="268">
        <f>(DU21/'Finance Only'!B24)*100</f>
        <v>0.42612644079636747</v>
      </c>
      <c r="DX21" s="253">
        <f t="shared" si="79"/>
        <v>476370</v>
      </c>
      <c r="DY21" s="253">
        <v>477090</v>
      </c>
      <c r="DZ21" s="254">
        <f t="shared" si="80"/>
        <v>720</v>
      </c>
      <c r="EA21" s="267">
        <f t="shared" si="81"/>
        <v>-20</v>
      </c>
      <c r="EB21" s="268">
        <f>(DZ21/'Finance Only'!B24)*100</f>
        <v>2.5148445686342997</v>
      </c>
      <c r="EC21" s="253">
        <f t="shared" si="82"/>
        <v>152320</v>
      </c>
      <c r="ED21" s="253">
        <v>152570</v>
      </c>
      <c r="EE21" s="254">
        <f t="shared" si="83"/>
        <v>250</v>
      </c>
      <c r="EF21" s="267">
        <f t="shared" si="84"/>
        <v>-10</v>
      </c>
      <c r="EG21" s="268">
        <f>(EE21/'Finance Only'!B24)*100</f>
        <v>0.87320991966468742</v>
      </c>
      <c r="EH21" s="253">
        <f t="shared" si="85"/>
        <v>153910</v>
      </c>
      <c r="EI21" s="253">
        <v>154230</v>
      </c>
      <c r="EJ21" s="254">
        <f t="shared" si="86"/>
        <v>320</v>
      </c>
      <c r="EK21" s="267">
        <f t="shared" si="87"/>
        <v>-40</v>
      </c>
      <c r="EL21" s="268">
        <f>(EJ21/'Finance Only'!B24)*100</f>
        <v>1.1177086971707999</v>
      </c>
      <c r="EM21" s="253">
        <f t="shared" si="88"/>
        <v>281980</v>
      </c>
      <c r="EN21" s="253">
        <v>282480</v>
      </c>
      <c r="EO21" s="254">
        <f t="shared" si="89"/>
        <v>500</v>
      </c>
      <c r="EP21" s="267">
        <f t="shared" si="90"/>
        <v>-10</v>
      </c>
      <c r="EQ21" s="268">
        <f>(EO21/'Finance Only'!B24)*100</f>
        <v>1.7464198393293748</v>
      </c>
      <c r="ER21" s="253">
        <f t="shared" si="91"/>
        <v>0</v>
      </c>
      <c r="ES21" s="253"/>
      <c r="ET21" s="254">
        <f t="shared" si="92"/>
        <v>0</v>
      </c>
      <c r="EU21" s="267">
        <f t="shared" si="93"/>
        <v>0</v>
      </c>
      <c r="EV21" s="268">
        <f>(ET21/'Finance Only'!B24)*100</f>
        <v>0</v>
      </c>
      <c r="EW21" s="253">
        <f t="shared" si="94"/>
        <v>91628</v>
      </c>
      <c r="EX21" s="253">
        <v>93357</v>
      </c>
      <c r="EY21" s="254">
        <f t="shared" si="95"/>
        <v>1729</v>
      </c>
      <c r="EZ21" s="267">
        <f t="shared" si="96"/>
        <v>-1455</v>
      </c>
      <c r="FA21" s="268">
        <f>(EY21/'Finance Only'!G24)*100</f>
        <v>3710.3004291845496</v>
      </c>
      <c r="FB21" s="253">
        <f t="shared" si="97"/>
        <v>784830</v>
      </c>
      <c r="FC21" s="253">
        <v>786140</v>
      </c>
      <c r="FD21" s="254">
        <f t="shared" si="98"/>
        <v>1310</v>
      </c>
      <c r="FE21" s="267">
        <f t="shared" si="99"/>
        <v>-220</v>
      </c>
      <c r="FF21" s="268" t="e">
        <f>(FD21/'Finance Only'!M24)*100</f>
        <v>#DIV/0!</v>
      </c>
      <c r="FG21" s="319"/>
      <c r="FH21" s="325">
        <f t="shared" si="0"/>
        <v>8262</v>
      </c>
      <c r="FI21" s="322"/>
      <c r="FJ21" s="325">
        <f t="shared" si="1"/>
        <v>6673</v>
      </c>
      <c r="FK21" s="322"/>
      <c r="FL21" s="325">
        <f t="shared" si="2"/>
        <v>2380</v>
      </c>
      <c r="FM21" s="322"/>
      <c r="FN21" s="325">
        <f t="shared" si="3"/>
        <v>2359</v>
      </c>
      <c r="FO21" s="322"/>
      <c r="FP21" s="325">
        <f t="shared" si="4"/>
        <v>2420</v>
      </c>
      <c r="FQ21" s="322"/>
      <c r="FR21" s="325">
        <f t="shared" si="5"/>
        <v>3039</v>
      </c>
      <c r="FS21" s="322"/>
    </row>
    <row r="22" spans="1:1084" s="3" customFormat="1" ht="13.5" customHeight="1" x14ac:dyDescent="0.2">
      <c r="A22" s="310">
        <v>18</v>
      </c>
      <c r="B22" s="313">
        <f>'Finance Only'!G25</f>
        <v>57.3</v>
      </c>
      <c r="C22" s="308">
        <f t="shared" si="6"/>
        <v>26129189</v>
      </c>
      <c r="D22" s="251">
        <v>26132143</v>
      </c>
      <c r="E22" s="252">
        <f t="shared" si="7"/>
        <v>2954</v>
      </c>
      <c r="F22" s="263">
        <f t="shared" si="8"/>
        <v>254</v>
      </c>
      <c r="G22" s="264">
        <f>(E22/'Finance Only'!B25)*100</f>
        <v>10.216504115653317</v>
      </c>
      <c r="H22" s="274">
        <f t="shared" si="9"/>
        <v>23605593</v>
      </c>
      <c r="I22" s="251">
        <v>23610892</v>
      </c>
      <c r="J22" s="251">
        <f t="shared" si="10"/>
        <v>5299</v>
      </c>
      <c r="K22" s="275">
        <f t="shared" si="11"/>
        <v>-263</v>
      </c>
      <c r="L22" s="276">
        <f>(J22/'Finance Only'!B25)*100</f>
        <v>18.326762122155358</v>
      </c>
      <c r="M22" s="259">
        <f t="shared" si="12"/>
        <v>88608461</v>
      </c>
      <c r="N22" s="253">
        <v>88622742</v>
      </c>
      <c r="O22" s="254">
        <f t="shared" si="13"/>
        <v>14281</v>
      </c>
      <c r="P22" s="267">
        <f t="shared" si="14"/>
        <v>-216</v>
      </c>
      <c r="Q22" s="268">
        <f>(O22/'Finance Only'!B25)*100</f>
        <v>49.391298332987482</v>
      </c>
      <c r="R22" s="258">
        <f t="shared" si="15"/>
        <v>2402900</v>
      </c>
      <c r="S22" s="253">
        <v>2404600</v>
      </c>
      <c r="T22" s="254">
        <f t="shared" si="16"/>
        <v>1700</v>
      </c>
      <c r="U22" s="267">
        <f t="shared" si="17"/>
        <v>-100</v>
      </c>
      <c r="V22" s="268">
        <f>(T22/'Finance Only'!B25)*100</f>
        <v>5.8795047381891123</v>
      </c>
      <c r="W22" s="253">
        <f t="shared" si="18"/>
        <v>3292697</v>
      </c>
      <c r="X22" s="253">
        <v>3295748</v>
      </c>
      <c r="Y22" s="254">
        <f t="shared" si="19"/>
        <v>3051</v>
      </c>
      <c r="Z22" s="267">
        <f t="shared" si="20"/>
        <v>-32</v>
      </c>
      <c r="AA22" s="268">
        <f>(Y22/'Finance Only'!B25)*100</f>
        <v>10.551981738949989</v>
      </c>
      <c r="AB22" s="253">
        <f t="shared" si="21"/>
        <v>2058100</v>
      </c>
      <c r="AC22" s="253">
        <v>2060600</v>
      </c>
      <c r="AD22" s="254">
        <f t="shared" si="22"/>
        <v>2500</v>
      </c>
      <c r="AE22" s="267">
        <f t="shared" si="23"/>
        <v>0</v>
      </c>
      <c r="AF22" s="268">
        <f>(AD22/'Finance Only'!B25)*100</f>
        <v>8.6463304973369315</v>
      </c>
      <c r="AG22" s="253">
        <f t="shared" si="24"/>
        <v>899655</v>
      </c>
      <c r="AH22" s="253">
        <v>900577</v>
      </c>
      <c r="AI22" s="254">
        <f t="shared" si="25"/>
        <v>922</v>
      </c>
      <c r="AJ22" s="267">
        <f t="shared" si="26"/>
        <v>44</v>
      </c>
      <c r="AK22" s="268">
        <f>(AI22/'Finance Only'!B25)*100</f>
        <v>3.1887666874178597</v>
      </c>
      <c r="AL22" s="253">
        <f t="shared" si="27"/>
        <v>906980</v>
      </c>
      <c r="AM22" s="253">
        <v>907620</v>
      </c>
      <c r="AN22" s="254">
        <f t="shared" si="28"/>
        <v>640</v>
      </c>
      <c r="AO22" s="267">
        <f t="shared" si="29"/>
        <v>-40</v>
      </c>
      <c r="AP22" s="268">
        <f>(AN22/'Finance Only'!B25)*100</f>
        <v>2.2134606073182539</v>
      </c>
      <c r="AQ22" s="253">
        <f t="shared" si="30"/>
        <v>2033100</v>
      </c>
      <c r="AR22" s="253">
        <v>2035000</v>
      </c>
      <c r="AS22" s="254">
        <f t="shared" si="31"/>
        <v>1900</v>
      </c>
      <c r="AT22" s="267">
        <f t="shared" si="32"/>
        <v>200</v>
      </c>
      <c r="AU22" s="268">
        <f>(AS22/'Finance Only'!B25)*100</f>
        <v>6.5712111779760676</v>
      </c>
      <c r="AV22" s="253">
        <f t="shared" si="33"/>
        <v>588605</v>
      </c>
      <c r="AW22" s="253">
        <v>589064</v>
      </c>
      <c r="AX22" s="254">
        <f t="shared" si="34"/>
        <v>459</v>
      </c>
      <c r="AY22" s="267">
        <f t="shared" si="35"/>
        <v>-10</v>
      </c>
      <c r="AZ22" s="268">
        <f>(AX22/'Finance Only'!B25)*100</f>
        <v>1.5874662793110603</v>
      </c>
      <c r="BA22" s="253">
        <f t="shared" si="36"/>
        <v>840490</v>
      </c>
      <c r="BB22" s="253">
        <v>841400</v>
      </c>
      <c r="BC22" s="254">
        <f t="shared" si="37"/>
        <v>910</v>
      </c>
      <c r="BD22" s="267">
        <f t="shared" si="38"/>
        <v>-40</v>
      </c>
      <c r="BE22" s="268">
        <f>(BC22/'Finance Only'!B25)*100</f>
        <v>3.1472643010306425</v>
      </c>
      <c r="BF22" s="253">
        <f t="shared" si="39"/>
        <v>926020</v>
      </c>
      <c r="BG22" s="253">
        <v>926910</v>
      </c>
      <c r="BH22" s="254">
        <f t="shared" si="40"/>
        <v>890</v>
      </c>
      <c r="BI22" s="267">
        <f t="shared" si="41"/>
        <v>-50</v>
      </c>
      <c r="BJ22" s="268">
        <f>(BH22/'Finance Only'!B25)*100</f>
        <v>3.078093657051947</v>
      </c>
      <c r="BK22" s="253">
        <f t="shared" si="42"/>
        <v>1425000</v>
      </c>
      <c r="BL22" s="253">
        <v>1425600</v>
      </c>
      <c r="BM22" s="254">
        <f t="shared" si="43"/>
        <v>600</v>
      </c>
      <c r="BN22" s="267">
        <f t="shared" si="44"/>
        <v>0</v>
      </c>
      <c r="BO22" s="268">
        <f>(BM22/'Finance Only'!B25)*100</f>
        <v>2.0751193193608635</v>
      </c>
      <c r="BP22" s="253">
        <f t="shared" si="45"/>
        <v>939500</v>
      </c>
      <c r="BQ22" s="253">
        <v>941430</v>
      </c>
      <c r="BR22" s="254">
        <f t="shared" si="46"/>
        <v>1930</v>
      </c>
      <c r="BS22" s="267">
        <f t="shared" si="47"/>
        <v>110</v>
      </c>
      <c r="BT22" s="268">
        <f>(BR22/'Finance Only'!B25)*100</f>
        <v>6.6749671439441105</v>
      </c>
      <c r="BU22" s="253">
        <f t="shared" si="48"/>
        <v>4524300</v>
      </c>
      <c r="BV22" s="253">
        <v>4528700</v>
      </c>
      <c r="BW22" s="254">
        <f t="shared" si="49"/>
        <v>4400</v>
      </c>
      <c r="BX22" s="267">
        <f t="shared" si="50"/>
        <v>-200</v>
      </c>
      <c r="BY22" s="268">
        <f>(BW22/'Finance Only'!B25)*100</f>
        <v>15.217541675312999</v>
      </c>
      <c r="BZ22" s="253">
        <f t="shared" si="51"/>
        <v>736790</v>
      </c>
      <c r="CA22" s="253">
        <v>738020</v>
      </c>
      <c r="CB22" s="254">
        <f t="shared" si="52"/>
        <v>1230</v>
      </c>
      <c r="CC22" s="267">
        <f t="shared" si="53"/>
        <v>-20</v>
      </c>
      <c r="CD22" s="268">
        <f>(CB22/'Finance Only'!B25)*100</f>
        <v>4.2539946046897699</v>
      </c>
      <c r="CE22" s="253">
        <f t="shared" si="54"/>
        <v>227110</v>
      </c>
      <c r="CF22" s="253">
        <v>227520</v>
      </c>
      <c r="CG22" s="254">
        <f t="shared" si="55"/>
        <v>410</v>
      </c>
      <c r="CH22" s="267">
        <f t="shared" si="56"/>
        <v>-20</v>
      </c>
      <c r="CI22" s="268">
        <f>(CG22/'Finance Only'!B25)*100</f>
        <v>1.4179982015632566</v>
      </c>
      <c r="CJ22" s="254">
        <f t="shared" si="57"/>
        <v>514600</v>
      </c>
      <c r="CK22" s="254">
        <v>515840</v>
      </c>
      <c r="CL22" s="254">
        <f t="shared" si="58"/>
        <v>1240</v>
      </c>
      <c r="CM22" s="267">
        <f t="shared" si="59"/>
        <v>-10</v>
      </c>
      <c r="CN22" s="268">
        <f>(CL22/'Finance Only'!B25)*100</f>
        <v>4.2885799266791178</v>
      </c>
      <c r="CO22" s="253">
        <f t="shared" si="101"/>
        <v>418990</v>
      </c>
      <c r="CP22" s="253">
        <v>420020</v>
      </c>
      <c r="CQ22" s="255">
        <f t="shared" si="100"/>
        <v>1030</v>
      </c>
      <c r="CR22" s="267">
        <f t="shared" si="60"/>
        <v>640</v>
      </c>
      <c r="CS22" s="268">
        <f>(CQ22/'Finance Only'!B25)*100</f>
        <v>3.5622881649028151</v>
      </c>
      <c r="CT22" s="253">
        <f t="shared" si="61"/>
        <v>353230</v>
      </c>
      <c r="CU22" s="253">
        <v>354090</v>
      </c>
      <c r="CV22" s="254">
        <f t="shared" si="62"/>
        <v>860</v>
      </c>
      <c r="CW22" s="267">
        <f t="shared" si="63"/>
        <v>-130</v>
      </c>
      <c r="CX22" s="268">
        <f>(CV22/'Finance Only'!B25)*100</f>
        <v>2.9743376910839041</v>
      </c>
      <c r="CY22" s="253">
        <f t="shared" si="64"/>
        <v>610310</v>
      </c>
      <c r="CZ22" s="253">
        <v>611570</v>
      </c>
      <c r="DA22" s="254">
        <f t="shared" si="65"/>
        <v>1260</v>
      </c>
      <c r="DB22" s="267">
        <f t="shared" si="66"/>
        <v>0</v>
      </c>
      <c r="DC22" s="268">
        <f>(DA22/'Finance Only'!B25)*100</f>
        <v>4.3577505706578128</v>
      </c>
      <c r="DD22" s="253">
        <f t="shared" si="67"/>
        <v>460160</v>
      </c>
      <c r="DE22" s="253">
        <v>461180</v>
      </c>
      <c r="DF22" s="254">
        <f t="shared" si="68"/>
        <v>1020</v>
      </c>
      <c r="DG22" s="267">
        <f t="shared" si="69"/>
        <v>-150</v>
      </c>
      <c r="DH22" s="268">
        <f>(DF22/'Finance Only'!B25)*100</f>
        <v>3.5277028429134676</v>
      </c>
      <c r="DI22" s="253">
        <f t="shared" si="70"/>
        <v>418790</v>
      </c>
      <c r="DJ22" s="253">
        <v>419510</v>
      </c>
      <c r="DK22" s="254">
        <f t="shared" si="71"/>
        <v>720</v>
      </c>
      <c r="DL22" s="267">
        <f t="shared" si="72"/>
        <v>10</v>
      </c>
      <c r="DM22" s="268">
        <f>(DK22/'Finance Only'!B25)*100</f>
        <v>2.4901431832330361</v>
      </c>
      <c r="DN22" s="253">
        <f t="shared" si="73"/>
        <v>243180</v>
      </c>
      <c r="DO22" s="253">
        <v>243580</v>
      </c>
      <c r="DP22" s="254">
        <f t="shared" si="74"/>
        <v>400</v>
      </c>
      <c r="DQ22" s="267">
        <f t="shared" si="75"/>
        <v>-10</v>
      </c>
      <c r="DR22" s="268">
        <f>(DP22/'Finance Only'!B25)*100</f>
        <v>1.3834128795739089</v>
      </c>
      <c r="DS22" s="253">
        <f t="shared" si="76"/>
        <v>73895</v>
      </c>
      <c r="DT22" s="253">
        <v>74037</v>
      </c>
      <c r="DU22" s="254">
        <f t="shared" si="77"/>
        <v>142</v>
      </c>
      <c r="DV22" s="267">
        <f t="shared" si="78"/>
        <v>20</v>
      </c>
      <c r="DW22" s="268">
        <f>(DU22/'Finance Only'!B25)*100</f>
        <v>0.49111157224873758</v>
      </c>
      <c r="DX22" s="253">
        <f t="shared" si="79"/>
        <v>477090</v>
      </c>
      <c r="DY22" s="253">
        <v>477860</v>
      </c>
      <c r="DZ22" s="254">
        <f t="shared" si="80"/>
        <v>770</v>
      </c>
      <c r="EA22" s="267">
        <f t="shared" si="81"/>
        <v>50</v>
      </c>
      <c r="EB22" s="268">
        <f>(DZ22/'Finance Only'!B25)*100</f>
        <v>2.6630697931797744</v>
      </c>
      <c r="EC22" s="253">
        <f t="shared" si="82"/>
        <v>152570</v>
      </c>
      <c r="ED22" s="253">
        <v>152830</v>
      </c>
      <c r="EE22" s="254">
        <f t="shared" si="83"/>
        <v>260</v>
      </c>
      <c r="EF22" s="267">
        <f t="shared" si="84"/>
        <v>10</v>
      </c>
      <c r="EG22" s="268">
        <f>(EE22/'Finance Only'!B25)*100</f>
        <v>0.89921837172304075</v>
      </c>
      <c r="EH22" s="253">
        <f t="shared" si="85"/>
        <v>154230</v>
      </c>
      <c r="EI22" s="253">
        <v>154590</v>
      </c>
      <c r="EJ22" s="254">
        <f t="shared" si="86"/>
        <v>360</v>
      </c>
      <c r="EK22" s="267">
        <f t="shared" si="87"/>
        <v>40</v>
      </c>
      <c r="EL22" s="268">
        <f>(EJ22/'Finance Only'!B25)*100</f>
        <v>1.245071591616518</v>
      </c>
      <c r="EM22" s="253">
        <f t="shared" si="88"/>
        <v>282480</v>
      </c>
      <c r="EN22" s="253">
        <f>282480+500</f>
        <v>282980</v>
      </c>
      <c r="EO22" s="254">
        <f t="shared" si="89"/>
        <v>500</v>
      </c>
      <c r="EP22" s="267">
        <f t="shared" si="90"/>
        <v>0</v>
      </c>
      <c r="EQ22" s="268">
        <f>(EO22/'Finance Only'!B25)*100</f>
        <v>1.7292660994673863</v>
      </c>
      <c r="ER22" s="253">
        <f t="shared" si="91"/>
        <v>0</v>
      </c>
      <c r="ES22" s="253"/>
      <c r="ET22" s="254">
        <f t="shared" si="92"/>
        <v>0</v>
      </c>
      <c r="EU22" s="267">
        <f t="shared" si="93"/>
        <v>0</v>
      </c>
      <c r="EV22" s="268">
        <f>(ET22/'Finance Only'!B25)*100</f>
        <v>0</v>
      </c>
      <c r="EW22" s="253">
        <f t="shared" si="94"/>
        <v>93357</v>
      </c>
      <c r="EX22" s="253">
        <v>96436</v>
      </c>
      <c r="EY22" s="254">
        <f t="shared" si="95"/>
        <v>3079</v>
      </c>
      <c r="EZ22" s="267">
        <f t="shared" si="96"/>
        <v>1350</v>
      </c>
      <c r="FA22" s="268">
        <f>(EY22/'Finance Only'!G25)*100</f>
        <v>5373.47294938918</v>
      </c>
      <c r="FB22" s="253">
        <f t="shared" si="97"/>
        <v>786140</v>
      </c>
      <c r="FC22" s="253">
        <v>789290</v>
      </c>
      <c r="FD22" s="254">
        <f t="shared" si="98"/>
        <v>3150</v>
      </c>
      <c r="FE22" s="267">
        <f t="shared" si="99"/>
        <v>1840</v>
      </c>
      <c r="FF22" s="268" t="e">
        <f>(FD22/'Finance Only'!M25)*100</f>
        <v>#DIV/0!</v>
      </c>
      <c r="FG22" s="319"/>
      <c r="FH22" s="325">
        <f t="shared" si="0"/>
        <v>8253</v>
      </c>
      <c r="FI22" s="322"/>
      <c r="FJ22" s="325">
        <f t="shared" si="1"/>
        <v>6641</v>
      </c>
      <c r="FK22" s="322"/>
      <c r="FL22" s="325">
        <f t="shared" si="2"/>
        <v>2540</v>
      </c>
      <c r="FM22" s="322"/>
      <c r="FN22" s="325">
        <f t="shared" si="3"/>
        <v>2259</v>
      </c>
      <c r="FO22" s="322"/>
      <c r="FP22" s="325">
        <f t="shared" si="4"/>
        <v>2530</v>
      </c>
      <c r="FQ22" s="322"/>
      <c r="FR22" s="325">
        <f t="shared" si="5"/>
        <v>6229</v>
      </c>
      <c r="FS22" s="322"/>
    </row>
    <row r="23" spans="1:1084" s="3" customFormat="1" ht="13.5" customHeight="1" x14ac:dyDescent="0.2">
      <c r="A23" s="310">
        <v>19</v>
      </c>
      <c r="B23" s="313">
        <f>'Finance Only'!G26</f>
        <v>53.4</v>
      </c>
      <c r="C23" s="308">
        <f t="shared" si="6"/>
        <v>26132143</v>
      </c>
      <c r="D23" s="251">
        <v>26135222</v>
      </c>
      <c r="E23" s="252">
        <f t="shared" si="7"/>
        <v>3079</v>
      </c>
      <c r="F23" s="263">
        <f t="shared" si="8"/>
        <v>125</v>
      </c>
      <c r="G23" s="264">
        <f>(E23/'Finance Only'!B26)*100</f>
        <v>10.714409994084281</v>
      </c>
      <c r="H23" s="274">
        <f t="shared" si="9"/>
        <v>23610892</v>
      </c>
      <c r="I23" s="251">
        <v>23615983</v>
      </c>
      <c r="J23" s="251">
        <f t="shared" si="10"/>
        <v>5091</v>
      </c>
      <c r="K23" s="275">
        <f t="shared" si="11"/>
        <v>-208</v>
      </c>
      <c r="L23" s="276">
        <f>(J23/'Finance Only'!B26)*100</f>
        <v>17.715836726171837</v>
      </c>
      <c r="M23" s="259">
        <f t="shared" si="12"/>
        <v>88622742</v>
      </c>
      <c r="N23" s="253">
        <v>88637104</v>
      </c>
      <c r="O23" s="254">
        <f t="shared" si="13"/>
        <v>14362</v>
      </c>
      <c r="P23" s="267">
        <f t="shared" si="14"/>
        <v>81</v>
      </c>
      <c r="Q23" s="268">
        <f>(O23/'Finance Only'!B26)*100</f>
        <v>49.977381076660748</v>
      </c>
      <c r="R23" s="258">
        <f t="shared" si="15"/>
        <v>2404600</v>
      </c>
      <c r="S23" s="253">
        <v>2406400</v>
      </c>
      <c r="T23" s="254">
        <f t="shared" si="16"/>
        <v>1800</v>
      </c>
      <c r="U23" s="267">
        <f t="shared" si="17"/>
        <v>100</v>
      </c>
      <c r="V23" s="268">
        <f>(T23/'Finance Only'!B26)*100</f>
        <v>6.2637018477920456</v>
      </c>
      <c r="W23" s="253">
        <f t="shared" si="18"/>
        <v>3295748</v>
      </c>
      <c r="X23" s="253">
        <v>3298787</v>
      </c>
      <c r="Y23" s="254">
        <f t="shared" si="19"/>
        <v>3039</v>
      </c>
      <c r="Z23" s="267">
        <f t="shared" si="20"/>
        <v>-12</v>
      </c>
      <c r="AA23" s="268">
        <f>(Y23/'Finance Only'!B26)*100</f>
        <v>10.575216619688902</v>
      </c>
      <c r="AB23" s="253">
        <f t="shared" si="21"/>
        <v>2060600</v>
      </c>
      <c r="AC23" s="253">
        <v>2063000</v>
      </c>
      <c r="AD23" s="254">
        <f t="shared" si="22"/>
        <v>2400</v>
      </c>
      <c r="AE23" s="267">
        <f t="shared" si="23"/>
        <v>-100</v>
      </c>
      <c r="AF23" s="268">
        <f>(AD23/'Finance Only'!B26)*100</f>
        <v>8.3516024637227257</v>
      </c>
      <c r="AG23" s="253">
        <f t="shared" si="24"/>
        <v>900577</v>
      </c>
      <c r="AH23" s="253">
        <v>901498</v>
      </c>
      <c r="AI23" s="254">
        <f t="shared" si="25"/>
        <v>921</v>
      </c>
      <c r="AJ23" s="267">
        <f t="shared" si="26"/>
        <v>-1</v>
      </c>
      <c r="AK23" s="268">
        <f>(AI23/'Finance Only'!B26)*100</f>
        <v>3.2049274454535968</v>
      </c>
      <c r="AL23" s="253">
        <f t="shared" si="27"/>
        <v>907620</v>
      </c>
      <c r="AM23" s="253">
        <v>908300</v>
      </c>
      <c r="AN23" s="254">
        <f t="shared" si="28"/>
        <v>680</v>
      </c>
      <c r="AO23" s="267">
        <f t="shared" si="29"/>
        <v>40</v>
      </c>
      <c r="AP23" s="268">
        <f>(AN23/'Finance Only'!B26)*100</f>
        <v>2.3662873647214395</v>
      </c>
      <c r="AQ23" s="253">
        <f t="shared" si="30"/>
        <v>2035000</v>
      </c>
      <c r="AR23" s="253">
        <v>2036700</v>
      </c>
      <c r="AS23" s="254">
        <f t="shared" si="31"/>
        <v>1700</v>
      </c>
      <c r="AT23" s="267">
        <f t="shared" si="32"/>
        <v>-200</v>
      </c>
      <c r="AU23" s="268">
        <f>(AS23/'Finance Only'!B26)*100</f>
        <v>5.9157184118035975</v>
      </c>
      <c r="AV23" s="253">
        <f t="shared" si="33"/>
        <v>589064</v>
      </c>
      <c r="AW23" s="253">
        <v>589554</v>
      </c>
      <c r="AX23" s="254">
        <f t="shared" si="34"/>
        <v>490</v>
      </c>
      <c r="AY23" s="267">
        <f t="shared" si="35"/>
        <v>31</v>
      </c>
      <c r="AZ23" s="268">
        <f>(AX23/'Finance Only'!B26)*100</f>
        <v>1.70511883634339</v>
      </c>
      <c r="BA23" s="253">
        <f t="shared" si="36"/>
        <v>841400</v>
      </c>
      <c r="BB23" s="253">
        <v>842340</v>
      </c>
      <c r="BC23" s="254">
        <f t="shared" si="37"/>
        <v>940</v>
      </c>
      <c r="BD23" s="267">
        <f t="shared" si="38"/>
        <v>30</v>
      </c>
      <c r="BE23" s="268">
        <f>(BC23/'Finance Only'!B26)*100</f>
        <v>3.2710442982914012</v>
      </c>
      <c r="BF23" s="253">
        <f t="shared" si="39"/>
        <v>926910</v>
      </c>
      <c r="BG23" s="253">
        <v>927840</v>
      </c>
      <c r="BH23" s="254">
        <f t="shared" si="40"/>
        <v>930</v>
      </c>
      <c r="BI23" s="267">
        <f t="shared" si="41"/>
        <v>40</v>
      </c>
      <c r="BJ23" s="268">
        <f>(BH23/'Finance Only'!B26)*100</f>
        <v>3.2362459546925564</v>
      </c>
      <c r="BK23" s="253">
        <f t="shared" si="42"/>
        <v>1425600</v>
      </c>
      <c r="BL23" s="253">
        <v>1426300</v>
      </c>
      <c r="BM23" s="254">
        <f t="shared" si="43"/>
        <v>700</v>
      </c>
      <c r="BN23" s="267">
        <f t="shared" si="44"/>
        <v>100</v>
      </c>
      <c r="BO23" s="268">
        <f>(BM23/'Finance Only'!B26)*100</f>
        <v>2.4358840519191287</v>
      </c>
      <c r="BP23" s="253">
        <f t="shared" si="45"/>
        <v>941430</v>
      </c>
      <c r="BQ23" s="253">
        <v>943170</v>
      </c>
      <c r="BR23" s="254">
        <f t="shared" si="46"/>
        <v>1740</v>
      </c>
      <c r="BS23" s="267">
        <f t="shared" si="47"/>
        <v>-190</v>
      </c>
      <c r="BT23" s="268">
        <f>(BR23/'Finance Only'!B26)*100</f>
        <v>6.0549117861989767</v>
      </c>
      <c r="BU23" s="253">
        <f t="shared" si="48"/>
        <v>4528700</v>
      </c>
      <c r="BV23" s="253">
        <v>4533400</v>
      </c>
      <c r="BW23" s="254">
        <f t="shared" si="49"/>
        <v>4700</v>
      </c>
      <c r="BX23" s="267">
        <f t="shared" si="50"/>
        <v>300</v>
      </c>
      <c r="BY23" s="268">
        <f>(BW23/'Finance Only'!B26)*100</f>
        <v>16.355221491457005</v>
      </c>
      <c r="BZ23" s="253">
        <f t="shared" si="51"/>
        <v>738020</v>
      </c>
      <c r="CA23" s="253">
        <v>739200</v>
      </c>
      <c r="CB23" s="254">
        <f t="shared" si="52"/>
        <v>1180</v>
      </c>
      <c r="CC23" s="267">
        <f t="shared" si="53"/>
        <v>-50</v>
      </c>
      <c r="CD23" s="268">
        <f>(CB23/'Finance Only'!B26)*100</f>
        <v>4.1062045446636741</v>
      </c>
      <c r="CE23" s="253">
        <f t="shared" si="54"/>
        <v>227520</v>
      </c>
      <c r="CF23" s="253">
        <v>228000</v>
      </c>
      <c r="CG23" s="254">
        <f t="shared" si="55"/>
        <v>480</v>
      </c>
      <c r="CH23" s="267">
        <f t="shared" si="56"/>
        <v>70</v>
      </c>
      <c r="CI23" s="268">
        <f>(CG23/'Finance Only'!B26)*100</f>
        <v>1.6703204927445454</v>
      </c>
      <c r="CJ23" s="254">
        <f t="shared" si="57"/>
        <v>515840</v>
      </c>
      <c r="CK23" s="254">
        <v>517010</v>
      </c>
      <c r="CL23" s="254">
        <f t="shared" si="58"/>
        <v>1170</v>
      </c>
      <c r="CM23" s="267">
        <f t="shared" si="59"/>
        <v>-70</v>
      </c>
      <c r="CN23" s="268">
        <f>(CL23/'Finance Only'!B26)*100</f>
        <v>4.0714062010648293</v>
      </c>
      <c r="CO23" s="253">
        <f t="shared" si="101"/>
        <v>420020</v>
      </c>
      <c r="CP23" s="253">
        <v>421000</v>
      </c>
      <c r="CQ23" s="255">
        <f t="shared" si="100"/>
        <v>980</v>
      </c>
      <c r="CR23" s="267">
        <f t="shared" si="60"/>
        <v>-50</v>
      </c>
      <c r="CS23" s="268">
        <f>(CQ23/'Finance Only'!B26)*100</f>
        <v>3.41023767268678</v>
      </c>
      <c r="CT23" s="253">
        <f t="shared" si="61"/>
        <v>354090</v>
      </c>
      <c r="CU23" s="253">
        <v>354910</v>
      </c>
      <c r="CV23" s="254">
        <f t="shared" si="62"/>
        <v>820</v>
      </c>
      <c r="CW23" s="267">
        <f t="shared" si="63"/>
        <v>-40</v>
      </c>
      <c r="CX23" s="268">
        <f>(CV23/'Finance Only'!B26)*100</f>
        <v>2.8534641751052652</v>
      </c>
      <c r="CY23" s="253">
        <f t="shared" si="64"/>
        <v>611570</v>
      </c>
      <c r="CZ23" s="253">
        <v>612830</v>
      </c>
      <c r="DA23" s="254">
        <f t="shared" si="65"/>
        <v>1260</v>
      </c>
      <c r="DB23" s="267">
        <f t="shared" si="66"/>
        <v>0</v>
      </c>
      <c r="DC23" s="268">
        <f>(DA23/'Finance Only'!B26)*100</f>
        <v>4.3845912934544318</v>
      </c>
      <c r="DD23" s="253">
        <f t="shared" si="67"/>
        <v>461180</v>
      </c>
      <c r="DE23" s="253">
        <v>462050</v>
      </c>
      <c r="DF23" s="254">
        <f t="shared" si="68"/>
        <v>870</v>
      </c>
      <c r="DG23" s="267">
        <f t="shared" si="69"/>
        <v>-150</v>
      </c>
      <c r="DH23" s="268">
        <f>(DF23/'Finance Only'!B26)*100</f>
        <v>3.0274558930994884</v>
      </c>
      <c r="DI23" s="253">
        <f t="shared" si="70"/>
        <v>419510</v>
      </c>
      <c r="DJ23" s="253">
        <v>420250</v>
      </c>
      <c r="DK23" s="254">
        <f t="shared" si="71"/>
        <v>740</v>
      </c>
      <c r="DL23" s="267">
        <f t="shared" si="72"/>
        <v>20</v>
      </c>
      <c r="DM23" s="268">
        <f>(DK23/'Finance Only'!B26)*100</f>
        <v>2.5750774263145075</v>
      </c>
      <c r="DN23" s="253">
        <f t="shared" si="73"/>
        <v>243580</v>
      </c>
      <c r="DO23" s="253">
        <v>243990</v>
      </c>
      <c r="DP23" s="254">
        <f t="shared" si="74"/>
        <v>410</v>
      </c>
      <c r="DQ23" s="267">
        <f t="shared" si="75"/>
        <v>10</v>
      </c>
      <c r="DR23" s="268">
        <f>(DP23/'Finance Only'!B26)*100</f>
        <v>1.4267320875526326</v>
      </c>
      <c r="DS23" s="253">
        <f t="shared" si="76"/>
        <v>74037</v>
      </c>
      <c r="DT23" s="253">
        <v>74190</v>
      </c>
      <c r="DU23" s="254">
        <f t="shared" si="77"/>
        <v>153</v>
      </c>
      <c r="DV23" s="267">
        <f t="shared" si="78"/>
        <v>11</v>
      </c>
      <c r="DW23" s="268">
        <f>(DU23/'Finance Only'!B26)*100</f>
        <v>0.53241465706232383</v>
      </c>
      <c r="DX23" s="253">
        <f t="shared" si="79"/>
        <v>477860</v>
      </c>
      <c r="DY23" s="253">
        <v>478690</v>
      </c>
      <c r="DZ23" s="254">
        <f t="shared" si="80"/>
        <v>830</v>
      </c>
      <c r="EA23" s="267">
        <f t="shared" si="81"/>
        <v>60</v>
      </c>
      <c r="EB23" s="268">
        <f>(DZ23/'Finance Only'!B26)*100</f>
        <v>2.8882625187041095</v>
      </c>
      <c r="EC23" s="253">
        <f t="shared" si="82"/>
        <v>152830</v>
      </c>
      <c r="ED23" s="253">
        <v>153090</v>
      </c>
      <c r="EE23" s="254">
        <f t="shared" si="83"/>
        <v>260</v>
      </c>
      <c r="EF23" s="267">
        <f t="shared" si="84"/>
        <v>0</v>
      </c>
      <c r="EG23" s="268">
        <f>(EE23/'Finance Only'!B26)*100</f>
        <v>0.90475693356996212</v>
      </c>
      <c r="EH23" s="253">
        <f t="shared" si="85"/>
        <v>154590</v>
      </c>
      <c r="EI23" s="253">
        <v>154940</v>
      </c>
      <c r="EJ23" s="254">
        <f t="shared" si="86"/>
        <v>350</v>
      </c>
      <c r="EK23" s="267">
        <f t="shared" si="87"/>
        <v>-10</v>
      </c>
      <c r="EL23" s="268">
        <f>(EJ23/'Finance Only'!B26)*100</f>
        <v>1.2179420259595644</v>
      </c>
      <c r="EM23" s="253">
        <f t="shared" si="88"/>
        <v>282980</v>
      </c>
      <c r="EN23" s="253">
        <v>283500</v>
      </c>
      <c r="EO23" s="254">
        <f t="shared" si="89"/>
        <v>520</v>
      </c>
      <c r="EP23" s="267">
        <f t="shared" si="90"/>
        <v>20</v>
      </c>
      <c r="EQ23" s="268">
        <f>(EO23/'Finance Only'!B26)*100</f>
        <v>1.8095138671399242</v>
      </c>
      <c r="ER23" s="253">
        <f t="shared" si="91"/>
        <v>0</v>
      </c>
      <c r="ES23" s="253"/>
      <c r="ET23" s="254">
        <f t="shared" si="92"/>
        <v>0</v>
      </c>
      <c r="EU23" s="267">
        <f t="shared" si="93"/>
        <v>0</v>
      </c>
      <c r="EV23" s="268">
        <f>(ET23/'Finance Only'!B26)*100</f>
        <v>0</v>
      </c>
      <c r="EW23" s="253">
        <f t="shared" si="94"/>
        <v>96436</v>
      </c>
      <c r="EX23" s="253">
        <v>100570</v>
      </c>
      <c r="EY23" s="254">
        <f t="shared" si="95"/>
        <v>4134</v>
      </c>
      <c r="EZ23" s="267">
        <f t="shared" si="96"/>
        <v>1055</v>
      </c>
      <c r="FA23" s="268">
        <f>(EY23/'Finance Only'!G26)*100</f>
        <v>7741.5730337078658</v>
      </c>
      <c r="FB23" s="253">
        <f t="shared" si="97"/>
        <v>789290</v>
      </c>
      <c r="FC23" s="253">
        <v>791470</v>
      </c>
      <c r="FD23" s="254">
        <f t="shared" si="98"/>
        <v>2180</v>
      </c>
      <c r="FE23" s="267">
        <f t="shared" si="99"/>
        <v>-970</v>
      </c>
      <c r="FF23" s="268" t="e">
        <f>(FD23/'Finance Only'!M26)*100</f>
        <v>#DIV/0!</v>
      </c>
      <c r="FG23" s="319"/>
      <c r="FH23" s="325">
        <f t="shared" si="0"/>
        <v>8170</v>
      </c>
      <c r="FI23" s="322"/>
      <c r="FJ23" s="325">
        <f t="shared" si="1"/>
        <v>6799</v>
      </c>
      <c r="FK23" s="322"/>
      <c r="FL23" s="325">
        <f t="shared" si="2"/>
        <v>2380</v>
      </c>
      <c r="FM23" s="322"/>
      <c r="FN23" s="325">
        <f t="shared" si="3"/>
        <v>2360</v>
      </c>
      <c r="FO23" s="322"/>
      <c r="FP23" s="325">
        <f t="shared" si="4"/>
        <v>2440</v>
      </c>
      <c r="FQ23" s="322"/>
      <c r="FR23" s="325">
        <f t="shared" si="5"/>
        <v>6314</v>
      </c>
      <c r="FS23" s="322"/>
    </row>
    <row r="24" spans="1:1084" s="3" customFormat="1" ht="13.5" customHeight="1" x14ac:dyDescent="0.2">
      <c r="A24" s="310">
        <v>20</v>
      </c>
      <c r="B24" s="313">
        <f>'Finance Only'!G27</f>
        <v>54</v>
      </c>
      <c r="C24" s="308">
        <f t="shared" si="6"/>
        <v>26135222</v>
      </c>
      <c r="D24" s="251">
        <v>26138473</v>
      </c>
      <c r="E24" s="252">
        <f t="shared" si="7"/>
        <v>3251</v>
      </c>
      <c r="F24" s="263">
        <f t="shared" si="8"/>
        <v>172</v>
      </c>
      <c r="G24" s="264">
        <f>(E24/'Finance Only'!B27)*100</f>
        <v>10.887474882786337</v>
      </c>
      <c r="H24" s="274">
        <f t="shared" si="9"/>
        <v>23615983</v>
      </c>
      <c r="I24" s="251">
        <v>23621729</v>
      </c>
      <c r="J24" s="251">
        <f t="shared" si="10"/>
        <v>5746</v>
      </c>
      <c r="K24" s="275">
        <f t="shared" si="11"/>
        <v>655</v>
      </c>
      <c r="L24" s="276">
        <f>(J24/'Finance Only'!B27)*100</f>
        <v>19.243134628265238</v>
      </c>
      <c r="M24" s="259">
        <f t="shared" si="12"/>
        <v>88637104</v>
      </c>
      <c r="N24" s="253">
        <v>88651657</v>
      </c>
      <c r="O24" s="254">
        <f t="shared" si="13"/>
        <v>14553</v>
      </c>
      <c r="P24" s="267">
        <f t="shared" si="14"/>
        <v>191</v>
      </c>
      <c r="Q24" s="268">
        <f>(O24/'Finance Only'!B27)*100</f>
        <v>48.737441393168119</v>
      </c>
      <c r="R24" s="258">
        <f t="shared" si="15"/>
        <v>2406400</v>
      </c>
      <c r="S24" s="253">
        <v>2408300</v>
      </c>
      <c r="T24" s="254">
        <f t="shared" si="16"/>
        <v>1900</v>
      </c>
      <c r="U24" s="267">
        <f t="shared" si="17"/>
        <v>100</v>
      </c>
      <c r="V24" s="268">
        <f>(T24/'Finance Only'!B27)*100</f>
        <v>6.3630274614869391</v>
      </c>
      <c r="W24" s="253">
        <f t="shared" si="18"/>
        <v>3298787</v>
      </c>
      <c r="X24" s="253">
        <v>3301836</v>
      </c>
      <c r="Y24" s="254">
        <f t="shared" si="19"/>
        <v>3049</v>
      </c>
      <c r="Z24" s="267">
        <f t="shared" si="20"/>
        <v>10</v>
      </c>
      <c r="AA24" s="268">
        <f>(Y24/'Finance Only'!B27)*100</f>
        <v>10.210984594775621</v>
      </c>
      <c r="AB24" s="253">
        <f t="shared" si="21"/>
        <v>2063000</v>
      </c>
      <c r="AC24" s="256">
        <v>2065600</v>
      </c>
      <c r="AD24" s="254">
        <f t="shared" si="22"/>
        <v>2600</v>
      </c>
      <c r="AE24" s="267">
        <f t="shared" si="23"/>
        <v>200</v>
      </c>
      <c r="AF24" s="268">
        <f>(AD24/'Finance Only'!B27)*100</f>
        <v>8.7073007367716002</v>
      </c>
      <c r="AG24" s="253">
        <f t="shared" si="24"/>
        <v>901498</v>
      </c>
      <c r="AH24" s="253">
        <v>902442</v>
      </c>
      <c r="AI24" s="254">
        <f t="shared" si="25"/>
        <v>944</v>
      </c>
      <c r="AJ24" s="267">
        <f t="shared" si="26"/>
        <v>23</v>
      </c>
      <c r="AK24" s="268">
        <f>(AI24/'Finance Only'!B27)*100</f>
        <v>3.1614199598124579</v>
      </c>
      <c r="AL24" s="253">
        <f t="shared" si="27"/>
        <v>908300</v>
      </c>
      <c r="AM24" s="253">
        <v>908940</v>
      </c>
      <c r="AN24" s="254">
        <f t="shared" si="28"/>
        <v>640</v>
      </c>
      <c r="AO24" s="267">
        <f t="shared" si="29"/>
        <v>-40</v>
      </c>
      <c r="AP24" s="268">
        <f>(AN24/'Finance Only'!B27)*100</f>
        <v>2.1433355659745477</v>
      </c>
      <c r="AQ24" s="253">
        <f t="shared" si="30"/>
        <v>2036700</v>
      </c>
      <c r="AR24" s="253">
        <v>2038700</v>
      </c>
      <c r="AS24" s="254">
        <f t="shared" si="31"/>
        <v>2000</v>
      </c>
      <c r="AT24" s="267">
        <f t="shared" si="32"/>
        <v>300</v>
      </c>
      <c r="AU24" s="268">
        <f>(AS24/'Finance Only'!B27)*100</f>
        <v>6.697923643670463</v>
      </c>
      <c r="AV24" s="253">
        <f t="shared" si="33"/>
        <v>589554</v>
      </c>
      <c r="AW24" s="253">
        <v>590034</v>
      </c>
      <c r="AX24" s="254">
        <f t="shared" si="34"/>
        <v>480</v>
      </c>
      <c r="AY24" s="267">
        <f t="shared" si="35"/>
        <v>-10</v>
      </c>
      <c r="AZ24" s="268">
        <f>(AX24/'Finance Only'!B27)*100</f>
        <v>1.6075016744809107</v>
      </c>
      <c r="BA24" s="253">
        <f t="shared" si="36"/>
        <v>842340</v>
      </c>
      <c r="BB24" s="253">
        <v>843250</v>
      </c>
      <c r="BC24" s="254">
        <f t="shared" si="37"/>
        <v>910</v>
      </c>
      <c r="BD24" s="267">
        <f t="shared" si="38"/>
        <v>-30</v>
      </c>
      <c r="BE24" s="268">
        <f>(BC24/'Finance Only'!B27)*100</f>
        <v>3.0475552578700604</v>
      </c>
      <c r="BF24" s="253">
        <f t="shared" si="39"/>
        <v>927840</v>
      </c>
      <c r="BG24" s="253">
        <v>928760</v>
      </c>
      <c r="BH24" s="254">
        <f t="shared" si="40"/>
        <v>920</v>
      </c>
      <c r="BI24" s="267">
        <f t="shared" si="41"/>
        <v>-10</v>
      </c>
      <c r="BJ24" s="268">
        <f>(BH24/'Finance Only'!B27)*100</f>
        <v>3.0810448760884128</v>
      </c>
      <c r="BK24" s="253">
        <f t="shared" si="42"/>
        <v>1426300</v>
      </c>
      <c r="BL24" s="253">
        <v>1426900</v>
      </c>
      <c r="BM24" s="254">
        <f t="shared" si="43"/>
        <v>600</v>
      </c>
      <c r="BN24" s="267">
        <f t="shared" si="44"/>
        <v>-100</v>
      </c>
      <c r="BO24" s="268">
        <f>(BM24/'Finance Only'!B27)*100</f>
        <v>2.0093770931011385</v>
      </c>
      <c r="BP24" s="253">
        <f t="shared" si="45"/>
        <v>943170</v>
      </c>
      <c r="BQ24" s="253">
        <v>945030</v>
      </c>
      <c r="BR24" s="254">
        <f t="shared" si="46"/>
        <v>1860</v>
      </c>
      <c r="BS24" s="267">
        <f t="shared" si="47"/>
        <v>120</v>
      </c>
      <c r="BT24" s="268">
        <f>(BR24/'Finance Only'!B27)*100</f>
        <v>6.2290689886135304</v>
      </c>
      <c r="BU24" s="253">
        <f t="shared" si="48"/>
        <v>4533400</v>
      </c>
      <c r="BV24" s="253">
        <v>4538700</v>
      </c>
      <c r="BW24" s="254">
        <f t="shared" si="49"/>
        <v>5300</v>
      </c>
      <c r="BX24" s="267">
        <f t="shared" si="50"/>
        <v>600</v>
      </c>
      <c r="BY24" s="268">
        <f>(BW24/'Finance Only'!B27)*100</f>
        <v>17.749497655726724</v>
      </c>
      <c r="BZ24" s="253">
        <f t="shared" si="51"/>
        <v>739200</v>
      </c>
      <c r="CA24" s="253">
        <v>740490</v>
      </c>
      <c r="CB24" s="254">
        <f t="shared" si="52"/>
        <v>1290</v>
      </c>
      <c r="CC24" s="267">
        <f t="shared" si="53"/>
        <v>110</v>
      </c>
      <c r="CD24" s="268">
        <f>(CB24/'Finance Only'!B27)*100</f>
        <v>4.3201607501674486</v>
      </c>
      <c r="CE24" s="253">
        <f t="shared" si="54"/>
        <v>228000</v>
      </c>
      <c r="CF24" s="253">
        <v>228450</v>
      </c>
      <c r="CG24" s="254">
        <f t="shared" si="55"/>
        <v>450</v>
      </c>
      <c r="CH24" s="267">
        <f t="shared" si="56"/>
        <v>-30</v>
      </c>
      <c r="CI24" s="268">
        <f>(CG24/'Finance Only'!B27)*100</f>
        <v>1.507032819825854</v>
      </c>
      <c r="CJ24" s="254">
        <f t="shared" si="57"/>
        <v>517010</v>
      </c>
      <c r="CK24" s="254">
        <v>518520</v>
      </c>
      <c r="CL24" s="254">
        <f t="shared" si="58"/>
        <v>1510</v>
      </c>
      <c r="CM24" s="267">
        <f t="shared" si="59"/>
        <v>340</v>
      </c>
      <c r="CN24" s="268">
        <f>(CL24/'Finance Only'!B27)*100</f>
        <v>5.0569323509711985</v>
      </c>
      <c r="CO24" s="253">
        <f t="shared" si="101"/>
        <v>421000</v>
      </c>
      <c r="CP24" s="253">
        <v>422000</v>
      </c>
      <c r="CQ24" s="255">
        <f t="shared" si="100"/>
        <v>1000</v>
      </c>
      <c r="CR24" s="267">
        <f t="shared" si="60"/>
        <v>20</v>
      </c>
      <c r="CS24" s="268">
        <f>(CQ24/'Finance Only'!B27)*100</f>
        <v>3.3489618218352315</v>
      </c>
      <c r="CT24" s="253">
        <f t="shared" si="61"/>
        <v>354910</v>
      </c>
      <c r="CU24" s="253">
        <v>355890</v>
      </c>
      <c r="CV24" s="254">
        <f t="shared" si="62"/>
        <v>980</v>
      </c>
      <c r="CW24" s="267">
        <f t="shared" si="63"/>
        <v>160</v>
      </c>
      <c r="CX24" s="268">
        <f>(CV24/'Finance Only'!B27)*100</f>
        <v>3.2819825853985263</v>
      </c>
      <c r="CY24" s="253">
        <f t="shared" si="64"/>
        <v>612830</v>
      </c>
      <c r="CZ24" s="253">
        <v>614380</v>
      </c>
      <c r="DA24" s="254">
        <f t="shared" si="65"/>
        <v>1550</v>
      </c>
      <c r="DB24" s="267">
        <f t="shared" si="66"/>
        <v>290</v>
      </c>
      <c r="DC24" s="268">
        <f>(DA24/'Finance Only'!B27)*100</f>
        <v>5.1908908238446081</v>
      </c>
      <c r="DD24" s="253">
        <f t="shared" si="67"/>
        <v>462050</v>
      </c>
      <c r="DE24" s="253">
        <v>462960</v>
      </c>
      <c r="DF24" s="254">
        <f t="shared" si="68"/>
        <v>910</v>
      </c>
      <c r="DG24" s="267">
        <f t="shared" si="69"/>
        <v>40</v>
      </c>
      <c r="DH24" s="268">
        <f>(DF24/'Finance Only'!B27)*100</f>
        <v>3.0475552578700604</v>
      </c>
      <c r="DI24" s="253">
        <f t="shared" si="70"/>
        <v>420250</v>
      </c>
      <c r="DJ24" s="253">
        <v>421130</v>
      </c>
      <c r="DK24" s="254">
        <f t="shared" si="71"/>
        <v>880</v>
      </c>
      <c r="DL24" s="267">
        <f t="shared" si="72"/>
        <v>140</v>
      </c>
      <c r="DM24" s="268">
        <f>(DK24/'Finance Only'!B27)*100</f>
        <v>2.9470864032150033</v>
      </c>
      <c r="DN24" s="253">
        <f t="shared" si="73"/>
        <v>243990</v>
      </c>
      <c r="DO24" s="253">
        <v>244390</v>
      </c>
      <c r="DP24" s="254">
        <f t="shared" si="74"/>
        <v>400</v>
      </c>
      <c r="DQ24" s="267">
        <f t="shared" si="75"/>
        <v>-10</v>
      </c>
      <c r="DR24" s="268">
        <f>(DP24/'Finance Only'!B27)*100</f>
        <v>1.3395847287340925</v>
      </c>
      <c r="DS24" s="253">
        <f t="shared" si="76"/>
        <v>74190</v>
      </c>
      <c r="DT24" s="253">
        <v>74335</v>
      </c>
      <c r="DU24" s="254">
        <f t="shared" si="77"/>
        <v>145</v>
      </c>
      <c r="DV24" s="267">
        <f t="shared" si="78"/>
        <v>-8</v>
      </c>
      <c r="DW24" s="268">
        <f>(DU24/'Finance Only'!B27)*100</f>
        <v>0.4855994641661085</v>
      </c>
      <c r="DX24" s="253">
        <f t="shared" si="79"/>
        <v>478690</v>
      </c>
      <c r="DY24" s="253">
        <v>479520</v>
      </c>
      <c r="DZ24" s="254">
        <f t="shared" si="80"/>
        <v>830</v>
      </c>
      <c r="EA24" s="267">
        <f t="shared" si="81"/>
        <v>0</v>
      </c>
      <c r="EB24" s="268">
        <f>(DZ24/'Finance Only'!B27)*100</f>
        <v>2.7796383121232418</v>
      </c>
      <c r="EC24" s="253">
        <f t="shared" si="82"/>
        <v>153090</v>
      </c>
      <c r="ED24" s="253">
        <v>153370</v>
      </c>
      <c r="EE24" s="254">
        <f t="shared" si="83"/>
        <v>280</v>
      </c>
      <c r="EF24" s="267">
        <f t="shared" si="84"/>
        <v>20</v>
      </c>
      <c r="EG24" s="268">
        <f>(EE24/'Finance Only'!B27)*100</f>
        <v>0.93770931011386471</v>
      </c>
      <c r="EH24" s="253">
        <f t="shared" si="85"/>
        <v>154940</v>
      </c>
      <c r="EI24" s="253">
        <v>155350</v>
      </c>
      <c r="EJ24" s="254">
        <f t="shared" si="86"/>
        <v>410</v>
      </c>
      <c r="EK24" s="267">
        <f t="shared" si="87"/>
        <v>60</v>
      </c>
      <c r="EL24" s="268">
        <f>(EJ24/'Finance Only'!B27)*100</f>
        <v>1.3730743469524447</v>
      </c>
      <c r="EM24" s="253">
        <f t="shared" si="88"/>
        <v>283500</v>
      </c>
      <c r="EN24" s="253">
        <v>284020</v>
      </c>
      <c r="EO24" s="254">
        <f t="shared" si="89"/>
        <v>520</v>
      </c>
      <c r="EP24" s="267">
        <f t="shared" si="90"/>
        <v>0</v>
      </c>
      <c r="EQ24" s="268">
        <f>(EO24/'Finance Only'!B27)*100</f>
        <v>1.7414601473543203</v>
      </c>
      <c r="ER24" s="253">
        <f t="shared" si="91"/>
        <v>0</v>
      </c>
      <c r="ES24" s="253"/>
      <c r="ET24" s="254">
        <f t="shared" si="92"/>
        <v>0</v>
      </c>
      <c r="EU24" s="267">
        <f t="shared" si="93"/>
        <v>0</v>
      </c>
      <c r="EV24" s="268">
        <f>(ET24/'Finance Only'!B27)*100</f>
        <v>0</v>
      </c>
      <c r="EW24" s="253">
        <f t="shared" si="94"/>
        <v>100570</v>
      </c>
      <c r="EX24" s="253">
        <v>105310</v>
      </c>
      <c r="EY24" s="254">
        <f t="shared" si="95"/>
        <v>4740</v>
      </c>
      <c r="EZ24" s="267">
        <f t="shared" si="96"/>
        <v>606</v>
      </c>
      <c r="FA24" s="268">
        <f>(EY24/'Finance Only'!G27)*100</f>
        <v>8777.7777777777774</v>
      </c>
      <c r="FB24" s="253">
        <f t="shared" si="97"/>
        <v>791470</v>
      </c>
      <c r="FC24" s="253">
        <v>793980</v>
      </c>
      <c r="FD24" s="254">
        <f t="shared" si="98"/>
        <v>2510</v>
      </c>
      <c r="FE24" s="267">
        <f t="shared" si="99"/>
        <v>330</v>
      </c>
      <c r="FF24" s="268" t="e">
        <f>(FD24/'Finance Only'!M27)*100</f>
        <v>#DIV/0!</v>
      </c>
      <c r="FG24" s="319"/>
      <c r="FH24" s="325">
        <f>SUM(E24+J24)</f>
        <v>8997</v>
      </c>
      <c r="FI24" s="322"/>
      <c r="FJ24" s="325">
        <f t="shared" si="1"/>
        <v>6989</v>
      </c>
      <c r="FK24" s="322"/>
      <c r="FL24" s="325">
        <f t="shared" si="2"/>
        <v>2640</v>
      </c>
      <c r="FM24" s="322"/>
      <c r="FN24" s="325">
        <f t="shared" si="3"/>
        <v>2310</v>
      </c>
      <c r="FO24" s="322"/>
      <c r="FP24" s="325">
        <f t="shared" si="4"/>
        <v>2460</v>
      </c>
      <c r="FQ24" s="322"/>
      <c r="FR24" s="325">
        <f t="shared" si="5"/>
        <v>7250</v>
      </c>
      <c r="FS24" s="322"/>
    </row>
    <row r="25" spans="1:1084" s="3" customFormat="1" ht="13.5" customHeight="1" x14ac:dyDescent="0.2">
      <c r="A25" s="310">
        <v>21</v>
      </c>
      <c r="B25" s="313">
        <f>'Finance Only'!G28</f>
        <v>54</v>
      </c>
      <c r="C25" s="308">
        <f t="shared" si="6"/>
        <v>26138473</v>
      </c>
      <c r="D25" s="251">
        <v>26141687</v>
      </c>
      <c r="E25" s="252">
        <f t="shared" si="7"/>
        <v>3214</v>
      </c>
      <c r="F25" s="263">
        <f t="shared" si="8"/>
        <v>-37</v>
      </c>
      <c r="G25" s="264">
        <f>(E25/'Finance Only'!B28)*100</f>
        <v>10.580025018105207</v>
      </c>
      <c r="H25" s="274">
        <f t="shared" si="9"/>
        <v>23621729</v>
      </c>
      <c r="I25" s="251">
        <v>23627337</v>
      </c>
      <c r="J25" s="251">
        <f t="shared" si="10"/>
        <v>5608</v>
      </c>
      <c r="K25" s="275">
        <f t="shared" si="11"/>
        <v>-138</v>
      </c>
      <c r="L25" s="276">
        <f>(J25/'Finance Only'!B28)*100</f>
        <v>18.460728158535783</v>
      </c>
      <c r="M25" s="259">
        <f t="shared" si="12"/>
        <v>88651657</v>
      </c>
      <c r="N25" s="253">
        <v>88666210</v>
      </c>
      <c r="O25" s="254">
        <f t="shared" si="13"/>
        <v>14553</v>
      </c>
      <c r="P25" s="267">
        <f t="shared" si="14"/>
        <v>0</v>
      </c>
      <c r="Q25" s="268">
        <f>(O25/'Finance Only'!B28)*100</f>
        <v>47.906379616827962</v>
      </c>
      <c r="R25" s="258">
        <f t="shared" si="15"/>
        <v>2408300</v>
      </c>
      <c r="S25" s="253">
        <v>2410200</v>
      </c>
      <c r="T25" s="254">
        <f t="shared" si="16"/>
        <v>1900</v>
      </c>
      <c r="U25" s="267">
        <f t="shared" si="17"/>
        <v>0</v>
      </c>
      <c r="V25" s="268">
        <f>(T25/'Finance Only'!B28)*100</f>
        <v>6.2545263019290278</v>
      </c>
      <c r="W25" s="253">
        <f t="shared" si="18"/>
        <v>3301836</v>
      </c>
      <c r="X25" s="253">
        <v>3305107</v>
      </c>
      <c r="Y25" s="254">
        <f t="shared" si="19"/>
        <v>3271</v>
      </c>
      <c r="Z25" s="267">
        <f t="shared" si="20"/>
        <v>222</v>
      </c>
      <c r="AA25" s="268">
        <f>(Y25/'Finance Only'!B28)*100</f>
        <v>10.767660807163079</v>
      </c>
      <c r="AB25" s="253">
        <f t="shared" si="21"/>
        <v>2065600</v>
      </c>
      <c r="AC25" s="253">
        <v>2068200</v>
      </c>
      <c r="AD25" s="254">
        <f t="shared" si="22"/>
        <v>2600</v>
      </c>
      <c r="AE25" s="267">
        <f t="shared" si="23"/>
        <v>0</v>
      </c>
      <c r="AF25" s="268">
        <f>(AD25/'Finance Only'!B28)*100</f>
        <v>8.5588254657976162</v>
      </c>
      <c r="AG25" s="253">
        <f t="shared" si="24"/>
        <v>902442</v>
      </c>
      <c r="AH25" s="253">
        <v>903383</v>
      </c>
      <c r="AI25" s="254">
        <f t="shared" si="25"/>
        <v>941</v>
      </c>
      <c r="AJ25" s="267">
        <f t="shared" si="26"/>
        <v>-3</v>
      </c>
      <c r="AK25" s="268">
        <f>(AI25/'Finance Only'!B28)*100</f>
        <v>3.0976364474290605</v>
      </c>
      <c r="AL25" s="253">
        <f t="shared" si="27"/>
        <v>908940</v>
      </c>
      <c r="AM25" s="253">
        <v>909650</v>
      </c>
      <c r="AN25" s="254">
        <f t="shared" si="28"/>
        <v>710</v>
      </c>
      <c r="AO25" s="267">
        <f t="shared" si="29"/>
        <v>70</v>
      </c>
      <c r="AP25" s="268">
        <f>(AN25/'Finance Only'!B28)*100</f>
        <v>2.3372177233524258</v>
      </c>
      <c r="AQ25" s="253">
        <f t="shared" si="30"/>
        <v>2038700</v>
      </c>
      <c r="AR25" s="253">
        <v>2040900</v>
      </c>
      <c r="AS25" s="254">
        <f t="shared" si="31"/>
        <v>2200</v>
      </c>
      <c r="AT25" s="267">
        <f t="shared" si="32"/>
        <v>200</v>
      </c>
      <c r="AU25" s="268">
        <f>(AS25/'Finance Only'!B28)*100</f>
        <v>7.2420830864441372</v>
      </c>
      <c r="AV25" s="253">
        <f t="shared" si="33"/>
        <v>590034</v>
      </c>
      <c r="AW25" s="253">
        <v>590517</v>
      </c>
      <c r="AX25" s="254">
        <f t="shared" si="34"/>
        <v>483</v>
      </c>
      <c r="AY25" s="267">
        <f t="shared" si="35"/>
        <v>3</v>
      </c>
      <c r="AZ25" s="268">
        <f>(AX25/'Finance Only'!B28)*100</f>
        <v>1.5899664230693265</v>
      </c>
      <c r="BA25" s="253">
        <f t="shared" si="36"/>
        <v>843250</v>
      </c>
      <c r="BB25" s="253">
        <v>844150</v>
      </c>
      <c r="BC25" s="254">
        <f t="shared" si="37"/>
        <v>900</v>
      </c>
      <c r="BD25" s="267">
        <f t="shared" si="38"/>
        <v>-10</v>
      </c>
      <c r="BE25" s="268">
        <f>(BC25/'Finance Only'!B28)*100</f>
        <v>2.9626703535453291</v>
      </c>
      <c r="BF25" s="253">
        <f t="shared" si="39"/>
        <v>928760</v>
      </c>
      <c r="BG25" s="253">
        <v>929680</v>
      </c>
      <c r="BH25" s="254">
        <f t="shared" si="40"/>
        <v>920</v>
      </c>
      <c r="BI25" s="267">
        <f t="shared" si="41"/>
        <v>0</v>
      </c>
      <c r="BJ25" s="268">
        <f>(BH25/'Finance Only'!B28)*100</f>
        <v>3.0285074725130028</v>
      </c>
      <c r="BK25" s="253">
        <f t="shared" si="42"/>
        <v>1426900</v>
      </c>
      <c r="BL25" s="253">
        <v>1427600</v>
      </c>
      <c r="BM25" s="254">
        <f t="shared" si="43"/>
        <v>700</v>
      </c>
      <c r="BN25" s="267">
        <f t="shared" si="44"/>
        <v>100</v>
      </c>
      <c r="BO25" s="268">
        <f>(BM25/'Finance Only'!B28)*100</f>
        <v>2.3042991638685892</v>
      </c>
      <c r="BP25" s="253">
        <f t="shared" si="45"/>
        <v>945030</v>
      </c>
      <c r="BQ25" s="253">
        <v>946900</v>
      </c>
      <c r="BR25" s="254">
        <f t="shared" si="46"/>
        <v>1870</v>
      </c>
      <c r="BS25" s="267">
        <f t="shared" si="47"/>
        <v>10</v>
      </c>
      <c r="BT25" s="268">
        <f>(BR25/'Finance Only'!B28)*100</f>
        <v>6.1557706234775171</v>
      </c>
      <c r="BU25" s="253">
        <f t="shared" si="48"/>
        <v>4538700</v>
      </c>
      <c r="BV25" s="253">
        <v>4543300</v>
      </c>
      <c r="BW25" s="254">
        <f t="shared" si="49"/>
        <v>4600</v>
      </c>
      <c r="BX25" s="267">
        <f t="shared" si="50"/>
        <v>-700</v>
      </c>
      <c r="BY25" s="268">
        <f>(BW25/'Finance Only'!B28)*100</f>
        <v>15.142537362565015</v>
      </c>
      <c r="BZ25" s="253">
        <f t="shared" si="51"/>
        <v>740490</v>
      </c>
      <c r="CA25" s="253">
        <v>741780</v>
      </c>
      <c r="CB25" s="254">
        <f t="shared" si="52"/>
        <v>1290</v>
      </c>
      <c r="CC25" s="267">
        <f t="shared" si="53"/>
        <v>0</v>
      </c>
      <c r="CD25" s="268">
        <f>(CB25/'Finance Only'!B28)*100</f>
        <v>4.2464941734149715</v>
      </c>
      <c r="CE25" s="253">
        <f t="shared" si="54"/>
        <v>228450</v>
      </c>
      <c r="CF25" s="253">
        <v>228870</v>
      </c>
      <c r="CG25" s="254">
        <f t="shared" si="55"/>
        <v>420</v>
      </c>
      <c r="CH25" s="267">
        <f t="shared" si="56"/>
        <v>-30</v>
      </c>
      <c r="CI25" s="268">
        <f>(CG25/'Finance Only'!B28)*100</f>
        <v>1.3825794983211535</v>
      </c>
      <c r="CJ25" s="254">
        <f t="shared" si="57"/>
        <v>518520</v>
      </c>
      <c r="CK25" s="254">
        <v>519870</v>
      </c>
      <c r="CL25" s="254">
        <f t="shared" si="58"/>
        <v>1350</v>
      </c>
      <c r="CM25" s="267">
        <f t="shared" si="59"/>
        <v>-160</v>
      </c>
      <c r="CN25" s="268">
        <f>(CL25/'Finance Only'!B28)*100</f>
        <v>4.4440055303179928</v>
      </c>
      <c r="CO25" s="253">
        <f t="shared" si="101"/>
        <v>422000</v>
      </c>
      <c r="CP25" s="253">
        <v>423080</v>
      </c>
      <c r="CQ25" s="255">
        <f t="shared" si="100"/>
        <v>1080</v>
      </c>
      <c r="CR25" s="267">
        <f t="shared" si="60"/>
        <v>80</v>
      </c>
      <c r="CS25" s="268">
        <f>(CQ25/'Finance Only'!B28)*100</f>
        <v>3.555204424254395</v>
      </c>
      <c r="CT25" s="253">
        <f t="shared" si="61"/>
        <v>355890</v>
      </c>
      <c r="CU25" s="253">
        <v>356890</v>
      </c>
      <c r="CV25" s="254">
        <f t="shared" si="62"/>
        <v>1000</v>
      </c>
      <c r="CW25" s="267">
        <f t="shared" si="63"/>
        <v>20</v>
      </c>
      <c r="CX25" s="268">
        <f>(CV25/'Finance Only'!B28)*100</f>
        <v>3.2918559483836987</v>
      </c>
      <c r="CY25" s="253">
        <f t="shared" si="64"/>
        <v>614380</v>
      </c>
      <c r="CZ25" s="253">
        <v>615690</v>
      </c>
      <c r="DA25" s="254">
        <f t="shared" si="65"/>
        <v>1310</v>
      </c>
      <c r="DB25" s="267">
        <f t="shared" si="66"/>
        <v>-240</v>
      </c>
      <c r="DC25" s="268">
        <f>(DA25/'Finance Only'!B28)*100</f>
        <v>4.3123312923826456</v>
      </c>
      <c r="DD25" s="253">
        <f t="shared" si="67"/>
        <v>462960</v>
      </c>
      <c r="DE25" s="253">
        <v>463820</v>
      </c>
      <c r="DF25" s="254">
        <f t="shared" si="68"/>
        <v>860</v>
      </c>
      <c r="DG25" s="267">
        <f t="shared" si="69"/>
        <v>-50</v>
      </c>
      <c r="DH25" s="268">
        <f>(DF25/'Finance Only'!B28)*100</f>
        <v>2.830996115609981</v>
      </c>
      <c r="DI25" s="253">
        <f t="shared" si="70"/>
        <v>421130</v>
      </c>
      <c r="DJ25" s="253">
        <v>421920</v>
      </c>
      <c r="DK25" s="254">
        <f t="shared" si="71"/>
        <v>790</v>
      </c>
      <c r="DL25" s="267">
        <f t="shared" si="72"/>
        <v>-90</v>
      </c>
      <c r="DM25" s="268">
        <f>(DK25/'Finance Only'!B28)*100</f>
        <v>2.6005661992231222</v>
      </c>
      <c r="DN25" s="253">
        <f t="shared" si="73"/>
        <v>244390</v>
      </c>
      <c r="DO25" s="253">
        <v>244790</v>
      </c>
      <c r="DP25" s="254">
        <f t="shared" si="74"/>
        <v>400</v>
      </c>
      <c r="DQ25" s="267">
        <f t="shared" si="75"/>
        <v>0</v>
      </c>
      <c r="DR25" s="268">
        <f>(DP25/'Finance Only'!B28)*100</f>
        <v>1.3167423793534794</v>
      </c>
      <c r="DS25" s="253">
        <f t="shared" si="76"/>
        <v>74335</v>
      </c>
      <c r="DT25" s="253">
        <v>74475</v>
      </c>
      <c r="DU25" s="254">
        <f t="shared" si="77"/>
        <v>140</v>
      </c>
      <c r="DV25" s="267">
        <f t="shared" si="78"/>
        <v>-5</v>
      </c>
      <c r="DW25" s="268">
        <f>(DU25/'Finance Only'!B28)*100</f>
        <v>0.46085983277371778</v>
      </c>
      <c r="DX25" s="253">
        <f t="shared" si="79"/>
        <v>479520</v>
      </c>
      <c r="DY25" s="253">
        <v>480340</v>
      </c>
      <c r="DZ25" s="254">
        <f t="shared" si="80"/>
        <v>820</v>
      </c>
      <c r="EA25" s="267">
        <f t="shared" si="81"/>
        <v>-10</v>
      </c>
      <c r="EB25" s="268">
        <f>(DZ25/'Finance Only'!B28)*100</f>
        <v>2.6993218776746328</v>
      </c>
      <c r="EC25" s="253">
        <f t="shared" si="82"/>
        <v>153370</v>
      </c>
      <c r="ED25" s="253">
        <v>153640</v>
      </c>
      <c r="EE25" s="254">
        <f t="shared" si="83"/>
        <v>270</v>
      </c>
      <c r="EF25" s="267">
        <f t="shared" si="84"/>
        <v>-10</v>
      </c>
      <c r="EG25" s="268">
        <f>(EE25/'Finance Only'!B28)*100</f>
        <v>0.88880110606359874</v>
      </c>
      <c r="EH25" s="253">
        <f t="shared" si="85"/>
        <v>155350</v>
      </c>
      <c r="EI25" s="253">
        <v>155710</v>
      </c>
      <c r="EJ25" s="254">
        <f t="shared" si="86"/>
        <v>360</v>
      </c>
      <c r="EK25" s="267">
        <f t="shared" si="87"/>
        <v>-50</v>
      </c>
      <c r="EL25" s="268">
        <f>(EJ25/'Finance Only'!B28)*100</f>
        <v>1.1850681414181317</v>
      </c>
      <c r="EM25" s="253">
        <f t="shared" si="88"/>
        <v>284020</v>
      </c>
      <c r="EN25" s="253">
        <v>284540</v>
      </c>
      <c r="EO25" s="254">
        <f t="shared" si="89"/>
        <v>520</v>
      </c>
      <c r="EP25" s="267">
        <f t="shared" si="90"/>
        <v>0</v>
      </c>
      <c r="EQ25" s="268">
        <f>(EO25/'Finance Only'!B28)*100</f>
        <v>1.7117650931595234</v>
      </c>
      <c r="ER25" s="253">
        <f t="shared" si="91"/>
        <v>0</v>
      </c>
      <c r="ES25" s="253"/>
      <c r="ET25" s="254">
        <f t="shared" si="92"/>
        <v>0</v>
      </c>
      <c r="EU25" s="267">
        <f t="shared" si="93"/>
        <v>0</v>
      </c>
      <c r="EV25" s="268">
        <f>(ET25/'Finance Only'!B28)*100</f>
        <v>0</v>
      </c>
      <c r="EW25" s="253">
        <f t="shared" si="94"/>
        <v>105310</v>
      </c>
      <c r="EX25" s="253">
        <v>109520</v>
      </c>
      <c r="EY25" s="254">
        <f t="shared" si="95"/>
        <v>4210</v>
      </c>
      <c r="EZ25" s="267">
        <f t="shared" si="96"/>
        <v>-530</v>
      </c>
      <c r="FA25" s="268">
        <f>(EY25/'Finance Only'!G28)*100</f>
        <v>7796.2962962962965</v>
      </c>
      <c r="FB25" s="253">
        <f t="shared" si="97"/>
        <v>793980</v>
      </c>
      <c r="FC25" s="253">
        <v>796270</v>
      </c>
      <c r="FD25" s="254">
        <f t="shared" si="98"/>
        <v>2290</v>
      </c>
      <c r="FE25" s="267">
        <f t="shared" si="99"/>
        <v>-220</v>
      </c>
      <c r="FF25" s="268" t="e">
        <f>(FD25/'Finance Only'!M28)*100</f>
        <v>#DIV/0!</v>
      </c>
      <c r="FG25" s="319"/>
      <c r="FH25" s="325">
        <f t="shared" si="0"/>
        <v>8822</v>
      </c>
      <c r="FI25" s="322"/>
      <c r="FJ25" s="325">
        <f t="shared" si="1"/>
        <v>7141</v>
      </c>
      <c r="FK25" s="322"/>
      <c r="FL25" s="325">
        <f t="shared" si="2"/>
        <v>2910</v>
      </c>
      <c r="FM25" s="322"/>
      <c r="FN25" s="325">
        <f t="shared" si="3"/>
        <v>2303</v>
      </c>
      <c r="FO25" s="322"/>
      <c r="FP25" s="325">
        <f t="shared" si="4"/>
        <v>2570</v>
      </c>
      <c r="FQ25" s="322"/>
      <c r="FR25" s="325">
        <f t="shared" si="5"/>
        <v>6500</v>
      </c>
      <c r="FS25" s="322"/>
    </row>
    <row r="26" spans="1:1084" s="3" customFormat="1" ht="13.5" customHeight="1" x14ac:dyDescent="0.2">
      <c r="A26" s="310">
        <v>22</v>
      </c>
      <c r="B26" s="313">
        <f>'Finance Only'!G29</f>
        <v>54</v>
      </c>
      <c r="C26" s="308">
        <f t="shared" si="6"/>
        <v>26141687</v>
      </c>
      <c r="D26" s="251">
        <v>26144816</v>
      </c>
      <c r="E26" s="252">
        <f t="shared" si="7"/>
        <v>3129</v>
      </c>
      <c r="F26" s="263">
        <f t="shared" si="8"/>
        <v>-85</v>
      </c>
      <c r="G26" s="264">
        <f>(E26/'Finance Only'!B29)*100</f>
        <v>10.531098546042003</v>
      </c>
      <c r="H26" s="274">
        <f t="shared" si="9"/>
        <v>23627337</v>
      </c>
      <c r="I26" s="251">
        <v>23632564</v>
      </c>
      <c r="J26" s="251">
        <f t="shared" si="10"/>
        <v>5227</v>
      </c>
      <c r="K26" s="275">
        <f t="shared" si="11"/>
        <v>-381</v>
      </c>
      <c r="L26" s="276">
        <f>(J26/'Finance Only'!B29)*100</f>
        <v>17.592218632202478</v>
      </c>
      <c r="M26" s="259">
        <f t="shared" si="12"/>
        <v>88666210</v>
      </c>
      <c r="N26" s="253">
        <v>88680896</v>
      </c>
      <c r="O26" s="254">
        <f t="shared" si="13"/>
        <v>14686</v>
      </c>
      <c r="P26" s="267">
        <f t="shared" si="14"/>
        <v>133</v>
      </c>
      <c r="Q26" s="268">
        <f>(O26/'Finance Only'!B29)*100</f>
        <v>49.427840603123322</v>
      </c>
      <c r="R26" s="258">
        <f t="shared" si="15"/>
        <v>2410200</v>
      </c>
      <c r="S26" s="253">
        <v>2412100</v>
      </c>
      <c r="T26" s="254">
        <f t="shared" si="16"/>
        <v>1900</v>
      </c>
      <c r="U26" s="267">
        <f t="shared" si="17"/>
        <v>0</v>
      </c>
      <c r="V26" s="268">
        <f>(T26/'Finance Only'!B29)*100</f>
        <v>6.3947226709746907</v>
      </c>
      <c r="W26" s="253">
        <f t="shared" si="18"/>
        <v>3305107</v>
      </c>
      <c r="X26" s="253">
        <v>3308257</v>
      </c>
      <c r="Y26" s="254">
        <f t="shared" si="19"/>
        <v>3150</v>
      </c>
      <c r="Z26" s="267">
        <f t="shared" si="20"/>
        <v>-121</v>
      </c>
      <c r="AA26" s="268">
        <f>(Y26/'Finance Only'!B29)*100</f>
        <v>10.601777059773829</v>
      </c>
      <c r="AB26" s="253">
        <f t="shared" si="21"/>
        <v>2068200</v>
      </c>
      <c r="AC26" s="253">
        <v>2070800</v>
      </c>
      <c r="AD26" s="254">
        <f t="shared" si="22"/>
        <v>2600</v>
      </c>
      <c r="AE26" s="267">
        <f t="shared" si="23"/>
        <v>0</v>
      </c>
      <c r="AF26" s="268">
        <f>(AD26/'Finance Only'!B29)*100</f>
        <v>8.750673128702207</v>
      </c>
      <c r="AG26" s="253">
        <f t="shared" si="24"/>
        <v>903383</v>
      </c>
      <c r="AH26" s="253">
        <v>904344</v>
      </c>
      <c r="AI26" s="254">
        <f t="shared" si="25"/>
        <v>961</v>
      </c>
      <c r="AJ26" s="267">
        <f t="shared" si="26"/>
        <v>20</v>
      </c>
      <c r="AK26" s="268">
        <f>(AI26/'Finance Only'!B29)*100</f>
        <v>3.2343834141087777</v>
      </c>
      <c r="AL26" s="253">
        <f t="shared" si="27"/>
        <v>909650</v>
      </c>
      <c r="AM26" s="253">
        <v>910360</v>
      </c>
      <c r="AN26" s="254">
        <f t="shared" si="28"/>
        <v>710</v>
      </c>
      <c r="AO26" s="267">
        <f t="shared" si="29"/>
        <v>0</v>
      </c>
      <c r="AP26" s="268">
        <f>(AN26/'Finance Only'!B29)*100</f>
        <v>2.3896068928379104</v>
      </c>
      <c r="AQ26" s="253">
        <f t="shared" si="30"/>
        <v>2040900</v>
      </c>
      <c r="AR26" s="253">
        <v>2043200</v>
      </c>
      <c r="AS26" s="254">
        <f t="shared" si="31"/>
        <v>2300</v>
      </c>
      <c r="AT26" s="267">
        <f t="shared" si="32"/>
        <v>100</v>
      </c>
      <c r="AU26" s="268">
        <f>(AS26/'Finance Only'!B29)*100</f>
        <v>7.7409800753904152</v>
      </c>
      <c r="AV26" s="253">
        <f t="shared" si="33"/>
        <v>590517</v>
      </c>
      <c r="AW26" s="253">
        <v>590956</v>
      </c>
      <c r="AX26" s="254">
        <f t="shared" si="34"/>
        <v>439</v>
      </c>
      <c r="AY26" s="267">
        <f t="shared" si="35"/>
        <v>-44</v>
      </c>
      <c r="AZ26" s="268">
        <f>(AX26/'Finance Only'!B29)*100</f>
        <v>1.4775175013462574</v>
      </c>
      <c r="BA26" s="253">
        <f t="shared" si="36"/>
        <v>844150</v>
      </c>
      <c r="BB26" s="253">
        <v>845100</v>
      </c>
      <c r="BC26" s="254">
        <f t="shared" si="37"/>
        <v>950</v>
      </c>
      <c r="BD26" s="267">
        <f t="shared" si="38"/>
        <v>50</v>
      </c>
      <c r="BE26" s="268">
        <f>(BC26/'Finance Only'!B29)*100</f>
        <v>3.1973613354873454</v>
      </c>
      <c r="BF26" s="253">
        <f t="shared" si="39"/>
        <v>929680</v>
      </c>
      <c r="BG26" s="253">
        <v>930650</v>
      </c>
      <c r="BH26" s="254">
        <f t="shared" si="40"/>
        <v>970</v>
      </c>
      <c r="BI26" s="267">
        <f t="shared" si="41"/>
        <v>50</v>
      </c>
      <c r="BJ26" s="268">
        <f>(BH26/'Finance Only'!B29)*100</f>
        <v>3.2646742057081313</v>
      </c>
      <c r="BK26" s="253">
        <f t="shared" si="42"/>
        <v>1427600</v>
      </c>
      <c r="BL26" s="253">
        <v>1428200</v>
      </c>
      <c r="BM26" s="254">
        <f t="shared" si="43"/>
        <v>600</v>
      </c>
      <c r="BN26" s="267">
        <f t="shared" si="44"/>
        <v>-100</v>
      </c>
      <c r="BO26" s="268">
        <f>(BM26/'Finance Only'!B29)*100</f>
        <v>2.0193861066235863</v>
      </c>
      <c r="BP26" s="253">
        <f t="shared" si="45"/>
        <v>946900</v>
      </c>
      <c r="BQ26" s="253">
        <v>948790</v>
      </c>
      <c r="BR26" s="254">
        <f t="shared" si="46"/>
        <v>1890</v>
      </c>
      <c r="BS26" s="267">
        <f t="shared" si="47"/>
        <v>20</v>
      </c>
      <c r="BT26" s="268">
        <f>(BR26/'Finance Only'!B29)*100</f>
        <v>6.3610662358642971</v>
      </c>
      <c r="BU26" s="253">
        <f t="shared" si="48"/>
        <v>4543300</v>
      </c>
      <c r="BV26" s="253">
        <v>4548100</v>
      </c>
      <c r="BW26" s="254">
        <f t="shared" si="49"/>
        <v>4800</v>
      </c>
      <c r="BX26" s="267">
        <f t="shared" si="50"/>
        <v>200</v>
      </c>
      <c r="BY26" s="268">
        <f>(BW26/'Finance Only'!B29)*100</f>
        <v>16.15508885298869</v>
      </c>
      <c r="BZ26" s="253">
        <f t="shared" si="51"/>
        <v>741780</v>
      </c>
      <c r="CA26" s="253">
        <v>743040</v>
      </c>
      <c r="CB26" s="254">
        <f t="shared" si="52"/>
        <v>1260</v>
      </c>
      <c r="CC26" s="267">
        <f t="shared" si="53"/>
        <v>-30</v>
      </c>
      <c r="CD26" s="268">
        <f>(CB26/'Finance Only'!B29)*100</f>
        <v>4.2407108239095308</v>
      </c>
      <c r="CE26" s="253">
        <f t="shared" si="54"/>
        <v>228870</v>
      </c>
      <c r="CF26" s="253">
        <v>229310</v>
      </c>
      <c r="CG26" s="254">
        <f t="shared" si="55"/>
        <v>440</v>
      </c>
      <c r="CH26" s="267">
        <f t="shared" si="56"/>
        <v>20</v>
      </c>
      <c r="CI26" s="268">
        <f>(CG26/'Finance Only'!B29)*100</f>
        <v>1.4808831448572968</v>
      </c>
      <c r="CJ26" s="254">
        <f t="shared" si="57"/>
        <v>519870</v>
      </c>
      <c r="CK26" s="254">
        <v>521220</v>
      </c>
      <c r="CL26" s="254">
        <f t="shared" si="58"/>
        <v>1350</v>
      </c>
      <c r="CM26" s="267">
        <f t="shared" si="59"/>
        <v>0</v>
      </c>
      <c r="CN26" s="268">
        <f>(CL26/'Finance Only'!B29)*100</f>
        <v>4.543618739903069</v>
      </c>
      <c r="CO26" s="253">
        <f t="shared" si="101"/>
        <v>423080</v>
      </c>
      <c r="CP26" s="253">
        <v>424120</v>
      </c>
      <c r="CQ26" s="255">
        <f t="shared" si="100"/>
        <v>1040</v>
      </c>
      <c r="CR26" s="267">
        <f t="shared" si="60"/>
        <v>-40</v>
      </c>
      <c r="CS26" s="268">
        <f>(CQ26/'Finance Only'!B29)*100</f>
        <v>3.5002692514808831</v>
      </c>
      <c r="CT26" s="253">
        <f t="shared" si="61"/>
        <v>356890</v>
      </c>
      <c r="CU26" s="253">
        <v>357710</v>
      </c>
      <c r="CV26" s="254">
        <f t="shared" si="62"/>
        <v>820</v>
      </c>
      <c r="CW26" s="267">
        <f t="shared" si="63"/>
        <v>-180</v>
      </c>
      <c r="CX26" s="268">
        <f>(CV26/'Finance Only'!B29)*100</f>
        <v>2.7598276790522345</v>
      </c>
      <c r="CY26" s="253">
        <f t="shared" si="64"/>
        <v>615690</v>
      </c>
      <c r="CZ26" s="253">
        <v>616880</v>
      </c>
      <c r="DA26" s="254">
        <f t="shared" si="65"/>
        <v>1190</v>
      </c>
      <c r="DB26" s="267">
        <f t="shared" si="66"/>
        <v>-120</v>
      </c>
      <c r="DC26" s="268">
        <f>(DA26/'Finance Only'!B29)*100</f>
        <v>4.0051157781367799</v>
      </c>
      <c r="DD26" s="253">
        <f t="shared" si="67"/>
        <v>463820</v>
      </c>
      <c r="DE26" s="253">
        <v>464610</v>
      </c>
      <c r="DF26" s="254">
        <f t="shared" si="68"/>
        <v>790</v>
      </c>
      <c r="DG26" s="267">
        <f t="shared" si="69"/>
        <v>-70</v>
      </c>
      <c r="DH26" s="268">
        <f>(DF26/'Finance Only'!B29)*100</f>
        <v>2.6588583737210554</v>
      </c>
      <c r="DI26" s="253">
        <f t="shared" si="70"/>
        <v>421920</v>
      </c>
      <c r="DJ26" s="253">
        <v>422640</v>
      </c>
      <c r="DK26" s="254">
        <f t="shared" si="71"/>
        <v>720</v>
      </c>
      <c r="DL26" s="267">
        <f t="shared" si="72"/>
        <v>-70</v>
      </c>
      <c r="DM26" s="268">
        <f>(DK26/'Finance Only'!B29)*100</f>
        <v>2.4232633279483036</v>
      </c>
      <c r="DN26" s="253">
        <f t="shared" si="73"/>
        <v>244790</v>
      </c>
      <c r="DO26" s="253">
        <v>245180</v>
      </c>
      <c r="DP26" s="254">
        <f t="shared" si="74"/>
        <v>390</v>
      </c>
      <c r="DQ26" s="267">
        <f t="shared" si="75"/>
        <v>-10</v>
      </c>
      <c r="DR26" s="268">
        <f>(DP26/'Finance Only'!B29)*100</f>
        <v>1.3126009693053311</v>
      </c>
      <c r="DS26" s="253">
        <f t="shared" si="76"/>
        <v>74475</v>
      </c>
      <c r="DT26" s="253">
        <v>74622</v>
      </c>
      <c r="DU26" s="254">
        <f t="shared" si="77"/>
        <v>147</v>
      </c>
      <c r="DV26" s="267">
        <f t="shared" si="78"/>
        <v>7</v>
      </c>
      <c r="DW26" s="268">
        <f>(DU26/'Finance Only'!B29)*100</f>
        <v>0.49474959612277869</v>
      </c>
      <c r="DX26" s="253">
        <f t="shared" si="79"/>
        <v>480340</v>
      </c>
      <c r="DY26" s="253">
        <v>481130</v>
      </c>
      <c r="DZ26" s="254">
        <f t="shared" si="80"/>
        <v>790</v>
      </c>
      <c r="EA26" s="267">
        <f t="shared" si="81"/>
        <v>-30</v>
      </c>
      <c r="EB26" s="268">
        <f>(DZ26/'Finance Only'!B29)*100</f>
        <v>2.6588583737210554</v>
      </c>
      <c r="EC26" s="253">
        <f t="shared" si="82"/>
        <v>153640</v>
      </c>
      <c r="ED26" s="253">
        <v>153910</v>
      </c>
      <c r="EE26" s="254">
        <f t="shared" si="83"/>
        <v>270</v>
      </c>
      <c r="EF26" s="267">
        <f t="shared" si="84"/>
        <v>0</v>
      </c>
      <c r="EG26" s="268">
        <f>(EE26/'Finance Only'!B29)*100</f>
        <v>0.90872374798061395</v>
      </c>
      <c r="EH26" s="253">
        <f t="shared" si="85"/>
        <v>155710</v>
      </c>
      <c r="EI26" s="253">
        <v>156080</v>
      </c>
      <c r="EJ26" s="254">
        <f t="shared" si="86"/>
        <v>370</v>
      </c>
      <c r="EK26" s="267">
        <f t="shared" si="87"/>
        <v>10</v>
      </c>
      <c r="EL26" s="268">
        <f>(EJ26/'Finance Only'!B29)*100</f>
        <v>1.245288099084545</v>
      </c>
      <c r="EM26" s="253">
        <f t="shared" si="88"/>
        <v>284540</v>
      </c>
      <c r="EN26" s="253">
        <v>285060</v>
      </c>
      <c r="EO26" s="254">
        <f t="shared" si="89"/>
        <v>520</v>
      </c>
      <c r="EP26" s="267">
        <f t="shared" si="90"/>
        <v>0</v>
      </c>
      <c r="EQ26" s="268">
        <f>(EO26/'Finance Only'!B29)*100</f>
        <v>1.7501346257404415</v>
      </c>
      <c r="ER26" s="253">
        <f t="shared" si="91"/>
        <v>0</v>
      </c>
      <c r="ES26" s="253"/>
      <c r="ET26" s="254">
        <f t="shared" si="92"/>
        <v>0</v>
      </c>
      <c r="EU26" s="267">
        <f t="shared" si="93"/>
        <v>0</v>
      </c>
      <c r="EV26" s="268">
        <f>(ET26/'Finance Only'!B29)*100</f>
        <v>0</v>
      </c>
      <c r="EW26" s="253">
        <f t="shared" si="94"/>
        <v>109520</v>
      </c>
      <c r="EX26" s="253">
        <v>113090</v>
      </c>
      <c r="EY26" s="254">
        <f t="shared" si="95"/>
        <v>3570</v>
      </c>
      <c r="EZ26" s="267">
        <f t="shared" si="96"/>
        <v>-640</v>
      </c>
      <c r="FA26" s="268">
        <f>(EY26/'Finance Only'!G29)*100</f>
        <v>6611.1111111111113</v>
      </c>
      <c r="FB26" s="253">
        <f t="shared" si="97"/>
        <v>796270</v>
      </c>
      <c r="FC26" s="253">
        <v>798050</v>
      </c>
      <c r="FD26" s="254">
        <f t="shared" si="98"/>
        <v>1780</v>
      </c>
      <c r="FE26" s="267">
        <f t="shared" si="99"/>
        <v>-510</v>
      </c>
      <c r="FF26" s="268" t="e">
        <f>(FD26/'Finance Only'!M29)*100</f>
        <v>#DIV/0!</v>
      </c>
      <c r="FG26" s="319"/>
      <c r="FH26" s="325">
        <f t="shared" si="0"/>
        <v>8356</v>
      </c>
      <c r="FI26" s="322"/>
      <c r="FJ26" s="325">
        <f t="shared" si="1"/>
        <v>7000</v>
      </c>
      <c r="FK26" s="322"/>
      <c r="FL26" s="325">
        <f t="shared" si="2"/>
        <v>3010</v>
      </c>
      <c r="FM26" s="322"/>
      <c r="FN26" s="325">
        <f t="shared" si="3"/>
        <v>2359</v>
      </c>
      <c r="FO26" s="322"/>
      <c r="FP26" s="325">
        <f t="shared" si="4"/>
        <v>2490</v>
      </c>
      <c r="FQ26" s="322"/>
      <c r="FR26" s="325">
        <f t="shared" si="5"/>
        <v>5350</v>
      </c>
      <c r="FS26" s="322"/>
    </row>
    <row r="27" spans="1:1084" s="3" customFormat="1" ht="13.5" customHeight="1" x14ac:dyDescent="0.2">
      <c r="A27" s="310">
        <v>23</v>
      </c>
      <c r="B27" s="313">
        <f>'Finance Only'!G30</f>
        <v>60</v>
      </c>
      <c r="C27" s="308">
        <f t="shared" si="6"/>
        <v>26144816</v>
      </c>
      <c r="D27" s="251">
        <v>26148030</v>
      </c>
      <c r="E27" s="252">
        <f t="shared" si="7"/>
        <v>3214</v>
      </c>
      <c r="F27" s="263">
        <f t="shared" si="8"/>
        <v>85</v>
      </c>
      <c r="G27" s="264">
        <f>(E27/'Finance Only'!B30)*100</f>
        <v>10.71797779037583</v>
      </c>
      <c r="H27" s="274">
        <f t="shared" si="9"/>
        <v>23632564</v>
      </c>
      <c r="I27" s="251">
        <v>23637954</v>
      </c>
      <c r="J27" s="251">
        <f t="shared" si="10"/>
        <v>5390</v>
      </c>
      <c r="K27" s="275">
        <f t="shared" si="11"/>
        <v>163</v>
      </c>
      <c r="L27" s="276">
        <f>(J27/'Finance Only'!B30)*100</f>
        <v>17.97445559742555</v>
      </c>
      <c r="M27" s="259">
        <f t="shared" si="12"/>
        <v>88680896</v>
      </c>
      <c r="N27" s="253">
        <v>88695669</v>
      </c>
      <c r="O27" s="254">
        <f t="shared" si="13"/>
        <v>14773</v>
      </c>
      <c r="P27" s="267">
        <f t="shared" si="14"/>
        <v>87</v>
      </c>
      <c r="Q27" s="268">
        <f>(O27/'Finance Only'!B30)*100</f>
        <v>49.2646813619235</v>
      </c>
      <c r="R27" s="258">
        <f t="shared" si="15"/>
        <v>2412100</v>
      </c>
      <c r="S27" s="253">
        <v>2414100</v>
      </c>
      <c r="T27" s="254">
        <f t="shared" si="16"/>
        <v>2000</v>
      </c>
      <c r="U27" s="267">
        <f t="shared" si="17"/>
        <v>100</v>
      </c>
      <c r="V27" s="268">
        <f>(T27/'Finance Only'!B30)*100</f>
        <v>6.6695568079501113</v>
      </c>
      <c r="W27" s="253">
        <f t="shared" si="18"/>
        <v>3308257</v>
      </c>
      <c r="X27" s="253">
        <v>3311385</v>
      </c>
      <c r="Y27" s="254">
        <f t="shared" si="19"/>
        <v>3128</v>
      </c>
      <c r="Z27" s="267">
        <f t="shared" si="20"/>
        <v>-22</v>
      </c>
      <c r="AA27" s="268">
        <f>(Y27/'Finance Only'!B30)*100</f>
        <v>10.431186847633974</v>
      </c>
      <c r="AB27" s="253">
        <f t="shared" si="21"/>
        <v>2070800</v>
      </c>
      <c r="AC27" s="253">
        <v>2073600</v>
      </c>
      <c r="AD27" s="254">
        <f t="shared" si="22"/>
        <v>2800</v>
      </c>
      <c r="AE27" s="267">
        <f t="shared" si="23"/>
        <v>200</v>
      </c>
      <c r="AF27" s="268">
        <f>(AD27/'Finance Only'!B30)*100</f>
        <v>9.3373795311301571</v>
      </c>
      <c r="AG27" s="253">
        <f t="shared" si="24"/>
        <v>904344</v>
      </c>
      <c r="AH27" s="253">
        <v>905301</v>
      </c>
      <c r="AI27" s="254">
        <f t="shared" si="25"/>
        <v>957</v>
      </c>
      <c r="AJ27" s="267">
        <f t="shared" si="26"/>
        <v>-4</v>
      </c>
      <c r="AK27" s="268">
        <f>(AI27/'Finance Only'!B30)*100</f>
        <v>3.1913829326041281</v>
      </c>
      <c r="AL27" s="253">
        <f t="shared" si="27"/>
        <v>910360</v>
      </c>
      <c r="AM27" s="253">
        <v>910960</v>
      </c>
      <c r="AN27" s="254">
        <f t="shared" si="28"/>
        <v>600</v>
      </c>
      <c r="AO27" s="267">
        <f t="shared" si="29"/>
        <v>-110</v>
      </c>
      <c r="AP27" s="268">
        <f>(AN27/'Finance Only'!B30)*100</f>
        <v>2.0008670423850337</v>
      </c>
      <c r="AQ27" s="253">
        <f t="shared" si="30"/>
        <v>2043200</v>
      </c>
      <c r="AR27" s="253">
        <v>2045400</v>
      </c>
      <c r="AS27" s="254">
        <f t="shared" si="31"/>
        <v>2200</v>
      </c>
      <c r="AT27" s="267">
        <f t="shared" si="32"/>
        <v>-100</v>
      </c>
      <c r="AU27" s="268">
        <f>(AS27/'Finance Only'!B30)*100</f>
        <v>7.3365124887451225</v>
      </c>
      <c r="AV27" s="253">
        <f t="shared" si="33"/>
        <v>590956</v>
      </c>
      <c r="AW27" s="253">
        <v>591424</v>
      </c>
      <c r="AX27" s="254">
        <f t="shared" si="34"/>
        <v>468</v>
      </c>
      <c r="AY27" s="267">
        <f t="shared" si="35"/>
        <v>29</v>
      </c>
      <c r="AZ27" s="268">
        <f>(AX27/'Finance Only'!B30)*100</f>
        <v>1.5606762930603262</v>
      </c>
      <c r="BA27" s="253">
        <f t="shared" si="36"/>
        <v>845100</v>
      </c>
      <c r="BB27" s="253">
        <v>846020</v>
      </c>
      <c r="BC27" s="254">
        <f t="shared" si="37"/>
        <v>920</v>
      </c>
      <c r="BD27" s="267">
        <f t="shared" si="38"/>
        <v>-30</v>
      </c>
      <c r="BE27" s="268">
        <f>(BC27/'Finance Only'!B30)*100</f>
        <v>3.0679961316570514</v>
      </c>
      <c r="BF27" s="253">
        <f t="shared" si="39"/>
        <v>930650</v>
      </c>
      <c r="BG27" s="253">
        <v>931570</v>
      </c>
      <c r="BH27" s="254">
        <f t="shared" si="40"/>
        <v>920</v>
      </c>
      <c r="BI27" s="267">
        <f t="shared" si="41"/>
        <v>-50</v>
      </c>
      <c r="BJ27" s="268">
        <f>(BH27/'Finance Only'!B30)*100</f>
        <v>3.0679961316570514</v>
      </c>
      <c r="BK27" s="253">
        <f t="shared" si="42"/>
        <v>1428200</v>
      </c>
      <c r="BL27" s="253">
        <v>1428800</v>
      </c>
      <c r="BM27" s="254">
        <f t="shared" si="43"/>
        <v>600</v>
      </c>
      <c r="BN27" s="267">
        <f t="shared" si="44"/>
        <v>0</v>
      </c>
      <c r="BO27" s="268">
        <f>(BM27/'Finance Only'!B30)*100</f>
        <v>2.0008670423850337</v>
      </c>
      <c r="BP27" s="253">
        <f t="shared" si="45"/>
        <v>948790</v>
      </c>
      <c r="BQ27" s="253">
        <v>950500</v>
      </c>
      <c r="BR27" s="254">
        <f t="shared" si="46"/>
        <v>1710</v>
      </c>
      <c r="BS27" s="267">
        <f t="shared" si="47"/>
        <v>-180</v>
      </c>
      <c r="BT27" s="268">
        <f>(BR27/'Finance Only'!B30)*100</f>
        <v>5.7024710707973458</v>
      </c>
      <c r="BU27" s="253">
        <f t="shared" si="48"/>
        <v>4548100</v>
      </c>
      <c r="BV27" s="253">
        <v>4552700</v>
      </c>
      <c r="BW27" s="254">
        <f t="shared" si="49"/>
        <v>4600</v>
      </c>
      <c r="BX27" s="267">
        <f t="shared" si="50"/>
        <v>-200</v>
      </c>
      <c r="BY27" s="268">
        <f>(BW27/'Finance Only'!B30)*100</f>
        <v>15.339980658285256</v>
      </c>
      <c r="BZ27" s="253">
        <f t="shared" si="51"/>
        <v>743040</v>
      </c>
      <c r="CA27" s="253">
        <v>744330</v>
      </c>
      <c r="CB27" s="254">
        <f t="shared" si="52"/>
        <v>1290</v>
      </c>
      <c r="CC27" s="267">
        <f t="shared" si="53"/>
        <v>30</v>
      </c>
      <c r="CD27" s="268">
        <f>(CB27/'Finance Only'!B30)*100</f>
        <v>4.3018641411278224</v>
      </c>
      <c r="CE27" s="253">
        <f t="shared" si="54"/>
        <v>229310</v>
      </c>
      <c r="CF27" s="253">
        <v>229720</v>
      </c>
      <c r="CG27" s="254">
        <f t="shared" si="55"/>
        <v>410</v>
      </c>
      <c r="CH27" s="267">
        <f t="shared" si="56"/>
        <v>-30</v>
      </c>
      <c r="CI27" s="268">
        <f>(CG27/'Finance Only'!B30)*100</f>
        <v>1.3672591456297729</v>
      </c>
      <c r="CJ27" s="254">
        <f t="shared" si="57"/>
        <v>521220</v>
      </c>
      <c r="CK27" s="254">
        <v>522660</v>
      </c>
      <c r="CL27" s="254">
        <f t="shared" si="58"/>
        <v>1440</v>
      </c>
      <c r="CM27" s="267">
        <f t="shared" si="59"/>
        <v>90</v>
      </c>
      <c r="CN27" s="268">
        <f>(CL27/'Finance Only'!B30)*100</f>
        <v>4.8020809017240804</v>
      </c>
      <c r="CO27" s="253">
        <f t="shared" si="101"/>
        <v>424120</v>
      </c>
      <c r="CP27" s="253">
        <v>425080</v>
      </c>
      <c r="CQ27" s="255">
        <f t="shared" si="100"/>
        <v>960</v>
      </c>
      <c r="CR27" s="267">
        <f t="shared" si="60"/>
        <v>-80</v>
      </c>
      <c r="CS27" s="268">
        <f>(CQ27/'Finance Only'!B30)*100</f>
        <v>3.2013872678160533</v>
      </c>
      <c r="CT27" s="253">
        <f t="shared" si="61"/>
        <v>357710</v>
      </c>
      <c r="CU27" s="253">
        <v>358520</v>
      </c>
      <c r="CV27" s="254">
        <f t="shared" si="62"/>
        <v>810</v>
      </c>
      <c r="CW27" s="267">
        <f t="shared" si="63"/>
        <v>-10</v>
      </c>
      <c r="CX27" s="268">
        <f>(CV27/'Finance Only'!B30)*100</f>
        <v>2.7011705072197953</v>
      </c>
      <c r="CY27" s="253">
        <f t="shared" si="64"/>
        <v>616880</v>
      </c>
      <c r="CZ27" s="253">
        <v>618190</v>
      </c>
      <c r="DA27" s="254">
        <f t="shared" si="65"/>
        <v>1310</v>
      </c>
      <c r="DB27" s="267">
        <f t="shared" si="66"/>
        <v>120</v>
      </c>
      <c r="DC27" s="268">
        <f>(DA27/'Finance Only'!B30)*100</f>
        <v>4.3685597092073234</v>
      </c>
      <c r="DD27" s="253">
        <f t="shared" si="67"/>
        <v>464610</v>
      </c>
      <c r="DE27" s="253">
        <v>465610</v>
      </c>
      <c r="DF27" s="254">
        <f t="shared" si="68"/>
        <v>1000</v>
      </c>
      <c r="DG27" s="267">
        <f t="shared" si="69"/>
        <v>210</v>
      </c>
      <c r="DH27" s="268">
        <f>(DF27/'Finance Only'!B30)*100</f>
        <v>3.3347784039750556</v>
      </c>
      <c r="DI27" s="253">
        <f t="shared" si="70"/>
        <v>422640</v>
      </c>
      <c r="DJ27" s="253">
        <v>423530</v>
      </c>
      <c r="DK27" s="254">
        <f t="shared" si="71"/>
        <v>890</v>
      </c>
      <c r="DL27" s="267">
        <f t="shared" si="72"/>
        <v>170</v>
      </c>
      <c r="DM27" s="268">
        <f>(DK27/'Finance Only'!B30)*100</f>
        <v>2.9679527795377996</v>
      </c>
      <c r="DN27" s="253">
        <f t="shared" si="73"/>
        <v>245180</v>
      </c>
      <c r="DO27" s="253">
        <v>245570</v>
      </c>
      <c r="DP27" s="254">
        <f t="shared" si="74"/>
        <v>390</v>
      </c>
      <c r="DQ27" s="267">
        <f t="shared" si="75"/>
        <v>0</v>
      </c>
      <c r="DR27" s="268">
        <f>(DP27/'Finance Only'!B30)*100</f>
        <v>1.3005635775502717</v>
      </c>
      <c r="DS27" s="253">
        <f t="shared" si="76"/>
        <v>74622</v>
      </c>
      <c r="DT27" s="253">
        <v>74757</v>
      </c>
      <c r="DU27" s="254">
        <f t="shared" si="77"/>
        <v>135</v>
      </c>
      <c r="DV27" s="267">
        <f t="shared" si="78"/>
        <v>-12</v>
      </c>
      <c r="DW27" s="268">
        <f>(DU27/'Finance Only'!B30)*100</f>
        <v>0.45019508453663259</v>
      </c>
      <c r="DX27" s="253">
        <f t="shared" si="79"/>
        <v>481130</v>
      </c>
      <c r="DY27" s="253">
        <v>481940</v>
      </c>
      <c r="DZ27" s="254">
        <f t="shared" si="80"/>
        <v>810</v>
      </c>
      <c r="EA27" s="267">
        <f t="shared" si="81"/>
        <v>20</v>
      </c>
      <c r="EB27" s="268">
        <f>(DZ27/'Finance Only'!B30)*100</f>
        <v>2.7011705072197953</v>
      </c>
      <c r="EC27" s="253">
        <f t="shared" si="82"/>
        <v>153910</v>
      </c>
      <c r="ED27" s="253">
        <v>154190</v>
      </c>
      <c r="EE27" s="254">
        <f t="shared" si="83"/>
        <v>280</v>
      </c>
      <c r="EF27" s="267">
        <f t="shared" si="84"/>
        <v>10</v>
      </c>
      <c r="EG27" s="268">
        <f>(EE27/'Finance Only'!B30)*100</f>
        <v>0.93373795311301566</v>
      </c>
      <c r="EH27" s="253">
        <f t="shared" si="85"/>
        <v>156080</v>
      </c>
      <c r="EI27" s="253">
        <v>156420</v>
      </c>
      <c r="EJ27" s="254">
        <f t="shared" si="86"/>
        <v>340</v>
      </c>
      <c r="EK27" s="267">
        <f t="shared" si="87"/>
        <v>-30</v>
      </c>
      <c r="EL27" s="268">
        <f>(EJ27/'Finance Only'!B30)*100</f>
        <v>1.1338246573515189</v>
      </c>
      <c r="EM27" s="253">
        <f t="shared" si="88"/>
        <v>285060</v>
      </c>
      <c r="EN27" s="253">
        <f>285060+519</f>
        <v>285579</v>
      </c>
      <c r="EO27" s="254">
        <f t="shared" si="89"/>
        <v>519</v>
      </c>
      <c r="EP27" s="267">
        <f t="shared" si="90"/>
        <v>-1</v>
      </c>
      <c r="EQ27" s="268">
        <f>(EO27/'Finance Only'!B30)*100</f>
        <v>1.730749991663054</v>
      </c>
      <c r="ER27" s="253">
        <f t="shared" si="91"/>
        <v>0</v>
      </c>
      <c r="ES27" s="253"/>
      <c r="ET27" s="254">
        <f t="shared" si="92"/>
        <v>0</v>
      </c>
      <c r="EU27" s="267">
        <f t="shared" si="93"/>
        <v>0</v>
      </c>
      <c r="EV27" s="268">
        <f>(ET27/'Finance Only'!B30)*100</f>
        <v>0</v>
      </c>
      <c r="EW27" s="253">
        <f t="shared" si="94"/>
        <v>113090</v>
      </c>
      <c r="EX27" s="253">
        <v>117370</v>
      </c>
      <c r="EY27" s="254">
        <f t="shared" si="95"/>
        <v>4280</v>
      </c>
      <c r="EZ27" s="267">
        <f t="shared" si="96"/>
        <v>710</v>
      </c>
      <c r="FA27" s="268">
        <f>(EY27/'Finance Only'!G30)*100</f>
        <v>7133.333333333333</v>
      </c>
      <c r="FB27" s="253">
        <f t="shared" si="97"/>
        <v>798050</v>
      </c>
      <c r="FC27" s="253">
        <v>801170</v>
      </c>
      <c r="FD27" s="254">
        <f t="shared" si="98"/>
        <v>3120</v>
      </c>
      <c r="FE27" s="267">
        <f t="shared" si="99"/>
        <v>1340</v>
      </c>
      <c r="FF27" s="268" t="e">
        <f>(FD27/'Finance Only'!M30)*100</f>
        <v>#DIV/0!</v>
      </c>
      <c r="FG27" s="319"/>
      <c r="FH27" s="325">
        <f t="shared" si="0"/>
        <v>8604</v>
      </c>
      <c r="FI27" s="322"/>
      <c r="FJ27" s="325">
        <f t="shared" si="1"/>
        <v>7077</v>
      </c>
      <c r="FK27" s="322"/>
      <c r="FL27" s="325">
        <f t="shared" si="2"/>
        <v>2800</v>
      </c>
      <c r="FM27" s="322"/>
      <c r="FN27" s="325">
        <f t="shared" si="3"/>
        <v>2308</v>
      </c>
      <c r="FO27" s="322"/>
      <c r="FP27" s="325">
        <f t="shared" si="4"/>
        <v>2310</v>
      </c>
      <c r="FQ27" s="322"/>
      <c r="FR27" s="325">
        <f t="shared" si="5"/>
        <v>7400</v>
      </c>
      <c r="FS27" s="322"/>
    </row>
    <row r="28" spans="1:1084" s="76" customFormat="1" ht="13.5" customHeight="1" x14ac:dyDescent="0.2">
      <c r="A28" s="310">
        <v>24</v>
      </c>
      <c r="B28" s="313">
        <f>'Finance Only'!G31</f>
        <v>67</v>
      </c>
      <c r="C28" s="308">
        <f t="shared" si="6"/>
        <v>26148030</v>
      </c>
      <c r="D28" s="251">
        <v>26151186</v>
      </c>
      <c r="E28" s="252">
        <f t="shared" si="7"/>
        <v>3156</v>
      </c>
      <c r="F28" s="263">
        <f t="shared" si="8"/>
        <v>-58</v>
      </c>
      <c r="G28" s="264">
        <f>(E28/'Finance Only'!B31)*100</f>
        <v>10.497954295978445</v>
      </c>
      <c r="H28" s="274">
        <f t="shared" si="9"/>
        <v>23637954</v>
      </c>
      <c r="I28" s="251">
        <v>23643529</v>
      </c>
      <c r="J28" s="251">
        <f t="shared" si="10"/>
        <v>5575</v>
      </c>
      <c r="K28" s="275">
        <f t="shared" si="11"/>
        <v>185</v>
      </c>
      <c r="L28" s="276">
        <f>(J28/'Finance Only'!B31)*100</f>
        <v>18.544390114093737</v>
      </c>
      <c r="M28" s="259">
        <f t="shared" si="12"/>
        <v>88695669</v>
      </c>
      <c r="N28" s="253">
        <v>88710533</v>
      </c>
      <c r="O28" s="254">
        <f t="shared" si="13"/>
        <v>14864</v>
      </c>
      <c r="P28" s="267">
        <f t="shared" si="14"/>
        <v>91</v>
      </c>
      <c r="Q28" s="268">
        <f>(O28/'Finance Only'!B31)*100</f>
        <v>49.442836709576554</v>
      </c>
      <c r="R28" s="258">
        <f t="shared" si="15"/>
        <v>2414100</v>
      </c>
      <c r="S28" s="253">
        <v>2416100</v>
      </c>
      <c r="T28" s="254">
        <f t="shared" si="16"/>
        <v>2000</v>
      </c>
      <c r="U28" s="267">
        <f t="shared" si="17"/>
        <v>0</v>
      </c>
      <c r="V28" s="268">
        <f>(T28/'Finance Only'!B31)*100</f>
        <v>6.6526960050560495</v>
      </c>
      <c r="W28" s="253">
        <f t="shared" si="18"/>
        <v>3311385</v>
      </c>
      <c r="X28" s="253">
        <v>3314494</v>
      </c>
      <c r="Y28" s="254">
        <f t="shared" si="19"/>
        <v>3109</v>
      </c>
      <c r="Z28" s="267">
        <f t="shared" si="20"/>
        <v>-19</v>
      </c>
      <c r="AA28" s="268">
        <f>(Y28/'Finance Only'!B31)*100</f>
        <v>10.341615939859627</v>
      </c>
      <c r="AB28" s="253">
        <f t="shared" si="21"/>
        <v>2073600</v>
      </c>
      <c r="AC28" s="253">
        <v>2076400</v>
      </c>
      <c r="AD28" s="254">
        <f t="shared" si="22"/>
        <v>2800</v>
      </c>
      <c r="AE28" s="267">
        <f t="shared" si="23"/>
        <v>0</v>
      </c>
      <c r="AF28" s="268">
        <f>(AD28/'Finance Only'!B31)*100</f>
        <v>9.3137744070784692</v>
      </c>
      <c r="AG28" s="253">
        <f t="shared" si="24"/>
        <v>905301</v>
      </c>
      <c r="AH28" s="253">
        <v>906277</v>
      </c>
      <c r="AI28" s="254">
        <f t="shared" si="25"/>
        <v>976</v>
      </c>
      <c r="AJ28" s="267">
        <f t="shared" si="26"/>
        <v>19</v>
      </c>
      <c r="AK28" s="268">
        <f>(AI28/'Finance Only'!B31)*100</f>
        <v>3.246515650467352</v>
      </c>
      <c r="AL28" s="253">
        <f t="shared" si="27"/>
        <v>910960</v>
      </c>
      <c r="AM28" s="253">
        <v>911740</v>
      </c>
      <c r="AN28" s="254">
        <f t="shared" si="28"/>
        <v>780</v>
      </c>
      <c r="AO28" s="267">
        <f t="shared" si="29"/>
        <v>180</v>
      </c>
      <c r="AP28" s="268">
        <f>(AN28/'Finance Only'!B31)*100</f>
        <v>2.5945514419718592</v>
      </c>
      <c r="AQ28" s="253">
        <f t="shared" si="30"/>
        <v>2045400</v>
      </c>
      <c r="AR28" s="253">
        <v>2047400</v>
      </c>
      <c r="AS28" s="254">
        <f t="shared" si="31"/>
        <v>2000</v>
      </c>
      <c r="AT28" s="267">
        <f t="shared" si="32"/>
        <v>-200</v>
      </c>
      <c r="AU28" s="268">
        <f>(AS28/'Finance Only'!B31)*100</f>
        <v>6.6526960050560495</v>
      </c>
      <c r="AV28" s="253">
        <f t="shared" si="33"/>
        <v>591424</v>
      </c>
      <c r="AW28" s="253">
        <v>591894</v>
      </c>
      <c r="AX28" s="254">
        <f t="shared" si="34"/>
        <v>470</v>
      </c>
      <c r="AY28" s="267">
        <f t="shared" si="35"/>
        <v>2</v>
      </c>
      <c r="AZ28" s="268">
        <f>(AX28/'Finance Only'!B31)*100</f>
        <v>1.5633835611881715</v>
      </c>
      <c r="BA28" s="253">
        <f t="shared" si="36"/>
        <v>846020</v>
      </c>
      <c r="BB28" s="253">
        <v>846930</v>
      </c>
      <c r="BC28" s="254">
        <f t="shared" si="37"/>
        <v>910</v>
      </c>
      <c r="BD28" s="267">
        <f t="shared" si="38"/>
        <v>-10</v>
      </c>
      <c r="BE28" s="268">
        <f>(BC28/'Finance Only'!B31)*100</f>
        <v>3.0269766823005022</v>
      </c>
      <c r="BF28" s="253">
        <f t="shared" si="39"/>
        <v>931570</v>
      </c>
      <c r="BG28" s="253">
        <v>932490</v>
      </c>
      <c r="BH28" s="254">
        <f t="shared" si="40"/>
        <v>920</v>
      </c>
      <c r="BI28" s="267">
        <f t="shared" si="41"/>
        <v>0</v>
      </c>
      <c r="BJ28" s="268">
        <f>(BH28/'Finance Only'!B31)*100</f>
        <v>3.0602401623257824</v>
      </c>
      <c r="BK28" s="253">
        <f t="shared" si="42"/>
        <v>1428800</v>
      </c>
      <c r="BL28" s="253">
        <v>1429500</v>
      </c>
      <c r="BM28" s="254">
        <f t="shared" si="43"/>
        <v>700</v>
      </c>
      <c r="BN28" s="267">
        <f t="shared" si="44"/>
        <v>100</v>
      </c>
      <c r="BO28" s="268">
        <f>(BM28/'Finance Only'!B31)*100</f>
        <v>2.3284436017696173</v>
      </c>
      <c r="BP28" s="253">
        <f t="shared" si="45"/>
        <v>950500</v>
      </c>
      <c r="BQ28" s="253">
        <v>952260</v>
      </c>
      <c r="BR28" s="254">
        <f t="shared" si="46"/>
        <v>1760</v>
      </c>
      <c r="BS28" s="267">
        <f t="shared" si="47"/>
        <v>50</v>
      </c>
      <c r="BT28" s="268">
        <f>(BR28/'Finance Only'!B31)*100</f>
        <v>5.854372484449323</v>
      </c>
      <c r="BU28" s="253">
        <f t="shared" si="48"/>
        <v>4552700</v>
      </c>
      <c r="BV28" s="253">
        <v>4558000</v>
      </c>
      <c r="BW28" s="254">
        <f t="shared" si="49"/>
        <v>5300</v>
      </c>
      <c r="BX28" s="267">
        <f t="shared" si="50"/>
        <v>700</v>
      </c>
      <c r="BY28" s="268">
        <f>(BW28/'Finance Only'!B31)*100</f>
        <v>17.62964441339853</v>
      </c>
      <c r="BZ28" s="253">
        <f t="shared" si="51"/>
        <v>744330</v>
      </c>
      <c r="CA28" s="253">
        <v>745640</v>
      </c>
      <c r="CB28" s="254">
        <f t="shared" si="52"/>
        <v>1310</v>
      </c>
      <c r="CC28" s="267">
        <f t="shared" si="53"/>
        <v>20</v>
      </c>
      <c r="CD28" s="268">
        <f>(CB28/'Finance Only'!B31)*100</f>
        <v>4.357515883311712</v>
      </c>
      <c r="CE28" s="253">
        <f t="shared" si="54"/>
        <v>229720</v>
      </c>
      <c r="CF28" s="253">
        <v>230160</v>
      </c>
      <c r="CG28" s="254">
        <f t="shared" si="55"/>
        <v>440</v>
      </c>
      <c r="CH28" s="267">
        <f t="shared" si="56"/>
        <v>30</v>
      </c>
      <c r="CI28" s="268">
        <f>(CG28/'Finance Only'!B31)*100</f>
        <v>1.4635931211123308</v>
      </c>
      <c r="CJ28" s="254">
        <f t="shared" si="57"/>
        <v>522660</v>
      </c>
      <c r="CK28" s="254">
        <v>524260</v>
      </c>
      <c r="CL28" s="254">
        <f t="shared" si="58"/>
        <v>1600</v>
      </c>
      <c r="CM28" s="267">
        <f t="shared" si="59"/>
        <v>160</v>
      </c>
      <c r="CN28" s="268">
        <f>(CL28/'Finance Only'!B31)*100</f>
        <v>5.3221568040448393</v>
      </c>
      <c r="CO28" s="253">
        <f t="shared" si="101"/>
        <v>425080</v>
      </c>
      <c r="CP28" s="253">
        <v>426070</v>
      </c>
      <c r="CQ28" s="255">
        <f t="shared" si="100"/>
        <v>990</v>
      </c>
      <c r="CR28" s="267">
        <f t="shared" si="60"/>
        <v>30</v>
      </c>
      <c r="CS28" s="268">
        <f>(CQ28/'Finance Only'!B31)*100</f>
        <v>3.2930845225027441</v>
      </c>
      <c r="CT28" s="253">
        <f t="shared" si="61"/>
        <v>358520</v>
      </c>
      <c r="CU28" s="253">
        <v>359320</v>
      </c>
      <c r="CV28" s="254">
        <f t="shared" si="62"/>
        <v>800</v>
      </c>
      <c r="CW28" s="267">
        <f t="shared" si="63"/>
        <v>-10</v>
      </c>
      <c r="CX28" s="268">
        <f>(CV28/'Finance Only'!B31)*100</f>
        <v>2.6610784020224196</v>
      </c>
      <c r="CY28" s="253">
        <f t="shared" si="64"/>
        <v>618190</v>
      </c>
      <c r="CZ28" s="253">
        <v>619500</v>
      </c>
      <c r="DA28" s="254">
        <f t="shared" si="65"/>
        <v>1310</v>
      </c>
      <c r="DB28" s="267">
        <f t="shared" si="66"/>
        <v>0</v>
      </c>
      <c r="DC28" s="268">
        <f>(DA28/'Finance Only'!B31)*100</f>
        <v>4.357515883311712</v>
      </c>
      <c r="DD28" s="253">
        <f t="shared" si="67"/>
        <v>465610</v>
      </c>
      <c r="DE28" s="253">
        <v>466600</v>
      </c>
      <c r="DF28" s="254">
        <f t="shared" si="68"/>
        <v>990</v>
      </c>
      <c r="DG28" s="267">
        <f t="shared" si="69"/>
        <v>-10</v>
      </c>
      <c r="DH28" s="268">
        <f>(DF28/'Finance Only'!B31)*100</f>
        <v>3.2930845225027441</v>
      </c>
      <c r="DI28" s="253">
        <f t="shared" si="70"/>
        <v>423530</v>
      </c>
      <c r="DJ28" s="253">
        <v>424380</v>
      </c>
      <c r="DK28" s="254">
        <f t="shared" si="71"/>
        <v>850</v>
      </c>
      <c r="DL28" s="267">
        <f t="shared" si="72"/>
        <v>-40</v>
      </c>
      <c r="DM28" s="268">
        <f>(DK28/'Finance Only'!B31)*100</f>
        <v>2.8273958021488208</v>
      </c>
      <c r="DN28" s="253">
        <f t="shared" si="73"/>
        <v>245570</v>
      </c>
      <c r="DO28" s="253">
        <v>245950</v>
      </c>
      <c r="DP28" s="254">
        <f t="shared" si="74"/>
        <v>380</v>
      </c>
      <c r="DQ28" s="267">
        <f t="shared" si="75"/>
        <v>-10</v>
      </c>
      <c r="DR28" s="268">
        <f>(DP28/'Finance Only'!B31)*100</f>
        <v>1.2640122409606493</v>
      </c>
      <c r="DS28" s="253">
        <f t="shared" si="76"/>
        <v>74757</v>
      </c>
      <c r="DT28" s="253">
        <v>74897</v>
      </c>
      <c r="DU28" s="254">
        <f t="shared" si="77"/>
        <v>140</v>
      </c>
      <c r="DV28" s="267">
        <f t="shared" si="78"/>
        <v>5</v>
      </c>
      <c r="DW28" s="268">
        <f>(DU28/'Finance Only'!B31)*100</f>
        <v>0.46568872035392345</v>
      </c>
      <c r="DX28" s="253">
        <f t="shared" si="79"/>
        <v>481940</v>
      </c>
      <c r="DY28" s="253">
        <v>482680</v>
      </c>
      <c r="DZ28" s="254">
        <f t="shared" si="80"/>
        <v>740</v>
      </c>
      <c r="EA28" s="267">
        <f t="shared" si="81"/>
        <v>-70</v>
      </c>
      <c r="EB28" s="268">
        <f>(DZ28/'Finance Only'!B31)*100</f>
        <v>2.4614975218707382</v>
      </c>
      <c r="EC28" s="253">
        <f t="shared" si="82"/>
        <v>154190</v>
      </c>
      <c r="ED28" s="253">
        <v>154430</v>
      </c>
      <c r="EE28" s="254">
        <f t="shared" si="83"/>
        <v>240</v>
      </c>
      <c r="EF28" s="267">
        <f t="shared" si="84"/>
        <v>-40</v>
      </c>
      <c r="EG28" s="268">
        <f>(EE28/'Finance Only'!B31)*100</f>
        <v>0.79832352060672584</v>
      </c>
      <c r="EH28" s="253">
        <f t="shared" si="85"/>
        <v>156420</v>
      </c>
      <c r="EI28" s="253">
        <v>156700</v>
      </c>
      <c r="EJ28" s="254">
        <f t="shared" si="86"/>
        <v>280</v>
      </c>
      <c r="EK28" s="267">
        <f t="shared" si="87"/>
        <v>-60</v>
      </c>
      <c r="EL28" s="268">
        <f>(EJ28/'Finance Only'!B31)*100</f>
        <v>0.93137744070784689</v>
      </c>
      <c r="EM28" s="253">
        <f t="shared" si="88"/>
        <v>285579</v>
      </c>
      <c r="EN28" s="253">
        <v>286130</v>
      </c>
      <c r="EO28" s="254">
        <f t="shared" si="89"/>
        <v>551</v>
      </c>
      <c r="EP28" s="267">
        <f t="shared" si="90"/>
        <v>32</v>
      </c>
      <c r="EQ28" s="268">
        <f>(EO28/'Finance Only'!B31)*100</f>
        <v>1.8328177493929416</v>
      </c>
      <c r="ER28" s="253">
        <f t="shared" si="91"/>
        <v>0</v>
      </c>
      <c r="ES28" s="253"/>
      <c r="ET28" s="254">
        <f t="shared" si="92"/>
        <v>0</v>
      </c>
      <c r="EU28" s="267">
        <f t="shared" si="93"/>
        <v>0</v>
      </c>
      <c r="EV28" s="268">
        <f>(ET28/'Finance Only'!B31)*100</f>
        <v>0</v>
      </c>
      <c r="EW28" s="253">
        <f t="shared" si="94"/>
        <v>117370</v>
      </c>
      <c r="EX28" s="253">
        <v>121830</v>
      </c>
      <c r="EY28" s="254">
        <f t="shared" si="95"/>
        <v>4460</v>
      </c>
      <c r="EZ28" s="267">
        <f t="shared" si="96"/>
        <v>180</v>
      </c>
      <c r="FA28" s="268">
        <f>(EY28/'Finance Only'!G31)*100</f>
        <v>6656.7164179104484</v>
      </c>
      <c r="FB28" s="253">
        <f t="shared" si="97"/>
        <v>801170</v>
      </c>
      <c r="FC28" s="253">
        <v>802550</v>
      </c>
      <c r="FD28" s="254">
        <f t="shared" si="98"/>
        <v>1380</v>
      </c>
      <c r="FE28" s="267">
        <f t="shared" si="99"/>
        <v>-1740</v>
      </c>
      <c r="FF28" s="268" t="e">
        <f>(FD28/'Finance Only'!M31)*100</f>
        <v>#DIV/0!</v>
      </c>
      <c r="FG28" s="319"/>
      <c r="FH28" s="325">
        <f t="shared" si="0"/>
        <v>8731</v>
      </c>
      <c r="FI28" s="323"/>
      <c r="FJ28" s="325">
        <f t="shared" si="1"/>
        <v>6920</v>
      </c>
      <c r="FK28" s="323"/>
      <c r="FL28" s="325">
        <f t="shared" si="2"/>
        <v>2780</v>
      </c>
      <c r="FM28" s="323"/>
      <c r="FN28" s="325">
        <f t="shared" si="3"/>
        <v>2300</v>
      </c>
      <c r="FO28" s="323"/>
      <c r="FP28" s="325">
        <f t="shared" si="4"/>
        <v>2460</v>
      </c>
      <c r="FQ28" s="323"/>
      <c r="FR28" s="325">
        <f t="shared" si="5"/>
        <v>5840</v>
      </c>
      <c r="FS28" s="323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</row>
    <row r="29" spans="1:1084" s="3" customFormat="1" ht="13.5" customHeight="1" x14ac:dyDescent="0.2">
      <c r="A29" s="310">
        <v>25</v>
      </c>
      <c r="B29" s="313">
        <f>'Finance Only'!G32</f>
        <v>66</v>
      </c>
      <c r="C29" s="308">
        <f t="shared" si="6"/>
        <v>26151186</v>
      </c>
      <c r="D29" s="251">
        <v>26154320</v>
      </c>
      <c r="E29" s="252">
        <f t="shared" si="7"/>
        <v>3134</v>
      </c>
      <c r="F29" s="263">
        <f t="shared" si="8"/>
        <v>-22</v>
      </c>
      <c r="G29" s="264">
        <f>(E29/'Finance Only'!B32)*100</f>
        <v>10.645742042868305</v>
      </c>
      <c r="H29" s="274">
        <f t="shared" si="9"/>
        <v>23643529</v>
      </c>
      <c r="I29" s="251">
        <v>23649074</v>
      </c>
      <c r="J29" s="251">
        <f t="shared" si="10"/>
        <v>5545</v>
      </c>
      <c r="K29" s="275">
        <f t="shared" si="11"/>
        <v>-30</v>
      </c>
      <c r="L29" s="276">
        <f>(J29/'Finance Only'!B32)*100</f>
        <v>18.835558273039165</v>
      </c>
      <c r="M29" s="259">
        <f t="shared" si="12"/>
        <v>88710533</v>
      </c>
      <c r="N29" s="253">
        <v>88724830</v>
      </c>
      <c r="O29" s="254">
        <f t="shared" si="13"/>
        <v>14297</v>
      </c>
      <c r="P29" s="267">
        <f t="shared" si="14"/>
        <v>-567</v>
      </c>
      <c r="Q29" s="268">
        <f>(O29/'Finance Only'!B32)*100</f>
        <v>48.564828968375281</v>
      </c>
      <c r="R29" s="258">
        <f t="shared" si="15"/>
        <v>2416100</v>
      </c>
      <c r="S29" s="253">
        <v>2418100</v>
      </c>
      <c r="T29" s="254">
        <f t="shared" si="16"/>
        <v>2000</v>
      </c>
      <c r="U29" s="267">
        <f t="shared" si="17"/>
        <v>0</v>
      </c>
      <c r="V29" s="268">
        <f>(T29/'Finance Only'!B32)*100</f>
        <v>6.7937090254424408</v>
      </c>
      <c r="W29" s="253">
        <f t="shared" si="18"/>
        <v>3314494</v>
      </c>
      <c r="X29" s="253">
        <v>3317605</v>
      </c>
      <c r="Y29" s="254">
        <f t="shared" si="19"/>
        <v>3111</v>
      </c>
      <c r="Z29" s="267">
        <f t="shared" si="20"/>
        <v>2</v>
      </c>
      <c r="AA29" s="268">
        <f>(Y29/'Finance Only'!B32)*100</f>
        <v>10.567614389075716</v>
      </c>
      <c r="AB29" s="253">
        <f t="shared" si="21"/>
        <v>2076400</v>
      </c>
      <c r="AC29" s="253">
        <v>2078800</v>
      </c>
      <c r="AD29" s="254">
        <f t="shared" si="22"/>
        <v>2400</v>
      </c>
      <c r="AE29" s="267">
        <f t="shared" si="23"/>
        <v>-400</v>
      </c>
      <c r="AF29" s="268">
        <f>(AD29/'Finance Only'!B32)*100</f>
        <v>8.1524508305309293</v>
      </c>
      <c r="AG29" s="253">
        <f t="shared" si="24"/>
        <v>906277</v>
      </c>
      <c r="AH29" s="253">
        <v>907212</v>
      </c>
      <c r="AI29" s="254">
        <f t="shared" si="25"/>
        <v>935</v>
      </c>
      <c r="AJ29" s="267">
        <f t="shared" si="26"/>
        <v>-41</v>
      </c>
      <c r="AK29" s="268">
        <f>(AI29/'Finance Only'!B32)*100</f>
        <v>3.1760589693943411</v>
      </c>
      <c r="AL29" s="253">
        <f t="shared" si="27"/>
        <v>911740</v>
      </c>
      <c r="AM29" s="253">
        <v>912410</v>
      </c>
      <c r="AN29" s="254">
        <f t="shared" si="28"/>
        <v>670</v>
      </c>
      <c r="AO29" s="267">
        <f t="shared" si="29"/>
        <v>-110</v>
      </c>
      <c r="AP29" s="268">
        <f>(AN29/'Finance Only'!B32)*100</f>
        <v>2.2758925235232175</v>
      </c>
      <c r="AQ29" s="253">
        <f t="shared" si="30"/>
        <v>2047400</v>
      </c>
      <c r="AR29" s="253">
        <v>2049500</v>
      </c>
      <c r="AS29" s="254">
        <f t="shared" si="31"/>
        <v>2100</v>
      </c>
      <c r="AT29" s="267">
        <f t="shared" si="32"/>
        <v>100</v>
      </c>
      <c r="AU29" s="268">
        <f>(AS29/'Finance Only'!B32)*100</f>
        <v>7.1333944767145621</v>
      </c>
      <c r="AV29" s="253">
        <f t="shared" si="33"/>
        <v>591894</v>
      </c>
      <c r="AW29" s="253">
        <v>592344</v>
      </c>
      <c r="AX29" s="254">
        <f t="shared" si="34"/>
        <v>450</v>
      </c>
      <c r="AY29" s="267">
        <f t="shared" si="35"/>
        <v>-20</v>
      </c>
      <c r="AZ29" s="268">
        <f>(AX29/'Finance Only'!B32)*100</f>
        <v>1.5285845307245491</v>
      </c>
      <c r="BA29" s="253">
        <f t="shared" si="36"/>
        <v>846930</v>
      </c>
      <c r="BB29" s="253">
        <v>847820</v>
      </c>
      <c r="BC29" s="254">
        <f t="shared" si="37"/>
        <v>890</v>
      </c>
      <c r="BD29" s="267">
        <f t="shared" si="38"/>
        <v>-20</v>
      </c>
      <c r="BE29" s="268">
        <f>(BC29/'Finance Only'!B32)*100</f>
        <v>3.0232005163218858</v>
      </c>
      <c r="BF29" s="253">
        <f t="shared" si="39"/>
        <v>932490</v>
      </c>
      <c r="BG29" s="253">
        <v>933390</v>
      </c>
      <c r="BH29" s="254">
        <f t="shared" si="40"/>
        <v>900</v>
      </c>
      <c r="BI29" s="267">
        <f t="shared" si="41"/>
        <v>-20</v>
      </c>
      <c r="BJ29" s="268">
        <f>(BH29/'Finance Only'!B32)*100</f>
        <v>3.0571690614490983</v>
      </c>
      <c r="BK29" s="253">
        <f t="shared" si="42"/>
        <v>1429500</v>
      </c>
      <c r="BL29" s="253">
        <v>1430100</v>
      </c>
      <c r="BM29" s="254">
        <f t="shared" si="43"/>
        <v>600</v>
      </c>
      <c r="BN29" s="267">
        <f t="shared" si="44"/>
        <v>-100</v>
      </c>
      <c r="BO29" s="268">
        <f>(BM29/'Finance Only'!B32)*100</f>
        <v>2.0381127076327323</v>
      </c>
      <c r="BP29" s="253">
        <f t="shared" si="45"/>
        <v>952260</v>
      </c>
      <c r="BQ29" s="253">
        <v>954060</v>
      </c>
      <c r="BR29" s="254">
        <f t="shared" si="46"/>
        <v>1800</v>
      </c>
      <c r="BS29" s="267">
        <f t="shared" si="47"/>
        <v>40</v>
      </c>
      <c r="BT29" s="268">
        <f>(BR29/'Finance Only'!B32)*100</f>
        <v>6.1143381228981966</v>
      </c>
      <c r="BU29" s="253">
        <f t="shared" si="48"/>
        <v>4558000</v>
      </c>
      <c r="BV29" s="253">
        <v>4562700</v>
      </c>
      <c r="BW29" s="254">
        <f t="shared" si="49"/>
        <v>4700</v>
      </c>
      <c r="BX29" s="267">
        <f t="shared" si="50"/>
        <v>-600</v>
      </c>
      <c r="BY29" s="268">
        <f>(BW29/'Finance Only'!B32)*100</f>
        <v>15.965216209789734</v>
      </c>
      <c r="BZ29" s="253">
        <f t="shared" si="51"/>
        <v>745640</v>
      </c>
      <c r="CA29" s="253">
        <v>746920</v>
      </c>
      <c r="CB29" s="254">
        <f t="shared" si="52"/>
        <v>1280</v>
      </c>
      <c r="CC29" s="267">
        <f t="shared" si="53"/>
        <v>-30</v>
      </c>
      <c r="CD29" s="268">
        <f>(CB29/'Finance Only'!B32)*100</f>
        <v>4.3479737762831618</v>
      </c>
      <c r="CE29" s="253">
        <f t="shared" si="54"/>
        <v>230160</v>
      </c>
      <c r="CF29" s="253">
        <v>230590</v>
      </c>
      <c r="CG29" s="254">
        <f t="shared" si="55"/>
        <v>430</v>
      </c>
      <c r="CH29" s="267">
        <f t="shared" si="56"/>
        <v>-10</v>
      </c>
      <c r="CI29" s="268">
        <f>(CG29/'Finance Only'!B32)*100</f>
        <v>1.4606474404701246</v>
      </c>
      <c r="CJ29" s="254">
        <f t="shared" si="57"/>
        <v>524260</v>
      </c>
      <c r="CK29" s="254">
        <v>525850</v>
      </c>
      <c r="CL29" s="254">
        <f t="shared" si="58"/>
        <v>1590</v>
      </c>
      <c r="CM29" s="267">
        <f t="shared" si="59"/>
        <v>-10</v>
      </c>
      <c r="CN29" s="268">
        <f>(CL29/'Finance Only'!B32)*100</f>
        <v>5.4009986752267398</v>
      </c>
      <c r="CO29" s="253">
        <f t="shared" si="101"/>
        <v>426070</v>
      </c>
      <c r="CP29" s="253">
        <v>427090</v>
      </c>
      <c r="CQ29" s="255">
        <f t="shared" si="100"/>
        <v>1020</v>
      </c>
      <c r="CR29" s="267">
        <f t="shared" si="60"/>
        <v>30</v>
      </c>
      <c r="CS29" s="268">
        <f>(CQ29/'Finance Only'!B32)*100</f>
        <v>3.4647916029756449</v>
      </c>
      <c r="CT29" s="253">
        <f t="shared" si="61"/>
        <v>359320</v>
      </c>
      <c r="CU29" s="253">
        <v>360230</v>
      </c>
      <c r="CV29" s="254">
        <f t="shared" si="62"/>
        <v>910</v>
      </c>
      <c r="CW29" s="267">
        <f t="shared" si="63"/>
        <v>110</v>
      </c>
      <c r="CX29" s="268">
        <f>(CV29/'Finance Only'!B32)*100</f>
        <v>3.0911376065763103</v>
      </c>
      <c r="CY29" s="253">
        <f t="shared" si="64"/>
        <v>619500</v>
      </c>
      <c r="CZ29" s="253">
        <v>620730</v>
      </c>
      <c r="DA29" s="254">
        <f t="shared" si="65"/>
        <v>1230</v>
      </c>
      <c r="DB29" s="267">
        <f t="shared" si="66"/>
        <v>-80</v>
      </c>
      <c r="DC29" s="268">
        <f>(DA29/'Finance Only'!B32)*100</f>
        <v>4.1781310506471003</v>
      </c>
      <c r="DD29" s="253">
        <f t="shared" si="67"/>
        <v>466600</v>
      </c>
      <c r="DE29" s="253">
        <v>467630</v>
      </c>
      <c r="DF29" s="254">
        <f t="shared" si="68"/>
        <v>1030</v>
      </c>
      <c r="DG29" s="267">
        <f t="shared" si="69"/>
        <v>40</v>
      </c>
      <c r="DH29" s="268">
        <f>(DF29/'Finance Only'!B32)*100</f>
        <v>3.4987601481028565</v>
      </c>
      <c r="DI29" s="253">
        <f t="shared" si="70"/>
        <v>424380</v>
      </c>
      <c r="DJ29" s="253">
        <v>425150</v>
      </c>
      <c r="DK29" s="254">
        <f t="shared" si="71"/>
        <v>770</v>
      </c>
      <c r="DL29" s="267">
        <f t="shared" si="72"/>
        <v>-80</v>
      </c>
      <c r="DM29" s="268">
        <f>(DK29/'Finance Only'!B32)*100</f>
        <v>2.6155779747953396</v>
      </c>
      <c r="DN29" s="253">
        <f t="shared" si="73"/>
        <v>245950</v>
      </c>
      <c r="DO29" s="253">
        <v>246360</v>
      </c>
      <c r="DP29" s="254">
        <f t="shared" si="74"/>
        <v>410</v>
      </c>
      <c r="DQ29" s="267">
        <f t="shared" si="75"/>
        <v>30</v>
      </c>
      <c r="DR29" s="268">
        <f>(DP29/'Finance Only'!B32)*100</f>
        <v>1.3927103502157003</v>
      </c>
      <c r="DS29" s="253">
        <f t="shared" si="76"/>
        <v>74897</v>
      </c>
      <c r="DT29" s="253">
        <v>75028</v>
      </c>
      <c r="DU29" s="254">
        <f t="shared" si="77"/>
        <v>131</v>
      </c>
      <c r="DV29" s="267">
        <f t="shared" si="78"/>
        <v>-9</v>
      </c>
      <c r="DW29" s="268">
        <f>(DU29/'Finance Only'!B32)*100</f>
        <v>0.44498794116647983</v>
      </c>
      <c r="DX29" s="253">
        <f t="shared" si="79"/>
        <v>482680</v>
      </c>
      <c r="DY29" s="253">
        <v>483470</v>
      </c>
      <c r="DZ29" s="254">
        <f t="shared" si="80"/>
        <v>790</v>
      </c>
      <c r="EA29" s="267">
        <f t="shared" si="81"/>
        <v>50</v>
      </c>
      <c r="EB29" s="268">
        <f>(DZ29/'Finance Only'!B32)*100</f>
        <v>2.6835150650497641</v>
      </c>
      <c r="EC29" s="253">
        <f t="shared" si="82"/>
        <v>154430</v>
      </c>
      <c r="ED29" s="253">
        <v>154700</v>
      </c>
      <c r="EE29" s="254">
        <f t="shared" si="83"/>
        <v>270</v>
      </c>
      <c r="EF29" s="267">
        <f t="shared" si="84"/>
        <v>30</v>
      </c>
      <c r="EG29" s="268">
        <f>(EE29/'Finance Only'!B32)*100</f>
        <v>0.91715071843472951</v>
      </c>
      <c r="EH29" s="253">
        <f t="shared" si="85"/>
        <v>156700</v>
      </c>
      <c r="EI29" s="253">
        <v>157080</v>
      </c>
      <c r="EJ29" s="254">
        <f t="shared" si="86"/>
        <v>380</v>
      </c>
      <c r="EK29" s="267">
        <f t="shared" si="87"/>
        <v>100</v>
      </c>
      <c r="EL29" s="268">
        <f>(EJ29/'Finance Only'!B32)*100</f>
        <v>1.2908047148340638</v>
      </c>
      <c r="EM29" s="253">
        <f t="shared" si="88"/>
        <v>286130</v>
      </c>
      <c r="EN29" s="253">
        <v>286660</v>
      </c>
      <c r="EO29" s="254">
        <f t="shared" si="89"/>
        <v>530</v>
      </c>
      <c r="EP29" s="267">
        <f t="shared" si="90"/>
        <v>-21</v>
      </c>
      <c r="EQ29" s="268">
        <f>(EO29/'Finance Only'!B32)*100</f>
        <v>1.8003328917422468</v>
      </c>
      <c r="ER29" s="253">
        <f t="shared" si="91"/>
        <v>0</v>
      </c>
      <c r="ES29" s="253"/>
      <c r="ET29" s="254">
        <f t="shared" si="92"/>
        <v>0</v>
      </c>
      <c r="EU29" s="267">
        <f t="shared" si="93"/>
        <v>0</v>
      </c>
      <c r="EV29" s="268">
        <f>(ET29/'Finance Only'!B32)*100</f>
        <v>0</v>
      </c>
      <c r="EW29" s="253">
        <f t="shared" si="94"/>
        <v>121830</v>
      </c>
      <c r="EX29" s="253">
        <v>125910</v>
      </c>
      <c r="EY29" s="254">
        <f t="shared" si="95"/>
        <v>4080</v>
      </c>
      <c r="EZ29" s="267">
        <f t="shared" si="96"/>
        <v>-380</v>
      </c>
      <c r="FA29" s="268">
        <f>(EY29/'Finance Only'!G32)*100</f>
        <v>6181.818181818182</v>
      </c>
      <c r="FB29" s="253">
        <f t="shared" si="97"/>
        <v>802550</v>
      </c>
      <c r="FC29" s="253">
        <v>804920</v>
      </c>
      <c r="FD29" s="254">
        <f t="shared" si="98"/>
        <v>2370</v>
      </c>
      <c r="FE29" s="267">
        <f t="shared" si="99"/>
        <v>990</v>
      </c>
      <c r="FF29" s="268" t="e">
        <f>(FD29/'Finance Only'!M32)*100</f>
        <v>#DIV/0!</v>
      </c>
      <c r="FG29" s="319"/>
      <c r="FH29" s="325">
        <f t="shared" si="0"/>
        <v>8679</v>
      </c>
      <c r="FI29" s="322"/>
      <c r="FJ29" s="325">
        <f t="shared" si="1"/>
        <v>7081</v>
      </c>
      <c r="FK29" s="322"/>
      <c r="FL29" s="325">
        <f t="shared" si="2"/>
        <v>2770</v>
      </c>
      <c r="FM29" s="322"/>
      <c r="FN29" s="325">
        <f t="shared" si="3"/>
        <v>2240</v>
      </c>
      <c r="FO29" s="322"/>
      <c r="FP29" s="325">
        <f t="shared" si="4"/>
        <v>2400</v>
      </c>
      <c r="FQ29" s="322"/>
      <c r="FR29" s="325">
        <f t="shared" si="5"/>
        <v>6450</v>
      </c>
      <c r="FS29" s="322"/>
    </row>
    <row r="30" spans="1:1084" s="3" customFormat="1" ht="13.5" customHeight="1" x14ac:dyDescent="0.2">
      <c r="A30" s="310">
        <v>26</v>
      </c>
      <c r="B30" s="313">
        <f>'Finance Only'!G33</f>
        <v>0</v>
      </c>
      <c r="C30" s="308">
        <f t="shared" si="6"/>
        <v>26154320</v>
      </c>
      <c r="D30" s="251">
        <v>26157525</v>
      </c>
      <c r="E30" s="252">
        <f t="shared" si="7"/>
        <v>3205</v>
      </c>
      <c r="F30" s="263">
        <f t="shared" si="8"/>
        <v>71</v>
      </c>
      <c r="G30" s="264">
        <f>(E30/'Finance Only'!B33)*100</f>
        <v>11.191033206466706</v>
      </c>
      <c r="H30" s="274">
        <f t="shared" si="9"/>
        <v>23649074</v>
      </c>
      <c r="I30" s="251">
        <v>23654383</v>
      </c>
      <c r="J30" s="251">
        <f t="shared" si="10"/>
        <v>5309</v>
      </c>
      <c r="K30" s="275">
        <f t="shared" si="11"/>
        <v>-236</v>
      </c>
      <c r="L30" s="276">
        <f>(J30/'Finance Only'!B33)*100</f>
        <v>18.537658437794615</v>
      </c>
      <c r="M30" s="259">
        <f t="shared" si="12"/>
        <v>88724830</v>
      </c>
      <c r="N30" s="253">
        <v>88738599</v>
      </c>
      <c r="O30" s="254">
        <f t="shared" si="13"/>
        <v>13769</v>
      </c>
      <c r="P30" s="267">
        <f t="shared" si="14"/>
        <v>-528</v>
      </c>
      <c r="Q30" s="268">
        <f>(O30/'Finance Only'!B33)*100</f>
        <v>48.077796012430603</v>
      </c>
      <c r="R30" s="258">
        <f t="shared" si="15"/>
        <v>2418100</v>
      </c>
      <c r="S30" s="253">
        <v>2419800</v>
      </c>
      <c r="T30" s="254">
        <f t="shared" si="16"/>
        <v>1700</v>
      </c>
      <c r="U30" s="267">
        <f t="shared" si="17"/>
        <v>-300</v>
      </c>
      <c r="V30" s="268">
        <f>(T30/'Finance Only'!B33)*100</f>
        <v>5.9359614511679881</v>
      </c>
      <c r="W30" s="253">
        <f t="shared" si="18"/>
        <v>3317605</v>
      </c>
      <c r="X30" s="253">
        <v>3320651</v>
      </c>
      <c r="Y30" s="254">
        <f t="shared" si="19"/>
        <v>3046</v>
      </c>
      <c r="Z30" s="267">
        <f t="shared" si="20"/>
        <v>-65</v>
      </c>
      <c r="AA30" s="268">
        <f>(Y30/'Finance Only'!B33)*100</f>
        <v>10.635846223680995</v>
      </c>
      <c r="AB30" s="253">
        <f t="shared" si="21"/>
        <v>2078800</v>
      </c>
      <c r="AC30" s="253">
        <v>2081200</v>
      </c>
      <c r="AD30" s="254">
        <f t="shared" si="22"/>
        <v>2400</v>
      </c>
      <c r="AE30" s="267">
        <f t="shared" si="23"/>
        <v>0</v>
      </c>
      <c r="AF30" s="268">
        <f>(AD30/'Finance Only'!B33)*100</f>
        <v>8.3801808722371582</v>
      </c>
      <c r="AG30" s="253">
        <f t="shared" si="24"/>
        <v>907212</v>
      </c>
      <c r="AH30" s="253">
        <v>908138</v>
      </c>
      <c r="AI30" s="254">
        <f t="shared" si="25"/>
        <v>926</v>
      </c>
      <c r="AJ30" s="267">
        <f t="shared" si="26"/>
        <v>-9</v>
      </c>
      <c r="AK30" s="268">
        <f>(AI30/'Finance Only'!B33)*100</f>
        <v>3.2333531198715035</v>
      </c>
      <c r="AL30" s="253">
        <f t="shared" si="27"/>
        <v>912410</v>
      </c>
      <c r="AM30" s="253">
        <v>913130</v>
      </c>
      <c r="AN30" s="254">
        <f t="shared" si="28"/>
        <v>720</v>
      </c>
      <c r="AO30" s="267">
        <f t="shared" si="29"/>
        <v>50</v>
      </c>
      <c r="AP30" s="268">
        <f>(AN30/'Finance Only'!B33)*100</f>
        <v>2.5140542616711481</v>
      </c>
      <c r="AQ30" s="253">
        <f t="shared" si="30"/>
        <v>2049500</v>
      </c>
      <c r="AR30" s="253">
        <v>2051700</v>
      </c>
      <c r="AS30" s="254">
        <f t="shared" si="31"/>
        <v>2200</v>
      </c>
      <c r="AT30" s="267">
        <f t="shared" si="32"/>
        <v>100</v>
      </c>
      <c r="AU30" s="268">
        <f>(AS30/'Finance Only'!B33)*100</f>
        <v>7.6818324662173962</v>
      </c>
      <c r="AV30" s="253">
        <f t="shared" si="33"/>
        <v>592344</v>
      </c>
      <c r="AW30" s="253">
        <v>592798</v>
      </c>
      <c r="AX30" s="254">
        <f t="shared" si="34"/>
        <v>454</v>
      </c>
      <c r="AY30" s="267">
        <f t="shared" si="35"/>
        <v>4</v>
      </c>
      <c r="AZ30" s="268">
        <f>(AX30/'Finance Only'!B33)*100</f>
        <v>1.5852508816648625</v>
      </c>
      <c r="BA30" s="253">
        <f t="shared" si="36"/>
        <v>847820</v>
      </c>
      <c r="BB30" s="253">
        <v>848720</v>
      </c>
      <c r="BC30" s="254">
        <f t="shared" si="37"/>
        <v>900</v>
      </c>
      <c r="BD30" s="267">
        <f t="shared" si="38"/>
        <v>10</v>
      </c>
      <c r="BE30" s="268">
        <f>(BC30/'Finance Only'!B33)*100</f>
        <v>3.1425678270889343</v>
      </c>
      <c r="BF30" s="253">
        <f t="shared" si="39"/>
        <v>933390</v>
      </c>
      <c r="BG30" s="253">
        <v>934250</v>
      </c>
      <c r="BH30" s="254">
        <f t="shared" si="40"/>
        <v>860</v>
      </c>
      <c r="BI30" s="267">
        <f t="shared" si="41"/>
        <v>-40</v>
      </c>
      <c r="BJ30" s="268">
        <f>(BH30/'Finance Only'!B33)*100</f>
        <v>3.0028981458849819</v>
      </c>
      <c r="BK30" s="253">
        <f t="shared" si="42"/>
        <v>1430100</v>
      </c>
      <c r="BL30" s="253">
        <v>1430700</v>
      </c>
      <c r="BM30" s="254">
        <f t="shared" si="43"/>
        <v>600</v>
      </c>
      <c r="BN30" s="267">
        <f t="shared" si="44"/>
        <v>0</v>
      </c>
      <c r="BO30" s="268">
        <f>(BM30/'Finance Only'!B33)*100</f>
        <v>2.0950452180592896</v>
      </c>
      <c r="BP30" s="253">
        <f t="shared" si="45"/>
        <v>954060</v>
      </c>
      <c r="BQ30" s="253">
        <v>955770</v>
      </c>
      <c r="BR30" s="254">
        <f t="shared" si="46"/>
        <v>1710</v>
      </c>
      <c r="BS30" s="267">
        <f t="shared" si="47"/>
        <v>-90</v>
      </c>
      <c r="BT30" s="268">
        <f>(BR30/'Finance Only'!B33)*100</f>
        <v>5.970878871468976</v>
      </c>
      <c r="BU30" s="253">
        <f t="shared" si="48"/>
        <v>4562700</v>
      </c>
      <c r="BV30" s="253">
        <v>4566900</v>
      </c>
      <c r="BW30" s="254">
        <f t="shared" si="49"/>
        <v>4200</v>
      </c>
      <c r="BX30" s="267">
        <f t="shared" si="50"/>
        <v>-500</v>
      </c>
      <c r="BY30" s="268">
        <f>(BW30/'Finance Only'!B33)*100</f>
        <v>14.66531652641503</v>
      </c>
      <c r="BZ30" s="253">
        <f t="shared" si="51"/>
        <v>746920</v>
      </c>
      <c r="CA30" s="253">
        <v>748200</v>
      </c>
      <c r="CB30" s="254">
        <f t="shared" si="52"/>
        <v>1280</v>
      </c>
      <c r="CC30" s="267">
        <f t="shared" si="53"/>
        <v>0</v>
      </c>
      <c r="CD30" s="268">
        <f>(CB30/'Finance Only'!B33)*100</f>
        <v>4.4694297985264848</v>
      </c>
      <c r="CE30" s="253">
        <f t="shared" si="54"/>
        <v>230590</v>
      </c>
      <c r="CF30" s="253">
        <v>231060</v>
      </c>
      <c r="CG30" s="254">
        <f t="shared" si="55"/>
        <v>470</v>
      </c>
      <c r="CH30" s="267">
        <f t="shared" si="56"/>
        <v>40</v>
      </c>
      <c r="CI30" s="268">
        <f>(CG30/'Finance Only'!B33)*100</f>
        <v>1.6411187541464436</v>
      </c>
      <c r="CJ30" s="254">
        <f t="shared" si="57"/>
        <v>525850</v>
      </c>
      <c r="CK30" s="254">
        <v>527140</v>
      </c>
      <c r="CL30" s="254">
        <f t="shared" si="58"/>
        <v>1290</v>
      </c>
      <c r="CM30" s="267">
        <f t="shared" si="59"/>
        <v>-300</v>
      </c>
      <c r="CN30" s="268">
        <f>(CL30/'Finance Only'!B33)*100</f>
        <v>4.5043472188274727</v>
      </c>
      <c r="CO30" s="253">
        <f t="shared" si="101"/>
        <v>427090</v>
      </c>
      <c r="CP30" s="253">
        <v>427990</v>
      </c>
      <c r="CQ30" s="255">
        <f t="shared" si="100"/>
        <v>900</v>
      </c>
      <c r="CR30" s="267">
        <f t="shared" si="60"/>
        <v>-120</v>
      </c>
      <c r="CS30" s="268">
        <f>(CQ30/'Finance Only'!B33)*100</f>
        <v>3.1425678270889343</v>
      </c>
      <c r="CT30" s="253">
        <f t="shared" si="61"/>
        <v>360230</v>
      </c>
      <c r="CU30" s="253">
        <v>361200</v>
      </c>
      <c r="CV30" s="254">
        <f t="shared" si="62"/>
        <v>970</v>
      </c>
      <c r="CW30" s="267">
        <f t="shared" si="63"/>
        <v>60</v>
      </c>
      <c r="CX30" s="268">
        <f>(CV30/'Finance Only'!B33)*100</f>
        <v>3.3869897691958522</v>
      </c>
      <c r="CY30" s="253">
        <f t="shared" si="64"/>
        <v>620730</v>
      </c>
      <c r="CZ30" s="253">
        <v>621800</v>
      </c>
      <c r="DA30" s="254">
        <f t="shared" si="65"/>
        <v>1070</v>
      </c>
      <c r="DB30" s="267">
        <f t="shared" si="66"/>
        <v>-160</v>
      </c>
      <c r="DC30" s="268">
        <f>(DA30/'Finance Only'!B33)*100</f>
        <v>3.7361639722057332</v>
      </c>
      <c r="DD30" s="253">
        <f t="shared" si="67"/>
        <v>467630</v>
      </c>
      <c r="DE30" s="253">
        <v>468630</v>
      </c>
      <c r="DF30" s="254">
        <f t="shared" si="68"/>
        <v>1000</v>
      </c>
      <c r="DG30" s="267">
        <f t="shared" si="69"/>
        <v>-30</v>
      </c>
      <c r="DH30" s="268">
        <f>(DF30/'Finance Only'!B33)*100</f>
        <v>3.4917420300988162</v>
      </c>
      <c r="DI30" s="253">
        <f t="shared" si="70"/>
        <v>425150</v>
      </c>
      <c r="DJ30" s="253">
        <v>425890</v>
      </c>
      <c r="DK30" s="254">
        <f t="shared" si="71"/>
        <v>740</v>
      </c>
      <c r="DL30" s="267">
        <f t="shared" si="72"/>
        <v>-30</v>
      </c>
      <c r="DM30" s="268">
        <f>(DK30/'Finance Only'!B33)*100</f>
        <v>2.5838891022731239</v>
      </c>
      <c r="DN30" s="253">
        <f t="shared" si="73"/>
        <v>246360</v>
      </c>
      <c r="DO30" s="253">
        <v>246720</v>
      </c>
      <c r="DP30" s="254">
        <f t="shared" si="74"/>
        <v>360</v>
      </c>
      <c r="DQ30" s="267">
        <f t="shared" si="75"/>
        <v>-50</v>
      </c>
      <c r="DR30" s="268">
        <f>(DP30/'Finance Only'!B33)*100</f>
        <v>1.257027130835574</v>
      </c>
      <c r="DS30" s="253">
        <f t="shared" si="76"/>
        <v>75028</v>
      </c>
      <c r="DT30" s="253">
        <v>75182</v>
      </c>
      <c r="DU30" s="254">
        <f t="shared" si="77"/>
        <v>154</v>
      </c>
      <c r="DV30" s="267">
        <f t="shared" si="78"/>
        <v>23</v>
      </c>
      <c r="DW30" s="268">
        <f>(DU30/'Finance Only'!B33)*100</f>
        <v>0.53772827263521772</v>
      </c>
      <c r="DX30" s="253">
        <f t="shared" si="79"/>
        <v>483470</v>
      </c>
      <c r="DY30" s="253">
        <v>484270</v>
      </c>
      <c r="DZ30" s="254">
        <f t="shared" si="80"/>
        <v>800</v>
      </c>
      <c r="EA30" s="267">
        <f t="shared" si="81"/>
        <v>10</v>
      </c>
      <c r="EB30" s="268">
        <f>(DZ30/'Finance Only'!B33)*100</f>
        <v>2.7933936240790529</v>
      </c>
      <c r="EC30" s="253">
        <f t="shared" si="82"/>
        <v>154700</v>
      </c>
      <c r="ED30" s="253">
        <v>154980</v>
      </c>
      <c r="EE30" s="254">
        <f t="shared" si="83"/>
        <v>280</v>
      </c>
      <c r="EF30" s="267">
        <f t="shared" si="84"/>
        <v>10</v>
      </c>
      <c r="EG30" s="268">
        <f>(EE30/'Finance Only'!B33)*100</f>
        <v>0.97768776842766858</v>
      </c>
      <c r="EH30" s="253">
        <f t="shared" si="85"/>
        <v>157080</v>
      </c>
      <c r="EI30" s="253">
        <v>157450</v>
      </c>
      <c r="EJ30" s="254">
        <f t="shared" si="86"/>
        <v>370</v>
      </c>
      <c r="EK30" s="267">
        <f t="shared" si="87"/>
        <v>-10</v>
      </c>
      <c r="EL30" s="268">
        <f>(EJ30/'Finance Only'!B33)*100</f>
        <v>1.2919445511365619</v>
      </c>
      <c r="EM30" s="253">
        <f t="shared" si="88"/>
        <v>286660</v>
      </c>
      <c r="EN30" s="253">
        <v>287210</v>
      </c>
      <c r="EO30" s="254">
        <f t="shared" si="89"/>
        <v>550</v>
      </c>
      <c r="EP30" s="267">
        <f t="shared" si="90"/>
        <v>20</v>
      </c>
      <c r="EQ30" s="268">
        <f>(EO30/'Finance Only'!B33)*100</f>
        <v>1.9204581165543491</v>
      </c>
      <c r="ER30" s="253">
        <f t="shared" si="91"/>
        <v>0</v>
      </c>
      <c r="ES30" s="253"/>
      <c r="ET30" s="254">
        <f t="shared" si="92"/>
        <v>0</v>
      </c>
      <c r="EU30" s="267">
        <f t="shared" si="93"/>
        <v>0</v>
      </c>
      <c r="EV30" s="268">
        <f>(ET30/'Finance Only'!B33)*100</f>
        <v>0</v>
      </c>
      <c r="EW30" s="253">
        <f t="shared" si="94"/>
        <v>125910</v>
      </c>
      <c r="EX30" s="253">
        <v>130380</v>
      </c>
      <c r="EY30" s="254">
        <f t="shared" si="95"/>
        <v>4470</v>
      </c>
      <c r="EZ30" s="267">
        <f t="shared" si="96"/>
        <v>390</v>
      </c>
      <c r="FA30" s="268" t="e">
        <f>(EY30/'Finance Only'!G33)*100</f>
        <v>#DIV/0!</v>
      </c>
      <c r="FB30" s="253">
        <f t="shared" si="97"/>
        <v>804920</v>
      </c>
      <c r="FC30" s="253">
        <v>806850</v>
      </c>
      <c r="FD30" s="254">
        <f t="shared" si="98"/>
        <v>1930</v>
      </c>
      <c r="FE30" s="267">
        <f t="shared" si="99"/>
        <v>-440</v>
      </c>
      <c r="FF30" s="268" t="e">
        <f>(FD30/'Finance Only'!M33)*100</f>
        <v>#DIV/0!</v>
      </c>
      <c r="FG30" s="319"/>
      <c r="FH30" s="325">
        <f t="shared" si="0"/>
        <v>8514</v>
      </c>
      <c r="FI30" s="322"/>
      <c r="FJ30" s="325">
        <f t="shared" si="1"/>
        <v>6746</v>
      </c>
      <c r="FK30" s="322"/>
      <c r="FL30" s="325">
        <f t="shared" si="2"/>
        <v>2920</v>
      </c>
      <c r="FM30" s="322"/>
      <c r="FN30" s="325">
        <f t="shared" si="3"/>
        <v>2214</v>
      </c>
      <c r="FO30" s="322"/>
      <c r="FP30" s="325">
        <f t="shared" si="4"/>
        <v>2310</v>
      </c>
      <c r="FQ30" s="322"/>
      <c r="FR30" s="325">
        <f t="shared" si="5"/>
        <v>6400</v>
      </c>
      <c r="FS30" s="322"/>
    </row>
    <row r="31" spans="1:1084" s="3" customFormat="1" ht="13.5" customHeight="1" x14ac:dyDescent="0.2">
      <c r="A31" s="310">
        <v>27</v>
      </c>
      <c r="B31" s="313">
        <f>'Finance Only'!G34</f>
        <v>0</v>
      </c>
      <c r="C31" s="308">
        <f t="shared" si="6"/>
        <v>26157525</v>
      </c>
      <c r="D31" s="251">
        <v>26160754</v>
      </c>
      <c r="E31" s="252">
        <f t="shared" si="7"/>
        <v>3229</v>
      </c>
      <c r="F31" s="263">
        <f t="shared" si="8"/>
        <v>24</v>
      </c>
      <c r="G31" s="264">
        <f>(E31/'Finance Only'!B34)*100</f>
        <v>8.885770109249016</v>
      </c>
      <c r="H31" s="274">
        <f t="shared" si="9"/>
        <v>23654383</v>
      </c>
      <c r="I31" s="251">
        <v>23659812</v>
      </c>
      <c r="J31" s="251">
        <f t="shared" si="10"/>
        <v>5429</v>
      </c>
      <c r="K31" s="275">
        <f t="shared" si="11"/>
        <v>120</v>
      </c>
      <c r="L31" s="276">
        <f>(J31/'Finance Only'!B34)*100</f>
        <v>14.939871763119514</v>
      </c>
      <c r="M31" s="259">
        <f t="shared" si="12"/>
        <v>88738599</v>
      </c>
      <c r="N31" s="253">
        <v>88752534</v>
      </c>
      <c r="O31" s="254">
        <f t="shared" si="13"/>
        <v>13935</v>
      </c>
      <c r="P31" s="267">
        <f t="shared" si="14"/>
        <v>166</v>
      </c>
      <c r="Q31" s="268">
        <f>(O31/'Finance Only'!B34)*100</f>
        <v>38.347230248493354</v>
      </c>
      <c r="R31" s="258">
        <f t="shared" si="15"/>
        <v>2419800</v>
      </c>
      <c r="S31" s="253">
        <v>2421600</v>
      </c>
      <c r="T31" s="254">
        <f t="shared" si="16"/>
        <v>1800</v>
      </c>
      <c r="U31" s="267">
        <f t="shared" si="17"/>
        <v>100</v>
      </c>
      <c r="V31" s="268">
        <f>(T31/'Finance Only'!B34)*100</f>
        <v>4.9533558986213162</v>
      </c>
      <c r="W31" s="253">
        <f t="shared" si="18"/>
        <v>3320651</v>
      </c>
      <c r="X31" s="253">
        <v>3323673</v>
      </c>
      <c r="Y31" s="254">
        <f t="shared" si="19"/>
        <v>3022</v>
      </c>
      <c r="Z31" s="267">
        <f t="shared" si="20"/>
        <v>-24</v>
      </c>
      <c r="AA31" s="268">
        <f>(Y31/'Finance Only'!B34)*100</f>
        <v>8.3161341809075662</v>
      </c>
      <c r="AB31" s="253">
        <f t="shared" si="21"/>
        <v>2081200</v>
      </c>
      <c r="AC31" s="253">
        <v>2083500</v>
      </c>
      <c r="AD31" s="254">
        <f t="shared" si="22"/>
        <v>2300</v>
      </c>
      <c r="AE31" s="267">
        <f t="shared" si="23"/>
        <v>-100</v>
      </c>
      <c r="AF31" s="268">
        <f>(AD31/'Finance Only'!B34)*100</f>
        <v>6.329288092682793</v>
      </c>
      <c r="AG31" s="253">
        <f t="shared" si="24"/>
        <v>908138</v>
      </c>
      <c r="AH31" s="253">
        <v>909028</v>
      </c>
      <c r="AI31" s="254">
        <f t="shared" si="25"/>
        <v>890</v>
      </c>
      <c r="AJ31" s="267">
        <f t="shared" si="26"/>
        <v>-36</v>
      </c>
      <c r="AK31" s="268">
        <f>(AI31/'Finance Only'!B34)*100</f>
        <v>2.4491593054294283</v>
      </c>
      <c r="AL31" s="253">
        <f t="shared" si="27"/>
        <v>913130</v>
      </c>
      <c r="AM31" s="253">
        <v>913820</v>
      </c>
      <c r="AN31" s="254">
        <f t="shared" si="28"/>
        <v>690</v>
      </c>
      <c r="AO31" s="267">
        <f t="shared" si="29"/>
        <v>-30</v>
      </c>
      <c r="AP31" s="268">
        <f>(AN31/'Finance Only'!B34)*100</f>
        <v>1.8987864278048376</v>
      </c>
      <c r="AQ31" s="253">
        <f t="shared" si="30"/>
        <v>2051700</v>
      </c>
      <c r="AR31" s="253">
        <v>2054200</v>
      </c>
      <c r="AS31" s="254">
        <f t="shared" si="31"/>
        <v>2500</v>
      </c>
      <c r="AT31" s="267">
        <f t="shared" si="32"/>
        <v>300</v>
      </c>
      <c r="AU31" s="268">
        <f>(AS31/'Finance Only'!B34)*100</f>
        <v>6.8796609703073832</v>
      </c>
      <c r="AV31" s="253">
        <f t="shared" si="33"/>
        <v>592798</v>
      </c>
      <c r="AW31" s="253">
        <v>593264</v>
      </c>
      <c r="AX31" s="254">
        <f t="shared" si="34"/>
        <v>466</v>
      </c>
      <c r="AY31" s="267">
        <f t="shared" si="35"/>
        <v>12</v>
      </c>
      <c r="AZ31" s="268">
        <f>(AX31/'Finance Only'!B34)*100</f>
        <v>1.2823688048652961</v>
      </c>
      <c r="BA31" s="253">
        <f t="shared" si="36"/>
        <v>848720</v>
      </c>
      <c r="BB31" s="253">
        <v>849650</v>
      </c>
      <c r="BC31" s="254">
        <f t="shared" si="37"/>
        <v>930</v>
      </c>
      <c r="BD31" s="267">
        <f t="shared" si="38"/>
        <v>30</v>
      </c>
      <c r="BE31" s="268">
        <f>(BC31/'Finance Only'!B34)*100</f>
        <v>2.5592338809543467</v>
      </c>
      <c r="BF31" s="253">
        <f t="shared" si="39"/>
        <v>934250</v>
      </c>
      <c r="BG31" s="253">
        <v>935140</v>
      </c>
      <c r="BH31" s="254">
        <f t="shared" si="40"/>
        <v>890</v>
      </c>
      <c r="BI31" s="267">
        <f t="shared" si="41"/>
        <v>30</v>
      </c>
      <c r="BJ31" s="268">
        <f>(BH31/'Finance Only'!B34)*100</f>
        <v>2.4491593054294283</v>
      </c>
      <c r="BK31" s="253">
        <f t="shared" si="42"/>
        <v>1430700</v>
      </c>
      <c r="BL31" s="253">
        <v>1431300</v>
      </c>
      <c r="BM31" s="254">
        <f t="shared" si="43"/>
        <v>600</v>
      </c>
      <c r="BN31" s="267">
        <f t="shared" si="44"/>
        <v>0</v>
      </c>
      <c r="BO31" s="268">
        <f>(BM31/'Finance Only'!B34)*100</f>
        <v>1.6511186328737719</v>
      </c>
      <c r="BP31" s="253">
        <f t="shared" si="45"/>
        <v>955770</v>
      </c>
      <c r="BQ31" s="253">
        <v>957500</v>
      </c>
      <c r="BR31" s="254">
        <f t="shared" si="46"/>
        <v>1730</v>
      </c>
      <c r="BS31" s="267">
        <f t="shared" si="47"/>
        <v>20</v>
      </c>
      <c r="BT31" s="268">
        <f>(BR31/'Finance Only'!B34)*100</f>
        <v>4.7607253914527092</v>
      </c>
      <c r="BU31" s="253">
        <f t="shared" si="48"/>
        <v>4566900</v>
      </c>
      <c r="BV31" s="253">
        <v>4571200</v>
      </c>
      <c r="BW31" s="254">
        <f t="shared" si="49"/>
        <v>4300</v>
      </c>
      <c r="BX31" s="267">
        <f t="shared" si="50"/>
        <v>100</v>
      </c>
      <c r="BY31" s="268">
        <f>(BW31/'Finance Only'!B34)*100</f>
        <v>11.833016868928699</v>
      </c>
      <c r="BZ31" s="253">
        <f t="shared" si="51"/>
        <v>748200</v>
      </c>
      <c r="CA31" s="253">
        <v>749480</v>
      </c>
      <c r="CB31" s="254">
        <f t="shared" si="52"/>
        <v>1280</v>
      </c>
      <c r="CC31" s="267">
        <f t="shared" si="53"/>
        <v>0</v>
      </c>
      <c r="CD31" s="268">
        <f>(CB31/'Finance Only'!B34)*100</f>
        <v>3.5223864167973802</v>
      </c>
      <c r="CE31" s="253">
        <f t="shared" si="54"/>
        <v>231060</v>
      </c>
      <c r="CF31" s="253">
        <v>231500</v>
      </c>
      <c r="CG31" s="254">
        <f t="shared" si="55"/>
        <v>440</v>
      </c>
      <c r="CH31" s="267">
        <f t="shared" si="56"/>
        <v>-30</v>
      </c>
      <c r="CI31" s="268">
        <f>(CG31/'Finance Only'!B34)*100</f>
        <v>1.2108203307740995</v>
      </c>
      <c r="CJ31" s="254">
        <f t="shared" si="57"/>
        <v>527140</v>
      </c>
      <c r="CK31" s="254">
        <v>528840</v>
      </c>
      <c r="CL31" s="254">
        <f t="shared" si="58"/>
        <v>1700</v>
      </c>
      <c r="CM31" s="267">
        <f t="shared" si="59"/>
        <v>410</v>
      </c>
      <c r="CN31" s="268">
        <f>(CL31/'Finance Only'!B34)*100</f>
        <v>4.6781694598090207</v>
      </c>
      <c r="CO31" s="253">
        <f t="shared" si="101"/>
        <v>427990</v>
      </c>
      <c r="CP31" s="253">
        <v>428960</v>
      </c>
      <c r="CQ31" s="255">
        <f t="shared" si="100"/>
        <v>970</v>
      </c>
      <c r="CR31" s="267">
        <f t="shared" si="60"/>
        <v>70</v>
      </c>
      <c r="CS31" s="268">
        <f>(CQ31/'Finance Only'!B34)*100</f>
        <v>2.6693084564792646</v>
      </c>
      <c r="CT31" s="253">
        <f t="shared" si="61"/>
        <v>361200</v>
      </c>
      <c r="CU31" s="253">
        <v>362150</v>
      </c>
      <c r="CV31" s="254">
        <f t="shared" si="62"/>
        <v>950</v>
      </c>
      <c r="CW31" s="267">
        <f t="shared" si="63"/>
        <v>-20</v>
      </c>
      <c r="CX31" s="268">
        <f>(CV31/'Finance Only'!B34)*100</f>
        <v>2.6142711687168059</v>
      </c>
      <c r="CY31" s="253">
        <f t="shared" si="64"/>
        <v>621800</v>
      </c>
      <c r="CZ31" s="253">
        <v>622860</v>
      </c>
      <c r="DA31" s="254">
        <f t="shared" si="65"/>
        <v>1060</v>
      </c>
      <c r="DB31" s="267">
        <f t="shared" si="66"/>
        <v>-10</v>
      </c>
      <c r="DC31" s="268">
        <f>(DA31/'Finance Only'!B34)*100</f>
        <v>2.9169762514103303</v>
      </c>
      <c r="DD31" s="253">
        <f t="shared" si="67"/>
        <v>468630</v>
      </c>
      <c r="DE31" s="253">
        <v>469570</v>
      </c>
      <c r="DF31" s="254">
        <f t="shared" si="68"/>
        <v>940</v>
      </c>
      <c r="DG31" s="267">
        <f t="shared" si="69"/>
        <v>-60</v>
      </c>
      <c r="DH31" s="268">
        <f>(DF31/'Finance Only'!B34)*100</f>
        <v>2.5867525248355761</v>
      </c>
      <c r="DI31" s="253">
        <f t="shared" si="70"/>
        <v>425890</v>
      </c>
      <c r="DJ31" s="253">
        <v>426650</v>
      </c>
      <c r="DK31" s="254">
        <f t="shared" si="71"/>
        <v>760</v>
      </c>
      <c r="DL31" s="267">
        <f t="shared" si="72"/>
        <v>20</v>
      </c>
      <c r="DM31" s="268">
        <f>(DK31/'Finance Only'!B34)*100</f>
        <v>2.0914169349734446</v>
      </c>
      <c r="DN31" s="253">
        <f t="shared" si="73"/>
        <v>246720</v>
      </c>
      <c r="DO31" s="253">
        <v>247110</v>
      </c>
      <c r="DP31" s="254">
        <f t="shared" si="74"/>
        <v>390</v>
      </c>
      <c r="DQ31" s="267">
        <f t="shared" si="75"/>
        <v>30</v>
      </c>
      <c r="DR31" s="268">
        <f>(DP31/'Finance Only'!B34)*100</f>
        <v>1.0732271113679517</v>
      </c>
      <c r="DS31" s="253">
        <f t="shared" si="76"/>
        <v>75182</v>
      </c>
      <c r="DT31" s="253">
        <v>75329</v>
      </c>
      <c r="DU31" s="254">
        <f t="shared" si="77"/>
        <v>147</v>
      </c>
      <c r="DV31" s="267">
        <f t="shared" si="78"/>
        <v>-7</v>
      </c>
      <c r="DW31" s="268">
        <f>(DU31/'Finance Only'!B34)*100</f>
        <v>0.40452406505407412</v>
      </c>
      <c r="DX31" s="253">
        <f t="shared" si="79"/>
        <v>484270</v>
      </c>
      <c r="DY31" s="253">
        <v>485070</v>
      </c>
      <c r="DZ31" s="254">
        <f t="shared" si="80"/>
        <v>800</v>
      </c>
      <c r="EA31" s="267">
        <f t="shared" si="81"/>
        <v>0</v>
      </c>
      <c r="EB31" s="268">
        <f>(DZ31/'Finance Only'!B34)*100</f>
        <v>2.2014915104983626</v>
      </c>
      <c r="EC31" s="253">
        <f t="shared" si="82"/>
        <v>154980</v>
      </c>
      <c r="ED31" s="253">
        <v>155270</v>
      </c>
      <c r="EE31" s="254">
        <f t="shared" si="83"/>
        <v>290</v>
      </c>
      <c r="EF31" s="267">
        <f t="shared" si="84"/>
        <v>10</v>
      </c>
      <c r="EG31" s="268">
        <f>(EE31/'Finance Only'!B34)*100</f>
        <v>0.79804067255565647</v>
      </c>
      <c r="EH31" s="253">
        <f t="shared" si="85"/>
        <v>157450</v>
      </c>
      <c r="EI31" s="253">
        <v>157810</v>
      </c>
      <c r="EJ31" s="254">
        <f t="shared" si="86"/>
        <v>360</v>
      </c>
      <c r="EK31" s="267">
        <f t="shared" si="87"/>
        <v>-10</v>
      </c>
      <c r="EL31" s="268">
        <f>(EJ31/'Finance Only'!B34)*100</f>
        <v>0.99067117972426311</v>
      </c>
      <c r="EM31" s="253">
        <f t="shared" si="88"/>
        <v>287210</v>
      </c>
      <c r="EN31" s="253">
        <v>287740</v>
      </c>
      <c r="EO31" s="254">
        <f t="shared" si="89"/>
        <v>530</v>
      </c>
      <c r="EP31" s="267">
        <f t="shared" si="90"/>
        <v>-20</v>
      </c>
      <c r="EQ31" s="268">
        <f>(EO31/'Finance Only'!B34)*100</f>
        <v>1.4584881257051652</v>
      </c>
      <c r="ER31" s="253">
        <f t="shared" si="91"/>
        <v>0</v>
      </c>
      <c r="ES31" s="253"/>
      <c r="ET31" s="254">
        <f t="shared" si="92"/>
        <v>0</v>
      </c>
      <c r="EU31" s="267">
        <f t="shared" si="93"/>
        <v>0</v>
      </c>
      <c r="EV31" s="268">
        <f>(ET31/'Finance Only'!B34)*100</f>
        <v>0</v>
      </c>
      <c r="EW31" s="253">
        <f t="shared" si="94"/>
        <v>130380</v>
      </c>
      <c r="EX31" s="253">
        <v>135160</v>
      </c>
      <c r="EY31" s="254">
        <f t="shared" si="95"/>
        <v>4780</v>
      </c>
      <c r="EZ31" s="267">
        <f t="shared" si="96"/>
        <v>310</v>
      </c>
      <c r="FA31" s="268" t="e">
        <f>(EY31/'Finance Only'!G34)*100</f>
        <v>#DIV/0!</v>
      </c>
      <c r="FB31" s="253">
        <f t="shared" si="97"/>
        <v>806850</v>
      </c>
      <c r="FC31" s="253">
        <v>808670</v>
      </c>
      <c r="FD31" s="254">
        <f t="shared" si="98"/>
        <v>1820</v>
      </c>
      <c r="FE31" s="267">
        <f t="shared" si="99"/>
        <v>-110</v>
      </c>
      <c r="FF31" s="268" t="e">
        <f>(FD31/'Finance Only'!M34)*100</f>
        <v>#DIV/0!</v>
      </c>
      <c r="FG31" s="319"/>
      <c r="FH31" s="325">
        <f t="shared" si="0"/>
        <v>8658</v>
      </c>
      <c r="FI31" s="322"/>
      <c r="FJ31" s="325">
        <f t="shared" si="1"/>
        <v>6802</v>
      </c>
      <c r="FK31" s="322"/>
      <c r="FL31" s="325">
        <f t="shared" si="2"/>
        <v>3190</v>
      </c>
      <c r="FM31" s="322"/>
      <c r="FN31" s="325">
        <f t="shared" si="3"/>
        <v>2286</v>
      </c>
      <c r="FO31" s="322"/>
      <c r="FP31" s="325">
        <f t="shared" si="4"/>
        <v>2330</v>
      </c>
      <c r="FQ31" s="322"/>
      <c r="FR31" s="325">
        <f t="shared" si="5"/>
        <v>6600</v>
      </c>
      <c r="FS31" s="322"/>
    </row>
    <row r="32" spans="1:1084" s="3" customFormat="1" ht="13.5" customHeight="1" x14ac:dyDescent="0.2">
      <c r="A32" s="310">
        <v>28</v>
      </c>
      <c r="B32" s="313">
        <f>'Finance Only'!G35</f>
        <v>0</v>
      </c>
      <c r="C32" s="308">
        <f t="shared" si="6"/>
        <v>26160754</v>
      </c>
      <c r="D32" s="251">
        <v>26164011</v>
      </c>
      <c r="E32" s="252">
        <f t="shared" si="7"/>
        <v>3257</v>
      </c>
      <c r="F32" s="263">
        <f t="shared" si="8"/>
        <v>28</v>
      </c>
      <c r="G32" s="264">
        <f>(E32/'Finance Only'!B35)*100</f>
        <v>10.713463372915365</v>
      </c>
      <c r="H32" s="274">
        <f t="shared" si="9"/>
        <v>23659812</v>
      </c>
      <c r="I32" s="251">
        <v>23665129</v>
      </c>
      <c r="J32" s="251">
        <f t="shared" si="10"/>
        <v>5317</v>
      </c>
      <c r="K32" s="275">
        <f t="shared" si="11"/>
        <v>-112</v>
      </c>
      <c r="L32" s="276">
        <f>(J32/'Finance Only'!B35)*100</f>
        <v>17.489556264596558</v>
      </c>
      <c r="M32" s="259">
        <f t="shared" si="12"/>
        <v>88752534</v>
      </c>
      <c r="N32" s="253">
        <v>88766679</v>
      </c>
      <c r="O32" s="254">
        <f t="shared" si="13"/>
        <v>14145</v>
      </c>
      <c r="P32" s="267">
        <f t="shared" si="14"/>
        <v>210</v>
      </c>
      <c r="Q32" s="268">
        <f>(O32/'Finance Only'!B35)*100</f>
        <v>46.528074734383736</v>
      </c>
      <c r="R32" s="258">
        <f t="shared" si="15"/>
        <v>2421600</v>
      </c>
      <c r="S32" s="253">
        <v>2423500</v>
      </c>
      <c r="T32" s="254">
        <f t="shared" si="16"/>
        <v>1900</v>
      </c>
      <c r="U32" s="267">
        <f t="shared" si="17"/>
        <v>100</v>
      </c>
      <c r="V32" s="268">
        <f>(T32/'Finance Only'!B35)*100</f>
        <v>6.2497944146574129</v>
      </c>
      <c r="W32" s="253">
        <f t="shared" si="18"/>
        <v>3323673</v>
      </c>
      <c r="X32" s="253">
        <v>3326751</v>
      </c>
      <c r="Y32" s="254">
        <f t="shared" si="19"/>
        <v>3078</v>
      </c>
      <c r="Z32" s="267">
        <f t="shared" si="20"/>
        <v>56</v>
      </c>
      <c r="AA32" s="268">
        <f>(Y32/'Finance Only'!B35)*100</f>
        <v>10.124666951745008</v>
      </c>
      <c r="AB32" s="253">
        <f t="shared" si="21"/>
        <v>2083500</v>
      </c>
      <c r="AC32" s="253">
        <v>2085900</v>
      </c>
      <c r="AD32" s="254">
        <f t="shared" si="22"/>
        <v>2400</v>
      </c>
      <c r="AE32" s="267">
        <f t="shared" si="23"/>
        <v>100</v>
      </c>
      <c r="AF32" s="268">
        <f>(AD32/'Finance Only'!B35)*100</f>
        <v>7.8944771553567312</v>
      </c>
      <c r="AG32" s="253">
        <f t="shared" si="24"/>
        <v>909028</v>
      </c>
      <c r="AH32" s="253">
        <v>909917</v>
      </c>
      <c r="AI32" s="254">
        <f t="shared" si="25"/>
        <v>889</v>
      </c>
      <c r="AJ32" s="267">
        <f t="shared" si="26"/>
        <v>-1</v>
      </c>
      <c r="AK32" s="268">
        <f>(AI32/'Finance Only'!B35)*100</f>
        <v>2.9242459129633893</v>
      </c>
      <c r="AL32" s="253">
        <f t="shared" si="27"/>
        <v>913820</v>
      </c>
      <c r="AM32" s="253">
        <v>914520</v>
      </c>
      <c r="AN32" s="254">
        <f t="shared" si="28"/>
        <v>700</v>
      </c>
      <c r="AO32" s="267">
        <f t="shared" si="29"/>
        <v>10</v>
      </c>
      <c r="AP32" s="268">
        <f>(AN32/'Finance Only'!B35)*100</f>
        <v>2.3025558369790469</v>
      </c>
      <c r="AQ32" s="253">
        <f t="shared" si="30"/>
        <v>2054200</v>
      </c>
      <c r="AR32" s="253">
        <v>2056800</v>
      </c>
      <c r="AS32" s="254">
        <f t="shared" si="31"/>
        <v>2600</v>
      </c>
      <c r="AT32" s="267">
        <f t="shared" si="32"/>
        <v>100</v>
      </c>
      <c r="AU32" s="268">
        <f>(AS32/'Finance Only'!B35)*100</f>
        <v>8.5523502516364598</v>
      </c>
      <c r="AV32" s="253">
        <f t="shared" si="33"/>
        <v>593264</v>
      </c>
      <c r="AW32" s="253">
        <v>593735</v>
      </c>
      <c r="AX32" s="254">
        <f t="shared" si="34"/>
        <v>471</v>
      </c>
      <c r="AY32" s="267">
        <f t="shared" si="35"/>
        <v>5</v>
      </c>
      <c r="AZ32" s="268">
        <f>(AX32/'Finance Only'!B35)*100</f>
        <v>1.5492911417387587</v>
      </c>
      <c r="BA32" s="253">
        <f t="shared" si="36"/>
        <v>849650</v>
      </c>
      <c r="BB32" s="253">
        <v>850540</v>
      </c>
      <c r="BC32" s="254">
        <f t="shared" si="37"/>
        <v>890</v>
      </c>
      <c r="BD32" s="267">
        <f t="shared" si="38"/>
        <v>-40</v>
      </c>
      <c r="BE32" s="268">
        <f>(BC32/'Finance Only'!B35)*100</f>
        <v>2.9275352784447879</v>
      </c>
      <c r="BF32" s="253">
        <f t="shared" si="39"/>
        <v>935140</v>
      </c>
      <c r="BG32" s="253">
        <v>936050</v>
      </c>
      <c r="BH32" s="254">
        <f t="shared" si="40"/>
        <v>910</v>
      </c>
      <c r="BI32" s="267">
        <f t="shared" si="41"/>
        <v>20</v>
      </c>
      <c r="BJ32" s="268">
        <f>(BH32/'Finance Only'!B35)*100</f>
        <v>2.9933225880727607</v>
      </c>
      <c r="BK32" s="253">
        <f t="shared" si="42"/>
        <v>1431300</v>
      </c>
      <c r="BL32" s="253">
        <v>1431900</v>
      </c>
      <c r="BM32" s="254">
        <f t="shared" si="43"/>
        <v>600</v>
      </c>
      <c r="BN32" s="267">
        <f t="shared" si="44"/>
        <v>0</v>
      </c>
      <c r="BO32" s="268">
        <f>(BM32/'Finance Only'!B35)*100</f>
        <v>1.9736192888391828</v>
      </c>
      <c r="BP32" s="253">
        <f t="shared" si="45"/>
        <v>957500</v>
      </c>
      <c r="BQ32" s="253">
        <v>959100</v>
      </c>
      <c r="BR32" s="254">
        <f t="shared" si="46"/>
        <v>1600</v>
      </c>
      <c r="BS32" s="267">
        <f t="shared" si="47"/>
        <v>-130</v>
      </c>
      <c r="BT32" s="268">
        <f>(BR32/'Finance Only'!B35)*100</f>
        <v>5.2629847702378214</v>
      </c>
      <c r="BU32" s="253">
        <f t="shared" si="48"/>
        <v>4571200</v>
      </c>
      <c r="BV32" s="253">
        <v>4575800</v>
      </c>
      <c r="BW32" s="254">
        <f t="shared" si="49"/>
        <v>4600</v>
      </c>
      <c r="BX32" s="267">
        <f t="shared" si="50"/>
        <v>300</v>
      </c>
      <c r="BY32" s="268">
        <f>(BW32/'Finance Only'!B35)*100</f>
        <v>15.131081214433737</v>
      </c>
      <c r="BZ32" s="253">
        <f t="shared" si="51"/>
        <v>749480</v>
      </c>
      <c r="CA32" s="253">
        <v>750800</v>
      </c>
      <c r="CB32" s="254">
        <f t="shared" si="52"/>
        <v>1320</v>
      </c>
      <c r="CC32" s="267">
        <f t="shared" si="53"/>
        <v>40</v>
      </c>
      <c r="CD32" s="268">
        <f>(CB32/'Finance Only'!B35)*100</f>
        <v>4.3419624354462023</v>
      </c>
      <c r="CE32" s="253">
        <f t="shared" si="54"/>
        <v>231500</v>
      </c>
      <c r="CF32" s="253">
        <v>231980</v>
      </c>
      <c r="CG32" s="254">
        <f t="shared" si="55"/>
        <v>480</v>
      </c>
      <c r="CH32" s="267">
        <f t="shared" si="56"/>
        <v>40</v>
      </c>
      <c r="CI32" s="268">
        <f>(CG32/'Finance Only'!B35)*100</f>
        <v>1.5788954310713463</v>
      </c>
      <c r="CJ32" s="254">
        <f t="shared" si="57"/>
        <v>528840</v>
      </c>
      <c r="CK32" s="254">
        <v>529710</v>
      </c>
      <c r="CL32" s="254">
        <f t="shared" si="58"/>
        <v>870</v>
      </c>
      <c r="CM32" s="267">
        <f t="shared" si="59"/>
        <v>-830</v>
      </c>
      <c r="CN32" s="268">
        <f>(CL32/'Finance Only'!B35)*100</f>
        <v>2.861747968816815</v>
      </c>
      <c r="CO32" s="253">
        <f t="shared" si="101"/>
        <v>428960</v>
      </c>
      <c r="CP32" s="253">
        <v>429820</v>
      </c>
      <c r="CQ32" s="255">
        <f t="shared" si="100"/>
        <v>860</v>
      </c>
      <c r="CR32" s="267">
        <f t="shared" si="60"/>
        <v>-110</v>
      </c>
      <c r="CS32" s="268">
        <f>(CQ32/'Finance Only'!B35)*100</f>
        <v>2.8288543140028288</v>
      </c>
      <c r="CT32" s="253">
        <f t="shared" si="61"/>
        <v>362150</v>
      </c>
      <c r="CU32" s="253">
        <v>362960</v>
      </c>
      <c r="CV32" s="254">
        <f t="shared" si="62"/>
        <v>810</v>
      </c>
      <c r="CW32" s="267">
        <f t="shared" si="63"/>
        <v>-140</v>
      </c>
      <c r="CX32" s="268">
        <f>(CV32/'Finance Only'!B35)*100</f>
        <v>2.6643860399328969</v>
      </c>
      <c r="CY32" s="253">
        <f t="shared" si="64"/>
        <v>622860</v>
      </c>
      <c r="CZ32" s="253">
        <v>624010</v>
      </c>
      <c r="DA32" s="254">
        <f t="shared" si="65"/>
        <v>1150</v>
      </c>
      <c r="DB32" s="267">
        <f t="shared" si="66"/>
        <v>90</v>
      </c>
      <c r="DC32" s="268">
        <f>(DA32/'Finance Only'!B35)*100</f>
        <v>3.7827703036084341</v>
      </c>
      <c r="DD32" s="253">
        <f t="shared" si="67"/>
        <v>469570</v>
      </c>
      <c r="DE32" s="253">
        <v>470060</v>
      </c>
      <c r="DF32" s="254">
        <f t="shared" si="68"/>
        <v>490</v>
      </c>
      <c r="DG32" s="267">
        <f t="shared" si="69"/>
        <v>-450</v>
      </c>
      <c r="DH32" s="268">
        <f>(DF32/'Finance Only'!B35)*100</f>
        <v>1.6117890858853328</v>
      </c>
      <c r="DI32" s="253">
        <f t="shared" si="70"/>
        <v>426650</v>
      </c>
      <c r="DJ32" s="253">
        <v>427150</v>
      </c>
      <c r="DK32" s="254">
        <f t="shared" si="71"/>
        <v>500</v>
      </c>
      <c r="DL32" s="267">
        <f t="shared" si="72"/>
        <v>-260</v>
      </c>
      <c r="DM32" s="268">
        <f>(DK32/'Finance Only'!B35)*100</f>
        <v>1.644682740699319</v>
      </c>
      <c r="DN32" s="253">
        <f t="shared" si="73"/>
        <v>247110</v>
      </c>
      <c r="DO32" s="253">
        <v>247440</v>
      </c>
      <c r="DP32" s="254">
        <f t="shared" si="74"/>
        <v>330</v>
      </c>
      <c r="DQ32" s="267">
        <f t="shared" si="75"/>
        <v>-60</v>
      </c>
      <c r="DR32" s="268">
        <f>(DP32/'Finance Only'!B35)*100</f>
        <v>1.0854906088615506</v>
      </c>
      <c r="DS32" s="253">
        <f t="shared" si="76"/>
        <v>75329</v>
      </c>
      <c r="DT32" s="253">
        <v>75481</v>
      </c>
      <c r="DU32" s="254">
        <f t="shared" si="77"/>
        <v>152</v>
      </c>
      <c r="DV32" s="267">
        <f t="shared" si="78"/>
        <v>5</v>
      </c>
      <c r="DW32" s="268">
        <f>(DU32/'Finance Only'!B35)*100</f>
        <v>0.49998355317259302</v>
      </c>
      <c r="DX32" s="253">
        <f t="shared" si="79"/>
        <v>485070</v>
      </c>
      <c r="DY32" s="253">
        <v>485070</v>
      </c>
      <c r="DZ32" s="254">
        <f t="shared" si="80"/>
        <v>0</v>
      </c>
      <c r="EA32" s="267">
        <f t="shared" si="81"/>
        <v>-800</v>
      </c>
      <c r="EB32" s="268">
        <f>(DZ32/'Finance Only'!B35)*100</f>
        <v>0</v>
      </c>
      <c r="EC32" s="253">
        <f t="shared" si="82"/>
        <v>155270</v>
      </c>
      <c r="ED32" s="253">
        <v>155610</v>
      </c>
      <c r="EE32" s="254">
        <f t="shared" si="83"/>
        <v>340</v>
      </c>
      <c r="EF32" s="267">
        <f t="shared" si="84"/>
        <v>50</v>
      </c>
      <c r="EG32" s="268">
        <f>(EE32/'Finance Only'!B35)*100</f>
        <v>1.118384263675537</v>
      </c>
      <c r="EH32" s="253">
        <f t="shared" si="85"/>
        <v>157810</v>
      </c>
      <c r="EI32" s="253">
        <v>158020</v>
      </c>
      <c r="EJ32" s="254">
        <f t="shared" si="86"/>
        <v>210</v>
      </c>
      <c r="EK32" s="267">
        <f t="shared" si="87"/>
        <v>-150</v>
      </c>
      <c r="EL32" s="268">
        <f>(EJ32/'Finance Only'!B35)*100</f>
        <v>0.69076675109371399</v>
      </c>
      <c r="EM32" s="253">
        <f t="shared" si="88"/>
        <v>287740</v>
      </c>
      <c r="EN32" s="253">
        <v>288230</v>
      </c>
      <c r="EO32" s="254">
        <f t="shared" si="89"/>
        <v>490</v>
      </c>
      <c r="EP32" s="267">
        <f t="shared" si="90"/>
        <v>-40</v>
      </c>
      <c r="EQ32" s="268">
        <f>(EO32/'Finance Only'!B35)*100</f>
        <v>1.6117890858853328</v>
      </c>
      <c r="ER32" s="253">
        <f t="shared" si="91"/>
        <v>0</v>
      </c>
      <c r="ES32" s="253"/>
      <c r="ET32" s="254">
        <f t="shared" si="92"/>
        <v>0</v>
      </c>
      <c r="EU32" s="267">
        <f t="shared" si="93"/>
        <v>0</v>
      </c>
      <c r="EV32" s="268">
        <f>(ET32/'Finance Only'!B35)*100</f>
        <v>0</v>
      </c>
      <c r="EW32" s="253">
        <f t="shared" si="94"/>
        <v>135160</v>
      </c>
      <c r="EX32" s="253">
        <v>139100</v>
      </c>
      <c r="EY32" s="254">
        <f t="shared" si="95"/>
        <v>3940</v>
      </c>
      <c r="EZ32" s="267">
        <f t="shared" si="96"/>
        <v>-840</v>
      </c>
      <c r="FA32" s="268" t="e">
        <f>(EY32/'Finance Only'!G35)*100</f>
        <v>#DIV/0!</v>
      </c>
      <c r="FB32" s="253">
        <f t="shared" si="97"/>
        <v>808670</v>
      </c>
      <c r="FC32" s="253">
        <v>811090</v>
      </c>
      <c r="FD32" s="254">
        <f t="shared" si="98"/>
        <v>2420</v>
      </c>
      <c r="FE32" s="267">
        <f t="shared" si="99"/>
        <v>600</v>
      </c>
      <c r="FF32" s="268" t="e">
        <f>(FD32/'Finance Only'!M35)*100</f>
        <v>#DIV/0!</v>
      </c>
      <c r="FG32" s="319"/>
      <c r="FH32" s="325">
        <f t="shared" si="0"/>
        <v>8574</v>
      </c>
      <c r="FI32" s="322"/>
      <c r="FJ32" s="325">
        <f t="shared" si="1"/>
        <v>6018</v>
      </c>
      <c r="FK32" s="322"/>
      <c r="FL32" s="325">
        <f t="shared" si="2"/>
        <v>3300</v>
      </c>
      <c r="FM32" s="322"/>
      <c r="FN32" s="325">
        <f t="shared" si="3"/>
        <v>2271</v>
      </c>
      <c r="FO32" s="322"/>
      <c r="FP32" s="325">
        <f t="shared" si="4"/>
        <v>2200</v>
      </c>
      <c r="FQ32" s="322"/>
      <c r="FR32" s="325">
        <f t="shared" si="5"/>
        <v>6360</v>
      </c>
      <c r="FS32" s="322"/>
    </row>
    <row r="33" spans="1:175" s="3" customFormat="1" ht="13.5" customHeight="1" x14ac:dyDescent="0.2">
      <c r="A33" s="310">
        <v>29</v>
      </c>
      <c r="B33" s="313">
        <f>'Finance Only'!G36</f>
        <v>0</v>
      </c>
      <c r="C33" s="308">
        <f t="shared" si="6"/>
        <v>26164011</v>
      </c>
      <c r="D33" s="251">
        <v>26167150</v>
      </c>
      <c r="E33" s="252">
        <f t="shared" si="7"/>
        <v>3139</v>
      </c>
      <c r="F33" s="263">
        <f t="shared" si="8"/>
        <v>-118</v>
      </c>
      <c r="G33" s="264">
        <f>(E33/'Finance Only'!B36)*100</f>
        <v>14.373368743990108</v>
      </c>
      <c r="H33" s="274">
        <f t="shared" si="9"/>
        <v>23665129</v>
      </c>
      <c r="I33" s="251">
        <v>23670711</v>
      </c>
      <c r="J33" s="251">
        <f t="shared" si="10"/>
        <v>5582</v>
      </c>
      <c r="K33" s="275">
        <f t="shared" si="11"/>
        <v>265</v>
      </c>
      <c r="L33" s="276">
        <f>(J33/'Finance Only'!B36)*100</f>
        <v>25.559778378130865</v>
      </c>
      <c r="M33" s="259">
        <f t="shared" si="12"/>
        <v>88766679</v>
      </c>
      <c r="N33" s="253">
        <v>88781134</v>
      </c>
      <c r="O33" s="254">
        <f t="shared" si="13"/>
        <v>14455</v>
      </c>
      <c r="P33" s="267">
        <f t="shared" si="14"/>
        <v>310</v>
      </c>
      <c r="Q33" s="268">
        <f>(O33/'Finance Only'!B36)*100</f>
        <v>66.188928064471824</v>
      </c>
      <c r="R33" s="258">
        <f t="shared" si="15"/>
        <v>2423500</v>
      </c>
      <c r="S33" s="253">
        <v>2425400</v>
      </c>
      <c r="T33" s="254">
        <f t="shared" si="16"/>
        <v>1900</v>
      </c>
      <c r="U33" s="267">
        <f t="shared" si="17"/>
        <v>0</v>
      </c>
      <c r="V33" s="268">
        <f>(T33/'Finance Only'!B36)*100</f>
        <v>8.700032052749668</v>
      </c>
      <c r="W33" s="253">
        <f t="shared" si="18"/>
        <v>3326751</v>
      </c>
      <c r="X33" s="253">
        <v>3329841</v>
      </c>
      <c r="Y33" s="254">
        <f t="shared" si="19"/>
        <v>3090</v>
      </c>
      <c r="Z33" s="267">
        <f t="shared" si="20"/>
        <v>12</v>
      </c>
      <c r="AA33" s="268">
        <f>(Y33/'Finance Only'!B36)*100</f>
        <v>14.148999496313932</v>
      </c>
      <c r="AB33" s="253">
        <f t="shared" si="21"/>
        <v>2085900</v>
      </c>
      <c r="AC33" s="254">
        <v>2088300</v>
      </c>
      <c r="AD33" s="254">
        <f t="shared" si="22"/>
        <v>2400</v>
      </c>
      <c r="AE33" s="267">
        <f t="shared" si="23"/>
        <v>0</v>
      </c>
      <c r="AF33" s="268">
        <f>(AD33/'Finance Only'!B36)*100</f>
        <v>10.989514171894317</v>
      </c>
      <c r="AG33" s="253">
        <f t="shared" si="24"/>
        <v>909917</v>
      </c>
      <c r="AH33" s="253">
        <v>910874</v>
      </c>
      <c r="AI33" s="254">
        <f t="shared" si="25"/>
        <v>957</v>
      </c>
      <c r="AJ33" s="267">
        <f t="shared" si="26"/>
        <v>68</v>
      </c>
      <c r="AK33" s="268">
        <f>(AI33/'Finance Only'!B36)*100</f>
        <v>4.3820687760428596</v>
      </c>
      <c r="AL33" s="253">
        <f t="shared" si="27"/>
        <v>914520</v>
      </c>
      <c r="AM33" s="253">
        <v>915260</v>
      </c>
      <c r="AN33" s="254">
        <f t="shared" si="28"/>
        <v>740</v>
      </c>
      <c r="AO33" s="267">
        <f t="shared" si="29"/>
        <v>40</v>
      </c>
      <c r="AP33" s="268">
        <f>(AN33/'Finance Only'!B36)*100</f>
        <v>3.3884335363340812</v>
      </c>
      <c r="AQ33" s="253">
        <f t="shared" si="30"/>
        <v>2056800</v>
      </c>
      <c r="AR33" s="253">
        <v>2059000</v>
      </c>
      <c r="AS33" s="254">
        <f t="shared" si="31"/>
        <v>2200</v>
      </c>
      <c r="AT33" s="267">
        <f t="shared" si="32"/>
        <v>-400</v>
      </c>
      <c r="AU33" s="268">
        <f>(AS33/'Finance Only'!B36)*100</f>
        <v>10.073721324236457</v>
      </c>
      <c r="AV33" s="253">
        <f t="shared" si="33"/>
        <v>593735</v>
      </c>
      <c r="AW33" s="253">
        <v>594179</v>
      </c>
      <c r="AX33" s="254">
        <f t="shared" si="34"/>
        <v>444</v>
      </c>
      <c r="AY33" s="267">
        <f t="shared" si="35"/>
        <v>-27</v>
      </c>
      <c r="AZ33" s="268">
        <f>(AX33/'Finance Only'!B36)*100</f>
        <v>2.0330601218004487</v>
      </c>
      <c r="BA33" s="253">
        <f t="shared" si="36"/>
        <v>850540</v>
      </c>
      <c r="BB33" s="253">
        <v>851480</v>
      </c>
      <c r="BC33" s="254">
        <f t="shared" si="37"/>
        <v>940</v>
      </c>
      <c r="BD33" s="267">
        <f t="shared" si="38"/>
        <v>50</v>
      </c>
      <c r="BE33" s="268">
        <f>(BC33/'Finance Only'!B36)*100</f>
        <v>4.3042263839919412</v>
      </c>
      <c r="BF33" s="253">
        <f t="shared" si="39"/>
        <v>936050</v>
      </c>
      <c r="BG33" s="253">
        <v>936970</v>
      </c>
      <c r="BH33" s="254">
        <f t="shared" si="40"/>
        <v>920</v>
      </c>
      <c r="BI33" s="267">
        <f t="shared" si="41"/>
        <v>10</v>
      </c>
      <c r="BJ33" s="268">
        <f>(BH33/'Finance Only'!B36)*100</f>
        <v>4.2126470992261549</v>
      </c>
      <c r="BK33" s="253">
        <f t="shared" si="42"/>
        <v>1431900</v>
      </c>
      <c r="BL33" s="253">
        <v>1432600</v>
      </c>
      <c r="BM33" s="254">
        <f t="shared" si="43"/>
        <v>700</v>
      </c>
      <c r="BN33" s="267">
        <f t="shared" si="44"/>
        <v>100</v>
      </c>
      <c r="BO33" s="268">
        <f>(BM33/'Finance Only'!B36)*100</f>
        <v>3.2052749668025093</v>
      </c>
      <c r="BP33" s="253">
        <f t="shared" si="45"/>
        <v>959100</v>
      </c>
      <c r="BQ33" s="253">
        <v>960870</v>
      </c>
      <c r="BR33" s="254">
        <f t="shared" si="46"/>
        <v>1770</v>
      </c>
      <c r="BS33" s="267">
        <f t="shared" si="47"/>
        <v>170</v>
      </c>
      <c r="BT33" s="268">
        <f>(BR33/'Finance Only'!B36)*100</f>
        <v>8.1047667017720588</v>
      </c>
      <c r="BU33" s="253">
        <f t="shared" si="48"/>
        <v>4575800</v>
      </c>
      <c r="BV33" s="253">
        <v>4580500</v>
      </c>
      <c r="BW33" s="254">
        <f t="shared" si="49"/>
        <v>4700</v>
      </c>
      <c r="BX33" s="267">
        <f t="shared" si="50"/>
        <v>100</v>
      </c>
      <c r="BY33" s="268">
        <f>(BW33/'Finance Only'!B36)*100</f>
        <v>21.521131919959704</v>
      </c>
      <c r="BZ33" s="253">
        <f t="shared" si="51"/>
        <v>750800</v>
      </c>
      <c r="CA33" s="253">
        <v>752090</v>
      </c>
      <c r="CB33" s="254">
        <f t="shared" si="52"/>
        <v>1290</v>
      </c>
      <c r="CC33" s="267">
        <f t="shared" si="53"/>
        <v>-30</v>
      </c>
      <c r="CD33" s="268">
        <f>(CB33/'Finance Only'!B36)*100</f>
        <v>5.9068638673931959</v>
      </c>
      <c r="CE33" s="253">
        <f t="shared" si="54"/>
        <v>231980</v>
      </c>
      <c r="CF33" s="253">
        <v>232390</v>
      </c>
      <c r="CG33" s="254">
        <f t="shared" si="55"/>
        <v>410</v>
      </c>
      <c r="CH33" s="267">
        <f t="shared" si="56"/>
        <v>-70</v>
      </c>
      <c r="CI33" s="268">
        <f>(CG33/'Finance Only'!B36)*100</f>
        <v>1.8773753376986126</v>
      </c>
      <c r="CJ33" s="254">
        <f t="shared" si="57"/>
        <v>529710</v>
      </c>
      <c r="CK33" s="254">
        <v>531730</v>
      </c>
      <c r="CL33" s="254">
        <f t="shared" si="58"/>
        <v>2020</v>
      </c>
      <c r="CM33" s="267">
        <f t="shared" si="59"/>
        <v>1150</v>
      </c>
      <c r="CN33" s="268">
        <f>(CL33/'Finance Only'!B36)*100</f>
        <v>9.2495077613443826</v>
      </c>
      <c r="CO33" s="253">
        <f t="shared" si="101"/>
        <v>429820</v>
      </c>
      <c r="CP33" s="253">
        <v>430790</v>
      </c>
      <c r="CQ33" s="255">
        <f t="shared" si="100"/>
        <v>970</v>
      </c>
      <c r="CR33" s="267">
        <f t="shared" si="60"/>
        <v>110</v>
      </c>
      <c r="CS33" s="268">
        <f>(CQ33/'Finance Only'!B36)*100</f>
        <v>4.4415953111406195</v>
      </c>
      <c r="CT33" s="253">
        <f t="shared" si="61"/>
        <v>362960</v>
      </c>
      <c r="CU33" s="253">
        <v>363970</v>
      </c>
      <c r="CV33" s="254">
        <f t="shared" si="62"/>
        <v>1010</v>
      </c>
      <c r="CW33" s="267">
        <f t="shared" si="63"/>
        <v>200</v>
      </c>
      <c r="CX33" s="268">
        <f>(CV33/'Finance Only'!B36)*100</f>
        <v>4.6247538806721913</v>
      </c>
      <c r="CY33" s="253">
        <f t="shared" si="64"/>
        <v>624010</v>
      </c>
      <c r="CZ33" s="253">
        <v>625040</v>
      </c>
      <c r="DA33" s="254">
        <f t="shared" si="65"/>
        <v>1030</v>
      </c>
      <c r="DB33" s="267">
        <f t="shared" si="66"/>
        <v>-120</v>
      </c>
      <c r="DC33" s="268">
        <f>(DA33/'Finance Only'!B36)*100</f>
        <v>4.7163331654379785</v>
      </c>
      <c r="DD33" s="253">
        <f t="shared" si="67"/>
        <v>470060</v>
      </c>
      <c r="DE33" s="253">
        <v>471600</v>
      </c>
      <c r="DF33" s="254">
        <f t="shared" si="68"/>
        <v>1540</v>
      </c>
      <c r="DG33" s="267">
        <f t="shared" si="69"/>
        <v>1050</v>
      </c>
      <c r="DH33" s="268">
        <f>(DF33/'Finance Only'!B36)*100</f>
        <v>7.0516049269655197</v>
      </c>
      <c r="DI33" s="253">
        <f t="shared" si="70"/>
        <v>427150</v>
      </c>
      <c r="DJ33" s="253">
        <v>428340</v>
      </c>
      <c r="DK33" s="254">
        <f t="shared" si="71"/>
        <v>1190</v>
      </c>
      <c r="DL33" s="267">
        <f t="shared" si="72"/>
        <v>690</v>
      </c>
      <c r="DM33" s="268">
        <f>(DK33/'Finance Only'!B36)*100</f>
        <v>5.4489674435642659</v>
      </c>
      <c r="DN33" s="253">
        <f t="shared" si="73"/>
        <v>247440</v>
      </c>
      <c r="DO33" s="253">
        <v>247900</v>
      </c>
      <c r="DP33" s="254">
        <f t="shared" si="74"/>
        <v>460</v>
      </c>
      <c r="DQ33" s="267">
        <f t="shared" si="75"/>
        <v>130</v>
      </c>
      <c r="DR33" s="268">
        <f>(DP33/'Finance Only'!B36)*100</f>
        <v>2.1063235496130774</v>
      </c>
      <c r="DS33" s="253">
        <f t="shared" si="76"/>
        <v>75481</v>
      </c>
      <c r="DT33" s="253">
        <v>75616</v>
      </c>
      <c r="DU33" s="254">
        <f t="shared" si="77"/>
        <v>135</v>
      </c>
      <c r="DV33" s="267">
        <f t="shared" si="78"/>
        <v>-17</v>
      </c>
      <c r="DW33" s="268">
        <f>(DU33/'Finance Only'!B36)*100</f>
        <v>0.61816017216905539</v>
      </c>
      <c r="DX33" s="253">
        <f t="shared" si="79"/>
        <v>485070</v>
      </c>
      <c r="DY33" s="253">
        <v>485640</v>
      </c>
      <c r="DZ33" s="254">
        <f t="shared" si="80"/>
        <v>570</v>
      </c>
      <c r="EA33" s="267">
        <f t="shared" si="81"/>
        <v>570</v>
      </c>
      <c r="EB33" s="268">
        <f>(DZ33/'Finance Only'!B36)*100</f>
        <v>2.6100096158249002</v>
      </c>
      <c r="EC33" s="253">
        <f t="shared" si="82"/>
        <v>155610</v>
      </c>
      <c r="ED33" s="253">
        <v>155880</v>
      </c>
      <c r="EE33" s="254">
        <f t="shared" si="83"/>
        <v>270</v>
      </c>
      <c r="EF33" s="267">
        <f t="shared" si="84"/>
        <v>-70</v>
      </c>
      <c r="EG33" s="268">
        <f>(EE33/'Finance Only'!B36)*100</f>
        <v>1.2363203443381108</v>
      </c>
      <c r="EH33" s="253">
        <f t="shared" si="85"/>
        <v>158020</v>
      </c>
      <c r="EI33" s="253">
        <v>158380</v>
      </c>
      <c r="EJ33" s="254">
        <f t="shared" si="86"/>
        <v>360</v>
      </c>
      <c r="EK33" s="267">
        <f t="shared" si="87"/>
        <v>150</v>
      </c>
      <c r="EL33" s="268">
        <f>(EJ33/'Finance Only'!B36)*100</f>
        <v>1.6484271257841476</v>
      </c>
      <c r="EM33" s="253">
        <f t="shared" si="88"/>
        <v>288230</v>
      </c>
      <c r="EN33" s="253">
        <v>288830</v>
      </c>
      <c r="EO33" s="254">
        <f t="shared" si="89"/>
        <v>600</v>
      </c>
      <c r="EP33" s="267">
        <f t="shared" si="90"/>
        <v>110</v>
      </c>
      <c r="EQ33" s="268">
        <f>(EO33/'Finance Only'!B36)*100</f>
        <v>2.7473785429735793</v>
      </c>
      <c r="ER33" s="253">
        <f t="shared" si="91"/>
        <v>0</v>
      </c>
      <c r="ES33" s="253"/>
      <c r="ET33" s="254">
        <f t="shared" si="92"/>
        <v>0</v>
      </c>
      <c r="EU33" s="267">
        <f t="shared" si="93"/>
        <v>0</v>
      </c>
      <c r="EV33" s="268">
        <f>(ET33/'Finance Only'!B36)*100</f>
        <v>0</v>
      </c>
      <c r="EW33" s="253">
        <f t="shared" si="94"/>
        <v>139100</v>
      </c>
      <c r="EX33" s="253">
        <v>1427600</v>
      </c>
      <c r="EY33" s="254">
        <f t="shared" si="95"/>
        <v>1288500</v>
      </c>
      <c r="EZ33" s="267">
        <f t="shared" si="96"/>
        <v>1284560</v>
      </c>
      <c r="FA33" s="268" t="e">
        <f>(EY33/'Finance Only'!G36)*100</f>
        <v>#DIV/0!</v>
      </c>
      <c r="FB33" s="253">
        <f t="shared" si="97"/>
        <v>811090</v>
      </c>
      <c r="FC33" s="253">
        <v>813600</v>
      </c>
      <c r="FD33" s="254">
        <f t="shared" si="98"/>
        <v>2510</v>
      </c>
      <c r="FE33" s="267">
        <f t="shared" si="99"/>
        <v>90</v>
      </c>
      <c r="FF33" s="268" t="e">
        <f>(FD33/'Finance Only'!M36)*100</f>
        <v>#DIV/0!</v>
      </c>
      <c r="FG33" s="319"/>
      <c r="FH33" s="325">
        <f t="shared" si="0"/>
        <v>8721</v>
      </c>
      <c r="FI33" s="322"/>
      <c r="FJ33" s="325">
        <f t="shared" si="1"/>
        <v>6790</v>
      </c>
      <c r="FK33" s="322"/>
      <c r="FL33" s="325">
        <f t="shared" si="2"/>
        <v>2940</v>
      </c>
      <c r="FM33" s="322"/>
      <c r="FN33" s="325">
        <f t="shared" si="3"/>
        <v>2304</v>
      </c>
      <c r="FO33" s="322"/>
      <c r="FP33" s="325">
        <f t="shared" si="4"/>
        <v>2470</v>
      </c>
      <c r="FQ33" s="322"/>
      <c r="FR33" s="325">
        <f t="shared" si="5"/>
        <v>1291010</v>
      </c>
      <c r="FS33" s="322"/>
    </row>
    <row r="34" spans="1:175" s="3" customFormat="1" ht="13.5" customHeight="1" x14ac:dyDescent="0.2">
      <c r="A34" s="310">
        <v>30</v>
      </c>
      <c r="B34" s="313">
        <f>'Finance Only'!G37</f>
        <v>0</v>
      </c>
      <c r="C34" s="308">
        <f t="shared" si="6"/>
        <v>26167150</v>
      </c>
      <c r="D34" s="251"/>
      <c r="E34" s="252">
        <f t="shared" si="7"/>
        <v>0</v>
      </c>
      <c r="F34" s="263">
        <f t="shared" si="8"/>
        <v>-3139</v>
      </c>
      <c r="G34" s="264" t="e">
        <f>(E34/'Finance Only'!B37)*100</f>
        <v>#DIV/0!</v>
      </c>
      <c r="H34" s="274">
        <f t="shared" si="9"/>
        <v>23670711</v>
      </c>
      <c r="I34" s="277"/>
      <c r="J34" s="251">
        <f t="shared" si="10"/>
        <v>0</v>
      </c>
      <c r="K34" s="275">
        <f t="shared" si="11"/>
        <v>-5582</v>
      </c>
      <c r="L34" s="276" t="e">
        <f>(J34/'Finance Only'!B37)*100</f>
        <v>#DIV/0!</v>
      </c>
      <c r="M34" s="259">
        <f t="shared" si="12"/>
        <v>88781134</v>
      </c>
      <c r="N34" s="253"/>
      <c r="O34" s="254">
        <f t="shared" si="13"/>
        <v>0</v>
      </c>
      <c r="P34" s="267">
        <f t="shared" si="14"/>
        <v>-14455</v>
      </c>
      <c r="Q34" s="268" t="e">
        <f>(O34/'Finance Only'!B37)*100</f>
        <v>#DIV/0!</v>
      </c>
      <c r="R34" s="258">
        <f t="shared" si="15"/>
        <v>2425400</v>
      </c>
      <c r="S34" s="253"/>
      <c r="T34" s="254">
        <f t="shared" si="16"/>
        <v>0</v>
      </c>
      <c r="U34" s="267">
        <f t="shared" si="17"/>
        <v>-1900</v>
      </c>
      <c r="V34" s="268" t="e">
        <f>(T34/'Finance Only'!B37)*100</f>
        <v>#DIV/0!</v>
      </c>
      <c r="W34" s="253">
        <f t="shared" si="18"/>
        <v>3329841</v>
      </c>
      <c r="X34" s="253"/>
      <c r="Y34" s="254">
        <f t="shared" si="19"/>
        <v>0</v>
      </c>
      <c r="Z34" s="267">
        <f t="shared" si="20"/>
        <v>-3090</v>
      </c>
      <c r="AA34" s="268" t="e">
        <f>(Y34/'Finance Only'!B37)*100</f>
        <v>#DIV/0!</v>
      </c>
      <c r="AB34" s="253">
        <f t="shared" si="21"/>
        <v>2088300</v>
      </c>
      <c r="AC34" s="254"/>
      <c r="AD34" s="254">
        <f t="shared" si="22"/>
        <v>0</v>
      </c>
      <c r="AE34" s="267">
        <f t="shared" si="23"/>
        <v>-2400</v>
      </c>
      <c r="AF34" s="268" t="e">
        <f>(AD34/'Finance Only'!B37)*100</f>
        <v>#DIV/0!</v>
      </c>
      <c r="AG34" s="253">
        <f t="shared" si="24"/>
        <v>910874</v>
      </c>
      <c r="AH34" s="253"/>
      <c r="AI34" s="254">
        <f t="shared" si="25"/>
        <v>0</v>
      </c>
      <c r="AJ34" s="267">
        <f t="shared" si="26"/>
        <v>-957</v>
      </c>
      <c r="AK34" s="268" t="e">
        <f>(AI34/'Finance Only'!B37)*100</f>
        <v>#DIV/0!</v>
      </c>
      <c r="AL34" s="253">
        <f t="shared" si="27"/>
        <v>915260</v>
      </c>
      <c r="AM34" s="253"/>
      <c r="AN34" s="254">
        <f t="shared" si="28"/>
        <v>0</v>
      </c>
      <c r="AO34" s="267">
        <f t="shared" si="29"/>
        <v>-740</v>
      </c>
      <c r="AP34" s="268" t="e">
        <f>(AN34/'Finance Only'!B37)*100</f>
        <v>#DIV/0!</v>
      </c>
      <c r="AQ34" s="253">
        <f t="shared" si="30"/>
        <v>2059000</v>
      </c>
      <c r="AR34" s="253"/>
      <c r="AS34" s="254">
        <f t="shared" si="31"/>
        <v>0</v>
      </c>
      <c r="AT34" s="267">
        <f t="shared" si="32"/>
        <v>-2200</v>
      </c>
      <c r="AU34" s="268" t="e">
        <f>(AS34/'Finance Only'!B37)*100</f>
        <v>#DIV/0!</v>
      </c>
      <c r="AV34" s="253">
        <f t="shared" si="33"/>
        <v>594179</v>
      </c>
      <c r="AW34" s="253"/>
      <c r="AX34" s="254">
        <f t="shared" si="34"/>
        <v>0</v>
      </c>
      <c r="AY34" s="267">
        <f t="shared" si="35"/>
        <v>-444</v>
      </c>
      <c r="AZ34" s="268" t="e">
        <f>(AX34/'Finance Only'!B37)*100</f>
        <v>#DIV/0!</v>
      </c>
      <c r="BA34" s="253">
        <f t="shared" si="36"/>
        <v>851480</v>
      </c>
      <c r="BB34" s="253"/>
      <c r="BC34" s="254">
        <f t="shared" si="37"/>
        <v>0</v>
      </c>
      <c r="BD34" s="267">
        <f t="shared" si="38"/>
        <v>-940</v>
      </c>
      <c r="BE34" s="268" t="e">
        <f>(BC34/'Finance Only'!B37)*100</f>
        <v>#DIV/0!</v>
      </c>
      <c r="BF34" s="253">
        <f t="shared" si="39"/>
        <v>936970</v>
      </c>
      <c r="BG34" s="253"/>
      <c r="BH34" s="254">
        <f t="shared" si="40"/>
        <v>0</v>
      </c>
      <c r="BI34" s="267">
        <f t="shared" si="41"/>
        <v>-920</v>
      </c>
      <c r="BJ34" s="268" t="e">
        <f>(BH34/'Finance Only'!B37)*100</f>
        <v>#DIV/0!</v>
      </c>
      <c r="BK34" s="253">
        <f t="shared" si="42"/>
        <v>1432600</v>
      </c>
      <c r="BL34" s="253">
        <v>1432600</v>
      </c>
      <c r="BM34" s="254">
        <f t="shared" si="43"/>
        <v>0</v>
      </c>
      <c r="BN34" s="267">
        <f t="shared" si="44"/>
        <v>-700</v>
      </c>
      <c r="BO34" s="268" t="e">
        <f>(BM34/'Finance Only'!B37)*100</f>
        <v>#DIV/0!</v>
      </c>
      <c r="BP34" s="253">
        <f t="shared" si="45"/>
        <v>960870</v>
      </c>
      <c r="BQ34" s="253"/>
      <c r="BR34" s="254">
        <f t="shared" si="46"/>
        <v>0</v>
      </c>
      <c r="BS34" s="267">
        <f t="shared" si="47"/>
        <v>-1770</v>
      </c>
      <c r="BT34" s="268" t="e">
        <f>(BR34/'Finance Only'!B37)*100</f>
        <v>#DIV/0!</v>
      </c>
      <c r="BU34" s="253">
        <f t="shared" si="48"/>
        <v>4580500</v>
      </c>
      <c r="BV34" s="253"/>
      <c r="BW34" s="254">
        <f t="shared" si="49"/>
        <v>0</v>
      </c>
      <c r="BX34" s="267">
        <f t="shared" si="50"/>
        <v>-4700</v>
      </c>
      <c r="BY34" s="268" t="e">
        <f>(BW34/'Finance Only'!B37)*100</f>
        <v>#DIV/0!</v>
      </c>
      <c r="BZ34" s="253">
        <f t="shared" si="51"/>
        <v>752090</v>
      </c>
      <c r="CA34" s="253"/>
      <c r="CB34" s="254">
        <f t="shared" si="52"/>
        <v>0</v>
      </c>
      <c r="CC34" s="267">
        <f t="shared" si="53"/>
        <v>-1290</v>
      </c>
      <c r="CD34" s="268" t="e">
        <f>(CB34/'Finance Only'!B37)*100</f>
        <v>#DIV/0!</v>
      </c>
      <c r="CE34" s="253">
        <f t="shared" si="54"/>
        <v>232390</v>
      </c>
      <c r="CF34" s="253"/>
      <c r="CG34" s="254">
        <f t="shared" si="55"/>
        <v>0</v>
      </c>
      <c r="CH34" s="267">
        <f t="shared" si="56"/>
        <v>-410</v>
      </c>
      <c r="CI34" s="268" t="e">
        <f>(CG34/'Finance Only'!B37)*100</f>
        <v>#DIV/0!</v>
      </c>
      <c r="CJ34" s="254">
        <f t="shared" si="57"/>
        <v>531730</v>
      </c>
      <c r="CK34" s="254"/>
      <c r="CL34" s="254">
        <f t="shared" si="58"/>
        <v>0</v>
      </c>
      <c r="CM34" s="267">
        <f t="shared" si="59"/>
        <v>-2020</v>
      </c>
      <c r="CN34" s="268" t="e">
        <f>(CL34/'Finance Only'!B37)*100</f>
        <v>#DIV/0!</v>
      </c>
      <c r="CO34" s="253">
        <f t="shared" si="101"/>
        <v>430790</v>
      </c>
      <c r="CP34" s="253"/>
      <c r="CQ34" s="255">
        <f t="shared" si="100"/>
        <v>0</v>
      </c>
      <c r="CR34" s="267">
        <f t="shared" si="60"/>
        <v>-970</v>
      </c>
      <c r="CS34" s="268" t="e">
        <f>(CQ34/'Finance Only'!B37)*100</f>
        <v>#DIV/0!</v>
      </c>
      <c r="CT34" s="253">
        <f t="shared" si="61"/>
        <v>363970</v>
      </c>
      <c r="CU34" s="253"/>
      <c r="CV34" s="254">
        <f t="shared" si="62"/>
        <v>0</v>
      </c>
      <c r="CW34" s="267">
        <f t="shared" si="63"/>
        <v>-1010</v>
      </c>
      <c r="CX34" s="268" t="e">
        <f>(CV34/'Finance Only'!B37)*100</f>
        <v>#DIV/0!</v>
      </c>
      <c r="CY34" s="253">
        <f t="shared" si="64"/>
        <v>625040</v>
      </c>
      <c r="CZ34" s="253"/>
      <c r="DA34" s="254">
        <f t="shared" si="65"/>
        <v>0</v>
      </c>
      <c r="DB34" s="267">
        <f t="shared" si="66"/>
        <v>-1030</v>
      </c>
      <c r="DC34" s="268" t="e">
        <f>(DA34/'Finance Only'!B37)*100</f>
        <v>#DIV/0!</v>
      </c>
      <c r="DD34" s="253">
        <f t="shared" si="67"/>
        <v>471600</v>
      </c>
      <c r="DE34" s="253"/>
      <c r="DF34" s="254">
        <f t="shared" si="68"/>
        <v>0</v>
      </c>
      <c r="DG34" s="267">
        <f t="shared" si="69"/>
        <v>-1540</v>
      </c>
      <c r="DH34" s="268" t="e">
        <f>(DF34/'Finance Only'!B37)*100</f>
        <v>#DIV/0!</v>
      </c>
      <c r="DI34" s="253">
        <f t="shared" si="70"/>
        <v>428340</v>
      </c>
      <c r="DJ34" s="253"/>
      <c r="DK34" s="254">
        <f t="shared" si="71"/>
        <v>0</v>
      </c>
      <c r="DL34" s="267">
        <f t="shared" si="72"/>
        <v>-1190</v>
      </c>
      <c r="DM34" s="268" t="e">
        <f>(DK34/'Finance Only'!B37)*100</f>
        <v>#DIV/0!</v>
      </c>
      <c r="DN34" s="253">
        <f t="shared" si="73"/>
        <v>247900</v>
      </c>
      <c r="DO34" s="253"/>
      <c r="DP34" s="254">
        <f t="shared" si="74"/>
        <v>0</v>
      </c>
      <c r="DQ34" s="267">
        <f t="shared" si="75"/>
        <v>-460</v>
      </c>
      <c r="DR34" s="268" t="e">
        <f>(DP34/'Finance Only'!B37)*100</f>
        <v>#DIV/0!</v>
      </c>
      <c r="DS34" s="253">
        <f t="shared" si="76"/>
        <v>75616</v>
      </c>
      <c r="DT34" s="253"/>
      <c r="DU34" s="254">
        <f t="shared" si="77"/>
        <v>0</v>
      </c>
      <c r="DV34" s="267">
        <f t="shared" si="78"/>
        <v>-135</v>
      </c>
      <c r="DW34" s="268" t="e">
        <f>(DU34/'Finance Only'!B37)*100</f>
        <v>#DIV/0!</v>
      </c>
      <c r="DX34" s="253">
        <f t="shared" si="79"/>
        <v>485640</v>
      </c>
      <c r="DY34" s="253">
        <v>486750</v>
      </c>
      <c r="DZ34" s="254">
        <f t="shared" si="80"/>
        <v>1110</v>
      </c>
      <c r="EA34" s="267">
        <f t="shared" si="81"/>
        <v>540</v>
      </c>
      <c r="EB34" s="268" t="e">
        <f>(DZ34/'Finance Only'!B37)*100</f>
        <v>#DIV/0!</v>
      </c>
      <c r="EC34" s="253">
        <f t="shared" si="82"/>
        <v>155880</v>
      </c>
      <c r="ED34" s="253"/>
      <c r="EE34" s="254">
        <f t="shared" si="83"/>
        <v>0</v>
      </c>
      <c r="EF34" s="267">
        <f t="shared" si="84"/>
        <v>-270</v>
      </c>
      <c r="EG34" s="268" t="e">
        <f>(EE34/'Finance Only'!B37)*100</f>
        <v>#DIV/0!</v>
      </c>
      <c r="EH34" s="253">
        <f t="shared" si="85"/>
        <v>158380</v>
      </c>
      <c r="EI34" s="253"/>
      <c r="EJ34" s="254">
        <f t="shared" si="86"/>
        <v>0</v>
      </c>
      <c r="EK34" s="267">
        <f t="shared" si="87"/>
        <v>-360</v>
      </c>
      <c r="EL34" s="268" t="e">
        <f>(EJ34/'Finance Only'!B37)*100</f>
        <v>#DIV/0!</v>
      </c>
      <c r="EM34" s="253">
        <f t="shared" si="88"/>
        <v>288830</v>
      </c>
      <c r="EN34" s="253"/>
      <c r="EO34" s="254">
        <f t="shared" si="89"/>
        <v>0</v>
      </c>
      <c r="EP34" s="267">
        <f t="shared" si="90"/>
        <v>-600</v>
      </c>
      <c r="EQ34" s="268" t="e">
        <f>(EO34/'Finance Only'!B37)*100</f>
        <v>#DIV/0!</v>
      </c>
      <c r="ER34" s="253">
        <f t="shared" si="91"/>
        <v>0</v>
      </c>
      <c r="ES34" s="253"/>
      <c r="ET34" s="254">
        <f t="shared" si="92"/>
        <v>0</v>
      </c>
      <c r="EU34" s="267">
        <f t="shared" si="93"/>
        <v>0</v>
      </c>
      <c r="EV34" s="268" t="e">
        <f>(ET34/'Finance Only'!B37)*100</f>
        <v>#DIV/0!</v>
      </c>
      <c r="EW34" s="253">
        <f t="shared" si="94"/>
        <v>1427600</v>
      </c>
      <c r="EX34" s="253"/>
      <c r="EY34" s="254">
        <f t="shared" si="95"/>
        <v>0</v>
      </c>
      <c r="EZ34" s="267">
        <f t="shared" si="96"/>
        <v>-1288500</v>
      </c>
      <c r="FA34" s="268" t="e">
        <f>(EY34/'Finance Only'!G37)*100</f>
        <v>#DIV/0!</v>
      </c>
      <c r="FB34" s="253">
        <f t="shared" si="97"/>
        <v>813600</v>
      </c>
      <c r="FC34" s="253"/>
      <c r="FD34" s="254">
        <f t="shared" si="98"/>
        <v>0</v>
      </c>
      <c r="FE34" s="267">
        <f t="shared" si="99"/>
        <v>-2510</v>
      </c>
      <c r="FF34" s="268" t="e">
        <f>(FD34/'Finance Only'!M37)*100</f>
        <v>#DIV/0!</v>
      </c>
      <c r="FG34" s="319"/>
      <c r="FH34" s="325">
        <f t="shared" si="0"/>
        <v>0</v>
      </c>
      <c r="FI34" s="322"/>
      <c r="FJ34" s="325">
        <f t="shared" si="1"/>
        <v>1110</v>
      </c>
      <c r="FK34" s="322"/>
      <c r="FL34" s="325">
        <f t="shared" si="2"/>
        <v>0</v>
      </c>
      <c r="FM34" s="322"/>
      <c r="FN34" s="325">
        <f t="shared" si="3"/>
        <v>0</v>
      </c>
      <c r="FO34" s="322"/>
      <c r="FP34" s="325">
        <f t="shared" si="4"/>
        <v>0</v>
      </c>
      <c r="FQ34" s="322"/>
      <c r="FR34" s="325">
        <f t="shared" si="5"/>
        <v>0</v>
      </c>
      <c r="FS34" s="322"/>
    </row>
    <row r="35" spans="1:175" s="3" customFormat="1" ht="13.5" customHeight="1" thickBot="1" x14ac:dyDescent="0.25">
      <c r="A35" s="310">
        <v>31</v>
      </c>
      <c r="B35" s="313" t="e">
        <f>'Finance Only'!#REF!</f>
        <v>#REF!</v>
      </c>
      <c r="C35" s="308">
        <f t="shared" si="6"/>
        <v>0</v>
      </c>
      <c r="D35" s="251"/>
      <c r="E35" s="252">
        <f t="shared" si="7"/>
        <v>0</v>
      </c>
      <c r="F35" s="263">
        <f t="shared" ref="F35" si="102">E35-E34</f>
        <v>0</v>
      </c>
      <c r="G35" s="264">
        <f>(E35/'Finance Only'!B38)*100</f>
        <v>0</v>
      </c>
      <c r="H35" s="274">
        <f t="shared" si="9"/>
        <v>0</v>
      </c>
      <c r="I35" s="277"/>
      <c r="J35" s="251">
        <f t="shared" si="10"/>
        <v>0</v>
      </c>
      <c r="K35" s="275">
        <f t="shared" ref="K35" si="103">J35-J34</f>
        <v>0</v>
      </c>
      <c r="L35" s="276">
        <f>(J35/'Finance Only'!B38)*100</f>
        <v>0</v>
      </c>
      <c r="M35" s="259">
        <f t="shared" si="12"/>
        <v>0</v>
      </c>
      <c r="N35" s="253"/>
      <c r="O35" s="254">
        <f t="shared" si="13"/>
        <v>0</v>
      </c>
      <c r="P35" s="267">
        <f t="shared" ref="P35" si="104">O35-O34</f>
        <v>0</v>
      </c>
      <c r="Q35" s="268">
        <f>(O35/'Finance Only'!B38)*100</f>
        <v>0</v>
      </c>
      <c r="R35" s="258">
        <f t="shared" si="15"/>
        <v>0</v>
      </c>
      <c r="S35" s="253"/>
      <c r="T35" s="254">
        <f t="shared" si="16"/>
        <v>0</v>
      </c>
      <c r="U35" s="267">
        <f t="shared" ref="U35" si="105">T35-T34</f>
        <v>0</v>
      </c>
      <c r="V35" s="268">
        <f>(T35/'Finance Only'!B38)*100</f>
        <v>0</v>
      </c>
      <c r="W35" s="253">
        <f t="shared" si="18"/>
        <v>0</v>
      </c>
      <c r="X35" s="253"/>
      <c r="Y35" s="254">
        <f t="shared" si="19"/>
        <v>0</v>
      </c>
      <c r="Z35" s="267">
        <f t="shared" ref="Z35" si="106">Y35-Y34</f>
        <v>0</v>
      </c>
      <c r="AA35" s="268">
        <f>(Y35/'Finance Only'!B38)*100</f>
        <v>0</v>
      </c>
      <c r="AB35" s="253">
        <f t="shared" si="21"/>
        <v>0</v>
      </c>
      <c r="AC35" s="254"/>
      <c r="AD35" s="254">
        <f t="shared" si="22"/>
        <v>0</v>
      </c>
      <c r="AE35" s="267">
        <f t="shared" ref="AE35" si="107">AD35-AD34</f>
        <v>0</v>
      </c>
      <c r="AF35" s="268">
        <f>(AD35/'Finance Only'!B38)*100</f>
        <v>0</v>
      </c>
      <c r="AG35" s="253">
        <f t="shared" si="24"/>
        <v>0</v>
      </c>
      <c r="AH35" s="253"/>
      <c r="AI35" s="254">
        <f t="shared" si="25"/>
        <v>0</v>
      </c>
      <c r="AJ35" s="267">
        <f t="shared" ref="AJ35" si="108">AI35-AI34</f>
        <v>0</v>
      </c>
      <c r="AK35" s="268">
        <f>(AI35/'Finance Only'!B38)*100</f>
        <v>0</v>
      </c>
      <c r="AL35" s="253">
        <f t="shared" si="27"/>
        <v>0</v>
      </c>
      <c r="AM35" s="253"/>
      <c r="AN35" s="254">
        <f t="shared" si="28"/>
        <v>0</v>
      </c>
      <c r="AO35" s="267">
        <f t="shared" ref="AO35" si="109">AN35-AN34</f>
        <v>0</v>
      </c>
      <c r="AP35" s="268">
        <f>(AN35/'Finance Only'!B38)*100</f>
        <v>0</v>
      </c>
      <c r="AQ35" s="253">
        <f t="shared" si="30"/>
        <v>0</v>
      </c>
      <c r="AR35" s="253"/>
      <c r="AS35" s="254">
        <f t="shared" si="31"/>
        <v>0</v>
      </c>
      <c r="AT35" s="267">
        <f t="shared" ref="AT35" si="110">AS35-AS34</f>
        <v>0</v>
      </c>
      <c r="AU35" s="268">
        <f>(AS35/'Finance Only'!B38)*100</f>
        <v>0</v>
      </c>
      <c r="AV35" s="253">
        <f t="shared" si="33"/>
        <v>0</v>
      </c>
      <c r="AW35" s="253"/>
      <c r="AX35" s="254">
        <f t="shared" si="34"/>
        <v>0</v>
      </c>
      <c r="AY35" s="267">
        <f t="shared" ref="AY35" si="111">AX35-AX34</f>
        <v>0</v>
      </c>
      <c r="AZ35" s="268">
        <f>(AX35/'Finance Only'!B38)*100</f>
        <v>0</v>
      </c>
      <c r="BA35" s="253">
        <f t="shared" si="36"/>
        <v>0</v>
      </c>
      <c r="BB35" s="253"/>
      <c r="BC35" s="254">
        <f t="shared" si="37"/>
        <v>0</v>
      </c>
      <c r="BD35" s="267">
        <f t="shared" ref="BD35" si="112">BC35-BC34</f>
        <v>0</v>
      </c>
      <c r="BE35" s="268">
        <f>(BC35/'Finance Only'!B38)*100</f>
        <v>0</v>
      </c>
      <c r="BF35" s="253">
        <f t="shared" si="39"/>
        <v>0</v>
      </c>
      <c r="BG35" s="253"/>
      <c r="BH35" s="254">
        <f t="shared" si="40"/>
        <v>0</v>
      </c>
      <c r="BI35" s="267">
        <f t="shared" ref="BI35" si="113">BH35-BH34</f>
        <v>0</v>
      </c>
      <c r="BJ35" s="268">
        <f>(BH35/'Finance Only'!B38)*100</f>
        <v>0</v>
      </c>
      <c r="BK35" s="253">
        <f t="shared" si="42"/>
        <v>1432600</v>
      </c>
      <c r="BL35" s="253"/>
      <c r="BM35" s="254">
        <f t="shared" si="43"/>
        <v>0</v>
      </c>
      <c r="BN35" s="267">
        <f t="shared" ref="BN35" si="114">BM35-BM34</f>
        <v>0</v>
      </c>
      <c r="BO35" s="268">
        <f>(BM35/'Finance Only'!B38)*100</f>
        <v>0</v>
      </c>
      <c r="BP35" s="253">
        <f t="shared" si="45"/>
        <v>0</v>
      </c>
      <c r="BQ35" s="253"/>
      <c r="BR35" s="254">
        <f t="shared" si="46"/>
        <v>0</v>
      </c>
      <c r="BS35" s="267">
        <f t="shared" ref="BS35" si="115">BR35-BR34</f>
        <v>0</v>
      </c>
      <c r="BT35" s="268">
        <f>(BR35/'Finance Only'!B38)*100</f>
        <v>0</v>
      </c>
      <c r="BU35" s="253">
        <f t="shared" si="48"/>
        <v>0</v>
      </c>
      <c r="BV35" s="253"/>
      <c r="BW35" s="254">
        <f t="shared" si="49"/>
        <v>0</v>
      </c>
      <c r="BX35" s="267">
        <f t="shared" ref="BX35" si="116">BW35-BW34</f>
        <v>0</v>
      </c>
      <c r="BY35" s="268">
        <f>(BW35/'Finance Only'!B38)*100</f>
        <v>0</v>
      </c>
      <c r="BZ35" s="253">
        <f t="shared" si="51"/>
        <v>0</v>
      </c>
      <c r="CA35" s="253"/>
      <c r="CB35" s="254">
        <f t="shared" si="52"/>
        <v>0</v>
      </c>
      <c r="CC35" s="267">
        <f t="shared" ref="CC35" si="117">CB35-CB34</f>
        <v>0</v>
      </c>
      <c r="CD35" s="268">
        <f>(CB35/'Finance Only'!B38)*100</f>
        <v>0</v>
      </c>
      <c r="CE35" s="253">
        <f t="shared" si="54"/>
        <v>0</v>
      </c>
      <c r="CF35" s="253"/>
      <c r="CG35" s="254">
        <f t="shared" si="55"/>
        <v>0</v>
      </c>
      <c r="CH35" s="267">
        <f t="shared" ref="CH35" si="118">CG35-CG34</f>
        <v>0</v>
      </c>
      <c r="CI35" s="268">
        <f>(CG35/'Finance Only'!B38)*100</f>
        <v>0</v>
      </c>
      <c r="CJ35" s="254">
        <f t="shared" si="57"/>
        <v>0</v>
      </c>
      <c r="CK35" s="254"/>
      <c r="CL35" s="254">
        <f t="shared" si="58"/>
        <v>0</v>
      </c>
      <c r="CM35" s="267">
        <f t="shared" ref="CM35" si="119">CL35-CL34</f>
        <v>0</v>
      </c>
      <c r="CN35" s="268">
        <f>(CL35/'Finance Only'!B38)*100</f>
        <v>0</v>
      </c>
      <c r="CO35" s="253">
        <f t="shared" si="101"/>
        <v>0</v>
      </c>
      <c r="CP35" s="253"/>
      <c r="CQ35" s="255">
        <f t="shared" si="100"/>
        <v>0</v>
      </c>
      <c r="CR35" s="267">
        <f t="shared" ref="CR35" si="120">CQ35-CQ34</f>
        <v>0</v>
      </c>
      <c r="CS35" s="268">
        <f>(CQ35/'Finance Only'!B38)*100</f>
        <v>0</v>
      </c>
      <c r="CT35" s="253">
        <f t="shared" si="61"/>
        <v>0</v>
      </c>
      <c r="CU35" s="253"/>
      <c r="CV35" s="254">
        <f t="shared" si="62"/>
        <v>0</v>
      </c>
      <c r="CW35" s="267">
        <f t="shared" ref="CW35" si="121">CV35-CV34</f>
        <v>0</v>
      </c>
      <c r="CX35" s="268">
        <f>(CV35/'Finance Only'!B38)*100</f>
        <v>0</v>
      </c>
      <c r="CY35" s="253">
        <f t="shared" si="64"/>
        <v>0</v>
      </c>
      <c r="CZ35" s="253"/>
      <c r="DA35" s="254">
        <f t="shared" si="65"/>
        <v>0</v>
      </c>
      <c r="DB35" s="267">
        <f t="shared" ref="DB35" si="122">DA35-DA34</f>
        <v>0</v>
      </c>
      <c r="DC35" s="268">
        <f>(DA35/'Finance Only'!B38)*100</f>
        <v>0</v>
      </c>
      <c r="DD35" s="253">
        <f t="shared" si="67"/>
        <v>0</v>
      </c>
      <c r="DE35" s="253"/>
      <c r="DF35" s="254">
        <f t="shared" si="68"/>
        <v>0</v>
      </c>
      <c r="DG35" s="267">
        <f t="shared" ref="DG35" si="123">DF35-DF34</f>
        <v>0</v>
      </c>
      <c r="DH35" s="268">
        <f>(DF35/'Finance Only'!B38)*100</f>
        <v>0</v>
      </c>
      <c r="DI35" s="253">
        <f t="shared" si="70"/>
        <v>0</v>
      </c>
      <c r="DJ35" s="253"/>
      <c r="DK35" s="254">
        <f t="shared" si="71"/>
        <v>0</v>
      </c>
      <c r="DL35" s="267">
        <f t="shared" ref="DL35" si="124">DK35-DK34</f>
        <v>0</v>
      </c>
      <c r="DM35" s="268">
        <f>(DK35/'Finance Only'!B38)*100</f>
        <v>0</v>
      </c>
      <c r="DN35" s="253">
        <f t="shared" si="73"/>
        <v>0</v>
      </c>
      <c r="DO35" s="253"/>
      <c r="DP35" s="254">
        <f t="shared" si="74"/>
        <v>0</v>
      </c>
      <c r="DQ35" s="267">
        <f t="shared" ref="DQ35" si="125">DP35-DP34</f>
        <v>0</v>
      </c>
      <c r="DR35" s="268">
        <f>(DP35/'Finance Only'!B38)*100</f>
        <v>0</v>
      </c>
      <c r="DS35" s="253">
        <f t="shared" si="76"/>
        <v>0</v>
      </c>
      <c r="DT35" s="253"/>
      <c r="DU35" s="254">
        <f t="shared" si="77"/>
        <v>0</v>
      </c>
      <c r="DV35" s="267">
        <f t="shared" ref="DV35" si="126">DU35-DU34</f>
        <v>0</v>
      </c>
      <c r="DW35" s="268">
        <f>(DU35/'Finance Only'!B38)*100</f>
        <v>0</v>
      </c>
      <c r="DX35" s="253">
        <f t="shared" si="79"/>
        <v>486750</v>
      </c>
      <c r="DY35" s="253"/>
      <c r="DZ35" s="254">
        <f t="shared" si="80"/>
        <v>0</v>
      </c>
      <c r="EA35" s="267">
        <f t="shared" ref="EA35" si="127">DZ35-DZ34</f>
        <v>-1110</v>
      </c>
      <c r="EB35" s="268">
        <f>(DZ35/'Finance Only'!B38)*100</f>
        <v>0</v>
      </c>
      <c r="EC35" s="253">
        <f t="shared" si="82"/>
        <v>0</v>
      </c>
      <c r="ED35" s="253"/>
      <c r="EE35" s="254">
        <f t="shared" si="83"/>
        <v>0</v>
      </c>
      <c r="EF35" s="267">
        <f t="shared" ref="EF35" si="128">EE35-EE34</f>
        <v>0</v>
      </c>
      <c r="EG35" s="268">
        <f>(EE35/'Finance Only'!B38)*100</f>
        <v>0</v>
      </c>
      <c r="EH35" s="253">
        <f t="shared" si="85"/>
        <v>0</v>
      </c>
      <c r="EI35" s="253"/>
      <c r="EJ35" s="254">
        <f t="shared" si="86"/>
        <v>0</v>
      </c>
      <c r="EK35" s="267">
        <f t="shared" ref="EK35" si="129">EJ35-EJ34</f>
        <v>0</v>
      </c>
      <c r="EL35" s="268">
        <f>(EJ35/'Finance Only'!B38)*100</f>
        <v>0</v>
      </c>
      <c r="EM35" s="253">
        <f t="shared" si="88"/>
        <v>0</v>
      </c>
      <c r="EN35" s="253"/>
      <c r="EO35" s="254">
        <f t="shared" si="89"/>
        <v>0</v>
      </c>
      <c r="EP35" s="267">
        <f t="shared" ref="EP35" si="130">EO35-EO34</f>
        <v>0</v>
      </c>
      <c r="EQ35" s="268">
        <f>(EO35/'Finance Only'!B38)*100</f>
        <v>0</v>
      </c>
      <c r="ER35" s="253">
        <f t="shared" si="91"/>
        <v>0</v>
      </c>
      <c r="ES35" s="253"/>
      <c r="ET35" s="254">
        <f t="shared" si="92"/>
        <v>0</v>
      </c>
      <c r="EU35" s="267">
        <f t="shared" ref="EU35" si="131">ET35-ET34</f>
        <v>0</v>
      </c>
      <c r="EV35" s="268">
        <f>(ET35/'Finance Only'!B38)*100</f>
        <v>0</v>
      </c>
      <c r="EW35" s="253">
        <f t="shared" si="94"/>
        <v>0</v>
      </c>
      <c r="EX35" s="253"/>
      <c r="EY35" s="254">
        <f t="shared" si="95"/>
        <v>0</v>
      </c>
      <c r="EZ35" s="267">
        <f t="shared" si="96"/>
        <v>0</v>
      </c>
      <c r="FA35" s="268">
        <f>(EY35/'Finance Only'!G38)*100</f>
        <v>0</v>
      </c>
      <c r="FB35" s="253">
        <f t="shared" si="97"/>
        <v>0</v>
      </c>
      <c r="FC35" s="253"/>
      <c r="FD35" s="254">
        <f t="shared" si="98"/>
        <v>0</v>
      </c>
      <c r="FE35" s="267">
        <f t="shared" si="99"/>
        <v>0</v>
      </c>
      <c r="FF35" s="268" t="e">
        <f>(FD35/'Finance Only'!M38)*100</f>
        <v>#DIV/0!</v>
      </c>
      <c r="FG35" s="319"/>
      <c r="FH35" s="325">
        <f t="shared" si="0"/>
        <v>0</v>
      </c>
      <c r="FI35" s="324"/>
      <c r="FJ35" s="325">
        <f t="shared" si="1"/>
        <v>0</v>
      </c>
      <c r="FK35" s="324"/>
      <c r="FL35" s="325">
        <f t="shared" si="2"/>
        <v>0</v>
      </c>
      <c r="FM35" s="324"/>
      <c r="FN35" s="325">
        <f t="shared" si="3"/>
        <v>0</v>
      </c>
      <c r="FO35" s="324"/>
      <c r="FP35" s="325">
        <f t="shared" si="4"/>
        <v>0</v>
      </c>
      <c r="FQ35" s="324"/>
      <c r="FR35" s="325">
        <f t="shared" si="5"/>
        <v>0</v>
      </c>
      <c r="FS35" s="324"/>
    </row>
    <row r="36" spans="1:175" s="3" customFormat="1" ht="13.5" thickBot="1" x14ac:dyDescent="0.25">
      <c r="A36" s="3" t="s">
        <v>7</v>
      </c>
      <c r="C36" s="77"/>
      <c r="D36" s="77"/>
      <c r="E36" s="327">
        <f>SUM(E5:E34)</f>
        <v>80973</v>
      </c>
      <c r="F36" s="78"/>
      <c r="G36" s="78"/>
      <c r="H36" s="78"/>
      <c r="I36" s="78"/>
      <c r="J36" s="78">
        <f>SUM(J5:J34)</f>
        <v>137789</v>
      </c>
      <c r="K36" s="78"/>
      <c r="L36" s="78"/>
      <c r="M36" s="78"/>
      <c r="N36" s="78"/>
      <c r="O36" s="78">
        <f>SUM(O5:O34)</f>
        <v>411564</v>
      </c>
      <c r="P36" s="78"/>
      <c r="Q36" s="78"/>
      <c r="R36" s="78"/>
      <c r="S36" s="78"/>
      <c r="T36" s="78">
        <f>SUM(T5:T34)</f>
        <v>51600</v>
      </c>
      <c r="U36" s="78"/>
      <c r="V36" s="78"/>
      <c r="W36" s="78"/>
      <c r="X36" s="78"/>
      <c r="Y36" s="78">
        <f>SUM(Y5:Y34)</f>
        <v>84832</v>
      </c>
      <c r="Z36" s="78"/>
      <c r="AA36" s="78"/>
      <c r="AB36" s="78"/>
      <c r="AC36" s="78"/>
      <c r="AD36" s="78">
        <f>SUM(AD5:AD34)</f>
        <v>72600</v>
      </c>
      <c r="AE36" s="78"/>
      <c r="AF36" s="78"/>
      <c r="AG36" s="78"/>
      <c r="AH36" s="78"/>
      <c r="AI36" s="78">
        <f>SUM(AI5:AI34)</f>
        <v>26229</v>
      </c>
      <c r="AJ36" s="78"/>
      <c r="AK36" s="78"/>
      <c r="AL36" s="78"/>
      <c r="AM36" s="78"/>
      <c r="AN36" s="78">
        <f>SUM(AN5:AN34)</f>
        <v>19470</v>
      </c>
      <c r="AO36" s="78"/>
      <c r="AP36" s="78"/>
      <c r="AQ36" s="78"/>
      <c r="AR36" s="78"/>
      <c r="AS36" s="78">
        <f>SUM(AS5:AS34)</f>
        <v>50985</v>
      </c>
      <c r="AT36" s="78"/>
      <c r="AU36" s="78"/>
      <c r="AV36" s="78"/>
      <c r="AW36" s="78"/>
      <c r="AX36" s="78">
        <f>SUM(AX5:AX34)</f>
        <v>12808</v>
      </c>
      <c r="AY36" s="78"/>
      <c r="AZ36" s="78"/>
      <c r="BA36" s="78"/>
      <c r="BB36" s="78"/>
      <c r="BC36" s="78">
        <f>SUM(BC5:BC34)</f>
        <v>27131</v>
      </c>
      <c r="BD36" s="78"/>
      <c r="BE36" s="78"/>
      <c r="BF36" s="78"/>
      <c r="BG36" s="78"/>
      <c r="BH36" s="78">
        <f>SUM(BH5:BH34)</f>
        <v>26385</v>
      </c>
      <c r="BI36" s="78"/>
      <c r="BJ36" s="78"/>
      <c r="BK36" s="78"/>
      <c r="BL36" s="78"/>
      <c r="BM36" s="78">
        <f>SUM(BM5:BM34)</f>
        <v>19905</v>
      </c>
      <c r="BN36" s="78"/>
      <c r="BO36" s="78"/>
      <c r="BP36" s="78"/>
      <c r="BQ36" s="78"/>
      <c r="BR36" s="78">
        <f>SUM(BR5:BR34)</f>
        <v>48264</v>
      </c>
      <c r="BS36" s="78"/>
      <c r="BT36" s="78"/>
      <c r="BU36" s="78"/>
      <c r="BV36" s="78"/>
      <c r="BW36" s="78">
        <f>SUM(BW5:BW34)</f>
        <v>128555</v>
      </c>
      <c r="BX36" s="78"/>
      <c r="BY36" s="78"/>
      <c r="BZ36" s="78"/>
      <c r="CA36" s="78"/>
      <c r="CB36" s="78">
        <f>SUM(CB5:CB34)</f>
        <v>35740</v>
      </c>
      <c r="CC36" s="78"/>
      <c r="CD36" s="78"/>
      <c r="CE36" s="78"/>
      <c r="CF36" s="78"/>
      <c r="CG36" s="78">
        <f>SUM(CG5:CG34)</f>
        <v>12010</v>
      </c>
      <c r="CH36" s="78"/>
      <c r="CI36" s="78"/>
      <c r="CJ36" s="78"/>
      <c r="CK36" s="78"/>
      <c r="CL36" s="78">
        <f>SUM(CL5:CL34)</f>
        <v>33510</v>
      </c>
      <c r="CM36" s="78"/>
      <c r="CN36" s="78"/>
      <c r="CO36" s="78"/>
      <c r="CP36" s="78"/>
      <c r="CQ36" s="135">
        <f>SUM(CQ5:CQ34)</f>
        <v>25850</v>
      </c>
      <c r="CR36" s="78"/>
      <c r="CS36" s="78"/>
      <c r="CT36" s="78"/>
      <c r="CU36" s="78"/>
      <c r="CV36" s="92">
        <f>SUM(CV5:CV34)</f>
        <v>22040</v>
      </c>
      <c r="CW36" s="78"/>
      <c r="CX36" s="78"/>
      <c r="CY36" s="78"/>
      <c r="CZ36" s="78"/>
      <c r="DA36" s="328">
        <f>SUM(DA5:DA34)</f>
        <v>31750</v>
      </c>
      <c r="DB36" s="78"/>
      <c r="DC36" s="78"/>
      <c r="DD36" s="78"/>
      <c r="DE36" s="78"/>
      <c r="DF36" s="328">
        <f>SUM(DF5:DF34)</f>
        <v>26500</v>
      </c>
      <c r="DG36" s="78"/>
      <c r="DH36" s="78"/>
      <c r="DI36" s="78"/>
      <c r="DJ36" s="78"/>
      <c r="DK36" s="328">
        <f>SUM(DK5:DK34)</f>
        <v>21070</v>
      </c>
      <c r="DL36" s="78"/>
      <c r="DM36" s="78"/>
      <c r="DN36" s="78"/>
      <c r="DO36" s="78"/>
      <c r="DP36" s="328">
        <f>SUM(DP5:DP34)</f>
        <v>8830</v>
      </c>
      <c r="DQ36" s="78"/>
      <c r="DR36" s="78"/>
      <c r="DS36" s="78"/>
      <c r="DT36" s="78"/>
      <c r="DU36" s="328">
        <f>SUM(DU5:DU34)</f>
        <v>4073</v>
      </c>
      <c r="DV36" s="78"/>
      <c r="DW36" s="78"/>
      <c r="DX36" s="78"/>
      <c r="DY36" s="78"/>
      <c r="DZ36" s="328">
        <f>SUM(DZ5:DZ34)</f>
        <v>21660</v>
      </c>
      <c r="EA36" s="78"/>
      <c r="EB36" s="78"/>
      <c r="EC36" s="78"/>
      <c r="ED36" s="78"/>
      <c r="EE36" s="328">
        <f>SUM(EE5:EE34)</f>
        <v>7930</v>
      </c>
      <c r="EF36" s="78"/>
      <c r="EG36" s="78"/>
      <c r="EH36" s="78"/>
      <c r="EI36" s="78"/>
      <c r="EJ36" s="328">
        <f>SUM(EJ5:EJ34)</f>
        <v>9740</v>
      </c>
      <c r="EK36" s="78"/>
      <c r="EL36" s="78"/>
      <c r="EM36" s="78"/>
      <c r="EN36" s="78"/>
      <c r="EO36" s="328">
        <f>SUM(EO5:EO34)</f>
        <v>17440</v>
      </c>
      <c r="EP36" s="78"/>
      <c r="EQ36" s="78"/>
      <c r="ER36" s="78"/>
      <c r="ES36" s="78"/>
      <c r="ET36" s="328">
        <f>SUM(ET5:ET34)</f>
        <v>0</v>
      </c>
      <c r="EU36" s="78"/>
      <c r="EV36" s="78"/>
      <c r="EW36" s="78"/>
      <c r="EX36" s="78"/>
      <c r="EY36" s="328">
        <f>SUM(EY5:EY34)</f>
        <v>1355239</v>
      </c>
      <c r="EZ36" s="78"/>
      <c r="FA36" s="78"/>
      <c r="FB36" s="78"/>
      <c r="FC36" s="78"/>
      <c r="FD36" s="328">
        <f>SUM(FD5:FD34)</f>
        <v>92180</v>
      </c>
      <c r="FE36" s="78"/>
      <c r="FF36" s="78"/>
      <c r="FG36" s="319"/>
      <c r="FH36" s="326"/>
      <c r="FN36" s="326"/>
      <c r="FP36" s="326"/>
    </row>
    <row r="37" spans="1:175" ht="13.5" thickTop="1" x14ac:dyDescent="0.2"/>
  </sheetData>
  <mergeCells count="42">
    <mergeCell ref="DX3:EB3"/>
    <mergeCell ref="DD3:DH3"/>
    <mergeCell ref="DI3:DM3"/>
    <mergeCell ref="DN3:DR3"/>
    <mergeCell ref="DS3:DW3"/>
    <mergeCell ref="CJ3:CN3"/>
    <mergeCell ref="CO3:CS3"/>
    <mergeCell ref="CT3:CX3"/>
    <mergeCell ref="CY3:DC3"/>
    <mergeCell ref="CE3:CI3"/>
    <mergeCell ref="W3:AA3"/>
    <mergeCell ref="AB3:AF3"/>
    <mergeCell ref="AG3:AK3"/>
    <mergeCell ref="AL3:AP3"/>
    <mergeCell ref="D1:I1"/>
    <mergeCell ref="A1:C1"/>
    <mergeCell ref="C3:G3"/>
    <mergeCell ref="H3:L3"/>
    <mergeCell ref="M3:Q3"/>
    <mergeCell ref="R3:V3"/>
    <mergeCell ref="FG3:FG4"/>
    <mergeCell ref="FH3:FI3"/>
    <mergeCell ref="AQ3:AU3"/>
    <mergeCell ref="AV3:AZ3"/>
    <mergeCell ref="BA3:BE3"/>
    <mergeCell ref="BK3:BO3"/>
    <mergeCell ref="BF3:BJ3"/>
    <mergeCell ref="EC3:EG3"/>
    <mergeCell ref="EH3:EL3"/>
    <mergeCell ref="BP3:BT3"/>
    <mergeCell ref="EW3:FA3"/>
    <mergeCell ref="FB3:FF3"/>
    <mergeCell ref="EM3:EQ3"/>
    <mergeCell ref="ER3:EV3"/>
    <mergeCell ref="BU3:BY3"/>
    <mergeCell ref="BZ3:CD3"/>
    <mergeCell ref="FR3:FS3"/>
    <mergeCell ref="FH1:FS2"/>
    <mergeCell ref="FN3:FO3"/>
    <mergeCell ref="FP3:FQ3"/>
    <mergeCell ref="FL3:FM3"/>
    <mergeCell ref="FJ3:FK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ES38"/>
  <sheetViews>
    <sheetView zoomScale="90" zoomScaleNormal="90" workbookViewId="0">
      <pane xSplit="1" ySplit="5" topLeftCell="DS24" activePane="bottomRight" state="frozen"/>
      <selection pane="topRight" activeCell="B1" sqref="B1"/>
      <selection pane="bottomLeft" activeCell="A6" sqref="A6"/>
      <selection pane="bottomRight" activeCell="EF31" sqref="EF31"/>
    </sheetView>
  </sheetViews>
  <sheetFormatPr defaultColWidth="9.140625" defaultRowHeight="12.75" x14ac:dyDescent="0.2"/>
  <cols>
    <col min="1" max="1" width="4.7109375" style="169" customWidth="1"/>
    <col min="2" max="2" width="13.5703125" style="169" customWidth="1"/>
    <col min="3" max="3" width="11.42578125" style="169" customWidth="1"/>
    <col min="4" max="4" width="10.5703125" style="169" customWidth="1"/>
    <col min="5" max="5" width="2" style="173" customWidth="1"/>
    <col min="6" max="6" width="5.140625" style="169" customWidth="1"/>
    <col min="7" max="7" width="13.5703125" style="169" customWidth="1"/>
    <col min="8" max="8" width="10" style="169" customWidth="1"/>
    <col min="9" max="9" width="14" style="169" customWidth="1"/>
    <col min="10" max="10" width="2.85546875" style="173" customWidth="1"/>
    <col min="11" max="11" width="5.42578125" style="169" customWidth="1"/>
    <col min="12" max="13" width="13.5703125" style="169" customWidth="1"/>
    <col min="14" max="14" width="12.140625" style="169" customWidth="1"/>
    <col min="15" max="15" width="2.85546875" style="173" customWidth="1"/>
    <col min="16" max="16" width="5.85546875" style="169" customWidth="1"/>
    <col min="17" max="17" width="13.5703125" style="169" customWidth="1"/>
    <col min="18" max="18" width="10.7109375" style="169" customWidth="1"/>
    <col min="19" max="19" width="11.140625" style="169" customWidth="1"/>
    <col min="20" max="20" width="2.42578125" style="173" customWidth="1"/>
    <col min="21" max="21" width="6.42578125" style="145" customWidth="1"/>
    <col min="22" max="22" width="10.85546875" style="169" customWidth="1"/>
    <col min="23" max="23" width="13" style="172" bestFit="1" customWidth="1"/>
    <col min="24" max="24" width="11.85546875" style="145" customWidth="1"/>
    <col min="25" max="25" width="9.140625" style="145"/>
    <col min="26" max="26" width="7.7109375" style="145" customWidth="1"/>
    <col min="27" max="27" width="11.140625" style="193" customWidth="1"/>
    <col min="28" max="28" width="9.140625" style="193"/>
    <col min="29" max="29" width="11.42578125" style="193" customWidth="1"/>
    <col min="30" max="30" width="10.140625" style="193" customWidth="1"/>
    <col min="31" max="31" width="7.42578125" style="193" customWidth="1"/>
    <col min="32" max="32" width="10.85546875" style="193" bestFit="1" customWidth="1"/>
    <col min="33" max="34" width="9.140625" style="193"/>
    <col min="35" max="35" width="10.140625" style="193" customWidth="1"/>
    <col min="36" max="36" width="7.42578125" style="193" customWidth="1"/>
    <col min="37" max="39" width="9.140625" style="193"/>
    <col min="40" max="40" width="10.140625" style="193" customWidth="1"/>
    <col min="41" max="41" width="7.42578125" style="193" customWidth="1"/>
    <col min="42" max="44" width="9.140625" style="193"/>
    <col min="45" max="45" width="10.140625" style="193" customWidth="1"/>
    <col min="46" max="46" width="7.42578125" style="193" customWidth="1"/>
    <col min="47" max="49" width="9.140625" style="193"/>
    <col min="50" max="50" width="10.140625" style="193" customWidth="1"/>
    <col min="51" max="51" width="7.42578125" style="193" customWidth="1"/>
    <col min="52" max="54" width="9.140625" style="193"/>
    <col min="55" max="55" width="10.140625" style="193" customWidth="1"/>
    <col min="56" max="56" width="7.42578125" style="193" customWidth="1"/>
    <col min="57" max="59" width="9.140625" style="193"/>
    <col min="60" max="60" width="10.140625" style="193" customWidth="1"/>
    <col min="61" max="61" width="7.42578125" style="193" customWidth="1"/>
    <col min="62" max="64" width="9.140625" style="193"/>
    <col min="65" max="65" width="10.140625" style="193" customWidth="1"/>
    <col min="66" max="66" width="7.42578125" style="193" customWidth="1"/>
    <col min="67" max="69" width="9.140625" style="193"/>
    <col min="70" max="70" width="10.140625" style="193" customWidth="1"/>
    <col min="71" max="71" width="7.42578125" style="193" customWidth="1"/>
    <col min="72" max="74" width="9.140625" style="193"/>
    <col min="75" max="75" width="10.140625" style="193" customWidth="1"/>
    <col min="76" max="76" width="7.42578125" style="193" customWidth="1"/>
    <col min="77" max="79" width="9.140625" style="193"/>
    <col min="80" max="80" width="10.140625" style="193" customWidth="1"/>
    <col min="81" max="81" width="7.42578125" style="193" customWidth="1"/>
    <col min="82" max="84" width="9.140625" style="193"/>
    <col min="85" max="85" width="10.140625" style="193" customWidth="1"/>
    <col min="86" max="86" width="7.42578125" style="193" customWidth="1"/>
    <col min="87" max="89" width="9.140625" style="193"/>
    <col min="90" max="90" width="10.140625" style="193" customWidth="1"/>
    <col min="91" max="91" width="7.42578125" style="193" customWidth="1"/>
    <col min="92" max="94" width="9.140625" style="193"/>
    <col min="95" max="95" width="10.140625" style="193" customWidth="1"/>
    <col min="96" max="96" width="7.42578125" style="193" customWidth="1"/>
    <col min="97" max="99" width="9.140625" style="193"/>
    <col min="100" max="100" width="10.140625" style="193" customWidth="1"/>
    <col min="101" max="101" width="7.42578125" style="193" customWidth="1"/>
    <col min="102" max="104" width="9.140625" style="193"/>
    <col min="105" max="105" width="10.140625" style="193" customWidth="1"/>
    <col min="106" max="106" width="7.42578125" style="193" customWidth="1"/>
    <col min="107" max="109" width="9.140625" style="193"/>
    <col min="110" max="110" width="10.140625" style="193" customWidth="1"/>
    <col min="111" max="111" width="7.42578125" style="193" customWidth="1"/>
    <col min="112" max="114" width="9.140625" style="193"/>
    <col min="115" max="115" width="10.140625" style="193" customWidth="1"/>
    <col min="116" max="116" width="7.42578125" style="193" customWidth="1"/>
    <col min="117" max="119" width="9.140625" style="193"/>
    <col min="120" max="120" width="10.140625" style="193" customWidth="1"/>
    <col min="121" max="121" width="7.42578125" style="193" customWidth="1"/>
    <col min="122" max="124" width="9.140625" style="193"/>
    <col min="125" max="125" width="10.140625" style="193" customWidth="1"/>
    <col min="126" max="126" width="7.42578125" style="193" customWidth="1"/>
    <col min="127" max="128" width="9.140625" style="193"/>
    <col min="129" max="129" width="9.140625" style="145"/>
    <col min="130" max="130" width="10.140625" style="193" customWidth="1"/>
    <col min="131" max="131" width="7.42578125" style="193" customWidth="1"/>
    <col min="132" max="16384" width="9.140625" style="145"/>
  </cols>
  <sheetData>
    <row r="1" spans="1:149" ht="12.75" customHeight="1" x14ac:dyDescent="0.2">
      <c r="A1" s="401" t="s">
        <v>110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Z1" s="345" t="s">
        <v>148</v>
      </c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  <c r="AR1" s="345"/>
      <c r="AS1" s="345"/>
      <c r="AT1" s="345"/>
      <c r="AU1" s="345"/>
      <c r="AV1" s="345"/>
      <c r="AW1" s="345"/>
      <c r="AX1" s="345"/>
      <c r="AY1" s="345"/>
      <c r="AZ1" s="345"/>
      <c r="BA1" s="345"/>
      <c r="BB1" s="345"/>
      <c r="BC1" s="345"/>
      <c r="BD1" s="345"/>
      <c r="BE1" s="345"/>
      <c r="BF1" s="345"/>
      <c r="BG1" s="345"/>
      <c r="BH1" s="345"/>
      <c r="BI1" s="345"/>
      <c r="BJ1" s="345"/>
      <c r="BK1" s="345"/>
      <c r="BL1" s="345"/>
      <c r="BM1" s="345"/>
      <c r="BN1" s="345"/>
      <c r="BO1" s="345"/>
      <c r="BP1" s="345"/>
      <c r="BQ1" s="345"/>
      <c r="BR1" s="345"/>
      <c r="BS1" s="345"/>
      <c r="BT1" s="345"/>
      <c r="BU1" s="345"/>
      <c r="BV1" s="345"/>
      <c r="BW1" s="345"/>
      <c r="BX1" s="345"/>
      <c r="BY1" s="345"/>
      <c r="BZ1" s="345"/>
      <c r="CA1" s="345"/>
      <c r="CB1" s="345"/>
      <c r="CC1" s="345"/>
      <c r="CD1" s="345"/>
      <c r="CE1" s="345"/>
      <c r="CF1" s="345"/>
      <c r="CG1" s="345"/>
      <c r="CH1" s="345"/>
      <c r="CI1" s="345"/>
      <c r="CJ1" s="345"/>
      <c r="CK1" s="345"/>
      <c r="CL1" s="345"/>
      <c r="CM1" s="345"/>
      <c r="CN1" s="345"/>
      <c r="CO1" s="345"/>
      <c r="CP1" s="345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31"/>
      <c r="EC1" s="331"/>
      <c r="ED1" s="331"/>
      <c r="EE1" s="331"/>
      <c r="EF1" s="331"/>
      <c r="EG1" s="331"/>
      <c r="EH1" s="331"/>
      <c r="EI1" s="331"/>
      <c r="EJ1" s="331"/>
      <c r="EK1" s="331"/>
      <c r="EL1" s="331"/>
      <c r="EM1" s="331"/>
      <c r="EN1" s="331"/>
      <c r="EO1" s="331"/>
      <c r="EP1" s="331"/>
    </row>
    <row r="2" spans="1:149" s="146" customFormat="1" ht="24" customHeight="1" x14ac:dyDescent="0.2">
      <c r="A2" s="401"/>
      <c r="B2" s="401"/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  <c r="S2" s="401"/>
      <c r="T2" s="401"/>
      <c r="U2" s="401"/>
      <c r="V2" s="401"/>
      <c r="W2" s="401"/>
      <c r="X2" s="401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45"/>
      <c r="BB2" s="345"/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5"/>
      <c r="BT2" s="345"/>
      <c r="BU2" s="345"/>
      <c r="BV2" s="345"/>
      <c r="BW2" s="345"/>
      <c r="BX2" s="345"/>
      <c r="BY2" s="345"/>
      <c r="BZ2" s="345"/>
      <c r="CA2" s="345"/>
      <c r="CB2" s="345"/>
      <c r="CC2" s="345"/>
      <c r="CD2" s="345"/>
      <c r="CE2" s="345"/>
      <c r="CF2" s="345"/>
      <c r="CG2" s="345"/>
      <c r="CH2" s="345"/>
      <c r="CI2" s="345"/>
      <c r="CJ2" s="345"/>
      <c r="CK2" s="345"/>
      <c r="CL2" s="345"/>
      <c r="CM2" s="345"/>
      <c r="CN2" s="345"/>
      <c r="CO2" s="345"/>
      <c r="CP2" s="345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31"/>
      <c r="EC2" s="331"/>
      <c r="ED2" s="331"/>
      <c r="EE2" s="331"/>
      <c r="EF2" s="331"/>
      <c r="EG2" s="331"/>
      <c r="EH2" s="331"/>
      <c r="EI2" s="331"/>
      <c r="EJ2" s="331"/>
      <c r="EK2" s="331"/>
      <c r="EL2" s="331"/>
      <c r="EM2" s="331"/>
      <c r="EN2" s="331"/>
      <c r="EO2" s="331"/>
      <c r="EP2" s="331"/>
    </row>
    <row r="3" spans="1:149" s="169" customFormat="1" ht="24.75" customHeight="1" thickBot="1" x14ac:dyDescent="0.25">
      <c r="A3" s="402" t="s">
        <v>3</v>
      </c>
      <c r="B3" s="402"/>
      <c r="C3" s="237" cm="1">
        <f t="array" ref="C3:E3">'FEEDER Consumption '!A1:C1</f>
        <v>44531</v>
      </c>
      <c r="D3" s="147">
        <v>0</v>
      </c>
      <c r="E3" s="147">
        <v>0</v>
      </c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Z3" s="409" t="s">
        <v>149</v>
      </c>
      <c r="AA3" s="409"/>
      <c r="AB3" s="409"/>
      <c r="AC3" s="409"/>
      <c r="AD3" s="339"/>
      <c r="AE3" s="339"/>
      <c r="AF3" s="238">
        <v>44360</v>
      </c>
      <c r="AG3" s="239"/>
      <c r="AH3" s="239"/>
      <c r="AI3" s="339"/>
      <c r="AJ3" s="339"/>
      <c r="AK3" s="239"/>
      <c r="AL3" s="239"/>
      <c r="AM3" s="239"/>
      <c r="AN3" s="339"/>
      <c r="AO3" s="339"/>
      <c r="AP3" s="239"/>
      <c r="AQ3" s="239"/>
      <c r="AR3" s="239"/>
      <c r="AS3" s="339"/>
      <c r="AT3" s="339"/>
      <c r="AU3" s="239"/>
      <c r="AV3" s="239"/>
      <c r="AW3" s="239"/>
      <c r="AX3" s="339"/>
      <c r="AY3" s="339"/>
      <c r="AZ3" s="239"/>
      <c r="BA3" s="239"/>
      <c r="BB3" s="239"/>
      <c r="BC3" s="339"/>
      <c r="BD3" s="339"/>
      <c r="BE3" s="239"/>
      <c r="BF3" s="239"/>
      <c r="BG3" s="239"/>
      <c r="BH3" s="339"/>
      <c r="BI3" s="339"/>
      <c r="BJ3" s="239"/>
      <c r="BK3" s="239"/>
      <c r="BL3" s="239"/>
      <c r="BM3" s="339"/>
      <c r="BN3" s="339"/>
      <c r="BO3" s="239"/>
      <c r="BP3" s="239"/>
      <c r="BQ3" s="239"/>
      <c r="BR3" s="339"/>
      <c r="BS3" s="339"/>
      <c r="BT3" s="239"/>
      <c r="BU3" s="239"/>
      <c r="BV3" s="239"/>
      <c r="BW3" s="339"/>
      <c r="BX3" s="339"/>
      <c r="BY3" s="239"/>
      <c r="BZ3" s="239"/>
      <c r="CA3" s="239"/>
      <c r="CB3" s="339"/>
      <c r="CC3" s="339"/>
      <c r="CD3" s="239"/>
      <c r="CE3" s="239"/>
      <c r="CF3" s="239"/>
      <c r="CG3" s="339"/>
      <c r="CH3" s="339"/>
      <c r="CI3" s="239"/>
      <c r="CJ3" s="239"/>
      <c r="CK3" s="239"/>
      <c r="CL3" s="339"/>
      <c r="CM3" s="339"/>
      <c r="CN3" s="239"/>
      <c r="CO3" s="239"/>
      <c r="CP3" s="239"/>
      <c r="CQ3" s="339"/>
      <c r="CR3" s="339"/>
      <c r="CS3" s="239"/>
      <c r="CT3" s="239"/>
      <c r="CU3" s="239"/>
      <c r="CV3" s="339"/>
      <c r="CW3" s="339"/>
      <c r="CX3" s="239"/>
      <c r="CY3" s="239"/>
      <c r="CZ3" s="239"/>
      <c r="DA3" s="339"/>
      <c r="DB3" s="339"/>
      <c r="DC3" s="239"/>
      <c r="DD3" s="239"/>
      <c r="DE3" s="239"/>
      <c r="DF3" s="339"/>
      <c r="DG3" s="339"/>
      <c r="DH3" s="239"/>
      <c r="DI3" s="239"/>
      <c r="DJ3" s="239"/>
      <c r="DK3" s="339"/>
      <c r="DL3" s="339"/>
      <c r="DM3" s="239"/>
      <c r="DN3" s="239"/>
      <c r="DO3" s="239"/>
      <c r="DP3" s="339"/>
      <c r="DQ3" s="339"/>
      <c r="DR3" s="239"/>
      <c r="DS3" s="239"/>
      <c r="DT3" s="239"/>
      <c r="DU3" s="339"/>
      <c r="DV3" s="339"/>
      <c r="DW3" s="239"/>
      <c r="DX3" s="239"/>
      <c r="DY3" s="239"/>
      <c r="DZ3" s="339"/>
      <c r="EA3" s="339"/>
      <c r="EB3" s="239"/>
      <c r="EC3" s="239"/>
      <c r="ED3" s="239"/>
      <c r="EE3" s="239"/>
      <c r="EF3" s="239"/>
      <c r="EG3" s="239"/>
      <c r="EH3" s="239"/>
      <c r="EI3" s="239"/>
      <c r="EJ3" s="239"/>
      <c r="EK3" s="239"/>
      <c r="EL3" s="239"/>
      <c r="EM3" s="239"/>
      <c r="EN3" s="239"/>
      <c r="EO3" s="239"/>
      <c r="EP3" s="239"/>
    </row>
    <row r="4" spans="1:149" ht="15" customHeight="1" x14ac:dyDescent="0.2">
      <c r="A4" s="403" t="s">
        <v>111</v>
      </c>
      <c r="B4" s="404"/>
      <c r="C4" s="404"/>
      <c r="D4" s="405"/>
      <c r="E4" s="148"/>
      <c r="F4" s="403" t="s">
        <v>112</v>
      </c>
      <c r="G4" s="404"/>
      <c r="H4" s="404"/>
      <c r="I4" s="405"/>
      <c r="J4" s="148"/>
      <c r="K4" s="403" t="s">
        <v>113</v>
      </c>
      <c r="L4" s="404"/>
      <c r="M4" s="404"/>
      <c r="N4" s="405"/>
      <c r="O4" s="148"/>
      <c r="P4" s="403" t="s">
        <v>114</v>
      </c>
      <c r="Q4" s="404"/>
      <c r="R4" s="404"/>
      <c r="S4" s="405"/>
      <c r="T4" s="148"/>
      <c r="U4" s="406" t="s">
        <v>115</v>
      </c>
      <c r="V4" s="407"/>
      <c r="W4" s="407"/>
      <c r="X4" s="408"/>
      <c r="Z4" s="398" t="s">
        <v>126</v>
      </c>
      <c r="AA4" s="399"/>
      <c r="AB4" s="399"/>
      <c r="AC4" s="399"/>
      <c r="AD4" s="399"/>
      <c r="AE4" s="400"/>
      <c r="AF4" s="398" t="s">
        <v>128</v>
      </c>
      <c r="AG4" s="399"/>
      <c r="AH4" s="399"/>
      <c r="AI4" s="399"/>
      <c r="AJ4" s="399"/>
      <c r="AK4" s="398" t="s">
        <v>129</v>
      </c>
      <c r="AL4" s="399"/>
      <c r="AM4" s="399"/>
      <c r="AN4" s="399"/>
      <c r="AO4" s="399"/>
      <c r="AP4" s="398" t="s">
        <v>130</v>
      </c>
      <c r="AQ4" s="399"/>
      <c r="AR4" s="399"/>
      <c r="AS4" s="399"/>
      <c r="AT4" s="399"/>
      <c r="AU4" s="398" t="s">
        <v>131</v>
      </c>
      <c r="AV4" s="399"/>
      <c r="AW4" s="399"/>
      <c r="AX4" s="399"/>
      <c r="AY4" s="399"/>
      <c r="AZ4" s="398" t="s">
        <v>132</v>
      </c>
      <c r="BA4" s="399"/>
      <c r="BB4" s="399"/>
      <c r="BC4" s="399"/>
      <c r="BD4" s="399"/>
      <c r="BE4" s="398" t="s">
        <v>133</v>
      </c>
      <c r="BF4" s="399"/>
      <c r="BG4" s="399"/>
      <c r="BH4" s="399"/>
      <c r="BI4" s="399"/>
      <c r="BJ4" s="398" t="s">
        <v>134</v>
      </c>
      <c r="BK4" s="399"/>
      <c r="BL4" s="399"/>
      <c r="BM4" s="399"/>
      <c r="BN4" s="399"/>
      <c r="BO4" s="398" t="s">
        <v>135</v>
      </c>
      <c r="BP4" s="399"/>
      <c r="BQ4" s="399"/>
      <c r="BR4" s="399"/>
      <c r="BS4" s="399"/>
      <c r="BT4" s="398" t="s">
        <v>136</v>
      </c>
      <c r="BU4" s="399"/>
      <c r="BV4" s="399"/>
      <c r="BW4" s="399"/>
      <c r="BX4" s="399"/>
      <c r="BY4" s="398" t="s">
        <v>137</v>
      </c>
      <c r="BZ4" s="399"/>
      <c r="CA4" s="399"/>
      <c r="CB4" s="399"/>
      <c r="CC4" s="400"/>
      <c r="CD4" s="398" t="s">
        <v>138</v>
      </c>
      <c r="CE4" s="399"/>
      <c r="CF4" s="399"/>
      <c r="CG4" s="399"/>
      <c r="CH4" s="400"/>
      <c r="CI4" s="398" t="s">
        <v>139</v>
      </c>
      <c r="CJ4" s="399"/>
      <c r="CK4" s="399"/>
      <c r="CL4" s="399"/>
      <c r="CM4" s="400"/>
      <c r="CN4" s="398" t="s">
        <v>140</v>
      </c>
      <c r="CO4" s="399"/>
      <c r="CP4" s="399"/>
      <c r="CQ4" s="399"/>
      <c r="CR4" s="400"/>
      <c r="CS4" s="398" t="s">
        <v>141</v>
      </c>
      <c r="CT4" s="399"/>
      <c r="CU4" s="399"/>
      <c r="CV4" s="399"/>
      <c r="CW4" s="400"/>
      <c r="CX4" s="398" t="s">
        <v>142</v>
      </c>
      <c r="CY4" s="399"/>
      <c r="CZ4" s="399"/>
      <c r="DA4" s="399"/>
      <c r="DB4" s="400"/>
      <c r="DC4" s="398" t="s">
        <v>143</v>
      </c>
      <c r="DD4" s="399"/>
      <c r="DE4" s="399"/>
      <c r="DF4" s="399"/>
      <c r="DG4" s="400"/>
      <c r="DH4" s="398" t="s">
        <v>144</v>
      </c>
      <c r="DI4" s="399"/>
      <c r="DJ4" s="399"/>
      <c r="DK4" s="399"/>
      <c r="DL4" s="400"/>
      <c r="DM4" s="398" t="s">
        <v>145</v>
      </c>
      <c r="DN4" s="399"/>
      <c r="DO4" s="399"/>
      <c r="DP4" s="399"/>
      <c r="DQ4" s="400"/>
      <c r="DR4" s="398" t="s">
        <v>146</v>
      </c>
      <c r="DS4" s="399"/>
      <c r="DT4" s="399"/>
      <c r="DU4" s="399"/>
      <c r="DV4" s="400"/>
      <c r="DW4" s="398" t="s">
        <v>147</v>
      </c>
      <c r="DX4" s="399"/>
      <c r="DY4" s="399"/>
      <c r="DZ4" s="399"/>
      <c r="EA4" s="400"/>
      <c r="EB4" s="398" t="s">
        <v>171</v>
      </c>
      <c r="EC4" s="399"/>
      <c r="ED4" s="400"/>
      <c r="EE4" s="398" t="s">
        <v>172</v>
      </c>
      <c r="EF4" s="399"/>
      <c r="EG4" s="400"/>
      <c r="EH4" s="398" t="s">
        <v>173</v>
      </c>
      <c r="EI4" s="399"/>
      <c r="EJ4" s="400"/>
      <c r="EK4" s="398" t="s">
        <v>174</v>
      </c>
      <c r="EL4" s="399"/>
      <c r="EM4" s="400"/>
      <c r="EN4" s="398" t="s">
        <v>192</v>
      </c>
      <c r="EO4" s="399"/>
      <c r="EP4" s="400"/>
      <c r="EQ4" s="398" t="s">
        <v>164</v>
      </c>
      <c r="ER4" s="399"/>
      <c r="ES4" s="400"/>
    </row>
    <row r="5" spans="1:149" ht="36" customHeight="1" x14ac:dyDescent="0.2">
      <c r="A5" s="149" t="s">
        <v>5</v>
      </c>
      <c r="B5" s="149" t="s">
        <v>19</v>
      </c>
      <c r="C5" s="149" t="s">
        <v>20</v>
      </c>
      <c r="D5" s="150" t="s">
        <v>116</v>
      </c>
      <c r="E5" s="150"/>
      <c r="F5" s="149" t="s">
        <v>5</v>
      </c>
      <c r="G5" s="149" t="s">
        <v>19</v>
      </c>
      <c r="H5" s="149" t="s">
        <v>20</v>
      </c>
      <c r="I5" s="150" t="s">
        <v>116</v>
      </c>
      <c r="J5" s="150"/>
      <c r="K5" s="149" t="s">
        <v>5</v>
      </c>
      <c r="L5" s="149" t="s">
        <v>19</v>
      </c>
      <c r="M5" s="149" t="s">
        <v>20</v>
      </c>
      <c r="N5" s="150" t="s">
        <v>116</v>
      </c>
      <c r="O5" s="150"/>
      <c r="P5" s="149" t="s">
        <v>5</v>
      </c>
      <c r="Q5" s="149" t="s">
        <v>19</v>
      </c>
      <c r="R5" s="149" t="s">
        <v>20</v>
      </c>
      <c r="S5" s="150" t="s">
        <v>116</v>
      </c>
      <c r="T5" s="150"/>
      <c r="U5" s="151" t="s">
        <v>42</v>
      </c>
      <c r="V5" s="152" t="s">
        <v>13</v>
      </c>
      <c r="W5" s="153" t="s">
        <v>117</v>
      </c>
      <c r="X5" s="151" t="s">
        <v>68</v>
      </c>
      <c r="Z5" s="231" t="s">
        <v>5</v>
      </c>
      <c r="AA5" s="230" t="s">
        <v>49</v>
      </c>
      <c r="AB5" s="230" t="s">
        <v>50</v>
      </c>
      <c r="AC5" s="230" t="s">
        <v>191</v>
      </c>
      <c r="AD5" s="344" t="s">
        <v>190</v>
      </c>
      <c r="AE5" s="340" t="s">
        <v>151</v>
      </c>
      <c r="AF5" s="231" t="s">
        <v>49</v>
      </c>
      <c r="AG5" s="230" t="s">
        <v>50</v>
      </c>
      <c r="AH5" s="344" t="s">
        <v>191</v>
      </c>
      <c r="AI5" s="344" t="s">
        <v>190</v>
      </c>
      <c r="AJ5" s="344" t="s">
        <v>151</v>
      </c>
      <c r="AK5" s="231" t="s">
        <v>49</v>
      </c>
      <c r="AL5" s="230" t="s">
        <v>50</v>
      </c>
      <c r="AM5" s="344" t="s">
        <v>191</v>
      </c>
      <c r="AN5" s="344" t="s">
        <v>190</v>
      </c>
      <c r="AO5" s="344" t="s">
        <v>151</v>
      </c>
      <c r="AP5" s="231" t="s">
        <v>49</v>
      </c>
      <c r="AQ5" s="230" t="s">
        <v>50</v>
      </c>
      <c r="AR5" s="344" t="s">
        <v>191</v>
      </c>
      <c r="AS5" s="344" t="s">
        <v>190</v>
      </c>
      <c r="AT5" s="344" t="s">
        <v>151</v>
      </c>
      <c r="AU5" s="231" t="s">
        <v>49</v>
      </c>
      <c r="AV5" s="230" t="s">
        <v>50</v>
      </c>
      <c r="AW5" s="344" t="s">
        <v>191</v>
      </c>
      <c r="AX5" s="344" t="s">
        <v>190</v>
      </c>
      <c r="AY5" s="344" t="s">
        <v>151</v>
      </c>
      <c r="AZ5" s="231" t="s">
        <v>49</v>
      </c>
      <c r="BA5" s="230" t="s">
        <v>50</v>
      </c>
      <c r="BB5" s="344" t="s">
        <v>191</v>
      </c>
      <c r="BC5" s="344" t="s">
        <v>190</v>
      </c>
      <c r="BD5" s="344" t="s">
        <v>151</v>
      </c>
      <c r="BE5" s="231" t="s">
        <v>49</v>
      </c>
      <c r="BF5" s="230" t="s">
        <v>50</v>
      </c>
      <c r="BG5" s="344" t="s">
        <v>191</v>
      </c>
      <c r="BH5" s="344" t="s">
        <v>190</v>
      </c>
      <c r="BI5" s="344" t="s">
        <v>151</v>
      </c>
      <c r="BJ5" s="231" t="s">
        <v>49</v>
      </c>
      <c r="BK5" s="230" t="s">
        <v>50</v>
      </c>
      <c r="BL5" s="344" t="s">
        <v>191</v>
      </c>
      <c r="BM5" s="344" t="s">
        <v>190</v>
      </c>
      <c r="BN5" s="344" t="s">
        <v>151</v>
      </c>
      <c r="BO5" s="231" t="s">
        <v>49</v>
      </c>
      <c r="BP5" s="230" t="s">
        <v>50</v>
      </c>
      <c r="BQ5" s="344" t="s">
        <v>191</v>
      </c>
      <c r="BR5" s="344" t="s">
        <v>190</v>
      </c>
      <c r="BS5" s="344" t="s">
        <v>151</v>
      </c>
      <c r="BT5" s="231" t="s">
        <v>49</v>
      </c>
      <c r="BU5" s="230" t="s">
        <v>50</v>
      </c>
      <c r="BV5" s="344" t="s">
        <v>191</v>
      </c>
      <c r="BW5" s="344" t="s">
        <v>190</v>
      </c>
      <c r="BX5" s="344" t="s">
        <v>151</v>
      </c>
      <c r="BY5" s="231" t="s">
        <v>49</v>
      </c>
      <c r="BZ5" s="230" t="s">
        <v>50</v>
      </c>
      <c r="CA5" s="344" t="s">
        <v>127</v>
      </c>
      <c r="CB5" s="344" t="s">
        <v>190</v>
      </c>
      <c r="CC5" s="232" t="s">
        <v>151</v>
      </c>
      <c r="CD5" s="231" t="s">
        <v>49</v>
      </c>
      <c r="CE5" s="230" t="s">
        <v>50</v>
      </c>
      <c r="CF5" s="344" t="s">
        <v>191</v>
      </c>
      <c r="CG5" s="344" t="s">
        <v>190</v>
      </c>
      <c r="CH5" s="232" t="s">
        <v>151</v>
      </c>
      <c r="CI5" s="231" t="s">
        <v>49</v>
      </c>
      <c r="CJ5" s="230" t="s">
        <v>50</v>
      </c>
      <c r="CK5" s="344" t="s">
        <v>191</v>
      </c>
      <c r="CL5" s="344" t="s">
        <v>190</v>
      </c>
      <c r="CM5" s="232" t="s">
        <v>151</v>
      </c>
      <c r="CN5" s="231" t="s">
        <v>49</v>
      </c>
      <c r="CO5" s="230" t="s">
        <v>50</v>
      </c>
      <c r="CP5" s="344" t="s">
        <v>191</v>
      </c>
      <c r="CQ5" s="344" t="s">
        <v>190</v>
      </c>
      <c r="CR5" s="232" t="s">
        <v>151</v>
      </c>
      <c r="CS5" s="231" t="s">
        <v>49</v>
      </c>
      <c r="CT5" s="230" t="s">
        <v>50</v>
      </c>
      <c r="CU5" s="344" t="s">
        <v>127</v>
      </c>
      <c r="CV5" s="344" t="s">
        <v>190</v>
      </c>
      <c r="CW5" s="232" t="s">
        <v>151</v>
      </c>
      <c r="CX5" s="231" t="s">
        <v>49</v>
      </c>
      <c r="CY5" s="230" t="s">
        <v>50</v>
      </c>
      <c r="CZ5" s="344" t="s">
        <v>191</v>
      </c>
      <c r="DA5" s="344" t="s">
        <v>190</v>
      </c>
      <c r="DB5" s="232" t="s">
        <v>151</v>
      </c>
      <c r="DC5" s="231" t="s">
        <v>49</v>
      </c>
      <c r="DD5" s="230" t="s">
        <v>50</v>
      </c>
      <c r="DE5" s="344" t="s">
        <v>127</v>
      </c>
      <c r="DF5" s="344" t="s">
        <v>190</v>
      </c>
      <c r="DG5" s="232" t="s">
        <v>151</v>
      </c>
      <c r="DH5" s="231" t="s">
        <v>49</v>
      </c>
      <c r="DI5" s="230" t="s">
        <v>50</v>
      </c>
      <c r="DJ5" s="344" t="s">
        <v>191</v>
      </c>
      <c r="DK5" s="344" t="s">
        <v>190</v>
      </c>
      <c r="DL5" s="232" t="s">
        <v>151</v>
      </c>
      <c r="DM5" s="231" t="s">
        <v>49</v>
      </c>
      <c r="DN5" s="230" t="s">
        <v>50</v>
      </c>
      <c r="DO5" s="344" t="s">
        <v>191</v>
      </c>
      <c r="DP5" s="344" t="s">
        <v>190</v>
      </c>
      <c r="DQ5" s="232" t="s">
        <v>151</v>
      </c>
      <c r="DR5" s="231" t="s">
        <v>49</v>
      </c>
      <c r="DS5" s="230" t="s">
        <v>50</v>
      </c>
      <c r="DT5" s="344" t="s">
        <v>127</v>
      </c>
      <c r="DU5" s="344" t="s">
        <v>190</v>
      </c>
      <c r="DV5" s="232" t="s">
        <v>151</v>
      </c>
      <c r="DW5" s="231" t="s">
        <v>49</v>
      </c>
      <c r="DX5" s="230" t="s">
        <v>50</v>
      </c>
      <c r="DY5" s="344" t="s">
        <v>191</v>
      </c>
      <c r="DZ5" s="344" t="s">
        <v>190</v>
      </c>
      <c r="EA5" s="232" t="s">
        <v>151</v>
      </c>
      <c r="EB5" s="231" t="s">
        <v>49</v>
      </c>
      <c r="EC5" s="230" t="s">
        <v>50</v>
      </c>
      <c r="ED5" s="232" t="s">
        <v>191</v>
      </c>
      <c r="EE5" s="231" t="s">
        <v>49</v>
      </c>
      <c r="EF5" s="230" t="s">
        <v>50</v>
      </c>
      <c r="EG5" s="232" t="s">
        <v>191</v>
      </c>
      <c r="EH5" s="231" t="s">
        <v>49</v>
      </c>
      <c r="EI5" s="230" t="s">
        <v>50</v>
      </c>
      <c r="EJ5" s="232" t="s">
        <v>191</v>
      </c>
      <c r="EK5" s="231" t="s">
        <v>49</v>
      </c>
      <c r="EL5" s="230" t="s">
        <v>50</v>
      </c>
      <c r="EM5" s="232" t="s">
        <v>191</v>
      </c>
      <c r="EN5" s="348" t="s">
        <v>49</v>
      </c>
      <c r="EO5" s="344" t="s">
        <v>50</v>
      </c>
      <c r="EP5" s="232" t="s">
        <v>191</v>
      </c>
      <c r="EQ5" s="231"/>
      <c r="ER5" s="230"/>
      <c r="ES5" s="232"/>
    </row>
    <row r="6" spans="1:149" ht="15" customHeight="1" x14ac:dyDescent="0.2">
      <c r="A6" s="164">
        <v>1</v>
      </c>
      <c r="B6" s="162">
        <v>17849</v>
      </c>
      <c r="C6" s="154">
        <v>17913</v>
      </c>
      <c r="D6" s="155">
        <f>MAX(0,C6-B6)</f>
        <v>64</v>
      </c>
      <c r="E6" s="220"/>
      <c r="F6" s="164">
        <v>1</v>
      </c>
      <c r="G6" s="162">
        <v>17224</v>
      </c>
      <c r="H6" s="154">
        <v>17235</v>
      </c>
      <c r="I6" s="155">
        <f>MAX(0,H6-G6)</f>
        <v>11</v>
      </c>
      <c r="J6" s="220"/>
      <c r="K6" s="164">
        <v>1</v>
      </c>
      <c r="L6" s="162">
        <v>779791</v>
      </c>
      <c r="M6" s="154">
        <v>780064</v>
      </c>
      <c r="N6" s="155">
        <f>MAX(0,M6-L6)</f>
        <v>273</v>
      </c>
      <c r="O6" s="157"/>
      <c r="P6" s="164">
        <v>1</v>
      </c>
      <c r="Q6" s="162">
        <v>213446</v>
      </c>
      <c r="R6" s="154">
        <v>213512</v>
      </c>
      <c r="S6" s="155">
        <f>MAX(0,R6-Q6)</f>
        <v>66</v>
      </c>
      <c r="T6" s="156"/>
      <c r="U6" s="158">
        <v>1</v>
      </c>
      <c r="V6" s="242">
        <f>SUM(S6+N6+I6+D6)</f>
        <v>414</v>
      </c>
      <c r="W6" s="159">
        <f>'Maldives at LG Daily'!I5</f>
        <v>37.9</v>
      </c>
      <c r="X6" s="160"/>
      <c r="Z6" s="235">
        <v>1</v>
      </c>
      <c r="AA6" s="163">
        <v>39442</v>
      </c>
      <c r="AB6" s="163">
        <v>39558</v>
      </c>
      <c r="AC6" s="163">
        <f>AB6-AA6</f>
        <v>116</v>
      </c>
      <c r="AD6" s="163"/>
      <c r="AE6" s="341"/>
      <c r="AF6" s="235">
        <v>8722</v>
      </c>
      <c r="AG6" s="163">
        <v>8728</v>
      </c>
      <c r="AH6" s="163">
        <f>AG6-AF6</f>
        <v>6</v>
      </c>
      <c r="AI6" s="163"/>
      <c r="AJ6" s="163"/>
      <c r="AK6" s="235">
        <v>6810</v>
      </c>
      <c r="AL6" s="163">
        <v>6824</v>
      </c>
      <c r="AM6" s="163">
        <f>AL6-AK6</f>
        <v>14</v>
      </c>
      <c r="AN6" s="163"/>
      <c r="AO6" s="163"/>
      <c r="AP6" s="235">
        <v>15514</v>
      </c>
      <c r="AQ6" s="163">
        <v>15524</v>
      </c>
      <c r="AR6" s="163">
        <f>AQ6-AP6</f>
        <v>10</v>
      </c>
      <c r="AS6" s="163"/>
      <c r="AT6" s="163"/>
      <c r="AU6" s="235">
        <v>32911</v>
      </c>
      <c r="AV6" s="163">
        <v>32921</v>
      </c>
      <c r="AW6" s="163">
        <f t="shared" ref="AW6:AW36" si="0">AV6-AU6</f>
        <v>10</v>
      </c>
      <c r="AX6" s="163"/>
      <c r="AY6" s="163"/>
      <c r="AZ6" s="235">
        <v>7002</v>
      </c>
      <c r="BA6" s="163">
        <v>7008</v>
      </c>
      <c r="BB6" s="163">
        <f t="shared" ref="BB6:BB36" si="1">BA6-AZ6</f>
        <v>6</v>
      </c>
      <c r="BC6" s="163"/>
      <c r="BD6" s="163"/>
      <c r="BE6" s="235">
        <v>23315</v>
      </c>
      <c r="BF6" s="163">
        <v>23325</v>
      </c>
      <c r="BG6" s="163">
        <f t="shared" ref="BG6:BG36" si="2">BF6-BE6</f>
        <v>10</v>
      </c>
      <c r="BH6" s="163"/>
      <c r="BI6" s="163"/>
      <c r="BJ6" s="235">
        <v>7409</v>
      </c>
      <c r="BK6" s="163">
        <v>7416</v>
      </c>
      <c r="BL6" s="163">
        <f t="shared" ref="BL6:BL36" si="3">BK6-BJ6</f>
        <v>7</v>
      </c>
      <c r="BM6" s="163"/>
      <c r="BN6" s="163"/>
      <c r="BO6" s="235">
        <v>3593</v>
      </c>
      <c r="BP6" s="163">
        <v>3594</v>
      </c>
      <c r="BQ6" s="163">
        <f t="shared" ref="BQ6:BQ36" si="4">BP6-BO6</f>
        <v>1</v>
      </c>
      <c r="BR6" s="163"/>
      <c r="BS6" s="163"/>
      <c r="BT6" s="235">
        <v>1616</v>
      </c>
      <c r="BU6" s="163">
        <v>1617</v>
      </c>
      <c r="BV6" s="163">
        <f t="shared" ref="BV6:BV36" si="5">BU6-BT6</f>
        <v>1</v>
      </c>
      <c r="BW6" s="163"/>
      <c r="BX6" s="163"/>
      <c r="BY6" s="241">
        <v>27130</v>
      </c>
      <c r="BZ6" s="163">
        <v>27180</v>
      </c>
      <c r="CA6" s="163">
        <f t="shared" ref="CA6:CA36" si="6">BZ6-BY6</f>
        <v>50</v>
      </c>
      <c r="CB6" s="163"/>
      <c r="CC6" s="233"/>
      <c r="CD6" s="241">
        <v>2760</v>
      </c>
      <c r="CE6" s="163">
        <v>2765</v>
      </c>
      <c r="CF6" s="163">
        <f t="shared" ref="CF6:CF36" si="7">CE6-CD6</f>
        <v>5</v>
      </c>
      <c r="CG6" s="163"/>
      <c r="CH6" s="233"/>
      <c r="CI6" s="241">
        <v>75174</v>
      </c>
      <c r="CJ6" s="163">
        <v>75204</v>
      </c>
      <c r="CK6" s="163">
        <f t="shared" ref="CK6:CK36" si="8">CJ6-CI6</f>
        <v>30</v>
      </c>
      <c r="CL6" s="163"/>
      <c r="CM6" s="233"/>
      <c r="CN6" s="241">
        <v>23811</v>
      </c>
      <c r="CO6" s="163">
        <v>23818</v>
      </c>
      <c r="CP6" s="163">
        <f t="shared" ref="CP6:CP36" si="9">CO6-CN6</f>
        <v>7</v>
      </c>
      <c r="CQ6" s="163"/>
      <c r="CR6" s="233"/>
      <c r="CS6" s="241">
        <v>12531</v>
      </c>
      <c r="CT6" s="163">
        <v>12532</v>
      </c>
      <c r="CU6" s="163">
        <f t="shared" ref="CU6:CU36" si="10">CT6-CS6</f>
        <v>1</v>
      </c>
      <c r="CV6" s="163"/>
      <c r="CW6" s="233"/>
      <c r="CX6" s="241">
        <v>17957</v>
      </c>
      <c r="CY6" s="163">
        <v>17957</v>
      </c>
      <c r="CZ6" s="163">
        <f t="shared" ref="CZ6:CZ36" si="11">CY6-CX6</f>
        <v>0</v>
      </c>
      <c r="DA6" s="163"/>
      <c r="DB6" s="233"/>
      <c r="DC6" s="241">
        <v>19881</v>
      </c>
      <c r="DD6" s="163">
        <v>19882</v>
      </c>
      <c r="DE6" s="163">
        <f t="shared" ref="DE6:DE36" si="12">DD6-DC6</f>
        <v>1</v>
      </c>
      <c r="DF6" s="163"/>
      <c r="DG6" s="233"/>
      <c r="DH6" s="241">
        <v>8770</v>
      </c>
      <c r="DI6" s="163">
        <v>8774</v>
      </c>
      <c r="DJ6" s="163">
        <f t="shared" ref="DJ6:DJ36" si="13">DI6-DH6</f>
        <v>4</v>
      </c>
      <c r="DK6" s="163"/>
      <c r="DL6" s="233"/>
      <c r="DM6" s="241">
        <v>20454</v>
      </c>
      <c r="DN6" s="163">
        <v>20468</v>
      </c>
      <c r="DO6" s="163">
        <f t="shared" ref="DO6:DO36" si="14">DN6-DM6</f>
        <v>14</v>
      </c>
      <c r="DP6" s="163"/>
      <c r="DQ6" s="233"/>
      <c r="DR6" s="241">
        <v>2088</v>
      </c>
      <c r="DS6" s="163">
        <v>2093</v>
      </c>
      <c r="DT6" s="163">
        <f t="shared" ref="DT6:DT36" si="15">DS6-DR6</f>
        <v>5</v>
      </c>
      <c r="DU6" s="163"/>
      <c r="DV6" s="233"/>
      <c r="DW6" s="241">
        <v>9897</v>
      </c>
      <c r="DX6" s="163">
        <v>9897</v>
      </c>
      <c r="DY6" s="163">
        <f>DX6-DW6</f>
        <v>0</v>
      </c>
      <c r="DZ6" s="163"/>
      <c r="EA6" s="233"/>
      <c r="EB6" s="241">
        <v>904</v>
      </c>
      <c r="EC6" s="163">
        <v>913</v>
      </c>
      <c r="ED6" s="233">
        <f>EC6-EB6</f>
        <v>9</v>
      </c>
      <c r="EE6" s="241">
        <v>568</v>
      </c>
      <c r="EF6" s="163">
        <v>576</v>
      </c>
      <c r="EG6" s="233">
        <f>EF6-EE6</f>
        <v>8</v>
      </c>
      <c r="EH6" s="241">
        <v>367</v>
      </c>
      <c r="EI6" s="163">
        <v>379</v>
      </c>
      <c r="EJ6" s="233">
        <f>EI6-EH6</f>
        <v>12</v>
      </c>
      <c r="EK6" s="241">
        <v>396</v>
      </c>
      <c r="EL6" s="163">
        <v>405</v>
      </c>
      <c r="EM6" s="233">
        <f>EL6-EK6</f>
        <v>9</v>
      </c>
      <c r="EN6" s="241">
        <v>149</v>
      </c>
      <c r="EO6" s="163">
        <v>154</v>
      </c>
      <c r="EP6" s="233">
        <f>EO6-EN6</f>
        <v>5</v>
      </c>
      <c r="EQ6" s="241">
        <f t="shared" ref="EQ6:EQ36" si="16">AH6+AM6+AR6+AW6+BB6+BG6+BL6+BQ6+BV6</f>
        <v>65</v>
      </c>
      <c r="ER6" s="163">
        <f t="shared" ref="ER6:ER36" si="17">(EQ6/V6)*100</f>
        <v>15.70048309178744</v>
      </c>
      <c r="ES6" s="233"/>
    </row>
    <row r="7" spans="1:149" ht="15" customHeight="1" x14ac:dyDescent="0.2">
      <c r="A7" s="164">
        <v>2</v>
      </c>
      <c r="B7" s="161">
        <f>C6</f>
        <v>17913</v>
      </c>
      <c r="C7" s="162">
        <v>17978</v>
      </c>
      <c r="D7" s="155">
        <f t="shared" ref="D7:D36" si="18">MAX(0,C7-B7)</f>
        <v>65</v>
      </c>
      <c r="E7" s="220"/>
      <c r="F7" s="164">
        <v>2</v>
      </c>
      <c r="G7" s="161">
        <f>H6</f>
        <v>17235</v>
      </c>
      <c r="H7" s="154">
        <v>17271</v>
      </c>
      <c r="I7" s="155">
        <f t="shared" ref="I7:I36" si="19">MAX(0,H7-G7)</f>
        <v>36</v>
      </c>
      <c r="J7" s="220"/>
      <c r="K7" s="164">
        <v>2</v>
      </c>
      <c r="L7" s="161">
        <f>M6</f>
        <v>780064</v>
      </c>
      <c r="M7" s="162">
        <v>780265</v>
      </c>
      <c r="N7" s="155">
        <f t="shared" ref="N7:N36" si="20">MAX(0,M7-L7)</f>
        <v>201</v>
      </c>
      <c r="O7" s="157"/>
      <c r="P7" s="164">
        <v>2</v>
      </c>
      <c r="Q7" s="161">
        <f>R6</f>
        <v>213512</v>
      </c>
      <c r="R7" s="162">
        <v>213579</v>
      </c>
      <c r="S7" s="155">
        <f t="shared" ref="S7:S36" si="21">MAX(0,R7-Q7)</f>
        <v>67</v>
      </c>
      <c r="T7" s="156"/>
      <c r="U7" s="164">
        <v>2</v>
      </c>
      <c r="V7" s="243">
        <f t="shared" ref="V7:V36" si="22">SUM(S7+N7+I7+D7)</f>
        <v>369</v>
      </c>
      <c r="W7" s="159">
        <f>'Maldives at LG Daily'!I6</f>
        <v>44.7</v>
      </c>
      <c r="X7" s="165"/>
      <c r="Z7" s="235">
        <v>2</v>
      </c>
      <c r="AA7" s="163">
        <f>AB6</f>
        <v>39558</v>
      </c>
      <c r="AB7" s="163">
        <v>39980</v>
      </c>
      <c r="AC7" s="163">
        <f t="shared" ref="AC7:AC36" si="23">AB7-AA7</f>
        <v>422</v>
      </c>
      <c r="AD7" s="163">
        <f>AC7-AC6</f>
        <v>306</v>
      </c>
      <c r="AE7" s="342"/>
      <c r="AF7" s="235">
        <f>AG6</f>
        <v>8728</v>
      </c>
      <c r="AG7" s="163">
        <v>8735</v>
      </c>
      <c r="AH7" s="163">
        <f t="shared" ref="AH7:AH36" si="24">AG7-AF7</f>
        <v>7</v>
      </c>
      <c r="AI7" s="163">
        <f>AH7-AH6</f>
        <v>1</v>
      </c>
      <c r="AJ7" s="163"/>
      <c r="AK7" s="235">
        <f>AL6</f>
        <v>6824</v>
      </c>
      <c r="AL7" s="163">
        <v>6834</v>
      </c>
      <c r="AM7" s="163">
        <f t="shared" ref="AM7:AM36" si="25">AL7-AK7</f>
        <v>10</v>
      </c>
      <c r="AN7" s="163">
        <f>AM7-AM6</f>
        <v>-4</v>
      </c>
      <c r="AO7" s="163"/>
      <c r="AP7" s="235">
        <f>AQ6</f>
        <v>15524</v>
      </c>
      <c r="AQ7" s="163">
        <v>15536</v>
      </c>
      <c r="AR7" s="163">
        <f t="shared" ref="AR7:AR36" si="26">AQ7-AP7</f>
        <v>12</v>
      </c>
      <c r="AS7" s="163">
        <f>AR7-AR6</f>
        <v>2</v>
      </c>
      <c r="AT7" s="163"/>
      <c r="AU7" s="235">
        <f>AV6</f>
        <v>32921</v>
      </c>
      <c r="AV7" s="163">
        <v>32930</v>
      </c>
      <c r="AW7" s="163">
        <f t="shared" si="0"/>
        <v>9</v>
      </c>
      <c r="AX7" s="163">
        <f>AW7-AW6</f>
        <v>-1</v>
      </c>
      <c r="AY7" s="163"/>
      <c r="AZ7" s="235">
        <f>BA6</f>
        <v>7008</v>
      </c>
      <c r="BA7" s="163">
        <v>7015</v>
      </c>
      <c r="BB7" s="163">
        <f t="shared" si="1"/>
        <v>7</v>
      </c>
      <c r="BC7" s="163">
        <f>BB7-BB6</f>
        <v>1</v>
      </c>
      <c r="BD7" s="163"/>
      <c r="BE7" s="235">
        <f>BF6</f>
        <v>23325</v>
      </c>
      <c r="BF7" s="163">
        <v>23332</v>
      </c>
      <c r="BG7" s="163">
        <f t="shared" si="2"/>
        <v>7</v>
      </c>
      <c r="BH7" s="163">
        <f>BG7-BG6</f>
        <v>-3</v>
      </c>
      <c r="BI7" s="163"/>
      <c r="BJ7" s="235">
        <f>BK6</f>
        <v>7416</v>
      </c>
      <c r="BK7" s="163">
        <v>7425</v>
      </c>
      <c r="BL7" s="163">
        <f t="shared" si="3"/>
        <v>9</v>
      </c>
      <c r="BM7" s="163">
        <f>BL7-BL6</f>
        <v>2</v>
      </c>
      <c r="BN7" s="163"/>
      <c r="BO7" s="235">
        <f>BP6</f>
        <v>3594</v>
      </c>
      <c r="BP7" s="163">
        <v>3595</v>
      </c>
      <c r="BQ7" s="163">
        <f t="shared" si="4"/>
        <v>1</v>
      </c>
      <c r="BR7" s="163">
        <f>BQ7-BQ6</f>
        <v>0</v>
      </c>
      <c r="BS7" s="163"/>
      <c r="BT7" s="235">
        <f>BU6</f>
        <v>1617</v>
      </c>
      <c r="BU7" s="163">
        <v>1617</v>
      </c>
      <c r="BV7" s="163">
        <f t="shared" si="5"/>
        <v>0</v>
      </c>
      <c r="BW7" s="163">
        <f>BV7-BV6</f>
        <v>-1</v>
      </c>
      <c r="BX7" s="163"/>
      <c r="BY7" s="241">
        <f>BZ6</f>
        <v>27180</v>
      </c>
      <c r="BZ7" s="163">
        <v>27195</v>
      </c>
      <c r="CA7" s="163">
        <f t="shared" si="6"/>
        <v>15</v>
      </c>
      <c r="CB7" s="163">
        <f>CA7-CA6</f>
        <v>-35</v>
      </c>
      <c r="CC7" s="233"/>
      <c r="CD7" s="241">
        <f>CE6</f>
        <v>2765</v>
      </c>
      <c r="CE7" s="163">
        <v>2766</v>
      </c>
      <c r="CF7" s="163">
        <f t="shared" si="7"/>
        <v>1</v>
      </c>
      <c r="CG7" s="163">
        <f>CF7-CF6</f>
        <v>-4</v>
      </c>
      <c r="CH7" s="233"/>
      <c r="CI7" s="241">
        <f>CJ6</f>
        <v>75204</v>
      </c>
      <c r="CJ7" s="163">
        <v>75232</v>
      </c>
      <c r="CK7" s="163">
        <f t="shared" si="8"/>
        <v>28</v>
      </c>
      <c r="CL7" s="163">
        <f>CK7-CK6</f>
        <v>-2</v>
      </c>
      <c r="CM7" s="233"/>
      <c r="CN7" s="241">
        <f>CO6</f>
        <v>23818</v>
      </c>
      <c r="CO7" s="163">
        <v>23824</v>
      </c>
      <c r="CP7" s="163">
        <f t="shared" si="9"/>
        <v>6</v>
      </c>
      <c r="CQ7" s="163">
        <f>CP7-CP6</f>
        <v>-1</v>
      </c>
      <c r="CR7" s="233"/>
      <c r="CS7" s="241">
        <f>CT6</f>
        <v>12532</v>
      </c>
      <c r="CT7" s="163">
        <v>12532</v>
      </c>
      <c r="CU7" s="163">
        <f t="shared" si="10"/>
        <v>0</v>
      </c>
      <c r="CV7" s="163">
        <f>CU7-CU6</f>
        <v>-1</v>
      </c>
      <c r="CW7" s="233"/>
      <c r="CX7" s="241">
        <f>CY6</f>
        <v>17957</v>
      </c>
      <c r="CY7" s="163">
        <v>17958</v>
      </c>
      <c r="CZ7" s="163">
        <f t="shared" si="11"/>
        <v>1</v>
      </c>
      <c r="DA7" s="163">
        <f>CZ7-CZ6</f>
        <v>1</v>
      </c>
      <c r="DB7" s="233"/>
      <c r="DC7" s="241">
        <f>DD6</f>
        <v>19882</v>
      </c>
      <c r="DD7" s="163">
        <v>19883</v>
      </c>
      <c r="DE7" s="163">
        <f t="shared" si="12"/>
        <v>1</v>
      </c>
      <c r="DF7" s="163">
        <f>DE7-DE6</f>
        <v>0</v>
      </c>
      <c r="DG7" s="233"/>
      <c r="DH7" s="241">
        <f>DI6</f>
        <v>8774</v>
      </c>
      <c r="DI7" s="163">
        <v>8776</v>
      </c>
      <c r="DJ7" s="163">
        <f t="shared" si="13"/>
        <v>2</v>
      </c>
      <c r="DK7" s="163">
        <f>DJ7-DJ6</f>
        <v>-2</v>
      </c>
      <c r="DL7" s="233"/>
      <c r="DM7" s="241">
        <f>DN6</f>
        <v>20468</v>
      </c>
      <c r="DN7" s="163">
        <v>20487</v>
      </c>
      <c r="DO7" s="163">
        <f t="shared" si="14"/>
        <v>19</v>
      </c>
      <c r="DP7" s="163">
        <f>DO7-DO6</f>
        <v>5</v>
      </c>
      <c r="DQ7" s="233"/>
      <c r="DR7" s="241">
        <f>DS6</f>
        <v>2093</v>
      </c>
      <c r="DS7" s="163">
        <v>2095</v>
      </c>
      <c r="DT7" s="163">
        <f t="shared" si="15"/>
        <v>2</v>
      </c>
      <c r="DU7" s="163">
        <f>DT7-DT6</f>
        <v>-3</v>
      </c>
      <c r="DV7" s="233"/>
      <c r="DW7" s="241">
        <f>DX6</f>
        <v>9897</v>
      </c>
      <c r="DX7" s="163">
        <v>9897</v>
      </c>
      <c r="DY7" s="163">
        <f>DX7-DW7</f>
        <v>0</v>
      </c>
      <c r="DZ7" s="163">
        <f>DY7-DY6</f>
        <v>0</v>
      </c>
      <c r="EA7" s="233"/>
      <c r="EB7" s="241">
        <f>EC6</f>
        <v>913</v>
      </c>
      <c r="EC7" s="163">
        <v>922</v>
      </c>
      <c r="ED7" s="233">
        <f t="shared" ref="ED7:ED36" si="27">EC7-EB7</f>
        <v>9</v>
      </c>
      <c r="EE7" s="241">
        <f>EF6</f>
        <v>576</v>
      </c>
      <c r="EF7" s="163">
        <v>584</v>
      </c>
      <c r="EG7" s="233">
        <f t="shared" ref="EG7:EG36" si="28">EF7-EE7</f>
        <v>8</v>
      </c>
      <c r="EH7" s="241">
        <f>EI6</f>
        <v>379</v>
      </c>
      <c r="EI7" s="163">
        <v>388</v>
      </c>
      <c r="EJ7" s="233">
        <f t="shared" ref="EJ7:EJ36" si="29">EI7-EH7</f>
        <v>9</v>
      </c>
      <c r="EK7" s="241">
        <f>EL6</f>
        <v>405</v>
      </c>
      <c r="EL7" s="163">
        <v>410</v>
      </c>
      <c r="EM7" s="233">
        <f t="shared" ref="EM7:EM36" si="30">EL7-EK7</f>
        <v>5</v>
      </c>
      <c r="EN7" s="241">
        <f>EO6</f>
        <v>154</v>
      </c>
      <c r="EO7" s="163">
        <v>154</v>
      </c>
      <c r="EP7" s="233">
        <f t="shared" ref="EP7:EP36" si="31">EO7-EN7</f>
        <v>0</v>
      </c>
      <c r="EQ7" s="241">
        <f t="shared" si="16"/>
        <v>62</v>
      </c>
      <c r="ER7" s="163">
        <f t="shared" si="17"/>
        <v>16.802168021680217</v>
      </c>
      <c r="ES7" s="233"/>
    </row>
    <row r="8" spans="1:149" ht="15" customHeight="1" x14ac:dyDescent="0.2">
      <c r="A8" s="164">
        <v>3</v>
      </c>
      <c r="B8" s="161">
        <f t="shared" ref="B8:B36" si="32">C7</f>
        <v>17978</v>
      </c>
      <c r="C8" s="162">
        <v>17981</v>
      </c>
      <c r="D8" s="155">
        <f t="shared" si="18"/>
        <v>3</v>
      </c>
      <c r="E8" s="220"/>
      <c r="F8" s="164">
        <v>3</v>
      </c>
      <c r="G8" s="161">
        <f t="shared" ref="G8:G36" si="33">H7</f>
        <v>17271</v>
      </c>
      <c r="H8" s="154">
        <v>17345</v>
      </c>
      <c r="I8" s="155">
        <f t="shared" si="19"/>
        <v>74</v>
      </c>
      <c r="J8" s="220"/>
      <c r="K8" s="164">
        <v>3</v>
      </c>
      <c r="L8" s="161">
        <f t="shared" ref="L8:L36" si="34">M7</f>
        <v>780265</v>
      </c>
      <c r="M8" s="162">
        <v>780549</v>
      </c>
      <c r="N8" s="155">
        <f t="shared" si="20"/>
        <v>284</v>
      </c>
      <c r="O8" s="157"/>
      <c r="P8" s="164">
        <v>3</v>
      </c>
      <c r="Q8" s="161">
        <f t="shared" ref="Q8:Q36" si="35">R7</f>
        <v>213579</v>
      </c>
      <c r="R8" s="162">
        <v>213656</v>
      </c>
      <c r="S8" s="155">
        <f t="shared" si="21"/>
        <v>77</v>
      </c>
      <c r="T8" s="156"/>
      <c r="U8" s="158">
        <v>3</v>
      </c>
      <c r="V8" s="243">
        <f t="shared" si="22"/>
        <v>438</v>
      </c>
      <c r="W8" s="159">
        <f>'Maldives at LG Daily'!I7</f>
        <v>40.799999999999997</v>
      </c>
      <c r="X8" s="165"/>
      <c r="Z8" s="235">
        <v>3</v>
      </c>
      <c r="AA8" s="163">
        <f t="shared" ref="AA8:AA36" si="36">AB7</f>
        <v>39980</v>
      </c>
      <c r="AB8" s="163">
        <v>40000</v>
      </c>
      <c r="AC8" s="163">
        <f t="shared" si="23"/>
        <v>20</v>
      </c>
      <c r="AD8" s="163">
        <f>AC8-AC7</f>
        <v>-402</v>
      </c>
      <c r="AE8" s="342"/>
      <c r="AF8" s="235">
        <f t="shared" ref="AF8:AF36" si="37">AG7</f>
        <v>8735</v>
      </c>
      <c r="AG8" s="163">
        <v>8741</v>
      </c>
      <c r="AH8" s="163">
        <f t="shared" si="24"/>
        <v>6</v>
      </c>
      <c r="AI8" s="163">
        <f>AH8-AH7</f>
        <v>-1</v>
      </c>
      <c r="AJ8" s="163"/>
      <c r="AK8" s="235">
        <f t="shared" ref="AK8:AK36" si="38">AL7</f>
        <v>6834</v>
      </c>
      <c r="AL8" s="163">
        <v>6846</v>
      </c>
      <c r="AM8" s="163">
        <f t="shared" si="25"/>
        <v>12</v>
      </c>
      <c r="AN8" s="163">
        <f t="shared" ref="AN8:AN36" si="39">AM8-AM7</f>
        <v>2</v>
      </c>
      <c r="AO8" s="163"/>
      <c r="AP8" s="235">
        <f t="shared" ref="AP8:AP36" si="40">AQ7</f>
        <v>15536</v>
      </c>
      <c r="AQ8" s="163">
        <v>15548</v>
      </c>
      <c r="AR8" s="163">
        <f t="shared" si="26"/>
        <v>12</v>
      </c>
      <c r="AS8" s="163">
        <f t="shared" ref="AS8:AS36" si="41">AR8-AR7</f>
        <v>0</v>
      </c>
      <c r="AT8" s="163"/>
      <c r="AU8" s="235">
        <f t="shared" ref="AU8:AU36" si="42">AV7</f>
        <v>32930</v>
      </c>
      <c r="AV8" s="163">
        <v>32938</v>
      </c>
      <c r="AW8" s="163">
        <f t="shared" si="0"/>
        <v>8</v>
      </c>
      <c r="AX8" s="163">
        <f t="shared" ref="AX8:AX36" si="43">AW8-AW7</f>
        <v>-1</v>
      </c>
      <c r="AY8" s="163"/>
      <c r="AZ8" s="235">
        <f t="shared" ref="AZ8:AZ36" si="44">BA7</f>
        <v>7015</v>
      </c>
      <c r="BA8" s="163">
        <v>7022</v>
      </c>
      <c r="BB8" s="163">
        <f t="shared" si="1"/>
        <v>7</v>
      </c>
      <c r="BC8" s="163">
        <f t="shared" ref="BC8:BC36" si="45">BB8-BB7</f>
        <v>0</v>
      </c>
      <c r="BD8" s="163"/>
      <c r="BE8" s="235">
        <f t="shared" ref="BE8:BE36" si="46">BF7</f>
        <v>23332</v>
      </c>
      <c r="BF8" s="163">
        <v>23340</v>
      </c>
      <c r="BG8" s="163">
        <f t="shared" si="2"/>
        <v>8</v>
      </c>
      <c r="BH8" s="163">
        <f t="shared" ref="BH8:BH36" si="47">BG8-BG7</f>
        <v>1</v>
      </c>
      <c r="BI8" s="163"/>
      <c r="BJ8" s="235">
        <f t="shared" ref="BJ8:BJ36" si="48">BK7</f>
        <v>7425</v>
      </c>
      <c r="BK8" s="163">
        <v>7435</v>
      </c>
      <c r="BL8" s="163">
        <f t="shared" si="3"/>
        <v>10</v>
      </c>
      <c r="BM8" s="163">
        <f t="shared" ref="BM8:BM36" si="49">BL8-BL7</f>
        <v>1</v>
      </c>
      <c r="BN8" s="163"/>
      <c r="BO8" s="235">
        <f t="shared" ref="BO8:BO36" si="50">BP7</f>
        <v>3595</v>
      </c>
      <c r="BP8" s="163">
        <v>3598</v>
      </c>
      <c r="BQ8" s="163">
        <f t="shared" si="4"/>
        <v>3</v>
      </c>
      <c r="BR8" s="163">
        <f t="shared" ref="BR8:BR36" si="51">BQ8-BQ7</f>
        <v>2</v>
      </c>
      <c r="BS8" s="163"/>
      <c r="BT8" s="235">
        <f t="shared" ref="BT8:BT36" si="52">BU7</f>
        <v>1617</v>
      </c>
      <c r="BU8" s="163">
        <v>1617</v>
      </c>
      <c r="BV8" s="163">
        <f t="shared" si="5"/>
        <v>0</v>
      </c>
      <c r="BW8" s="163">
        <f t="shared" ref="BW8:BW36" si="53">BV8-BV7</f>
        <v>0</v>
      </c>
      <c r="BX8" s="163"/>
      <c r="BY8" s="241">
        <f t="shared" ref="BY8:BY36" si="54">BZ7</f>
        <v>27195</v>
      </c>
      <c r="BZ8" s="163">
        <v>27210</v>
      </c>
      <c r="CA8" s="163">
        <f t="shared" si="6"/>
        <v>15</v>
      </c>
      <c r="CB8" s="163">
        <f t="shared" ref="CB8:CB36" si="55">CA8-CA7</f>
        <v>0</v>
      </c>
      <c r="CC8" s="233"/>
      <c r="CD8" s="241">
        <f t="shared" ref="CD8:CD36" si="56">CE7</f>
        <v>2766</v>
      </c>
      <c r="CE8" s="163">
        <v>2771</v>
      </c>
      <c r="CF8" s="163">
        <f t="shared" si="7"/>
        <v>5</v>
      </c>
      <c r="CG8" s="163">
        <f t="shared" ref="CG8:CG36" si="57">CF8-CF7</f>
        <v>4</v>
      </c>
      <c r="CH8" s="233"/>
      <c r="CI8" s="241">
        <f t="shared" ref="CI8:CI36" si="58">CJ7</f>
        <v>75232</v>
      </c>
      <c r="CJ8" s="163">
        <v>75261</v>
      </c>
      <c r="CK8" s="163">
        <f t="shared" si="8"/>
        <v>29</v>
      </c>
      <c r="CL8" s="163">
        <f t="shared" ref="CL8:CL36" si="59">CK8-CK7</f>
        <v>1</v>
      </c>
      <c r="CM8" s="233"/>
      <c r="CN8" s="241">
        <f t="shared" ref="CN8:CN36" si="60">CO7</f>
        <v>23824</v>
      </c>
      <c r="CO8" s="163">
        <v>23829</v>
      </c>
      <c r="CP8" s="163">
        <f t="shared" si="9"/>
        <v>5</v>
      </c>
      <c r="CQ8" s="163">
        <f t="shared" ref="CQ8:CQ36" si="61">CP8-CP7</f>
        <v>-1</v>
      </c>
      <c r="CR8" s="233"/>
      <c r="CS8" s="241">
        <f t="shared" ref="CS8:CS36" si="62">CT7</f>
        <v>12532</v>
      </c>
      <c r="CT8" s="163">
        <v>12537</v>
      </c>
      <c r="CU8" s="163">
        <f t="shared" si="10"/>
        <v>5</v>
      </c>
      <c r="CV8" s="163">
        <f t="shared" ref="CV8:CV36" si="63">CU8-CU7</f>
        <v>5</v>
      </c>
      <c r="CW8" s="233"/>
      <c r="CX8" s="241">
        <f t="shared" ref="CX8:CX36" si="64">CY7</f>
        <v>17958</v>
      </c>
      <c r="CY8" s="163">
        <v>17958</v>
      </c>
      <c r="CZ8" s="163">
        <f t="shared" si="11"/>
        <v>0</v>
      </c>
      <c r="DA8" s="163">
        <f t="shared" ref="DA8:DA36" si="65">CZ8-CZ7</f>
        <v>-1</v>
      </c>
      <c r="DB8" s="233"/>
      <c r="DC8" s="241">
        <f t="shared" ref="DC8:DC36" si="66">DD7</f>
        <v>19883</v>
      </c>
      <c r="DD8" s="163">
        <v>19887</v>
      </c>
      <c r="DE8" s="163">
        <f t="shared" si="12"/>
        <v>4</v>
      </c>
      <c r="DF8" s="163">
        <f t="shared" ref="DF8:DF36" si="67">DE8-DE7</f>
        <v>3</v>
      </c>
      <c r="DG8" s="233"/>
      <c r="DH8" s="241">
        <f t="shared" ref="DH8:DH36" si="68">DI7</f>
        <v>8776</v>
      </c>
      <c r="DI8" s="163">
        <v>8779</v>
      </c>
      <c r="DJ8" s="163">
        <f t="shared" si="13"/>
        <v>3</v>
      </c>
      <c r="DK8" s="163">
        <f t="shared" ref="DK8:DK36" si="69">DJ8-DJ7</f>
        <v>1</v>
      </c>
      <c r="DL8" s="233"/>
      <c r="DM8" s="241">
        <f t="shared" ref="DM8:DM36" si="70">DN7</f>
        <v>20487</v>
      </c>
      <c r="DN8" s="163">
        <v>20487</v>
      </c>
      <c r="DO8" s="163">
        <f t="shared" si="14"/>
        <v>0</v>
      </c>
      <c r="DP8" s="163">
        <f t="shared" ref="DP8:DP36" si="71">DO8-DO7</f>
        <v>-19</v>
      </c>
      <c r="DQ8" s="233"/>
      <c r="DR8" s="241">
        <f t="shared" ref="DR8:DR36" si="72">DS7</f>
        <v>2095</v>
      </c>
      <c r="DS8" s="163">
        <v>2096</v>
      </c>
      <c r="DT8" s="163">
        <f t="shared" si="15"/>
        <v>1</v>
      </c>
      <c r="DU8" s="163">
        <f t="shared" ref="DU8:DU36" si="73">DT8-DT7</f>
        <v>-1</v>
      </c>
      <c r="DV8" s="233"/>
      <c r="DW8" s="241">
        <f t="shared" ref="DW8:DW36" si="74">DX7</f>
        <v>9897</v>
      </c>
      <c r="DX8" s="163">
        <v>9897</v>
      </c>
      <c r="DY8" s="163">
        <f t="shared" ref="DY8:DY36" si="75">DX8-DW8</f>
        <v>0</v>
      </c>
      <c r="DZ8" s="163">
        <f t="shared" ref="DZ8:DZ36" si="76">DY8-DY7</f>
        <v>0</v>
      </c>
      <c r="EA8" s="233"/>
      <c r="EB8" s="241">
        <f t="shared" ref="EB8:EB18" si="77">EC7</f>
        <v>922</v>
      </c>
      <c r="EC8" s="163">
        <v>931</v>
      </c>
      <c r="ED8" s="233">
        <f t="shared" si="27"/>
        <v>9</v>
      </c>
      <c r="EE8" s="241">
        <f t="shared" ref="EE8:EE14" si="78">EF7</f>
        <v>584</v>
      </c>
      <c r="EF8" s="163">
        <v>592</v>
      </c>
      <c r="EG8" s="233">
        <f t="shared" si="28"/>
        <v>8</v>
      </c>
      <c r="EH8" s="241">
        <f t="shared" ref="EH8:EH14" si="79">EI7</f>
        <v>388</v>
      </c>
      <c r="EI8" s="163">
        <v>395</v>
      </c>
      <c r="EJ8" s="233">
        <f t="shared" si="29"/>
        <v>7</v>
      </c>
      <c r="EK8" s="241">
        <f t="shared" ref="EK8:EK16" si="80">EL7</f>
        <v>410</v>
      </c>
      <c r="EL8" s="163">
        <v>416</v>
      </c>
      <c r="EM8" s="233">
        <f t="shared" si="30"/>
        <v>6</v>
      </c>
      <c r="EN8" s="241">
        <f t="shared" ref="EN8:EN36" si="81">EO7</f>
        <v>154</v>
      </c>
      <c r="EO8" s="163">
        <v>162</v>
      </c>
      <c r="EP8" s="233">
        <f t="shared" si="31"/>
        <v>8</v>
      </c>
      <c r="EQ8" s="241">
        <f t="shared" si="16"/>
        <v>66</v>
      </c>
      <c r="ER8" s="163">
        <f t="shared" si="17"/>
        <v>15.068493150684931</v>
      </c>
      <c r="ES8" s="233"/>
    </row>
    <row r="9" spans="1:149" ht="15" customHeight="1" x14ac:dyDescent="0.2">
      <c r="A9" s="164">
        <v>4</v>
      </c>
      <c r="B9" s="161">
        <f t="shared" si="32"/>
        <v>17981</v>
      </c>
      <c r="C9" s="162">
        <v>17982</v>
      </c>
      <c r="D9" s="155">
        <f t="shared" si="18"/>
        <v>1</v>
      </c>
      <c r="E9" s="220"/>
      <c r="F9" s="164">
        <v>4</v>
      </c>
      <c r="G9" s="161">
        <f t="shared" si="33"/>
        <v>17345</v>
      </c>
      <c r="H9" s="154">
        <v>17411</v>
      </c>
      <c r="I9" s="155">
        <f t="shared" si="19"/>
        <v>66</v>
      </c>
      <c r="J9" s="220"/>
      <c r="K9" s="164">
        <v>4</v>
      </c>
      <c r="L9" s="161">
        <f t="shared" si="34"/>
        <v>780549</v>
      </c>
      <c r="M9" s="162">
        <v>780833</v>
      </c>
      <c r="N9" s="155">
        <f t="shared" si="20"/>
        <v>284</v>
      </c>
      <c r="O9" s="157"/>
      <c r="P9" s="164">
        <v>4</v>
      </c>
      <c r="Q9" s="161">
        <f t="shared" si="35"/>
        <v>213656</v>
      </c>
      <c r="R9" s="162">
        <v>213732</v>
      </c>
      <c r="S9" s="155">
        <f t="shared" si="21"/>
        <v>76</v>
      </c>
      <c r="T9" s="156"/>
      <c r="U9" s="158">
        <v>4</v>
      </c>
      <c r="V9" s="243">
        <f>SUM(S9+N9+I9+D9)</f>
        <v>427</v>
      </c>
      <c r="W9" s="159">
        <f>'Maldives at LG Daily'!I8</f>
        <v>36.9</v>
      </c>
      <c r="X9" s="165"/>
      <c r="Z9" s="235">
        <v>4</v>
      </c>
      <c r="AA9" s="163">
        <f t="shared" si="36"/>
        <v>40000</v>
      </c>
      <c r="AB9" s="163">
        <v>40021</v>
      </c>
      <c r="AC9" s="163">
        <f t="shared" si="23"/>
        <v>21</v>
      </c>
      <c r="AD9" s="163">
        <f t="shared" ref="AD9:AD36" si="82">AC9-AC8</f>
        <v>1</v>
      </c>
      <c r="AE9" s="342"/>
      <c r="AF9" s="235">
        <f t="shared" si="37"/>
        <v>8741</v>
      </c>
      <c r="AG9" s="163">
        <v>8746</v>
      </c>
      <c r="AH9" s="163">
        <f t="shared" si="24"/>
        <v>5</v>
      </c>
      <c r="AI9" s="163">
        <f t="shared" ref="AI9:AI36" si="83">AH9-AH8</f>
        <v>-1</v>
      </c>
      <c r="AJ9" s="163"/>
      <c r="AK9" s="235">
        <f t="shared" si="38"/>
        <v>6846</v>
      </c>
      <c r="AL9" s="163">
        <v>6855</v>
      </c>
      <c r="AM9" s="163">
        <f t="shared" si="25"/>
        <v>9</v>
      </c>
      <c r="AN9" s="163">
        <f t="shared" si="39"/>
        <v>-3</v>
      </c>
      <c r="AO9" s="163"/>
      <c r="AP9" s="235">
        <f t="shared" si="40"/>
        <v>15548</v>
      </c>
      <c r="AQ9" s="163">
        <v>15560</v>
      </c>
      <c r="AR9" s="163">
        <f t="shared" si="26"/>
        <v>12</v>
      </c>
      <c r="AS9" s="163">
        <f t="shared" si="41"/>
        <v>0</v>
      </c>
      <c r="AT9" s="163"/>
      <c r="AU9" s="235">
        <f t="shared" si="42"/>
        <v>32938</v>
      </c>
      <c r="AV9" s="163">
        <v>32946</v>
      </c>
      <c r="AW9" s="163">
        <f t="shared" si="0"/>
        <v>8</v>
      </c>
      <c r="AX9" s="163">
        <f t="shared" si="43"/>
        <v>0</v>
      </c>
      <c r="AY9" s="163"/>
      <c r="AZ9" s="235">
        <f t="shared" si="44"/>
        <v>7022</v>
      </c>
      <c r="BA9" s="163">
        <v>7030</v>
      </c>
      <c r="BB9" s="163">
        <f t="shared" si="1"/>
        <v>8</v>
      </c>
      <c r="BC9" s="163">
        <f t="shared" si="45"/>
        <v>1</v>
      </c>
      <c r="BD9" s="163"/>
      <c r="BE9" s="235">
        <f t="shared" si="46"/>
        <v>23340</v>
      </c>
      <c r="BF9" s="163">
        <v>23351</v>
      </c>
      <c r="BG9" s="163">
        <f t="shared" si="2"/>
        <v>11</v>
      </c>
      <c r="BH9" s="163">
        <f t="shared" si="47"/>
        <v>3</v>
      </c>
      <c r="BI9" s="163"/>
      <c r="BJ9" s="235">
        <f t="shared" si="48"/>
        <v>7435</v>
      </c>
      <c r="BK9" s="163">
        <v>7444</v>
      </c>
      <c r="BL9" s="163">
        <f t="shared" si="3"/>
        <v>9</v>
      </c>
      <c r="BM9" s="163">
        <f t="shared" si="49"/>
        <v>-1</v>
      </c>
      <c r="BN9" s="163"/>
      <c r="BO9" s="235">
        <f t="shared" si="50"/>
        <v>3598</v>
      </c>
      <c r="BP9" s="163">
        <v>3600</v>
      </c>
      <c r="BQ9" s="163">
        <f t="shared" si="4"/>
        <v>2</v>
      </c>
      <c r="BR9" s="163">
        <f t="shared" si="51"/>
        <v>-1</v>
      </c>
      <c r="BS9" s="163"/>
      <c r="BT9" s="235">
        <f t="shared" si="52"/>
        <v>1617</v>
      </c>
      <c r="BU9" s="163">
        <v>1611</v>
      </c>
      <c r="BV9" s="163">
        <f t="shared" si="5"/>
        <v>-6</v>
      </c>
      <c r="BW9" s="163">
        <f t="shared" si="53"/>
        <v>-6</v>
      </c>
      <c r="BX9" s="163"/>
      <c r="BY9" s="241">
        <f t="shared" si="54"/>
        <v>27210</v>
      </c>
      <c r="BZ9" s="163">
        <v>27222</v>
      </c>
      <c r="CA9" s="163">
        <f t="shared" si="6"/>
        <v>12</v>
      </c>
      <c r="CB9" s="163">
        <f t="shared" si="55"/>
        <v>-3</v>
      </c>
      <c r="CC9" s="233"/>
      <c r="CD9" s="241">
        <f t="shared" si="56"/>
        <v>2771</v>
      </c>
      <c r="CE9" s="163">
        <v>2772</v>
      </c>
      <c r="CF9" s="163">
        <f t="shared" si="7"/>
        <v>1</v>
      </c>
      <c r="CG9" s="163">
        <f t="shared" si="57"/>
        <v>-4</v>
      </c>
      <c r="CH9" s="233"/>
      <c r="CI9" s="241">
        <f t="shared" si="58"/>
        <v>75261</v>
      </c>
      <c r="CJ9" s="163">
        <v>75289</v>
      </c>
      <c r="CK9" s="163">
        <f t="shared" si="8"/>
        <v>28</v>
      </c>
      <c r="CL9" s="163">
        <f t="shared" si="59"/>
        <v>-1</v>
      </c>
      <c r="CM9" s="233"/>
      <c r="CN9" s="241">
        <f t="shared" si="60"/>
        <v>23829</v>
      </c>
      <c r="CO9" s="163">
        <v>23836</v>
      </c>
      <c r="CP9" s="163">
        <f t="shared" si="9"/>
        <v>7</v>
      </c>
      <c r="CQ9" s="163">
        <f t="shared" si="61"/>
        <v>2</v>
      </c>
      <c r="CR9" s="233"/>
      <c r="CS9" s="241">
        <f t="shared" si="62"/>
        <v>12537</v>
      </c>
      <c r="CT9" s="163">
        <v>12538</v>
      </c>
      <c r="CU9" s="163">
        <f t="shared" si="10"/>
        <v>1</v>
      </c>
      <c r="CV9" s="163">
        <f t="shared" si="63"/>
        <v>-4</v>
      </c>
      <c r="CW9" s="233"/>
      <c r="CX9" s="241">
        <f t="shared" si="64"/>
        <v>17958</v>
      </c>
      <c r="CY9" s="163">
        <v>17959</v>
      </c>
      <c r="CZ9" s="163">
        <f t="shared" si="11"/>
        <v>1</v>
      </c>
      <c r="DA9" s="163">
        <f t="shared" si="65"/>
        <v>1</v>
      </c>
      <c r="DB9" s="233"/>
      <c r="DC9" s="241">
        <f t="shared" si="66"/>
        <v>19887</v>
      </c>
      <c r="DD9" s="163">
        <v>19890</v>
      </c>
      <c r="DE9" s="163">
        <f t="shared" si="12"/>
        <v>3</v>
      </c>
      <c r="DF9" s="163">
        <f t="shared" si="67"/>
        <v>-1</v>
      </c>
      <c r="DG9" s="233"/>
      <c r="DH9" s="241">
        <f t="shared" si="68"/>
        <v>8779</v>
      </c>
      <c r="DI9" s="163">
        <v>8779</v>
      </c>
      <c r="DJ9" s="163">
        <f t="shared" si="13"/>
        <v>0</v>
      </c>
      <c r="DK9" s="163">
        <f t="shared" si="69"/>
        <v>-3</v>
      </c>
      <c r="DL9" s="233"/>
      <c r="DM9" s="241">
        <f t="shared" si="70"/>
        <v>20487</v>
      </c>
      <c r="DN9" s="163">
        <v>20487</v>
      </c>
      <c r="DO9" s="163">
        <f t="shared" si="14"/>
        <v>0</v>
      </c>
      <c r="DP9" s="163">
        <f t="shared" si="71"/>
        <v>0</v>
      </c>
      <c r="DQ9" s="233"/>
      <c r="DR9" s="241">
        <f t="shared" si="72"/>
        <v>2096</v>
      </c>
      <c r="DS9" s="163">
        <v>2098</v>
      </c>
      <c r="DT9" s="163">
        <f t="shared" si="15"/>
        <v>2</v>
      </c>
      <c r="DU9" s="163">
        <f t="shared" si="73"/>
        <v>1</v>
      </c>
      <c r="DV9" s="233"/>
      <c r="DW9" s="241">
        <f t="shared" si="74"/>
        <v>9897</v>
      </c>
      <c r="DX9" s="163">
        <v>9897</v>
      </c>
      <c r="DY9" s="163">
        <f t="shared" si="75"/>
        <v>0</v>
      </c>
      <c r="DZ9" s="163">
        <f t="shared" si="76"/>
        <v>0</v>
      </c>
      <c r="EA9" s="233"/>
      <c r="EB9" s="241">
        <f t="shared" si="77"/>
        <v>931</v>
      </c>
      <c r="EC9" s="163">
        <v>944</v>
      </c>
      <c r="ED9" s="233">
        <f t="shared" si="27"/>
        <v>13</v>
      </c>
      <c r="EE9" s="241">
        <f t="shared" si="78"/>
        <v>592</v>
      </c>
      <c r="EF9" s="163">
        <v>600</v>
      </c>
      <c r="EG9" s="233">
        <f t="shared" si="28"/>
        <v>8</v>
      </c>
      <c r="EH9" s="241">
        <f t="shared" si="79"/>
        <v>395</v>
      </c>
      <c r="EI9" s="163">
        <v>404</v>
      </c>
      <c r="EJ9" s="233">
        <f t="shared" si="29"/>
        <v>9</v>
      </c>
      <c r="EK9" s="241">
        <f t="shared" si="80"/>
        <v>416</v>
      </c>
      <c r="EL9" s="163">
        <v>425</v>
      </c>
      <c r="EM9" s="233">
        <f t="shared" si="30"/>
        <v>9</v>
      </c>
      <c r="EN9" s="241">
        <f t="shared" si="81"/>
        <v>162</v>
      </c>
      <c r="EO9" s="163">
        <v>165</v>
      </c>
      <c r="EP9" s="233">
        <f t="shared" si="31"/>
        <v>3</v>
      </c>
      <c r="EQ9" s="241">
        <f t="shared" si="16"/>
        <v>58</v>
      </c>
      <c r="ER9" s="163">
        <f t="shared" si="17"/>
        <v>13.583138173302109</v>
      </c>
      <c r="ES9" s="233"/>
    </row>
    <row r="10" spans="1:149" ht="15" customHeight="1" x14ac:dyDescent="0.2">
      <c r="A10" s="164">
        <v>5</v>
      </c>
      <c r="B10" s="161">
        <f t="shared" si="32"/>
        <v>17982</v>
      </c>
      <c r="C10" s="162">
        <v>17982</v>
      </c>
      <c r="D10" s="155">
        <f t="shared" si="18"/>
        <v>0</v>
      </c>
      <c r="E10" s="220"/>
      <c r="F10" s="164">
        <v>5</v>
      </c>
      <c r="G10" s="161">
        <f t="shared" si="33"/>
        <v>17411</v>
      </c>
      <c r="H10" s="154">
        <v>17481</v>
      </c>
      <c r="I10" s="155">
        <f t="shared" si="19"/>
        <v>70</v>
      </c>
      <c r="J10" s="220"/>
      <c r="K10" s="164">
        <v>5</v>
      </c>
      <c r="L10" s="161">
        <f t="shared" si="34"/>
        <v>780833</v>
      </c>
      <c r="M10" s="162">
        <v>781107</v>
      </c>
      <c r="N10" s="155">
        <f t="shared" si="20"/>
        <v>274</v>
      </c>
      <c r="O10" s="157"/>
      <c r="P10" s="164">
        <v>5</v>
      </c>
      <c r="Q10" s="161">
        <f t="shared" si="35"/>
        <v>213732</v>
      </c>
      <c r="R10" s="162">
        <v>213811</v>
      </c>
      <c r="S10" s="155">
        <f t="shared" si="21"/>
        <v>79</v>
      </c>
      <c r="T10" s="156"/>
      <c r="U10" s="164">
        <v>5</v>
      </c>
      <c r="V10" s="243">
        <f t="shared" si="22"/>
        <v>423</v>
      </c>
      <c r="W10" s="159">
        <f>'Maldives at LG Daily'!I9</f>
        <v>28.2</v>
      </c>
      <c r="X10" s="165"/>
      <c r="Z10" s="235">
        <v>5</v>
      </c>
      <c r="AA10" s="163">
        <f t="shared" si="36"/>
        <v>40021</v>
      </c>
      <c r="AB10" s="163">
        <v>40044</v>
      </c>
      <c r="AC10" s="163">
        <f t="shared" si="23"/>
        <v>23</v>
      </c>
      <c r="AD10" s="163">
        <f t="shared" si="82"/>
        <v>2</v>
      </c>
      <c r="AE10" s="342"/>
      <c r="AF10" s="235">
        <f t="shared" si="37"/>
        <v>8746</v>
      </c>
      <c r="AG10" s="163">
        <v>8752</v>
      </c>
      <c r="AH10" s="163">
        <f t="shared" si="24"/>
        <v>6</v>
      </c>
      <c r="AI10" s="163">
        <f t="shared" si="83"/>
        <v>1</v>
      </c>
      <c r="AJ10" s="163"/>
      <c r="AK10" s="235">
        <f t="shared" si="38"/>
        <v>6855</v>
      </c>
      <c r="AL10" s="163">
        <v>6865</v>
      </c>
      <c r="AM10" s="163">
        <f t="shared" si="25"/>
        <v>10</v>
      </c>
      <c r="AN10" s="163">
        <f t="shared" si="39"/>
        <v>1</v>
      </c>
      <c r="AO10" s="163"/>
      <c r="AP10" s="235">
        <f t="shared" si="40"/>
        <v>15560</v>
      </c>
      <c r="AQ10" s="163">
        <v>15572</v>
      </c>
      <c r="AR10" s="163">
        <f t="shared" si="26"/>
        <v>12</v>
      </c>
      <c r="AS10" s="163">
        <f t="shared" si="41"/>
        <v>0</v>
      </c>
      <c r="AT10" s="163"/>
      <c r="AU10" s="235">
        <f t="shared" si="42"/>
        <v>32946</v>
      </c>
      <c r="AV10" s="163">
        <v>32953</v>
      </c>
      <c r="AW10" s="163">
        <f t="shared" si="0"/>
        <v>7</v>
      </c>
      <c r="AX10" s="163">
        <f t="shared" si="43"/>
        <v>-1</v>
      </c>
      <c r="AY10" s="163"/>
      <c r="AZ10" s="235">
        <f t="shared" si="44"/>
        <v>7030</v>
      </c>
      <c r="BA10" s="163">
        <v>7037</v>
      </c>
      <c r="BB10" s="163">
        <f t="shared" si="1"/>
        <v>7</v>
      </c>
      <c r="BC10" s="163">
        <f t="shared" si="45"/>
        <v>-1</v>
      </c>
      <c r="BD10" s="163"/>
      <c r="BE10" s="235">
        <f t="shared" si="46"/>
        <v>23351</v>
      </c>
      <c r="BF10" s="163">
        <v>23362</v>
      </c>
      <c r="BG10" s="163">
        <f t="shared" si="2"/>
        <v>11</v>
      </c>
      <c r="BH10" s="163">
        <f t="shared" si="47"/>
        <v>0</v>
      </c>
      <c r="BI10" s="163"/>
      <c r="BJ10" s="235">
        <f t="shared" si="48"/>
        <v>7444</v>
      </c>
      <c r="BK10" s="163">
        <v>7451</v>
      </c>
      <c r="BL10" s="163">
        <f t="shared" si="3"/>
        <v>7</v>
      </c>
      <c r="BM10" s="163">
        <f t="shared" si="49"/>
        <v>-2</v>
      </c>
      <c r="BN10" s="163"/>
      <c r="BO10" s="235">
        <f t="shared" si="50"/>
        <v>3600</v>
      </c>
      <c r="BP10" s="163">
        <v>3601</v>
      </c>
      <c r="BQ10" s="163">
        <f t="shared" si="4"/>
        <v>1</v>
      </c>
      <c r="BR10" s="163">
        <f t="shared" si="51"/>
        <v>-1</v>
      </c>
      <c r="BS10" s="163"/>
      <c r="BT10" s="235">
        <f t="shared" si="52"/>
        <v>1611</v>
      </c>
      <c r="BU10" s="163">
        <v>1611</v>
      </c>
      <c r="BV10" s="163">
        <f t="shared" si="5"/>
        <v>0</v>
      </c>
      <c r="BW10" s="163">
        <f t="shared" si="53"/>
        <v>6</v>
      </c>
      <c r="BX10" s="163"/>
      <c r="BY10" s="241">
        <f t="shared" si="54"/>
        <v>27222</v>
      </c>
      <c r="BZ10" s="163">
        <v>27233</v>
      </c>
      <c r="CA10" s="163">
        <f t="shared" si="6"/>
        <v>11</v>
      </c>
      <c r="CB10" s="163">
        <f t="shared" si="55"/>
        <v>-1</v>
      </c>
      <c r="CC10" s="233"/>
      <c r="CD10" s="241">
        <f t="shared" si="56"/>
        <v>2772</v>
      </c>
      <c r="CE10" s="163">
        <v>2773</v>
      </c>
      <c r="CF10" s="163">
        <f t="shared" si="7"/>
        <v>1</v>
      </c>
      <c r="CG10" s="163">
        <f t="shared" si="57"/>
        <v>0</v>
      </c>
      <c r="CH10" s="233"/>
      <c r="CI10" s="241">
        <f t="shared" si="58"/>
        <v>75289</v>
      </c>
      <c r="CJ10" s="163">
        <v>75320</v>
      </c>
      <c r="CK10" s="163">
        <f t="shared" si="8"/>
        <v>31</v>
      </c>
      <c r="CL10" s="163">
        <f t="shared" si="59"/>
        <v>3</v>
      </c>
      <c r="CM10" s="233"/>
      <c r="CN10" s="241">
        <f t="shared" si="60"/>
        <v>23836</v>
      </c>
      <c r="CO10" s="163">
        <v>23841</v>
      </c>
      <c r="CP10" s="163">
        <f t="shared" si="9"/>
        <v>5</v>
      </c>
      <c r="CQ10" s="163">
        <f t="shared" si="61"/>
        <v>-2</v>
      </c>
      <c r="CR10" s="233"/>
      <c r="CS10" s="241">
        <f t="shared" si="62"/>
        <v>12538</v>
      </c>
      <c r="CT10" s="163">
        <v>12539</v>
      </c>
      <c r="CU10" s="163">
        <f t="shared" si="10"/>
        <v>1</v>
      </c>
      <c r="CV10" s="163">
        <f t="shared" si="63"/>
        <v>0</v>
      </c>
      <c r="CW10" s="233"/>
      <c r="CX10" s="241">
        <f t="shared" si="64"/>
        <v>17959</v>
      </c>
      <c r="CY10" s="163">
        <v>17960</v>
      </c>
      <c r="CZ10" s="163">
        <f t="shared" si="11"/>
        <v>1</v>
      </c>
      <c r="DA10" s="163">
        <f t="shared" si="65"/>
        <v>0</v>
      </c>
      <c r="DB10" s="233"/>
      <c r="DC10" s="241">
        <f t="shared" si="66"/>
        <v>19890</v>
      </c>
      <c r="DD10" s="163">
        <v>19891</v>
      </c>
      <c r="DE10" s="163">
        <f t="shared" si="12"/>
        <v>1</v>
      </c>
      <c r="DF10" s="163">
        <f t="shared" si="67"/>
        <v>-2</v>
      </c>
      <c r="DG10" s="233"/>
      <c r="DH10" s="241">
        <f t="shared" si="68"/>
        <v>8779</v>
      </c>
      <c r="DI10" s="163">
        <v>8783</v>
      </c>
      <c r="DJ10" s="163">
        <f t="shared" si="13"/>
        <v>4</v>
      </c>
      <c r="DK10" s="163">
        <f t="shared" si="69"/>
        <v>4</v>
      </c>
      <c r="DL10" s="233"/>
      <c r="DM10" s="241">
        <f t="shared" si="70"/>
        <v>20487</v>
      </c>
      <c r="DN10" s="163">
        <v>20543</v>
      </c>
      <c r="DO10" s="163">
        <f t="shared" si="14"/>
        <v>56</v>
      </c>
      <c r="DP10" s="163">
        <f t="shared" si="71"/>
        <v>56</v>
      </c>
      <c r="DQ10" s="233"/>
      <c r="DR10" s="241">
        <f t="shared" si="72"/>
        <v>2098</v>
      </c>
      <c r="DS10" s="163">
        <v>2099</v>
      </c>
      <c r="DT10" s="163">
        <f t="shared" si="15"/>
        <v>1</v>
      </c>
      <c r="DU10" s="163">
        <f t="shared" si="73"/>
        <v>-1</v>
      </c>
      <c r="DV10" s="233"/>
      <c r="DW10" s="241">
        <f t="shared" si="74"/>
        <v>9897</v>
      </c>
      <c r="DX10" s="163">
        <v>9913</v>
      </c>
      <c r="DY10" s="163">
        <f t="shared" si="75"/>
        <v>16</v>
      </c>
      <c r="DZ10" s="163">
        <f t="shared" si="76"/>
        <v>16</v>
      </c>
      <c r="EA10" s="233"/>
      <c r="EB10" s="241">
        <f t="shared" si="77"/>
        <v>944</v>
      </c>
      <c r="EC10" s="163">
        <v>953</v>
      </c>
      <c r="ED10" s="233">
        <f t="shared" si="27"/>
        <v>9</v>
      </c>
      <c r="EE10" s="241">
        <f t="shared" si="78"/>
        <v>600</v>
      </c>
      <c r="EF10" s="163">
        <v>609</v>
      </c>
      <c r="EG10" s="233">
        <f t="shared" si="28"/>
        <v>9</v>
      </c>
      <c r="EH10" s="241">
        <f t="shared" si="79"/>
        <v>404</v>
      </c>
      <c r="EI10" s="163">
        <v>411</v>
      </c>
      <c r="EJ10" s="233">
        <f t="shared" si="29"/>
        <v>7</v>
      </c>
      <c r="EK10" s="241">
        <f t="shared" si="80"/>
        <v>425</v>
      </c>
      <c r="EL10" s="163">
        <v>430</v>
      </c>
      <c r="EM10" s="233">
        <f t="shared" si="30"/>
        <v>5</v>
      </c>
      <c r="EN10" s="241">
        <f t="shared" si="81"/>
        <v>165</v>
      </c>
      <c r="EO10" s="163">
        <v>168</v>
      </c>
      <c r="EP10" s="233">
        <f t="shared" si="31"/>
        <v>3</v>
      </c>
      <c r="EQ10" s="241">
        <f t="shared" si="16"/>
        <v>61</v>
      </c>
      <c r="ER10" s="163">
        <f t="shared" si="17"/>
        <v>14.420803782505912</v>
      </c>
      <c r="ES10" s="233"/>
    </row>
    <row r="11" spans="1:149" ht="15" customHeight="1" x14ac:dyDescent="0.2">
      <c r="A11" s="164">
        <v>6</v>
      </c>
      <c r="B11" s="161">
        <f t="shared" si="32"/>
        <v>17982</v>
      </c>
      <c r="C11" s="162">
        <v>17982</v>
      </c>
      <c r="D11" s="155">
        <f t="shared" si="18"/>
        <v>0</v>
      </c>
      <c r="E11" s="220"/>
      <c r="F11" s="164">
        <v>6</v>
      </c>
      <c r="G11" s="161">
        <f t="shared" si="33"/>
        <v>17481</v>
      </c>
      <c r="H11" s="154">
        <v>17536</v>
      </c>
      <c r="I11" s="155">
        <f t="shared" si="19"/>
        <v>55</v>
      </c>
      <c r="J11" s="220"/>
      <c r="K11" s="164">
        <v>6</v>
      </c>
      <c r="L11" s="161">
        <f t="shared" si="34"/>
        <v>781107</v>
      </c>
      <c r="M11" s="162">
        <v>781329</v>
      </c>
      <c r="N11" s="155">
        <f t="shared" si="20"/>
        <v>222</v>
      </c>
      <c r="O11" s="157"/>
      <c r="P11" s="164">
        <v>6</v>
      </c>
      <c r="Q11" s="161">
        <f t="shared" si="35"/>
        <v>213811</v>
      </c>
      <c r="R11" s="162">
        <v>213881</v>
      </c>
      <c r="S11" s="155">
        <f t="shared" si="21"/>
        <v>70</v>
      </c>
      <c r="T11" s="156"/>
      <c r="U11" s="158">
        <v>6</v>
      </c>
      <c r="V11" s="243">
        <f t="shared" si="22"/>
        <v>347</v>
      </c>
      <c r="W11" s="159">
        <f>'Maldives at LG Daily'!I10</f>
        <v>28.2</v>
      </c>
      <c r="X11" s="165"/>
      <c r="Z11" s="235">
        <v>6</v>
      </c>
      <c r="AA11" s="163">
        <f t="shared" si="36"/>
        <v>40044</v>
      </c>
      <c r="AB11" s="163">
        <v>40069</v>
      </c>
      <c r="AC11" s="163">
        <f t="shared" si="23"/>
        <v>25</v>
      </c>
      <c r="AD11" s="163">
        <f t="shared" si="82"/>
        <v>2</v>
      </c>
      <c r="AE11" s="342"/>
      <c r="AF11" s="235">
        <f t="shared" si="37"/>
        <v>8752</v>
      </c>
      <c r="AG11" s="163">
        <v>8758</v>
      </c>
      <c r="AH11" s="163">
        <f t="shared" si="24"/>
        <v>6</v>
      </c>
      <c r="AI11" s="163">
        <f t="shared" si="83"/>
        <v>0</v>
      </c>
      <c r="AJ11" s="163"/>
      <c r="AK11" s="235">
        <f t="shared" si="38"/>
        <v>6865</v>
      </c>
      <c r="AL11" s="163">
        <v>6877</v>
      </c>
      <c r="AM11" s="163">
        <f t="shared" si="25"/>
        <v>12</v>
      </c>
      <c r="AN11" s="163">
        <f t="shared" si="39"/>
        <v>2</v>
      </c>
      <c r="AO11" s="163"/>
      <c r="AP11" s="235">
        <f t="shared" si="40"/>
        <v>15572</v>
      </c>
      <c r="AQ11" s="163">
        <v>15584</v>
      </c>
      <c r="AR11" s="163">
        <f t="shared" si="26"/>
        <v>12</v>
      </c>
      <c r="AS11" s="163">
        <f t="shared" si="41"/>
        <v>0</v>
      </c>
      <c r="AT11" s="163"/>
      <c r="AU11" s="235">
        <f t="shared" si="42"/>
        <v>32953</v>
      </c>
      <c r="AV11" s="163">
        <v>32962</v>
      </c>
      <c r="AW11" s="163">
        <f t="shared" si="0"/>
        <v>9</v>
      </c>
      <c r="AX11" s="163">
        <f t="shared" si="43"/>
        <v>2</v>
      </c>
      <c r="AY11" s="163"/>
      <c r="AZ11" s="235">
        <f t="shared" si="44"/>
        <v>7037</v>
      </c>
      <c r="BA11" s="163">
        <v>7046</v>
      </c>
      <c r="BB11" s="163">
        <f t="shared" si="1"/>
        <v>9</v>
      </c>
      <c r="BC11" s="163">
        <f t="shared" si="45"/>
        <v>2</v>
      </c>
      <c r="BD11" s="163"/>
      <c r="BE11" s="235">
        <f t="shared" si="46"/>
        <v>23362</v>
      </c>
      <c r="BF11" s="163">
        <v>23373</v>
      </c>
      <c r="BG11" s="163">
        <f t="shared" si="2"/>
        <v>11</v>
      </c>
      <c r="BH11" s="163">
        <f t="shared" si="47"/>
        <v>0</v>
      </c>
      <c r="BI11" s="163"/>
      <c r="BJ11" s="235">
        <f t="shared" si="48"/>
        <v>7451</v>
      </c>
      <c r="BK11" s="163">
        <v>7459</v>
      </c>
      <c r="BL11" s="163">
        <f t="shared" si="3"/>
        <v>8</v>
      </c>
      <c r="BM11" s="163">
        <f t="shared" si="49"/>
        <v>1</v>
      </c>
      <c r="BN11" s="163"/>
      <c r="BO11" s="235">
        <f t="shared" si="50"/>
        <v>3601</v>
      </c>
      <c r="BP11" s="163">
        <v>3604</v>
      </c>
      <c r="BQ11" s="163">
        <f t="shared" si="4"/>
        <v>3</v>
      </c>
      <c r="BR11" s="163">
        <f t="shared" si="51"/>
        <v>2</v>
      </c>
      <c r="BS11" s="163"/>
      <c r="BT11" s="235">
        <f t="shared" si="52"/>
        <v>1611</v>
      </c>
      <c r="BU11" s="163">
        <v>1618</v>
      </c>
      <c r="BV11" s="163">
        <f t="shared" si="5"/>
        <v>7</v>
      </c>
      <c r="BW11" s="163">
        <f t="shared" si="53"/>
        <v>7</v>
      </c>
      <c r="BX11" s="163"/>
      <c r="BY11" s="241">
        <f t="shared" si="54"/>
        <v>27233</v>
      </c>
      <c r="BZ11" s="163">
        <v>27247</v>
      </c>
      <c r="CA11" s="163">
        <f t="shared" si="6"/>
        <v>14</v>
      </c>
      <c r="CB11" s="163">
        <f t="shared" si="55"/>
        <v>3</v>
      </c>
      <c r="CC11" s="233"/>
      <c r="CD11" s="241">
        <f t="shared" si="56"/>
        <v>2773</v>
      </c>
      <c r="CE11" s="163">
        <v>2774</v>
      </c>
      <c r="CF11" s="163">
        <f t="shared" si="7"/>
        <v>1</v>
      </c>
      <c r="CG11" s="163">
        <f t="shared" si="57"/>
        <v>0</v>
      </c>
      <c r="CH11" s="233"/>
      <c r="CI11" s="241">
        <f t="shared" si="58"/>
        <v>75320</v>
      </c>
      <c r="CJ11" s="163">
        <v>75350</v>
      </c>
      <c r="CK11" s="163">
        <f t="shared" si="8"/>
        <v>30</v>
      </c>
      <c r="CL11" s="163">
        <f t="shared" si="59"/>
        <v>-1</v>
      </c>
      <c r="CM11" s="233"/>
      <c r="CN11" s="241">
        <f t="shared" si="60"/>
        <v>23841</v>
      </c>
      <c r="CO11" s="163">
        <v>23842</v>
      </c>
      <c r="CP11" s="163">
        <f t="shared" si="9"/>
        <v>1</v>
      </c>
      <c r="CQ11" s="163">
        <f t="shared" si="61"/>
        <v>-4</v>
      </c>
      <c r="CR11" s="233"/>
      <c r="CS11" s="241">
        <f t="shared" si="62"/>
        <v>12539</v>
      </c>
      <c r="CT11" s="163">
        <v>12540</v>
      </c>
      <c r="CU11" s="163">
        <f t="shared" si="10"/>
        <v>1</v>
      </c>
      <c r="CV11" s="163">
        <f t="shared" si="63"/>
        <v>0</v>
      </c>
      <c r="CW11" s="233"/>
      <c r="CX11" s="241">
        <f t="shared" si="64"/>
        <v>17960</v>
      </c>
      <c r="CY11" s="163">
        <v>17965</v>
      </c>
      <c r="CZ11" s="163">
        <f t="shared" si="11"/>
        <v>5</v>
      </c>
      <c r="DA11" s="163">
        <f t="shared" si="65"/>
        <v>4</v>
      </c>
      <c r="DB11" s="233"/>
      <c r="DC11" s="241">
        <f t="shared" si="66"/>
        <v>19891</v>
      </c>
      <c r="DD11" s="163">
        <v>19893</v>
      </c>
      <c r="DE11" s="163">
        <f t="shared" si="12"/>
        <v>2</v>
      </c>
      <c r="DF11" s="163">
        <f t="shared" si="67"/>
        <v>1</v>
      </c>
      <c r="DG11" s="233"/>
      <c r="DH11" s="241">
        <f t="shared" si="68"/>
        <v>8783</v>
      </c>
      <c r="DI11" s="163">
        <v>8785</v>
      </c>
      <c r="DJ11" s="163">
        <f t="shared" si="13"/>
        <v>2</v>
      </c>
      <c r="DK11" s="163">
        <f t="shared" si="69"/>
        <v>-2</v>
      </c>
      <c r="DL11" s="233"/>
      <c r="DM11" s="241">
        <f t="shared" si="70"/>
        <v>20543</v>
      </c>
      <c r="DN11" s="163">
        <v>20558</v>
      </c>
      <c r="DO11" s="163">
        <f t="shared" si="14"/>
        <v>15</v>
      </c>
      <c r="DP11" s="163">
        <f t="shared" si="71"/>
        <v>-41</v>
      </c>
      <c r="DQ11" s="233"/>
      <c r="DR11" s="241">
        <f t="shared" si="72"/>
        <v>2099</v>
      </c>
      <c r="DS11" s="163">
        <v>2100</v>
      </c>
      <c r="DT11" s="163">
        <f t="shared" si="15"/>
        <v>1</v>
      </c>
      <c r="DU11" s="163">
        <f t="shared" si="73"/>
        <v>0</v>
      </c>
      <c r="DV11" s="233"/>
      <c r="DW11" s="241">
        <f t="shared" si="74"/>
        <v>9913</v>
      </c>
      <c r="DX11" s="163">
        <v>9915</v>
      </c>
      <c r="DY11" s="163">
        <f t="shared" si="75"/>
        <v>2</v>
      </c>
      <c r="DZ11" s="163">
        <f t="shared" si="76"/>
        <v>-14</v>
      </c>
      <c r="EA11" s="233"/>
      <c r="EB11" s="241">
        <f t="shared" si="77"/>
        <v>953</v>
      </c>
      <c r="EC11" s="163">
        <v>962</v>
      </c>
      <c r="ED11" s="233">
        <f t="shared" si="27"/>
        <v>9</v>
      </c>
      <c r="EE11" s="241">
        <f t="shared" si="78"/>
        <v>609</v>
      </c>
      <c r="EF11" s="163">
        <v>618</v>
      </c>
      <c r="EG11" s="233">
        <f t="shared" si="28"/>
        <v>9</v>
      </c>
      <c r="EH11" s="241">
        <f t="shared" si="79"/>
        <v>411</v>
      </c>
      <c r="EI11" s="163">
        <v>418</v>
      </c>
      <c r="EJ11" s="233">
        <f t="shared" si="29"/>
        <v>7</v>
      </c>
      <c r="EK11" s="241">
        <f t="shared" si="80"/>
        <v>430</v>
      </c>
      <c r="EL11" s="163">
        <v>435</v>
      </c>
      <c r="EM11" s="233">
        <f t="shared" si="30"/>
        <v>5</v>
      </c>
      <c r="EN11" s="241">
        <f t="shared" si="81"/>
        <v>168</v>
      </c>
      <c r="EO11" s="163">
        <v>171</v>
      </c>
      <c r="EP11" s="233">
        <f t="shared" si="31"/>
        <v>3</v>
      </c>
      <c r="EQ11" s="241">
        <f t="shared" si="16"/>
        <v>77</v>
      </c>
      <c r="ER11" s="163">
        <f t="shared" si="17"/>
        <v>22.190201729106629</v>
      </c>
      <c r="ES11" s="233"/>
    </row>
    <row r="12" spans="1:149" ht="15" customHeight="1" x14ac:dyDescent="0.2">
      <c r="A12" s="164">
        <v>7</v>
      </c>
      <c r="B12" s="161">
        <f t="shared" si="32"/>
        <v>17982</v>
      </c>
      <c r="C12" s="162">
        <v>17982</v>
      </c>
      <c r="D12" s="155">
        <f t="shared" si="18"/>
        <v>0</v>
      </c>
      <c r="E12" s="220"/>
      <c r="F12" s="164">
        <v>7</v>
      </c>
      <c r="G12" s="161">
        <f t="shared" si="33"/>
        <v>17536</v>
      </c>
      <c r="H12" s="154">
        <v>17596</v>
      </c>
      <c r="I12" s="155">
        <f t="shared" si="19"/>
        <v>60</v>
      </c>
      <c r="J12" s="220"/>
      <c r="K12" s="164">
        <v>7</v>
      </c>
      <c r="L12" s="161">
        <f t="shared" si="34"/>
        <v>781329</v>
      </c>
      <c r="M12" s="162">
        <v>781614</v>
      </c>
      <c r="N12" s="155">
        <f t="shared" si="20"/>
        <v>285</v>
      </c>
      <c r="O12" s="157"/>
      <c r="P12" s="164">
        <v>7</v>
      </c>
      <c r="Q12" s="161">
        <f t="shared" si="35"/>
        <v>213881</v>
      </c>
      <c r="R12" s="162">
        <v>213949</v>
      </c>
      <c r="S12" s="155">
        <f>MAX(0,R12-Q12)</f>
        <v>68</v>
      </c>
      <c r="T12" s="156"/>
      <c r="U12" s="158">
        <v>7</v>
      </c>
      <c r="V12" s="243">
        <f>SUM(S12+N12+I12+D12)</f>
        <v>413</v>
      </c>
      <c r="W12" s="159">
        <f>'Maldives at LG Daily'!I11</f>
        <v>27.2</v>
      </c>
      <c r="X12" s="165"/>
      <c r="Z12" s="235">
        <v>7</v>
      </c>
      <c r="AA12" s="163">
        <f t="shared" si="36"/>
        <v>40069</v>
      </c>
      <c r="AB12" s="163">
        <v>40093</v>
      </c>
      <c r="AC12" s="163">
        <f t="shared" si="23"/>
        <v>24</v>
      </c>
      <c r="AD12" s="163">
        <f t="shared" si="82"/>
        <v>-1</v>
      </c>
      <c r="AE12" s="342"/>
      <c r="AF12" s="235">
        <f t="shared" si="37"/>
        <v>8758</v>
      </c>
      <c r="AG12" s="163">
        <v>8764</v>
      </c>
      <c r="AH12" s="163">
        <f t="shared" si="24"/>
        <v>6</v>
      </c>
      <c r="AI12" s="163">
        <f t="shared" si="83"/>
        <v>0</v>
      </c>
      <c r="AJ12" s="163"/>
      <c r="AK12" s="235">
        <f t="shared" si="38"/>
        <v>6877</v>
      </c>
      <c r="AL12" s="163">
        <v>6887</v>
      </c>
      <c r="AM12" s="163">
        <f t="shared" si="25"/>
        <v>10</v>
      </c>
      <c r="AN12" s="163">
        <f t="shared" si="39"/>
        <v>-2</v>
      </c>
      <c r="AO12" s="163"/>
      <c r="AP12" s="235">
        <f t="shared" si="40"/>
        <v>15584</v>
      </c>
      <c r="AQ12" s="163">
        <v>15596</v>
      </c>
      <c r="AR12" s="163">
        <f t="shared" si="26"/>
        <v>12</v>
      </c>
      <c r="AS12" s="163">
        <f t="shared" si="41"/>
        <v>0</v>
      </c>
      <c r="AT12" s="163"/>
      <c r="AU12" s="235">
        <f t="shared" si="42"/>
        <v>32962</v>
      </c>
      <c r="AV12" s="163">
        <v>32970</v>
      </c>
      <c r="AW12" s="163">
        <f t="shared" si="0"/>
        <v>8</v>
      </c>
      <c r="AX12" s="163">
        <f t="shared" si="43"/>
        <v>-1</v>
      </c>
      <c r="AY12" s="163"/>
      <c r="AZ12" s="235">
        <f t="shared" si="44"/>
        <v>7046</v>
      </c>
      <c r="BA12" s="163">
        <v>7053</v>
      </c>
      <c r="BB12" s="163">
        <f t="shared" si="1"/>
        <v>7</v>
      </c>
      <c r="BC12" s="163">
        <f t="shared" si="45"/>
        <v>-2</v>
      </c>
      <c r="BD12" s="163"/>
      <c r="BE12" s="235">
        <f t="shared" si="46"/>
        <v>23373</v>
      </c>
      <c r="BF12" s="163">
        <v>23383</v>
      </c>
      <c r="BG12" s="163">
        <f t="shared" si="2"/>
        <v>10</v>
      </c>
      <c r="BH12" s="163">
        <f t="shared" si="47"/>
        <v>-1</v>
      </c>
      <c r="BI12" s="163"/>
      <c r="BJ12" s="235">
        <f t="shared" si="48"/>
        <v>7459</v>
      </c>
      <c r="BK12" s="163">
        <v>7467</v>
      </c>
      <c r="BL12" s="163">
        <f t="shared" si="3"/>
        <v>8</v>
      </c>
      <c r="BM12" s="163">
        <f t="shared" si="49"/>
        <v>0</v>
      </c>
      <c r="BN12" s="163"/>
      <c r="BO12" s="235">
        <f t="shared" si="50"/>
        <v>3604</v>
      </c>
      <c r="BP12" s="163">
        <v>3605</v>
      </c>
      <c r="BQ12" s="163">
        <f t="shared" si="4"/>
        <v>1</v>
      </c>
      <c r="BR12" s="163">
        <f t="shared" si="51"/>
        <v>-2</v>
      </c>
      <c r="BS12" s="163"/>
      <c r="BT12" s="235">
        <f t="shared" si="52"/>
        <v>1618</v>
      </c>
      <c r="BU12" s="163">
        <v>1621</v>
      </c>
      <c r="BV12" s="163">
        <f t="shared" si="5"/>
        <v>3</v>
      </c>
      <c r="BW12" s="163">
        <f t="shared" si="53"/>
        <v>-4</v>
      </c>
      <c r="BX12" s="163"/>
      <c r="BY12" s="241">
        <f t="shared" si="54"/>
        <v>27247</v>
      </c>
      <c r="BZ12" s="163">
        <v>27259</v>
      </c>
      <c r="CA12" s="163">
        <f t="shared" si="6"/>
        <v>12</v>
      </c>
      <c r="CB12" s="163">
        <f t="shared" si="55"/>
        <v>-2</v>
      </c>
      <c r="CC12" s="233"/>
      <c r="CD12" s="241">
        <f t="shared" si="56"/>
        <v>2774</v>
      </c>
      <c r="CE12" s="163">
        <v>2778</v>
      </c>
      <c r="CF12" s="163">
        <f t="shared" si="7"/>
        <v>4</v>
      </c>
      <c r="CG12" s="163">
        <f t="shared" si="57"/>
        <v>3</v>
      </c>
      <c r="CH12" s="233"/>
      <c r="CI12" s="241">
        <f t="shared" si="58"/>
        <v>75350</v>
      </c>
      <c r="CJ12" s="163">
        <v>75375</v>
      </c>
      <c r="CK12" s="163">
        <f t="shared" si="8"/>
        <v>25</v>
      </c>
      <c r="CL12" s="163">
        <f t="shared" si="59"/>
        <v>-5</v>
      </c>
      <c r="CM12" s="233"/>
      <c r="CN12" s="241">
        <f t="shared" si="60"/>
        <v>23842</v>
      </c>
      <c r="CO12" s="163">
        <v>23852</v>
      </c>
      <c r="CP12" s="163">
        <f t="shared" si="9"/>
        <v>10</v>
      </c>
      <c r="CQ12" s="163">
        <f t="shared" si="61"/>
        <v>9</v>
      </c>
      <c r="CR12" s="233"/>
      <c r="CS12" s="241">
        <f t="shared" si="62"/>
        <v>12540</v>
      </c>
      <c r="CT12" s="163">
        <v>12541</v>
      </c>
      <c r="CU12" s="163">
        <f t="shared" si="10"/>
        <v>1</v>
      </c>
      <c r="CV12" s="163">
        <f t="shared" si="63"/>
        <v>0</v>
      </c>
      <c r="CW12" s="233"/>
      <c r="CX12" s="241">
        <f t="shared" si="64"/>
        <v>17965</v>
      </c>
      <c r="CY12" s="163">
        <v>17971</v>
      </c>
      <c r="CZ12" s="163">
        <f t="shared" si="11"/>
        <v>6</v>
      </c>
      <c r="DA12" s="163">
        <f t="shared" si="65"/>
        <v>1</v>
      </c>
      <c r="DB12" s="233"/>
      <c r="DC12" s="241">
        <f t="shared" si="66"/>
        <v>19893</v>
      </c>
      <c r="DD12" s="163">
        <v>19895</v>
      </c>
      <c r="DE12" s="163">
        <f t="shared" si="12"/>
        <v>2</v>
      </c>
      <c r="DF12" s="163">
        <f t="shared" si="67"/>
        <v>0</v>
      </c>
      <c r="DG12" s="233"/>
      <c r="DH12" s="241">
        <f t="shared" si="68"/>
        <v>8785</v>
      </c>
      <c r="DI12" s="163">
        <v>8788</v>
      </c>
      <c r="DJ12" s="163">
        <f t="shared" si="13"/>
        <v>3</v>
      </c>
      <c r="DK12" s="163">
        <f t="shared" si="69"/>
        <v>1</v>
      </c>
      <c r="DL12" s="233"/>
      <c r="DM12" s="241">
        <f t="shared" si="70"/>
        <v>20558</v>
      </c>
      <c r="DN12" s="163">
        <v>20575</v>
      </c>
      <c r="DO12" s="163">
        <f t="shared" si="14"/>
        <v>17</v>
      </c>
      <c r="DP12" s="163">
        <f t="shared" si="71"/>
        <v>2</v>
      </c>
      <c r="DQ12" s="233"/>
      <c r="DR12" s="241">
        <f t="shared" si="72"/>
        <v>2100</v>
      </c>
      <c r="DS12" s="163">
        <v>2102</v>
      </c>
      <c r="DT12" s="163">
        <f t="shared" si="15"/>
        <v>2</v>
      </c>
      <c r="DU12" s="163">
        <f t="shared" si="73"/>
        <v>1</v>
      </c>
      <c r="DV12" s="233"/>
      <c r="DW12" s="241">
        <f t="shared" si="74"/>
        <v>9915</v>
      </c>
      <c r="DX12" s="163">
        <v>9915</v>
      </c>
      <c r="DY12" s="163">
        <f t="shared" si="75"/>
        <v>0</v>
      </c>
      <c r="DZ12" s="163">
        <f t="shared" si="76"/>
        <v>-2</v>
      </c>
      <c r="EA12" s="233"/>
      <c r="EB12" s="241">
        <f t="shared" si="77"/>
        <v>962</v>
      </c>
      <c r="EC12" s="163">
        <v>971</v>
      </c>
      <c r="ED12" s="233">
        <f t="shared" si="27"/>
        <v>9</v>
      </c>
      <c r="EE12" s="241">
        <f t="shared" si="78"/>
        <v>618</v>
      </c>
      <c r="EF12" s="163">
        <v>626</v>
      </c>
      <c r="EG12" s="233">
        <f t="shared" si="28"/>
        <v>8</v>
      </c>
      <c r="EH12" s="241">
        <f t="shared" si="79"/>
        <v>418</v>
      </c>
      <c r="EI12" s="163">
        <v>425</v>
      </c>
      <c r="EJ12" s="233">
        <f t="shared" si="29"/>
        <v>7</v>
      </c>
      <c r="EK12" s="241">
        <f t="shared" si="80"/>
        <v>435</v>
      </c>
      <c r="EL12" s="163">
        <v>440</v>
      </c>
      <c r="EM12" s="233">
        <f t="shared" si="30"/>
        <v>5</v>
      </c>
      <c r="EN12" s="241">
        <f t="shared" si="81"/>
        <v>171</v>
      </c>
      <c r="EO12" s="163">
        <v>174</v>
      </c>
      <c r="EP12" s="233">
        <f t="shared" si="31"/>
        <v>3</v>
      </c>
      <c r="EQ12" s="241">
        <f t="shared" si="16"/>
        <v>65</v>
      </c>
      <c r="ER12" s="163">
        <f t="shared" si="17"/>
        <v>15.738498789346247</v>
      </c>
      <c r="ES12" s="233"/>
    </row>
    <row r="13" spans="1:149" ht="15" customHeight="1" x14ac:dyDescent="0.2">
      <c r="A13" s="164">
        <v>8</v>
      </c>
      <c r="B13" s="161">
        <f t="shared" si="32"/>
        <v>17982</v>
      </c>
      <c r="C13" s="162">
        <v>18031</v>
      </c>
      <c r="D13" s="155">
        <f t="shared" si="18"/>
        <v>49</v>
      </c>
      <c r="E13" s="220"/>
      <c r="F13" s="164">
        <v>8</v>
      </c>
      <c r="G13" s="161">
        <f t="shared" si="33"/>
        <v>17596</v>
      </c>
      <c r="H13" s="154">
        <v>17653</v>
      </c>
      <c r="I13" s="155">
        <f t="shared" si="19"/>
        <v>57</v>
      </c>
      <c r="J13" s="220"/>
      <c r="K13" s="164">
        <v>8</v>
      </c>
      <c r="L13" s="161">
        <f t="shared" si="34"/>
        <v>781614</v>
      </c>
      <c r="M13" s="162">
        <v>781899</v>
      </c>
      <c r="N13" s="155">
        <f t="shared" si="20"/>
        <v>285</v>
      </c>
      <c r="O13" s="157"/>
      <c r="P13" s="164">
        <v>8</v>
      </c>
      <c r="Q13" s="161">
        <f t="shared" si="35"/>
        <v>213949</v>
      </c>
      <c r="R13" s="162">
        <v>213975</v>
      </c>
      <c r="S13" s="155">
        <f t="shared" si="21"/>
        <v>26</v>
      </c>
      <c r="T13" s="156"/>
      <c r="U13" s="164">
        <v>8</v>
      </c>
      <c r="V13" s="243">
        <f t="shared" si="22"/>
        <v>417</v>
      </c>
      <c r="W13" s="159">
        <f>'Maldives at LG Daily'!I12</f>
        <v>27.2</v>
      </c>
      <c r="X13" s="165"/>
      <c r="Z13" s="235">
        <v>8</v>
      </c>
      <c r="AA13" s="163">
        <f t="shared" si="36"/>
        <v>40093</v>
      </c>
      <c r="AB13" s="163">
        <v>40112</v>
      </c>
      <c r="AC13" s="163">
        <f>AB13-AA13</f>
        <v>19</v>
      </c>
      <c r="AD13" s="163">
        <f t="shared" si="82"/>
        <v>-5</v>
      </c>
      <c r="AE13" s="342"/>
      <c r="AF13" s="235">
        <f t="shared" si="37"/>
        <v>8764</v>
      </c>
      <c r="AG13" s="163">
        <v>8770</v>
      </c>
      <c r="AH13" s="163">
        <f>AG13-AF13</f>
        <v>6</v>
      </c>
      <c r="AI13" s="163">
        <f t="shared" si="83"/>
        <v>0</v>
      </c>
      <c r="AJ13" s="163"/>
      <c r="AK13" s="235">
        <f t="shared" si="38"/>
        <v>6887</v>
      </c>
      <c r="AL13" s="163">
        <v>6898</v>
      </c>
      <c r="AM13" s="163">
        <f t="shared" si="25"/>
        <v>11</v>
      </c>
      <c r="AN13" s="163">
        <f t="shared" si="39"/>
        <v>1</v>
      </c>
      <c r="AO13" s="163"/>
      <c r="AP13" s="235">
        <f t="shared" si="40"/>
        <v>15596</v>
      </c>
      <c r="AQ13" s="163">
        <v>15608</v>
      </c>
      <c r="AR13" s="163">
        <f t="shared" si="26"/>
        <v>12</v>
      </c>
      <c r="AS13" s="163">
        <f t="shared" si="41"/>
        <v>0</v>
      </c>
      <c r="AT13" s="163"/>
      <c r="AU13" s="235">
        <f t="shared" si="42"/>
        <v>32970</v>
      </c>
      <c r="AV13" s="163">
        <v>32978</v>
      </c>
      <c r="AW13" s="163">
        <f t="shared" si="0"/>
        <v>8</v>
      </c>
      <c r="AX13" s="163">
        <f t="shared" si="43"/>
        <v>0</v>
      </c>
      <c r="AY13" s="163"/>
      <c r="AZ13" s="235">
        <f t="shared" si="44"/>
        <v>7053</v>
      </c>
      <c r="BA13" s="163">
        <v>7061</v>
      </c>
      <c r="BB13" s="163">
        <f t="shared" si="1"/>
        <v>8</v>
      </c>
      <c r="BC13" s="163">
        <f t="shared" si="45"/>
        <v>1</v>
      </c>
      <c r="BD13" s="163"/>
      <c r="BE13" s="235">
        <f t="shared" si="46"/>
        <v>23383</v>
      </c>
      <c r="BF13" s="163">
        <v>23393</v>
      </c>
      <c r="BG13" s="163">
        <f t="shared" si="2"/>
        <v>10</v>
      </c>
      <c r="BH13" s="163">
        <f t="shared" si="47"/>
        <v>0</v>
      </c>
      <c r="BI13" s="163"/>
      <c r="BJ13" s="235">
        <f t="shared" si="48"/>
        <v>7467</v>
      </c>
      <c r="BK13" s="163">
        <v>7475</v>
      </c>
      <c r="BL13" s="163">
        <f t="shared" si="3"/>
        <v>8</v>
      </c>
      <c r="BM13" s="163">
        <f t="shared" si="49"/>
        <v>0</v>
      </c>
      <c r="BN13" s="163"/>
      <c r="BO13" s="235">
        <f t="shared" si="50"/>
        <v>3605</v>
      </c>
      <c r="BP13" s="163">
        <v>3607</v>
      </c>
      <c r="BQ13" s="163">
        <f t="shared" si="4"/>
        <v>2</v>
      </c>
      <c r="BR13" s="163">
        <f t="shared" si="51"/>
        <v>1</v>
      </c>
      <c r="BS13" s="163"/>
      <c r="BT13" s="235">
        <f t="shared" si="52"/>
        <v>1621</v>
      </c>
      <c r="BU13" s="163">
        <v>1622</v>
      </c>
      <c r="BV13" s="163">
        <f t="shared" si="5"/>
        <v>1</v>
      </c>
      <c r="BW13" s="163">
        <f t="shared" si="53"/>
        <v>-2</v>
      </c>
      <c r="BX13" s="163"/>
      <c r="BY13" s="241">
        <f t="shared" si="54"/>
        <v>27259</v>
      </c>
      <c r="BZ13" s="163">
        <v>27275</v>
      </c>
      <c r="CA13" s="163">
        <f t="shared" si="6"/>
        <v>16</v>
      </c>
      <c r="CB13" s="163">
        <f t="shared" si="55"/>
        <v>4</v>
      </c>
      <c r="CC13" s="233"/>
      <c r="CD13" s="241">
        <f t="shared" si="56"/>
        <v>2778</v>
      </c>
      <c r="CE13" s="163">
        <v>2779</v>
      </c>
      <c r="CF13" s="163">
        <f t="shared" si="7"/>
        <v>1</v>
      </c>
      <c r="CG13" s="163">
        <f t="shared" si="57"/>
        <v>-3</v>
      </c>
      <c r="CH13" s="233"/>
      <c r="CI13" s="241">
        <f t="shared" si="58"/>
        <v>75375</v>
      </c>
      <c r="CJ13" s="163">
        <v>75409</v>
      </c>
      <c r="CK13" s="163">
        <f t="shared" si="8"/>
        <v>34</v>
      </c>
      <c r="CL13" s="163">
        <f t="shared" si="59"/>
        <v>9</v>
      </c>
      <c r="CM13" s="233"/>
      <c r="CN13" s="241">
        <f t="shared" si="60"/>
        <v>23852</v>
      </c>
      <c r="CO13" s="163">
        <v>23852</v>
      </c>
      <c r="CP13" s="163">
        <f t="shared" si="9"/>
        <v>0</v>
      </c>
      <c r="CQ13" s="163">
        <f t="shared" si="61"/>
        <v>-10</v>
      </c>
      <c r="CR13" s="233"/>
      <c r="CS13" s="241">
        <f t="shared" si="62"/>
        <v>12541</v>
      </c>
      <c r="CT13" s="163">
        <v>12542</v>
      </c>
      <c r="CU13" s="163">
        <f t="shared" si="10"/>
        <v>1</v>
      </c>
      <c r="CV13" s="163">
        <f t="shared" si="63"/>
        <v>0</v>
      </c>
      <c r="CW13" s="233"/>
      <c r="CX13" s="241">
        <f t="shared" si="64"/>
        <v>17971</v>
      </c>
      <c r="CY13" s="163">
        <v>17976</v>
      </c>
      <c r="CZ13" s="163">
        <f t="shared" si="11"/>
        <v>5</v>
      </c>
      <c r="DA13" s="163">
        <f t="shared" si="65"/>
        <v>-1</v>
      </c>
      <c r="DB13" s="233"/>
      <c r="DC13" s="241">
        <f t="shared" si="66"/>
        <v>19895</v>
      </c>
      <c r="DD13" s="163">
        <v>19899</v>
      </c>
      <c r="DE13" s="163">
        <f t="shared" si="12"/>
        <v>4</v>
      </c>
      <c r="DF13" s="163">
        <f t="shared" si="67"/>
        <v>2</v>
      </c>
      <c r="DG13" s="233"/>
      <c r="DH13" s="241">
        <f t="shared" si="68"/>
        <v>8788</v>
      </c>
      <c r="DI13" s="163">
        <v>8791</v>
      </c>
      <c r="DJ13" s="163">
        <f t="shared" si="13"/>
        <v>3</v>
      </c>
      <c r="DK13" s="163">
        <f t="shared" si="69"/>
        <v>0</v>
      </c>
      <c r="DL13" s="233"/>
      <c r="DM13" s="241">
        <f t="shared" si="70"/>
        <v>20575</v>
      </c>
      <c r="DN13" s="163">
        <v>20592</v>
      </c>
      <c r="DO13" s="163">
        <f t="shared" si="14"/>
        <v>17</v>
      </c>
      <c r="DP13" s="163">
        <f t="shared" si="71"/>
        <v>0</v>
      </c>
      <c r="DQ13" s="233"/>
      <c r="DR13" s="241">
        <f t="shared" si="72"/>
        <v>2102</v>
      </c>
      <c r="DS13" s="163">
        <v>2104</v>
      </c>
      <c r="DT13" s="163">
        <f t="shared" si="15"/>
        <v>2</v>
      </c>
      <c r="DU13" s="163">
        <f t="shared" si="73"/>
        <v>0</v>
      </c>
      <c r="DV13" s="233"/>
      <c r="DW13" s="241">
        <f t="shared" si="74"/>
        <v>9915</v>
      </c>
      <c r="DX13" s="163">
        <v>9917</v>
      </c>
      <c r="DY13" s="163">
        <f t="shared" si="75"/>
        <v>2</v>
      </c>
      <c r="DZ13" s="163">
        <f t="shared" si="76"/>
        <v>2</v>
      </c>
      <c r="EA13" s="233"/>
      <c r="EB13" s="241">
        <f t="shared" si="77"/>
        <v>971</v>
      </c>
      <c r="EC13" s="163">
        <v>979</v>
      </c>
      <c r="ED13" s="233">
        <f t="shared" si="27"/>
        <v>8</v>
      </c>
      <c r="EE13" s="241">
        <f t="shared" si="78"/>
        <v>626</v>
      </c>
      <c r="EF13" s="163">
        <v>635</v>
      </c>
      <c r="EG13" s="233">
        <f t="shared" si="28"/>
        <v>9</v>
      </c>
      <c r="EH13" s="241">
        <f t="shared" si="79"/>
        <v>425</v>
      </c>
      <c r="EI13" s="163">
        <v>432</v>
      </c>
      <c r="EJ13" s="233">
        <f t="shared" si="29"/>
        <v>7</v>
      </c>
      <c r="EK13" s="241">
        <f t="shared" si="80"/>
        <v>440</v>
      </c>
      <c r="EL13" s="163">
        <v>446</v>
      </c>
      <c r="EM13" s="233">
        <f t="shared" si="30"/>
        <v>6</v>
      </c>
      <c r="EN13" s="241">
        <f t="shared" si="81"/>
        <v>174</v>
      </c>
      <c r="EO13" s="163">
        <v>177</v>
      </c>
      <c r="EP13" s="233">
        <f t="shared" si="31"/>
        <v>3</v>
      </c>
      <c r="EQ13" s="241">
        <f t="shared" si="16"/>
        <v>66</v>
      </c>
      <c r="ER13" s="163">
        <f t="shared" si="17"/>
        <v>15.827338129496402</v>
      </c>
      <c r="ES13" s="233"/>
    </row>
    <row r="14" spans="1:149" ht="15" customHeight="1" x14ac:dyDescent="0.2">
      <c r="A14" s="164">
        <v>9</v>
      </c>
      <c r="B14" s="161">
        <f t="shared" si="32"/>
        <v>18031</v>
      </c>
      <c r="C14" s="162">
        <v>18090</v>
      </c>
      <c r="D14" s="155">
        <f t="shared" si="18"/>
        <v>59</v>
      </c>
      <c r="E14" s="220"/>
      <c r="F14" s="164">
        <v>9</v>
      </c>
      <c r="G14" s="161">
        <f t="shared" si="33"/>
        <v>17653</v>
      </c>
      <c r="H14" s="154">
        <v>17700</v>
      </c>
      <c r="I14" s="155">
        <f t="shared" si="19"/>
        <v>47</v>
      </c>
      <c r="J14" s="220"/>
      <c r="K14" s="164">
        <v>9</v>
      </c>
      <c r="L14" s="161">
        <f t="shared" si="34"/>
        <v>781899</v>
      </c>
      <c r="M14" s="162">
        <v>782186</v>
      </c>
      <c r="N14" s="155">
        <f t="shared" si="20"/>
        <v>287</v>
      </c>
      <c r="O14" s="157"/>
      <c r="P14" s="164">
        <v>9</v>
      </c>
      <c r="Q14" s="161">
        <f t="shared" si="35"/>
        <v>213975</v>
      </c>
      <c r="R14" s="162">
        <v>214016</v>
      </c>
      <c r="S14" s="155">
        <f t="shared" si="21"/>
        <v>41</v>
      </c>
      <c r="T14" s="156"/>
      <c r="U14" s="158">
        <v>9</v>
      </c>
      <c r="V14" s="243">
        <f t="shared" si="22"/>
        <v>434</v>
      </c>
      <c r="W14" s="159">
        <f>'Maldives at LG Daily'!I13</f>
        <v>27.2</v>
      </c>
      <c r="X14" s="165"/>
      <c r="Z14" s="235">
        <v>9</v>
      </c>
      <c r="AA14" s="163">
        <f t="shared" si="36"/>
        <v>40112</v>
      </c>
      <c r="AB14" s="163">
        <v>40134</v>
      </c>
      <c r="AC14" s="163">
        <f t="shared" si="23"/>
        <v>22</v>
      </c>
      <c r="AD14" s="163">
        <f t="shared" si="82"/>
        <v>3</v>
      </c>
      <c r="AE14" s="342"/>
      <c r="AF14" s="235">
        <f t="shared" si="37"/>
        <v>8770</v>
      </c>
      <c r="AG14" s="163">
        <v>8775</v>
      </c>
      <c r="AH14" s="163">
        <f t="shared" si="24"/>
        <v>5</v>
      </c>
      <c r="AI14" s="163">
        <f t="shared" si="83"/>
        <v>-1</v>
      </c>
      <c r="AJ14" s="163"/>
      <c r="AK14" s="235">
        <f t="shared" si="38"/>
        <v>6898</v>
      </c>
      <c r="AL14" s="163">
        <v>6909</v>
      </c>
      <c r="AM14" s="163">
        <f t="shared" si="25"/>
        <v>11</v>
      </c>
      <c r="AN14" s="163">
        <f t="shared" si="39"/>
        <v>0</v>
      </c>
      <c r="AO14" s="163"/>
      <c r="AP14" s="235">
        <f t="shared" si="40"/>
        <v>15608</v>
      </c>
      <c r="AQ14" s="163">
        <v>15620</v>
      </c>
      <c r="AR14" s="163">
        <f t="shared" si="26"/>
        <v>12</v>
      </c>
      <c r="AS14" s="163">
        <f t="shared" si="41"/>
        <v>0</v>
      </c>
      <c r="AT14" s="163"/>
      <c r="AU14" s="235">
        <f t="shared" si="42"/>
        <v>32978</v>
      </c>
      <c r="AV14" s="163">
        <v>32986</v>
      </c>
      <c r="AW14" s="163">
        <f t="shared" si="0"/>
        <v>8</v>
      </c>
      <c r="AX14" s="163">
        <f t="shared" si="43"/>
        <v>0</v>
      </c>
      <c r="AY14" s="163"/>
      <c r="AZ14" s="235">
        <f t="shared" si="44"/>
        <v>7061</v>
      </c>
      <c r="BA14" s="163">
        <v>7068</v>
      </c>
      <c r="BB14" s="163">
        <f t="shared" si="1"/>
        <v>7</v>
      </c>
      <c r="BC14" s="163">
        <f t="shared" si="45"/>
        <v>-1</v>
      </c>
      <c r="BD14" s="163"/>
      <c r="BE14" s="235">
        <f t="shared" si="46"/>
        <v>23393</v>
      </c>
      <c r="BF14" s="163">
        <v>23403</v>
      </c>
      <c r="BG14" s="163">
        <f t="shared" si="2"/>
        <v>10</v>
      </c>
      <c r="BH14" s="163">
        <f t="shared" si="47"/>
        <v>0</v>
      </c>
      <c r="BI14" s="163"/>
      <c r="BJ14" s="235">
        <f t="shared" si="48"/>
        <v>7475</v>
      </c>
      <c r="BK14" s="163">
        <v>7483</v>
      </c>
      <c r="BL14" s="163">
        <f>BK14-BJ14</f>
        <v>8</v>
      </c>
      <c r="BM14" s="163">
        <f t="shared" si="49"/>
        <v>0</v>
      </c>
      <c r="BN14" s="163"/>
      <c r="BO14" s="235">
        <f t="shared" si="50"/>
        <v>3607</v>
      </c>
      <c r="BP14" s="163">
        <v>3609</v>
      </c>
      <c r="BQ14" s="163">
        <f t="shared" si="4"/>
        <v>2</v>
      </c>
      <c r="BR14" s="163">
        <f t="shared" si="51"/>
        <v>0</v>
      </c>
      <c r="BS14" s="163"/>
      <c r="BT14" s="235">
        <f t="shared" si="52"/>
        <v>1622</v>
      </c>
      <c r="BU14" s="163">
        <v>1622</v>
      </c>
      <c r="BV14" s="163">
        <f t="shared" si="5"/>
        <v>0</v>
      </c>
      <c r="BW14" s="163">
        <f t="shared" si="53"/>
        <v>-1</v>
      </c>
      <c r="BX14" s="163"/>
      <c r="BY14" s="241">
        <f t="shared" si="54"/>
        <v>27275</v>
      </c>
      <c r="BZ14" s="163">
        <v>27282</v>
      </c>
      <c r="CA14" s="163">
        <f t="shared" si="6"/>
        <v>7</v>
      </c>
      <c r="CB14" s="163">
        <f t="shared" si="55"/>
        <v>-9</v>
      </c>
      <c r="CC14" s="233"/>
      <c r="CD14" s="241">
        <f t="shared" si="56"/>
        <v>2779</v>
      </c>
      <c r="CE14" s="163">
        <v>2780</v>
      </c>
      <c r="CF14" s="163">
        <f t="shared" si="7"/>
        <v>1</v>
      </c>
      <c r="CG14" s="163">
        <f t="shared" si="57"/>
        <v>0</v>
      </c>
      <c r="CH14" s="233"/>
      <c r="CI14" s="241">
        <f t="shared" si="58"/>
        <v>75409</v>
      </c>
      <c r="CJ14" s="163">
        <v>75436</v>
      </c>
      <c r="CK14" s="163">
        <f t="shared" si="8"/>
        <v>27</v>
      </c>
      <c r="CL14" s="163">
        <f t="shared" si="59"/>
        <v>-7</v>
      </c>
      <c r="CM14" s="233"/>
      <c r="CN14" s="241">
        <f t="shared" si="60"/>
        <v>23852</v>
      </c>
      <c r="CO14" s="163">
        <v>23863</v>
      </c>
      <c r="CP14" s="163">
        <f t="shared" si="9"/>
        <v>11</v>
      </c>
      <c r="CQ14" s="163">
        <f t="shared" si="61"/>
        <v>11</v>
      </c>
      <c r="CR14" s="233"/>
      <c r="CS14" s="241">
        <f t="shared" si="62"/>
        <v>12542</v>
      </c>
      <c r="CT14" s="163">
        <v>12543</v>
      </c>
      <c r="CU14" s="163">
        <f t="shared" si="10"/>
        <v>1</v>
      </c>
      <c r="CV14" s="163">
        <f t="shared" si="63"/>
        <v>0</v>
      </c>
      <c r="CW14" s="233"/>
      <c r="CX14" s="241">
        <f t="shared" si="64"/>
        <v>17976</v>
      </c>
      <c r="CY14" s="163">
        <v>17981</v>
      </c>
      <c r="CZ14" s="163">
        <f t="shared" si="11"/>
        <v>5</v>
      </c>
      <c r="DA14" s="163">
        <f t="shared" si="65"/>
        <v>0</v>
      </c>
      <c r="DB14" s="233"/>
      <c r="DC14" s="241">
        <f t="shared" si="66"/>
        <v>19899</v>
      </c>
      <c r="DD14" s="163">
        <v>19902</v>
      </c>
      <c r="DE14" s="163">
        <f t="shared" si="12"/>
        <v>3</v>
      </c>
      <c r="DF14" s="163">
        <f t="shared" si="67"/>
        <v>-1</v>
      </c>
      <c r="DG14" s="233"/>
      <c r="DH14" s="241">
        <f t="shared" si="68"/>
        <v>8791</v>
      </c>
      <c r="DI14" s="163">
        <v>8794</v>
      </c>
      <c r="DJ14" s="163">
        <f t="shared" si="13"/>
        <v>3</v>
      </c>
      <c r="DK14" s="163">
        <f t="shared" si="69"/>
        <v>0</v>
      </c>
      <c r="DL14" s="233"/>
      <c r="DM14" s="241">
        <f t="shared" si="70"/>
        <v>20592</v>
      </c>
      <c r="DN14" s="163">
        <v>20609</v>
      </c>
      <c r="DO14" s="163">
        <f t="shared" si="14"/>
        <v>17</v>
      </c>
      <c r="DP14" s="163">
        <f t="shared" si="71"/>
        <v>0</v>
      </c>
      <c r="DQ14" s="233"/>
      <c r="DR14" s="241">
        <f t="shared" si="72"/>
        <v>2104</v>
      </c>
      <c r="DS14" s="163">
        <v>2107</v>
      </c>
      <c r="DT14" s="163">
        <f t="shared" si="15"/>
        <v>3</v>
      </c>
      <c r="DU14" s="163">
        <f t="shared" si="73"/>
        <v>1</v>
      </c>
      <c r="DV14" s="233"/>
      <c r="DW14" s="241">
        <f t="shared" si="74"/>
        <v>9917</v>
      </c>
      <c r="DX14" s="163">
        <v>9917</v>
      </c>
      <c r="DY14" s="163">
        <f t="shared" si="75"/>
        <v>0</v>
      </c>
      <c r="DZ14" s="163">
        <f t="shared" si="76"/>
        <v>-2</v>
      </c>
      <c r="EA14" s="233"/>
      <c r="EB14" s="241">
        <f t="shared" si="77"/>
        <v>979</v>
      </c>
      <c r="EC14" s="163">
        <v>989</v>
      </c>
      <c r="ED14" s="233">
        <f t="shared" si="27"/>
        <v>10</v>
      </c>
      <c r="EE14" s="241">
        <f t="shared" si="78"/>
        <v>635</v>
      </c>
      <c r="EF14" s="163">
        <v>643</v>
      </c>
      <c r="EG14" s="233">
        <f t="shared" si="28"/>
        <v>8</v>
      </c>
      <c r="EH14" s="241">
        <f t="shared" si="79"/>
        <v>432</v>
      </c>
      <c r="EI14" s="163">
        <v>438</v>
      </c>
      <c r="EJ14" s="233">
        <f t="shared" si="29"/>
        <v>6</v>
      </c>
      <c r="EK14" s="241">
        <f t="shared" si="80"/>
        <v>446</v>
      </c>
      <c r="EL14" s="163">
        <v>452</v>
      </c>
      <c r="EM14" s="233">
        <f t="shared" si="30"/>
        <v>6</v>
      </c>
      <c r="EN14" s="241">
        <f t="shared" si="81"/>
        <v>177</v>
      </c>
      <c r="EO14" s="163">
        <v>180</v>
      </c>
      <c r="EP14" s="233">
        <f t="shared" si="31"/>
        <v>3</v>
      </c>
      <c r="EQ14" s="241">
        <f t="shared" si="16"/>
        <v>63</v>
      </c>
      <c r="ER14" s="163">
        <f t="shared" si="17"/>
        <v>14.516129032258066</v>
      </c>
      <c r="ES14" s="233"/>
    </row>
    <row r="15" spans="1:149" ht="15" customHeight="1" x14ac:dyDescent="0.2">
      <c r="A15" s="164">
        <v>10</v>
      </c>
      <c r="B15" s="161">
        <f t="shared" si="32"/>
        <v>18090</v>
      </c>
      <c r="C15" s="162">
        <v>18152</v>
      </c>
      <c r="D15" s="155">
        <f t="shared" si="18"/>
        <v>62</v>
      </c>
      <c r="E15" s="220"/>
      <c r="F15" s="164">
        <v>10</v>
      </c>
      <c r="G15" s="161">
        <f t="shared" si="33"/>
        <v>17700</v>
      </c>
      <c r="H15" s="154">
        <v>17761</v>
      </c>
      <c r="I15" s="155">
        <f t="shared" si="19"/>
        <v>61</v>
      </c>
      <c r="J15" s="220"/>
      <c r="K15" s="164">
        <v>10</v>
      </c>
      <c r="L15" s="161">
        <f t="shared" si="34"/>
        <v>782186</v>
      </c>
      <c r="M15" s="162">
        <v>782474</v>
      </c>
      <c r="N15" s="155">
        <f t="shared" si="20"/>
        <v>288</v>
      </c>
      <c r="O15" s="157"/>
      <c r="P15" s="164">
        <v>10</v>
      </c>
      <c r="Q15" s="161">
        <f t="shared" si="35"/>
        <v>214016</v>
      </c>
      <c r="R15" s="162">
        <v>214035</v>
      </c>
      <c r="S15" s="155">
        <f t="shared" si="21"/>
        <v>19</v>
      </c>
      <c r="T15" s="156"/>
      <c r="U15" s="158">
        <v>10</v>
      </c>
      <c r="V15" s="243">
        <f t="shared" si="22"/>
        <v>430</v>
      </c>
      <c r="W15" s="159">
        <f>'Maldives at LG Daily'!I14</f>
        <v>21</v>
      </c>
      <c r="X15" s="165"/>
      <c r="Z15" s="235">
        <v>10</v>
      </c>
      <c r="AA15" s="163">
        <f t="shared" si="36"/>
        <v>40134</v>
      </c>
      <c r="AB15" s="163">
        <v>40153</v>
      </c>
      <c r="AC15" s="163">
        <f t="shared" si="23"/>
        <v>19</v>
      </c>
      <c r="AD15" s="163">
        <f t="shared" si="82"/>
        <v>-3</v>
      </c>
      <c r="AE15" s="342"/>
      <c r="AF15" s="235">
        <f t="shared" si="37"/>
        <v>8775</v>
      </c>
      <c r="AG15" s="163">
        <v>8781</v>
      </c>
      <c r="AH15" s="163">
        <f t="shared" si="24"/>
        <v>6</v>
      </c>
      <c r="AI15" s="163">
        <f t="shared" si="83"/>
        <v>1</v>
      </c>
      <c r="AJ15" s="163"/>
      <c r="AK15" s="235">
        <f t="shared" si="38"/>
        <v>6909</v>
      </c>
      <c r="AL15" s="163">
        <v>6919</v>
      </c>
      <c r="AM15" s="163">
        <f t="shared" si="25"/>
        <v>10</v>
      </c>
      <c r="AN15" s="163">
        <f t="shared" si="39"/>
        <v>-1</v>
      </c>
      <c r="AO15" s="163"/>
      <c r="AP15" s="235">
        <f t="shared" si="40"/>
        <v>15620</v>
      </c>
      <c r="AQ15" s="163">
        <v>15634</v>
      </c>
      <c r="AR15" s="163">
        <f t="shared" si="26"/>
        <v>14</v>
      </c>
      <c r="AS15" s="163">
        <f t="shared" si="41"/>
        <v>2</v>
      </c>
      <c r="AT15" s="163"/>
      <c r="AU15" s="235">
        <f t="shared" si="42"/>
        <v>32986</v>
      </c>
      <c r="AV15" s="163">
        <v>32995</v>
      </c>
      <c r="AW15" s="163">
        <f t="shared" si="0"/>
        <v>9</v>
      </c>
      <c r="AX15" s="163">
        <f t="shared" si="43"/>
        <v>1</v>
      </c>
      <c r="AY15" s="163"/>
      <c r="AZ15" s="235">
        <f t="shared" si="44"/>
        <v>7068</v>
      </c>
      <c r="BA15" s="163">
        <v>7076</v>
      </c>
      <c r="BB15" s="163">
        <f t="shared" si="1"/>
        <v>8</v>
      </c>
      <c r="BC15" s="163">
        <f t="shared" si="45"/>
        <v>1</v>
      </c>
      <c r="BD15" s="163"/>
      <c r="BE15" s="235">
        <f t="shared" si="46"/>
        <v>23403</v>
      </c>
      <c r="BF15" s="163">
        <v>23413</v>
      </c>
      <c r="BG15" s="163">
        <f t="shared" si="2"/>
        <v>10</v>
      </c>
      <c r="BH15" s="163">
        <f t="shared" si="47"/>
        <v>0</v>
      </c>
      <c r="BI15" s="163"/>
      <c r="BJ15" s="235">
        <f t="shared" si="48"/>
        <v>7483</v>
      </c>
      <c r="BK15" s="163">
        <v>7491</v>
      </c>
      <c r="BL15" s="163">
        <f t="shared" si="3"/>
        <v>8</v>
      </c>
      <c r="BM15" s="163">
        <f t="shared" si="49"/>
        <v>0</v>
      </c>
      <c r="BN15" s="163"/>
      <c r="BO15" s="235">
        <f t="shared" si="50"/>
        <v>3609</v>
      </c>
      <c r="BP15" s="163">
        <v>3611</v>
      </c>
      <c r="BQ15" s="163">
        <f t="shared" si="4"/>
        <v>2</v>
      </c>
      <c r="BR15" s="163">
        <f t="shared" si="51"/>
        <v>0</v>
      </c>
      <c r="BS15" s="163"/>
      <c r="BT15" s="235">
        <f t="shared" si="52"/>
        <v>1622</v>
      </c>
      <c r="BU15" s="163">
        <v>1623</v>
      </c>
      <c r="BV15" s="163">
        <f t="shared" si="5"/>
        <v>1</v>
      </c>
      <c r="BW15" s="163">
        <f t="shared" si="53"/>
        <v>1</v>
      </c>
      <c r="BX15" s="163"/>
      <c r="BY15" s="241">
        <f t="shared" si="54"/>
        <v>27282</v>
      </c>
      <c r="BZ15" s="163">
        <v>27294</v>
      </c>
      <c r="CA15" s="163">
        <f t="shared" si="6"/>
        <v>12</v>
      </c>
      <c r="CB15" s="163">
        <f t="shared" si="55"/>
        <v>5</v>
      </c>
      <c r="CC15" s="233"/>
      <c r="CD15" s="241">
        <f t="shared" si="56"/>
        <v>2780</v>
      </c>
      <c r="CE15" s="163">
        <v>2780</v>
      </c>
      <c r="CF15" s="163">
        <f t="shared" si="7"/>
        <v>0</v>
      </c>
      <c r="CG15" s="163">
        <f t="shared" si="57"/>
        <v>-1</v>
      </c>
      <c r="CH15" s="233"/>
      <c r="CI15" s="241">
        <f t="shared" si="58"/>
        <v>75436</v>
      </c>
      <c r="CJ15" s="163">
        <v>75461</v>
      </c>
      <c r="CK15" s="163">
        <f t="shared" si="8"/>
        <v>25</v>
      </c>
      <c r="CL15" s="163">
        <f t="shared" si="59"/>
        <v>-2</v>
      </c>
      <c r="CM15" s="233"/>
      <c r="CN15" s="241">
        <f t="shared" si="60"/>
        <v>23863</v>
      </c>
      <c r="CO15" s="163">
        <v>23869</v>
      </c>
      <c r="CP15" s="163">
        <v>0</v>
      </c>
      <c r="CQ15" s="163">
        <f t="shared" si="61"/>
        <v>-11</v>
      </c>
      <c r="CR15" s="233"/>
      <c r="CS15" s="241">
        <f t="shared" si="62"/>
        <v>12543</v>
      </c>
      <c r="CT15" s="163">
        <v>12544</v>
      </c>
      <c r="CU15" s="163">
        <f t="shared" si="10"/>
        <v>1</v>
      </c>
      <c r="CV15" s="163">
        <f t="shared" si="63"/>
        <v>0</v>
      </c>
      <c r="CW15" s="233"/>
      <c r="CX15" s="241">
        <f t="shared" si="64"/>
        <v>17981</v>
      </c>
      <c r="CY15" s="163">
        <v>17986</v>
      </c>
      <c r="CZ15" s="163">
        <f t="shared" si="11"/>
        <v>5</v>
      </c>
      <c r="DA15" s="163">
        <f t="shared" si="65"/>
        <v>0</v>
      </c>
      <c r="DB15" s="233"/>
      <c r="DC15" s="241">
        <f t="shared" si="66"/>
        <v>19902</v>
      </c>
      <c r="DD15" s="163">
        <v>19905</v>
      </c>
      <c r="DE15" s="163">
        <f t="shared" si="12"/>
        <v>3</v>
      </c>
      <c r="DF15" s="163">
        <f t="shared" si="67"/>
        <v>0</v>
      </c>
      <c r="DG15" s="233"/>
      <c r="DH15" s="241">
        <f t="shared" si="68"/>
        <v>8794</v>
      </c>
      <c r="DI15" s="163">
        <v>8795</v>
      </c>
      <c r="DJ15" s="163">
        <f t="shared" si="13"/>
        <v>1</v>
      </c>
      <c r="DK15" s="163">
        <f t="shared" si="69"/>
        <v>-2</v>
      </c>
      <c r="DL15" s="233"/>
      <c r="DM15" s="241">
        <f t="shared" si="70"/>
        <v>20609</v>
      </c>
      <c r="DN15" s="163">
        <v>20630</v>
      </c>
      <c r="DO15" s="163">
        <f t="shared" si="14"/>
        <v>21</v>
      </c>
      <c r="DP15" s="163">
        <f t="shared" si="71"/>
        <v>4</v>
      </c>
      <c r="DQ15" s="233"/>
      <c r="DR15" s="241">
        <f t="shared" si="72"/>
        <v>2107</v>
      </c>
      <c r="DS15" s="163">
        <v>2109</v>
      </c>
      <c r="DT15" s="163">
        <f t="shared" si="15"/>
        <v>2</v>
      </c>
      <c r="DU15" s="163">
        <f t="shared" si="73"/>
        <v>-1</v>
      </c>
      <c r="DV15" s="233"/>
      <c r="DW15" s="241">
        <f t="shared" si="74"/>
        <v>9917</v>
      </c>
      <c r="DX15" s="163">
        <v>9917</v>
      </c>
      <c r="DY15" s="163">
        <f t="shared" si="75"/>
        <v>0</v>
      </c>
      <c r="DZ15" s="163">
        <f t="shared" si="76"/>
        <v>0</v>
      </c>
      <c r="EA15" s="233"/>
      <c r="EB15" s="241">
        <f t="shared" si="77"/>
        <v>989</v>
      </c>
      <c r="EC15" s="163">
        <v>998</v>
      </c>
      <c r="ED15" s="233">
        <f t="shared" si="27"/>
        <v>9</v>
      </c>
      <c r="EE15" s="241">
        <f t="shared" ref="EE15:EE36" si="84">EF14</f>
        <v>643</v>
      </c>
      <c r="EF15" s="163">
        <v>651</v>
      </c>
      <c r="EG15" s="233">
        <f t="shared" si="28"/>
        <v>8</v>
      </c>
      <c r="EH15" s="241">
        <f t="shared" ref="EH15:EH36" si="85">EI14</f>
        <v>438</v>
      </c>
      <c r="EI15" s="163">
        <v>444</v>
      </c>
      <c r="EJ15" s="233">
        <f t="shared" si="29"/>
        <v>6</v>
      </c>
      <c r="EK15" s="241">
        <f t="shared" si="80"/>
        <v>452</v>
      </c>
      <c r="EL15" s="163">
        <v>457</v>
      </c>
      <c r="EM15" s="233">
        <f t="shared" si="30"/>
        <v>5</v>
      </c>
      <c r="EN15" s="241">
        <f t="shared" si="81"/>
        <v>180</v>
      </c>
      <c r="EO15" s="163">
        <v>182</v>
      </c>
      <c r="EP15" s="233">
        <f t="shared" si="31"/>
        <v>2</v>
      </c>
      <c r="EQ15" s="241">
        <f t="shared" si="16"/>
        <v>68</v>
      </c>
      <c r="ER15" s="163">
        <f t="shared" si="17"/>
        <v>15.813953488372093</v>
      </c>
      <c r="ES15" s="233"/>
    </row>
    <row r="16" spans="1:149" ht="15" customHeight="1" x14ac:dyDescent="0.2">
      <c r="A16" s="164">
        <v>11</v>
      </c>
      <c r="B16" s="161">
        <f t="shared" si="32"/>
        <v>18152</v>
      </c>
      <c r="C16" s="162">
        <v>18217</v>
      </c>
      <c r="D16" s="155">
        <f t="shared" si="18"/>
        <v>65</v>
      </c>
      <c r="E16" s="220"/>
      <c r="F16" s="164">
        <v>11</v>
      </c>
      <c r="G16" s="161">
        <f t="shared" si="33"/>
        <v>17761</v>
      </c>
      <c r="H16" s="154">
        <v>17766</v>
      </c>
      <c r="I16" s="155">
        <f t="shared" si="19"/>
        <v>5</v>
      </c>
      <c r="J16" s="220"/>
      <c r="K16" s="164">
        <v>11</v>
      </c>
      <c r="L16" s="161">
        <f t="shared" si="34"/>
        <v>782474</v>
      </c>
      <c r="M16" s="162">
        <v>782760</v>
      </c>
      <c r="N16" s="155">
        <f t="shared" si="20"/>
        <v>286</v>
      </c>
      <c r="O16" s="157"/>
      <c r="P16" s="164">
        <v>11</v>
      </c>
      <c r="Q16" s="161">
        <f t="shared" si="35"/>
        <v>214035</v>
      </c>
      <c r="R16" s="162">
        <v>214098</v>
      </c>
      <c r="S16" s="155">
        <f t="shared" si="21"/>
        <v>63</v>
      </c>
      <c r="T16" s="156"/>
      <c r="U16" s="164">
        <v>11</v>
      </c>
      <c r="V16" s="243">
        <f t="shared" si="22"/>
        <v>419</v>
      </c>
      <c r="W16" s="159">
        <f>'Maldives at LG Daily'!I15</f>
        <v>25.2</v>
      </c>
      <c r="X16" s="165"/>
      <c r="Z16" s="235">
        <v>11</v>
      </c>
      <c r="AA16" s="163">
        <f t="shared" si="36"/>
        <v>40153</v>
      </c>
      <c r="AB16" s="163">
        <v>40173</v>
      </c>
      <c r="AC16" s="163">
        <f t="shared" si="23"/>
        <v>20</v>
      </c>
      <c r="AD16" s="163">
        <f t="shared" si="82"/>
        <v>1</v>
      </c>
      <c r="AE16" s="342"/>
      <c r="AF16" s="235">
        <f t="shared" si="37"/>
        <v>8781</v>
      </c>
      <c r="AG16" s="163">
        <v>8787</v>
      </c>
      <c r="AH16" s="163">
        <f t="shared" si="24"/>
        <v>6</v>
      </c>
      <c r="AI16" s="163">
        <f t="shared" si="83"/>
        <v>0</v>
      </c>
      <c r="AJ16" s="163"/>
      <c r="AK16" s="235">
        <f t="shared" si="38"/>
        <v>6919</v>
      </c>
      <c r="AL16" s="163">
        <v>6930</v>
      </c>
      <c r="AM16" s="163">
        <f t="shared" si="25"/>
        <v>11</v>
      </c>
      <c r="AN16" s="163">
        <f t="shared" si="39"/>
        <v>1</v>
      </c>
      <c r="AO16" s="163"/>
      <c r="AP16" s="235">
        <f t="shared" si="40"/>
        <v>15634</v>
      </c>
      <c r="AQ16" s="163">
        <v>15648</v>
      </c>
      <c r="AR16" s="163">
        <f t="shared" si="26"/>
        <v>14</v>
      </c>
      <c r="AS16" s="163">
        <f t="shared" si="41"/>
        <v>0</v>
      </c>
      <c r="AT16" s="163"/>
      <c r="AU16" s="235">
        <f t="shared" si="42"/>
        <v>32995</v>
      </c>
      <c r="AV16" s="163">
        <v>33005</v>
      </c>
      <c r="AW16" s="163">
        <f t="shared" si="0"/>
        <v>10</v>
      </c>
      <c r="AX16" s="163">
        <f t="shared" si="43"/>
        <v>1</v>
      </c>
      <c r="AY16" s="163"/>
      <c r="AZ16" s="235">
        <f t="shared" si="44"/>
        <v>7076</v>
      </c>
      <c r="BA16" s="163">
        <v>7084</v>
      </c>
      <c r="BB16" s="163">
        <f t="shared" si="1"/>
        <v>8</v>
      </c>
      <c r="BC16" s="163">
        <f t="shared" si="45"/>
        <v>0</v>
      </c>
      <c r="BD16" s="163"/>
      <c r="BE16" s="235">
        <f t="shared" si="46"/>
        <v>23413</v>
      </c>
      <c r="BF16" s="163">
        <v>23424</v>
      </c>
      <c r="BG16" s="163">
        <f t="shared" si="2"/>
        <v>11</v>
      </c>
      <c r="BH16" s="163">
        <f t="shared" si="47"/>
        <v>1</v>
      </c>
      <c r="BI16" s="163"/>
      <c r="BJ16" s="235">
        <f t="shared" si="48"/>
        <v>7491</v>
      </c>
      <c r="BK16" s="163">
        <v>7500</v>
      </c>
      <c r="BL16" s="163">
        <f t="shared" si="3"/>
        <v>9</v>
      </c>
      <c r="BM16" s="163">
        <f t="shared" si="49"/>
        <v>1</v>
      </c>
      <c r="BN16" s="163"/>
      <c r="BO16" s="235">
        <f t="shared" si="50"/>
        <v>3611</v>
      </c>
      <c r="BP16" s="163">
        <v>3611</v>
      </c>
      <c r="BQ16" s="163">
        <f t="shared" si="4"/>
        <v>0</v>
      </c>
      <c r="BR16" s="163">
        <f t="shared" si="51"/>
        <v>-2</v>
      </c>
      <c r="BS16" s="163"/>
      <c r="BT16" s="235">
        <f t="shared" si="52"/>
        <v>1623</v>
      </c>
      <c r="BU16" s="163">
        <v>1624</v>
      </c>
      <c r="BV16" s="163">
        <f t="shared" si="5"/>
        <v>1</v>
      </c>
      <c r="BW16" s="163">
        <f t="shared" si="53"/>
        <v>0</v>
      </c>
      <c r="BX16" s="163"/>
      <c r="BY16" s="241">
        <f t="shared" si="54"/>
        <v>27294</v>
      </c>
      <c r="BZ16" s="163">
        <v>27313</v>
      </c>
      <c r="CA16" s="163">
        <f t="shared" si="6"/>
        <v>19</v>
      </c>
      <c r="CB16" s="163">
        <f t="shared" si="55"/>
        <v>7</v>
      </c>
      <c r="CC16" s="233"/>
      <c r="CD16" s="241">
        <f t="shared" si="56"/>
        <v>2780</v>
      </c>
      <c r="CE16" s="163">
        <v>2780</v>
      </c>
      <c r="CF16" s="163">
        <f t="shared" si="7"/>
        <v>0</v>
      </c>
      <c r="CG16" s="163">
        <f t="shared" si="57"/>
        <v>0</v>
      </c>
      <c r="CH16" s="233"/>
      <c r="CI16" s="241">
        <f t="shared" si="58"/>
        <v>75461</v>
      </c>
      <c r="CJ16" s="163">
        <v>75486</v>
      </c>
      <c r="CK16" s="163">
        <f t="shared" si="8"/>
        <v>25</v>
      </c>
      <c r="CL16" s="163">
        <f t="shared" si="59"/>
        <v>0</v>
      </c>
      <c r="CM16" s="233"/>
      <c r="CN16" s="241">
        <f t="shared" si="60"/>
        <v>23869</v>
      </c>
      <c r="CO16" s="163">
        <v>23875</v>
      </c>
      <c r="CP16" s="163">
        <f t="shared" si="9"/>
        <v>6</v>
      </c>
      <c r="CQ16" s="163">
        <f t="shared" si="61"/>
        <v>6</v>
      </c>
      <c r="CR16" s="233"/>
      <c r="CS16" s="241">
        <f t="shared" si="62"/>
        <v>12544</v>
      </c>
      <c r="CT16" s="163">
        <v>12545</v>
      </c>
      <c r="CU16" s="163">
        <f t="shared" si="10"/>
        <v>1</v>
      </c>
      <c r="CV16" s="163">
        <f t="shared" si="63"/>
        <v>0</v>
      </c>
      <c r="CW16" s="233"/>
      <c r="CX16" s="241">
        <f t="shared" si="64"/>
        <v>17986</v>
      </c>
      <c r="CY16" s="163">
        <v>17986</v>
      </c>
      <c r="CZ16" s="163">
        <f t="shared" si="11"/>
        <v>0</v>
      </c>
      <c r="DA16" s="163">
        <f t="shared" si="65"/>
        <v>-5</v>
      </c>
      <c r="DB16" s="233"/>
      <c r="DC16" s="241">
        <f t="shared" si="66"/>
        <v>19905</v>
      </c>
      <c r="DD16" s="163">
        <v>19906</v>
      </c>
      <c r="DE16" s="163">
        <f t="shared" si="12"/>
        <v>1</v>
      </c>
      <c r="DF16" s="163">
        <f t="shared" si="67"/>
        <v>-2</v>
      </c>
      <c r="DG16" s="233"/>
      <c r="DH16" s="241">
        <f t="shared" si="68"/>
        <v>8795</v>
      </c>
      <c r="DI16" s="163">
        <v>8795</v>
      </c>
      <c r="DJ16" s="163">
        <f t="shared" si="13"/>
        <v>0</v>
      </c>
      <c r="DK16" s="163">
        <f t="shared" si="69"/>
        <v>-1</v>
      </c>
      <c r="DL16" s="233"/>
      <c r="DM16" s="241">
        <f t="shared" si="70"/>
        <v>20630</v>
      </c>
      <c r="DN16" s="163">
        <v>20645</v>
      </c>
      <c r="DO16" s="163">
        <f t="shared" si="14"/>
        <v>15</v>
      </c>
      <c r="DP16" s="163">
        <f t="shared" si="71"/>
        <v>-6</v>
      </c>
      <c r="DQ16" s="233"/>
      <c r="DR16" s="241">
        <f t="shared" si="72"/>
        <v>2109</v>
      </c>
      <c r="DS16" s="163">
        <v>2111</v>
      </c>
      <c r="DT16" s="163">
        <f t="shared" si="15"/>
        <v>2</v>
      </c>
      <c r="DU16" s="163">
        <f t="shared" si="73"/>
        <v>0</v>
      </c>
      <c r="DV16" s="233"/>
      <c r="DW16" s="241">
        <f t="shared" si="74"/>
        <v>9917</v>
      </c>
      <c r="DX16" s="163">
        <v>9917</v>
      </c>
      <c r="DY16" s="163">
        <f t="shared" si="75"/>
        <v>0</v>
      </c>
      <c r="DZ16" s="163">
        <f t="shared" si="76"/>
        <v>0</v>
      </c>
      <c r="EA16" s="233"/>
      <c r="EB16" s="241">
        <f t="shared" si="77"/>
        <v>998</v>
      </c>
      <c r="EC16" s="163">
        <v>1012</v>
      </c>
      <c r="ED16" s="233">
        <f t="shared" si="27"/>
        <v>14</v>
      </c>
      <c r="EE16" s="241">
        <f t="shared" si="84"/>
        <v>651</v>
      </c>
      <c r="EF16" s="163">
        <v>660</v>
      </c>
      <c r="EG16" s="233">
        <f t="shared" si="28"/>
        <v>9</v>
      </c>
      <c r="EH16" s="241">
        <f t="shared" si="85"/>
        <v>444</v>
      </c>
      <c r="EI16" s="163">
        <v>451</v>
      </c>
      <c r="EJ16" s="233">
        <f t="shared" si="29"/>
        <v>7</v>
      </c>
      <c r="EK16" s="241">
        <f t="shared" si="80"/>
        <v>457</v>
      </c>
      <c r="EL16" s="163">
        <v>464</v>
      </c>
      <c r="EM16" s="233">
        <f t="shared" si="30"/>
        <v>7</v>
      </c>
      <c r="EN16" s="241">
        <f t="shared" si="81"/>
        <v>182</v>
      </c>
      <c r="EO16" s="163">
        <v>186</v>
      </c>
      <c r="EP16" s="233">
        <f t="shared" si="31"/>
        <v>4</v>
      </c>
      <c r="EQ16" s="241">
        <f t="shared" si="16"/>
        <v>70</v>
      </c>
      <c r="ER16" s="163">
        <f t="shared" si="17"/>
        <v>16.706443914081145</v>
      </c>
      <c r="ES16" s="233"/>
    </row>
    <row r="17" spans="1:149" ht="15" customHeight="1" x14ac:dyDescent="0.2">
      <c r="A17" s="164">
        <v>12</v>
      </c>
      <c r="B17" s="161">
        <f t="shared" si="32"/>
        <v>18217</v>
      </c>
      <c r="C17" s="162">
        <v>18281</v>
      </c>
      <c r="D17" s="155">
        <f t="shared" si="18"/>
        <v>64</v>
      </c>
      <c r="E17" s="220"/>
      <c r="F17" s="164">
        <v>12</v>
      </c>
      <c r="G17" s="161">
        <f t="shared" si="33"/>
        <v>17766</v>
      </c>
      <c r="H17" s="162">
        <v>17826</v>
      </c>
      <c r="I17" s="155">
        <f t="shared" si="19"/>
        <v>60</v>
      </c>
      <c r="J17" s="220"/>
      <c r="K17" s="164">
        <v>12</v>
      </c>
      <c r="L17" s="161">
        <f t="shared" si="34"/>
        <v>782760</v>
      </c>
      <c r="M17" s="162">
        <v>783051</v>
      </c>
      <c r="N17" s="155">
        <f t="shared" si="20"/>
        <v>291</v>
      </c>
      <c r="O17" s="157"/>
      <c r="P17" s="164">
        <v>12</v>
      </c>
      <c r="Q17" s="161">
        <f t="shared" si="35"/>
        <v>214098</v>
      </c>
      <c r="R17" s="162">
        <v>214098</v>
      </c>
      <c r="S17" s="155">
        <f t="shared" si="21"/>
        <v>0</v>
      </c>
      <c r="T17" s="156"/>
      <c r="U17" s="158">
        <v>12</v>
      </c>
      <c r="V17" s="243">
        <f t="shared" si="22"/>
        <v>415</v>
      </c>
      <c r="W17" s="159">
        <f>'Maldives at LG Daily'!I16</f>
        <v>29.1</v>
      </c>
      <c r="X17" s="165"/>
      <c r="Z17" s="235">
        <v>12</v>
      </c>
      <c r="AA17" s="163">
        <f t="shared" si="36"/>
        <v>40173</v>
      </c>
      <c r="AB17" s="163">
        <v>40194</v>
      </c>
      <c r="AC17" s="163">
        <f t="shared" si="23"/>
        <v>21</v>
      </c>
      <c r="AD17" s="163">
        <f t="shared" si="82"/>
        <v>1</v>
      </c>
      <c r="AE17" s="342"/>
      <c r="AF17" s="235">
        <f t="shared" si="37"/>
        <v>8787</v>
      </c>
      <c r="AG17" s="163">
        <v>8793</v>
      </c>
      <c r="AH17" s="163">
        <f t="shared" si="24"/>
        <v>6</v>
      </c>
      <c r="AI17" s="163">
        <f t="shared" si="83"/>
        <v>0</v>
      </c>
      <c r="AJ17" s="163"/>
      <c r="AK17" s="235">
        <f t="shared" si="38"/>
        <v>6930</v>
      </c>
      <c r="AL17" s="163">
        <v>6939</v>
      </c>
      <c r="AM17" s="163">
        <f t="shared" si="25"/>
        <v>9</v>
      </c>
      <c r="AN17" s="163">
        <f t="shared" si="39"/>
        <v>-2</v>
      </c>
      <c r="AO17" s="163"/>
      <c r="AP17" s="235">
        <f t="shared" si="40"/>
        <v>15648</v>
      </c>
      <c r="AQ17" s="163">
        <v>15660</v>
      </c>
      <c r="AR17" s="163">
        <f t="shared" si="26"/>
        <v>12</v>
      </c>
      <c r="AS17" s="163">
        <f t="shared" si="41"/>
        <v>-2</v>
      </c>
      <c r="AT17" s="163"/>
      <c r="AU17" s="235">
        <f t="shared" si="42"/>
        <v>33005</v>
      </c>
      <c r="AV17" s="163">
        <v>33015</v>
      </c>
      <c r="AW17" s="163">
        <f t="shared" si="0"/>
        <v>10</v>
      </c>
      <c r="AX17" s="163">
        <f t="shared" si="43"/>
        <v>0</v>
      </c>
      <c r="AY17" s="163"/>
      <c r="AZ17" s="235">
        <f t="shared" si="44"/>
        <v>7084</v>
      </c>
      <c r="BA17" s="163">
        <v>7090</v>
      </c>
      <c r="BB17" s="163">
        <f t="shared" si="1"/>
        <v>6</v>
      </c>
      <c r="BC17" s="163">
        <f t="shared" si="45"/>
        <v>-2</v>
      </c>
      <c r="BD17" s="163"/>
      <c r="BE17" s="235">
        <f t="shared" si="46"/>
        <v>23424</v>
      </c>
      <c r="BF17" s="163">
        <v>23433</v>
      </c>
      <c r="BG17" s="163">
        <f t="shared" si="2"/>
        <v>9</v>
      </c>
      <c r="BH17" s="163">
        <f t="shared" si="47"/>
        <v>-2</v>
      </c>
      <c r="BI17" s="163"/>
      <c r="BJ17" s="235">
        <f t="shared" si="48"/>
        <v>7500</v>
      </c>
      <c r="BK17" s="163">
        <v>7508</v>
      </c>
      <c r="BL17" s="163">
        <f t="shared" si="3"/>
        <v>8</v>
      </c>
      <c r="BM17" s="163">
        <f t="shared" si="49"/>
        <v>-1</v>
      </c>
      <c r="BN17" s="163"/>
      <c r="BO17" s="235">
        <f t="shared" si="50"/>
        <v>3611</v>
      </c>
      <c r="BP17" s="163">
        <v>3613</v>
      </c>
      <c r="BQ17" s="163">
        <f t="shared" si="4"/>
        <v>2</v>
      </c>
      <c r="BR17" s="163">
        <f t="shared" si="51"/>
        <v>2</v>
      </c>
      <c r="BS17" s="163"/>
      <c r="BT17" s="235">
        <f t="shared" si="52"/>
        <v>1624</v>
      </c>
      <c r="BU17" s="163">
        <v>1624</v>
      </c>
      <c r="BV17" s="163">
        <f t="shared" si="5"/>
        <v>0</v>
      </c>
      <c r="BW17" s="163">
        <f t="shared" si="53"/>
        <v>-1</v>
      </c>
      <c r="BX17" s="163"/>
      <c r="BY17" s="241">
        <f t="shared" si="54"/>
        <v>27313</v>
      </c>
      <c r="BZ17" s="163">
        <v>27313</v>
      </c>
      <c r="CA17" s="163">
        <f t="shared" si="6"/>
        <v>0</v>
      </c>
      <c r="CB17" s="163">
        <f t="shared" si="55"/>
        <v>-19</v>
      </c>
      <c r="CC17" s="233"/>
      <c r="CD17" s="241">
        <f t="shared" si="56"/>
        <v>2780</v>
      </c>
      <c r="CE17" s="163">
        <v>2781</v>
      </c>
      <c r="CF17" s="163">
        <f t="shared" si="7"/>
        <v>1</v>
      </c>
      <c r="CG17" s="163">
        <f t="shared" si="57"/>
        <v>1</v>
      </c>
      <c r="CH17" s="233"/>
      <c r="CI17" s="241">
        <f t="shared" si="58"/>
        <v>75486</v>
      </c>
      <c r="CJ17" s="163">
        <v>75507</v>
      </c>
      <c r="CK17" s="163">
        <f t="shared" si="8"/>
        <v>21</v>
      </c>
      <c r="CL17" s="163">
        <f t="shared" si="59"/>
        <v>-4</v>
      </c>
      <c r="CM17" s="233"/>
      <c r="CN17" s="241">
        <f t="shared" si="60"/>
        <v>23875</v>
      </c>
      <c r="CO17" s="163">
        <v>23880</v>
      </c>
      <c r="CP17" s="163">
        <f t="shared" si="9"/>
        <v>5</v>
      </c>
      <c r="CQ17" s="163">
        <f t="shared" si="61"/>
        <v>-1</v>
      </c>
      <c r="CR17" s="233"/>
      <c r="CS17" s="241">
        <f t="shared" si="62"/>
        <v>12545</v>
      </c>
      <c r="CT17" s="163">
        <v>12546</v>
      </c>
      <c r="CU17" s="163">
        <f t="shared" si="10"/>
        <v>1</v>
      </c>
      <c r="CV17" s="163">
        <f t="shared" si="63"/>
        <v>0</v>
      </c>
      <c r="CW17" s="233"/>
      <c r="CX17" s="241">
        <f t="shared" si="64"/>
        <v>17986</v>
      </c>
      <c r="CY17" s="163">
        <v>17989</v>
      </c>
      <c r="CZ17" s="163">
        <f t="shared" si="11"/>
        <v>3</v>
      </c>
      <c r="DA17" s="163">
        <f t="shared" si="65"/>
        <v>3</v>
      </c>
      <c r="DB17" s="233"/>
      <c r="DC17" s="241">
        <f t="shared" si="66"/>
        <v>19906</v>
      </c>
      <c r="DD17" s="163">
        <v>19908</v>
      </c>
      <c r="DE17" s="163">
        <f t="shared" si="12"/>
        <v>2</v>
      </c>
      <c r="DF17" s="163">
        <f t="shared" si="67"/>
        <v>1</v>
      </c>
      <c r="DG17" s="233"/>
      <c r="DH17" s="241">
        <f t="shared" si="68"/>
        <v>8795</v>
      </c>
      <c r="DI17" s="163">
        <v>8798</v>
      </c>
      <c r="DJ17" s="163">
        <f t="shared" si="13"/>
        <v>3</v>
      </c>
      <c r="DK17" s="163">
        <f t="shared" si="69"/>
        <v>3</v>
      </c>
      <c r="DL17" s="233"/>
      <c r="DM17" s="241">
        <f t="shared" si="70"/>
        <v>20645</v>
      </c>
      <c r="DN17" s="163">
        <v>20666</v>
      </c>
      <c r="DO17" s="163">
        <f t="shared" si="14"/>
        <v>21</v>
      </c>
      <c r="DP17" s="163">
        <f t="shared" si="71"/>
        <v>6</v>
      </c>
      <c r="DQ17" s="233"/>
      <c r="DR17" s="241">
        <f t="shared" si="72"/>
        <v>2111</v>
      </c>
      <c r="DS17" s="163">
        <v>2113</v>
      </c>
      <c r="DT17" s="163">
        <f t="shared" si="15"/>
        <v>2</v>
      </c>
      <c r="DU17" s="163">
        <f t="shared" si="73"/>
        <v>0</v>
      </c>
      <c r="DV17" s="233"/>
      <c r="DW17" s="241">
        <f t="shared" si="74"/>
        <v>9917</v>
      </c>
      <c r="DX17" s="163">
        <v>9917</v>
      </c>
      <c r="DY17" s="163">
        <f t="shared" si="75"/>
        <v>0</v>
      </c>
      <c r="DZ17" s="163">
        <f t="shared" si="76"/>
        <v>0</v>
      </c>
      <c r="EA17" s="233"/>
      <c r="EB17" s="241">
        <f t="shared" si="77"/>
        <v>1012</v>
      </c>
      <c r="EC17" s="163">
        <v>1021</v>
      </c>
      <c r="ED17" s="233">
        <f t="shared" si="27"/>
        <v>9</v>
      </c>
      <c r="EE17" s="241">
        <f t="shared" si="84"/>
        <v>660</v>
      </c>
      <c r="EF17" s="163">
        <v>667</v>
      </c>
      <c r="EG17" s="233">
        <f t="shared" si="28"/>
        <v>7</v>
      </c>
      <c r="EH17" s="241">
        <f t="shared" si="85"/>
        <v>451</v>
      </c>
      <c r="EI17" s="163">
        <v>457</v>
      </c>
      <c r="EJ17" s="233">
        <f t="shared" si="29"/>
        <v>6</v>
      </c>
      <c r="EK17" s="241">
        <f t="shared" ref="EK17:EK36" si="86">EL16</f>
        <v>464</v>
      </c>
      <c r="EL17" s="163">
        <v>470</v>
      </c>
      <c r="EM17" s="233">
        <f t="shared" si="30"/>
        <v>6</v>
      </c>
      <c r="EN17" s="241">
        <f t="shared" si="81"/>
        <v>186</v>
      </c>
      <c r="EO17" s="163">
        <v>188</v>
      </c>
      <c r="EP17" s="233">
        <f t="shared" si="31"/>
        <v>2</v>
      </c>
      <c r="EQ17" s="241">
        <f t="shared" si="16"/>
        <v>62</v>
      </c>
      <c r="ER17" s="163">
        <f t="shared" si="17"/>
        <v>14.939759036144579</v>
      </c>
      <c r="ES17" s="233"/>
    </row>
    <row r="18" spans="1:149" ht="15" customHeight="1" x14ac:dyDescent="0.2">
      <c r="A18" s="164">
        <v>13</v>
      </c>
      <c r="B18" s="161">
        <f t="shared" si="32"/>
        <v>18281</v>
      </c>
      <c r="C18" s="162">
        <v>18345</v>
      </c>
      <c r="D18" s="155">
        <f t="shared" si="18"/>
        <v>64</v>
      </c>
      <c r="E18" s="220"/>
      <c r="F18" s="164">
        <v>13</v>
      </c>
      <c r="G18" s="161">
        <f t="shared" si="33"/>
        <v>17826</v>
      </c>
      <c r="H18" s="162">
        <v>17887</v>
      </c>
      <c r="I18" s="155">
        <f t="shared" si="19"/>
        <v>61</v>
      </c>
      <c r="J18" s="220"/>
      <c r="K18" s="164">
        <v>13</v>
      </c>
      <c r="L18" s="161">
        <f t="shared" si="34"/>
        <v>783051</v>
      </c>
      <c r="M18" s="162">
        <v>783339</v>
      </c>
      <c r="N18" s="155">
        <f t="shared" si="20"/>
        <v>288</v>
      </c>
      <c r="O18" s="157"/>
      <c r="P18" s="164">
        <v>13</v>
      </c>
      <c r="Q18" s="161">
        <f t="shared" si="35"/>
        <v>214098</v>
      </c>
      <c r="R18" s="162">
        <v>214098</v>
      </c>
      <c r="S18" s="155">
        <f t="shared" si="21"/>
        <v>0</v>
      </c>
      <c r="T18" s="156"/>
      <c r="U18" s="158">
        <v>13</v>
      </c>
      <c r="V18" s="243">
        <f t="shared" si="22"/>
        <v>413</v>
      </c>
      <c r="W18" s="159">
        <f>'Maldives at LG Daily'!I17</f>
        <v>35.9</v>
      </c>
      <c r="X18" s="165"/>
      <c r="Z18" s="235">
        <v>13</v>
      </c>
      <c r="AA18" s="163">
        <f t="shared" si="36"/>
        <v>40194</v>
      </c>
      <c r="AB18" s="163">
        <v>40219</v>
      </c>
      <c r="AC18" s="163">
        <f t="shared" si="23"/>
        <v>25</v>
      </c>
      <c r="AD18" s="163">
        <f t="shared" si="82"/>
        <v>4</v>
      </c>
      <c r="AE18" s="342"/>
      <c r="AF18" s="235">
        <f t="shared" si="37"/>
        <v>8793</v>
      </c>
      <c r="AG18" s="163">
        <v>8800</v>
      </c>
      <c r="AH18" s="163">
        <f t="shared" si="24"/>
        <v>7</v>
      </c>
      <c r="AI18" s="163">
        <f t="shared" si="83"/>
        <v>1</v>
      </c>
      <c r="AJ18" s="163"/>
      <c r="AK18" s="235">
        <f t="shared" si="38"/>
        <v>6939</v>
      </c>
      <c r="AL18" s="163">
        <v>6950</v>
      </c>
      <c r="AM18" s="163">
        <f t="shared" si="25"/>
        <v>11</v>
      </c>
      <c r="AN18" s="163">
        <f t="shared" si="39"/>
        <v>2</v>
      </c>
      <c r="AO18" s="163"/>
      <c r="AP18" s="235">
        <f t="shared" si="40"/>
        <v>15660</v>
      </c>
      <c r="AQ18" s="163">
        <v>15675</v>
      </c>
      <c r="AR18" s="163">
        <f t="shared" si="26"/>
        <v>15</v>
      </c>
      <c r="AS18" s="163">
        <f t="shared" si="41"/>
        <v>3</v>
      </c>
      <c r="AT18" s="163"/>
      <c r="AU18" s="235">
        <f t="shared" si="42"/>
        <v>33015</v>
      </c>
      <c r="AV18" s="163">
        <v>33024</v>
      </c>
      <c r="AW18" s="163">
        <f t="shared" si="0"/>
        <v>9</v>
      </c>
      <c r="AX18" s="163">
        <f t="shared" si="43"/>
        <v>-1</v>
      </c>
      <c r="AY18" s="163"/>
      <c r="AZ18" s="235">
        <f t="shared" si="44"/>
        <v>7090</v>
      </c>
      <c r="BA18" s="163">
        <v>7098</v>
      </c>
      <c r="BB18" s="163">
        <f t="shared" si="1"/>
        <v>8</v>
      </c>
      <c r="BC18" s="163">
        <f t="shared" si="45"/>
        <v>2</v>
      </c>
      <c r="BD18" s="163"/>
      <c r="BE18" s="235">
        <f t="shared" si="46"/>
        <v>23433</v>
      </c>
      <c r="BF18" s="163">
        <v>23442</v>
      </c>
      <c r="BG18" s="163">
        <f t="shared" si="2"/>
        <v>9</v>
      </c>
      <c r="BH18" s="163">
        <f t="shared" si="47"/>
        <v>0</v>
      </c>
      <c r="BI18" s="163"/>
      <c r="BJ18" s="235">
        <f t="shared" si="48"/>
        <v>7508</v>
      </c>
      <c r="BK18" s="163">
        <v>7517</v>
      </c>
      <c r="BL18" s="163">
        <f t="shared" si="3"/>
        <v>9</v>
      </c>
      <c r="BM18" s="163">
        <f t="shared" si="49"/>
        <v>1</v>
      </c>
      <c r="BN18" s="163"/>
      <c r="BO18" s="235">
        <f t="shared" si="50"/>
        <v>3613</v>
      </c>
      <c r="BP18" s="163">
        <v>3614</v>
      </c>
      <c r="BQ18" s="163">
        <f t="shared" si="4"/>
        <v>1</v>
      </c>
      <c r="BR18" s="163">
        <f t="shared" si="51"/>
        <v>-1</v>
      </c>
      <c r="BS18" s="163"/>
      <c r="BT18" s="235">
        <f t="shared" si="52"/>
        <v>1624</v>
      </c>
      <c r="BU18" s="163">
        <v>1624</v>
      </c>
      <c r="BV18" s="163">
        <f t="shared" si="5"/>
        <v>0</v>
      </c>
      <c r="BW18" s="163">
        <f t="shared" si="53"/>
        <v>0</v>
      </c>
      <c r="BX18" s="163"/>
      <c r="BY18" s="241">
        <f t="shared" si="54"/>
        <v>27313</v>
      </c>
      <c r="BZ18" s="163">
        <v>27313</v>
      </c>
      <c r="CA18" s="163">
        <f t="shared" si="6"/>
        <v>0</v>
      </c>
      <c r="CB18" s="163">
        <f t="shared" si="55"/>
        <v>0</v>
      </c>
      <c r="CC18" s="233"/>
      <c r="CD18" s="241">
        <f t="shared" si="56"/>
        <v>2781</v>
      </c>
      <c r="CE18" s="163">
        <v>2781</v>
      </c>
      <c r="CF18" s="163">
        <f t="shared" si="7"/>
        <v>0</v>
      </c>
      <c r="CG18" s="163">
        <f t="shared" si="57"/>
        <v>-1</v>
      </c>
      <c r="CH18" s="233"/>
      <c r="CI18" s="241">
        <f t="shared" si="58"/>
        <v>75507</v>
      </c>
      <c r="CJ18" s="163">
        <v>75534</v>
      </c>
      <c r="CK18" s="163">
        <f t="shared" si="8"/>
        <v>27</v>
      </c>
      <c r="CL18" s="163">
        <f t="shared" si="59"/>
        <v>6</v>
      </c>
      <c r="CM18" s="233"/>
      <c r="CN18" s="241">
        <f t="shared" si="60"/>
        <v>23880</v>
      </c>
      <c r="CO18" s="163">
        <v>23886</v>
      </c>
      <c r="CP18" s="163">
        <f t="shared" si="9"/>
        <v>6</v>
      </c>
      <c r="CQ18" s="163">
        <f t="shared" si="61"/>
        <v>1</v>
      </c>
      <c r="CR18" s="233"/>
      <c r="CS18" s="241">
        <f t="shared" si="62"/>
        <v>12546</v>
      </c>
      <c r="CT18" s="163">
        <v>12546</v>
      </c>
      <c r="CU18" s="163">
        <f t="shared" si="10"/>
        <v>0</v>
      </c>
      <c r="CV18" s="163">
        <f t="shared" si="63"/>
        <v>-1</v>
      </c>
      <c r="CW18" s="233"/>
      <c r="CX18" s="241">
        <f t="shared" si="64"/>
        <v>17989</v>
      </c>
      <c r="CY18" s="163">
        <v>17990</v>
      </c>
      <c r="CZ18" s="163">
        <f t="shared" si="11"/>
        <v>1</v>
      </c>
      <c r="DA18" s="163">
        <f t="shared" si="65"/>
        <v>-2</v>
      </c>
      <c r="DB18" s="233"/>
      <c r="DC18" s="241">
        <f t="shared" si="66"/>
        <v>19908</v>
      </c>
      <c r="DD18" s="163">
        <v>19911</v>
      </c>
      <c r="DE18" s="163">
        <f t="shared" si="12"/>
        <v>3</v>
      </c>
      <c r="DF18" s="163">
        <f t="shared" si="67"/>
        <v>1</v>
      </c>
      <c r="DG18" s="233"/>
      <c r="DH18" s="241">
        <f t="shared" si="68"/>
        <v>8798</v>
      </c>
      <c r="DI18" s="163">
        <v>8802</v>
      </c>
      <c r="DJ18" s="163">
        <f t="shared" si="13"/>
        <v>4</v>
      </c>
      <c r="DK18" s="163">
        <f t="shared" si="69"/>
        <v>1</v>
      </c>
      <c r="DL18" s="233"/>
      <c r="DM18" s="241">
        <f t="shared" si="70"/>
        <v>20666</v>
      </c>
      <c r="DN18" s="163">
        <v>20666</v>
      </c>
      <c r="DO18" s="163">
        <f t="shared" si="14"/>
        <v>0</v>
      </c>
      <c r="DP18" s="163">
        <f t="shared" si="71"/>
        <v>-21</v>
      </c>
      <c r="DQ18" s="233"/>
      <c r="DR18" s="241">
        <f t="shared" si="72"/>
        <v>2113</v>
      </c>
      <c r="DS18" s="163">
        <v>2114</v>
      </c>
      <c r="DT18" s="163">
        <f t="shared" si="15"/>
        <v>1</v>
      </c>
      <c r="DU18" s="163">
        <f t="shared" si="73"/>
        <v>-1</v>
      </c>
      <c r="DV18" s="233"/>
      <c r="DW18" s="241">
        <f t="shared" si="74"/>
        <v>9917</v>
      </c>
      <c r="DX18" s="163">
        <v>9917</v>
      </c>
      <c r="DY18" s="163">
        <f t="shared" si="75"/>
        <v>0</v>
      </c>
      <c r="DZ18" s="163">
        <f t="shared" si="76"/>
        <v>0</v>
      </c>
      <c r="EA18" s="233"/>
      <c r="EB18" s="241">
        <f t="shared" si="77"/>
        <v>1021</v>
      </c>
      <c r="EC18" s="163">
        <v>1030</v>
      </c>
      <c r="ED18" s="233">
        <f t="shared" si="27"/>
        <v>9</v>
      </c>
      <c r="EE18" s="241">
        <f t="shared" si="84"/>
        <v>667</v>
      </c>
      <c r="EF18" s="163">
        <v>675</v>
      </c>
      <c r="EG18" s="233">
        <f t="shared" si="28"/>
        <v>8</v>
      </c>
      <c r="EH18" s="241">
        <f t="shared" si="85"/>
        <v>457</v>
      </c>
      <c r="EI18" s="163">
        <v>463</v>
      </c>
      <c r="EJ18" s="233">
        <f t="shared" si="29"/>
        <v>6</v>
      </c>
      <c r="EK18" s="241">
        <f t="shared" si="86"/>
        <v>470</v>
      </c>
      <c r="EL18" s="163">
        <v>475</v>
      </c>
      <c r="EM18" s="233">
        <f t="shared" si="30"/>
        <v>5</v>
      </c>
      <c r="EN18" s="241">
        <f t="shared" si="81"/>
        <v>188</v>
      </c>
      <c r="EO18" s="163">
        <v>191</v>
      </c>
      <c r="EP18" s="233">
        <f t="shared" si="31"/>
        <v>3</v>
      </c>
      <c r="EQ18" s="241">
        <f t="shared" si="16"/>
        <v>69</v>
      </c>
      <c r="ER18" s="163">
        <f t="shared" si="17"/>
        <v>16.707021791767556</v>
      </c>
      <c r="ES18" s="233"/>
    </row>
    <row r="19" spans="1:149" ht="15" customHeight="1" x14ac:dyDescent="0.2">
      <c r="A19" s="164">
        <v>14</v>
      </c>
      <c r="B19" s="161">
        <f t="shared" si="32"/>
        <v>18345</v>
      </c>
      <c r="C19" s="162">
        <v>18409</v>
      </c>
      <c r="D19" s="155">
        <f t="shared" si="18"/>
        <v>64</v>
      </c>
      <c r="E19" s="220"/>
      <c r="F19" s="164">
        <v>14</v>
      </c>
      <c r="G19" s="161">
        <f t="shared" si="33"/>
        <v>17887</v>
      </c>
      <c r="H19" s="162">
        <v>17951</v>
      </c>
      <c r="I19" s="155">
        <f t="shared" si="19"/>
        <v>64</v>
      </c>
      <c r="J19" s="220"/>
      <c r="K19" s="164">
        <v>14</v>
      </c>
      <c r="L19" s="161">
        <f t="shared" si="34"/>
        <v>783339</v>
      </c>
      <c r="M19" s="162">
        <v>783618</v>
      </c>
      <c r="N19" s="155">
        <f t="shared" si="20"/>
        <v>279</v>
      </c>
      <c r="O19" s="157"/>
      <c r="P19" s="164">
        <v>14</v>
      </c>
      <c r="Q19" s="161">
        <f t="shared" si="35"/>
        <v>214098</v>
      </c>
      <c r="R19" s="162">
        <v>214098</v>
      </c>
      <c r="S19" s="155">
        <f t="shared" si="21"/>
        <v>0</v>
      </c>
      <c r="T19" s="156"/>
      <c r="U19" s="164">
        <v>14</v>
      </c>
      <c r="V19" s="243">
        <f t="shared" si="22"/>
        <v>407</v>
      </c>
      <c r="W19" s="159">
        <f>'Maldives at LG Daily'!I18</f>
        <v>35.9</v>
      </c>
      <c r="X19" s="165"/>
      <c r="Z19" s="235">
        <v>14</v>
      </c>
      <c r="AA19" s="163">
        <f t="shared" si="36"/>
        <v>40219</v>
      </c>
      <c r="AB19" s="163">
        <v>40240</v>
      </c>
      <c r="AC19" s="163">
        <f t="shared" si="23"/>
        <v>21</v>
      </c>
      <c r="AD19" s="163">
        <f t="shared" si="82"/>
        <v>-4</v>
      </c>
      <c r="AE19" s="342"/>
      <c r="AF19" s="235">
        <f t="shared" si="37"/>
        <v>8800</v>
      </c>
      <c r="AG19" s="163">
        <v>8806</v>
      </c>
      <c r="AH19" s="163">
        <f t="shared" si="24"/>
        <v>6</v>
      </c>
      <c r="AI19" s="163">
        <f t="shared" si="83"/>
        <v>-1</v>
      </c>
      <c r="AJ19" s="163"/>
      <c r="AK19" s="235">
        <f t="shared" si="38"/>
        <v>6950</v>
      </c>
      <c r="AL19" s="163">
        <v>6958</v>
      </c>
      <c r="AM19" s="163">
        <f t="shared" si="25"/>
        <v>8</v>
      </c>
      <c r="AN19" s="163">
        <f t="shared" si="39"/>
        <v>-3</v>
      </c>
      <c r="AO19" s="163"/>
      <c r="AP19" s="235">
        <f t="shared" si="40"/>
        <v>15675</v>
      </c>
      <c r="AQ19" s="163">
        <v>15687</v>
      </c>
      <c r="AR19" s="163">
        <f t="shared" si="26"/>
        <v>12</v>
      </c>
      <c r="AS19" s="163">
        <f t="shared" si="41"/>
        <v>-3</v>
      </c>
      <c r="AT19" s="163"/>
      <c r="AU19" s="235">
        <f t="shared" si="42"/>
        <v>33024</v>
      </c>
      <c r="AV19" s="163">
        <v>33034</v>
      </c>
      <c r="AW19" s="163">
        <f t="shared" si="0"/>
        <v>10</v>
      </c>
      <c r="AX19" s="163">
        <f t="shared" si="43"/>
        <v>1</v>
      </c>
      <c r="AY19" s="163"/>
      <c r="AZ19" s="235">
        <f t="shared" si="44"/>
        <v>7098</v>
      </c>
      <c r="BA19" s="163">
        <v>7106</v>
      </c>
      <c r="BB19" s="163">
        <f t="shared" si="1"/>
        <v>8</v>
      </c>
      <c r="BC19" s="163">
        <f t="shared" si="45"/>
        <v>0</v>
      </c>
      <c r="BD19" s="163"/>
      <c r="BE19" s="235">
        <f t="shared" si="46"/>
        <v>23442</v>
      </c>
      <c r="BF19" s="163">
        <v>23461</v>
      </c>
      <c r="BG19" s="163">
        <f t="shared" si="2"/>
        <v>19</v>
      </c>
      <c r="BH19" s="163">
        <f t="shared" si="47"/>
        <v>10</v>
      </c>
      <c r="BI19" s="163"/>
      <c r="BJ19" s="235">
        <f t="shared" si="48"/>
        <v>7517</v>
      </c>
      <c r="BK19" s="163">
        <v>7526</v>
      </c>
      <c r="BL19" s="163">
        <f t="shared" si="3"/>
        <v>9</v>
      </c>
      <c r="BM19" s="163">
        <f t="shared" si="49"/>
        <v>0</v>
      </c>
      <c r="BN19" s="163"/>
      <c r="BO19" s="235">
        <f t="shared" si="50"/>
        <v>3614</v>
      </c>
      <c r="BP19" s="163">
        <v>3615</v>
      </c>
      <c r="BQ19" s="163">
        <f t="shared" si="4"/>
        <v>1</v>
      </c>
      <c r="BR19" s="163">
        <f t="shared" si="51"/>
        <v>0</v>
      </c>
      <c r="BS19" s="163"/>
      <c r="BT19" s="235">
        <f t="shared" si="52"/>
        <v>1624</v>
      </c>
      <c r="BU19" s="163">
        <v>1624</v>
      </c>
      <c r="BV19" s="163">
        <f t="shared" si="5"/>
        <v>0</v>
      </c>
      <c r="BW19" s="163">
        <f t="shared" si="53"/>
        <v>0</v>
      </c>
      <c r="BX19" s="163"/>
      <c r="BY19" s="241">
        <f t="shared" si="54"/>
        <v>27313</v>
      </c>
      <c r="BZ19" s="163">
        <v>27328</v>
      </c>
      <c r="CA19" s="163">
        <f t="shared" si="6"/>
        <v>15</v>
      </c>
      <c r="CB19" s="163">
        <f t="shared" si="55"/>
        <v>15</v>
      </c>
      <c r="CC19" s="233"/>
      <c r="CD19" s="241">
        <f t="shared" si="56"/>
        <v>2781</v>
      </c>
      <c r="CE19" s="163">
        <v>2783</v>
      </c>
      <c r="CF19" s="163">
        <f t="shared" si="7"/>
        <v>2</v>
      </c>
      <c r="CG19" s="163">
        <f t="shared" si="57"/>
        <v>2</v>
      </c>
      <c r="CH19" s="233"/>
      <c r="CI19" s="241">
        <f t="shared" si="58"/>
        <v>75534</v>
      </c>
      <c r="CJ19" s="163">
        <v>75564</v>
      </c>
      <c r="CK19" s="163">
        <f t="shared" si="8"/>
        <v>30</v>
      </c>
      <c r="CL19" s="163">
        <f t="shared" si="59"/>
        <v>3</v>
      </c>
      <c r="CM19" s="233"/>
      <c r="CN19" s="241">
        <f t="shared" si="60"/>
        <v>23886</v>
      </c>
      <c r="CO19" s="163">
        <v>23898</v>
      </c>
      <c r="CP19" s="163">
        <f t="shared" si="9"/>
        <v>12</v>
      </c>
      <c r="CQ19" s="163">
        <f t="shared" si="61"/>
        <v>6</v>
      </c>
      <c r="CR19" s="233"/>
      <c r="CS19" s="241">
        <f t="shared" si="62"/>
        <v>12546</v>
      </c>
      <c r="CT19" s="163">
        <v>12547</v>
      </c>
      <c r="CU19" s="163">
        <f t="shared" si="10"/>
        <v>1</v>
      </c>
      <c r="CV19" s="163">
        <f t="shared" si="63"/>
        <v>1</v>
      </c>
      <c r="CW19" s="233"/>
      <c r="CX19" s="241">
        <f t="shared" si="64"/>
        <v>17990</v>
      </c>
      <c r="CY19" s="163">
        <v>17991</v>
      </c>
      <c r="CZ19" s="163">
        <f t="shared" si="11"/>
        <v>1</v>
      </c>
      <c r="DA19" s="163">
        <f t="shared" si="65"/>
        <v>0</v>
      </c>
      <c r="DB19" s="233"/>
      <c r="DC19" s="241">
        <f t="shared" si="66"/>
        <v>19911</v>
      </c>
      <c r="DD19" s="163">
        <v>19913</v>
      </c>
      <c r="DE19" s="163">
        <f t="shared" si="12"/>
        <v>2</v>
      </c>
      <c r="DF19" s="163">
        <f t="shared" si="67"/>
        <v>-1</v>
      </c>
      <c r="DG19" s="233"/>
      <c r="DH19" s="241">
        <f t="shared" si="68"/>
        <v>8802</v>
      </c>
      <c r="DI19" s="163">
        <v>8804</v>
      </c>
      <c r="DJ19" s="163">
        <f t="shared" si="13"/>
        <v>2</v>
      </c>
      <c r="DK19" s="163">
        <f t="shared" si="69"/>
        <v>-2</v>
      </c>
      <c r="DL19" s="233"/>
      <c r="DM19" s="241">
        <f t="shared" si="70"/>
        <v>20666</v>
      </c>
      <c r="DN19" s="163">
        <v>20666</v>
      </c>
      <c r="DO19" s="163">
        <f t="shared" si="14"/>
        <v>0</v>
      </c>
      <c r="DP19" s="163">
        <f t="shared" si="71"/>
        <v>0</v>
      </c>
      <c r="DQ19" s="233"/>
      <c r="DR19" s="241">
        <f t="shared" si="72"/>
        <v>2114</v>
      </c>
      <c r="DS19" s="163">
        <v>2119</v>
      </c>
      <c r="DT19" s="163">
        <f t="shared" si="15"/>
        <v>5</v>
      </c>
      <c r="DU19" s="163">
        <f t="shared" si="73"/>
        <v>4</v>
      </c>
      <c r="DV19" s="233"/>
      <c r="DW19" s="241">
        <f t="shared" si="74"/>
        <v>9917</v>
      </c>
      <c r="DX19" s="163">
        <v>9917</v>
      </c>
      <c r="DY19" s="163">
        <f t="shared" si="75"/>
        <v>0</v>
      </c>
      <c r="DZ19" s="163">
        <f t="shared" si="76"/>
        <v>0</v>
      </c>
      <c r="EA19" s="233"/>
      <c r="EB19" s="241">
        <f t="shared" ref="EB19:EB36" si="87">EC18</f>
        <v>1030</v>
      </c>
      <c r="EC19" s="163">
        <v>1039</v>
      </c>
      <c r="ED19" s="233">
        <f t="shared" si="27"/>
        <v>9</v>
      </c>
      <c r="EE19" s="241">
        <f t="shared" si="84"/>
        <v>675</v>
      </c>
      <c r="EF19" s="163">
        <v>685</v>
      </c>
      <c r="EG19" s="233">
        <f t="shared" si="28"/>
        <v>10</v>
      </c>
      <c r="EH19" s="241">
        <f t="shared" si="85"/>
        <v>463</v>
      </c>
      <c r="EI19" s="163">
        <v>469</v>
      </c>
      <c r="EJ19" s="233">
        <f t="shared" si="29"/>
        <v>6</v>
      </c>
      <c r="EK19" s="241">
        <f t="shared" si="86"/>
        <v>475</v>
      </c>
      <c r="EL19" s="163">
        <v>481</v>
      </c>
      <c r="EM19" s="233">
        <f t="shared" si="30"/>
        <v>6</v>
      </c>
      <c r="EN19" s="241">
        <f t="shared" si="81"/>
        <v>191</v>
      </c>
      <c r="EO19" s="163">
        <v>195</v>
      </c>
      <c r="EP19" s="233">
        <f t="shared" si="31"/>
        <v>4</v>
      </c>
      <c r="EQ19" s="241">
        <f t="shared" si="16"/>
        <v>73</v>
      </c>
      <c r="ER19" s="163">
        <f t="shared" si="17"/>
        <v>17.936117936117938</v>
      </c>
      <c r="ES19" s="233"/>
    </row>
    <row r="20" spans="1:149" ht="15" customHeight="1" x14ac:dyDescent="0.2">
      <c r="A20" s="164">
        <v>15</v>
      </c>
      <c r="B20" s="161">
        <f t="shared" si="32"/>
        <v>18409</v>
      </c>
      <c r="C20" s="162">
        <v>18443</v>
      </c>
      <c r="D20" s="155">
        <f t="shared" si="18"/>
        <v>34</v>
      </c>
      <c r="E20" s="220"/>
      <c r="F20" s="164">
        <v>15</v>
      </c>
      <c r="G20" s="161">
        <f t="shared" si="33"/>
        <v>17951</v>
      </c>
      <c r="H20" s="162">
        <v>18011</v>
      </c>
      <c r="I20" s="155">
        <f t="shared" si="19"/>
        <v>60</v>
      </c>
      <c r="J20" s="220"/>
      <c r="K20" s="164">
        <v>15</v>
      </c>
      <c r="L20" s="161">
        <f t="shared" si="34"/>
        <v>783618</v>
      </c>
      <c r="M20" s="162">
        <v>783906</v>
      </c>
      <c r="N20" s="155">
        <f t="shared" si="20"/>
        <v>288</v>
      </c>
      <c r="O20" s="157"/>
      <c r="P20" s="164">
        <v>15</v>
      </c>
      <c r="Q20" s="161">
        <f t="shared" si="35"/>
        <v>214098</v>
      </c>
      <c r="R20" s="162">
        <v>214127</v>
      </c>
      <c r="S20" s="155">
        <f t="shared" si="21"/>
        <v>29</v>
      </c>
      <c r="T20" s="156"/>
      <c r="U20" s="158">
        <v>15</v>
      </c>
      <c r="V20" s="243">
        <f t="shared" si="22"/>
        <v>411</v>
      </c>
      <c r="W20" s="159">
        <f>'Maldives at LG Daily'!I19</f>
        <v>43.7</v>
      </c>
      <c r="X20" s="165"/>
      <c r="Z20" s="235">
        <v>15</v>
      </c>
      <c r="AA20" s="163">
        <f t="shared" si="36"/>
        <v>40240</v>
      </c>
      <c r="AB20" s="163">
        <v>40262</v>
      </c>
      <c r="AC20" s="163">
        <f t="shared" si="23"/>
        <v>22</v>
      </c>
      <c r="AD20" s="163">
        <f t="shared" si="82"/>
        <v>1</v>
      </c>
      <c r="AE20" s="342"/>
      <c r="AF20" s="235">
        <f t="shared" si="37"/>
        <v>8806</v>
      </c>
      <c r="AG20" s="163">
        <v>8813</v>
      </c>
      <c r="AH20" s="163">
        <f t="shared" si="24"/>
        <v>7</v>
      </c>
      <c r="AI20" s="163">
        <f t="shared" si="83"/>
        <v>1</v>
      </c>
      <c r="AJ20" s="163"/>
      <c r="AK20" s="235">
        <f t="shared" si="38"/>
        <v>6958</v>
      </c>
      <c r="AL20" s="163">
        <v>6969</v>
      </c>
      <c r="AM20" s="163">
        <f t="shared" si="25"/>
        <v>11</v>
      </c>
      <c r="AN20" s="163">
        <f t="shared" si="39"/>
        <v>3</v>
      </c>
      <c r="AO20" s="163"/>
      <c r="AP20" s="235">
        <f t="shared" si="40"/>
        <v>15687</v>
      </c>
      <c r="AQ20" s="163">
        <v>15698</v>
      </c>
      <c r="AR20" s="163">
        <f t="shared" si="26"/>
        <v>11</v>
      </c>
      <c r="AS20" s="163">
        <f t="shared" si="41"/>
        <v>-1</v>
      </c>
      <c r="AT20" s="163"/>
      <c r="AU20" s="235">
        <f t="shared" si="42"/>
        <v>33034</v>
      </c>
      <c r="AV20" s="163">
        <v>33044</v>
      </c>
      <c r="AW20" s="163">
        <f t="shared" si="0"/>
        <v>10</v>
      </c>
      <c r="AX20" s="163">
        <f t="shared" si="43"/>
        <v>0</v>
      </c>
      <c r="AY20" s="163"/>
      <c r="AZ20" s="235">
        <f t="shared" si="44"/>
        <v>7106</v>
      </c>
      <c r="BA20" s="163">
        <v>7113</v>
      </c>
      <c r="BB20" s="163">
        <f t="shared" si="1"/>
        <v>7</v>
      </c>
      <c r="BC20" s="163">
        <f t="shared" si="45"/>
        <v>-1</v>
      </c>
      <c r="BD20" s="163"/>
      <c r="BE20" s="235">
        <f t="shared" si="46"/>
        <v>23461</v>
      </c>
      <c r="BF20" s="163">
        <v>23461</v>
      </c>
      <c r="BG20" s="163">
        <f t="shared" si="2"/>
        <v>0</v>
      </c>
      <c r="BH20" s="163">
        <f t="shared" si="47"/>
        <v>-19</v>
      </c>
      <c r="BI20" s="163"/>
      <c r="BJ20" s="235">
        <f t="shared" si="48"/>
        <v>7526</v>
      </c>
      <c r="BK20" s="163">
        <v>7533</v>
      </c>
      <c r="BL20" s="163">
        <f t="shared" si="3"/>
        <v>7</v>
      </c>
      <c r="BM20" s="163">
        <f t="shared" si="49"/>
        <v>-2</v>
      </c>
      <c r="BN20" s="163"/>
      <c r="BO20" s="235">
        <f t="shared" si="50"/>
        <v>3615</v>
      </c>
      <c r="BP20" s="163">
        <v>3615</v>
      </c>
      <c r="BQ20" s="163">
        <f t="shared" si="4"/>
        <v>0</v>
      </c>
      <c r="BR20" s="163">
        <f t="shared" si="51"/>
        <v>-1</v>
      </c>
      <c r="BS20" s="163"/>
      <c r="BT20" s="235">
        <f t="shared" si="52"/>
        <v>1624</v>
      </c>
      <c r="BU20" s="163">
        <v>1625</v>
      </c>
      <c r="BV20" s="163">
        <f t="shared" si="5"/>
        <v>1</v>
      </c>
      <c r="BW20" s="163">
        <f t="shared" si="53"/>
        <v>1</v>
      </c>
      <c r="BX20" s="163"/>
      <c r="BY20" s="241">
        <f t="shared" si="54"/>
        <v>27328</v>
      </c>
      <c r="BZ20" s="163">
        <v>27334</v>
      </c>
      <c r="CA20" s="163">
        <f t="shared" si="6"/>
        <v>6</v>
      </c>
      <c r="CB20" s="163">
        <f t="shared" si="55"/>
        <v>-9</v>
      </c>
      <c r="CC20" s="233"/>
      <c r="CD20" s="241">
        <f t="shared" si="56"/>
        <v>2783</v>
      </c>
      <c r="CE20" s="163">
        <v>2783</v>
      </c>
      <c r="CF20" s="163">
        <f t="shared" si="7"/>
        <v>0</v>
      </c>
      <c r="CG20" s="163">
        <f t="shared" si="57"/>
        <v>-2</v>
      </c>
      <c r="CH20" s="233"/>
      <c r="CI20" s="241">
        <f t="shared" si="58"/>
        <v>75564</v>
      </c>
      <c r="CJ20" s="163">
        <v>75589</v>
      </c>
      <c r="CK20" s="163">
        <f t="shared" si="8"/>
        <v>25</v>
      </c>
      <c r="CL20" s="163">
        <f t="shared" si="59"/>
        <v>-5</v>
      </c>
      <c r="CM20" s="233"/>
      <c r="CN20" s="241">
        <f t="shared" si="60"/>
        <v>23898</v>
      </c>
      <c r="CO20" s="163">
        <v>23909</v>
      </c>
      <c r="CP20" s="163">
        <f t="shared" si="9"/>
        <v>11</v>
      </c>
      <c r="CQ20" s="163">
        <f t="shared" si="61"/>
        <v>-1</v>
      </c>
      <c r="CR20" s="233"/>
      <c r="CS20" s="241">
        <f t="shared" si="62"/>
        <v>12547</v>
      </c>
      <c r="CT20" s="163">
        <v>12548</v>
      </c>
      <c r="CU20" s="163">
        <f t="shared" si="10"/>
        <v>1</v>
      </c>
      <c r="CV20" s="163">
        <f t="shared" si="63"/>
        <v>0</v>
      </c>
      <c r="CW20" s="233"/>
      <c r="CX20" s="241">
        <f t="shared" si="64"/>
        <v>17991</v>
      </c>
      <c r="CY20" s="163">
        <v>17992</v>
      </c>
      <c r="CZ20" s="163">
        <f t="shared" si="11"/>
        <v>1</v>
      </c>
      <c r="DA20" s="163">
        <f t="shared" si="65"/>
        <v>0</v>
      </c>
      <c r="DB20" s="233"/>
      <c r="DC20" s="241">
        <f t="shared" si="66"/>
        <v>19913</v>
      </c>
      <c r="DD20" s="163">
        <v>19916</v>
      </c>
      <c r="DE20" s="163">
        <f t="shared" si="12"/>
        <v>3</v>
      </c>
      <c r="DF20" s="163">
        <f t="shared" si="67"/>
        <v>1</v>
      </c>
      <c r="DG20" s="233"/>
      <c r="DH20" s="241">
        <f t="shared" si="68"/>
        <v>8804</v>
      </c>
      <c r="DI20" s="163">
        <v>8808</v>
      </c>
      <c r="DJ20" s="163">
        <f t="shared" si="13"/>
        <v>4</v>
      </c>
      <c r="DK20" s="163">
        <f t="shared" si="69"/>
        <v>2</v>
      </c>
      <c r="DL20" s="233"/>
      <c r="DM20" s="241">
        <f t="shared" si="70"/>
        <v>20666</v>
      </c>
      <c r="DN20" s="163">
        <v>20733</v>
      </c>
      <c r="DO20" s="163">
        <f t="shared" si="14"/>
        <v>67</v>
      </c>
      <c r="DP20" s="163">
        <f t="shared" si="71"/>
        <v>67</v>
      </c>
      <c r="DQ20" s="233"/>
      <c r="DR20" s="241">
        <f t="shared" si="72"/>
        <v>2119</v>
      </c>
      <c r="DS20" s="163">
        <v>2120</v>
      </c>
      <c r="DT20" s="163">
        <f t="shared" si="15"/>
        <v>1</v>
      </c>
      <c r="DU20" s="163">
        <f t="shared" si="73"/>
        <v>-4</v>
      </c>
      <c r="DV20" s="233"/>
      <c r="DW20" s="241">
        <f t="shared" si="74"/>
        <v>9917</v>
      </c>
      <c r="DX20" s="163">
        <v>9917</v>
      </c>
      <c r="DY20" s="163">
        <f t="shared" si="75"/>
        <v>0</v>
      </c>
      <c r="DZ20" s="163">
        <f t="shared" si="76"/>
        <v>0</v>
      </c>
      <c r="EA20" s="233"/>
      <c r="EB20" s="241">
        <f t="shared" si="87"/>
        <v>1039</v>
      </c>
      <c r="EC20" s="163">
        <v>1048</v>
      </c>
      <c r="ED20" s="233">
        <f t="shared" si="27"/>
        <v>9</v>
      </c>
      <c r="EE20" s="241">
        <f t="shared" si="84"/>
        <v>685</v>
      </c>
      <c r="EF20" s="163">
        <v>692</v>
      </c>
      <c r="EG20" s="233">
        <f t="shared" si="28"/>
        <v>7</v>
      </c>
      <c r="EH20" s="241">
        <f t="shared" si="85"/>
        <v>469</v>
      </c>
      <c r="EI20" s="163">
        <v>475</v>
      </c>
      <c r="EJ20" s="233">
        <f t="shared" si="29"/>
        <v>6</v>
      </c>
      <c r="EK20" s="241">
        <f t="shared" si="86"/>
        <v>481</v>
      </c>
      <c r="EL20" s="163">
        <v>486</v>
      </c>
      <c r="EM20" s="233">
        <f t="shared" si="30"/>
        <v>5</v>
      </c>
      <c r="EN20" s="241">
        <f t="shared" si="81"/>
        <v>195</v>
      </c>
      <c r="EO20" s="163">
        <v>198</v>
      </c>
      <c r="EP20" s="233">
        <f t="shared" si="31"/>
        <v>3</v>
      </c>
      <c r="EQ20" s="241">
        <f t="shared" si="16"/>
        <v>54</v>
      </c>
      <c r="ER20" s="163">
        <f t="shared" si="17"/>
        <v>13.138686131386862</v>
      </c>
      <c r="ES20" s="233"/>
    </row>
    <row r="21" spans="1:149" ht="15" customHeight="1" x14ac:dyDescent="0.2">
      <c r="A21" s="164">
        <v>16</v>
      </c>
      <c r="B21" s="161">
        <f t="shared" si="32"/>
        <v>18443</v>
      </c>
      <c r="C21" s="162">
        <v>18501</v>
      </c>
      <c r="D21" s="155">
        <f t="shared" si="18"/>
        <v>58</v>
      </c>
      <c r="E21" s="220"/>
      <c r="F21" s="164">
        <v>16</v>
      </c>
      <c r="G21" s="161">
        <f t="shared" si="33"/>
        <v>18011</v>
      </c>
      <c r="H21" s="162">
        <v>18072</v>
      </c>
      <c r="I21" s="155">
        <f t="shared" si="19"/>
        <v>61</v>
      </c>
      <c r="J21" s="220"/>
      <c r="K21" s="164">
        <v>16</v>
      </c>
      <c r="L21" s="161">
        <f t="shared" si="34"/>
        <v>783906</v>
      </c>
      <c r="M21" s="162">
        <v>784196</v>
      </c>
      <c r="N21" s="155">
        <f t="shared" si="20"/>
        <v>290</v>
      </c>
      <c r="O21" s="157"/>
      <c r="P21" s="164">
        <v>16</v>
      </c>
      <c r="Q21" s="161">
        <f t="shared" si="35"/>
        <v>214127</v>
      </c>
      <c r="R21" s="162">
        <v>214127</v>
      </c>
      <c r="S21" s="155">
        <f t="shared" si="21"/>
        <v>0</v>
      </c>
      <c r="T21" s="156"/>
      <c r="U21" s="158">
        <v>16</v>
      </c>
      <c r="V21" s="243">
        <f t="shared" si="22"/>
        <v>409</v>
      </c>
      <c r="W21" s="159">
        <f>'Maldives at LG Daily'!I20</f>
        <v>48.5</v>
      </c>
      <c r="X21" s="166"/>
      <c r="Z21" s="235">
        <v>16</v>
      </c>
      <c r="AA21" s="163">
        <f t="shared" si="36"/>
        <v>40262</v>
      </c>
      <c r="AB21" s="163">
        <v>40285</v>
      </c>
      <c r="AC21" s="163">
        <f t="shared" si="23"/>
        <v>23</v>
      </c>
      <c r="AD21" s="163">
        <f t="shared" si="82"/>
        <v>1</v>
      </c>
      <c r="AE21" s="342"/>
      <c r="AF21" s="235">
        <f t="shared" si="37"/>
        <v>8813</v>
      </c>
      <c r="AG21" s="163">
        <v>8819</v>
      </c>
      <c r="AH21" s="163">
        <f t="shared" si="24"/>
        <v>6</v>
      </c>
      <c r="AI21" s="163">
        <f t="shared" si="83"/>
        <v>-1</v>
      </c>
      <c r="AJ21" s="163"/>
      <c r="AK21" s="235">
        <f t="shared" si="38"/>
        <v>6969</v>
      </c>
      <c r="AL21" s="163">
        <v>6980</v>
      </c>
      <c r="AM21" s="163">
        <f t="shared" si="25"/>
        <v>11</v>
      </c>
      <c r="AN21" s="163">
        <f t="shared" si="39"/>
        <v>0</v>
      </c>
      <c r="AO21" s="163"/>
      <c r="AP21" s="235">
        <f t="shared" si="40"/>
        <v>15698</v>
      </c>
      <c r="AQ21" s="163">
        <v>15709</v>
      </c>
      <c r="AR21" s="163">
        <f t="shared" si="26"/>
        <v>11</v>
      </c>
      <c r="AS21" s="163">
        <f t="shared" si="41"/>
        <v>0</v>
      </c>
      <c r="AT21" s="163"/>
      <c r="AU21" s="235">
        <f t="shared" si="42"/>
        <v>33044</v>
      </c>
      <c r="AV21" s="163">
        <v>33054</v>
      </c>
      <c r="AW21" s="163">
        <f t="shared" si="0"/>
        <v>10</v>
      </c>
      <c r="AX21" s="163">
        <f t="shared" si="43"/>
        <v>0</v>
      </c>
      <c r="AY21" s="163"/>
      <c r="AZ21" s="235">
        <f t="shared" si="44"/>
        <v>7113</v>
      </c>
      <c r="BA21" s="163">
        <v>7120</v>
      </c>
      <c r="BB21" s="163">
        <f t="shared" si="1"/>
        <v>7</v>
      </c>
      <c r="BC21" s="163">
        <f t="shared" si="45"/>
        <v>0</v>
      </c>
      <c r="BD21" s="163"/>
      <c r="BE21" s="235">
        <f t="shared" si="46"/>
        <v>23461</v>
      </c>
      <c r="BF21" s="163">
        <v>23469</v>
      </c>
      <c r="BG21" s="163">
        <f t="shared" si="2"/>
        <v>8</v>
      </c>
      <c r="BH21" s="163">
        <f t="shared" si="47"/>
        <v>8</v>
      </c>
      <c r="BI21" s="163"/>
      <c r="BJ21" s="235">
        <f t="shared" si="48"/>
        <v>7533</v>
      </c>
      <c r="BK21" s="163">
        <v>7542</v>
      </c>
      <c r="BL21" s="163">
        <f t="shared" si="3"/>
        <v>9</v>
      </c>
      <c r="BM21" s="163">
        <f t="shared" si="49"/>
        <v>2</v>
      </c>
      <c r="BN21" s="163"/>
      <c r="BO21" s="235">
        <f t="shared" si="50"/>
        <v>3615</v>
      </c>
      <c r="BP21" s="163">
        <v>3619</v>
      </c>
      <c r="BQ21" s="163">
        <f t="shared" si="4"/>
        <v>4</v>
      </c>
      <c r="BR21" s="163">
        <f t="shared" si="51"/>
        <v>4</v>
      </c>
      <c r="BS21" s="163"/>
      <c r="BT21" s="235">
        <f t="shared" si="52"/>
        <v>1625</v>
      </c>
      <c r="BU21" s="163">
        <v>1625</v>
      </c>
      <c r="BV21" s="163">
        <f t="shared" si="5"/>
        <v>0</v>
      </c>
      <c r="BW21" s="163">
        <f t="shared" si="53"/>
        <v>-1</v>
      </c>
      <c r="BX21" s="163"/>
      <c r="BY21" s="241">
        <f t="shared" si="54"/>
        <v>27334</v>
      </c>
      <c r="BZ21" s="163">
        <v>27340</v>
      </c>
      <c r="CA21" s="163">
        <f t="shared" si="6"/>
        <v>6</v>
      </c>
      <c r="CB21" s="163">
        <f t="shared" si="55"/>
        <v>0</v>
      </c>
      <c r="CC21" s="233"/>
      <c r="CD21" s="241">
        <f t="shared" si="56"/>
        <v>2783</v>
      </c>
      <c r="CE21" s="163">
        <v>2783</v>
      </c>
      <c r="CF21" s="163">
        <f t="shared" si="7"/>
        <v>0</v>
      </c>
      <c r="CG21" s="163">
        <f t="shared" si="57"/>
        <v>0</v>
      </c>
      <c r="CH21" s="233"/>
      <c r="CI21" s="241">
        <f t="shared" si="58"/>
        <v>75589</v>
      </c>
      <c r="CJ21" s="163">
        <v>75619</v>
      </c>
      <c r="CK21" s="163">
        <f t="shared" si="8"/>
        <v>30</v>
      </c>
      <c r="CL21" s="163">
        <f t="shared" si="59"/>
        <v>5</v>
      </c>
      <c r="CM21" s="233"/>
      <c r="CN21" s="241">
        <f t="shared" si="60"/>
        <v>23909</v>
      </c>
      <c r="CO21" s="163">
        <v>23909</v>
      </c>
      <c r="CP21" s="163">
        <f t="shared" si="9"/>
        <v>0</v>
      </c>
      <c r="CQ21" s="163">
        <f t="shared" si="61"/>
        <v>-11</v>
      </c>
      <c r="CR21" s="233"/>
      <c r="CS21" s="241">
        <f t="shared" si="62"/>
        <v>12548</v>
      </c>
      <c r="CT21" s="163">
        <v>12549</v>
      </c>
      <c r="CU21" s="163">
        <f t="shared" si="10"/>
        <v>1</v>
      </c>
      <c r="CV21" s="163">
        <f t="shared" si="63"/>
        <v>0</v>
      </c>
      <c r="CW21" s="233"/>
      <c r="CX21" s="241">
        <f t="shared" si="64"/>
        <v>17992</v>
      </c>
      <c r="CY21" s="163">
        <v>17993</v>
      </c>
      <c r="CZ21" s="163">
        <f t="shared" si="11"/>
        <v>1</v>
      </c>
      <c r="DA21" s="163">
        <f t="shared" si="65"/>
        <v>0</v>
      </c>
      <c r="DB21" s="233"/>
      <c r="DC21" s="241">
        <f t="shared" si="66"/>
        <v>19916</v>
      </c>
      <c r="DD21" s="163">
        <v>19919</v>
      </c>
      <c r="DE21" s="163">
        <f t="shared" si="12"/>
        <v>3</v>
      </c>
      <c r="DF21" s="163">
        <f t="shared" si="67"/>
        <v>0</v>
      </c>
      <c r="DG21" s="233"/>
      <c r="DH21" s="241">
        <f t="shared" si="68"/>
        <v>8808</v>
      </c>
      <c r="DI21" s="163">
        <v>8811</v>
      </c>
      <c r="DJ21" s="163">
        <f t="shared" si="13"/>
        <v>3</v>
      </c>
      <c r="DK21" s="163">
        <f t="shared" si="69"/>
        <v>-1</v>
      </c>
      <c r="DL21" s="233"/>
      <c r="DM21" s="241">
        <f t="shared" si="70"/>
        <v>20733</v>
      </c>
      <c r="DN21" s="163">
        <v>20733</v>
      </c>
      <c r="DO21" s="163">
        <f t="shared" si="14"/>
        <v>0</v>
      </c>
      <c r="DP21" s="163">
        <f t="shared" si="71"/>
        <v>-67</v>
      </c>
      <c r="DQ21" s="233"/>
      <c r="DR21" s="241">
        <f t="shared" si="72"/>
        <v>2120</v>
      </c>
      <c r="DS21" s="163">
        <v>2124</v>
      </c>
      <c r="DT21" s="163">
        <f t="shared" si="15"/>
        <v>4</v>
      </c>
      <c r="DU21" s="163">
        <f t="shared" si="73"/>
        <v>3</v>
      </c>
      <c r="DV21" s="233"/>
      <c r="DW21" s="241">
        <f t="shared" si="74"/>
        <v>9917</v>
      </c>
      <c r="DX21" s="163">
        <v>9917</v>
      </c>
      <c r="DY21" s="163">
        <f t="shared" si="75"/>
        <v>0</v>
      </c>
      <c r="DZ21" s="163">
        <f t="shared" si="76"/>
        <v>0</v>
      </c>
      <c r="EA21" s="233"/>
      <c r="EB21" s="241">
        <f t="shared" si="87"/>
        <v>1048</v>
      </c>
      <c r="EC21" s="163">
        <v>1058</v>
      </c>
      <c r="ED21" s="233">
        <f t="shared" si="27"/>
        <v>10</v>
      </c>
      <c r="EE21" s="241">
        <f t="shared" si="84"/>
        <v>692</v>
      </c>
      <c r="EF21" s="163">
        <v>700</v>
      </c>
      <c r="EG21" s="233">
        <f t="shared" si="28"/>
        <v>8</v>
      </c>
      <c r="EH21" s="241">
        <f t="shared" si="85"/>
        <v>475</v>
      </c>
      <c r="EI21" s="163">
        <v>480</v>
      </c>
      <c r="EJ21" s="233">
        <f t="shared" si="29"/>
        <v>5</v>
      </c>
      <c r="EK21" s="241">
        <f t="shared" si="86"/>
        <v>486</v>
      </c>
      <c r="EL21" s="163">
        <v>490</v>
      </c>
      <c r="EM21" s="233">
        <f t="shared" si="30"/>
        <v>4</v>
      </c>
      <c r="EN21" s="241">
        <f t="shared" si="81"/>
        <v>198</v>
      </c>
      <c r="EO21" s="163">
        <v>201</v>
      </c>
      <c r="EP21" s="233">
        <f t="shared" si="31"/>
        <v>3</v>
      </c>
      <c r="EQ21" s="241">
        <f t="shared" si="16"/>
        <v>66</v>
      </c>
      <c r="ER21" s="163">
        <f t="shared" si="17"/>
        <v>16.136919315403421</v>
      </c>
      <c r="ES21" s="233"/>
    </row>
    <row r="22" spans="1:149" ht="15" customHeight="1" x14ac:dyDescent="0.2">
      <c r="A22" s="164">
        <v>17</v>
      </c>
      <c r="B22" s="161">
        <f t="shared" si="32"/>
        <v>18501</v>
      </c>
      <c r="C22" s="162">
        <v>18560</v>
      </c>
      <c r="D22" s="155">
        <f t="shared" si="18"/>
        <v>59</v>
      </c>
      <c r="E22" s="220"/>
      <c r="F22" s="164">
        <v>17</v>
      </c>
      <c r="G22" s="161">
        <f t="shared" si="33"/>
        <v>18072</v>
      </c>
      <c r="H22" s="162">
        <v>18133</v>
      </c>
      <c r="I22" s="155">
        <f t="shared" si="19"/>
        <v>61</v>
      </c>
      <c r="J22" s="220"/>
      <c r="K22" s="164">
        <v>17</v>
      </c>
      <c r="L22" s="161">
        <f t="shared" si="34"/>
        <v>784196</v>
      </c>
      <c r="M22" s="162">
        <v>784481</v>
      </c>
      <c r="N22" s="155">
        <f t="shared" si="20"/>
        <v>285</v>
      </c>
      <c r="O22" s="157"/>
      <c r="P22" s="164">
        <v>17</v>
      </c>
      <c r="Q22" s="161">
        <f t="shared" si="35"/>
        <v>214127</v>
      </c>
      <c r="R22" s="162">
        <v>214127</v>
      </c>
      <c r="S22" s="155">
        <f t="shared" si="21"/>
        <v>0</v>
      </c>
      <c r="T22" s="156"/>
      <c r="U22" s="164">
        <v>17</v>
      </c>
      <c r="V22" s="243">
        <f t="shared" si="22"/>
        <v>405</v>
      </c>
      <c r="W22" s="159">
        <f>'Maldives at LG Daily'!I21</f>
        <v>46.6</v>
      </c>
      <c r="X22" s="166"/>
      <c r="Z22" s="235">
        <v>17</v>
      </c>
      <c r="AA22" s="163">
        <f t="shared" si="36"/>
        <v>40285</v>
      </c>
      <c r="AB22" s="163">
        <v>40312</v>
      </c>
      <c r="AC22" s="163">
        <f t="shared" si="23"/>
        <v>27</v>
      </c>
      <c r="AD22" s="163">
        <f t="shared" si="82"/>
        <v>4</v>
      </c>
      <c r="AE22" s="342"/>
      <c r="AF22" s="235">
        <f t="shared" si="37"/>
        <v>8819</v>
      </c>
      <c r="AG22" s="163">
        <v>8826</v>
      </c>
      <c r="AH22" s="163">
        <f t="shared" si="24"/>
        <v>7</v>
      </c>
      <c r="AI22" s="163">
        <f t="shared" si="83"/>
        <v>1</v>
      </c>
      <c r="AJ22" s="163"/>
      <c r="AK22" s="235">
        <f t="shared" si="38"/>
        <v>6980</v>
      </c>
      <c r="AL22" s="163">
        <v>6990</v>
      </c>
      <c r="AM22" s="163">
        <f t="shared" si="25"/>
        <v>10</v>
      </c>
      <c r="AN22" s="163">
        <f t="shared" si="39"/>
        <v>-1</v>
      </c>
      <c r="AO22" s="163"/>
      <c r="AP22" s="235">
        <f t="shared" si="40"/>
        <v>15709</v>
      </c>
      <c r="AQ22" s="163">
        <v>15719</v>
      </c>
      <c r="AR22" s="163">
        <f t="shared" si="26"/>
        <v>10</v>
      </c>
      <c r="AS22" s="163">
        <f t="shared" si="41"/>
        <v>-1</v>
      </c>
      <c r="AT22" s="163"/>
      <c r="AU22" s="235">
        <f t="shared" si="42"/>
        <v>33054</v>
      </c>
      <c r="AV22" s="163">
        <v>33063</v>
      </c>
      <c r="AW22" s="163">
        <f t="shared" si="0"/>
        <v>9</v>
      </c>
      <c r="AX22" s="163">
        <f t="shared" si="43"/>
        <v>-1</v>
      </c>
      <c r="AY22" s="163"/>
      <c r="AZ22" s="235">
        <f t="shared" si="44"/>
        <v>7120</v>
      </c>
      <c r="BA22" s="163">
        <v>7128</v>
      </c>
      <c r="BB22" s="163">
        <f t="shared" si="1"/>
        <v>8</v>
      </c>
      <c r="BC22" s="163">
        <f t="shared" si="45"/>
        <v>1</v>
      </c>
      <c r="BD22" s="163"/>
      <c r="BE22" s="235">
        <f t="shared" si="46"/>
        <v>23469</v>
      </c>
      <c r="BF22" s="163">
        <v>23477</v>
      </c>
      <c r="BG22" s="163">
        <f t="shared" si="2"/>
        <v>8</v>
      </c>
      <c r="BH22" s="163">
        <f t="shared" si="47"/>
        <v>0</v>
      </c>
      <c r="BI22" s="163"/>
      <c r="BJ22" s="235">
        <f t="shared" si="48"/>
        <v>7542</v>
      </c>
      <c r="BK22" s="163">
        <v>7550</v>
      </c>
      <c r="BL22" s="163">
        <f t="shared" si="3"/>
        <v>8</v>
      </c>
      <c r="BM22" s="163">
        <f t="shared" si="49"/>
        <v>-1</v>
      </c>
      <c r="BN22" s="163"/>
      <c r="BO22" s="235">
        <f t="shared" si="50"/>
        <v>3619</v>
      </c>
      <c r="BP22" s="163">
        <v>3622</v>
      </c>
      <c r="BQ22" s="163">
        <f t="shared" si="4"/>
        <v>3</v>
      </c>
      <c r="BR22" s="163">
        <f t="shared" si="51"/>
        <v>-1</v>
      </c>
      <c r="BS22" s="163"/>
      <c r="BT22" s="235">
        <f t="shared" si="52"/>
        <v>1625</v>
      </c>
      <c r="BU22" s="163">
        <v>1627</v>
      </c>
      <c r="BV22" s="163">
        <f t="shared" si="5"/>
        <v>2</v>
      </c>
      <c r="BW22" s="163">
        <f t="shared" si="53"/>
        <v>2</v>
      </c>
      <c r="BX22" s="163"/>
      <c r="BY22" s="241">
        <f t="shared" si="54"/>
        <v>27340</v>
      </c>
      <c r="BZ22" s="163">
        <v>27348</v>
      </c>
      <c r="CA22" s="163">
        <f t="shared" si="6"/>
        <v>8</v>
      </c>
      <c r="CB22" s="163">
        <f t="shared" si="55"/>
        <v>2</v>
      </c>
      <c r="CC22" s="233"/>
      <c r="CD22" s="241">
        <f t="shared" si="56"/>
        <v>2783</v>
      </c>
      <c r="CE22" s="163">
        <v>2785</v>
      </c>
      <c r="CF22" s="163">
        <f t="shared" si="7"/>
        <v>2</v>
      </c>
      <c r="CG22" s="163">
        <f t="shared" si="57"/>
        <v>2</v>
      </c>
      <c r="CH22" s="233"/>
      <c r="CI22" s="241">
        <f t="shared" si="58"/>
        <v>75619</v>
      </c>
      <c r="CJ22" s="163">
        <v>75651</v>
      </c>
      <c r="CK22" s="163">
        <f t="shared" si="8"/>
        <v>32</v>
      </c>
      <c r="CL22" s="163">
        <f t="shared" si="59"/>
        <v>2</v>
      </c>
      <c r="CM22" s="233"/>
      <c r="CN22" s="241">
        <f t="shared" si="60"/>
        <v>23909</v>
      </c>
      <c r="CO22" s="163">
        <v>23922</v>
      </c>
      <c r="CP22" s="163">
        <f t="shared" si="9"/>
        <v>13</v>
      </c>
      <c r="CQ22" s="163">
        <f t="shared" si="61"/>
        <v>13</v>
      </c>
      <c r="CR22" s="233"/>
      <c r="CS22" s="241">
        <f t="shared" si="62"/>
        <v>12549</v>
      </c>
      <c r="CT22" s="163">
        <v>12550</v>
      </c>
      <c r="CU22" s="163">
        <f t="shared" si="10"/>
        <v>1</v>
      </c>
      <c r="CV22" s="163">
        <f t="shared" si="63"/>
        <v>0</v>
      </c>
      <c r="CW22" s="233"/>
      <c r="CX22" s="241">
        <f t="shared" si="64"/>
        <v>17993</v>
      </c>
      <c r="CY22" s="163">
        <v>18013</v>
      </c>
      <c r="CZ22" s="163">
        <f t="shared" si="11"/>
        <v>20</v>
      </c>
      <c r="DA22" s="163">
        <f t="shared" si="65"/>
        <v>19</v>
      </c>
      <c r="DB22" s="233"/>
      <c r="DC22" s="241">
        <f t="shared" si="66"/>
        <v>19919</v>
      </c>
      <c r="DD22" s="163">
        <v>19922</v>
      </c>
      <c r="DE22" s="163">
        <f t="shared" si="12"/>
        <v>3</v>
      </c>
      <c r="DF22" s="163">
        <f t="shared" si="67"/>
        <v>0</v>
      </c>
      <c r="DG22" s="233"/>
      <c r="DH22" s="241">
        <f t="shared" si="68"/>
        <v>8811</v>
      </c>
      <c r="DI22" s="163">
        <v>8816</v>
      </c>
      <c r="DJ22" s="163">
        <f t="shared" si="13"/>
        <v>5</v>
      </c>
      <c r="DK22" s="163">
        <f t="shared" si="69"/>
        <v>2</v>
      </c>
      <c r="DL22" s="233"/>
      <c r="DM22" s="241">
        <f t="shared" si="70"/>
        <v>20733</v>
      </c>
      <c r="DN22" s="163">
        <v>20750</v>
      </c>
      <c r="DO22" s="163">
        <f t="shared" si="14"/>
        <v>17</v>
      </c>
      <c r="DP22" s="163">
        <f t="shared" si="71"/>
        <v>17</v>
      </c>
      <c r="DQ22" s="233"/>
      <c r="DR22" s="241">
        <f t="shared" si="72"/>
        <v>2124</v>
      </c>
      <c r="DS22" s="163">
        <v>2125</v>
      </c>
      <c r="DT22" s="163">
        <f t="shared" si="15"/>
        <v>1</v>
      </c>
      <c r="DU22" s="163">
        <f t="shared" si="73"/>
        <v>-3</v>
      </c>
      <c r="DV22" s="233"/>
      <c r="DW22" s="241">
        <f t="shared" si="74"/>
        <v>9917</v>
      </c>
      <c r="DX22" s="163">
        <v>9918</v>
      </c>
      <c r="DY22" s="163">
        <f t="shared" si="75"/>
        <v>1</v>
      </c>
      <c r="DZ22" s="163">
        <f t="shared" si="76"/>
        <v>1</v>
      </c>
      <c r="EA22" s="233"/>
      <c r="EB22" s="241">
        <f t="shared" si="87"/>
        <v>1058</v>
      </c>
      <c r="EC22" s="163">
        <v>1068</v>
      </c>
      <c r="ED22" s="233">
        <f t="shared" si="27"/>
        <v>10</v>
      </c>
      <c r="EE22" s="241">
        <f t="shared" si="84"/>
        <v>700</v>
      </c>
      <c r="EF22" s="163">
        <v>708</v>
      </c>
      <c r="EG22" s="233">
        <f t="shared" si="28"/>
        <v>8</v>
      </c>
      <c r="EH22" s="241">
        <f t="shared" si="85"/>
        <v>480</v>
      </c>
      <c r="EI22" s="163">
        <v>488</v>
      </c>
      <c r="EJ22" s="233">
        <f t="shared" si="29"/>
        <v>8</v>
      </c>
      <c r="EK22" s="241">
        <f t="shared" si="86"/>
        <v>490</v>
      </c>
      <c r="EL22" s="163">
        <v>498</v>
      </c>
      <c r="EM22" s="233">
        <f t="shared" si="30"/>
        <v>8</v>
      </c>
      <c r="EN22" s="241">
        <f t="shared" si="81"/>
        <v>201</v>
      </c>
      <c r="EO22" s="163">
        <v>204</v>
      </c>
      <c r="EP22" s="233">
        <f t="shared" si="31"/>
        <v>3</v>
      </c>
      <c r="EQ22" s="241">
        <f t="shared" si="16"/>
        <v>65</v>
      </c>
      <c r="ER22" s="163">
        <f t="shared" si="17"/>
        <v>16.049382716049383</v>
      </c>
      <c r="ES22" s="233"/>
    </row>
    <row r="23" spans="1:149" ht="15" customHeight="1" x14ac:dyDescent="0.2">
      <c r="A23" s="164">
        <v>18</v>
      </c>
      <c r="B23" s="161">
        <f t="shared" si="32"/>
        <v>18560</v>
      </c>
      <c r="C23" s="162">
        <v>18583</v>
      </c>
      <c r="D23" s="155">
        <f t="shared" si="18"/>
        <v>23</v>
      </c>
      <c r="E23" s="220"/>
      <c r="F23" s="164">
        <v>18</v>
      </c>
      <c r="G23" s="161">
        <f t="shared" si="33"/>
        <v>18133</v>
      </c>
      <c r="H23" s="162">
        <v>18171</v>
      </c>
      <c r="I23" s="155">
        <f t="shared" si="19"/>
        <v>38</v>
      </c>
      <c r="J23" s="220"/>
      <c r="K23" s="164">
        <v>18</v>
      </c>
      <c r="L23" s="161">
        <f t="shared" si="34"/>
        <v>784481</v>
      </c>
      <c r="M23" s="162">
        <v>784766</v>
      </c>
      <c r="N23" s="155">
        <f t="shared" si="20"/>
        <v>285</v>
      </c>
      <c r="O23" s="157"/>
      <c r="P23" s="164">
        <v>18</v>
      </c>
      <c r="Q23" s="161">
        <f t="shared" si="35"/>
        <v>214127</v>
      </c>
      <c r="R23" s="162">
        <v>214192</v>
      </c>
      <c r="S23" s="155">
        <f t="shared" si="21"/>
        <v>65</v>
      </c>
      <c r="T23" s="156"/>
      <c r="U23" s="158">
        <v>18</v>
      </c>
      <c r="V23" s="243">
        <f t="shared" si="22"/>
        <v>411</v>
      </c>
      <c r="W23" s="159">
        <f>'Maldives at LG Daily'!I22</f>
        <v>57.3</v>
      </c>
      <c r="X23" s="166"/>
      <c r="Z23" s="235">
        <v>18</v>
      </c>
      <c r="AA23" s="163">
        <f t="shared" si="36"/>
        <v>40312</v>
      </c>
      <c r="AB23" s="163">
        <v>40331</v>
      </c>
      <c r="AC23" s="163">
        <f t="shared" si="23"/>
        <v>19</v>
      </c>
      <c r="AD23" s="163">
        <f t="shared" si="82"/>
        <v>-8</v>
      </c>
      <c r="AE23" s="342"/>
      <c r="AF23" s="235">
        <f t="shared" si="37"/>
        <v>8826</v>
      </c>
      <c r="AG23" s="163">
        <v>8832</v>
      </c>
      <c r="AH23" s="163">
        <f t="shared" si="24"/>
        <v>6</v>
      </c>
      <c r="AI23" s="163">
        <f t="shared" si="83"/>
        <v>-1</v>
      </c>
      <c r="AJ23" s="163"/>
      <c r="AK23" s="235">
        <f t="shared" si="38"/>
        <v>6990</v>
      </c>
      <c r="AL23" s="163">
        <v>7000</v>
      </c>
      <c r="AM23" s="163">
        <f t="shared" si="25"/>
        <v>10</v>
      </c>
      <c r="AN23" s="163">
        <f t="shared" si="39"/>
        <v>0</v>
      </c>
      <c r="AO23" s="163"/>
      <c r="AP23" s="235">
        <f t="shared" si="40"/>
        <v>15719</v>
      </c>
      <c r="AQ23" s="163">
        <v>15728</v>
      </c>
      <c r="AR23" s="163">
        <f t="shared" si="26"/>
        <v>9</v>
      </c>
      <c r="AS23" s="163">
        <f t="shared" si="41"/>
        <v>-1</v>
      </c>
      <c r="AT23" s="163"/>
      <c r="AU23" s="235">
        <f t="shared" si="42"/>
        <v>33063</v>
      </c>
      <c r="AV23" s="163">
        <v>33073</v>
      </c>
      <c r="AW23" s="163">
        <f t="shared" si="0"/>
        <v>10</v>
      </c>
      <c r="AX23" s="163">
        <f t="shared" si="43"/>
        <v>1</v>
      </c>
      <c r="AY23" s="163"/>
      <c r="AZ23" s="235">
        <f t="shared" si="44"/>
        <v>7128</v>
      </c>
      <c r="BA23" s="163">
        <v>7136</v>
      </c>
      <c r="BB23" s="163">
        <f t="shared" si="1"/>
        <v>8</v>
      </c>
      <c r="BC23" s="163">
        <f t="shared" si="45"/>
        <v>0</v>
      </c>
      <c r="BD23" s="163"/>
      <c r="BE23" s="235">
        <f t="shared" si="46"/>
        <v>23477</v>
      </c>
      <c r="BF23" s="163">
        <v>23485</v>
      </c>
      <c r="BG23" s="163">
        <f t="shared" si="2"/>
        <v>8</v>
      </c>
      <c r="BH23" s="163">
        <f t="shared" si="47"/>
        <v>0</v>
      </c>
      <c r="BI23" s="163"/>
      <c r="BJ23" s="235">
        <f t="shared" si="48"/>
        <v>7550</v>
      </c>
      <c r="BK23" s="163">
        <v>7561</v>
      </c>
      <c r="BL23" s="163">
        <f t="shared" si="3"/>
        <v>11</v>
      </c>
      <c r="BM23" s="163">
        <f t="shared" si="49"/>
        <v>3</v>
      </c>
      <c r="BN23" s="163"/>
      <c r="BO23" s="235">
        <f t="shared" si="50"/>
        <v>3622</v>
      </c>
      <c r="BP23" s="163">
        <v>3623</v>
      </c>
      <c r="BQ23" s="163">
        <f t="shared" si="4"/>
        <v>1</v>
      </c>
      <c r="BR23" s="163">
        <f t="shared" si="51"/>
        <v>-2</v>
      </c>
      <c r="BS23" s="163"/>
      <c r="BT23" s="235">
        <f t="shared" si="52"/>
        <v>1627</v>
      </c>
      <c r="BU23" s="163">
        <v>1627</v>
      </c>
      <c r="BV23" s="163">
        <f t="shared" si="5"/>
        <v>0</v>
      </c>
      <c r="BW23" s="163">
        <f t="shared" si="53"/>
        <v>-2</v>
      </c>
      <c r="BX23" s="163"/>
      <c r="BY23" s="241">
        <f t="shared" si="54"/>
        <v>27348</v>
      </c>
      <c r="BZ23" s="163">
        <v>27353</v>
      </c>
      <c r="CA23" s="163">
        <f t="shared" si="6"/>
        <v>5</v>
      </c>
      <c r="CB23" s="163">
        <f t="shared" si="55"/>
        <v>-3</v>
      </c>
      <c r="CC23" s="233"/>
      <c r="CD23" s="241">
        <f t="shared" si="56"/>
        <v>2785</v>
      </c>
      <c r="CE23" s="163">
        <v>2785</v>
      </c>
      <c r="CF23" s="163">
        <f t="shared" si="7"/>
        <v>0</v>
      </c>
      <c r="CG23" s="163">
        <f t="shared" si="57"/>
        <v>-2</v>
      </c>
      <c r="CH23" s="233"/>
      <c r="CI23" s="241">
        <f t="shared" si="58"/>
        <v>75651</v>
      </c>
      <c r="CJ23" s="163">
        <v>75677</v>
      </c>
      <c r="CK23" s="163">
        <f t="shared" si="8"/>
        <v>26</v>
      </c>
      <c r="CL23" s="163">
        <f t="shared" si="59"/>
        <v>-6</v>
      </c>
      <c r="CM23" s="233"/>
      <c r="CN23" s="241">
        <f t="shared" si="60"/>
        <v>23922</v>
      </c>
      <c r="CO23" s="163">
        <v>23930</v>
      </c>
      <c r="CP23" s="163">
        <f t="shared" si="9"/>
        <v>8</v>
      </c>
      <c r="CQ23" s="163">
        <f t="shared" si="61"/>
        <v>-5</v>
      </c>
      <c r="CR23" s="233"/>
      <c r="CS23" s="241">
        <f t="shared" si="62"/>
        <v>12550</v>
      </c>
      <c r="CT23" s="163">
        <v>12551</v>
      </c>
      <c r="CU23" s="163">
        <f t="shared" si="10"/>
        <v>1</v>
      </c>
      <c r="CV23" s="163">
        <f t="shared" si="63"/>
        <v>0</v>
      </c>
      <c r="CW23" s="233"/>
      <c r="CX23" s="241">
        <f t="shared" si="64"/>
        <v>18013</v>
      </c>
      <c r="CY23" s="163">
        <v>18027</v>
      </c>
      <c r="CZ23" s="163">
        <f t="shared" si="11"/>
        <v>14</v>
      </c>
      <c r="DA23" s="163">
        <f t="shared" si="65"/>
        <v>-6</v>
      </c>
      <c r="DB23" s="233"/>
      <c r="DC23" s="241">
        <f t="shared" si="66"/>
        <v>19922</v>
      </c>
      <c r="DD23" s="163">
        <v>19925</v>
      </c>
      <c r="DE23" s="163">
        <f t="shared" si="12"/>
        <v>3</v>
      </c>
      <c r="DF23" s="163">
        <f t="shared" si="67"/>
        <v>0</v>
      </c>
      <c r="DG23" s="233"/>
      <c r="DH23" s="241">
        <f t="shared" si="68"/>
        <v>8816</v>
      </c>
      <c r="DI23" s="163">
        <v>8819</v>
      </c>
      <c r="DJ23" s="163">
        <f t="shared" si="13"/>
        <v>3</v>
      </c>
      <c r="DK23" s="163">
        <f t="shared" si="69"/>
        <v>-2</v>
      </c>
      <c r="DL23" s="233"/>
      <c r="DM23" s="241">
        <f t="shared" si="70"/>
        <v>20750</v>
      </c>
      <c r="DN23" s="163">
        <v>20767</v>
      </c>
      <c r="DO23" s="163">
        <f t="shared" si="14"/>
        <v>17</v>
      </c>
      <c r="DP23" s="163">
        <f t="shared" si="71"/>
        <v>0</v>
      </c>
      <c r="DQ23" s="233"/>
      <c r="DR23" s="241">
        <f t="shared" si="72"/>
        <v>2125</v>
      </c>
      <c r="DS23" s="163">
        <v>2127</v>
      </c>
      <c r="DT23" s="163">
        <f t="shared" si="15"/>
        <v>2</v>
      </c>
      <c r="DU23" s="163">
        <f t="shared" si="73"/>
        <v>1</v>
      </c>
      <c r="DV23" s="233"/>
      <c r="DW23" s="241">
        <f t="shared" si="74"/>
        <v>9918</v>
      </c>
      <c r="DX23" s="163">
        <v>9925</v>
      </c>
      <c r="DY23" s="163">
        <f t="shared" si="75"/>
        <v>7</v>
      </c>
      <c r="DZ23" s="163">
        <f t="shared" si="76"/>
        <v>6</v>
      </c>
      <c r="EA23" s="233"/>
      <c r="EB23" s="241">
        <f t="shared" si="87"/>
        <v>1068</v>
      </c>
      <c r="EC23" s="163">
        <v>1080</v>
      </c>
      <c r="ED23" s="233">
        <f t="shared" si="27"/>
        <v>12</v>
      </c>
      <c r="EE23" s="241">
        <f t="shared" si="84"/>
        <v>708</v>
      </c>
      <c r="EF23" s="163">
        <v>715</v>
      </c>
      <c r="EG23" s="233">
        <f t="shared" si="28"/>
        <v>7</v>
      </c>
      <c r="EH23" s="241">
        <f t="shared" si="85"/>
        <v>488</v>
      </c>
      <c r="EI23" s="163">
        <v>494</v>
      </c>
      <c r="EJ23" s="233">
        <f t="shared" si="29"/>
        <v>6</v>
      </c>
      <c r="EK23" s="241">
        <f t="shared" si="86"/>
        <v>498</v>
      </c>
      <c r="EL23" s="163">
        <v>504</v>
      </c>
      <c r="EM23" s="233">
        <f t="shared" si="30"/>
        <v>6</v>
      </c>
      <c r="EN23" s="241">
        <f t="shared" si="81"/>
        <v>204</v>
      </c>
      <c r="EO23" s="163">
        <v>207</v>
      </c>
      <c r="EP23" s="233">
        <f t="shared" si="31"/>
        <v>3</v>
      </c>
      <c r="EQ23" s="241">
        <f t="shared" si="16"/>
        <v>63</v>
      </c>
      <c r="ER23" s="163">
        <f t="shared" si="17"/>
        <v>15.328467153284672</v>
      </c>
      <c r="ES23" s="233"/>
    </row>
    <row r="24" spans="1:149" ht="15" customHeight="1" x14ac:dyDescent="0.2">
      <c r="A24" s="164">
        <v>19</v>
      </c>
      <c r="B24" s="161">
        <f t="shared" si="32"/>
        <v>18583</v>
      </c>
      <c r="C24" s="162">
        <v>18644</v>
      </c>
      <c r="D24" s="155">
        <f t="shared" si="18"/>
        <v>61</v>
      </c>
      <c r="E24" s="220"/>
      <c r="F24" s="164">
        <v>19</v>
      </c>
      <c r="G24" s="161">
        <f t="shared" si="33"/>
        <v>18171</v>
      </c>
      <c r="H24" s="162">
        <v>18171</v>
      </c>
      <c r="I24" s="155">
        <f t="shared" si="19"/>
        <v>0</v>
      </c>
      <c r="J24" s="220"/>
      <c r="K24" s="164">
        <v>19</v>
      </c>
      <c r="L24" s="161">
        <f t="shared" si="34"/>
        <v>784766</v>
      </c>
      <c r="M24" s="162">
        <v>785048</v>
      </c>
      <c r="N24" s="155">
        <f t="shared" si="20"/>
        <v>282</v>
      </c>
      <c r="O24" s="157"/>
      <c r="P24" s="164">
        <v>19</v>
      </c>
      <c r="Q24" s="161">
        <f t="shared" si="35"/>
        <v>214192</v>
      </c>
      <c r="R24" s="162">
        <v>214257</v>
      </c>
      <c r="S24" s="155">
        <f t="shared" si="21"/>
        <v>65</v>
      </c>
      <c r="T24" s="156"/>
      <c r="U24" s="158">
        <v>19</v>
      </c>
      <c r="V24" s="243">
        <f t="shared" si="22"/>
        <v>408</v>
      </c>
      <c r="W24" s="159">
        <f>'Maldives at LG Daily'!I23</f>
        <v>53.4</v>
      </c>
      <c r="X24" s="166"/>
      <c r="Z24" s="235">
        <v>19</v>
      </c>
      <c r="AA24" s="163">
        <f t="shared" si="36"/>
        <v>40331</v>
      </c>
      <c r="AB24" s="163">
        <v>40357</v>
      </c>
      <c r="AC24" s="163">
        <f t="shared" si="23"/>
        <v>26</v>
      </c>
      <c r="AD24" s="163">
        <f t="shared" si="82"/>
        <v>7</v>
      </c>
      <c r="AE24" s="342"/>
      <c r="AF24" s="235">
        <f t="shared" si="37"/>
        <v>8832</v>
      </c>
      <c r="AG24" s="163">
        <v>8838</v>
      </c>
      <c r="AH24" s="163">
        <f t="shared" si="24"/>
        <v>6</v>
      </c>
      <c r="AI24" s="163">
        <f t="shared" si="83"/>
        <v>0</v>
      </c>
      <c r="AJ24" s="163"/>
      <c r="AK24" s="235">
        <f t="shared" si="38"/>
        <v>7000</v>
      </c>
      <c r="AL24" s="163">
        <v>7011</v>
      </c>
      <c r="AM24" s="163">
        <f t="shared" si="25"/>
        <v>11</v>
      </c>
      <c r="AN24" s="163">
        <f t="shared" si="39"/>
        <v>1</v>
      </c>
      <c r="AO24" s="163"/>
      <c r="AP24" s="235">
        <f t="shared" si="40"/>
        <v>15728</v>
      </c>
      <c r="AQ24" s="163">
        <v>15738</v>
      </c>
      <c r="AR24" s="163">
        <f t="shared" si="26"/>
        <v>10</v>
      </c>
      <c r="AS24" s="163">
        <f t="shared" si="41"/>
        <v>1</v>
      </c>
      <c r="AT24" s="163"/>
      <c r="AU24" s="235">
        <f t="shared" si="42"/>
        <v>33073</v>
      </c>
      <c r="AV24" s="163">
        <v>33081</v>
      </c>
      <c r="AW24" s="163">
        <f t="shared" si="0"/>
        <v>8</v>
      </c>
      <c r="AX24" s="163">
        <f t="shared" si="43"/>
        <v>-2</v>
      </c>
      <c r="AY24" s="163"/>
      <c r="AZ24" s="235">
        <f t="shared" si="44"/>
        <v>7136</v>
      </c>
      <c r="BA24" s="163">
        <v>7144</v>
      </c>
      <c r="BB24" s="163">
        <f t="shared" si="1"/>
        <v>8</v>
      </c>
      <c r="BC24" s="163">
        <f t="shared" si="45"/>
        <v>0</v>
      </c>
      <c r="BD24" s="163"/>
      <c r="BE24" s="235">
        <f t="shared" si="46"/>
        <v>23485</v>
      </c>
      <c r="BF24" s="163">
        <v>23494</v>
      </c>
      <c r="BG24" s="163">
        <f t="shared" si="2"/>
        <v>9</v>
      </c>
      <c r="BH24" s="163">
        <f t="shared" si="47"/>
        <v>1</v>
      </c>
      <c r="BI24" s="163"/>
      <c r="BJ24" s="235">
        <f t="shared" si="48"/>
        <v>7561</v>
      </c>
      <c r="BK24" s="163">
        <v>7571</v>
      </c>
      <c r="BL24" s="163">
        <f t="shared" si="3"/>
        <v>10</v>
      </c>
      <c r="BM24" s="163">
        <f t="shared" si="49"/>
        <v>-1</v>
      </c>
      <c r="BN24" s="163"/>
      <c r="BO24" s="235">
        <f t="shared" si="50"/>
        <v>3623</v>
      </c>
      <c r="BP24" s="163">
        <v>3626</v>
      </c>
      <c r="BQ24" s="163">
        <f t="shared" si="4"/>
        <v>3</v>
      </c>
      <c r="BR24" s="163">
        <f t="shared" si="51"/>
        <v>2</v>
      </c>
      <c r="BS24" s="163"/>
      <c r="BT24" s="235">
        <f t="shared" si="52"/>
        <v>1627</v>
      </c>
      <c r="BU24" s="163">
        <v>1628</v>
      </c>
      <c r="BV24" s="163">
        <f t="shared" si="5"/>
        <v>1</v>
      </c>
      <c r="BW24" s="163">
        <f t="shared" si="53"/>
        <v>1</v>
      </c>
      <c r="BX24" s="163"/>
      <c r="BY24" s="241">
        <f t="shared" si="54"/>
        <v>27353</v>
      </c>
      <c r="BZ24" s="163">
        <v>27359</v>
      </c>
      <c r="CA24" s="163">
        <f t="shared" si="6"/>
        <v>6</v>
      </c>
      <c r="CB24" s="163">
        <f t="shared" si="55"/>
        <v>1</v>
      </c>
      <c r="CC24" s="233"/>
      <c r="CD24" s="241">
        <f t="shared" si="56"/>
        <v>2785</v>
      </c>
      <c r="CE24" s="163">
        <v>2786</v>
      </c>
      <c r="CF24" s="163">
        <f t="shared" si="7"/>
        <v>1</v>
      </c>
      <c r="CG24" s="163">
        <f t="shared" si="57"/>
        <v>1</v>
      </c>
      <c r="CH24" s="233"/>
      <c r="CI24" s="241">
        <f t="shared" si="58"/>
        <v>75677</v>
      </c>
      <c r="CJ24" s="163">
        <v>75706</v>
      </c>
      <c r="CK24" s="163">
        <f t="shared" si="8"/>
        <v>29</v>
      </c>
      <c r="CL24" s="163">
        <f t="shared" si="59"/>
        <v>3</v>
      </c>
      <c r="CM24" s="233"/>
      <c r="CN24" s="241">
        <f t="shared" si="60"/>
        <v>23930</v>
      </c>
      <c r="CO24" s="163">
        <v>23935</v>
      </c>
      <c r="CP24" s="163">
        <f t="shared" si="9"/>
        <v>5</v>
      </c>
      <c r="CQ24" s="163">
        <f t="shared" si="61"/>
        <v>-3</v>
      </c>
      <c r="CR24" s="233"/>
      <c r="CS24" s="241">
        <f t="shared" si="62"/>
        <v>12551</v>
      </c>
      <c r="CT24" s="163">
        <v>12551</v>
      </c>
      <c r="CU24" s="163">
        <f t="shared" si="10"/>
        <v>0</v>
      </c>
      <c r="CV24" s="163">
        <f t="shared" si="63"/>
        <v>-1</v>
      </c>
      <c r="CW24" s="233"/>
      <c r="CX24" s="241">
        <f t="shared" si="64"/>
        <v>18027</v>
      </c>
      <c r="CY24" s="163">
        <v>18034</v>
      </c>
      <c r="CZ24" s="163">
        <f t="shared" si="11"/>
        <v>7</v>
      </c>
      <c r="DA24" s="163">
        <f t="shared" si="65"/>
        <v>-7</v>
      </c>
      <c r="DB24" s="233"/>
      <c r="DC24" s="241">
        <f t="shared" si="66"/>
        <v>19925</v>
      </c>
      <c r="DD24" s="163">
        <v>19928</v>
      </c>
      <c r="DE24" s="163">
        <f t="shared" si="12"/>
        <v>3</v>
      </c>
      <c r="DF24" s="163">
        <f t="shared" si="67"/>
        <v>0</v>
      </c>
      <c r="DG24" s="233"/>
      <c r="DH24" s="241">
        <f t="shared" si="68"/>
        <v>8819</v>
      </c>
      <c r="DI24" s="163">
        <v>8823</v>
      </c>
      <c r="DJ24" s="163">
        <f t="shared" si="13"/>
        <v>4</v>
      </c>
      <c r="DK24" s="163">
        <f t="shared" si="69"/>
        <v>1</v>
      </c>
      <c r="DL24" s="233"/>
      <c r="DM24" s="241">
        <f t="shared" si="70"/>
        <v>20767</v>
      </c>
      <c r="DN24" s="163">
        <v>20786</v>
      </c>
      <c r="DO24" s="163">
        <f t="shared" si="14"/>
        <v>19</v>
      </c>
      <c r="DP24" s="163">
        <f t="shared" si="71"/>
        <v>2</v>
      </c>
      <c r="DQ24" s="233"/>
      <c r="DR24" s="241">
        <f t="shared" si="72"/>
        <v>2127</v>
      </c>
      <c r="DS24" s="163">
        <v>2128</v>
      </c>
      <c r="DT24" s="163">
        <f t="shared" si="15"/>
        <v>1</v>
      </c>
      <c r="DU24" s="163">
        <f t="shared" si="73"/>
        <v>-1</v>
      </c>
      <c r="DV24" s="233"/>
      <c r="DW24" s="241">
        <f t="shared" si="74"/>
        <v>9925</v>
      </c>
      <c r="DX24" s="163">
        <v>9925</v>
      </c>
      <c r="DY24" s="163">
        <f t="shared" si="75"/>
        <v>0</v>
      </c>
      <c r="DZ24" s="163">
        <f t="shared" si="76"/>
        <v>-7</v>
      </c>
      <c r="EA24" s="233"/>
      <c r="EB24" s="241">
        <f t="shared" si="87"/>
        <v>1080</v>
      </c>
      <c r="EC24" s="163">
        <v>1090</v>
      </c>
      <c r="ED24" s="233">
        <f t="shared" si="27"/>
        <v>10</v>
      </c>
      <c r="EE24" s="241">
        <f t="shared" si="84"/>
        <v>715</v>
      </c>
      <c r="EF24" s="163">
        <v>722</v>
      </c>
      <c r="EG24" s="233">
        <f t="shared" si="28"/>
        <v>7</v>
      </c>
      <c r="EH24" s="241">
        <f t="shared" si="85"/>
        <v>494</v>
      </c>
      <c r="EI24" s="163">
        <v>499</v>
      </c>
      <c r="EJ24" s="233">
        <f t="shared" si="29"/>
        <v>5</v>
      </c>
      <c r="EK24" s="241">
        <f t="shared" si="86"/>
        <v>504</v>
      </c>
      <c r="EL24" s="163">
        <v>509</v>
      </c>
      <c r="EM24" s="233">
        <f t="shared" si="30"/>
        <v>5</v>
      </c>
      <c r="EN24" s="241">
        <f t="shared" si="81"/>
        <v>207</v>
      </c>
      <c r="EO24" s="163">
        <v>210</v>
      </c>
      <c r="EP24" s="233">
        <f t="shared" si="31"/>
        <v>3</v>
      </c>
      <c r="EQ24" s="241">
        <f t="shared" si="16"/>
        <v>66</v>
      </c>
      <c r="ER24" s="163">
        <f t="shared" si="17"/>
        <v>16.176470588235293</v>
      </c>
      <c r="ES24" s="233"/>
    </row>
    <row r="25" spans="1:149" ht="15" customHeight="1" x14ac:dyDescent="0.2">
      <c r="A25" s="164">
        <v>20</v>
      </c>
      <c r="B25" s="161">
        <f t="shared" si="32"/>
        <v>18644</v>
      </c>
      <c r="C25" s="162">
        <v>18702</v>
      </c>
      <c r="D25" s="155">
        <f t="shared" si="18"/>
        <v>58</v>
      </c>
      <c r="E25" s="220"/>
      <c r="F25" s="164">
        <v>20</v>
      </c>
      <c r="G25" s="161">
        <f t="shared" si="33"/>
        <v>18171</v>
      </c>
      <c r="H25" s="162">
        <v>18234</v>
      </c>
      <c r="I25" s="155">
        <f t="shared" si="19"/>
        <v>63</v>
      </c>
      <c r="J25" s="220"/>
      <c r="K25" s="164">
        <v>20</v>
      </c>
      <c r="L25" s="161">
        <f t="shared" si="34"/>
        <v>785048</v>
      </c>
      <c r="M25" s="162">
        <v>785327</v>
      </c>
      <c r="N25" s="155">
        <f t="shared" si="20"/>
        <v>279</v>
      </c>
      <c r="O25" s="157"/>
      <c r="P25" s="164">
        <v>20</v>
      </c>
      <c r="Q25" s="161">
        <f t="shared" si="35"/>
        <v>214257</v>
      </c>
      <c r="R25" s="162">
        <v>214257</v>
      </c>
      <c r="S25" s="155">
        <f t="shared" si="21"/>
        <v>0</v>
      </c>
      <c r="T25" s="156"/>
      <c r="U25" s="164">
        <v>20</v>
      </c>
      <c r="V25" s="243">
        <f t="shared" si="22"/>
        <v>400</v>
      </c>
      <c r="W25" s="159">
        <f>'Maldives at LG Daily'!I24</f>
        <v>54</v>
      </c>
      <c r="X25" s="166"/>
      <c r="Z25" s="235">
        <v>20</v>
      </c>
      <c r="AA25" s="163">
        <f t="shared" si="36"/>
        <v>40357</v>
      </c>
      <c r="AB25" s="163">
        <v>40382</v>
      </c>
      <c r="AC25" s="163">
        <f t="shared" si="23"/>
        <v>25</v>
      </c>
      <c r="AD25" s="163">
        <f t="shared" si="82"/>
        <v>-1</v>
      </c>
      <c r="AE25" s="342"/>
      <c r="AF25" s="235">
        <f t="shared" si="37"/>
        <v>8838</v>
      </c>
      <c r="AG25" s="163">
        <v>8844</v>
      </c>
      <c r="AH25" s="163">
        <f t="shared" si="24"/>
        <v>6</v>
      </c>
      <c r="AI25" s="163">
        <f t="shared" si="83"/>
        <v>0</v>
      </c>
      <c r="AJ25" s="163"/>
      <c r="AK25" s="235">
        <f t="shared" si="38"/>
        <v>7011</v>
      </c>
      <c r="AL25" s="163">
        <v>7021</v>
      </c>
      <c r="AM25" s="163">
        <f t="shared" si="25"/>
        <v>10</v>
      </c>
      <c r="AN25" s="163">
        <f t="shared" si="39"/>
        <v>-1</v>
      </c>
      <c r="AO25" s="163"/>
      <c r="AP25" s="235">
        <f t="shared" si="40"/>
        <v>15738</v>
      </c>
      <c r="AQ25" s="163">
        <v>15748</v>
      </c>
      <c r="AR25" s="163">
        <f t="shared" si="26"/>
        <v>10</v>
      </c>
      <c r="AS25" s="163">
        <f t="shared" si="41"/>
        <v>0</v>
      </c>
      <c r="AT25" s="163"/>
      <c r="AU25" s="235">
        <f t="shared" si="42"/>
        <v>33081</v>
      </c>
      <c r="AV25" s="163">
        <v>33091</v>
      </c>
      <c r="AW25" s="163">
        <f t="shared" si="0"/>
        <v>10</v>
      </c>
      <c r="AX25" s="163">
        <f t="shared" si="43"/>
        <v>2</v>
      </c>
      <c r="AY25" s="163"/>
      <c r="AZ25" s="235">
        <f t="shared" si="44"/>
        <v>7144</v>
      </c>
      <c r="BA25" s="163">
        <v>7151</v>
      </c>
      <c r="BB25" s="163">
        <f t="shared" si="1"/>
        <v>7</v>
      </c>
      <c r="BC25" s="163">
        <f t="shared" si="45"/>
        <v>-1</v>
      </c>
      <c r="BD25" s="163"/>
      <c r="BE25" s="235">
        <f t="shared" si="46"/>
        <v>23494</v>
      </c>
      <c r="BF25" s="163">
        <v>23503</v>
      </c>
      <c r="BG25" s="163">
        <f t="shared" si="2"/>
        <v>9</v>
      </c>
      <c r="BH25" s="163">
        <f t="shared" si="47"/>
        <v>0</v>
      </c>
      <c r="BI25" s="163"/>
      <c r="BJ25" s="235">
        <f t="shared" si="48"/>
        <v>7571</v>
      </c>
      <c r="BK25" s="163">
        <v>7580</v>
      </c>
      <c r="BL25" s="163">
        <f t="shared" si="3"/>
        <v>9</v>
      </c>
      <c r="BM25" s="163">
        <f t="shared" si="49"/>
        <v>-1</v>
      </c>
      <c r="BN25" s="163"/>
      <c r="BO25" s="235">
        <f t="shared" si="50"/>
        <v>3626</v>
      </c>
      <c r="BP25" s="163">
        <v>3629</v>
      </c>
      <c r="BQ25" s="163">
        <f t="shared" si="4"/>
        <v>3</v>
      </c>
      <c r="BR25" s="163">
        <f t="shared" si="51"/>
        <v>0</v>
      </c>
      <c r="BS25" s="163"/>
      <c r="BT25" s="235">
        <f t="shared" si="52"/>
        <v>1628</v>
      </c>
      <c r="BU25" s="163">
        <v>1628</v>
      </c>
      <c r="BV25" s="163">
        <f t="shared" si="5"/>
        <v>0</v>
      </c>
      <c r="BW25" s="163">
        <f t="shared" si="53"/>
        <v>-1</v>
      </c>
      <c r="BX25" s="163"/>
      <c r="BY25" s="241">
        <f t="shared" si="54"/>
        <v>27359</v>
      </c>
      <c r="BZ25" s="163">
        <v>27364</v>
      </c>
      <c r="CA25" s="163">
        <f t="shared" si="6"/>
        <v>5</v>
      </c>
      <c r="CB25" s="163">
        <f t="shared" si="55"/>
        <v>-1</v>
      </c>
      <c r="CC25" s="233"/>
      <c r="CD25" s="241">
        <f t="shared" si="56"/>
        <v>2786</v>
      </c>
      <c r="CE25" s="163">
        <v>2786</v>
      </c>
      <c r="CF25" s="163">
        <f t="shared" si="7"/>
        <v>0</v>
      </c>
      <c r="CG25" s="163">
        <f t="shared" si="57"/>
        <v>-1</v>
      </c>
      <c r="CH25" s="233"/>
      <c r="CI25" s="241">
        <f t="shared" si="58"/>
        <v>75706</v>
      </c>
      <c r="CJ25" s="163">
        <v>75740</v>
      </c>
      <c r="CK25" s="163">
        <f t="shared" si="8"/>
        <v>34</v>
      </c>
      <c r="CL25" s="163">
        <f t="shared" si="59"/>
        <v>5</v>
      </c>
      <c r="CM25" s="233"/>
      <c r="CN25" s="241">
        <f t="shared" si="60"/>
        <v>23935</v>
      </c>
      <c r="CO25" s="163">
        <v>23941</v>
      </c>
      <c r="CP25" s="163">
        <f t="shared" si="9"/>
        <v>6</v>
      </c>
      <c r="CQ25" s="163">
        <f t="shared" si="61"/>
        <v>1</v>
      </c>
      <c r="CR25" s="233"/>
      <c r="CS25" s="241">
        <f t="shared" si="62"/>
        <v>12551</v>
      </c>
      <c r="CT25" s="163">
        <v>12552</v>
      </c>
      <c r="CU25" s="163">
        <f t="shared" si="10"/>
        <v>1</v>
      </c>
      <c r="CV25" s="163">
        <f t="shared" si="63"/>
        <v>1</v>
      </c>
      <c r="CW25" s="233"/>
      <c r="CX25" s="241">
        <f t="shared" si="64"/>
        <v>18034</v>
      </c>
      <c r="CY25" s="163">
        <v>18040</v>
      </c>
      <c r="CZ25" s="163">
        <f t="shared" si="11"/>
        <v>6</v>
      </c>
      <c r="DA25" s="163">
        <f t="shared" si="65"/>
        <v>-1</v>
      </c>
      <c r="DB25" s="233"/>
      <c r="DC25" s="241">
        <f t="shared" si="66"/>
        <v>19928</v>
      </c>
      <c r="DD25" s="163">
        <v>19931</v>
      </c>
      <c r="DE25" s="163">
        <f t="shared" si="12"/>
        <v>3</v>
      </c>
      <c r="DF25" s="163">
        <f t="shared" si="67"/>
        <v>0</v>
      </c>
      <c r="DG25" s="233"/>
      <c r="DH25" s="241">
        <f t="shared" si="68"/>
        <v>8823</v>
      </c>
      <c r="DI25" s="163">
        <v>8826</v>
      </c>
      <c r="DJ25" s="163">
        <f t="shared" si="13"/>
        <v>3</v>
      </c>
      <c r="DK25" s="163">
        <f t="shared" si="69"/>
        <v>-1</v>
      </c>
      <c r="DL25" s="233"/>
      <c r="DM25" s="241">
        <f t="shared" si="70"/>
        <v>20786</v>
      </c>
      <c r="DN25" s="163">
        <v>20806</v>
      </c>
      <c r="DO25" s="163">
        <f t="shared" si="14"/>
        <v>20</v>
      </c>
      <c r="DP25" s="163">
        <f t="shared" si="71"/>
        <v>1</v>
      </c>
      <c r="DQ25" s="233"/>
      <c r="DR25" s="241">
        <f t="shared" si="72"/>
        <v>2128</v>
      </c>
      <c r="DS25" s="163">
        <v>2129</v>
      </c>
      <c r="DT25" s="163">
        <f t="shared" si="15"/>
        <v>1</v>
      </c>
      <c r="DU25" s="163">
        <f t="shared" si="73"/>
        <v>0</v>
      </c>
      <c r="DV25" s="233"/>
      <c r="DW25" s="241">
        <f t="shared" si="74"/>
        <v>9925</v>
      </c>
      <c r="DX25" s="163">
        <v>9930</v>
      </c>
      <c r="DY25" s="163">
        <f t="shared" si="75"/>
        <v>5</v>
      </c>
      <c r="DZ25" s="163">
        <f t="shared" si="76"/>
        <v>5</v>
      </c>
      <c r="EA25" s="233"/>
      <c r="EB25" s="241">
        <f t="shared" si="87"/>
        <v>1090</v>
      </c>
      <c r="EC25" s="163">
        <v>1101</v>
      </c>
      <c r="ED25" s="233">
        <f t="shared" si="27"/>
        <v>11</v>
      </c>
      <c r="EE25" s="241">
        <f t="shared" si="84"/>
        <v>722</v>
      </c>
      <c r="EF25" s="163">
        <v>729</v>
      </c>
      <c r="EG25" s="233">
        <f t="shared" si="28"/>
        <v>7</v>
      </c>
      <c r="EH25" s="241">
        <f t="shared" si="85"/>
        <v>499</v>
      </c>
      <c r="EI25" s="163">
        <v>505</v>
      </c>
      <c r="EJ25" s="233">
        <f t="shared" si="29"/>
        <v>6</v>
      </c>
      <c r="EK25" s="241">
        <f t="shared" si="86"/>
        <v>509</v>
      </c>
      <c r="EL25" s="163">
        <v>515</v>
      </c>
      <c r="EM25" s="233">
        <f t="shared" si="30"/>
        <v>6</v>
      </c>
      <c r="EN25" s="241">
        <f t="shared" si="81"/>
        <v>210</v>
      </c>
      <c r="EO25" s="163">
        <v>213</v>
      </c>
      <c r="EP25" s="233">
        <f t="shared" si="31"/>
        <v>3</v>
      </c>
      <c r="EQ25" s="241">
        <f t="shared" si="16"/>
        <v>64</v>
      </c>
      <c r="ER25" s="163">
        <f t="shared" si="17"/>
        <v>16</v>
      </c>
      <c r="ES25" s="233"/>
    </row>
    <row r="26" spans="1:149" ht="15" customHeight="1" x14ac:dyDescent="0.2">
      <c r="A26" s="164">
        <v>21</v>
      </c>
      <c r="B26" s="161">
        <f t="shared" si="32"/>
        <v>18702</v>
      </c>
      <c r="C26" s="162">
        <v>18743</v>
      </c>
      <c r="D26" s="155">
        <f t="shared" si="18"/>
        <v>41</v>
      </c>
      <c r="E26" s="220"/>
      <c r="F26" s="164">
        <v>21</v>
      </c>
      <c r="G26" s="161">
        <f t="shared" si="33"/>
        <v>18234</v>
      </c>
      <c r="H26" s="162">
        <v>18299</v>
      </c>
      <c r="I26" s="155">
        <f t="shared" si="19"/>
        <v>65</v>
      </c>
      <c r="J26" s="220"/>
      <c r="K26" s="164">
        <v>21</v>
      </c>
      <c r="L26" s="161">
        <f t="shared" si="34"/>
        <v>785327</v>
      </c>
      <c r="M26" s="162">
        <v>785623</v>
      </c>
      <c r="N26" s="155">
        <f t="shared" si="20"/>
        <v>296</v>
      </c>
      <c r="O26" s="157"/>
      <c r="P26" s="164">
        <v>21</v>
      </c>
      <c r="Q26" s="161">
        <f t="shared" si="35"/>
        <v>214257</v>
      </c>
      <c r="R26" s="162">
        <v>214276</v>
      </c>
      <c r="S26" s="155">
        <f t="shared" si="21"/>
        <v>19</v>
      </c>
      <c r="T26" s="156"/>
      <c r="U26" s="158">
        <v>21</v>
      </c>
      <c r="V26" s="243">
        <f t="shared" si="22"/>
        <v>421</v>
      </c>
      <c r="W26" s="159">
        <f>'Maldives at LG Daily'!I25</f>
        <v>54</v>
      </c>
      <c r="X26" s="166"/>
      <c r="Z26" s="235">
        <v>21</v>
      </c>
      <c r="AA26" s="163">
        <f t="shared" si="36"/>
        <v>40382</v>
      </c>
      <c r="AB26" s="163">
        <v>40409</v>
      </c>
      <c r="AC26" s="163">
        <f t="shared" si="23"/>
        <v>27</v>
      </c>
      <c r="AD26" s="163">
        <f t="shared" si="82"/>
        <v>2</v>
      </c>
      <c r="AE26" s="342"/>
      <c r="AF26" s="235">
        <f t="shared" si="37"/>
        <v>8844</v>
      </c>
      <c r="AG26" s="163">
        <v>8850</v>
      </c>
      <c r="AH26" s="163">
        <f t="shared" si="24"/>
        <v>6</v>
      </c>
      <c r="AI26" s="163">
        <f t="shared" si="83"/>
        <v>0</v>
      </c>
      <c r="AJ26" s="163"/>
      <c r="AK26" s="235">
        <f t="shared" si="38"/>
        <v>7021</v>
      </c>
      <c r="AL26" s="163">
        <v>7030</v>
      </c>
      <c r="AM26" s="163">
        <f t="shared" si="25"/>
        <v>9</v>
      </c>
      <c r="AN26" s="163">
        <f t="shared" si="39"/>
        <v>-1</v>
      </c>
      <c r="AO26" s="163"/>
      <c r="AP26" s="235">
        <f t="shared" si="40"/>
        <v>15748</v>
      </c>
      <c r="AQ26" s="163">
        <v>15759</v>
      </c>
      <c r="AR26" s="163">
        <f t="shared" si="26"/>
        <v>11</v>
      </c>
      <c r="AS26" s="163">
        <f t="shared" si="41"/>
        <v>1</v>
      </c>
      <c r="AT26" s="163"/>
      <c r="AU26" s="235">
        <f t="shared" si="42"/>
        <v>33091</v>
      </c>
      <c r="AV26" s="163">
        <v>33104</v>
      </c>
      <c r="AW26" s="163">
        <f t="shared" si="0"/>
        <v>13</v>
      </c>
      <c r="AX26" s="163">
        <f t="shared" si="43"/>
        <v>3</v>
      </c>
      <c r="AY26" s="163"/>
      <c r="AZ26" s="235">
        <f t="shared" si="44"/>
        <v>7151</v>
      </c>
      <c r="BA26" s="163">
        <v>7159</v>
      </c>
      <c r="BB26" s="163">
        <f t="shared" si="1"/>
        <v>8</v>
      </c>
      <c r="BC26" s="163">
        <f t="shared" si="45"/>
        <v>1</v>
      </c>
      <c r="BD26" s="163"/>
      <c r="BE26" s="235">
        <f t="shared" si="46"/>
        <v>23503</v>
      </c>
      <c r="BF26" s="163">
        <v>23511</v>
      </c>
      <c r="BG26" s="163">
        <f t="shared" si="2"/>
        <v>8</v>
      </c>
      <c r="BH26" s="163">
        <f t="shared" si="47"/>
        <v>-1</v>
      </c>
      <c r="BI26" s="163"/>
      <c r="BJ26" s="235">
        <f t="shared" si="48"/>
        <v>7580</v>
      </c>
      <c r="BK26" s="163">
        <v>7592</v>
      </c>
      <c r="BL26" s="163">
        <f t="shared" si="3"/>
        <v>12</v>
      </c>
      <c r="BM26" s="163">
        <f t="shared" si="49"/>
        <v>3</v>
      </c>
      <c r="BN26" s="163"/>
      <c r="BO26" s="235">
        <f t="shared" si="50"/>
        <v>3629</v>
      </c>
      <c r="BP26" s="163">
        <v>3631</v>
      </c>
      <c r="BQ26" s="163">
        <f t="shared" si="4"/>
        <v>2</v>
      </c>
      <c r="BR26" s="163">
        <f t="shared" si="51"/>
        <v>-1</v>
      </c>
      <c r="BS26" s="163"/>
      <c r="BT26" s="235">
        <f t="shared" si="52"/>
        <v>1628</v>
      </c>
      <c r="BU26" s="163">
        <v>1630</v>
      </c>
      <c r="BV26" s="163">
        <f t="shared" si="5"/>
        <v>2</v>
      </c>
      <c r="BW26" s="163">
        <f t="shared" si="53"/>
        <v>2</v>
      </c>
      <c r="BX26" s="163"/>
      <c r="BY26" s="241">
        <f t="shared" si="54"/>
        <v>27364</v>
      </c>
      <c r="BZ26" s="163">
        <v>27370</v>
      </c>
      <c r="CA26" s="163">
        <f t="shared" si="6"/>
        <v>6</v>
      </c>
      <c r="CB26" s="163">
        <f t="shared" si="55"/>
        <v>1</v>
      </c>
      <c r="CC26" s="233"/>
      <c r="CD26" s="241">
        <f t="shared" si="56"/>
        <v>2786</v>
      </c>
      <c r="CE26" s="163">
        <v>2788</v>
      </c>
      <c r="CF26" s="163">
        <f t="shared" si="7"/>
        <v>2</v>
      </c>
      <c r="CG26" s="163">
        <f t="shared" si="57"/>
        <v>2</v>
      </c>
      <c r="CH26" s="233"/>
      <c r="CI26" s="241">
        <f t="shared" si="58"/>
        <v>75740</v>
      </c>
      <c r="CJ26" s="163">
        <v>75757</v>
      </c>
      <c r="CK26" s="163">
        <f t="shared" si="8"/>
        <v>17</v>
      </c>
      <c r="CL26" s="163">
        <f t="shared" si="59"/>
        <v>-17</v>
      </c>
      <c r="CM26" s="233"/>
      <c r="CN26" s="241">
        <f t="shared" si="60"/>
        <v>23941</v>
      </c>
      <c r="CO26" s="163">
        <v>23947</v>
      </c>
      <c r="CP26" s="163">
        <f t="shared" si="9"/>
        <v>6</v>
      </c>
      <c r="CQ26" s="163">
        <f t="shared" si="61"/>
        <v>0</v>
      </c>
      <c r="CR26" s="233"/>
      <c r="CS26" s="241">
        <f t="shared" si="62"/>
        <v>12552</v>
      </c>
      <c r="CT26" s="163">
        <v>12553</v>
      </c>
      <c r="CU26" s="163">
        <f t="shared" si="10"/>
        <v>1</v>
      </c>
      <c r="CV26" s="163">
        <f t="shared" si="63"/>
        <v>0</v>
      </c>
      <c r="CW26" s="233"/>
      <c r="CX26" s="241">
        <f t="shared" si="64"/>
        <v>18040</v>
      </c>
      <c r="CY26" s="163">
        <v>18049</v>
      </c>
      <c r="CZ26" s="163">
        <f t="shared" si="11"/>
        <v>9</v>
      </c>
      <c r="DA26" s="163">
        <f t="shared" si="65"/>
        <v>3</v>
      </c>
      <c r="DB26" s="233"/>
      <c r="DC26" s="241">
        <f t="shared" si="66"/>
        <v>19931</v>
      </c>
      <c r="DD26" s="163">
        <v>19934</v>
      </c>
      <c r="DE26" s="163">
        <f t="shared" si="12"/>
        <v>3</v>
      </c>
      <c r="DF26" s="163">
        <f t="shared" si="67"/>
        <v>0</v>
      </c>
      <c r="DG26" s="233"/>
      <c r="DH26" s="241">
        <f t="shared" si="68"/>
        <v>8826</v>
      </c>
      <c r="DI26" s="163">
        <v>8831</v>
      </c>
      <c r="DJ26" s="163">
        <f t="shared" si="13"/>
        <v>5</v>
      </c>
      <c r="DK26" s="163">
        <f t="shared" si="69"/>
        <v>2</v>
      </c>
      <c r="DL26" s="233"/>
      <c r="DM26" s="241">
        <f t="shared" si="70"/>
        <v>20806</v>
      </c>
      <c r="DN26" s="163">
        <v>20825</v>
      </c>
      <c r="DO26" s="163">
        <f t="shared" si="14"/>
        <v>19</v>
      </c>
      <c r="DP26" s="163">
        <f t="shared" si="71"/>
        <v>-1</v>
      </c>
      <c r="DQ26" s="233"/>
      <c r="DR26" s="241">
        <f t="shared" si="72"/>
        <v>2129</v>
      </c>
      <c r="DS26" s="163">
        <v>2131</v>
      </c>
      <c r="DT26" s="163">
        <f t="shared" si="15"/>
        <v>2</v>
      </c>
      <c r="DU26" s="163">
        <f t="shared" si="73"/>
        <v>1</v>
      </c>
      <c r="DV26" s="233"/>
      <c r="DW26" s="241">
        <f t="shared" si="74"/>
        <v>9930</v>
      </c>
      <c r="DX26" s="163">
        <v>9935</v>
      </c>
      <c r="DY26" s="163">
        <f t="shared" si="75"/>
        <v>5</v>
      </c>
      <c r="DZ26" s="163">
        <f t="shared" si="76"/>
        <v>0</v>
      </c>
      <c r="EA26" s="233"/>
      <c r="EB26" s="241">
        <f t="shared" si="87"/>
        <v>1101</v>
      </c>
      <c r="EC26" s="163">
        <v>1112</v>
      </c>
      <c r="ED26" s="233">
        <f t="shared" si="27"/>
        <v>11</v>
      </c>
      <c r="EE26" s="241">
        <f t="shared" si="84"/>
        <v>729</v>
      </c>
      <c r="EF26" s="163">
        <v>735</v>
      </c>
      <c r="EG26" s="233">
        <f t="shared" si="28"/>
        <v>6</v>
      </c>
      <c r="EH26" s="241">
        <f t="shared" si="85"/>
        <v>505</v>
      </c>
      <c r="EI26" s="163">
        <v>510</v>
      </c>
      <c r="EJ26" s="233">
        <f t="shared" si="29"/>
        <v>5</v>
      </c>
      <c r="EK26" s="241">
        <f t="shared" si="86"/>
        <v>515</v>
      </c>
      <c r="EL26" s="163">
        <v>519</v>
      </c>
      <c r="EM26" s="233">
        <f t="shared" si="30"/>
        <v>4</v>
      </c>
      <c r="EN26" s="241">
        <f t="shared" si="81"/>
        <v>213</v>
      </c>
      <c r="EO26" s="163">
        <v>216</v>
      </c>
      <c r="EP26" s="233">
        <f t="shared" si="31"/>
        <v>3</v>
      </c>
      <c r="EQ26" s="241">
        <f t="shared" si="16"/>
        <v>71</v>
      </c>
      <c r="ER26" s="163">
        <f t="shared" si="17"/>
        <v>16.864608076009503</v>
      </c>
      <c r="ES26" s="233"/>
    </row>
    <row r="27" spans="1:149" ht="15" customHeight="1" x14ac:dyDescent="0.2">
      <c r="A27" s="164">
        <v>22</v>
      </c>
      <c r="B27" s="161">
        <f t="shared" si="32"/>
        <v>18743</v>
      </c>
      <c r="C27" s="162">
        <v>18798</v>
      </c>
      <c r="D27" s="155">
        <f t="shared" si="18"/>
        <v>55</v>
      </c>
      <c r="E27" s="220"/>
      <c r="F27" s="164">
        <v>22</v>
      </c>
      <c r="G27" s="161">
        <f t="shared" si="33"/>
        <v>18299</v>
      </c>
      <c r="H27" s="162">
        <v>18334</v>
      </c>
      <c r="I27" s="155">
        <f t="shared" si="19"/>
        <v>35</v>
      </c>
      <c r="J27" s="220"/>
      <c r="K27" s="164">
        <v>22</v>
      </c>
      <c r="L27" s="161">
        <f t="shared" si="34"/>
        <v>785623</v>
      </c>
      <c r="M27" s="162">
        <v>785910</v>
      </c>
      <c r="N27" s="155">
        <f t="shared" si="20"/>
        <v>287</v>
      </c>
      <c r="O27" s="157"/>
      <c r="P27" s="164">
        <v>22</v>
      </c>
      <c r="Q27" s="161">
        <f t="shared" si="35"/>
        <v>214276</v>
      </c>
      <c r="R27" s="162">
        <v>214325</v>
      </c>
      <c r="S27" s="155">
        <f t="shared" si="21"/>
        <v>49</v>
      </c>
      <c r="T27" s="156"/>
      <c r="U27" s="158">
        <v>22</v>
      </c>
      <c r="V27" s="243">
        <f t="shared" si="22"/>
        <v>426</v>
      </c>
      <c r="W27" s="159">
        <f>'Maldives at LG Daily'!I26</f>
        <v>54</v>
      </c>
      <c r="X27" s="166"/>
      <c r="Z27" s="235">
        <v>22</v>
      </c>
      <c r="AA27" s="163">
        <f t="shared" si="36"/>
        <v>40409</v>
      </c>
      <c r="AB27" s="163">
        <v>40438</v>
      </c>
      <c r="AC27" s="163">
        <f t="shared" si="23"/>
        <v>29</v>
      </c>
      <c r="AD27" s="163">
        <f t="shared" si="82"/>
        <v>2</v>
      </c>
      <c r="AE27" s="342"/>
      <c r="AF27" s="235">
        <f t="shared" si="37"/>
        <v>8850</v>
      </c>
      <c r="AG27" s="163">
        <v>8856</v>
      </c>
      <c r="AH27" s="163">
        <f t="shared" si="24"/>
        <v>6</v>
      </c>
      <c r="AI27" s="163">
        <f t="shared" si="83"/>
        <v>0</v>
      </c>
      <c r="AJ27" s="163"/>
      <c r="AK27" s="235">
        <f t="shared" si="38"/>
        <v>7030</v>
      </c>
      <c r="AL27" s="163">
        <v>7040</v>
      </c>
      <c r="AM27" s="163">
        <f t="shared" si="25"/>
        <v>10</v>
      </c>
      <c r="AN27" s="163">
        <f t="shared" si="39"/>
        <v>1</v>
      </c>
      <c r="AO27" s="163"/>
      <c r="AP27" s="235">
        <f t="shared" si="40"/>
        <v>15759</v>
      </c>
      <c r="AQ27" s="163">
        <v>15770</v>
      </c>
      <c r="AR27" s="163">
        <f t="shared" si="26"/>
        <v>11</v>
      </c>
      <c r="AS27" s="163">
        <f t="shared" si="41"/>
        <v>0</v>
      </c>
      <c r="AT27" s="163"/>
      <c r="AU27" s="235">
        <f t="shared" si="42"/>
        <v>33104</v>
      </c>
      <c r="AV27" s="163">
        <v>33113</v>
      </c>
      <c r="AW27" s="163">
        <f t="shared" si="0"/>
        <v>9</v>
      </c>
      <c r="AX27" s="163">
        <f t="shared" si="43"/>
        <v>-4</v>
      </c>
      <c r="AY27" s="163"/>
      <c r="AZ27" s="235">
        <f t="shared" si="44"/>
        <v>7159</v>
      </c>
      <c r="BA27" s="163">
        <v>7168</v>
      </c>
      <c r="BB27" s="163">
        <f t="shared" si="1"/>
        <v>9</v>
      </c>
      <c r="BC27" s="163">
        <f t="shared" si="45"/>
        <v>1</v>
      </c>
      <c r="BD27" s="163"/>
      <c r="BE27" s="235">
        <f t="shared" si="46"/>
        <v>23511</v>
      </c>
      <c r="BF27" s="163">
        <f>23511+8</f>
        <v>23519</v>
      </c>
      <c r="BG27" s="163">
        <f t="shared" si="2"/>
        <v>8</v>
      </c>
      <c r="BH27" s="163">
        <f t="shared" si="47"/>
        <v>0</v>
      </c>
      <c r="BI27" s="163"/>
      <c r="BJ27" s="235">
        <f t="shared" si="48"/>
        <v>7592</v>
      </c>
      <c r="BK27" s="163">
        <v>7599</v>
      </c>
      <c r="BL27" s="163">
        <f t="shared" si="3"/>
        <v>7</v>
      </c>
      <c r="BM27" s="163">
        <f t="shared" si="49"/>
        <v>-5</v>
      </c>
      <c r="BN27" s="163"/>
      <c r="BO27" s="235">
        <f t="shared" si="50"/>
        <v>3631</v>
      </c>
      <c r="BP27" s="163">
        <v>3635</v>
      </c>
      <c r="BQ27" s="163">
        <f t="shared" si="4"/>
        <v>4</v>
      </c>
      <c r="BR27" s="163">
        <f t="shared" si="51"/>
        <v>2</v>
      </c>
      <c r="BS27" s="163"/>
      <c r="BT27" s="235">
        <f t="shared" si="52"/>
        <v>1630</v>
      </c>
      <c r="BU27" s="163">
        <v>1632</v>
      </c>
      <c r="BV27" s="163">
        <f t="shared" si="5"/>
        <v>2</v>
      </c>
      <c r="BW27" s="163">
        <f t="shared" si="53"/>
        <v>0</v>
      </c>
      <c r="BX27" s="163"/>
      <c r="BY27" s="241">
        <f t="shared" si="54"/>
        <v>27370</v>
      </c>
      <c r="BZ27" s="163">
        <v>27376</v>
      </c>
      <c r="CA27" s="163">
        <f t="shared" si="6"/>
        <v>6</v>
      </c>
      <c r="CB27" s="163">
        <f t="shared" si="55"/>
        <v>0</v>
      </c>
      <c r="CC27" s="233"/>
      <c r="CD27" s="241">
        <f t="shared" si="56"/>
        <v>2788</v>
      </c>
      <c r="CE27" s="163">
        <v>2790</v>
      </c>
      <c r="CF27" s="163">
        <f t="shared" si="7"/>
        <v>2</v>
      </c>
      <c r="CG27" s="163">
        <f t="shared" si="57"/>
        <v>0</v>
      </c>
      <c r="CH27" s="233"/>
      <c r="CI27" s="241">
        <f t="shared" si="58"/>
        <v>75757</v>
      </c>
      <c r="CJ27" s="163">
        <v>75777</v>
      </c>
      <c r="CK27" s="163">
        <f t="shared" si="8"/>
        <v>20</v>
      </c>
      <c r="CL27" s="163">
        <f t="shared" si="59"/>
        <v>3</v>
      </c>
      <c r="CM27" s="233"/>
      <c r="CN27" s="241">
        <f t="shared" si="60"/>
        <v>23947</v>
      </c>
      <c r="CO27" s="163">
        <v>23953</v>
      </c>
      <c r="CP27" s="163">
        <f t="shared" si="9"/>
        <v>6</v>
      </c>
      <c r="CQ27" s="163">
        <f t="shared" si="61"/>
        <v>0</v>
      </c>
      <c r="CR27" s="233"/>
      <c r="CS27" s="241">
        <f t="shared" si="62"/>
        <v>12553</v>
      </c>
      <c r="CT27" s="163">
        <v>12554</v>
      </c>
      <c r="CU27" s="163">
        <f t="shared" si="10"/>
        <v>1</v>
      </c>
      <c r="CV27" s="163">
        <f t="shared" si="63"/>
        <v>0</v>
      </c>
      <c r="CW27" s="233"/>
      <c r="CX27" s="241">
        <f t="shared" si="64"/>
        <v>18049</v>
      </c>
      <c r="CY27" s="163">
        <v>18055</v>
      </c>
      <c r="CZ27" s="163">
        <f t="shared" si="11"/>
        <v>6</v>
      </c>
      <c r="DA27" s="163">
        <f t="shared" si="65"/>
        <v>-3</v>
      </c>
      <c r="DB27" s="233"/>
      <c r="DC27" s="241">
        <f t="shared" si="66"/>
        <v>19934</v>
      </c>
      <c r="DD27" s="163">
        <v>19938</v>
      </c>
      <c r="DE27" s="163">
        <f t="shared" si="12"/>
        <v>4</v>
      </c>
      <c r="DF27" s="163">
        <f t="shared" si="67"/>
        <v>1</v>
      </c>
      <c r="DG27" s="233"/>
      <c r="DH27" s="241">
        <f t="shared" si="68"/>
        <v>8831</v>
      </c>
      <c r="DI27" s="163">
        <v>8835</v>
      </c>
      <c r="DJ27" s="163">
        <f t="shared" si="13"/>
        <v>4</v>
      </c>
      <c r="DK27" s="163">
        <f t="shared" si="69"/>
        <v>-1</v>
      </c>
      <c r="DL27" s="233"/>
      <c r="DM27" s="241">
        <f t="shared" si="70"/>
        <v>20825</v>
      </c>
      <c r="DN27" s="163">
        <v>20848</v>
      </c>
      <c r="DO27" s="163">
        <f t="shared" si="14"/>
        <v>23</v>
      </c>
      <c r="DP27" s="163">
        <f t="shared" si="71"/>
        <v>4</v>
      </c>
      <c r="DQ27" s="233"/>
      <c r="DR27" s="241">
        <f t="shared" si="72"/>
        <v>2131</v>
      </c>
      <c r="DS27" s="163">
        <v>2135</v>
      </c>
      <c r="DT27" s="163">
        <f t="shared" si="15"/>
        <v>4</v>
      </c>
      <c r="DU27" s="163">
        <f t="shared" si="73"/>
        <v>2</v>
      </c>
      <c r="DV27" s="233"/>
      <c r="DW27" s="241">
        <f t="shared" si="74"/>
        <v>9935</v>
      </c>
      <c r="DX27" s="163">
        <v>9946</v>
      </c>
      <c r="DY27" s="163">
        <f t="shared" si="75"/>
        <v>11</v>
      </c>
      <c r="DZ27" s="163">
        <f t="shared" si="76"/>
        <v>6</v>
      </c>
      <c r="EA27" s="233"/>
      <c r="EB27" s="241">
        <f t="shared" si="87"/>
        <v>1112</v>
      </c>
      <c r="EC27" s="163">
        <v>1122</v>
      </c>
      <c r="ED27" s="233">
        <f t="shared" si="27"/>
        <v>10</v>
      </c>
      <c r="EE27" s="241">
        <f t="shared" si="84"/>
        <v>735</v>
      </c>
      <c r="EF27" s="163">
        <v>743</v>
      </c>
      <c r="EG27" s="233">
        <f t="shared" si="28"/>
        <v>8</v>
      </c>
      <c r="EH27" s="241">
        <f t="shared" si="85"/>
        <v>510</v>
      </c>
      <c r="EI27" s="163">
        <v>517</v>
      </c>
      <c r="EJ27" s="233">
        <f t="shared" si="29"/>
        <v>7</v>
      </c>
      <c r="EK27" s="241">
        <f t="shared" si="86"/>
        <v>519</v>
      </c>
      <c r="EL27" s="163">
        <v>524</v>
      </c>
      <c r="EM27" s="233">
        <f t="shared" si="30"/>
        <v>5</v>
      </c>
      <c r="EN27" s="241">
        <f t="shared" si="81"/>
        <v>216</v>
      </c>
      <c r="EO27" s="163">
        <v>219</v>
      </c>
      <c r="EP27" s="233">
        <f t="shared" si="31"/>
        <v>3</v>
      </c>
      <c r="EQ27" s="241">
        <f t="shared" si="16"/>
        <v>66</v>
      </c>
      <c r="ER27" s="163">
        <f t="shared" si="17"/>
        <v>15.492957746478872</v>
      </c>
      <c r="ES27" s="233"/>
    </row>
    <row r="28" spans="1:149" ht="15" customHeight="1" x14ac:dyDescent="0.2">
      <c r="A28" s="164">
        <v>23</v>
      </c>
      <c r="B28" s="161">
        <f t="shared" si="32"/>
        <v>18798</v>
      </c>
      <c r="C28" s="162">
        <v>18847</v>
      </c>
      <c r="D28" s="155">
        <f t="shared" si="18"/>
        <v>49</v>
      </c>
      <c r="E28" s="220"/>
      <c r="F28" s="164">
        <v>23</v>
      </c>
      <c r="G28" s="161">
        <f t="shared" si="33"/>
        <v>18334</v>
      </c>
      <c r="H28" s="162">
        <v>18434</v>
      </c>
      <c r="I28" s="155">
        <f t="shared" si="19"/>
        <v>100</v>
      </c>
      <c r="J28" s="220"/>
      <c r="K28" s="164">
        <v>23</v>
      </c>
      <c r="L28" s="161">
        <f t="shared" si="34"/>
        <v>785910</v>
      </c>
      <c r="M28" s="162">
        <v>786200</v>
      </c>
      <c r="N28" s="155">
        <f t="shared" si="20"/>
        <v>290</v>
      </c>
      <c r="O28" s="157"/>
      <c r="P28" s="164">
        <v>23</v>
      </c>
      <c r="Q28" s="161">
        <f t="shared" si="35"/>
        <v>214325</v>
      </c>
      <c r="R28" s="162">
        <v>214367</v>
      </c>
      <c r="S28" s="155">
        <f t="shared" si="21"/>
        <v>42</v>
      </c>
      <c r="T28" s="156"/>
      <c r="U28" s="164">
        <v>23</v>
      </c>
      <c r="V28" s="243">
        <f t="shared" si="22"/>
        <v>481</v>
      </c>
      <c r="W28" s="159">
        <f>'Maldives at LG Daily'!I27</f>
        <v>60</v>
      </c>
      <c r="X28" s="166"/>
      <c r="Z28" s="235">
        <v>23</v>
      </c>
      <c r="AA28" s="163">
        <f t="shared" si="36"/>
        <v>40438</v>
      </c>
      <c r="AB28" s="163">
        <v>40473</v>
      </c>
      <c r="AC28" s="163">
        <f t="shared" si="23"/>
        <v>35</v>
      </c>
      <c r="AD28" s="163">
        <f t="shared" si="82"/>
        <v>6</v>
      </c>
      <c r="AE28" s="342"/>
      <c r="AF28" s="235">
        <f t="shared" si="37"/>
        <v>8856</v>
      </c>
      <c r="AG28" s="163">
        <v>8864</v>
      </c>
      <c r="AH28" s="163">
        <f t="shared" si="24"/>
        <v>8</v>
      </c>
      <c r="AI28" s="163">
        <f t="shared" si="83"/>
        <v>2</v>
      </c>
      <c r="AJ28" s="163"/>
      <c r="AK28" s="235">
        <f t="shared" si="38"/>
        <v>7040</v>
      </c>
      <c r="AL28" s="163">
        <v>7050</v>
      </c>
      <c r="AM28" s="163">
        <f t="shared" si="25"/>
        <v>10</v>
      </c>
      <c r="AN28" s="163">
        <f t="shared" si="39"/>
        <v>0</v>
      </c>
      <c r="AO28" s="163"/>
      <c r="AP28" s="235">
        <f t="shared" si="40"/>
        <v>15770</v>
      </c>
      <c r="AQ28" s="163">
        <v>15782</v>
      </c>
      <c r="AR28" s="163">
        <f t="shared" si="26"/>
        <v>12</v>
      </c>
      <c r="AS28" s="163">
        <f t="shared" si="41"/>
        <v>1</v>
      </c>
      <c r="AT28" s="163"/>
      <c r="AU28" s="235">
        <f t="shared" si="42"/>
        <v>33113</v>
      </c>
      <c r="AV28" s="163">
        <v>33123</v>
      </c>
      <c r="AW28" s="163">
        <f t="shared" si="0"/>
        <v>10</v>
      </c>
      <c r="AX28" s="163">
        <f t="shared" si="43"/>
        <v>1</v>
      </c>
      <c r="AY28" s="163"/>
      <c r="AZ28" s="235">
        <f t="shared" si="44"/>
        <v>7168</v>
      </c>
      <c r="BA28" s="163">
        <v>7176</v>
      </c>
      <c r="BB28" s="163">
        <f t="shared" si="1"/>
        <v>8</v>
      </c>
      <c r="BC28" s="163">
        <f t="shared" si="45"/>
        <v>-1</v>
      </c>
      <c r="BD28" s="163"/>
      <c r="BE28" s="235">
        <f t="shared" si="46"/>
        <v>23519</v>
      </c>
      <c r="BF28" s="163">
        <v>23529</v>
      </c>
      <c r="BG28" s="163">
        <f t="shared" si="2"/>
        <v>10</v>
      </c>
      <c r="BH28" s="163">
        <f t="shared" si="47"/>
        <v>2</v>
      </c>
      <c r="BI28" s="163"/>
      <c r="BJ28" s="235">
        <f t="shared" si="48"/>
        <v>7599</v>
      </c>
      <c r="BK28" s="163">
        <v>7609</v>
      </c>
      <c r="BL28" s="163">
        <f t="shared" si="3"/>
        <v>10</v>
      </c>
      <c r="BM28" s="163">
        <f t="shared" si="49"/>
        <v>3</v>
      </c>
      <c r="BN28" s="163"/>
      <c r="BO28" s="235">
        <f t="shared" si="50"/>
        <v>3635</v>
      </c>
      <c r="BP28" s="163">
        <v>3637</v>
      </c>
      <c r="BQ28" s="163">
        <f t="shared" si="4"/>
        <v>2</v>
      </c>
      <c r="BR28" s="163">
        <f t="shared" si="51"/>
        <v>-2</v>
      </c>
      <c r="BS28" s="163"/>
      <c r="BT28" s="235">
        <f t="shared" si="52"/>
        <v>1632</v>
      </c>
      <c r="BU28" s="163">
        <v>1632</v>
      </c>
      <c r="BV28" s="163">
        <f t="shared" si="5"/>
        <v>0</v>
      </c>
      <c r="BW28" s="163">
        <f t="shared" si="53"/>
        <v>-2</v>
      </c>
      <c r="BX28" s="163"/>
      <c r="BY28" s="241">
        <f t="shared" si="54"/>
        <v>27376</v>
      </c>
      <c r="BZ28" s="163">
        <v>27382</v>
      </c>
      <c r="CA28" s="163">
        <f t="shared" si="6"/>
        <v>6</v>
      </c>
      <c r="CB28" s="163">
        <f t="shared" si="55"/>
        <v>0</v>
      </c>
      <c r="CC28" s="233"/>
      <c r="CD28" s="241">
        <f t="shared" si="56"/>
        <v>2790</v>
      </c>
      <c r="CE28" s="163">
        <v>2790</v>
      </c>
      <c r="CF28" s="163">
        <f t="shared" si="7"/>
        <v>0</v>
      </c>
      <c r="CG28" s="163">
        <f t="shared" si="57"/>
        <v>-2</v>
      </c>
      <c r="CH28" s="233"/>
      <c r="CI28" s="241">
        <f t="shared" si="58"/>
        <v>75777</v>
      </c>
      <c r="CJ28" s="163">
        <v>75849</v>
      </c>
      <c r="CK28" s="163">
        <f t="shared" si="8"/>
        <v>72</v>
      </c>
      <c r="CL28" s="163">
        <f t="shared" si="59"/>
        <v>52</v>
      </c>
      <c r="CM28" s="233"/>
      <c r="CN28" s="241">
        <f t="shared" si="60"/>
        <v>23953</v>
      </c>
      <c r="CO28" s="163">
        <v>23959</v>
      </c>
      <c r="CP28" s="163">
        <f t="shared" si="9"/>
        <v>6</v>
      </c>
      <c r="CQ28" s="163">
        <f t="shared" si="61"/>
        <v>0</v>
      </c>
      <c r="CR28" s="233"/>
      <c r="CS28" s="241">
        <f t="shared" si="62"/>
        <v>12554</v>
      </c>
      <c r="CT28" s="163">
        <v>12555</v>
      </c>
      <c r="CU28" s="163">
        <f t="shared" si="10"/>
        <v>1</v>
      </c>
      <c r="CV28" s="163">
        <f t="shared" si="63"/>
        <v>0</v>
      </c>
      <c r="CW28" s="233"/>
      <c r="CX28" s="241">
        <f t="shared" si="64"/>
        <v>18055</v>
      </c>
      <c r="CY28" s="163">
        <v>18060</v>
      </c>
      <c r="CZ28" s="163">
        <f t="shared" si="11"/>
        <v>5</v>
      </c>
      <c r="DA28" s="163">
        <f t="shared" si="65"/>
        <v>-1</v>
      </c>
      <c r="DB28" s="233"/>
      <c r="DC28" s="241">
        <f t="shared" si="66"/>
        <v>19938</v>
      </c>
      <c r="DD28" s="163">
        <v>19942</v>
      </c>
      <c r="DE28" s="163">
        <f t="shared" si="12"/>
        <v>4</v>
      </c>
      <c r="DF28" s="163">
        <f t="shared" si="67"/>
        <v>0</v>
      </c>
      <c r="DG28" s="233"/>
      <c r="DH28" s="241">
        <f t="shared" si="68"/>
        <v>8835</v>
      </c>
      <c r="DI28" s="163">
        <v>8838</v>
      </c>
      <c r="DJ28" s="163">
        <f t="shared" si="13"/>
        <v>3</v>
      </c>
      <c r="DK28" s="163">
        <f t="shared" si="69"/>
        <v>-1</v>
      </c>
      <c r="DL28" s="233"/>
      <c r="DM28" s="241">
        <f t="shared" si="70"/>
        <v>20848</v>
      </c>
      <c r="DN28" s="163">
        <v>20877</v>
      </c>
      <c r="DO28" s="163">
        <f t="shared" si="14"/>
        <v>29</v>
      </c>
      <c r="DP28" s="163">
        <f t="shared" si="71"/>
        <v>6</v>
      </c>
      <c r="DQ28" s="233"/>
      <c r="DR28" s="241">
        <f t="shared" si="72"/>
        <v>2135</v>
      </c>
      <c r="DS28" s="163">
        <v>2139</v>
      </c>
      <c r="DT28" s="163">
        <f t="shared" si="15"/>
        <v>4</v>
      </c>
      <c r="DU28" s="163">
        <f t="shared" si="73"/>
        <v>0</v>
      </c>
      <c r="DV28" s="233"/>
      <c r="DW28" s="241">
        <f t="shared" si="74"/>
        <v>9946</v>
      </c>
      <c r="DX28" s="163">
        <v>9947</v>
      </c>
      <c r="DY28" s="163">
        <f t="shared" si="75"/>
        <v>1</v>
      </c>
      <c r="DZ28" s="163">
        <f t="shared" si="76"/>
        <v>-10</v>
      </c>
      <c r="EA28" s="233"/>
      <c r="EB28" s="241">
        <f t="shared" si="87"/>
        <v>1122</v>
      </c>
      <c r="EC28" s="163">
        <v>1133</v>
      </c>
      <c r="ED28" s="233">
        <f t="shared" si="27"/>
        <v>11</v>
      </c>
      <c r="EE28" s="241">
        <f t="shared" si="84"/>
        <v>743</v>
      </c>
      <c r="EF28" s="163">
        <v>750</v>
      </c>
      <c r="EG28" s="233">
        <f t="shared" si="28"/>
        <v>7</v>
      </c>
      <c r="EH28" s="241">
        <f t="shared" si="85"/>
        <v>517</v>
      </c>
      <c r="EI28" s="163">
        <v>523</v>
      </c>
      <c r="EJ28" s="233">
        <f t="shared" si="29"/>
        <v>6</v>
      </c>
      <c r="EK28" s="241">
        <f t="shared" si="86"/>
        <v>524</v>
      </c>
      <c r="EL28" s="163">
        <v>528</v>
      </c>
      <c r="EM28" s="233">
        <f t="shared" si="30"/>
        <v>4</v>
      </c>
      <c r="EN28" s="241">
        <f t="shared" si="81"/>
        <v>219</v>
      </c>
      <c r="EO28" s="163">
        <v>222</v>
      </c>
      <c r="EP28" s="233">
        <f t="shared" si="31"/>
        <v>3</v>
      </c>
      <c r="EQ28" s="241">
        <f t="shared" si="16"/>
        <v>70</v>
      </c>
      <c r="ER28" s="163">
        <f t="shared" si="17"/>
        <v>14.553014553014554</v>
      </c>
      <c r="ES28" s="233"/>
    </row>
    <row r="29" spans="1:149" ht="15" customHeight="1" x14ac:dyDescent="0.2">
      <c r="A29" s="164">
        <v>24</v>
      </c>
      <c r="B29" s="161">
        <f t="shared" si="32"/>
        <v>18847</v>
      </c>
      <c r="C29" s="162">
        <v>18894</v>
      </c>
      <c r="D29" s="155">
        <f t="shared" si="18"/>
        <v>47</v>
      </c>
      <c r="E29" s="220"/>
      <c r="F29" s="164">
        <v>24</v>
      </c>
      <c r="G29" s="161">
        <f t="shared" si="33"/>
        <v>18434</v>
      </c>
      <c r="H29" s="162">
        <v>18588</v>
      </c>
      <c r="I29" s="155">
        <f t="shared" si="19"/>
        <v>154</v>
      </c>
      <c r="J29" s="220"/>
      <c r="K29" s="164">
        <v>24</v>
      </c>
      <c r="L29" s="161">
        <f t="shared" si="34"/>
        <v>786200</v>
      </c>
      <c r="M29" s="162">
        <v>786468</v>
      </c>
      <c r="N29" s="155">
        <f t="shared" si="20"/>
        <v>268</v>
      </c>
      <c r="O29" s="157"/>
      <c r="P29" s="164">
        <v>24</v>
      </c>
      <c r="Q29" s="161">
        <f t="shared" si="35"/>
        <v>214367</v>
      </c>
      <c r="R29" s="162">
        <v>214408</v>
      </c>
      <c r="S29" s="155">
        <f t="shared" si="21"/>
        <v>41</v>
      </c>
      <c r="T29" s="156"/>
      <c r="U29" s="158">
        <v>24</v>
      </c>
      <c r="V29" s="243">
        <f t="shared" si="22"/>
        <v>510</v>
      </c>
      <c r="W29" s="159">
        <f>'Maldives at LG Daily'!I28</f>
        <v>67</v>
      </c>
      <c r="X29" s="166"/>
      <c r="Z29" s="235">
        <v>24</v>
      </c>
      <c r="AA29" s="163">
        <f t="shared" si="36"/>
        <v>40473</v>
      </c>
      <c r="AB29" s="163">
        <v>40501</v>
      </c>
      <c r="AC29" s="163">
        <f t="shared" si="23"/>
        <v>28</v>
      </c>
      <c r="AD29" s="163">
        <f t="shared" si="82"/>
        <v>-7</v>
      </c>
      <c r="AE29" s="342"/>
      <c r="AF29" s="235">
        <f t="shared" si="37"/>
        <v>8864</v>
      </c>
      <c r="AG29" s="163">
        <v>8870</v>
      </c>
      <c r="AH29" s="163">
        <f t="shared" si="24"/>
        <v>6</v>
      </c>
      <c r="AI29" s="163">
        <f t="shared" si="83"/>
        <v>-2</v>
      </c>
      <c r="AJ29" s="163"/>
      <c r="AK29" s="235">
        <f t="shared" si="38"/>
        <v>7050</v>
      </c>
      <c r="AL29" s="163">
        <v>7060</v>
      </c>
      <c r="AM29" s="163">
        <f t="shared" si="25"/>
        <v>10</v>
      </c>
      <c r="AN29" s="163">
        <f t="shared" si="39"/>
        <v>0</v>
      </c>
      <c r="AO29" s="163"/>
      <c r="AP29" s="235">
        <f t="shared" si="40"/>
        <v>15782</v>
      </c>
      <c r="AQ29" s="163">
        <v>15793</v>
      </c>
      <c r="AR29" s="163">
        <f t="shared" si="26"/>
        <v>11</v>
      </c>
      <c r="AS29" s="163">
        <f t="shared" si="41"/>
        <v>-1</v>
      </c>
      <c r="AT29" s="163"/>
      <c r="AU29" s="235">
        <f t="shared" si="42"/>
        <v>33123</v>
      </c>
      <c r="AV29" s="163">
        <v>33133</v>
      </c>
      <c r="AW29" s="163">
        <f t="shared" si="0"/>
        <v>10</v>
      </c>
      <c r="AX29" s="163">
        <f t="shared" si="43"/>
        <v>0</v>
      </c>
      <c r="AY29" s="163"/>
      <c r="AZ29" s="235">
        <f t="shared" si="44"/>
        <v>7176</v>
      </c>
      <c r="BA29" s="163">
        <v>7184</v>
      </c>
      <c r="BB29" s="163">
        <f t="shared" si="1"/>
        <v>8</v>
      </c>
      <c r="BC29" s="163">
        <f t="shared" si="45"/>
        <v>0</v>
      </c>
      <c r="BD29" s="163"/>
      <c r="BE29" s="235">
        <f t="shared" si="46"/>
        <v>23529</v>
      </c>
      <c r="BF29" s="163">
        <v>23538</v>
      </c>
      <c r="BG29" s="163">
        <f t="shared" si="2"/>
        <v>9</v>
      </c>
      <c r="BH29" s="163">
        <f t="shared" si="47"/>
        <v>-1</v>
      </c>
      <c r="BI29" s="163"/>
      <c r="BJ29" s="235">
        <f t="shared" si="48"/>
        <v>7609</v>
      </c>
      <c r="BK29" s="163">
        <v>7617</v>
      </c>
      <c r="BL29" s="163">
        <f t="shared" si="3"/>
        <v>8</v>
      </c>
      <c r="BM29" s="163">
        <f t="shared" si="49"/>
        <v>-2</v>
      </c>
      <c r="BN29" s="163"/>
      <c r="BO29" s="235">
        <f t="shared" si="50"/>
        <v>3637</v>
      </c>
      <c r="BP29" s="163">
        <v>3639</v>
      </c>
      <c r="BQ29" s="163">
        <f t="shared" si="4"/>
        <v>2</v>
      </c>
      <c r="BR29" s="163">
        <f t="shared" si="51"/>
        <v>0</v>
      </c>
      <c r="BS29" s="163"/>
      <c r="BT29" s="235">
        <f t="shared" si="52"/>
        <v>1632</v>
      </c>
      <c r="BU29" s="163">
        <v>1633</v>
      </c>
      <c r="BV29" s="163">
        <f t="shared" si="5"/>
        <v>1</v>
      </c>
      <c r="BW29" s="163">
        <f t="shared" si="53"/>
        <v>1</v>
      </c>
      <c r="BX29" s="163"/>
      <c r="BY29" s="241">
        <f t="shared" si="54"/>
        <v>27382</v>
      </c>
      <c r="BZ29" s="163">
        <v>27388</v>
      </c>
      <c r="CA29" s="163">
        <f t="shared" si="6"/>
        <v>6</v>
      </c>
      <c r="CB29" s="163">
        <f t="shared" si="55"/>
        <v>0</v>
      </c>
      <c r="CC29" s="233"/>
      <c r="CD29" s="241">
        <f t="shared" si="56"/>
        <v>2790</v>
      </c>
      <c r="CE29" s="163">
        <v>2791</v>
      </c>
      <c r="CF29" s="163">
        <f t="shared" si="7"/>
        <v>1</v>
      </c>
      <c r="CG29" s="163">
        <f t="shared" si="57"/>
        <v>1</v>
      </c>
      <c r="CH29" s="233"/>
      <c r="CI29" s="241">
        <f t="shared" si="58"/>
        <v>75849</v>
      </c>
      <c r="CJ29" s="163">
        <v>75882</v>
      </c>
      <c r="CK29" s="163">
        <f t="shared" si="8"/>
        <v>33</v>
      </c>
      <c r="CL29" s="163">
        <f t="shared" si="59"/>
        <v>-39</v>
      </c>
      <c r="CM29" s="233"/>
      <c r="CN29" s="241">
        <f t="shared" si="60"/>
        <v>23959</v>
      </c>
      <c r="CO29" s="163">
        <v>23965</v>
      </c>
      <c r="CP29" s="163">
        <f t="shared" si="9"/>
        <v>6</v>
      </c>
      <c r="CQ29" s="163">
        <f t="shared" si="61"/>
        <v>0</v>
      </c>
      <c r="CR29" s="233"/>
      <c r="CS29" s="241">
        <f t="shared" si="62"/>
        <v>12555</v>
      </c>
      <c r="CT29" s="163">
        <v>12556</v>
      </c>
      <c r="CU29" s="163">
        <f t="shared" si="10"/>
        <v>1</v>
      </c>
      <c r="CV29" s="163">
        <f t="shared" si="63"/>
        <v>0</v>
      </c>
      <c r="CW29" s="233"/>
      <c r="CX29" s="241">
        <f t="shared" si="64"/>
        <v>18060</v>
      </c>
      <c r="CY29" s="163">
        <v>18067</v>
      </c>
      <c r="CZ29" s="163">
        <f t="shared" si="11"/>
        <v>7</v>
      </c>
      <c r="DA29" s="163">
        <f t="shared" si="65"/>
        <v>2</v>
      </c>
      <c r="DB29" s="233"/>
      <c r="DC29" s="241">
        <f t="shared" si="66"/>
        <v>19942</v>
      </c>
      <c r="DD29" s="163">
        <v>19945</v>
      </c>
      <c r="DE29" s="163">
        <f t="shared" si="12"/>
        <v>3</v>
      </c>
      <c r="DF29" s="163">
        <f t="shared" si="67"/>
        <v>-1</v>
      </c>
      <c r="DG29" s="233"/>
      <c r="DH29" s="241">
        <f t="shared" si="68"/>
        <v>8838</v>
      </c>
      <c r="DI29" s="163">
        <v>8842</v>
      </c>
      <c r="DJ29" s="163">
        <f t="shared" si="13"/>
        <v>4</v>
      </c>
      <c r="DK29" s="163">
        <f t="shared" si="69"/>
        <v>1</v>
      </c>
      <c r="DL29" s="233"/>
      <c r="DM29" s="241">
        <f t="shared" si="70"/>
        <v>20877</v>
      </c>
      <c r="DN29" s="163">
        <v>20901</v>
      </c>
      <c r="DO29" s="163">
        <f t="shared" si="14"/>
        <v>24</v>
      </c>
      <c r="DP29" s="163">
        <f t="shared" si="71"/>
        <v>-5</v>
      </c>
      <c r="DQ29" s="233"/>
      <c r="DR29" s="241">
        <f t="shared" si="72"/>
        <v>2139</v>
      </c>
      <c r="DS29" s="163">
        <v>2143</v>
      </c>
      <c r="DT29" s="163">
        <f t="shared" si="15"/>
        <v>4</v>
      </c>
      <c r="DU29" s="163">
        <f t="shared" si="73"/>
        <v>0</v>
      </c>
      <c r="DV29" s="233"/>
      <c r="DW29" s="241">
        <f t="shared" si="74"/>
        <v>9947</v>
      </c>
      <c r="DX29" s="163">
        <v>9950</v>
      </c>
      <c r="DY29" s="163">
        <f t="shared" si="75"/>
        <v>3</v>
      </c>
      <c r="DZ29" s="163">
        <f t="shared" si="76"/>
        <v>2</v>
      </c>
      <c r="EA29" s="233"/>
      <c r="EB29" s="241">
        <f t="shared" si="87"/>
        <v>1133</v>
      </c>
      <c r="EC29" s="163">
        <v>1144</v>
      </c>
      <c r="ED29" s="233">
        <f t="shared" si="27"/>
        <v>11</v>
      </c>
      <c r="EE29" s="241">
        <f t="shared" si="84"/>
        <v>750</v>
      </c>
      <c r="EF29" s="163">
        <v>757</v>
      </c>
      <c r="EG29" s="233">
        <f t="shared" si="28"/>
        <v>7</v>
      </c>
      <c r="EH29" s="241">
        <f t="shared" si="85"/>
        <v>523</v>
      </c>
      <c r="EI29" s="163">
        <v>528</v>
      </c>
      <c r="EJ29" s="233">
        <f t="shared" si="29"/>
        <v>5</v>
      </c>
      <c r="EK29" s="241">
        <f t="shared" si="86"/>
        <v>528</v>
      </c>
      <c r="EL29" s="163">
        <v>533</v>
      </c>
      <c r="EM29" s="233">
        <f t="shared" si="30"/>
        <v>5</v>
      </c>
      <c r="EN29" s="241">
        <f t="shared" si="81"/>
        <v>222</v>
      </c>
      <c r="EO29" s="163">
        <v>226</v>
      </c>
      <c r="EP29" s="233">
        <f t="shared" si="31"/>
        <v>4</v>
      </c>
      <c r="EQ29" s="241">
        <f t="shared" si="16"/>
        <v>65</v>
      </c>
      <c r="ER29" s="163">
        <f t="shared" si="17"/>
        <v>12.745098039215685</v>
      </c>
      <c r="ES29" s="233"/>
    </row>
    <row r="30" spans="1:149" ht="15" customHeight="1" x14ac:dyDescent="0.2">
      <c r="A30" s="164">
        <v>25</v>
      </c>
      <c r="B30" s="161">
        <f t="shared" si="32"/>
        <v>18894</v>
      </c>
      <c r="C30" s="167">
        <v>18950</v>
      </c>
      <c r="D30" s="155">
        <f t="shared" si="18"/>
        <v>56</v>
      </c>
      <c r="E30" s="220"/>
      <c r="F30" s="164">
        <v>25</v>
      </c>
      <c r="G30" s="161">
        <f t="shared" si="33"/>
        <v>18588</v>
      </c>
      <c r="H30" s="167">
        <v>18714</v>
      </c>
      <c r="I30" s="155">
        <f t="shared" si="19"/>
        <v>126</v>
      </c>
      <c r="J30" s="220"/>
      <c r="K30" s="164">
        <v>25</v>
      </c>
      <c r="L30" s="161">
        <f t="shared" si="34"/>
        <v>786468</v>
      </c>
      <c r="M30" s="167">
        <v>786713</v>
      </c>
      <c r="N30" s="155">
        <f t="shared" si="20"/>
        <v>245</v>
      </c>
      <c r="O30" s="157"/>
      <c r="P30" s="164">
        <v>25</v>
      </c>
      <c r="Q30" s="161">
        <f t="shared" si="35"/>
        <v>214408</v>
      </c>
      <c r="R30" s="167">
        <v>214440</v>
      </c>
      <c r="S30" s="155">
        <f t="shared" si="21"/>
        <v>32</v>
      </c>
      <c r="T30" s="156"/>
      <c r="U30" s="158">
        <v>25</v>
      </c>
      <c r="V30" s="243">
        <f t="shared" si="22"/>
        <v>459</v>
      </c>
      <c r="W30" s="159">
        <f>'Maldives at LG Daily'!I29</f>
        <v>66</v>
      </c>
      <c r="X30" s="166"/>
      <c r="Z30" s="235">
        <v>25</v>
      </c>
      <c r="AA30" s="163">
        <f t="shared" si="36"/>
        <v>40501</v>
      </c>
      <c r="AB30" s="163">
        <v>40530</v>
      </c>
      <c r="AC30" s="163">
        <f t="shared" si="23"/>
        <v>29</v>
      </c>
      <c r="AD30" s="163">
        <f t="shared" si="82"/>
        <v>1</v>
      </c>
      <c r="AE30" s="342"/>
      <c r="AF30" s="235">
        <f t="shared" si="37"/>
        <v>8870</v>
      </c>
      <c r="AG30" s="163">
        <v>8877</v>
      </c>
      <c r="AH30" s="163">
        <f t="shared" si="24"/>
        <v>7</v>
      </c>
      <c r="AI30" s="163">
        <f t="shared" si="83"/>
        <v>1</v>
      </c>
      <c r="AJ30" s="163"/>
      <c r="AK30" s="235">
        <f t="shared" si="38"/>
        <v>7060</v>
      </c>
      <c r="AL30" s="163">
        <v>7070</v>
      </c>
      <c r="AM30" s="163">
        <f t="shared" si="25"/>
        <v>10</v>
      </c>
      <c r="AN30" s="163">
        <f t="shared" si="39"/>
        <v>0</v>
      </c>
      <c r="AO30" s="163"/>
      <c r="AP30" s="235">
        <f t="shared" si="40"/>
        <v>15793</v>
      </c>
      <c r="AQ30" s="163">
        <v>15806</v>
      </c>
      <c r="AR30" s="163">
        <f t="shared" si="26"/>
        <v>13</v>
      </c>
      <c r="AS30" s="163">
        <f t="shared" si="41"/>
        <v>2</v>
      </c>
      <c r="AT30" s="163"/>
      <c r="AU30" s="235">
        <f t="shared" si="42"/>
        <v>33133</v>
      </c>
      <c r="AV30" s="163">
        <v>33145</v>
      </c>
      <c r="AW30" s="163">
        <f t="shared" si="0"/>
        <v>12</v>
      </c>
      <c r="AX30" s="163">
        <f t="shared" si="43"/>
        <v>2</v>
      </c>
      <c r="AY30" s="163"/>
      <c r="AZ30" s="235">
        <f t="shared" si="44"/>
        <v>7184</v>
      </c>
      <c r="BA30" s="163">
        <v>7193</v>
      </c>
      <c r="BB30" s="163">
        <f t="shared" si="1"/>
        <v>9</v>
      </c>
      <c r="BC30" s="163">
        <f t="shared" si="45"/>
        <v>1</v>
      </c>
      <c r="BD30" s="163"/>
      <c r="BE30" s="235">
        <f t="shared" si="46"/>
        <v>23538</v>
      </c>
      <c r="BF30" s="163">
        <v>23547</v>
      </c>
      <c r="BG30" s="163">
        <f t="shared" si="2"/>
        <v>9</v>
      </c>
      <c r="BH30" s="163">
        <f t="shared" si="47"/>
        <v>0</v>
      </c>
      <c r="BI30" s="163"/>
      <c r="BJ30" s="235">
        <f t="shared" si="48"/>
        <v>7617</v>
      </c>
      <c r="BK30" s="163">
        <v>7627</v>
      </c>
      <c r="BL30" s="163">
        <f t="shared" si="3"/>
        <v>10</v>
      </c>
      <c r="BM30" s="163">
        <f t="shared" si="49"/>
        <v>2</v>
      </c>
      <c r="BN30" s="163"/>
      <c r="BO30" s="235">
        <f t="shared" si="50"/>
        <v>3639</v>
      </c>
      <c r="BP30" s="163">
        <v>3642</v>
      </c>
      <c r="BQ30" s="163">
        <f t="shared" si="4"/>
        <v>3</v>
      </c>
      <c r="BR30" s="163">
        <f t="shared" si="51"/>
        <v>1</v>
      </c>
      <c r="BS30" s="163"/>
      <c r="BT30" s="235">
        <f t="shared" si="52"/>
        <v>1633</v>
      </c>
      <c r="BU30" s="163">
        <v>1634</v>
      </c>
      <c r="BV30" s="163">
        <f t="shared" si="5"/>
        <v>1</v>
      </c>
      <c r="BW30" s="163">
        <f t="shared" si="53"/>
        <v>0</v>
      </c>
      <c r="BX30" s="163"/>
      <c r="BY30" s="241">
        <f t="shared" si="54"/>
        <v>27388</v>
      </c>
      <c r="BZ30" s="163">
        <v>27396</v>
      </c>
      <c r="CA30" s="163">
        <f t="shared" si="6"/>
        <v>8</v>
      </c>
      <c r="CB30" s="163">
        <f t="shared" si="55"/>
        <v>2</v>
      </c>
      <c r="CC30" s="233"/>
      <c r="CD30" s="241">
        <f t="shared" si="56"/>
        <v>2791</v>
      </c>
      <c r="CE30" s="163">
        <v>2791</v>
      </c>
      <c r="CF30" s="163">
        <f t="shared" si="7"/>
        <v>0</v>
      </c>
      <c r="CG30" s="163">
        <f t="shared" si="57"/>
        <v>-1</v>
      </c>
      <c r="CH30" s="233"/>
      <c r="CI30" s="241">
        <f t="shared" si="58"/>
        <v>75882</v>
      </c>
      <c r="CJ30" s="163">
        <v>75918</v>
      </c>
      <c r="CK30" s="163">
        <f t="shared" si="8"/>
        <v>36</v>
      </c>
      <c r="CL30" s="163">
        <f t="shared" si="59"/>
        <v>3</v>
      </c>
      <c r="CM30" s="233"/>
      <c r="CN30" s="241">
        <f t="shared" si="60"/>
        <v>23965</v>
      </c>
      <c r="CO30" s="163">
        <v>23972</v>
      </c>
      <c r="CP30" s="163">
        <f t="shared" si="9"/>
        <v>7</v>
      </c>
      <c r="CQ30" s="163">
        <f t="shared" si="61"/>
        <v>1</v>
      </c>
      <c r="CR30" s="233"/>
      <c r="CS30" s="241">
        <f t="shared" si="62"/>
        <v>12556</v>
      </c>
      <c r="CT30" s="163">
        <v>12557</v>
      </c>
      <c r="CU30" s="163">
        <f t="shared" si="10"/>
        <v>1</v>
      </c>
      <c r="CV30" s="163">
        <f t="shared" si="63"/>
        <v>0</v>
      </c>
      <c r="CW30" s="233"/>
      <c r="CX30" s="241">
        <f t="shared" si="64"/>
        <v>18067</v>
      </c>
      <c r="CY30" s="163">
        <v>18074</v>
      </c>
      <c r="CZ30" s="163">
        <f t="shared" si="11"/>
        <v>7</v>
      </c>
      <c r="DA30" s="163">
        <f t="shared" si="65"/>
        <v>0</v>
      </c>
      <c r="DB30" s="233"/>
      <c r="DC30" s="241">
        <f t="shared" si="66"/>
        <v>19945</v>
      </c>
      <c r="DD30" s="163">
        <v>19951</v>
      </c>
      <c r="DE30" s="163">
        <f t="shared" si="12"/>
        <v>6</v>
      </c>
      <c r="DF30" s="163">
        <f t="shared" si="67"/>
        <v>3</v>
      </c>
      <c r="DG30" s="233"/>
      <c r="DH30" s="241">
        <f t="shared" si="68"/>
        <v>8842</v>
      </c>
      <c r="DI30" s="163">
        <v>8844</v>
      </c>
      <c r="DJ30" s="163">
        <f t="shared" si="13"/>
        <v>2</v>
      </c>
      <c r="DK30" s="163">
        <f t="shared" si="69"/>
        <v>-2</v>
      </c>
      <c r="DL30" s="233"/>
      <c r="DM30" s="241">
        <f t="shared" si="70"/>
        <v>20901</v>
      </c>
      <c r="DN30" s="163">
        <f>20901+24</f>
        <v>20925</v>
      </c>
      <c r="DO30" s="163">
        <f>DN30-DM30</f>
        <v>24</v>
      </c>
      <c r="DP30" s="163">
        <f t="shared" si="71"/>
        <v>0</v>
      </c>
      <c r="DQ30" s="233"/>
      <c r="DR30" s="241">
        <f t="shared" si="72"/>
        <v>2143</v>
      </c>
      <c r="DS30" s="163">
        <v>2146</v>
      </c>
      <c r="DT30" s="163">
        <f t="shared" si="15"/>
        <v>3</v>
      </c>
      <c r="DU30" s="163">
        <f t="shared" si="73"/>
        <v>-1</v>
      </c>
      <c r="DV30" s="233"/>
      <c r="DW30" s="241">
        <f t="shared" si="74"/>
        <v>9950</v>
      </c>
      <c r="DX30" s="163">
        <v>9950</v>
      </c>
      <c r="DY30" s="163">
        <f t="shared" si="75"/>
        <v>0</v>
      </c>
      <c r="DZ30" s="163">
        <f t="shared" si="76"/>
        <v>-3</v>
      </c>
      <c r="EA30" s="233"/>
      <c r="EB30" s="241">
        <f t="shared" si="87"/>
        <v>1144</v>
      </c>
      <c r="EC30" s="163">
        <v>1156</v>
      </c>
      <c r="ED30" s="233">
        <f t="shared" si="27"/>
        <v>12</v>
      </c>
      <c r="EE30" s="241">
        <f t="shared" si="84"/>
        <v>757</v>
      </c>
      <c r="EF30" s="163">
        <v>766</v>
      </c>
      <c r="EG30" s="233">
        <f t="shared" si="28"/>
        <v>9</v>
      </c>
      <c r="EH30" s="241">
        <f t="shared" si="85"/>
        <v>528</v>
      </c>
      <c r="EI30" s="163">
        <v>539</v>
      </c>
      <c r="EJ30" s="233">
        <f t="shared" si="29"/>
        <v>11</v>
      </c>
      <c r="EK30" s="241">
        <f t="shared" si="86"/>
        <v>533</v>
      </c>
      <c r="EL30" s="163">
        <v>534</v>
      </c>
      <c r="EM30" s="233">
        <f t="shared" si="30"/>
        <v>1</v>
      </c>
      <c r="EN30" s="241">
        <f t="shared" si="81"/>
        <v>226</v>
      </c>
      <c r="EO30" s="163">
        <v>229</v>
      </c>
      <c r="EP30" s="233">
        <f t="shared" si="31"/>
        <v>3</v>
      </c>
      <c r="EQ30" s="241">
        <f t="shared" si="16"/>
        <v>74</v>
      </c>
      <c r="ER30" s="163">
        <f t="shared" si="17"/>
        <v>16.122004357298476</v>
      </c>
      <c r="ES30" s="233"/>
    </row>
    <row r="31" spans="1:149" s="172" customFormat="1" ht="15" customHeight="1" x14ac:dyDescent="0.2">
      <c r="A31" s="164">
        <v>26</v>
      </c>
      <c r="B31" s="161">
        <f t="shared" si="32"/>
        <v>18950</v>
      </c>
      <c r="C31" s="162">
        <v>18999</v>
      </c>
      <c r="D31" s="155">
        <f t="shared" si="18"/>
        <v>49</v>
      </c>
      <c r="E31" s="223"/>
      <c r="F31" s="164">
        <v>26</v>
      </c>
      <c r="G31" s="161">
        <f t="shared" si="33"/>
        <v>18714</v>
      </c>
      <c r="H31" s="162">
        <v>18849</v>
      </c>
      <c r="I31" s="155">
        <f t="shared" si="19"/>
        <v>135</v>
      </c>
      <c r="J31" s="223"/>
      <c r="K31" s="164">
        <v>26</v>
      </c>
      <c r="L31" s="161">
        <f t="shared" si="34"/>
        <v>786713</v>
      </c>
      <c r="M31" s="162">
        <v>786964</v>
      </c>
      <c r="N31" s="155">
        <f t="shared" si="20"/>
        <v>251</v>
      </c>
      <c r="O31" s="224"/>
      <c r="P31" s="164">
        <v>26</v>
      </c>
      <c r="Q31" s="161">
        <f t="shared" si="35"/>
        <v>214440</v>
      </c>
      <c r="R31" s="162">
        <v>214459</v>
      </c>
      <c r="S31" s="155">
        <f t="shared" si="21"/>
        <v>19</v>
      </c>
      <c r="T31" s="225"/>
      <c r="U31" s="164">
        <v>26</v>
      </c>
      <c r="V31" s="244">
        <f t="shared" si="22"/>
        <v>454</v>
      </c>
      <c r="W31" s="159">
        <f>'Maldives at LG Daily'!I30</f>
        <v>0</v>
      </c>
      <c r="X31" s="226"/>
      <c r="Z31" s="235">
        <v>26</v>
      </c>
      <c r="AA31" s="163">
        <f t="shared" si="36"/>
        <v>40530</v>
      </c>
      <c r="AB31" s="222">
        <v>40555</v>
      </c>
      <c r="AC31" s="163">
        <f t="shared" si="23"/>
        <v>25</v>
      </c>
      <c r="AD31" s="163">
        <f t="shared" si="82"/>
        <v>-4</v>
      </c>
      <c r="AE31" s="342"/>
      <c r="AF31" s="235">
        <f t="shared" si="37"/>
        <v>8877</v>
      </c>
      <c r="AG31" s="163">
        <v>8883</v>
      </c>
      <c r="AH31" s="222">
        <f t="shared" si="24"/>
        <v>6</v>
      </c>
      <c r="AI31" s="163">
        <f t="shared" si="83"/>
        <v>-1</v>
      </c>
      <c r="AJ31" s="163"/>
      <c r="AK31" s="235">
        <f t="shared" si="38"/>
        <v>7070</v>
      </c>
      <c r="AL31" s="163">
        <v>7080</v>
      </c>
      <c r="AM31" s="222">
        <f t="shared" si="25"/>
        <v>10</v>
      </c>
      <c r="AN31" s="163">
        <f t="shared" si="39"/>
        <v>0</v>
      </c>
      <c r="AO31" s="163"/>
      <c r="AP31" s="235">
        <f t="shared" si="40"/>
        <v>15806</v>
      </c>
      <c r="AQ31" s="163">
        <v>15817</v>
      </c>
      <c r="AR31" s="222">
        <f t="shared" si="26"/>
        <v>11</v>
      </c>
      <c r="AS31" s="163">
        <f t="shared" si="41"/>
        <v>-2</v>
      </c>
      <c r="AT31" s="163"/>
      <c r="AU31" s="235">
        <f t="shared" si="42"/>
        <v>33145</v>
      </c>
      <c r="AV31" s="163">
        <v>33154</v>
      </c>
      <c r="AW31" s="222">
        <f t="shared" si="0"/>
        <v>9</v>
      </c>
      <c r="AX31" s="163">
        <f t="shared" si="43"/>
        <v>-3</v>
      </c>
      <c r="AY31" s="163"/>
      <c r="AZ31" s="235">
        <f t="shared" si="44"/>
        <v>7193</v>
      </c>
      <c r="BA31" s="163">
        <v>7201</v>
      </c>
      <c r="BB31" s="222">
        <f t="shared" si="1"/>
        <v>8</v>
      </c>
      <c r="BC31" s="163">
        <f t="shared" si="45"/>
        <v>-1</v>
      </c>
      <c r="BD31" s="163"/>
      <c r="BE31" s="235">
        <f t="shared" si="46"/>
        <v>23547</v>
      </c>
      <c r="BF31" s="163">
        <v>23555</v>
      </c>
      <c r="BG31" s="222">
        <f t="shared" si="2"/>
        <v>8</v>
      </c>
      <c r="BH31" s="163">
        <f t="shared" si="47"/>
        <v>-1</v>
      </c>
      <c r="BI31" s="163"/>
      <c r="BJ31" s="235">
        <f t="shared" si="48"/>
        <v>7627</v>
      </c>
      <c r="BK31" s="163">
        <v>7636</v>
      </c>
      <c r="BL31" s="222">
        <f t="shared" si="3"/>
        <v>9</v>
      </c>
      <c r="BM31" s="163">
        <f t="shared" si="49"/>
        <v>-1</v>
      </c>
      <c r="BN31" s="163"/>
      <c r="BO31" s="235">
        <f t="shared" si="50"/>
        <v>3642</v>
      </c>
      <c r="BP31" s="163">
        <v>3645</v>
      </c>
      <c r="BQ31" s="222">
        <f t="shared" si="4"/>
        <v>3</v>
      </c>
      <c r="BR31" s="163">
        <f t="shared" si="51"/>
        <v>0</v>
      </c>
      <c r="BS31" s="163"/>
      <c r="BT31" s="235">
        <f t="shared" si="52"/>
        <v>1634</v>
      </c>
      <c r="BU31" s="163">
        <v>1634</v>
      </c>
      <c r="BV31" s="222">
        <f t="shared" si="5"/>
        <v>0</v>
      </c>
      <c r="BW31" s="163">
        <f t="shared" si="53"/>
        <v>-1</v>
      </c>
      <c r="BX31" s="163"/>
      <c r="BY31" s="241">
        <f t="shared" si="54"/>
        <v>27396</v>
      </c>
      <c r="BZ31" s="222">
        <v>27402</v>
      </c>
      <c r="CA31" s="163">
        <f t="shared" si="6"/>
        <v>6</v>
      </c>
      <c r="CB31" s="163">
        <f t="shared" si="55"/>
        <v>-2</v>
      </c>
      <c r="CC31" s="233"/>
      <c r="CD31" s="241">
        <f t="shared" si="56"/>
        <v>2791</v>
      </c>
      <c r="CE31" s="222">
        <v>2792</v>
      </c>
      <c r="CF31" s="163">
        <f t="shared" si="7"/>
        <v>1</v>
      </c>
      <c r="CG31" s="163">
        <f t="shared" si="57"/>
        <v>1</v>
      </c>
      <c r="CH31" s="233"/>
      <c r="CI31" s="241">
        <f t="shared" si="58"/>
        <v>75918</v>
      </c>
      <c r="CJ31" s="222">
        <v>75950</v>
      </c>
      <c r="CK31" s="163">
        <f t="shared" si="8"/>
        <v>32</v>
      </c>
      <c r="CL31" s="163">
        <f t="shared" si="59"/>
        <v>-4</v>
      </c>
      <c r="CM31" s="233"/>
      <c r="CN31" s="241">
        <f t="shared" si="60"/>
        <v>23972</v>
      </c>
      <c r="CO31" s="222">
        <v>23979</v>
      </c>
      <c r="CP31" s="163">
        <f t="shared" si="9"/>
        <v>7</v>
      </c>
      <c r="CQ31" s="163">
        <f t="shared" si="61"/>
        <v>0</v>
      </c>
      <c r="CR31" s="233"/>
      <c r="CS31" s="241">
        <f t="shared" si="62"/>
        <v>12557</v>
      </c>
      <c r="CT31" s="222">
        <v>12558</v>
      </c>
      <c r="CU31" s="163">
        <f t="shared" si="10"/>
        <v>1</v>
      </c>
      <c r="CV31" s="163">
        <f t="shared" si="63"/>
        <v>0</v>
      </c>
      <c r="CW31" s="233"/>
      <c r="CX31" s="241">
        <f t="shared" si="64"/>
        <v>18074</v>
      </c>
      <c r="CY31" s="222">
        <v>18079</v>
      </c>
      <c r="CZ31" s="163">
        <f t="shared" si="11"/>
        <v>5</v>
      </c>
      <c r="DA31" s="163">
        <f t="shared" si="65"/>
        <v>-2</v>
      </c>
      <c r="DB31" s="233"/>
      <c r="DC31" s="241">
        <f t="shared" si="66"/>
        <v>19951</v>
      </c>
      <c r="DD31" s="222">
        <v>19954</v>
      </c>
      <c r="DE31" s="163">
        <f t="shared" si="12"/>
        <v>3</v>
      </c>
      <c r="DF31" s="163">
        <f t="shared" si="67"/>
        <v>-3</v>
      </c>
      <c r="DG31" s="233"/>
      <c r="DH31" s="241">
        <f t="shared" si="68"/>
        <v>8844</v>
      </c>
      <c r="DI31" s="222">
        <v>8849</v>
      </c>
      <c r="DJ31" s="163">
        <f t="shared" si="13"/>
        <v>5</v>
      </c>
      <c r="DK31" s="163">
        <f t="shared" si="69"/>
        <v>3</v>
      </c>
      <c r="DL31" s="233"/>
      <c r="DM31" s="241">
        <f t="shared" si="70"/>
        <v>20925</v>
      </c>
      <c r="DN31" s="163">
        <f>20925+21</f>
        <v>20946</v>
      </c>
      <c r="DO31" s="163">
        <f>DN31-DM31</f>
        <v>21</v>
      </c>
      <c r="DP31" s="163">
        <f t="shared" si="71"/>
        <v>-3</v>
      </c>
      <c r="DQ31" s="233"/>
      <c r="DR31" s="241">
        <f t="shared" si="72"/>
        <v>2146</v>
      </c>
      <c r="DS31" s="222">
        <v>2148</v>
      </c>
      <c r="DT31" s="163">
        <f t="shared" si="15"/>
        <v>2</v>
      </c>
      <c r="DU31" s="163">
        <f t="shared" si="73"/>
        <v>-1</v>
      </c>
      <c r="DV31" s="233"/>
      <c r="DW31" s="241">
        <f t="shared" si="74"/>
        <v>9950</v>
      </c>
      <c r="DX31" s="222">
        <v>9955</v>
      </c>
      <c r="DY31" s="163">
        <f t="shared" si="75"/>
        <v>5</v>
      </c>
      <c r="DZ31" s="163">
        <f t="shared" si="76"/>
        <v>5</v>
      </c>
      <c r="EA31" s="233"/>
      <c r="EB31" s="241">
        <f t="shared" si="87"/>
        <v>1156</v>
      </c>
      <c r="EC31" s="222">
        <v>1167</v>
      </c>
      <c r="ED31" s="233">
        <f t="shared" si="27"/>
        <v>11</v>
      </c>
      <c r="EE31" s="241">
        <f t="shared" si="84"/>
        <v>766</v>
      </c>
      <c r="EF31" s="222">
        <v>771</v>
      </c>
      <c r="EG31" s="233">
        <f t="shared" si="28"/>
        <v>5</v>
      </c>
      <c r="EH31" s="241">
        <f t="shared" si="85"/>
        <v>539</v>
      </c>
      <c r="EI31" s="222">
        <v>543</v>
      </c>
      <c r="EJ31" s="233">
        <f t="shared" si="29"/>
        <v>4</v>
      </c>
      <c r="EK31" s="241">
        <f t="shared" si="86"/>
        <v>534</v>
      </c>
      <c r="EL31" s="222">
        <v>538</v>
      </c>
      <c r="EM31" s="233">
        <f t="shared" si="30"/>
        <v>4</v>
      </c>
      <c r="EN31" s="241">
        <f t="shared" si="81"/>
        <v>229</v>
      </c>
      <c r="EO31" s="163">
        <v>232</v>
      </c>
      <c r="EP31" s="233">
        <f t="shared" si="31"/>
        <v>3</v>
      </c>
      <c r="EQ31" s="241">
        <f t="shared" si="16"/>
        <v>64</v>
      </c>
      <c r="ER31" s="163">
        <f t="shared" si="17"/>
        <v>14.096916299559473</v>
      </c>
      <c r="ES31" s="233"/>
    </row>
    <row r="32" spans="1:149" ht="15" customHeight="1" x14ac:dyDescent="0.2">
      <c r="A32" s="164">
        <v>27</v>
      </c>
      <c r="B32" s="161">
        <f t="shared" si="32"/>
        <v>18999</v>
      </c>
      <c r="C32" s="162">
        <v>19021</v>
      </c>
      <c r="D32" s="155">
        <f t="shared" si="18"/>
        <v>22</v>
      </c>
      <c r="E32" s="220"/>
      <c r="F32" s="164">
        <v>27</v>
      </c>
      <c r="G32" s="161">
        <f t="shared" si="33"/>
        <v>18849</v>
      </c>
      <c r="H32" s="162">
        <v>18985</v>
      </c>
      <c r="I32" s="155">
        <f t="shared" si="19"/>
        <v>136</v>
      </c>
      <c r="J32" s="220"/>
      <c r="K32" s="164">
        <v>27</v>
      </c>
      <c r="L32" s="161">
        <f t="shared" si="34"/>
        <v>786964</v>
      </c>
      <c r="M32" s="162">
        <v>787219</v>
      </c>
      <c r="N32" s="155">
        <f t="shared" si="20"/>
        <v>255</v>
      </c>
      <c r="O32" s="157"/>
      <c r="P32" s="164">
        <v>27</v>
      </c>
      <c r="Q32" s="161">
        <f t="shared" si="35"/>
        <v>214459</v>
      </c>
      <c r="R32" s="162">
        <v>214495</v>
      </c>
      <c r="S32" s="155">
        <f t="shared" si="21"/>
        <v>36</v>
      </c>
      <c r="T32" s="156"/>
      <c r="U32" s="158">
        <v>27</v>
      </c>
      <c r="V32" s="243">
        <f t="shared" si="22"/>
        <v>449</v>
      </c>
      <c r="W32" s="159">
        <f>'Maldives at LG Daily'!I31</f>
        <v>0</v>
      </c>
      <c r="X32" s="166"/>
      <c r="Z32" s="235">
        <v>27</v>
      </c>
      <c r="AA32" s="163">
        <f t="shared" si="36"/>
        <v>40555</v>
      </c>
      <c r="AB32" s="163"/>
      <c r="AC32" s="163">
        <f t="shared" si="23"/>
        <v>-40555</v>
      </c>
      <c r="AD32" s="163">
        <f t="shared" si="82"/>
        <v>-40580</v>
      </c>
      <c r="AE32" s="342"/>
      <c r="AF32" s="235">
        <f t="shared" si="37"/>
        <v>8883</v>
      </c>
      <c r="AG32" s="163"/>
      <c r="AH32" s="163">
        <f t="shared" si="24"/>
        <v>-8883</v>
      </c>
      <c r="AI32" s="163">
        <f t="shared" si="83"/>
        <v>-8889</v>
      </c>
      <c r="AJ32" s="163"/>
      <c r="AK32" s="235">
        <f t="shared" si="38"/>
        <v>7080</v>
      </c>
      <c r="AL32" s="163"/>
      <c r="AM32" s="163">
        <f t="shared" si="25"/>
        <v>-7080</v>
      </c>
      <c r="AN32" s="163">
        <f t="shared" si="39"/>
        <v>-7090</v>
      </c>
      <c r="AO32" s="163"/>
      <c r="AP32" s="235">
        <f t="shared" si="40"/>
        <v>15817</v>
      </c>
      <c r="AQ32" s="163"/>
      <c r="AR32" s="163">
        <f t="shared" si="26"/>
        <v>-15817</v>
      </c>
      <c r="AS32" s="163">
        <f t="shared" si="41"/>
        <v>-15828</v>
      </c>
      <c r="AT32" s="163"/>
      <c r="AU32" s="235">
        <f t="shared" si="42"/>
        <v>33154</v>
      </c>
      <c r="AV32" s="163"/>
      <c r="AW32" s="163">
        <f t="shared" si="0"/>
        <v>-33154</v>
      </c>
      <c r="AX32" s="163">
        <f t="shared" si="43"/>
        <v>-33163</v>
      </c>
      <c r="AY32" s="163"/>
      <c r="AZ32" s="235">
        <f t="shared" si="44"/>
        <v>7201</v>
      </c>
      <c r="BA32" s="163"/>
      <c r="BB32" s="163">
        <f t="shared" si="1"/>
        <v>-7201</v>
      </c>
      <c r="BC32" s="163">
        <f t="shared" si="45"/>
        <v>-7209</v>
      </c>
      <c r="BD32" s="163"/>
      <c r="BE32" s="235">
        <f t="shared" si="46"/>
        <v>23555</v>
      </c>
      <c r="BF32" s="163"/>
      <c r="BG32" s="163">
        <f t="shared" si="2"/>
        <v>-23555</v>
      </c>
      <c r="BH32" s="163">
        <f t="shared" si="47"/>
        <v>-23563</v>
      </c>
      <c r="BI32" s="163"/>
      <c r="BJ32" s="235">
        <f t="shared" si="48"/>
        <v>7636</v>
      </c>
      <c r="BK32" s="163"/>
      <c r="BL32" s="163">
        <f t="shared" si="3"/>
        <v>-7636</v>
      </c>
      <c r="BM32" s="163">
        <f t="shared" si="49"/>
        <v>-7645</v>
      </c>
      <c r="BN32" s="163"/>
      <c r="BO32" s="235">
        <f t="shared" si="50"/>
        <v>3645</v>
      </c>
      <c r="BP32" s="163"/>
      <c r="BQ32" s="163">
        <f t="shared" si="4"/>
        <v>-3645</v>
      </c>
      <c r="BR32" s="163">
        <f t="shared" si="51"/>
        <v>-3648</v>
      </c>
      <c r="BS32" s="163"/>
      <c r="BT32" s="235">
        <f t="shared" si="52"/>
        <v>1634</v>
      </c>
      <c r="BU32" s="163"/>
      <c r="BV32" s="163">
        <f t="shared" si="5"/>
        <v>-1634</v>
      </c>
      <c r="BW32" s="163">
        <f t="shared" si="53"/>
        <v>-1634</v>
      </c>
      <c r="BX32" s="163"/>
      <c r="BY32" s="241">
        <f t="shared" si="54"/>
        <v>27402</v>
      </c>
      <c r="BZ32" s="163"/>
      <c r="CA32" s="163">
        <f t="shared" si="6"/>
        <v>-27402</v>
      </c>
      <c r="CB32" s="163">
        <f t="shared" si="55"/>
        <v>-27408</v>
      </c>
      <c r="CC32" s="233"/>
      <c r="CD32" s="241">
        <f t="shared" si="56"/>
        <v>2792</v>
      </c>
      <c r="CE32" s="163"/>
      <c r="CF32" s="163">
        <f t="shared" si="7"/>
        <v>-2792</v>
      </c>
      <c r="CG32" s="163">
        <f t="shared" si="57"/>
        <v>-2793</v>
      </c>
      <c r="CH32" s="233"/>
      <c r="CI32" s="241">
        <f t="shared" si="58"/>
        <v>75950</v>
      </c>
      <c r="CJ32" s="163"/>
      <c r="CK32" s="163">
        <f t="shared" si="8"/>
        <v>-75950</v>
      </c>
      <c r="CL32" s="163">
        <f t="shared" si="59"/>
        <v>-75982</v>
      </c>
      <c r="CM32" s="233"/>
      <c r="CN32" s="241">
        <f t="shared" si="60"/>
        <v>23979</v>
      </c>
      <c r="CO32" s="163"/>
      <c r="CP32" s="163">
        <f t="shared" si="9"/>
        <v>-23979</v>
      </c>
      <c r="CQ32" s="163">
        <f t="shared" si="61"/>
        <v>-23986</v>
      </c>
      <c r="CR32" s="233"/>
      <c r="CS32" s="241">
        <f t="shared" si="62"/>
        <v>12558</v>
      </c>
      <c r="CT32" s="163"/>
      <c r="CU32" s="163">
        <f t="shared" si="10"/>
        <v>-12558</v>
      </c>
      <c r="CV32" s="163">
        <f t="shared" si="63"/>
        <v>-12559</v>
      </c>
      <c r="CW32" s="233"/>
      <c r="CX32" s="241">
        <f t="shared" si="64"/>
        <v>18079</v>
      </c>
      <c r="CY32" s="163"/>
      <c r="CZ32" s="163">
        <f t="shared" si="11"/>
        <v>-18079</v>
      </c>
      <c r="DA32" s="163">
        <f t="shared" si="65"/>
        <v>-18084</v>
      </c>
      <c r="DB32" s="233"/>
      <c r="DC32" s="241">
        <f t="shared" si="66"/>
        <v>19954</v>
      </c>
      <c r="DD32" s="163"/>
      <c r="DE32" s="163">
        <f t="shared" si="12"/>
        <v>-19954</v>
      </c>
      <c r="DF32" s="163">
        <f t="shared" si="67"/>
        <v>-19957</v>
      </c>
      <c r="DG32" s="233"/>
      <c r="DH32" s="241">
        <f t="shared" si="68"/>
        <v>8849</v>
      </c>
      <c r="DI32" s="163"/>
      <c r="DJ32" s="163">
        <f t="shared" si="13"/>
        <v>-8849</v>
      </c>
      <c r="DK32" s="163">
        <f t="shared" si="69"/>
        <v>-8854</v>
      </c>
      <c r="DL32" s="233"/>
      <c r="DM32" s="241">
        <f t="shared" si="70"/>
        <v>20946</v>
      </c>
      <c r="DN32" s="163"/>
      <c r="DO32" s="163">
        <f t="shared" si="14"/>
        <v>-20946</v>
      </c>
      <c r="DP32" s="163">
        <f t="shared" si="71"/>
        <v>-20967</v>
      </c>
      <c r="DQ32" s="233"/>
      <c r="DR32" s="241">
        <f t="shared" si="72"/>
        <v>2148</v>
      </c>
      <c r="DS32" s="163"/>
      <c r="DT32" s="163">
        <f t="shared" si="15"/>
        <v>-2148</v>
      </c>
      <c r="DU32" s="163">
        <f t="shared" si="73"/>
        <v>-2150</v>
      </c>
      <c r="DV32" s="233"/>
      <c r="DW32" s="241">
        <f t="shared" si="74"/>
        <v>9955</v>
      </c>
      <c r="DX32" s="163"/>
      <c r="DY32" s="163">
        <f t="shared" si="75"/>
        <v>-9955</v>
      </c>
      <c r="DZ32" s="163">
        <f t="shared" si="76"/>
        <v>-9960</v>
      </c>
      <c r="EA32" s="233"/>
      <c r="EB32" s="241">
        <f t="shared" si="87"/>
        <v>1167</v>
      </c>
      <c r="EC32" s="163"/>
      <c r="ED32" s="233">
        <f t="shared" si="27"/>
        <v>-1167</v>
      </c>
      <c r="EE32" s="241">
        <f t="shared" si="84"/>
        <v>771</v>
      </c>
      <c r="EF32" s="163"/>
      <c r="EG32" s="233">
        <f t="shared" si="28"/>
        <v>-771</v>
      </c>
      <c r="EH32" s="241">
        <f t="shared" si="85"/>
        <v>543</v>
      </c>
      <c r="EI32" s="163"/>
      <c r="EJ32" s="233">
        <f t="shared" si="29"/>
        <v>-543</v>
      </c>
      <c r="EK32" s="241">
        <f t="shared" si="86"/>
        <v>538</v>
      </c>
      <c r="EL32" s="163"/>
      <c r="EM32" s="233">
        <f t="shared" si="30"/>
        <v>-538</v>
      </c>
      <c r="EN32" s="241">
        <f t="shared" si="81"/>
        <v>232</v>
      </c>
      <c r="EO32" s="163"/>
      <c r="EP32" s="233">
        <f t="shared" si="31"/>
        <v>-232</v>
      </c>
      <c r="EQ32" s="241">
        <f t="shared" si="16"/>
        <v>-108605</v>
      </c>
      <c r="ER32" s="163">
        <f t="shared" si="17"/>
        <v>-24188.195991091314</v>
      </c>
      <c r="ES32" s="233"/>
    </row>
    <row r="33" spans="1:149" ht="15" customHeight="1" x14ac:dyDescent="0.2">
      <c r="A33" s="164">
        <v>28</v>
      </c>
      <c r="B33" s="161">
        <f t="shared" si="32"/>
        <v>19021</v>
      </c>
      <c r="C33" s="162"/>
      <c r="D33" s="155">
        <f t="shared" si="18"/>
        <v>0</v>
      </c>
      <c r="E33" s="220"/>
      <c r="F33" s="164">
        <v>28</v>
      </c>
      <c r="G33" s="161">
        <f t="shared" si="33"/>
        <v>18985</v>
      </c>
      <c r="H33" s="162"/>
      <c r="I33" s="155">
        <f t="shared" si="19"/>
        <v>0</v>
      </c>
      <c r="J33" s="220"/>
      <c r="K33" s="164">
        <v>28</v>
      </c>
      <c r="L33" s="161">
        <f t="shared" si="34"/>
        <v>787219</v>
      </c>
      <c r="M33" s="162"/>
      <c r="N33" s="155">
        <f t="shared" si="20"/>
        <v>0</v>
      </c>
      <c r="O33" s="157"/>
      <c r="P33" s="164">
        <v>28</v>
      </c>
      <c r="Q33" s="161">
        <f t="shared" si="35"/>
        <v>214495</v>
      </c>
      <c r="R33" s="162"/>
      <c r="S33" s="155">
        <f t="shared" si="21"/>
        <v>0</v>
      </c>
      <c r="T33" s="156"/>
      <c r="U33" s="158">
        <v>28</v>
      </c>
      <c r="V33" s="243">
        <f t="shared" si="22"/>
        <v>0</v>
      </c>
      <c r="W33" s="159">
        <f>'Maldives at LG Daily'!I32</f>
        <v>0</v>
      </c>
      <c r="X33" s="166"/>
      <c r="Z33" s="235">
        <v>28</v>
      </c>
      <c r="AA33" s="163">
        <f t="shared" si="36"/>
        <v>0</v>
      </c>
      <c r="AB33" s="163"/>
      <c r="AC33" s="163">
        <f t="shared" si="23"/>
        <v>0</v>
      </c>
      <c r="AD33" s="163">
        <f t="shared" si="82"/>
        <v>40555</v>
      </c>
      <c r="AE33" s="342"/>
      <c r="AF33" s="235">
        <f t="shared" si="37"/>
        <v>0</v>
      </c>
      <c r="AG33" s="163"/>
      <c r="AH33" s="163">
        <f t="shared" si="24"/>
        <v>0</v>
      </c>
      <c r="AI33" s="163">
        <f t="shared" si="83"/>
        <v>8883</v>
      </c>
      <c r="AJ33" s="163"/>
      <c r="AK33" s="235">
        <f t="shared" si="38"/>
        <v>0</v>
      </c>
      <c r="AL33" s="163"/>
      <c r="AM33" s="163">
        <f t="shared" si="25"/>
        <v>0</v>
      </c>
      <c r="AN33" s="163">
        <f t="shared" si="39"/>
        <v>7080</v>
      </c>
      <c r="AO33" s="163"/>
      <c r="AP33" s="235">
        <f t="shared" si="40"/>
        <v>0</v>
      </c>
      <c r="AQ33" s="163"/>
      <c r="AR33" s="163">
        <f t="shared" si="26"/>
        <v>0</v>
      </c>
      <c r="AS33" s="163">
        <f t="shared" si="41"/>
        <v>15817</v>
      </c>
      <c r="AT33" s="163"/>
      <c r="AU33" s="235">
        <f t="shared" si="42"/>
        <v>0</v>
      </c>
      <c r="AV33" s="163"/>
      <c r="AW33" s="163">
        <f t="shared" si="0"/>
        <v>0</v>
      </c>
      <c r="AX33" s="163">
        <f t="shared" si="43"/>
        <v>33154</v>
      </c>
      <c r="AY33" s="163"/>
      <c r="AZ33" s="235">
        <f t="shared" si="44"/>
        <v>0</v>
      </c>
      <c r="BA33" s="163"/>
      <c r="BB33" s="163">
        <f t="shared" si="1"/>
        <v>0</v>
      </c>
      <c r="BC33" s="163">
        <f t="shared" si="45"/>
        <v>7201</v>
      </c>
      <c r="BD33" s="163"/>
      <c r="BE33" s="235">
        <f t="shared" si="46"/>
        <v>0</v>
      </c>
      <c r="BF33" s="163"/>
      <c r="BG33" s="163">
        <f t="shared" si="2"/>
        <v>0</v>
      </c>
      <c r="BH33" s="163">
        <f t="shared" si="47"/>
        <v>23555</v>
      </c>
      <c r="BI33" s="163"/>
      <c r="BJ33" s="235">
        <f t="shared" si="48"/>
        <v>0</v>
      </c>
      <c r="BK33" s="163"/>
      <c r="BL33" s="163">
        <f t="shared" si="3"/>
        <v>0</v>
      </c>
      <c r="BM33" s="163">
        <f t="shared" si="49"/>
        <v>7636</v>
      </c>
      <c r="BN33" s="163"/>
      <c r="BO33" s="235">
        <f t="shared" si="50"/>
        <v>0</v>
      </c>
      <c r="BP33" s="163"/>
      <c r="BQ33" s="163">
        <f t="shared" si="4"/>
        <v>0</v>
      </c>
      <c r="BR33" s="163">
        <f t="shared" si="51"/>
        <v>3645</v>
      </c>
      <c r="BS33" s="163"/>
      <c r="BT33" s="235">
        <f t="shared" si="52"/>
        <v>0</v>
      </c>
      <c r="BU33" s="163"/>
      <c r="BV33" s="163">
        <f t="shared" si="5"/>
        <v>0</v>
      </c>
      <c r="BW33" s="163">
        <f t="shared" si="53"/>
        <v>1634</v>
      </c>
      <c r="BX33" s="163"/>
      <c r="BY33" s="241">
        <f t="shared" si="54"/>
        <v>0</v>
      </c>
      <c r="BZ33" s="163"/>
      <c r="CA33" s="163">
        <f t="shared" si="6"/>
        <v>0</v>
      </c>
      <c r="CB33" s="163">
        <f t="shared" si="55"/>
        <v>27402</v>
      </c>
      <c r="CC33" s="233"/>
      <c r="CD33" s="241">
        <f t="shared" si="56"/>
        <v>0</v>
      </c>
      <c r="CE33" s="163"/>
      <c r="CF33" s="163">
        <f t="shared" si="7"/>
        <v>0</v>
      </c>
      <c r="CG33" s="163">
        <f t="shared" si="57"/>
        <v>2792</v>
      </c>
      <c r="CH33" s="233"/>
      <c r="CI33" s="241">
        <f t="shared" si="58"/>
        <v>0</v>
      </c>
      <c r="CJ33" s="163"/>
      <c r="CK33" s="163">
        <f t="shared" si="8"/>
        <v>0</v>
      </c>
      <c r="CL33" s="163">
        <f t="shared" si="59"/>
        <v>75950</v>
      </c>
      <c r="CM33" s="233"/>
      <c r="CN33" s="241">
        <f t="shared" si="60"/>
        <v>0</v>
      </c>
      <c r="CO33" s="163"/>
      <c r="CP33" s="163">
        <f t="shared" si="9"/>
        <v>0</v>
      </c>
      <c r="CQ33" s="163">
        <f t="shared" si="61"/>
        <v>23979</v>
      </c>
      <c r="CR33" s="233"/>
      <c r="CS33" s="241">
        <f t="shared" si="62"/>
        <v>0</v>
      </c>
      <c r="CT33" s="163"/>
      <c r="CU33" s="163">
        <f t="shared" si="10"/>
        <v>0</v>
      </c>
      <c r="CV33" s="163">
        <f t="shared" si="63"/>
        <v>12558</v>
      </c>
      <c r="CW33" s="233"/>
      <c r="CX33" s="241">
        <f t="shared" si="64"/>
        <v>0</v>
      </c>
      <c r="CY33" s="163"/>
      <c r="CZ33" s="163">
        <f t="shared" si="11"/>
        <v>0</v>
      </c>
      <c r="DA33" s="163">
        <f t="shared" si="65"/>
        <v>18079</v>
      </c>
      <c r="DB33" s="233"/>
      <c r="DC33" s="241">
        <f t="shared" si="66"/>
        <v>0</v>
      </c>
      <c r="DD33" s="163"/>
      <c r="DE33" s="163">
        <f t="shared" si="12"/>
        <v>0</v>
      </c>
      <c r="DF33" s="163">
        <f t="shared" si="67"/>
        <v>19954</v>
      </c>
      <c r="DG33" s="233"/>
      <c r="DH33" s="241">
        <f t="shared" si="68"/>
        <v>0</v>
      </c>
      <c r="DI33" s="163"/>
      <c r="DJ33" s="163">
        <f t="shared" si="13"/>
        <v>0</v>
      </c>
      <c r="DK33" s="163">
        <f t="shared" si="69"/>
        <v>8849</v>
      </c>
      <c r="DL33" s="233"/>
      <c r="DM33" s="241">
        <f t="shared" si="70"/>
        <v>0</v>
      </c>
      <c r="DN33" s="163"/>
      <c r="DO33" s="163">
        <f t="shared" si="14"/>
        <v>0</v>
      </c>
      <c r="DP33" s="163">
        <f t="shared" si="71"/>
        <v>20946</v>
      </c>
      <c r="DQ33" s="233"/>
      <c r="DR33" s="241">
        <f t="shared" si="72"/>
        <v>0</v>
      </c>
      <c r="DS33" s="163"/>
      <c r="DT33" s="163">
        <f t="shared" si="15"/>
        <v>0</v>
      </c>
      <c r="DU33" s="163">
        <f t="shared" si="73"/>
        <v>2148</v>
      </c>
      <c r="DV33" s="233"/>
      <c r="DW33" s="241">
        <f t="shared" si="74"/>
        <v>0</v>
      </c>
      <c r="DX33" s="163"/>
      <c r="DY33" s="163">
        <f t="shared" si="75"/>
        <v>0</v>
      </c>
      <c r="DZ33" s="163">
        <f t="shared" si="76"/>
        <v>9955</v>
      </c>
      <c r="EA33" s="233"/>
      <c r="EB33" s="241">
        <f t="shared" si="87"/>
        <v>0</v>
      </c>
      <c r="EC33" s="163"/>
      <c r="ED33" s="233">
        <f t="shared" si="27"/>
        <v>0</v>
      </c>
      <c r="EE33" s="241">
        <f t="shared" si="84"/>
        <v>0</v>
      </c>
      <c r="EF33" s="163"/>
      <c r="EG33" s="233">
        <f t="shared" si="28"/>
        <v>0</v>
      </c>
      <c r="EH33" s="241">
        <f t="shared" si="85"/>
        <v>0</v>
      </c>
      <c r="EI33" s="163"/>
      <c r="EJ33" s="233">
        <f t="shared" si="29"/>
        <v>0</v>
      </c>
      <c r="EK33" s="241">
        <f t="shared" si="86"/>
        <v>0</v>
      </c>
      <c r="EL33" s="163"/>
      <c r="EM33" s="233">
        <f t="shared" si="30"/>
        <v>0</v>
      </c>
      <c r="EN33" s="241">
        <f t="shared" si="81"/>
        <v>0</v>
      </c>
      <c r="EO33" s="163"/>
      <c r="EP33" s="233">
        <f t="shared" si="31"/>
        <v>0</v>
      </c>
      <c r="EQ33" s="241">
        <f t="shared" si="16"/>
        <v>0</v>
      </c>
      <c r="ER33" s="163" t="e">
        <f t="shared" si="17"/>
        <v>#DIV/0!</v>
      </c>
      <c r="ES33" s="233"/>
    </row>
    <row r="34" spans="1:149" x14ac:dyDescent="0.2">
      <c r="A34" s="164">
        <v>29</v>
      </c>
      <c r="B34" s="161">
        <f t="shared" si="32"/>
        <v>0</v>
      </c>
      <c r="C34" s="162"/>
      <c r="D34" s="155">
        <f t="shared" si="18"/>
        <v>0</v>
      </c>
      <c r="E34" s="157"/>
      <c r="F34" s="164">
        <v>29</v>
      </c>
      <c r="G34" s="161">
        <f t="shared" si="33"/>
        <v>0</v>
      </c>
      <c r="H34" s="162"/>
      <c r="I34" s="155">
        <f t="shared" si="19"/>
        <v>0</v>
      </c>
      <c r="J34" s="157"/>
      <c r="K34" s="164">
        <v>29</v>
      </c>
      <c r="L34" s="161">
        <f t="shared" si="34"/>
        <v>0</v>
      </c>
      <c r="M34" s="162"/>
      <c r="N34" s="155">
        <f t="shared" si="20"/>
        <v>0</v>
      </c>
      <c r="O34" s="157"/>
      <c r="P34" s="164">
        <v>29</v>
      </c>
      <c r="Q34" s="161">
        <f t="shared" si="35"/>
        <v>0</v>
      </c>
      <c r="R34" s="162"/>
      <c r="S34" s="155">
        <f t="shared" si="21"/>
        <v>0</v>
      </c>
      <c r="T34" s="156"/>
      <c r="U34" s="164">
        <v>29</v>
      </c>
      <c r="V34" s="243">
        <f t="shared" si="22"/>
        <v>0</v>
      </c>
      <c r="W34" s="159">
        <f>'Maldives at LG Daily'!I33</f>
        <v>0</v>
      </c>
      <c r="X34" s="166"/>
      <c r="Z34" s="235">
        <v>29</v>
      </c>
      <c r="AA34" s="163">
        <f t="shared" si="36"/>
        <v>0</v>
      </c>
      <c r="AB34" s="163"/>
      <c r="AC34" s="163">
        <f t="shared" si="23"/>
        <v>0</v>
      </c>
      <c r="AD34" s="163">
        <f t="shared" si="82"/>
        <v>0</v>
      </c>
      <c r="AE34" s="342"/>
      <c r="AF34" s="235">
        <f t="shared" si="37"/>
        <v>0</v>
      </c>
      <c r="AG34" s="163"/>
      <c r="AH34" s="163">
        <f t="shared" si="24"/>
        <v>0</v>
      </c>
      <c r="AI34" s="163">
        <f t="shared" si="83"/>
        <v>0</v>
      </c>
      <c r="AJ34" s="163"/>
      <c r="AK34" s="235">
        <f t="shared" si="38"/>
        <v>0</v>
      </c>
      <c r="AL34" s="163"/>
      <c r="AM34" s="163">
        <f t="shared" si="25"/>
        <v>0</v>
      </c>
      <c r="AN34" s="163">
        <f t="shared" si="39"/>
        <v>0</v>
      </c>
      <c r="AO34" s="163"/>
      <c r="AP34" s="235">
        <f t="shared" si="40"/>
        <v>0</v>
      </c>
      <c r="AQ34" s="163"/>
      <c r="AR34" s="163">
        <f t="shared" si="26"/>
        <v>0</v>
      </c>
      <c r="AS34" s="163">
        <f t="shared" si="41"/>
        <v>0</v>
      </c>
      <c r="AT34" s="163"/>
      <c r="AU34" s="235">
        <f t="shared" si="42"/>
        <v>0</v>
      </c>
      <c r="AV34" s="163"/>
      <c r="AW34" s="163">
        <f t="shared" si="0"/>
        <v>0</v>
      </c>
      <c r="AX34" s="163">
        <f t="shared" si="43"/>
        <v>0</v>
      </c>
      <c r="AY34" s="163"/>
      <c r="AZ34" s="235">
        <f t="shared" si="44"/>
        <v>0</v>
      </c>
      <c r="BA34" s="163"/>
      <c r="BB34" s="163">
        <f t="shared" si="1"/>
        <v>0</v>
      </c>
      <c r="BC34" s="163">
        <f t="shared" si="45"/>
        <v>0</v>
      </c>
      <c r="BD34" s="163"/>
      <c r="BE34" s="235">
        <f t="shared" si="46"/>
        <v>0</v>
      </c>
      <c r="BF34" s="163"/>
      <c r="BG34" s="163">
        <f t="shared" si="2"/>
        <v>0</v>
      </c>
      <c r="BH34" s="163">
        <f t="shared" si="47"/>
        <v>0</v>
      </c>
      <c r="BI34" s="163"/>
      <c r="BJ34" s="235">
        <f t="shared" si="48"/>
        <v>0</v>
      </c>
      <c r="BK34" s="163"/>
      <c r="BL34" s="163">
        <f t="shared" si="3"/>
        <v>0</v>
      </c>
      <c r="BM34" s="163">
        <f t="shared" si="49"/>
        <v>0</v>
      </c>
      <c r="BN34" s="163"/>
      <c r="BO34" s="235">
        <f t="shared" si="50"/>
        <v>0</v>
      </c>
      <c r="BP34" s="163"/>
      <c r="BQ34" s="163">
        <f t="shared" si="4"/>
        <v>0</v>
      </c>
      <c r="BR34" s="163">
        <f t="shared" si="51"/>
        <v>0</v>
      </c>
      <c r="BS34" s="163"/>
      <c r="BT34" s="235">
        <f t="shared" si="52"/>
        <v>0</v>
      </c>
      <c r="BU34" s="163"/>
      <c r="BV34" s="163">
        <f t="shared" si="5"/>
        <v>0</v>
      </c>
      <c r="BW34" s="163">
        <f t="shared" si="53"/>
        <v>0</v>
      </c>
      <c r="BX34" s="163"/>
      <c r="BY34" s="241">
        <f t="shared" si="54"/>
        <v>0</v>
      </c>
      <c r="BZ34" s="163"/>
      <c r="CA34" s="163">
        <f t="shared" si="6"/>
        <v>0</v>
      </c>
      <c r="CB34" s="163">
        <f t="shared" si="55"/>
        <v>0</v>
      </c>
      <c r="CC34" s="233"/>
      <c r="CD34" s="241">
        <f t="shared" si="56"/>
        <v>0</v>
      </c>
      <c r="CE34" s="163"/>
      <c r="CF34" s="163">
        <f t="shared" si="7"/>
        <v>0</v>
      </c>
      <c r="CG34" s="163">
        <f t="shared" si="57"/>
        <v>0</v>
      </c>
      <c r="CH34" s="233"/>
      <c r="CI34" s="241">
        <f t="shared" si="58"/>
        <v>0</v>
      </c>
      <c r="CJ34" s="163"/>
      <c r="CK34" s="163">
        <f t="shared" si="8"/>
        <v>0</v>
      </c>
      <c r="CL34" s="163">
        <f t="shared" si="59"/>
        <v>0</v>
      </c>
      <c r="CM34" s="233"/>
      <c r="CN34" s="241">
        <f t="shared" si="60"/>
        <v>0</v>
      </c>
      <c r="CO34" s="163"/>
      <c r="CP34" s="163">
        <f t="shared" si="9"/>
        <v>0</v>
      </c>
      <c r="CQ34" s="163">
        <f t="shared" si="61"/>
        <v>0</v>
      </c>
      <c r="CR34" s="233"/>
      <c r="CS34" s="241">
        <f t="shared" si="62"/>
        <v>0</v>
      </c>
      <c r="CT34" s="163"/>
      <c r="CU34" s="163">
        <f t="shared" si="10"/>
        <v>0</v>
      </c>
      <c r="CV34" s="163">
        <f t="shared" si="63"/>
        <v>0</v>
      </c>
      <c r="CW34" s="233"/>
      <c r="CX34" s="241">
        <f t="shared" si="64"/>
        <v>0</v>
      </c>
      <c r="CY34" s="163"/>
      <c r="CZ34" s="163">
        <f t="shared" si="11"/>
        <v>0</v>
      </c>
      <c r="DA34" s="163">
        <f t="shared" si="65"/>
        <v>0</v>
      </c>
      <c r="DB34" s="233"/>
      <c r="DC34" s="241">
        <f t="shared" si="66"/>
        <v>0</v>
      </c>
      <c r="DD34" s="163"/>
      <c r="DE34" s="163">
        <f t="shared" si="12"/>
        <v>0</v>
      </c>
      <c r="DF34" s="163">
        <f t="shared" si="67"/>
        <v>0</v>
      </c>
      <c r="DG34" s="233"/>
      <c r="DH34" s="241">
        <f t="shared" si="68"/>
        <v>0</v>
      </c>
      <c r="DI34" s="163"/>
      <c r="DJ34" s="163">
        <f t="shared" si="13"/>
        <v>0</v>
      </c>
      <c r="DK34" s="163">
        <f t="shared" si="69"/>
        <v>0</v>
      </c>
      <c r="DL34" s="233"/>
      <c r="DM34" s="241">
        <f t="shared" si="70"/>
        <v>0</v>
      </c>
      <c r="DN34" s="163"/>
      <c r="DO34" s="163">
        <f t="shared" si="14"/>
        <v>0</v>
      </c>
      <c r="DP34" s="163">
        <f t="shared" si="71"/>
        <v>0</v>
      </c>
      <c r="DQ34" s="233"/>
      <c r="DR34" s="241">
        <f t="shared" si="72"/>
        <v>0</v>
      </c>
      <c r="DS34" s="163"/>
      <c r="DT34" s="163">
        <f t="shared" si="15"/>
        <v>0</v>
      </c>
      <c r="DU34" s="163">
        <f t="shared" si="73"/>
        <v>0</v>
      </c>
      <c r="DV34" s="233"/>
      <c r="DW34" s="241">
        <f t="shared" si="74"/>
        <v>0</v>
      </c>
      <c r="DX34" s="163"/>
      <c r="DY34" s="163">
        <f t="shared" si="75"/>
        <v>0</v>
      </c>
      <c r="DZ34" s="163">
        <f t="shared" si="76"/>
        <v>0</v>
      </c>
      <c r="EA34" s="233"/>
      <c r="EB34" s="241">
        <f t="shared" si="87"/>
        <v>0</v>
      </c>
      <c r="EC34" s="163"/>
      <c r="ED34" s="233">
        <f t="shared" si="27"/>
        <v>0</v>
      </c>
      <c r="EE34" s="241">
        <f t="shared" si="84"/>
        <v>0</v>
      </c>
      <c r="EF34" s="163"/>
      <c r="EG34" s="233">
        <f t="shared" si="28"/>
        <v>0</v>
      </c>
      <c r="EH34" s="241">
        <f t="shared" si="85"/>
        <v>0</v>
      </c>
      <c r="EI34" s="163"/>
      <c r="EJ34" s="233">
        <f t="shared" si="29"/>
        <v>0</v>
      </c>
      <c r="EK34" s="241">
        <f t="shared" si="86"/>
        <v>0</v>
      </c>
      <c r="EL34" s="163"/>
      <c r="EM34" s="233">
        <f t="shared" si="30"/>
        <v>0</v>
      </c>
      <c r="EN34" s="241">
        <f t="shared" si="81"/>
        <v>0</v>
      </c>
      <c r="EO34" s="163"/>
      <c r="EP34" s="233">
        <f t="shared" si="31"/>
        <v>0</v>
      </c>
      <c r="EQ34" s="241">
        <f t="shared" si="16"/>
        <v>0</v>
      </c>
      <c r="ER34" s="163" t="e">
        <f t="shared" si="17"/>
        <v>#DIV/0!</v>
      </c>
      <c r="ES34" s="233"/>
    </row>
    <row r="35" spans="1:149" x14ac:dyDescent="0.2">
      <c r="A35" s="164">
        <v>30</v>
      </c>
      <c r="B35" s="161">
        <f t="shared" si="32"/>
        <v>0</v>
      </c>
      <c r="C35" s="162"/>
      <c r="D35" s="155">
        <f t="shared" si="18"/>
        <v>0</v>
      </c>
      <c r="E35" s="157"/>
      <c r="F35" s="164">
        <v>30</v>
      </c>
      <c r="G35" s="161">
        <f t="shared" si="33"/>
        <v>0</v>
      </c>
      <c r="H35" s="162"/>
      <c r="I35" s="155">
        <f t="shared" si="19"/>
        <v>0</v>
      </c>
      <c r="J35" s="157"/>
      <c r="K35" s="164">
        <v>30</v>
      </c>
      <c r="L35" s="161">
        <f t="shared" si="34"/>
        <v>0</v>
      </c>
      <c r="M35" s="162"/>
      <c r="N35" s="155">
        <f t="shared" si="20"/>
        <v>0</v>
      </c>
      <c r="O35" s="157"/>
      <c r="P35" s="164">
        <v>30</v>
      </c>
      <c r="Q35" s="161">
        <f t="shared" si="35"/>
        <v>0</v>
      </c>
      <c r="R35" s="162"/>
      <c r="S35" s="155">
        <f t="shared" si="21"/>
        <v>0</v>
      </c>
      <c r="T35" s="156"/>
      <c r="U35" s="158">
        <v>30</v>
      </c>
      <c r="V35" s="243">
        <f t="shared" si="22"/>
        <v>0</v>
      </c>
      <c r="W35" s="159">
        <f>'Maldives at LG Daily'!I34</f>
        <v>0</v>
      </c>
      <c r="X35" s="166"/>
      <c r="Z35" s="235">
        <v>30</v>
      </c>
      <c r="AA35" s="163">
        <f t="shared" si="36"/>
        <v>0</v>
      </c>
      <c r="AB35" s="163"/>
      <c r="AC35" s="163">
        <f t="shared" si="23"/>
        <v>0</v>
      </c>
      <c r="AD35" s="163">
        <f t="shared" si="82"/>
        <v>0</v>
      </c>
      <c r="AE35" s="342"/>
      <c r="AF35" s="235">
        <f t="shared" si="37"/>
        <v>0</v>
      </c>
      <c r="AG35" s="163"/>
      <c r="AH35" s="163">
        <f t="shared" si="24"/>
        <v>0</v>
      </c>
      <c r="AI35" s="163">
        <f t="shared" si="83"/>
        <v>0</v>
      </c>
      <c r="AJ35" s="163"/>
      <c r="AK35" s="235">
        <f t="shared" si="38"/>
        <v>0</v>
      </c>
      <c r="AL35" s="163"/>
      <c r="AM35" s="163">
        <f t="shared" si="25"/>
        <v>0</v>
      </c>
      <c r="AN35" s="163">
        <f t="shared" si="39"/>
        <v>0</v>
      </c>
      <c r="AO35" s="163"/>
      <c r="AP35" s="235">
        <f t="shared" si="40"/>
        <v>0</v>
      </c>
      <c r="AQ35" s="163"/>
      <c r="AR35" s="163">
        <f t="shared" si="26"/>
        <v>0</v>
      </c>
      <c r="AS35" s="163">
        <f t="shared" si="41"/>
        <v>0</v>
      </c>
      <c r="AT35" s="163"/>
      <c r="AU35" s="235">
        <f t="shared" si="42"/>
        <v>0</v>
      </c>
      <c r="AV35" s="163"/>
      <c r="AW35" s="163">
        <f t="shared" si="0"/>
        <v>0</v>
      </c>
      <c r="AX35" s="163">
        <f t="shared" si="43"/>
        <v>0</v>
      </c>
      <c r="AY35" s="163"/>
      <c r="AZ35" s="235">
        <f t="shared" si="44"/>
        <v>0</v>
      </c>
      <c r="BA35" s="163"/>
      <c r="BB35" s="163">
        <f t="shared" si="1"/>
        <v>0</v>
      </c>
      <c r="BC35" s="163">
        <f t="shared" si="45"/>
        <v>0</v>
      </c>
      <c r="BD35" s="163"/>
      <c r="BE35" s="235">
        <f t="shared" si="46"/>
        <v>0</v>
      </c>
      <c r="BF35" s="163"/>
      <c r="BG35" s="163">
        <f t="shared" si="2"/>
        <v>0</v>
      </c>
      <c r="BH35" s="163">
        <f t="shared" si="47"/>
        <v>0</v>
      </c>
      <c r="BI35" s="163"/>
      <c r="BJ35" s="235">
        <f t="shared" si="48"/>
        <v>0</v>
      </c>
      <c r="BK35" s="163"/>
      <c r="BL35" s="163">
        <f t="shared" si="3"/>
        <v>0</v>
      </c>
      <c r="BM35" s="163">
        <f t="shared" si="49"/>
        <v>0</v>
      </c>
      <c r="BN35" s="163"/>
      <c r="BO35" s="235">
        <f t="shared" si="50"/>
        <v>0</v>
      </c>
      <c r="BP35" s="163"/>
      <c r="BQ35" s="163">
        <f t="shared" si="4"/>
        <v>0</v>
      </c>
      <c r="BR35" s="163">
        <f t="shared" si="51"/>
        <v>0</v>
      </c>
      <c r="BS35" s="163"/>
      <c r="BT35" s="235">
        <f t="shared" si="52"/>
        <v>0</v>
      </c>
      <c r="BU35" s="163"/>
      <c r="BV35" s="163">
        <f t="shared" si="5"/>
        <v>0</v>
      </c>
      <c r="BW35" s="163">
        <f t="shared" si="53"/>
        <v>0</v>
      </c>
      <c r="BX35" s="163"/>
      <c r="BY35" s="241">
        <f t="shared" si="54"/>
        <v>0</v>
      </c>
      <c r="BZ35" s="163"/>
      <c r="CA35" s="163">
        <f t="shared" si="6"/>
        <v>0</v>
      </c>
      <c r="CB35" s="163">
        <f t="shared" si="55"/>
        <v>0</v>
      </c>
      <c r="CC35" s="233"/>
      <c r="CD35" s="241">
        <f t="shared" si="56"/>
        <v>0</v>
      </c>
      <c r="CE35" s="163"/>
      <c r="CF35" s="163">
        <f t="shared" si="7"/>
        <v>0</v>
      </c>
      <c r="CG35" s="163">
        <f t="shared" si="57"/>
        <v>0</v>
      </c>
      <c r="CH35" s="233"/>
      <c r="CI35" s="241">
        <f t="shared" si="58"/>
        <v>0</v>
      </c>
      <c r="CJ35" s="163"/>
      <c r="CK35" s="163">
        <f t="shared" si="8"/>
        <v>0</v>
      </c>
      <c r="CL35" s="163">
        <f t="shared" si="59"/>
        <v>0</v>
      </c>
      <c r="CM35" s="233"/>
      <c r="CN35" s="241">
        <f t="shared" si="60"/>
        <v>0</v>
      </c>
      <c r="CO35" s="163"/>
      <c r="CP35" s="163">
        <f t="shared" si="9"/>
        <v>0</v>
      </c>
      <c r="CQ35" s="163">
        <f t="shared" si="61"/>
        <v>0</v>
      </c>
      <c r="CR35" s="233"/>
      <c r="CS35" s="241">
        <f t="shared" si="62"/>
        <v>0</v>
      </c>
      <c r="CT35" s="163"/>
      <c r="CU35" s="163">
        <f t="shared" si="10"/>
        <v>0</v>
      </c>
      <c r="CV35" s="163">
        <f t="shared" si="63"/>
        <v>0</v>
      </c>
      <c r="CW35" s="233"/>
      <c r="CX35" s="241">
        <f t="shared" si="64"/>
        <v>0</v>
      </c>
      <c r="CY35" s="163"/>
      <c r="CZ35" s="163">
        <f t="shared" si="11"/>
        <v>0</v>
      </c>
      <c r="DA35" s="163">
        <f t="shared" si="65"/>
        <v>0</v>
      </c>
      <c r="DB35" s="233"/>
      <c r="DC35" s="241">
        <f t="shared" si="66"/>
        <v>0</v>
      </c>
      <c r="DD35" s="163"/>
      <c r="DE35" s="163">
        <f t="shared" si="12"/>
        <v>0</v>
      </c>
      <c r="DF35" s="163">
        <f t="shared" si="67"/>
        <v>0</v>
      </c>
      <c r="DG35" s="233"/>
      <c r="DH35" s="241">
        <f t="shared" si="68"/>
        <v>0</v>
      </c>
      <c r="DI35" s="163"/>
      <c r="DJ35" s="163">
        <f t="shared" si="13"/>
        <v>0</v>
      </c>
      <c r="DK35" s="163">
        <f t="shared" si="69"/>
        <v>0</v>
      </c>
      <c r="DL35" s="233"/>
      <c r="DM35" s="241">
        <f t="shared" si="70"/>
        <v>0</v>
      </c>
      <c r="DN35" s="163"/>
      <c r="DO35" s="163">
        <f t="shared" si="14"/>
        <v>0</v>
      </c>
      <c r="DP35" s="163">
        <f t="shared" si="71"/>
        <v>0</v>
      </c>
      <c r="DQ35" s="233"/>
      <c r="DR35" s="241">
        <f t="shared" si="72"/>
        <v>0</v>
      </c>
      <c r="DS35" s="163"/>
      <c r="DT35" s="163">
        <f t="shared" si="15"/>
        <v>0</v>
      </c>
      <c r="DU35" s="163">
        <f t="shared" si="73"/>
        <v>0</v>
      </c>
      <c r="DV35" s="233"/>
      <c r="DW35" s="241">
        <f t="shared" si="74"/>
        <v>0</v>
      </c>
      <c r="DX35" s="163"/>
      <c r="DY35" s="163">
        <f t="shared" si="75"/>
        <v>0</v>
      </c>
      <c r="DZ35" s="163">
        <f t="shared" si="76"/>
        <v>0</v>
      </c>
      <c r="EA35" s="233"/>
      <c r="EB35" s="241">
        <f t="shared" si="87"/>
        <v>0</v>
      </c>
      <c r="EC35" s="163"/>
      <c r="ED35" s="233">
        <f t="shared" si="27"/>
        <v>0</v>
      </c>
      <c r="EE35" s="241">
        <f t="shared" si="84"/>
        <v>0</v>
      </c>
      <c r="EF35" s="163"/>
      <c r="EG35" s="233">
        <f t="shared" si="28"/>
        <v>0</v>
      </c>
      <c r="EH35" s="241">
        <f t="shared" si="85"/>
        <v>0</v>
      </c>
      <c r="EI35" s="163"/>
      <c r="EJ35" s="233">
        <f t="shared" si="29"/>
        <v>0</v>
      </c>
      <c r="EK35" s="241">
        <f t="shared" si="86"/>
        <v>0</v>
      </c>
      <c r="EL35" s="163"/>
      <c r="EM35" s="233">
        <f t="shared" si="30"/>
        <v>0</v>
      </c>
      <c r="EN35" s="241">
        <f t="shared" si="81"/>
        <v>0</v>
      </c>
      <c r="EO35" s="163"/>
      <c r="EP35" s="233">
        <f t="shared" si="31"/>
        <v>0</v>
      </c>
      <c r="EQ35" s="241">
        <f t="shared" si="16"/>
        <v>0</v>
      </c>
      <c r="ER35" s="163" t="e">
        <f t="shared" si="17"/>
        <v>#DIV/0!</v>
      </c>
      <c r="ES35" s="233"/>
    </row>
    <row r="36" spans="1:149" ht="13.5" thickBot="1" x14ac:dyDescent="0.25">
      <c r="A36" s="164">
        <v>31</v>
      </c>
      <c r="B36" s="161">
        <f t="shared" si="32"/>
        <v>0</v>
      </c>
      <c r="C36" s="162"/>
      <c r="D36" s="155">
        <f t="shared" si="18"/>
        <v>0</v>
      </c>
      <c r="E36" s="157"/>
      <c r="F36" s="164">
        <v>31</v>
      </c>
      <c r="G36" s="161">
        <f t="shared" si="33"/>
        <v>0</v>
      </c>
      <c r="H36" s="162"/>
      <c r="I36" s="155">
        <f t="shared" si="19"/>
        <v>0</v>
      </c>
      <c r="J36" s="157"/>
      <c r="K36" s="164">
        <v>31</v>
      </c>
      <c r="L36" s="161">
        <f t="shared" si="34"/>
        <v>0</v>
      </c>
      <c r="M36" s="162"/>
      <c r="N36" s="155">
        <f t="shared" si="20"/>
        <v>0</v>
      </c>
      <c r="O36" s="157"/>
      <c r="P36" s="164">
        <v>31</v>
      </c>
      <c r="Q36" s="161">
        <f t="shared" si="35"/>
        <v>0</v>
      </c>
      <c r="R36" s="162"/>
      <c r="S36" s="155">
        <f t="shared" si="21"/>
        <v>0</v>
      </c>
      <c r="T36" s="168"/>
      <c r="U36" s="158">
        <v>31</v>
      </c>
      <c r="V36" s="243">
        <f t="shared" si="22"/>
        <v>0</v>
      </c>
      <c r="W36" s="159">
        <f>'Maldives at LG Daily'!I35</f>
        <v>0</v>
      </c>
      <c r="X36" s="166"/>
      <c r="Z36" s="236">
        <v>31</v>
      </c>
      <c r="AA36" s="240">
        <f t="shared" si="36"/>
        <v>0</v>
      </c>
      <c r="AB36" s="240"/>
      <c r="AC36" s="240">
        <f t="shared" si="23"/>
        <v>0</v>
      </c>
      <c r="AD36" s="163">
        <f t="shared" si="82"/>
        <v>0</v>
      </c>
      <c r="AE36" s="343"/>
      <c r="AF36" s="236">
        <f t="shared" si="37"/>
        <v>0</v>
      </c>
      <c r="AG36" s="240"/>
      <c r="AH36" s="240">
        <f t="shared" si="24"/>
        <v>0</v>
      </c>
      <c r="AI36" s="163">
        <f t="shared" si="83"/>
        <v>0</v>
      </c>
      <c r="AJ36" s="240"/>
      <c r="AK36" s="236">
        <f t="shared" si="38"/>
        <v>0</v>
      </c>
      <c r="AL36" s="240"/>
      <c r="AM36" s="240">
        <f t="shared" si="25"/>
        <v>0</v>
      </c>
      <c r="AN36" s="163">
        <f t="shared" si="39"/>
        <v>0</v>
      </c>
      <c r="AO36" s="240"/>
      <c r="AP36" s="236">
        <f t="shared" si="40"/>
        <v>0</v>
      </c>
      <c r="AQ36" s="240"/>
      <c r="AR36" s="240">
        <f t="shared" si="26"/>
        <v>0</v>
      </c>
      <c r="AS36" s="163">
        <f t="shared" si="41"/>
        <v>0</v>
      </c>
      <c r="AT36" s="240"/>
      <c r="AU36" s="236">
        <f t="shared" si="42"/>
        <v>0</v>
      </c>
      <c r="AV36" s="240"/>
      <c r="AW36" s="240">
        <f t="shared" si="0"/>
        <v>0</v>
      </c>
      <c r="AX36" s="163">
        <f t="shared" si="43"/>
        <v>0</v>
      </c>
      <c r="AY36" s="240"/>
      <c r="AZ36" s="236">
        <f t="shared" si="44"/>
        <v>0</v>
      </c>
      <c r="BA36" s="240"/>
      <c r="BB36" s="240">
        <f t="shared" si="1"/>
        <v>0</v>
      </c>
      <c r="BC36" s="163">
        <f t="shared" si="45"/>
        <v>0</v>
      </c>
      <c r="BD36" s="240"/>
      <c r="BE36" s="236">
        <f t="shared" si="46"/>
        <v>0</v>
      </c>
      <c r="BF36" s="240"/>
      <c r="BG36" s="240">
        <f t="shared" si="2"/>
        <v>0</v>
      </c>
      <c r="BH36" s="163">
        <f t="shared" si="47"/>
        <v>0</v>
      </c>
      <c r="BI36" s="240"/>
      <c r="BJ36" s="236">
        <f t="shared" si="48"/>
        <v>0</v>
      </c>
      <c r="BK36" s="240"/>
      <c r="BL36" s="240">
        <f t="shared" si="3"/>
        <v>0</v>
      </c>
      <c r="BM36" s="163">
        <f t="shared" si="49"/>
        <v>0</v>
      </c>
      <c r="BN36" s="240"/>
      <c r="BO36" s="236">
        <f t="shared" si="50"/>
        <v>0</v>
      </c>
      <c r="BP36" s="240"/>
      <c r="BQ36" s="240">
        <f t="shared" si="4"/>
        <v>0</v>
      </c>
      <c r="BR36" s="163">
        <f t="shared" si="51"/>
        <v>0</v>
      </c>
      <c r="BS36" s="240"/>
      <c r="BT36" s="236">
        <f t="shared" si="52"/>
        <v>0</v>
      </c>
      <c r="BU36" s="240"/>
      <c r="BV36" s="240">
        <f t="shared" si="5"/>
        <v>0</v>
      </c>
      <c r="BW36" s="163">
        <f t="shared" si="53"/>
        <v>0</v>
      </c>
      <c r="BX36" s="240"/>
      <c r="BY36" s="346">
        <f t="shared" si="54"/>
        <v>0</v>
      </c>
      <c r="BZ36" s="240"/>
      <c r="CA36" s="240">
        <f t="shared" si="6"/>
        <v>0</v>
      </c>
      <c r="CB36" s="163">
        <f t="shared" si="55"/>
        <v>0</v>
      </c>
      <c r="CC36" s="234"/>
      <c r="CD36" s="346">
        <f t="shared" si="56"/>
        <v>0</v>
      </c>
      <c r="CE36" s="240"/>
      <c r="CF36" s="240">
        <f t="shared" si="7"/>
        <v>0</v>
      </c>
      <c r="CG36" s="163">
        <f t="shared" si="57"/>
        <v>0</v>
      </c>
      <c r="CH36" s="234"/>
      <c r="CI36" s="346">
        <f t="shared" si="58"/>
        <v>0</v>
      </c>
      <c r="CJ36" s="240"/>
      <c r="CK36" s="240">
        <f t="shared" si="8"/>
        <v>0</v>
      </c>
      <c r="CL36" s="163">
        <f t="shared" si="59"/>
        <v>0</v>
      </c>
      <c r="CM36" s="234"/>
      <c r="CN36" s="346">
        <f t="shared" si="60"/>
        <v>0</v>
      </c>
      <c r="CO36" s="240"/>
      <c r="CP36" s="240">
        <f t="shared" si="9"/>
        <v>0</v>
      </c>
      <c r="CQ36" s="163">
        <f t="shared" si="61"/>
        <v>0</v>
      </c>
      <c r="CR36" s="234"/>
      <c r="CS36" s="346">
        <f t="shared" si="62"/>
        <v>0</v>
      </c>
      <c r="CT36" s="240"/>
      <c r="CU36" s="240">
        <f t="shared" si="10"/>
        <v>0</v>
      </c>
      <c r="CV36" s="163">
        <f t="shared" si="63"/>
        <v>0</v>
      </c>
      <c r="CW36" s="234"/>
      <c r="CX36" s="346">
        <f t="shared" si="64"/>
        <v>0</v>
      </c>
      <c r="CY36" s="240"/>
      <c r="CZ36" s="240">
        <f t="shared" si="11"/>
        <v>0</v>
      </c>
      <c r="DA36" s="163">
        <f t="shared" si="65"/>
        <v>0</v>
      </c>
      <c r="DB36" s="234"/>
      <c r="DC36" s="346">
        <f t="shared" si="66"/>
        <v>0</v>
      </c>
      <c r="DD36" s="240"/>
      <c r="DE36" s="240">
        <f t="shared" si="12"/>
        <v>0</v>
      </c>
      <c r="DF36" s="163">
        <f t="shared" si="67"/>
        <v>0</v>
      </c>
      <c r="DG36" s="234"/>
      <c r="DH36" s="346">
        <f t="shared" si="68"/>
        <v>0</v>
      </c>
      <c r="DI36" s="240"/>
      <c r="DJ36" s="240">
        <f t="shared" si="13"/>
        <v>0</v>
      </c>
      <c r="DK36" s="163">
        <f t="shared" si="69"/>
        <v>0</v>
      </c>
      <c r="DL36" s="234"/>
      <c r="DM36" s="346">
        <f t="shared" si="70"/>
        <v>0</v>
      </c>
      <c r="DN36" s="240"/>
      <c r="DO36" s="240">
        <f t="shared" si="14"/>
        <v>0</v>
      </c>
      <c r="DP36" s="163">
        <f t="shared" si="71"/>
        <v>0</v>
      </c>
      <c r="DQ36" s="234"/>
      <c r="DR36" s="346">
        <f t="shared" si="72"/>
        <v>0</v>
      </c>
      <c r="DS36" s="240"/>
      <c r="DT36" s="240">
        <f t="shared" si="15"/>
        <v>0</v>
      </c>
      <c r="DU36" s="163">
        <f t="shared" si="73"/>
        <v>0</v>
      </c>
      <c r="DV36" s="234"/>
      <c r="DW36" s="346">
        <f t="shared" si="74"/>
        <v>0</v>
      </c>
      <c r="DX36" s="240"/>
      <c r="DY36" s="240">
        <f t="shared" si="75"/>
        <v>0</v>
      </c>
      <c r="DZ36" s="163">
        <f t="shared" si="76"/>
        <v>0</v>
      </c>
      <c r="EA36" s="234"/>
      <c r="EB36" s="241">
        <f t="shared" si="87"/>
        <v>0</v>
      </c>
      <c r="EC36" s="240"/>
      <c r="ED36" s="233">
        <f t="shared" si="27"/>
        <v>0</v>
      </c>
      <c r="EE36" s="241">
        <f t="shared" si="84"/>
        <v>0</v>
      </c>
      <c r="EF36" s="240"/>
      <c r="EG36" s="233">
        <f t="shared" si="28"/>
        <v>0</v>
      </c>
      <c r="EH36" s="241">
        <f t="shared" si="85"/>
        <v>0</v>
      </c>
      <c r="EI36" s="240"/>
      <c r="EJ36" s="233">
        <f t="shared" si="29"/>
        <v>0</v>
      </c>
      <c r="EK36" s="241">
        <f t="shared" si="86"/>
        <v>0</v>
      </c>
      <c r="EL36" s="240"/>
      <c r="EM36" s="233">
        <f t="shared" si="30"/>
        <v>0</v>
      </c>
      <c r="EN36" s="241">
        <f t="shared" si="81"/>
        <v>0</v>
      </c>
      <c r="EO36" s="163"/>
      <c r="EP36" s="233">
        <f t="shared" si="31"/>
        <v>0</v>
      </c>
      <c r="EQ36" s="241">
        <f t="shared" si="16"/>
        <v>0</v>
      </c>
      <c r="ER36" s="163" t="e">
        <f t="shared" si="17"/>
        <v>#DIV/0!</v>
      </c>
      <c r="ES36" s="233"/>
    </row>
    <row r="37" spans="1:149" ht="13.5" thickBot="1" x14ac:dyDescent="0.25">
      <c r="A37" s="169" t="s">
        <v>7</v>
      </c>
      <c r="D37" s="170">
        <f>SUM(D6:D36)</f>
        <v>1172</v>
      </c>
      <c r="E37" s="171"/>
      <c r="F37" s="169" t="s">
        <v>7</v>
      </c>
      <c r="I37" s="170">
        <f>SUM(I6:I36)</f>
        <v>1761</v>
      </c>
      <c r="J37" s="171"/>
      <c r="K37" s="169" t="s">
        <v>7</v>
      </c>
      <c r="N37" s="170">
        <f>SUM(N6:N36)</f>
        <v>7428</v>
      </c>
      <c r="O37" s="171"/>
      <c r="P37" s="169" t="s">
        <v>7</v>
      </c>
      <c r="S37" s="170">
        <f>SUM(S6:S36)</f>
        <v>1049</v>
      </c>
      <c r="T37" s="171"/>
      <c r="W37" s="221">
        <f>SUM(W6:W36)</f>
        <v>1049.8999999999999</v>
      </c>
    </row>
    <row r="38" spans="1:149" ht="13.5" thickTop="1" x14ac:dyDescent="0.2">
      <c r="W38" s="172">
        <f>W37/31</f>
        <v>33.867741935483863</v>
      </c>
    </row>
  </sheetData>
  <mergeCells count="35">
    <mergeCell ref="Z3:AC3"/>
    <mergeCell ref="EB4:ED4"/>
    <mergeCell ref="CS4:CW4"/>
    <mergeCell ref="CX4:DB4"/>
    <mergeCell ref="Z4:AE4"/>
    <mergeCell ref="DC4:DG4"/>
    <mergeCell ref="DH4:DL4"/>
    <mergeCell ref="DM4:DQ4"/>
    <mergeCell ref="DW4:EA4"/>
    <mergeCell ref="AF4:AJ4"/>
    <mergeCell ref="AK4:AO4"/>
    <mergeCell ref="AP4:AT4"/>
    <mergeCell ref="AU4:AY4"/>
    <mergeCell ref="AZ4:BD4"/>
    <mergeCell ref="CD4:CH4"/>
    <mergeCell ref="CI4:CM4"/>
    <mergeCell ref="A1:X2"/>
    <mergeCell ref="A3:B3"/>
    <mergeCell ref="A4:D4"/>
    <mergeCell ref="F4:I4"/>
    <mergeCell ref="K4:N4"/>
    <mergeCell ref="P4:S4"/>
    <mergeCell ref="U4:X4"/>
    <mergeCell ref="EQ4:ES4"/>
    <mergeCell ref="EE4:EG4"/>
    <mergeCell ref="EH4:EJ4"/>
    <mergeCell ref="DR4:DV4"/>
    <mergeCell ref="EK4:EM4"/>
    <mergeCell ref="EN4:EP4"/>
    <mergeCell ref="CN4:CR4"/>
    <mergeCell ref="BE4:BI4"/>
    <mergeCell ref="BJ4:BN4"/>
    <mergeCell ref="BO4:BS4"/>
    <mergeCell ref="BT4:BX4"/>
    <mergeCell ref="BY4:CC4"/>
  </mergeCells>
  <conditionalFormatting sqref="V6:V36">
    <cfRule type="cellIs" dxfId="41" priority="66" operator="greaterThan">
      <formula>400</formula>
    </cfRule>
    <cfRule type="cellIs" dxfId="40" priority="67" operator="greaterThan">
      <formula>400</formula>
    </cfRule>
  </conditionalFormatting>
  <conditionalFormatting sqref="AE6:AE36">
    <cfRule type="cellIs" dxfId="39" priority="65" operator="greaterThan">
      <formula>31</formula>
    </cfRule>
  </conditionalFormatting>
  <conditionalFormatting sqref="AH6:AH36">
    <cfRule type="cellIs" dxfId="38" priority="64" operator="greaterThan">
      <formula>6</formula>
    </cfRule>
  </conditionalFormatting>
  <conditionalFormatting sqref="CA6:CA36">
    <cfRule type="cellIs" dxfId="37" priority="54" operator="greaterThan">
      <formula>1.6</formula>
    </cfRule>
  </conditionalFormatting>
  <conditionalFormatting sqref="CF6:CF36">
    <cfRule type="cellIs" dxfId="36" priority="53" operator="greaterThan">
      <formula>2.5</formula>
    </cfRule>
  </conditionalFormatting>
  <conditionalFormatting sqref="CK6:CK36">
    <cfRule type="cellIs" dxfId="35" priority="52" operator="greaterThan">
      <formula>33</formula>
    </cfRule>
  </conditionalFormatting>
  <conditionalFormatting sqref="CP6:CP36">
    <cfRule type="cellIs" dxfId="34" priority="51" operator="greaterThan">
      <formula>3</formula>
    </cfRule>
  </conditionalFormatting>
  <conditionalFormatting sqref="CU6:CU36">
    <cfRule type="cellIs" dxfId="33" priority="50" operator="greaterThan">
      <formula>1</formula>
    </cfRule>
  </conditionalFormatting>
  <conditionalFormatting sqref="CZ6:CZ36">
    <cfRule type="cellIs" dxfId="32" priority="49" operator="greaterThan">
      <formula>5</formula>
    </cfRule>
  </conditionalFormatting>
  <conditionalFormatting sqref="DE6:DE36">
    <cfRule type="cellIs" dxfId="31" priority="48" operator="greaterThan">
      <formula>4</formula>
    </cfRule>
  </conditionalFormatting>
  <conditionalFormatting sqref="DJ6:DJ36">
    <cfRule type="cellIs" dxfId="30" priority="47" operator="greaterThan">
      <formula>2</formula>
    </cfRule>
  </conditionalFormatting>
  <conditionalFormatting sqref="DO6:DO36">
    <cfRule type="cellIs" dxfId="29" priority="46" operator="greaterThan">
      <formula>20</formula>
    </cfRule>
  </conditionalFormatting>
  <conditionalFormatting sqref="DT6:DT36">
    <cfRule type="cellIs" dxfId="28" priority="45" operator="greaterThan">
      <formula>2.3</formula>
    </cfRule>
  </conditionalFormatting>
  <conditionalFormatting sqref="DY6:DY36">
    <cfRule type="cellIs" dxfId="27" priority="44" operator="greaterThan">
      <formula>2</formula>
    </cfRule>
  </conditionalFormatting>
  <conditionalFormatting sqref="EM6:EM36 EP6:EP36">
    <cfRule type="cellIs" dxfId="26" priority="36" operator="greaterThan">
      <formula>4</formula>
    </cfRule>
  </conditionalFormatting>
  <conditionalFormatting sqref="EG6:EG36">
    <cfRule type="cellIs" dxfId="25" priority="38" operator="greaterThan">
      <formula>2</formula>
    </cfRule>
  </conditionalFormatting>
  <conditionalFormatting sqref="EJ6:EJ36">
    <cfRule type="cellIs" dxfId="24" priority="37" operator="greaterThan">
      <formula>2</formula>
    </cfRule>
  </conditionalFormatting>
  <conditionalFormatting sqref="ED6:ED36">
    <cfRule type="cellIs" dxfId="23" priority="32" operator="greaterThan">
      <formula>8</formula>
    </cfRule>
  </conditionalFormatting>
  <conditionalFormatting sqref="AJ6:AJ36">
    <cfRule type="cellIs" dxfId="22" priority="31" operator="greaterThan">
      <formula>31</formula>
    </cfRule>
  </conditionalFormatting>
  <conditionalFormatting sqref="CM6:CM36">
    <cfRule type="cellIs" dxfId="21" priority="20" operator="greaterThan">
      <formula>31</formula>
    </cfRule>
  </conditionalFormatting>
  <conditionalFormatting sqref="CH6:CH36">
    <cfRule type="cellIs" dxfId="20" priority="21" operator="greaterThan">
      <formula>31</formula>
    </cfRule>
  </conditionalFormatting>
  <conditionalFormatting sqref="CC6:CC36">
    <cfRule type="cellIs" dxfId="19" priority="22" operator="greaterThan">
      <formula>31</formula>
    </cfRule>
  </conditionalFormatting>
  <conditionalFormatting sqref="CR6:CR36">
    <cfRule type="cellIs" dxfId="18" priority="19" operator="greaterThan">
      <formula>31</formula>
    </cfRule>
  </conditionalFormatting>
  <conditionalFormatting sqref="DB6:DB36">
    <cfRule type="cellIs" dxfId="17" priority="18" operator="greaterThan">
      <formula>31</formula>
    </cfRule>
  </conditionalFormatting>
  <conditionalFormatting sqref="DG6:DG36">
    <cfRule type="cellIs" dxfId="16" priority="17" operator="greaterThan">
      <formula>31</formula>
    </cfRule>
  </conditionalFormatting>
  <conditionalFormatting sqref="DL6:DL36">
    <cfRule type="cellIs" dxfId="15" priority="16" operator="greaterThan">
      <formula>31</formula>
    </cfRule>
  </conditionalFormatting>
  <conditionalFormatting sqref="DQ6:DQ36">
    <cfRule type="cellIs" dxfId="14" priority="15" operator="greaterThan">
      <formula>31</formula>
    </cfRule>
  </conditionalFormatting>
  <conditionalFormatting sqref="DV6:DV36">
    <cfRule type="cellIs" dxfId="13" priority="14" operator="greaterThan">
      <formula>31</formula>
    </cfRule>
  </conditionalFormatting>
  <conditionalFormatting sqref="BX6:BX36">
    <cfRule type="cellIs" dxfId="12" priority="2" operator="greaterThan">
      <formula>31</formula>
    </cfRule>
  </conditionalFormatting>
  <conditionalFormatting sqref="EA6:EA36">
    <cfRule type="cellIs" dxfId="11" priority="13" operator="greaterThan">
      <formula>31</formula>
    </cfRule>
  </conditionalFormatting>
  <conditionalFormatting sqref="ES6:ES36">
    <cfRule type="cellIs" dxfId="10" priority="12" operator="greaterThan">
      <formula>2</formula>
    </cfRule>
  </conditionalFormatting>
  <conditionalFormatting sqref="AM6:AM36">
    <cfRule type="cellIs" dxfId="9" priority="11" operator="greaterThan">
      <formula>6</formula>
    </cfRule>
  </conditionalFormatting>
  <conditionalFormatting sqref="AO6:AO36">
    <cfRule type="cellIs" dxfId="8" priority="10" operator="greaterThan">
      <formula>31</formula>
    </cfRule>
  </conditionalFormatting>
  <conditionalFormatting sqref="AR6:AR36 AW6:AW36">
    <cfRule type="cellIs" dxfId="7" priority="9" operator="greaterThan">
      <formula>6</formula>
    </cfRule>
  </conditionalFormatting>
  <conditionalFormatting sqref="AT6:AT36 AY6:AY36">
    <cfRule type="cellIs" dxfId="6" priority="8" operator="greaterThan">
      <formula>31</formula>
    </cfRule>
  </conditionalFormatting>
  <conditionalFormatting sqref="BB6:BB36 BG6:BG36">
    <cfRule type="cellIs" dxfId="5" priority="7" operator="greaterThan">
      <formula>6</formula>
    </cfRule>
  </conditionalFormatting>
  <conditionalFormatting sqref="BD6:BD36 BI6:BI36">
    <cfRule type="cellIs" dxfId="4" priority="6" operator="greaterThan">
      <formula>31</formula>
    </cfRule>
  </conditionalFormatting>
  <conditionalFormatting sqref="BL6:BL36 BQ6:BQ36">
    <cfRule type="cellIs" dxfId="3" priority="5" operator="greaterThan">
      <formula>6</formula>
    </cfRule>
  </conditionalFormatting>
  <conditionalFormatting sqref="BN6:BN36 BS6:BS36">
    <cfRule type="cellIs" dxfId="2" priority="4" operator="greaterThan">
      <formula>31</formula>
    </cfRule>
  </conditionalFormatting>
  <conditionalFormatting sqref="BV6:BV36">
    <cfRule type="cellIs" dxfId="1" priority="3" operator="greaterThan">
      <formula>6</formula>
    </cfRule>
  </conditionalFormatting>
  <conditionalFormatting sqref="CW6:CW36">
    <cfRule type="cellIs" dxfId="0" priority="1" operator="greaterThan">
      <formula>31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abSelected="1" topLeftCell="A22" zoomScale="90" zoomScaleNormal="90" workbookViewId="0">
      <selection activeCell="E35" sqref="E35"/>
    </sheetView>
  </sheetViews>
  <sheetFormatPr defaultColWidth="9.140625" defaultRowHeight="12.75" x14ac:dyDescent="0.2"/>
  <cols>
    <col min="1" max="1" width="7" style="193" customWidth="1"/>
    <col min="2" max="2" width="17.7109375" style="169" customWidth="1"/>
    <col min="3" max="3" width="15.7109375" style="169" customWidth="1"/>
    <col min="4" max="5" width="16.140625" style="169" customWidth="1"/>
    <col min="6" max="6" width="16.140625" style="194" customWidth="1"/>
    <col min="7" max="7" width="14.5703125" style="194" customWidth="1"/>
    <col min="8" max="8" width="13" style="145" customWidth="1"/>
    <col min="9" max="16384" width="9.140625" style="145"/>
  </cols>
  <sheetData>
    <row r="1" spans="1:20" s="146" customFormat="1" x14ac:dyDescent="0.2">
      <c r="A1" s="410"/>
      <c r="B1" s="410"/>
      <c r="C1" s="174"/>
      <c r="D1" s="174"/>
      <c r="E1" s="174"/>
      <c r="F1" s="175"/>
      <c r="G1" s="175"/>
    </row>
    <row r="2" spans="1:20" ht="24.75" customHeight="1" x14ac:dyDescent="0.2">
      <c r="A2" s="411" t="s">
        <v>36</v>
      </c>
      <c r="B2" s="411"/>
      <c r="C2" s="411"/>
      <c r="D2" s="411"/>
      <c r="E2" s="411"/>
      <c r="F2" s="411"/>
      <c r="G2" s="411"/>
      <c r="H2" s="411"/>
    </row>
    <row r="3" spans="1:20" ht="26.25" customHeight="1" x14ac:dyDescent="0.2">
      <c r="A3" s="176" t="s">
        <v>118</v>
      </c>
      <c r="B3" s="177">
        <f>WATER!C3</f>
        <v>44531</v>
      </c>
      <c r="C3" s="178"/>
      <c r="D3" s="176"/>
      <c r="E3" s="176"/>
      <c r="F3" s="176"/>
      <c r="G3" s="179"/>
      <c r="H3" s="180"/>
    </row>
    <row r="4" spans="1:20" ht="42" customHeight="1" x14ac:dyDescent="0.2">
      <c r="A4" s="181" t="s">
        <v>5</v>
      </c>
      <c r="B4" s="182" t="s">
        <v>119</v>
      </c>
      <c r="C4" s="182" t="s">
        <v>120</v>
      </c>
      <c r="D4" s="182" t="s">
        <v>121</v>
      </c>
      <c r="E4" s="182" t="s">
        <v>122</v>
      </c>
      <c r="F4" s="183" t="s">
        <v>7</v>
      </c>
      <c r="G4" s="184" t="s">
        <v>37</v>
      </c>
      <c r="H4" s="184" t="s">
        <v>123</v>
      </c>
    </row>
    <row r="5" spans="1:20" ht="24" customHeight="1" x14ac:dyDescent="0.2">
      <c r="A5" s="412">
        <v>44500</v>
      </c>
      <c r="B5" s="413"/>
      <c r="C5" s="413"/>
      <c r="D5" s="413"/>
      <c r="E5" s="413"/>
      <c r="F5" s="414"/>
      <c r="G5" s="185"/>
      <c r="H5" s="185"/>
    </row>
    <row r="6" spans="1:20" ht="21.75" customHeight="1" x14ac:dyDescent="0.2">
      <c r="A6" s="186">
        <v>1</v>
      </c>
      <c r="B6" s="164">
        <v>2</v>
      </c>
      <c r="C6" s="164">
        <v>0</v>
      </c>
      <c r="D6" s="164">
        <v>1</v>
      </c>
      <c r="E6" s="113">
        <v>2</v>
      </c>
      <c r="F6" s="187">
        <f>SUM(B6:E6)</f>
        <v>5</v>
      </c>
      <c r="G6" s="188">
        <f>F6*45</f>
        <v>225</v>
      </c>
      <c r="H6" s="189">
        <f>WATER!W6</f>
        <v>37.9</v>
      </c>
    </row>
    <row r="7" spans="1:20" ht="21.75" customHeight="1" x14ac:dyDescent="0.2">
      <c r="A7" s="186">
        <v>2</v>
      </c>
      <c r="B7" s="164">
        <v>2</v>
      </c>
      <c r="C7" s="161">
        <v>0</v>
      </c>
      <c r="D7" s="164">
        <v>1</v>
      </c>
      <c r="E7" s="113">
        <v>2</v>
      </c>
      <c r="F7" s="187">
        <f t="shared" ref="F7:F36" si="0">SUM(B7:E7)</f>
        <v>5</v>
      </c>
      <c r="G7" s="188">
        <f t="shared" ref="G7:G36" si="1">F7*45</f>
        <v>225</v>
      </c>
      <c r="H7" s="189">
        <f>WATER!W7</f>
        <v>44.7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</row>
    <row r="8" spans="1:20" ht="21.75" customHeight="1" x14ac:dyDescent="0.2">
      <c r="A8" s="186">
        <v>3</v>
      </c>
      <c r="B8" s="164">
        <v>2</v>
      </c>
      <c r="C8" s="161">
        <v>1</v>
      </c>
      <c r="D8" s="164">
        <v>1</v>
      </c>
      <c r="E8" s="113">
        <v>2</v>
      </c>
      <c r="F8" s="187">
        <f t="shared" si="0"/>
        <v>6</v>
      </c>
      <c r="G8" s="188">
        <f t="shared" si="1"/>
        <v>270</v>
      </c>
      <c r="H8" s="189">
        <f>WATER!W8</f>
        <v>40.799999999999997</v>
      </c>
    </row>
    <row r="9" spans="1:20" ht="21.75" customHeight="1" x14ac:dyDescent="0.2">
      <c r="A9" s="186">
        <v>4</v>
      </c>
      <c r="B9" s="164">
        <v>2</v>
      </c>
      <c r="C9" s="161">
        <v>1</v>
      </c>
      <c r="D9" s="164">
        <v>1</v>
      </c>
      <c r="E9" s="113">
        <v>2</v>
      </c>
      <c r="F9" s="187">
        <f t="shared" si="0"/>
        <v>6</v>
      </c>
      <c r="G9" s="188">
        <f t="shared" si="1"/>
        <v>270</v>
      </c>
      <c r="H9" s="189">
        <f>WATER!W9</f>
        <v>36.9</v>
      </c>
    </row>
    <row r="10" spans="1:20" ht="21.75" customHeight="1" x14ac:dyDescent="0.2">
      <c r="A10" s="186">
        <v>5</v>
      </c>
      <c r="B10" s="164">
        <v>2</v>
      </c>
      <c r="C10" s="161">
        <v>0</v>
      </c>
      <c r="D10" s="164">
        <v>1</v>
      </c>
      <c r="E10" s="113">
        <v>2</v>
      </c>
      <c r="F10" s="187">
        <f t="shared" si="0"/>
        <v>5</v>
      </c>
      <c r="G10" s="188">
        <f t="shared" si="1"/>
        <v>225</v>
      </c>
      <c r="H10" s="189">
        <f>WATER!W10</f>
        <v>28.2</v>
      </c>
    </row>
    <row r="11" spans="1:20" ht="21.75" customHeight="1" x14ac:dyDescent="0.2">
      <c r="A11" s="186">
        <v>6</v>
      </c>
      <c r="B11" s="164">
        <v>2</v>
      </c>
      <c r="C11" s="161">
        <v>0</v>
      </c>
      <c r="D11" s="164">
        <v>1</v>
      </c>
      <c r="E11" s="113">
        <v>2</v>
      </c>
      <c r="F11" s="187">
        <f t="shared" si="0"/>
        <v>5</v>
      </c>
      <c r="G11" s="188">
        <f t="shared" si="1"/>
        <v>225</v>
      </c>
      <c r="H11" s="189">
        <f>WATER!W11</f>
        <v>28.2</v>
      </c>
    </row>
    <row r="12" spans="1:20" ht="21.75" customHeight="1" x14ac:dyDescent="0.2">
      <c r="A12" s="186">
        <v>7</v>
      </c>
      <c r="B12" s="164">
        <v>2</v>
      </c>
      <c r="C12" s="161">
        <v>1</v>
      </c>
      <c r="D12" s="164">
        <v>1</v>
      </c>
      <c r="E12" s="113">
        <v>2</v>
      </c>
      <c r="F12" s="187">
        <f t="shared" si="0"/>
        <v>6</v>
      </c>
      <c r="G12" s="188">
        <f t="shared" si="1"/>
        <v>270</v>
      </c>
      <c r="H12" s="189">
        <f>WATER!W12</f>
        <v>27.2</v>
      </c>
    </row>
    <row r="13" spans="1:20" ht="21.75" customHeight="1" x14ac:dyDescent="0.2">
      <c r="A13" s="186">
        <v>8</v>
      </c>
      <c r="B13" s="164">
        <v>2</v>
      </c>
      <c r="C13" s="161">
        <v>1</v>
      </c>
      <c r="D13" s="164">
        <v>1</v>
      </c>
      <c r="E13" s="113">
        <v>2</v>
      </c>
      <c r="F13" s="187">
        <f t="shared" si="0"/>
        <v>6</v>
      </c>
      <c r="G13" s="188">
        <f t="shared" si="1"/>
        <v>270</v>
      </c>
      <c r="H13" s="189">
        <f>WATER!W13</f>
        <v>27.2</v>
      </c>
    </row>
    <row r="14" spans="1:20" ht="21.75" customHeight="1" x14ac:dyDescent="0.2">
      <c r="A14" s="186">
        <v>9</v>
      </c>
      <c r="B14" s="164">
        <v>2</v>
      </c>
      <c r="C14" s="161">
        <v>0</v>
      </c>
      <c r="D14" s="164">
        <v>1</v>
      </c>
      <c r="E14" s="113">
        <v>2</v>
      </c>
      <c r="F14" s="187">
        <f t="shared" si="0"/>
        <v>5</v>
      </c>
      <c r="G14" s="188">
        <f t="shared" si="1"/>
        <v>225</v>
      </c>
      <c r="H14" s="189">
        <f>WATER!W14</f>
        <v>27.2</v>
      </c>
    </row>
    <row r="15" spans="1:20" ht="21.75" customHeight="1" x14ac:dyDescent="0.2">
      <c r="A15" s="186">
        <v>10</v>
      </c>
      <c r="B15" s="164">
        <v>2</v>
      </c>
      <c r="C15" s="161">
        <v>0</v>
      </c>
      <c r="D15" s="164">
        <v>1</v>
      </c>
      <c r="E15" s="113">
        <v>2</v>
      </c>
      <c r="F15" s="187">
        <f t="shared" si="0"/>
        <v>5</v>
      </c>
      <c r="G15" s="188">
        <f t="shared" si="1"/>
        <v>225</v>
      </c>
      <c r="H15" s="189">
        <f>WATER!W15</f>
        <v>21</v>
      </c>
    </row>
    <row r="16" spans="1:20" ht="21.75" customHeight="1" x14ac:dyDescent="0.2">
      <c r="A16" s="186">
        <v>11</v>
      </c>
      <c r="B16" s="164">
        <v>2</v>
      </c>
      <c r="C16" s="161">
        <v>1</v>
      </c>
      <c r="D16" s="164">
        <v>1</v>
      </c>
      <c r="E16" s="113">
        <v>2</v>
      </c>
      <c r="F16" s="187">
        <f t="shared" si="0"/>
        <v>6</v>
      </c>
      <c r="G16" s="188">
        <f t="shared" si="1"/>
        <v>270</v>
      </c>
      <c r="H16" s="189">
        <f>WATER!W16</f>
        <v>25.2</v>
      </c>
    </row>
    <row r="17" spans="1:8" ht="21.75" customHeight="1" x14ac:dyDescent="0.2">
      <c r="A17" s="186">
        <v>12</v>
      </c>
      <c r="B17" s="164">
        <v>2</v>
      </c>
      <c r="C17" s="161">
        <v>0</v>
      </c>
      <c r="D17" s="164">
        <v>1</v>
      </c>
      <c r="E17" s="113">
        <v>2</v>
      </c>
      <c r="F17" s="187">
        <f t="shared" si="0"/>
        <v>5</v>
      </c>
      <c r="G17" s="188">
        <f t="shared" si="1"/>
        <v>225</v>
      </c>
      <c r="H17" s="189">
        <f>WATER!W17</f>
        <v>29.1</v>
      </c>
    </row>
    <row r="18" spans="1:8" ht="21.75" customHeight="1" x14ac:dyDescent="0.2">
      <c r="A18" s="186">
        <v>13</v>
      </c>
      <c r="B18" s="164">
        <v>2</v>
      </c>
      <c r="C18" s="164">
        <v>0</v>
      </c>
      <c r="D18" s="161">
        <v>1</v>
      </c>
      <c r="E18" s="113">
        <v>2</v>
      </c>
      <c r="F18" s="187">
        <f t="shared" si="0"/>
        <v>5</v>
      </c>
      <c r="G18" s="188">
        <f t="shared" si="1"/>
        <v>225</v>
      </c>
      <c r="H18" s="189">
        <f>WATER!W18</f>
        <v>35.9</v>
      </c>
    </row>
    <row r="19" spans="1:8" ht="21.75" customHeight="1" x14ac:dyDescent="0.2">
      <c r="A19" s="186">
        <v>14</v>
      </c>
      <c r="B19" s="161">
        <v>2</v>
      </c>
      <c r="C19" s="161">
        <v>1</v>
      </c>
      <c r="D19" s="161">
        <v>2</v>
      </c>
      <c r="E19" s="113">
        <v>2</v>
      </c>
      <c r="F19" s="187">
        <f t="shared" si="0"/>
        <v>7</v>
      </c>
      <c r="G19" s="188">
        <f t="shared" si="1"/>
        <v>315</v>
      </c>
      <c r="H19" s="189">
        <f>WATER!W19</f>
        <v>35.9</v>
      </c>
    </row>
    <row r="20" spans="1:8" ht="21.75" customHeight="1" x14ac:dyDescent="0.2">
      <c r="A20" s="186">
        <v>15</v>
      </c>
      <c r="B20" s="161">
        <v>2</v>
      </c>
      <c r="C20" s="161">
        <v>1</v>
      </c>
      <c r="D20" s="161">
        <v>2</v>
      </c>
      <c r="E20" s="113">
        <v>2</v>
      </c>
      <c r="F20" s="187">
        <f t="shared" si="0"/>
        <v>7</v>
      </c>
      <c r="G20" s="188">
        <f t="shared" si="1"/>
        <v>315</v>
      </c>
      <c r="H20" s="189">
        <f>WATER!W20</f>
        <v>43.7</v>
      </c>
    </row>
    <row r="21" spans="1:8" ht="21.75" customHeight="1" x14ac:dyDescent="0.2">
      <c r="A21" s="186">
        <v>16</v>
      </c>
      <c r="B21" s="161">
        <v>2</v>
      </c>
      <c r="C21" s="164">
        <v>1</v>
      </c>
      <c r="D21" s="161">
        <v>1</v>
      </c>
      <c r="E21" s="113">
        <v>2</v>
      </c>
      <c r="F21" s="187">
        <f t="shared" si="0"/>
        <v>6</v>
      </c>
      <c r="G21" s="188">
        <f t="shared" si="1"/>
        <v>270</v>
      </c>
      <c r="H21" s="189">
        <f>WATER!W21</f>
        <v>48.5</v>
      </c>
    </row>
    <row r="22" spans="1:8" ht="21.75" customHeight="1" x14ac:dyDescent="0.2">
      <c r="A22" s="186">
        <v>17</v>
      </c>
      <c r="B22" s="161">
        <v>2</v>
      </c>
      <c r="C22" s="161">
        <v>1</v>
      </c>
      <c r="D22" s="161">
        <v>1</v>
      </c>
      <c r="E22" s="113">
        <v>2</v>
      </c>
      <c r="F22" s="187">
        <f t="shared" si="0"/>
        <v>6</v>
      </c>
      <c r="G22" s="188">
        <f t="shared" si="1"/>
        <v>270</v>
      </c>
      <c r="H22" s="189">
        <f>WATER!W22</f>
        <v>46.6</v>
      </c>
    </row>
    <row r="23" spans="1:8" ht="21.75" customHeight="1" x14ac:dyDescent="0.2">
      <c r="A23" s="186">
        <v>18</v>
      </c>
      <c r="B23" s="161">
        <v>2</v>
      </c>
      <c r="C23" s="161">
        <v>0</v>
      </c>
      <c r="D23" s="161">
        <v>1</v>
      </c>
      <c r="E23" s="113">
        <v>2</v>
      </c>
      <c r="F23" s="187">
        <f t="shared" si="0"/>
        <v>5</v>
      </c>
      <c r="G23" s="188">
        <f t="shared" si="1"/>
        <v>225</v>
      </c>
      <c r="H23" s="189">
        <f>WATER!W23</f>
        <v>57.3</v>
      </c>
    </row>
    <row r="24" spans="1:8" ht="21.75" customHeight="1" x14ac:dyDescent="0.2">
      <c r="A24" s="186">
        <v>19</v>
      </c>
      <c r="B24" s="161">
        <v>2</v>
      </c>
      <c r="C24" s="164">
        <v>1</v>
      </c>
      <c r="D24" s="161">
        <v>1</v>
      </c>
      <c r="E24" s="113">
        <v>2</v>
      </c>
      <c r="F24" s="187">
        <f t="shared" si="0"/>
        <v>6</v>
      </c>
      <c r="G24" s="188">
        <f t="shared" si="1"/>
        <v>270</v>
      </c>
      <c r="H24" s="189">
        <f>WATER!W24</f>
        <v>53.4</v>
      </c>
    </row>
    <row r="25" spans="1:8" ht="21.75" customHeight="1" x14ac:dyDescent="0.2">
      <c r="A25" s="186">
        <v>20</v>
      </c>
      <c r="B25" s="161">
        <v>2</v>
      </c>
      <c r="C25" s="161">
        <v>0</v>
      </c>
      <c r="D25" s="161">
        <v>1</v>
      </c>
      <c r="E25" s="113">
        <v>2</v>
      </c>
      <c r="F25" s="187">
        <f t="shared" si="0"/>
        <v>5</v>
      </c>
      <c r="G25" s="188">
        <f t="shared" si="1"/>
        <v>225</v>
      </c>
      <c r="H25" s="189">
        <f>WATER!W25</f>
        <v>54</v>
      </c>
    </row>
    <row r="26" spans="1:8" ht="21.75" customHeight="1" x14ac:dyDescent="0.2">
      <c r="A26" s="186">
        <v>21</v>
      </c>
      <c r="B26" s="161">
        <v>2</v>
      </c>
      <c r="C26" s="161">
        <v>1</v>
      </c>
      <c r="D26" s="161">
        <v>1</v>
      </c>
      <c r="E26" s="113">
        <v>2</v>
      </c>
      <c r="F26" s="187">
        <f t="shared" si="0"/>
        <v>6</v>
      </c>
      <c r="G26" s="188">
        <f t="shared" si="1"/>
        <v>270</v>
      </c>
      <c r="H26" s="189">
        <f>WATER!W26</f>
        <v>54</v>
      </c>
    </row>
    <row r="27" spans="1:8" ht="21.75" customHeight="1" x14ac:dyDescent="0.2">
      <c r="A27" s="186">
        <v>22</v>
      </c>
      <c r="B27" s="161">
        <v>2</v>
      </c>
      <c r="C27" s="164">
        <v>1</v>
      </c>
      <c r="D27" s="161">
        <v>1</v>
      </c>
      <c r="E27" s="113">
        <v>2</v>
      </c>
      <c r="F27" s="187">
        <f t="shared" si="0"/>
        <v>6</v>
      </c>
      <c r="G27" s="188">
        <f t="shared" si="1"/>
        <v>270</v>
      </c>
      <c r="H27" s="189">
        <f>WATER!W27</f>
        <v>54</v>
      </c>
    </row>
    <row r="28" spans="1:8" ht="21.75" customHeight="1" x14ac:dyDescent="0.2">
      <c r="A28" s="186">
        <v>23</v>
      </c>
      <c r="B28" s="161">
        <v>2</v>
      </c>
      <c r="C28" s="161">
        <v>1</v>
      </c>
      <c r="D28" s="161">
        <v>2</v>
      </c>
      <c r="E28" s="113">
        <v>2</v>
      </c>
      <c r="F28" s="187">
        <f t="shared" si="0"/>
        <v>7</v>
      </c>
      <c r="G28" s="188">
        <f t="shared" si="1"/>
        <v>315</v>
      </c>
      <c r="H28" s="189">
        <f>WATER!W28</f>
        <v>60</v>
      </c>
    </row>
    <row r="29" spans="1:8" ht="21.75" customHeight="1" x14ac:dyDescent="0.2">
      <c r="A29" s="186">
        <v>24</v>
      </c>
      <c r="B29" s="161">
        <v>1</v>
      </c>
      <c r="C29" s="161">
        <v>0</v>
      </c>
      <c r="D29" s="161">
        <v>2</v>
      </c>
      <c r="E29" s="113">
        <v>2</v>
      </c>
      <c r="F29" s="187">
        <f t="shared" si="0"/>
        <v>5</v>
      </c>
      <c r="G29" s="188">
        <f t="shared" si="1"/>
        <v>225</v>
      </c>
      <c r="H29" s="189">
        <f>WATER!W29</f>
        <v>67</v>
      </c>
    </row>
    <row r="30" spans="1:8" ht="21.75" customHeight="1" x14ac:dyDescent="0.2">
      <c r="A30" s="186">
        <v>25</v>
      </c>
      <c r="B30" s="161">
        <v>2</v>
      </c>
      <c r="C30" s="164">
        <v>1</v>
      </c>
      <c r="D30" s="161">
        <v>1</v>
      </c>
      <c r="E30" s="113">
        <v>2</v>
      </c>
      <c r="F30" s="187">
        <f t="shared" si="0"/>
        <v>6</v>
      </c>
      <c r="G30" s="188">
        <f t="shared" si="1"/>
        <v>270</v>
      </c>
      <c r="H30" s="189">
        <f>WATER!W30</f>
        <v>66</v>
      </c>
    </row>
    <row r="31" spans="1:8" ht="21.75" customHeight="1" x14ac:dyDescent="0.2">
      <c r="A31" s="186">
        <v>26</v>
      </c>
      <c r="B31" s="161">
        <v>2</v>
      </c>
      <c r="C31" s="161">
        <v>0</v>
      </c>
      <c r="D31" s="161">
        <v>1</v>
      </c>
      <c r="E31" s="113">
        <v>2</v>
      </c>
      <c r="F31" s="187">
        <f t="shared" si="0"/>
        <v>5</v>
      </c>
      <c r="G31" s="188">
        <f t="shared" si="1"/>
        <v>225</v>
      </c>
      <c r="H31" s="189">
        <f>WATER!W31</f>
        <v>0</v>
      </c>
    </row>
    <row r="32" spans="1:8" ht="21.75" customHeight="1" x14ac:dyDescent="0.2">
      <c r="A32" s="186">
        <v>27</v>
      </c>
      <c r="B32" s="161">
        <v>2</v>
      </c>
      <c r="C32" s="161">
        <v>1</v>
      </c>
      <c r="D32" s="161">
        <v>1</v>
      </c>
      <c r="E32" s="113">
        <v>2</v>
      </c>
      <c r="F32" s="187">
        <f t="shared" si="0"/>
        <v>6</v>
      </c>
      <c r="G32" s="188">
        <f t="shared" si="1"/>
        <v>270</v>
      </c>
      <c r="H32" s="189">
        <f>WATER!W32</f>
        <v>0</v>
      </c>
    </row>
    <row r="33" spans="1:8" ht="21.75" customHeight="1" x14ac:dyDescent="0.2">
      <c r="A33" s="186">
        <v>28</v>
      </c>
      <c r="B33" s="161">
        <v>2</v>
      </c>
      <c r="C33" s="164">
        <v>0</v>
      </c>
      <c r="D33" s="161">
        <v>1</v>
      </c>
      <c r="E33" s="113">
        <v>2</v>
      </c>
      <c r="F33" s="187">
        <f t="shared" si="0"/>
        <v>5</v>
      </c>
      <c r="G33" s="188">
        <f t="shared" si="1"/>
        <v>225</v>
      </c>
      <c r="H33" s="189">
        <f>WATER!W33</f>
        <v>0</v>
      </c>
    </row>
    <row r="34" spans="1:8" ht="21.75" customHeight="1" x14ac:dyDescent="0.2">
      <c r="A34" s="186">
        <v>29</v>
      </c>
      <c r="B34" s="161">
        <v>2</v>
      </c>
      <c r="C34" s="161">
        <v>1</v>
      </c>
      <c r="D34" s="161">
        <v>1</v>
      </c>
      <c r="E34" s="113">
        <v>2</v>
      </c>
      <c r="F34" s="187">
        <f t="shared" si="0"/>
        <v>6</v>
      </c>
      <c r="G34" s="188">
        <f t="shared" si="1"/>
        <v>270</v>
      </c>
      <c r="H34" s="189">
        <f>WATER!W34</f>
        <v>0</v>
      </c>
    </row>
    <row r="35" spans="1:8" ht="21.75" customHeight="1" x14ac:dyDescent="0.2">
      <c r="A35" s="186">
        <v>30</v>
      </c>
      <c r="B35" s="161"/>
      <c r="C35" s="161"/>
      <c r="D35" s="161"/>
      <c r="E35" s="113"/>
      <c r="F35" s="187">
        <f t="shared" si="0"/>
        <v>0</v>
      </c>
      <c r="G35" s="188">
        <f t="shared" si="1"/>
        <v>0</v>
      </c>
      <c r="H35" s="189">
        <f>WATER!W35</f>
        <v>0</v>
      </c>
    </row>
    <row r="36" spans="1:8" ht="21.75" customHeight="1" x14ac:dyDescent="0.2">
      <c r="A36" s="186">
        <v>31</v>
      </c>
      <c r="B36" s="161"/>
      <c r="C36" s="161"/>
      <c r="D36" s="161"/>
      <c r="E36" s="113"/>
      <c r="F36" s="187">
        <f t="shared" si="0"/>
        <v>0</v>
      </c>
      <c r="G36" s="188">
        <f t="shared" si="1"/>
        <v>0</v>
      </c>
      <c r="H36" s="189">
        <f>WATER!W36</f>
        <v>0</v>
      </c>
    </row>
    <row r="37" spans="1:8" ht="21" customHeight="1" x14ac:dyDescent="0.2">
      <c r="A37" s="190" t="s">
        <v>7</v>
      </c>
      <c r="B37" s="190"/>
      <c r="C37" s="190"/>
      <c r="D37" s="191"/>
      <c r="E37" s="191">
        <f>SUM(E6:E36)</f>
        <v>58</v>
      </c>
      <c r="F37" s="192">
        <f>SUM(F6:F36)</f>
        <v>164</v>
      </c>
      <c r="G37" s="188">
        <f>SUM(G6:G36)</f>
        <v>7380</v>
      </c>
      <c r="H37" s="189">
        <f>SUM(H6:H36)/30</f>
        <v>34.996666666666663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416">
        <v>44256</v>
      </c>
      <c r="C1" s="416"/>
      <c r="D1" s="416"/>
      <c r="E1" s="416"/>
      <c r="F1" s="416"/>
      <c r="G1" s="416"/>
      <c r="H1" s="416"/>
    </row>
    <row r="2" spans="2:14" ht="15.75" customHeight="1" x14ac:dyDescent="0.2">
      <c r="B2" s="416"/>
      <c r="C2" s="416"/>
      <c r="D2" s="416"/>
      <c r="E2" s="416"/>
      <c r="F2" s="416"/>
      <c r="G2" s="416"/>
      <c r="H2" s="416"/>
    </row>
    <row r="3" spans="2:14" ht="28.5" customHeight="1" x14ac:dyDescent="0.2">
      <c r="B3" s="417" t="s">
        <v>77</v>
      </c>
      <c r="C3" s="417"/>
      <c r="D3" s="417"/>
      <c r="E3" s="417"/>
      <c r="F3" s="417"/>
      <c r="G3" s="417"/>
      <c r="H3" s="417"/>
    </row>
    <row r="4" spans="2:14" x14ac:dyDescent="0.2">
      <c r="B4" s="109" t="s">
        <v>42</v>
      </c>
      <c r="C4" s="109" t="s">
        <v>72</v>
      </c>
      <c r="D4" s="109" t="s">
        <v>73</v>
      </c>
      <c r="E4" s="109" t="s">
        <v>74</v>
      </c>
      <c r="F4" s="109" t="s">
        <v>75</v>
      </c>
      <c r="G4" s="109" t="s">
        <v>76</v>
      </c>
      <c r="H4" s="109" t="s">
        <v>7</v>
      </c>
    </row>
    <row r="5" spans="2:14" x14ac:dyDescent="0.2">
      <c r="B5" s="107">
        <v>1</v>
      </c>
      <c r="C5" s="108">
        <f>'GENSET #1'!D10</f>
        <v>1210</v>
      </c>
      <c r="D5" s="108">
        <f>'GENSET #2'!D10</f>
        <v>16227</v>
      </c>
      <c r="E5" s="108">
        <f>'GENSET #3'!D10</f>
        <v>2660</v>
      </c>
      <c r="F5" s="108">
        <f>'GENSET #4'!D10</f>
        <v>2704</v>
      </c>
      <c r="G5" s="108">
        <f>'GENSET #5'!D10</f>
        <v>2285</v>
      </c>
      <c r="H5" s="112">
        <f>SUM(C5:G5)</f>
        <v>25086</v>
      </c>
    </row>
    <row r="6" spans="2:14" x14ac:dyDescent="0.2">
      <c r="B6" s="102">
        <v>2</v>
      </c>
      <c r="C6" s="18">
        <f>'GENSET #1'!D11</f>
        <v>7656</v>
      </c>
      <c r="D6" s="18">
        <f>'GENSET #2'!D11</f>
        <v>5195</v>
      </c>
      <c r="E6" s="18">
        <f>'GENSET #3'!D11</f>
        <v>6294</v>
      </c>
      <c r="F6" s="18">
        <f>'GENSET #4'!D11</f>
        <v>2832</v>
      </c>
      <c r="G6" s="18">
        <f>'GENSET #5'!D11</f>
        <v>4033</v>
      </c>
      <c r="H6" s="112">
        <f>SUM(C6:G6)</f>
        <v>26010</v>
      </c>
    </row>
    <row r="7" spans="2:14" x14ac:dyDescent="0.2">
      <c r="B7" s="107">
        <v>3</v>
      </c>
      <c r="C7" s="108">
        <f>'GENSET #1'!D12</f>
        <v>0</v>
      </c>
      <c r="D7" s="108">
        <f>'GENSET #2'!D12</f>
        <v>13145</v>
      </c>
      <c r="E7" s="108">
        <f>'GENSET #3'!D12</f>
        <v>7343</v>
      </c>
      <c r="F7" s="108">
        <f>'GENSET #4'!D12</f>
        <v>2100</v>
      </c>
      <c r="G7" s="108">
        <f>'GENSET #5'!D12</f>
        <v>3475</v>
      </c>
      <c r="H7" s="112">
        <f t="shared" ref="H7:H35" si="0">SUM(C7:G7)</f>
        <v>26063</v>
      </c>
    </row>
    <row r="8" spans="2:14" x14ac:dyDescent="0.2">
      <c r="B8" s="102">
        <v>4</v>
      </c>
      <c r="C8" s="18">
        <f>'GENSET #1'!D13</f>
        <v>3671</v>
      </c>
      <c r="D8" s="18">
        <f>'GENSET #2'!D13</f>
        <v>5691</v>
      </c>
      <c r="E8" s="18">
        <f>'GENSET #3'!D13</f>
        <v>8166</v>
      </c>
      <c r="F8" s="18">
        <f>'GENSET #4'!D13</f>
        <v>1832</v>
      </c>
      <c r="G8" s="18">
        <f>'GENSET #5'!D13</f>
        <v>7707</v>
      </c>
      <c r="H8" s="112">
        <f t="shared" si="0"/>
        <v>27067</v>
      </c>
    </row>
    <row r="9" spans="2:14" x14ac:dyDescent="0.2">
      <c r="B9" s="107">
        <v>5</v>
      </c>
      <c r="C9" s="108">
        <f>'GENSET #1'!D14</f>
        <v>10029</v>
      </c>
      <c r="D9" s="108">
        <f>'GENSET #2'!D14</f>
        <v>2659</v>
      </c>
      <c r="E9" s="108">
        <f>'GENSET #3'!D14</f>
        <v>370</v>
      </c>
      <c r="F9" s="108">
        <f>'GENSET #4'!D14</f>
        <v>2522</v>
      </c>
      <c r="G9" s="108">
        <f>'GENSET #5'!D14</f>
        <v>10093</v>
      </c>
      <c r="H9" s="112">
        <f t="shared" si="0"/>
        <v>25673</v>
      </c>
    </row>
    <row r="10" spans="2:14" x14ac:dyDescent="0.2">
      <c r="B10" s="102">
        <v>6</v>
      </c>
      <c r="C10" s="18">
        <f>'GENSET #1'!D15</f>
        <v>5977</v>
      </c>
      <c r="D10" s="18">
        <f>'GENSET #2'!D15</f>
        <v>5216</v>
      </c>
      <c r="E10" s="18">
        <f>'GENSET #3'!D15</f>
        <v>4721</v>
      </c>
      <c r="F10" s="18">
        <f>'GENSET #4'!D15</f>
        <v>2234</v>
      </c>
      <c r="G10" s="18">
        <f>'GENSET #5'!D15</f>
        <v>7863</v>
      </c>
      <c r="H10" s="112">
        <f t="shared" si="0"/>
        <v>26011</v>
      </c>
      <c r="K10" s="111"/>
      <c r="L10" s="111"/>
      <c r="M10" s="111"/>
      <c r="N10" s="111"/>
    </row>
    <row r="11" spans="2:14" x14ac:dyDescent="0.2">
      <c r="B11" s="107">
        <v>7</v>
      </c>
      <c r="C11" s="108">
        <f>'GENSET #1'!D16</f>
        <v>7996</v>
      </c>
      <c r="D11" s="108">
        <f>'GENSET #2'!D16</f>
        <v>14057</v>
      </c>
      <c r="E11" s="108">
        <f>'GENSET #3'!D16</f>
        <v>39</v>
      </c>
      <c r="F11" s="108">
        <f>'GENSET #4'!D16</f>
        <v>793</v>
      </c>
      <c r="G11" s="108">
        <f>'GENSET #5'!D16</f>
        <v>3035</v>
      </c>
      <c r="H11" s="112">
        <f t="shared" si="0"/>
        <v>25920</v>
      </c>
      <c r="K11" s="111"/>
      <c r="L11" s="111"/>
      <c r="M11" s="111"/>
      <c r="N11" s="111"/>
    </row>
    <row r="12" spans="2:14" x14ac:dyDescent="0.2">
      <c r="B12" s="102">
        <v>8</v>
      </c>
      <c r="C12" s="18">
        <f>'GENSET #1'!D17</f>
        <v>5866</v>
      </c>
      <c r="D12" s="18">
        <f>'GENSET #2'!D17</f>
        <v>312</v>
      </c>
      <c r="E12" s="18">
        <f>'GENSET #3'!D17</f>
        <v>10604</v>
      </c>
      <c r="F12" s="18">
        <f>'GENSET #4'!D17</f>
        <v>3955</v>
      </c>
      <c r="G12" s="18">
        <f>'GENSET #5'!D17</f>
        <v>6808</v>
      </c>
      <c r="H12" s="112">
        <f t="shared" si="0"/>
        <v>27545</v>
      </c>
      <c r="K12" s="111"/>
      <c r="L12" s="111"/>
      <c r="M12" s="111"/>
      <c r="N12" s="111"/>
    </row>
    <row r="13" spans="2:14" x14ac:dyDescent="0.2">
      <c r="B13" s="107">
        <v>9</v>
      </c>
      <c r="C13" s="108">
        <f>'GENSET #1'!D18</f>
        <v>0</v>
      </c>
      <c r="D13" s="108">
        <f>'GENSET #2'!D18</f>
        <v>7175</v>
      </c>
      <c r="E13" s="108">
        <f>'GENSET #3'!D18</f>
        <v>6327</v>
      </c>
      <c r="F13" s="108">
        <f>'GENSET #4'!D18</f>
        <v>4747</v>
      </c>
      <c r="G13" s="108">
        <f>'GENSET #5'!D18</f>
        <v>7017</v>
      </c>
      <c r="H13" s="112">
        <f t="shared" si="0"/>
        <v>25266</v>
      </c>
      <c r="K13" s="111"/>
      <c r="L13" s="111"/>
      <c r="M13" s="111"/>
      <c r="N13" s="111"/>
    </row>
    <row r="14" spans="2:14" x14ac:dyDescent="0.2">
      <c r="B14" s="102">
        <v>10</v>
      </c>
      <c r="C14" s="18">
        <f>'GENSET #1'!D19</f>
        <v>6730</v>
      </c>
      <c r="D14" s="18">
        <f>'GENSET #2'!D19</f>
        <v>7259</v>
      </c>
      <c r="E14" s="18">
        <f>'GENSET #3'!D19</f>
        <v>6105</v>
      </c>
      <c r="F14" s="18">
        <f>'GENSET #4'!D19</f>
        <v>4921</v>
      </c>
      <c r="G14" s="18">
        <f>'GENSET #5'!D19</f>
        <v>43</v>
      </c>
      <c r="H14" s="112">
        <f t="shared" si="0"/>
        <v>25058</v>
      </c>
      <c r="K14" s="111"/>
      <c r="L14" s="111"/>
      <c r="M14" s="111"/>
      <c r="N14" s="111"/>
    </row>
    <row r="15" spans="2:14" x14ac:dyDescent="0.2">
      <c r="B15" s="107">
        <v>11</v>
      </c>
      <c r="C15" s="108">
        <f>'GENSET #1'!D20</f>
        <v>5483</v>
      </c>
      <c r="D15" s="108">
        <f>'GENSET #2'!D20</f>
        <v>4568</v>
      </c>
      <c r="E15" s="108">
        <f>'GENSET #3'!D20</f>
        <v>7267</v>
      </c>
      <c r="F15" s="108">
        <f>'GENSET #4'!D20</f>
        <v>2574</v>
      </c>
      <c r="G15" s="108">
        <f>'GENSET #5'!D20</f>
        <v>7317</v>
      </c>
      <c r="H15" s="112">
        <f t="shared" si="0"/>
        <v>27209</v>
      </c>
      <c r="K15" s="111"/>
      <c r="L15" s="111"/>
      <c r="M15" s="111"/>
      <c r="N15" s="111"/>
    </row>
    <row r="16" spans="2:14" x14ac:dyDescent="0.2">
      <c r="B16" s="102">
        <v>12</v>
      </c>
      <c r="C16" s="18">
        <f>'GENSET #1'!D21</f>
        <v>4088</v>
      </c>
      <c r="D16" s="18">
        <f>'GENSET #2'!D21</f>
        <v>10334</v>
      </c>
      <c r="E16" s="18">
        <f>'GENSET #3'!D21</f>
        <v>5938</v>
      </c>
      <c r="F16" s="18">
        <f>'GENSET #4'!D21</f>
        <v>1870</v>
      </c>
      <c r="G16" s="18">
        <f>'GENSET #5'!D21</f>
        <v>4055</v>
      </c>
      <c r="H16" s="112">
        <f t="shared" si="0"/>
        <v>26285</v>
      </c>
      <c r="K16" s="111"/>
      <c r="L16" s="111"/>
      <c r="M16" s="111"/>
      <c r="N16" s="111"/>
    </row>
    <row r="17" spans="2:14" x14ac:dyDescent="0.2">
      <c r="B17" s="107">
        <v>13</v>
      </c>
      <c r="C17" s="108">
        <f>'GENSET #1'!D22</f>
        <v>1858</v>
      </c>
      <c r="D17" s="108">
        <f>'GENSET #2'!D22</f>
        <v>6592</v>
      </c>
      <c r="E17" s="108">
        <f>'GENSET #3'!D22</f>
        <v>6168</v>
      </c>
      <c r="F17" s="108">
        <f>'GENSET #4'!D22</f>
        <v>3709</v>
      </c>
      <c r="G17" s="108">
        <f>'GENSET #5'!D22</f>
        <v>6762</v>
      </c>
      <c r="H17" s="112">
        <f t="shared" si="0"/>
        <v>25089</v>
      </c>
      <c r="K17" s="111"/>
      <c r="L17" s="111"/>
      <c r="M17" s="111"/>
      <c r="N17" s="111"/>
    </row>
    <row r="18" spans="2:14" x14ac:dyDescent="0.2">
      <c r="B18" s="102">
        <v>14</v>
      </c>
      <c r="C18" s="18">
        <f>'GENSET #1'!D23</f>
        <v>5793</v>
      </c>
      <c r="D18" s="18">
        <f>'GENSET #2'!D23</f>
        <v>10856</v>
      </c>
      <c r="E18" s="18">
        <f>'GENSET #3'!D23</f>
        <v>4708</v>
      </c>
      <c r="F18" s="18">
        <f>'GENSET #4'!D23</f>
        <v>2715</v>
      </c>
      <c r="G18" s="18">
        <f>'GENSET #5'!D23</f>
        <v>1168</v>
      </c>
      <c r="H18" s="112">
        <f t="shared" si="0"/>
        <v>25240</v>
      </c>
      <c r="K18" s="111"/>
      <c r="L18" s="111"/>
      <c r="M18" s="111"/>
      <c r="N18" s="111"/>
    </row>
    <row r="19" spans="2:14" x14ac:dyDescent="0.2">
      <c r="B19" s="107">
        <v>15</v>
      </c>
      <c r="C19" s="108">
        <f>'GENSET #1'!D24</f>
        <v>7736</v>
      </c>
      <c r="D19" s="108">
        <f>'GENSET #2'!D24</f>
        <v>6120</v>
      </c>
      <c r="E19" s="108">
        <f>'GENSET #3'!D24</f>
        <v>3664</v>
      </c>
      <c r="F19" s="108">
        <f>'GENSET #4'!D24</f>
        <v>1914</v>
      </c>
      <c r="G19" s="108">
        <f>'GENSET #5'!D24</f>
        <v>7343</v>
      </c>
      <c r="H19" s="112">
        <f t="shared" si="0"/>
        <v>26777</v>
      </c>
      <c r="K19" s="111"/>
      <c r="L19" s="111"/>
      <c r="M19" s="111"/>
      <c r="N19" s="111"/>
    </row>
    <row r="20" spans="2:14" x14ac:dyDescent="0.2">
      <c r="B20" s="102">
        <v>16</v>
      </c>
      <c r="C20" s="18">
        <f>'GENSET #1'!D25</f>
        <v>1587</v>
      </c>
      <c r="D20" s="18">
        <f>'GENSET #2'!D25</f>
        <v>10206</v>
      </c>
      <c r="E20" s="18">
        <f>'GENSET #3'!D25</f>
        <v>7531</v>
      </c>
      <c r="F20" s="18">
        <f>'GENSET #4'!D25</f>
        <v>2671</v>
      </c>
      <c r="G20" s="18">
        <f>'GENSET #5'!D25</f>
        <v>5698</v>
      </c>
      <c r="H20" s="112">
        <f t="shared" si="0"/>
        <v>27693</v>
      </c>
      <c r="K20" s="111"/>
      <c r="L20" s="111"/>
      <c r="M20" s="111"/>
      <c r="N20" s="111"/>
    </row>
    <row r="21" spans="2:14" x14ac:dyDescent="0.2">
      <c r="B21" s="107">
        <v>17</v>
      </c>
      <c r="C21" s="108">
        <f>'GENSET #1'!D26</f>
        <v>7748</v>
      </c>
      <c r="D21" s="108">
        <f>'GENSET #2'!D26</f>
        <v>6689</v>
      </c>
      <c r="E21" s="108">
        <f>'GENSET #3'!D26</f>
        <v>3356</v>
      </c>
      <c r="F21" s="108">
        <f>'GENSET #4'!D26</f>
        <v>3090</v>
      </c>
      <c r="G21" s="108">
        <f>'GENSET #5'!D26</f>
        <v>7747</v>
      </c>
      <c r="H21" s="112">
        <f t="shared" si="0"/>
        <v>28630</v>
      </c>
      <c r="K21" s="111"/>
      <c r="L21" s="111"/>
      <c r="M21" s="111"/>
      <c r="N21" s="111"/>
    </row>
    <row r="22" spans="2:14" x14ac:dyDescent="0.2">
      <c r="B22" s="102">
        <v>18</v>
      </c>
      <c r="C22" s="18">
        <f>'GENSET #1'!D27</f>
        <v>4538</v>
      </c>
      <c r="D22" s="18">
        <f>'GENSET #2'!D27</f>
        <v>6037</v>
      </c>
      <c r="E22" s="18">
        <f>'GENSET #3'!D27</f>
        <v>7280</v>
      </c>
      <c r="F22" s="18">
        <f>'GENSET #4'!D27</f>
        <v>3254</v>
      </c>
      <c r="G22" s="18">
        <f>'GENSET #5'!D27</f>
        <v>7805</v>
      </c>
      <c r="H22" s="112">
        <f t="shared" si="0"/>
        <v>28914</v>
      </c>
    </row>
    <row r="23" spans="2:14" x14ac:dyDescent="0.2">
      <c r="B23" s="107">
        <v>19</v>
      </c>
      <c r="C23" s="108">
        <f>'GENSET #1'!D28</f>
        <v>1610</v>
      </c>
      <c r="D23" s="108">
        <f>'GENSET #2'!D28</f>
        <v>16970</v>
      </c>
      <c r="E23" s="108">
        <f>'GENSET #3'!D28</f>
        <v>4975</v>
      </c>
      <c r="F23" s="108">
        <f>'GENSET #4'!D28</f>
        <v>2122</v>
      </c>
      <c r="G23" s="108">
        <f>'GENSET #5'!D28</f>
        <v>3060</v>
      </c>
      <c r="H23" s="112">
        <f t="shared" si="0"/>
        <v>28737</v>
      </c>
    </row>
    <row r="24" spans="2:14" x14ac:dyDescent="0.2">
      <c r="B24" s="102">
        <v>20</v>
      </c>
      <c r="C24" s="18">
        <f>'GENSET #1'!D29</f>
        <v>8006</v>
      </c>
      <c r="D24" s="18">
        <f>'GENSET #2'!D29</f>
        <v>5274</v>
      </c>
      <c r="E24" s="18">
        <f>'GENSET #3'!D29</f>
        <v>6413</v>
      </c>
      <c r="F24" s="18">
        <f>'GENSET #4'!D29</f>
        <v>1088</v>
      </c>
      <c r="G24" s="18">
        <f>'GENSET #5'!D29</f>
        <v>9079</v>
      </c>
      <c r="H24" s="112">
        <f t="shared" si="0"/>
        <v>29860</v>
      </c>
    </row>
    <row r="25" spans="2:14" x14ac:dyDescent="0.2">
      <c r="B25" s="107">
        <v>21</v>
      </c>
      <c r="C25" s="108">
        <f>'GENSET #1'!D30</f>
        <v>5871</v>
      </c>
      <c r="D25" s="108">
        <f>'GENSET #2'!D30</f>
        <v>8514</v>
      </c>
      <c r="E25" s="108">
        <f>'GENSET #3'!D30</f>
        <v>7082</v>
      </c>
      <c r="F25" s="108">
        <f>'GENSET #4'!D30</f>
        <v>1590</v>
      </c>
      <c r="G25" s="108">
        <f>'GENSET #5'!D30</f>
        <v>7321</v>
      </c>
      <c r="H25" s="112">
        <f t="shared" si="0"/>
        <v>30378</v>
      </c>
    </row>
    <row r="26" spans="2:14" x14ac:dyDescent="0.2">
      <c r="B26" s="102">
        <v>22</v>
      </c>
      <c r="C26" s="18">
        <f>'GENSET #1'!D31</f>
        <v>7377</v>
      </c>
      <c r="D26" s="18">
        <f>'GENSET #2'!D31</f>
        <v>6592</v>
      </c>
      <c r="E26" s="18">
        <f>'GENSET #3'!D31</f>
        <v>7724</v>
      </c>
      <c r="F26" s="18">
        <f>'GENSET #4'!D31</f>
        <v>2355</v>
      </c>
      <c r="G26" s="18">
        <f>'GENSET #5'!D31</f>
        <v>5664</v>
      </c>
      <c r="H26" s="112">
        <f t="shared" si="0"/>
        <v>29712</v>
      </c>
    </row>
    <row r="27" spans="2:14" x14ac:dyDescent="0.2">
      <c r="B27" s="107">
        <v>23</v>
      </c>
      <c r="C27" s="108">
        <f>'GENSET #1'!D32</f>
        <v>4589</v>
      </c>
      <c r="D27" s="108">
        <f>'GENSET #2'!D32</f>
        <v>11326</v>
      </c>
      <c r="E27" s="108">
        <f>'GENSET #3'!D32</f>
        <v>5420</v>
      </c>
      <c r="F27" s="108">
        <f>'GENSET #4'!D32</f>
        <v>1526</v>
      </c>
      <c r="G27" s="108">
        <f>'GENSET #5'!D32</f>
        <v>7126</v>
      </c>
      <c r="H27" s="112">
        <f t="shared" si="0"/>
        <v>29987</v>
      </c>
    </row>
    <row r="28" spans="2:14" x14ac:dyDescent="0.2">
      <c r="B28" s="102">
        <v>24</v>
      </c>
      <c r="C28" s="18">
        <f>'GENSET #1'!D33</f>
        <v>6847</v>
      </c>
      <c r="D28" s="18">
        <f>'GENSET #2'!D33</f>
        <v>7662</v>
      </c>
      <c r="E28" s="18">
        <f>'GENSET #3'!D33</f>
        <v>4048</v>
      </c>
      <c r="F28" s="18">
        <f>'GENSET #4'!D33</f>
        <v>3461</v>
      </c>
      <c r="G28" s="18">
        <f>'GENSET #5'!D33</f>
        <v>8045</v>
      </c>
      <c r="H28" s="112">
        <f t="shared" si="0"/>
        <v>30063</v>
      </c>
    </row>
    <row r="29" spans="2:14" x14ac:dyDescent="0.2">
      <c r="B29" s="107">
        <v>25</v>
      </c>
      <c r="C29" s="108">
        <f>'GENSET #1'!D34</f>
        <v>7591</v>
      </c>
      <c r="D29" s="108">
        <f>'GENSET #2'!D34</f>
        <v>6034</v>
      </c>
      <c r="E29" s="108">
        <f>'GENSET #3'!D34</f>
        <v>8458</v>
      </c>
      <c r="F29" s="108">
        <f>'GENSET #4'!D34</f>
        <v>2597</v>
      </c>
      <c r="G29" s="108">
        <f>'GENSET #5'!D34</f>
        <v>4759</v>
      </c>
      <c r="H29" s="112">
        <f t="shared" si="0"/>
        <v>29439</v>
      </c>
    </row>
    <row r="30" spans="2:14" x14ac:dyDescent="0.2">
      <c r="B30" s="102">
        <v>26</v>
      </c>
      <c r="C30" s="18">
        <f>'GENSET #1'!D35</f>
        <v>7532</v>
      </c>
      <c r="D30" s="18">
        <f>'GENSET #2'!D35</f>
        <v>6128</v>
      </c>
      <c r="E30" s="18">
        <f>'GENSET #3'!D35</f>
        <v>3913</v>
      </c>
      <c r="F30" s="18">
        <f>'GENSET #4'!D35</f>
        <v>3372</v>
      </c>
      <c r="G30" s="18">
        <f>'GENSET #5'!D35</f>
        <v>7694</v>
      </c>
      <c r="H30" s="112">
        <f t="shared" si="0"/>
        <v>28639</v>
      </c>
    </row>
    <row r="31" spans="2:14" x14ac:dyDescent="0.2">
      <c r="B31" s="107">
        <v>27</v>
      </c>
      <c r="C31" s="108">
        <f>'GENSET #1'!D36</f>
        <v>14572</v>
      </c>
      <c r="D31" s="108">
        <f>'GENSET #2'!D36</f>
        <v>7010</v>
      </c>
      <c r="E31" s="108">
        <f>'GENSET #3'!D36</f>
        <v>3273</v>
      </c>
      <c r="F31" s="108">
        <f>'GENSET #4'!D36</f>
        <v>3805</v>
      </c>
      <c r="G31" s="108">
        <f>'GENSET #5'!D36</f>
        <v>7679</v>
      </c>
      <c r="H31" s="112">
        <f t="shared" si="0"/>
        <v>36339</v>
      </c>
    </row>
    <row r="32" spans="2:14" x14ac:dyDescent="0.2">
      <c r="B32" s="102">
        <v>28</v>
      </c>
      <c r="C32" s="18">
        <f>'GENSET #1'!D37</f>
        <v>7985</v>
      </c>
      <c r="D32" s="18">
        <f>'GENSET #2'!D37</f>
        <v>7431</v>
      </c>
      <c r="E32" s="18">
        <f>'GENSET #3'!D37</f>
        <v>4016</v>
      </c>
      <c r="F32" s="18">
        <f>'GENSET #4'!D37</f>
        <v>3777</v>
      </c>
      <c r="G32" s="18">
        <f>'GENSET #5'!D37</f>
        <v>7192</v>
      </c>
      <c r="H32" s="112">
        <f t="shared" si="0"/>
        <v>30401</v>
      </c>
    </row>
    <row r="33" spans="1:8" x14ac:dyDescent="0.2">
      <c r="B33" s="107">
        <v>29</v>
      </c>
      <c r="C33" s="108">
        <f>'GENSET #1'!D38</f>
        <v>0</v>
      </c>
      <c r="D33" s="108">
        <f>'GENSET #2'!D38</f>
        <v>7395</v>
      </c>
      <c r="E33" s="108">
        <f>'GENSET #3'!D38</f>
        <v>3571</v>
      </c>
      <c r="F33" s="108">
        <f>'GENSET #4'!D38</f>
        <v>3592</v>
      </c>
      <c r="G33" s="108">
        <f>'GENSET #5'!D38</f>
        <v>7281</v>
      </c>
      <c r="H33" s="112">
        <f t="shared" si="0"/>
        <v>21839</v>
      </c>
    </row>
    <row r="34" spans="1:8" x14ac:dyDescent="0.2">
      <c r="B34" s="102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2">
        <f t="shared" si="0"/>
        <v>0</v>
      </c>
    </row>
    <row r="35" spans="1:8" x14ac:dyDescent="0.2">
      <c r="B35" s="107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2" t="e">
        <f t="shared" si="0"/>
        <v>#REF!</v>
      </c>
    </row>
    <row r="36" spans="1:8" x14ac:dyDescent="0.2">
      <c r="A36" s="415" t="s">
        <v>78</v>
      </c>
      <c r="B36" s="415"/>
      <c r="C36" s="110" t="e">
        <f>SUM(C5:C35)</f>
        <v>#REF!</v>
      </c>
      <c r="D36" s="110" t="e">
        <f>SUM(D5:D35)</f>
        <v>#REF!</v>
      </c>
      <c r="E36" s="110" t="e">
        <f>SUM(E5:E35)</f>
        <v>#REF!</v>
      </c>
      <c r="F36" s="110" t="e">
        <f>SUM(F5:F35)</f>
        <v>#REF!</v>
      </c>
      <c r="G36" s="110" t="e">
        <f>SUM(G5:G35)</f>
        <v>#REF!</v>
      </c>
      <c r="H36" s="110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93">
        <v>44256</v>
      </c>
      <c r="C4" s="393"/>
      <c r="D4" s="10"/>
      <c r="E4" s="10"/>
      <c r="F4" s="103"/>
    </row>
    <row r="5" spans="1:10" ht="14.25" customHeight="1" x14ac:dyDescent="0.2">
      <c r="A5" s="6"/>
      <c r="B5" s="11"/>
      <c r="C5" s="11"/>
      <c r="D5" s="12"/>
      <c r="E5" s="10"/>
      <c r="F5" s="103"/>
    </row>
    <row r="7" spans="1:10" x14ac:dyDescent="0.2">
      <c r="A7" s="1" t="s">
        <v>8</v>
      </c>
    </row>
    <row r="8" spans="1:10" ht="24" customHeight="1" x14ac:dyDescent="0.2">
      <c r="A8" s="13" t="s">
        <v>53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52</v>
      </c>
    </row>
    <row r="9" spans="1:10" x14ac:dyDescent="0.2">
      <c r="A9" s="6">
        <v>1</v>
      </c>
      <c r="B9" s="7">
        <f>SUM('GENSET #1:GENSET #5'!D10)</f>
        <v>25086</v>
      </c>
      <c r="C9" s="7">
        <f>'Diesel consumption'!D5</f>
        <v>7050</v>
      </c>
      <c r="D9" s="2">
        <f>'SOLAR METER READING'!D9</f>
        <v>3086</v>
      </c>
      <c r="E9" s="7">
        <f>'Gas-2'!G6</f>
        <v>225</v>
      </c>
      <c r="F9" s="104">
        <f>WATER!V6</f>
        <v>414</v>
      </c>
      <c r="G9" s="106">
        <f>WATER!W6</f>
        <v>37.9</v>
      </c>
      <c r="H9" s="15">
        <f>B9/C9</f>
        <v>3.5582978723404257</v>
      </c>
      <c r="I9" s="15">
        <f>SUM(B9,D9)</f>
        <v>28172</v>
      </c>
      <c r="J9" s="3"/>
    </row>
    <row r="10" spans="1:10" x14ac:dyDescent="0.2">
      <c r="A10" s="6">
        <v>2</v>
      </c>
      <c r="B10" s="7">
        <f>SUM('GENSET #1:GENSET #5'!D11)</f>
        <v>26010</v>
      </c>
      <c r="C10" s="7">
        <f>'Diesel consumption'!D6</f>
        <v>7350</v>
      </c>
      <c r="D10" s="2">
        <f>'SOLAR METER READING'!D10</f>
        <v>3074</v>
      </c>
      <c r="E10" s="7">
        <f>'Gas-2'!G7</f>
        <v>225</v>
      </c>
      <c r="F10" s="104">
        <f>WATER!V7</f>
        <v>369</v>
      </c>
      <c r="G10" s="106">
        <f>WATER!W7</f>
        <v>44.7</v>
      </c>
      <c r="H10" s="15">
        <f t="shared" ref="H10:H38" si="0">B10/C10</f>
        <v>3.5387755102040814</v>
      </c>
      <c r="I10" s="15">
        <f t="shared" ref="I10:I40" si="1">SUM(B10,D10)</f>
        <v>29084</v>
      </c>
    </row>
    <row r="11" spans="1:10" x14ac:dyDescent="0.2">
      <c r="A11" s="6">
        <v>3</v>
      </c>
      <c r="B11" s="7">
        <f>SUM('GENSET #1:GENSET #5'!D12)</f>
        <v>26063</v>
      </c>
      <c r="C11" s="7">
        <f>'Diesel consumption'!D7</f>
        <v>7340</v>
      </c>
      <c r="D11" s="2">
        <f>'SOLAR METER READING'!D11</f>
        <v>2942</v>
      </c>
      <c r="E11" s="7">
        <f>'Gas-2'!G8</f>
        <v>270</v>
      </c>
      <c r="F11" s="104">
        <f>WATER!V8</f>
        <v>438</v>
      </c>
      <c r="G11" s="106">
        <f>WATER!W8</f>
        <v>40.799999999999997</v>
      </c>
      <c r="H11" s="15">
        <f t="shared" si="0"/>
        <v>3.5508174386920981</v>
      </c>
      <c r="I11" s="15">
        <f t="shared" si="1"/>
        <v>29005</v>
      </c>
    </row>
    <row r="12" spans="1:10" x14ac:dyDescent="0.2">
      <c r="A12" s="6">
        <v>4</v>
      </c>
      <c r="B12" s="7">
        <f>SUM('GENSET #1:GENSET #5'!D13)</f>
        <v>27067</v>
      </c>
      <c r="C12" s="7">
        <f>'Diesel consumption'!D8</f>
        <v>7450</v>
      </c>
      <c r="D12" s="2">
        <f>'SOLAR METER READING'!D12</f>
        <v>1782</v>
      </c>
      <c r="E12" s="7">
        <f>'Gas-2'!G9</f>
        <v>270</v>
      </c>
      <c r="F12" s="104">
        <f>WATER!V9</f>
        <v>427</v>
      </c>
      <c r="G12" s="106">
        <f>WATER!W9</f>
        <v>36.9</v>
      </c>
      <c r="H12" s="15">
        <f t="shared" si="0"/>
        <v>3.6331543624161076</v>
      </c>
      <c r="I12" s="15">
        <f t="shared" si="1"/>
        <v>28849</v>
      </c>
    </row>
    <row r="13" spans="1:10" x14ac:dyDescent="0.2">
      <c r="A13" s="6">
        <v>5</v>
      </c>
      <c r="B13" s="7">
        <f>SUM('GENSET #1:GENSET #5'!D14)</f>
        <v>25673</v>
      </c>
      <c r="C13" s="7">
        <f>'Diesel consumption'!D9</f>
        <v>7150</v>
      </c>
      <c r="D13" s="2">
        <f>'SOLAR METER READING'!D13</f>
        <v>3096</v>
      </c>
      <c r="E13" s="7">
        <f>'Gas-2'!G10</f>
        <v>225</v>
      </c>
      <c r="F13" s="104">
        <f>WATER!V10</f>
        <v>423</v>
      </c>
      <c r="G13" s="106">
        <f>WATER!W10</f>
        <v>28.2</v>
      </c>
      <c r="H13" s="15">
        <f t="shared" si="0"/>
        <v>3.5906293706293706</v>
      </c>
      <c r="I13" s="15">
        <f t="shared" si="1"/>
        <v>28769</v>
      </c>
    </row>
    <row r="14" spans="1:10" x14ac:dyDescent="0.2">
      <c r="A14" s="6">
        <v>6</v>
      </c>
      <c r="B14" s="7">
        <f>SUM('GENSET #1:GENSET #5'!D15)</f>
        <v>26011</v>
      </c>
      <c r="C14" s="7">
        <f>'Diesel consumption'!D10</f>
        <v>7150</v>
      </c>
      <c r="D14" s="2">
        <f>'SOLAR METER READING'!D14</f>
        <v>3085</v>
      </c>
      <c r="E14" s="7">
        <f>'Gas-2'!G11</f>
        <v>225</v>
      </c>
      <c r="F14" s="104">
        <f>WATER!V11</f>
        <v>347</v>
      </c>
      <c r="G14" s="106">
        <f>WATER!W11</f>
        <v>28.2</v>
      </c>
      <c r="H14" s="15">
        <f t="shared" si="0"/>
        <v>3.637902097902098</v>
      </c>
      <c r="I14" s="15">
        <f t="shared" si="1"/>
        <v>29096</v>
      </c>
    </row>
    <row r="15" spans="1:10" x14ac:dyDescent="0.2">
      <c r="A15" s="6">
        <v>7</v>
      </c>
      <c r="B15" s="7">
        <f>SUM('GENSET #1:GENSET #5'!D16)</f>
        <v>25920</v>
      </c>
      <c r="C15" s="7">
        <f>'Diesel consumption'!D11</f>
        <v>7520</v>
      </c>
      <c r="D15" s="2">
        <f>'SOLAR METER READING'!D15</f>
        <v>2827</v>
      </c>
      <c r="E15" s="7">
        <f>'Gas-2'!G12</f>
        <v>270</v>
      </c>
      <c r="F15" s="104">
        <f>WATER!V12</f>
        <v>413</v>
      </c>
      <c r="G15" s="106">
        <f>WATER!W12</f>
        <v>27.2</v>
      </c>
      <c r="H15" s="15">
        <f t="shared" si="0"/>
        <v>3.4468085106382977</v>
      </c>
      <c r="I15" s="15">
        <f t="shared" si="1"/>
        <v>28747</v>
      </c>
    </row>
    <row r="16" spans="1:10" x14ac:dyDescent="0.2">
      <c r="A16" s="6">
        <v>8</v>
      </c>
      <c r="B16" s="7">
        <f>SUM('GENSET #1:GENSET #5'!D17)</f>
        <v>27545</v>
      </c>
      <c r="C16" s="7">
        <f>'Diesel consumption'!D12</f>
        <v>7100</v>
      </c>
      <c r="D16" s="2">
        <f>'SOLAR METER READING'!D16</f>
        <v>2904</v>
      </c>
      <c r="E16" s="7">
        <f>'Gas-2'!G13</f>
        <v>270</v>
      </c>
      <c r="F16" s="104">
        <f>WATER!V13</f>
        <v>417</v>
      </c>
      <c r="G16" s="106">
        <f>WATER!W13</f>
        <v>27.2</v>
      </c>
      <c r="H16" s="15">
        <f t="shared" si="0"/>
        <v>3.8795774647887322</v>
      </c>
      <c r="I16" s="15">
        <f t="shared" si="1"/>
        <v>30449</v>
      </c>
    </row>
    <row r="17" spans="1:9" x14ac:dyDescent="0.2">
      <c r="A17" s="6">
        <v>9</v>
      </c>
      <c r="B17" s="7">
        <f>SUM('GENSET #1:GENSET #5'!D18)</f>
        <v>25266</v>
      </c>
      <c r="C17" s="7">
        <f>'Diesel consumption'!D13</f>
        <v>6720</v>
      </c>
      <c r="D17" s="2">
        <f>'SOLAR METER READING'!D17</f>
        <v>2912</v>
      </c>
      <c r="E17" s="7">
        <f>'Gas-2'!G14</f>
        <v>225</v>
      </c>
      <c r="F17" s="104">
        <f>WATER!V14</f>
        <v>434</v>
      </c>
      <c r="G17" s="106">
        <f>WATER!W14</f>
        <v>27.2</v>
      </c>
      <c r="H17" s="15">
        <f t="shared" si="0"/>
        <v>3.7598214285714286</v>
      </c>
      <c r="I17" s="15">
        <f t="shared" si="1"/>
        <v>28178</v>
      </c>
    </row>
    <row r="18" spans="1:9" x14ac:dyDescent="0.2">
      <c r="A18" s="6">
        <v>10</v>
      </c>
      <c r="B18" s="7">
        <f>SUM('GENSET #1:GENSET #5'!D19)</f>
        <v>25058</v>
      </c>
      <c r="C18" s="7">
        <f>'Diesel consumption'!D14</f>
        <v>6820</v>
      </c>
      <c r="D18" s="2">
        <f>'SOLAR METER READING'!D18</f>
        <v>1829</v>
      </c>
      <c r="E18" s="7">
        <f>'Gas-2'!G15</f>
        <v>225</v>
      </c>
      <c r="F18" s="104">
        <f>WATER!V15</f>
        <v>430</v>
      </c>
      <c r="G18" s="106">
        <f>WATER!W15</f>
        <v>21</v>
      </c>
      <c r="H18" s="15">
        <f t="shared" si="0"/>
        <v>3.6741935483870969</v>
      </c>
      <c r="I18" s="15">
        <f t="shared" si="1"/>
        <v>26887</v>
      </c>
    </row>
    <row r="19" spans="1:9" x14ac:dyDescent="0.2">
      <c r="A19" s="6">
        <v>11</v>
      </c>
      <c r="B19" s="7">
        <f>SUM('GENSET #1:GENSET #5'!D20)</f>
        <v>27209</v>
      </c>
      <c r="C19" s="7">
        <f>'Diesel consumption'!D15</f>
        <v>7290</v>
      </c>
      <c r="D19" s="2">
        <f>'SOLAR METER READING'!D19</f>
        <v>2102</v>
      </c>
      <c r="E19" s="7">
        <f>'Gas-2'!G16</f>
        <v>270</v>
      </c>
      <c r="F19" s="104">
        <f>WATER!V16</f>
        <v>419</v>
      </c>
      <c r="G19" s="106">
        <f>WATER!W16</f>
        <v>25.2</v>
      </c>
      <c r="H19" s="15">
        <f t="shared" si="0"/>
        <v>3.7323731138545955</v>
      </c>
      <c r="I19" s="15">
        <f t="shared" si="1"/>
        <v>29311</v>
      </c>
    </row>
    <row r="20" spans="1:9" x14ac:dyDescent="0.2">
      <c r="A20" s="6">
        <v>12</v>
      </c>
      <c r="B20" s="7">
        <f>SUM('GENSET #1:GENSET #5'!D21)</f>
        <v>26285</v>
      </c>
      <c r="C20" s="7">
        <f>'Diesel consumption'!D16</f>
        <v>7180</v>
      </c>
      <c r="D20" s="2">
        <f>'SOLAR METER READING'!D20</f>
        <v>800</v>
      </c>
      <c r="E20" s="7">
        <f>'Gas-2'!G17</f>
        <v>225</v>
      </c>
      <c r="F20" s="104">
        <f>WATER!V17</f>
        <v>415</v>
      </c>
      <c r="G20" s="106">
        <f>WATER!W17</f>
        <v>29.1</v>
      </c>
      <c r="H20" s="15">
        <f t="shared" si="0"/>
        <v>3.6608635097493036</v>
      </c>
      <c r="I20" s="15">
        <f t="shared" si="1"/>
        <v>27085</v>
      </c>
    </row>
    <row r="21" spans="1:9" x14ac:dyDescent="0.2">
      <c r="A21" s="6">
        <v>13</v>
      </c>
      <c r="B21" s="7">
        <f>SUM('GENSET #1:GENSET #5'!D22)</f>
        <v>25089</v>
      </c>
      <c r="C21" s="7">
        <f>'Diesel consumption'!D17</f>
        <v>7110</v>
      </c>
      <c r="D21" s="2">
        <f>'SOLAR METER READING'!D21</f>
        <v>1149</v>
      </c>
      <c r="E21" s="7">
        <f>'Gas-2'!G18</f>
        <v>225</v>
      </c>
      <c r="F21" s="104">
        <f>WATER!V18</f>
        <v>413</v>
      </c>
      <c r="G21" s="106">
        <f>WATER!W18</f>
        <v>35.9</v>
      </c>
      <c r="H21" s="15">
        <f t="shared" si="0"/>
        <v>3.5286919831223629</v>
      </c>
      <c r="I21" s="15">
        <f t="shared" si="1"/>
        <v>26238</v>
      </c>
    </row>
    <row r="22" spans="1:9" x14ac:dyDescent="0.2">
      <c r="A22" s="6">
        <v>14</v>
      </c>
      <c r="B22" s="7">
        <f>SUM('GENSET #1:GENSET #5'!D23)</f>
        <v>25240</v>
      </c>
      <c r="C22" s="7">
        <f>'Diesel consumption'!D18</f>
        <v>6890</v>
      </c>
      <c r="D22" s="2">
        <f>'SOLAR METER READING'!D22</f>
        <v>2326</v>
      </c>
      <c r="E22" s="7">
        <f>'Gas-2'!G19</f>
        <v>315</v>
      </c>
      <c r="F22" s="104">
        <f>WATER!V19</f>
        <v>407</v>
      </c>
      <c r="G22" s="106">
        <f>WATER!W19</f>
        <v>35.9</v>
      </c>
      <c r="H22" s="15">
        <f t="shared" si="0"/>
        <v>3.6632801161103048</v>
      </c>
      <c r="I22" s="15">
        <f t="shared" si="1"/>
        <v>27566</v>
      </c>
    </row>
    <row r="23" spans="1:9" x14ac:dyDescent="0.2">
      <c r="A23" s="6">
        <v>15</v>
      </c>
      <c r="B23" s="7">
        <f>SUM('GENSET #1:GENSET #5'!D24)</f>
        <v>26777</v>
      </c>
      <c r="C23" s="7">
        <f>'Diesel consumption'!D19</f>
        <v>7230</v>
      </c>
      <c r="D23" s="2">
        <f>'SOLAR METER READING'!D23</f>
        <v>2926</v>
      </c>
      <c r="E23" s="7">
        <f>'Gas-2'!G20</f>
        <v>315</v>
      </c>
      <c r="F23" s="104">
        <f>WATER!V20</f>
        <v>411</v>
      </c>
      <c r="G23" s="106">
        <f>WATER!W20</f>
        <v>43.7</v>
      </c>
      <c r="H23" s="15">
        <f t="shared" si="0"/>
        <v>3.7035961272475797</v>
      </c>
      <c r="I23" s="15">
        <f t="shared" si="1"/>
        <v>29703</v>
      </c>
    </row>
    <row r="24" spans="1:9" x14ac:dyDescent="0.2">
      <c r="A24" s="6">
        <v>16</v>
      </c>
      <c r="B24" s="7">
        <f>SUM('GENSET #1:GENSET #5'!D25)</f>
        <v>27693</v>
      </c>
      <c r="C24" s="7">
        <f>'Diesel consumption'!D20</f>
        <v>7410</v>
      </c>
      <c r="D24" s="2">
        <f>'SOLAR METER READING'!D24</f>
        <v>2966</v>
      </c>
      <c r="E24" s="7">
        <f>'Gas-2'!G21</f>
        <v>270</v>
      </c>
      <c r="F24" s="104">
        <f>WATER!V21</f>
        <v>409</v>
      </c>
      <c r="G24" s="106">
        <f>WATER!W21</f>
        <v>48.5</v>
      </c>
      <c r="H24" s="15">
        <f t="shared" si="0"/>
        <v>3.737246963562753</v>
      </c>
      <c r="I24" s="15">
        <f t="shared" si="1"/>
        <v>30659</v>
      </c>
    </row>
    <row r="25" spans="1:9" x14ac:dyDescent="0.2">
      <c r="A25" s="6">
        <v>17</v>
      </c>
      <c r="B25" s="7">
        <f>SUM('GENSET #1:GENSET #5'!D26)</f>
        <v>28630</v>
      </c>
      <c r="C25" s="7">
        <f>'Diesel consumption'!D21</f>
        <v>7920</v>
      </c>
      <c r="D25" s="2">
        <f>'SOLAR METER READING'!D25</f>
        <v>2659</v>
      </c>
      <c r="E25" s="7">
        <f>'Gas-2'!G22</f>
        <v>270</v>
      </c>
      <c r="F25" s="104">
        <f>WATER!V22</f>
        <v>405</v>
      </c>
      <c r="G25" s="106">
        <f>WATER!W22</f>
        <v>46.6</v>
      </c>
      <c r="H25" s="15">
        <f t="shared" si="0"/>
        <v>3.6148989898989901</v>
      </c>
      <c r="I25" s="15">
        <f t="shared" si="1"/>
        <v>31289</v>
      </c>
    </row>
    <row r="26" spans="1:9" x14ac:dyDescent="0.2">
      <c r="A26" s="6">
        <v>18</v>
      </c>
      <c r="B26" s="7">
        <f>SUM('GENSET #1:GENSET #5'!D27)</f>
        <v>28914</v>
      </c>
      <c r="C26" s="7">
        <f>'Diesel consumption'!D22</f>
        <v>7890</v>
      </c>
      <c r="D26" s="2">
        <f>'SOLAR METER READING'!D26</f>
        <v>2984</v>
      </c>
      <c r="E26" s="7">
        <f>'Gas-2'!G23</f>
        <v>225</v>
      </c>
      <c r="F26" s="104">
        <f>WATER!V23</f>
        <v>411</v>
      </c>
      <c r="G26" s="106">
        <f>WATER!W23</f>
        <v>57.3</v>
      </c>
      <c r="H26" s="15">
        <f t="shared" si="0"/>
        <v>3.6646387832699618</v>
      </c>
      <c r="I26" s="15">
        <f t="shared" si="1"/>
        <v>31898</v>
      </c>
    </row>
    <row r="27" spans="1:9" x14ac:dyDescent="0.2">
      <c r="A27" s="6">
        <v>19</v>
      </c>
      <c r="B27" s="7">
        <f>SUM('GENSET #1:GENSET #5'!D28)</f>
        <v>28737</v>
      </c>
      <c r="C27" s="7">
        <f>'Diesel consumption'!D23</f>
        <v>7900</v>
      </c>
      <c r="D27" s="2">
        <f>'SOLAR METER READING'!D27</f>
        <v>2679</v>
      </c>
      <c r="E27" s="7">
        <f>'Gas-2'!G24</f>
        <v>270</v>
      </c>
      <c r="F27" s="104">
        <f>WATER!V24</f>
        <v>408</v>
      </c>
      <c r="G27" s="106">
        <f>WATER!W24</f>
        <v>53.4</v>
      </c>
      <c r="H27" s="15">
        <f t="shared" si="0"/>
        <v>3.6375949367088607</v>
      </c>
      <c r="I27" s="15">
        <f t="shared" si="1"/>
        <v>31416</v>
      </c>
    </row>
    <row r="28" spans="1:9" x14ac:dyDescent="0.2">
      <c r="A28" s="6">
        <v>20</v>
      </c>
      <c r="B28" s="7">
        <f>SUM('GENSET #1:GENSET #5'!D29)</f>
        <v>29860</v>
      </c>
      <c r="C28" s="7">
        <f>'Diesel consumption'!D24</f>
        <v>8340</v>
      </c>
      <c r="D28" s="2">
        <f>'SOLAR METER READING'!D28</f>
        <v>2866</v>
      </c>
      <c r="E28" s="7">
        <f>'Gas-2'!G25</f>
        <v>225</v>
      </c>
      <c r="F28" s="104">
        <f>WATER!V25</f>
        <v>400</v>
      </c>
      <c r="G28" s="106">
        <f>WATER!W25</f>
        <v>54</v>
      </c>
      <c r="H28" s="15">
        <f t="shared" si="0"/>
        <v>3.5803357314148681</v>
      </c>
      <c r="I28" s="15">
        <f t="shared" si="1"/>
        <v>32726</v>
      </c>
    </row>
    <row r="29" spans="1:9" x14ac:dyDescent="0.2">
      <c r="A29" s="6">
        <v>21</v>
      </c>
      <c r="B29" s="7">
        <f>SUM('GENSET #1:GENSET #5'!D30)</f>
        <v>30378</v>
      </c>
      <c r="C29" s="7">
        <f>'Diesel consumption'!D25</f>
        <v>8630</v>
      </c>
      <c r="D29" s="2">
        <f>'SOLAR METER READING'!D29</f>
        <v>2918</v>
      </c>
      <c r="E29" s="7">
        <f>'Gas-2'!G26</f>
        <v>270</v>
      </c>
      <c r="F29" s="104">
        <f>WATER!V26</f>
        <v>421</v>
      </c>
      <c r="G29" s="106">
        <f>WATER!W26</f>
        <v>54</v>
      </c>
      <c r="H29" s="15">
        <f t="shared" si="0"/>
        <v>3.5200463499420627</v>
      </c>
      <c r="I29" s="15">
        <f t="shared" si="1"/>
        <v>33296</v>
      </c>
    </row>
    <row r="30" spans="1:9" x14ac:dyDescent="0.2">
      <c r="A30" s="6">
        <v>22</v>
      </c>
      <c r="B30" s="7">
        <f>SUM('GENSET #1:GENSET #5'!D31)</f>
        <v>29712</v>
      </c>
      <c r="C30" s="7">
        <f>'Diesel consumption'!D26</f>
        <v>8260</v>
      </c>
      <c r="D30" s="2">
        <f>'SOLAR METER READING'!D30</f>
        <v>2773</v>
      </c>
      <c r="E30" s="7">
        <f>'Gas-2'!G27</f>
        <v>270</v>
      </c>
      <c r="F30" s="104">
        <f>WATER!V27</f>
        <v>426</v>
      </c>
      <c r="G30" s="106">
        <f>WATER!W27</f>
        <v>54</v>
      </c>
      <c r="H30" s="15">
        <f t="shared" si="0"/>
        <v>3.597094430992736</v>
      </c>
      <c r="I30" s="15">
        <f t="shared" si="1"/>
        <v>32485</v>
      </c>
    </row>
    <row r="31" spans="1:9" x14ac:dyDescent="0.2">
      <c r="A31" s="6">
        <v>23</v>
      </c>
      <c r="B31" s="7">
        <f>SUM('GENSET #1:GENSET #5'!D32)</f>
        <v>29987</v>
      </c>
      <c r="C31" s="7">
        <f>'Diesel consumption'!D27</f>
        <v>8320</v>
      </c>
      <c r="D31" s="2">
        <f>'SOLAR METER READING'!D31</f>
        <v>3020</v>
      </c>
      <c r="E31" s="7">
        <f>'Gas-2'!G28</f>
        <v>315</v>
      </c>
      <c r="F31" s="104">
        <f>WATER!V28</f>
        <v>481</v>
      </c>
      <c r="G31" s="106">
        <f>WATER!W28</f>
        <v>60</v>
      </c>
      <c r="H31" s="15">
        <f t="shared" si="0"/>
        <v>3.6042067307692309</v>
      </c>
      <c r="I31" s="15">
        <f t="shared" si="1"/>
        <v>33007</v>
      </c>
    </row>
    <row r="32" spans="1:9" x14ac:dyDescent="0.2">
      <c r="A32" s="6">
        <v>24</v>
      </c>
      <c r="B32" s="7">
        <f>SUM('GENSET #1:GENSET #5'!D33)</f>
        <v>30063</v>
      </c>
      <c r="C32" s="7">
        <f>'Diesel consumption'!D28</f>
        <v>8120</v>
      </c>
      <c r="D32" s="2">
        <f>'SOLAR METER READING'!D32</f>
        <v>3017</v>
      </c>
      <c r="E32" s="7">
        <f>'Gas-2'!G29</f>
        <v>225</v>
      </c>
      <c r="F32" s="104">
        <f>WATER!V29</f>
        <v>510</v>
      </c>
      <c r="G32" s="106">
        <f>WATER!W29</f>
        <v>67</v>
      </c>
      <c r="H32" s="15">
        <f t="shared" si="0"/>
        <v>3.7023399014778327</v>
      </c>
      <c r="I32" s="15">
        <f t="shared" si="1"/>
        <v>33080</v>
      </c>
    </row>
    <row r="33" spans="1:9" x14ac:dyDescent="0.2">
      <c r="A33" s="6">
        <v>25</v>
      </c>
      <c r="B33" s="7">
        <f>SUM('GENSET #1:GENSET #5'!D34)</f>
        <v>29439</v>
      </c>
      <c r="C33" s="7">
        <f>'Diesel consumption'!D29</f>
        <v>8350</v>
      </c>
      <c r="D33" s="2">
        <f>'SOLAR METER READING'!D33</f>
        <v>3030</v>
      </c>
      <c r="E33" s="7">
        <f>'Gas-2'!G30</f>
        <v>270</v>
      </c>
      <c r="F33" s="104">
        <f>WATER!V30</f>
        <v>459</v>
      </c>
      <c r="G33" s="106">
        <f>WATER!W30</f>
        <v>66</v>
      </c>
      <c r="H33" s="15">
        <f t="shared" si="0"/>
        <v>3.5256287425149702</v>
      </c>
      <c r="I33" s="15">
        <f t="shared" si="1"/>
        <v>32469</v>
      </c>
    </row>
    <row r="34" spans="1:9" x14ac:dyDescent="0.2">
      <c r="A34" s="6">
        <v>26</v>
      </c>
      <c r="B34" s="7">
        <f>SUM('GENSET #1:GENSET #5'!D35)</f>
        <v>28639</v>
      </c>
      <c r="C34" s="7">
        <f>'Diesel consumption'!D30</f>
        <v>7590</v>
      </c>
      <c r="D34" s="2">
        <f>'SOLAR METER READING'!D34</f>
        <v>2945</v>
      </c>
      <c r="E34" s="7">
        <f>'Gas-2'!G31</f>
        <v>225</v>
      </c>
      <c r="F34" s="104">
        <f>WATER!V31</f>
        <v>454</v>
      </c>
      <c r="G34" s="106">
        <f>WATER!W31</f>
        <v>0</v>
      </c>
      <c r="H34" s="15">
        <f t="shared" si="0"/>
        <v>3.7732542819499342</v>
      </c>
      <c r="I34" s="15">
        <f t="shared" si="1"/>
        <v>31584</v>
      </c>
    </row>
    <row r="35" spans="1:9" x14ac:dyDescent="0.2">
      <c r="A35" s="6">
        <v>27</v>
      </c>
      <c r="B35" s="7">
        <f>SUM('GENSET #1:GENSET #5'!D36)</f>
        <v>36339</v>
      </c>
      <c r="C35" s="7">
        <f>'Diesel consumption'!D31</f>
        <v>7970</v>
      </c>
      <c r="D35" s="2">
        <f>'SOLAR METER READING'!D35</f>
        <v>2878</v>
      </c>
      <c r="E35" s="7">
        <f>'Gas-2'!G32</f>
        <v>270</v>
      </c>
      <c r="F35" s="104">
        <f>WATER!V32</f>
        <v>449</v>
      </c>
      <c r="G35" s="106">
        <f>WATER!W32</f>
        <v>0</v>
      </c>
      <c r="H35" s="15">
        <f t="shared" si="0"/>
        <v>4.5594730238393977</v>
      </c>
      <c r="I35" s="15">
        <f t="shared" si="1"/>
        <v>39217</v>
      </c>
    </row>
    <row r="36" spans="1:9" x14ac:dyDescent="0.2">
      <c r="A36" s="6">
        <v>28</v>
      </c>
      <c r="B36" s="7">
        <f>SUM('GENSET #1:GENSET #5'!D37)</f>
        <v>30401</v>
      </c>
      <c r="C36" s="7">
        <f>'Diesel consumption'!D32</f>
        <v>8110</v>
      </c>
      <c r="D36" s="2">
        <f>'SOLAR METER READING'!D36</f>
        <v>3107</v>
      </c>
      <c r="E36" s="7">
        <f>'Gas-2'!G33</f>
        <v>225</v>
      </c>
      <c r="F36" s="104">
        <f>WATER!V33</f>
        <v>0</v>
      </c>
      <c r="G36" s="106">
        <f>WATER!W33</f>
        <v>0</v>
      </c>
      <c r="H36" s="15">
        <f t="shared" si="0"/>
        <v>3.748581997533909</v>
      </c>
      <c r="I36" s="15">
        <f t="shared" si="1"/>
        <v>33508</v>
      </c>
    </row>
    <row r="37" spans="1:9" x14ac:dyDescent="0.2">
      <c r="A37" s="6">
        <v>29</v>
      </c>
      <c r="B37" s="7">
        <f>SUM('GENSET #1:GENSET #5'!D38)</f>
        <v>21839</v>
      </c>
      <c r="C37" s="7">
        <f>'Diesel consumption'!D33</f>
        <v>8120</v>
      </c>
      <c r="D37" s="2">
        <f>'SOLAR METER READING'!D37</f>
        <v>2977</v>
      </c>
      <c r="E37" s="7">
        <f>'Gas-2'!G34</f>
        <v>270</v>
      </c>
      <c r="F37" s="104">
        <f>WATER!V34</f>
        <v>0</v>
      </c>
      <c r="G37" s="106">
        <f>WATER!W34</f>
        <v>0</v>
      </c>
      <c r="H37" s="15">
        <f t="shared" si="0"/>
        <v>2.6895320197044335</v>
      </c>
      <c r="I37" s="15">
        <f t="shared" si="1"/>
        <v>24816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4">
        <f>WATER!V35</f>
        <v>0</v>
      </c>
      <c r="G38" s="106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4">
        <f>WATER!V36</f>
        <v>0</v>
      </c>
      <c r="G39" s="106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800930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7380</v>
      </c>
      <c r="F40" s="105">
        <f>SUM(F9:F39)</f>
        <v>11410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2021-12-01T08:18:15Z</cp:lastPrinted>
  <dcterms:created xsi:type="dcterms:W3CDTF">2018-12-01T06:13:40Z</dcterms:created>
  <dcterms:modified xsi:type="dcterms:W3CDTF">2021-12-30T03:41:57Z</dcterms:modified>
</cp:coreProperties>
</file>