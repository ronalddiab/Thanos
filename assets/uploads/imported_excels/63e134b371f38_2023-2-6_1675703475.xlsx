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<sst xmlns="http://schemas.openxmlformats.org/spreadsheetml/2006/main" count="315" uniqueCount="148">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</sst>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4058.6039999999998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 t="e">
        <f>Submetering!E7+Submetering!F7+Submetering!G7+Submetering!H7+Submetering!J7-Submetering!AV7</f>
        <v>#VALUE!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 t="e">
        <f>'FS Desroches Daily'!CM9</f>
        <v>#VALUE!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0.79999999999995453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4051.2779999999998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8000.0000000000064</v>
      </c>
      <c r="F33" s="17">
        <f t="shared" ref="F33:BC33" si="0">SUM(F2:F32)</f>
        <v>14599.999999999724</v>
      </c>
      <c r="G33" s="17">
        <f t="shared" si="0"/>
        <v>16000.000000000015</v>
      </c>
      <c r="H33" s="17">
        <f t="shared" si="0"/>
        <v>8000.0000000000073</v>
      </c>
      <c r="I33" s="17">
        <f t="shared" si="0"/>
        <v>10099.999999999998</v>
      </c>
      <c r="J33" s="17">
        <f t="shared" si="0"/>
        <v>5900.0000000000164</v>
      </c>
      <c r="K33" s="17">
        <f t="shared" si="0"/>
        <v>146</v>
      </c>
      <c r="L33" s="17">
        <f t="shared" si="0"/>
        <v>22</v>
      </c>
      <c r="M33" s="17">
        <f t="shared" si="0"/>
        <v>4.7000000000000455</v>
      </c>
      <c r="N33" s="17">
        <f t="shared" si="0"/>
        <v>1884.3000000000466</v>
      </c>
      <c r="O33" s="17">
        <f t="shared" si="0"/>
        <v>1399.9999999999773</v>
      </c>
      <c r="P33" s="17">
        <f t="shared" si="0"/>
        <v>13200.000000000324</v>
      </c>
      <c r="Q33" s="17">
        <f t="shared" si="0"/>
        <v>1500</v>
      </c>
      <c r="R33" s="17">
        <f t="shared" si="0"/>
        <v>1930.0000000000637</v>
      </c>
      <c r="S33" s="17">
        <f t="shared" si="0"/>
        <v>2140.0000000001</v>
      </c>
      <c r="T33" s="17">
        <f t="shared" si="0"/>
        <v>167</v>
      </c>
      <c r="U33" s="35">
        <f t="shared" si="0"/>
        <v>2800.0000000001355</v>
      </c>
      <c r="V33" s="35">
        <f t="shared" si="0"/>
        <v>560.00000000000227</v>
      </c>
      <c r="W33" s="35">
        <f t="shared" si="0"/>
        <v>990.00000000000909</v>
      </c>
      <c r="X33" s="35">
        <f t="shared" si="0"/>
        <v>360.00000000001364</v>
      </c>
      <c r="Y33" s="35">
        <f t="shared" si="0"/>
        <v>370.00000000000455</v>
      </c>
      <c r="Z33" s="35">
        <f t="shared" si="0"/>
        <v>330.00000000004093</v>
      </c>
      <c r="AA33" s="35">
        <f t="shared" si="0"/>
        <v>330.00000000004093</v>
      </c>
      <c r="AB33" s="35">
        <f t="shared" si="0"/>
        <v>259.99999999999091</v>
      </c>
      <c r="AC33" s="35">
        <f t="shared" si="0"/>
        <v>319.99999999999318</v>
      </c>
      <c r="AD33" s="35">
        <f t="shared" si="0"/>
        <v>400.00000000003411</v>
      </c>
      <c r="AE33" s="35">
        <f t="shared" si="0"/>
        <v>270.00000000003865</v>
      </c>
      <c r="AF33" s="17">
        <f t="shared" si="0"/>
        <v>249</v>
      </c>
      <c r="AG33" s="32">
        <f t="shared" si="0"/>
        <v>250</v>
      </c>
      <c r="AH33" s="32">
        <f t="shared" si="0"/>
        <v>189.99999999999773</v>
      </c>
      <c r="AI33" s="32">
        <f t="shared" si="0"/>
        <v>250</v>
      </c>
      <c r="AJ33" s="32">
        <f t="shared" si="0"/>
        <v>200.00000000001705</v>
      </c>
      <c r="AK33" s="32">
        <f t="shared" si="0"/>
        <v>170.00000000001592</v>
      </c>
      <c r="AL33" s="32">
        <f t="shared" si="0"/>
        <v>212</v>
      </c>
      <c r="AM33" s="32">
        <f t="shared" si="0"/>
        <v>250</v>
      </c>
      <c r="AN33" s="32">
        <f t="shared" si="0"/>
        <v>168</v>
      </c>
      <c r="AO33" s="32">
        <f t="shared" si="0"/>
        <v>260.00000000001933</v>
      </c>
      <c r="AP33" s="32">
        <f t="shared" si="0"/>
        <v>237</v>
      </c>
      <c r="AQ33" s="17">
        <f t="shared" si="0"/>
        <v>357.59999999999854</v>
      </c>
      <c r="AR33" s="17">
        <f t="shared" si="0"/>
        <v>78.599999999998545</v>
      </c>
      <c r="AS33" s="17">
        <f t="shared" si="0"/>
        <v>11.200000000000728</v>
      </c>
      <c r="AT33" s="17">
        <f t="shared" si="0"/>
        <v>193.69999999999709</v>
      </c>
      <c r="AU33" s="17">
        <f t="shared" si="0"/>
        <v>1594</v>
      </c>
      <c r="AV33" s="17">
        <f t="shared" si="0"/>
        <v>4199.9999999998181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20.1465</v>
      </c>
      <c r="BC33" s="17">
        <f t="shared" si="0"/>
        <v>75</v>
      </c>
    </row>
    <row r="35" spans="5:55" x14ac:dyDescent="0.25">
      <c r="E35" s="38">
        <f>E33/E37</f>
        <v>0.1833264585911373</v>
      </c>
      <c r="G35" s="29">
        <f>G33-M36</f>
        <v>14110.999999999967</v>
      </c>
      <c r="AE35" s="35">
        <f>SUM(U33:AE33)</f>
        <v>6990.0000000003038</v>
      </c>
      <c r="AG35" s="32">
        <f>SUM(AG33:AP33)</f>
        <v>2187.00000000005</v>
      </c>
    </row>
    <row r="36" spans="5:55" x14ac:dyDescent="0.25">
      <c r="G36" s="29">
        <f>G35-633*14</f>
        <v>5248.9999999999673</v>
      </c>
      <c r="M36" s="29">
        <f>M33+N33</f>
        <v>1889.0000000000466</v>
      </c>
    </row>
    <row r="37" spans="5:55" x14ac:dyDescent="0.25">
      <c r="E37" s="17">
        <f>E33+F33+G33+H33+J33-633*14</f>
        <v>43637.999999999767</v>
      </c>
      <c r="G37" s="37">
        <f>M36/E37</f>
        <v>4.3287960034833324E-2</v>
      </c>
      <c r="M37" s="35">
        <f>AE35</f>
        <v>6990.0000000003038</v>
      </c>
    </row>
    <row r="38" spans="5:55" x14ac:dyDescent="0.25">
      <c r="L38" s="27">
        <f>M38/E37</f>
        <v>5.011687061735326E-2</v>
      </c>
      <c r="M38" s="29">
        <f>AG35</f>
        <v>2187.00000000005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T1" zoomScale="82" zoomScaleNormal="82" workbookViewId="0">
      <pane ySplit="1" topLeftCell="A2" activePane="bottomLeft" state="frozen"/>
      <selection pane="bottomLeft" activeCell="BH15" sqref="BH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 t="shared" ref="T4:T34" si="9">IF((S4-S3&lt;0), "",S4-S3)</f>
        <v>0.90000000000009095</v>
      </c>
      <c r="U4" s="58">
        <v>661641.19999999995</v>
      </c>
      <c r="V4" s="67">
        <f t="shared" ref="V4:V34" si="10">IF((U4-U3&lt;0), "",U4-U3)</f>
        <v>385.19999999995343</v>
      </c>
      <c r="W4" s="58">
        <v>595.87</v>
      </c>
      <c r="X4" s="65">
        <f t="shared" ref="X4:X34" si="11">IF((W4-W3&lt;0), "",(W4-W3)*1000)</f>
        <v>289.99999999996362</v>
      </c>
      <c r="Y4" s="58">
        <v>4.5324999999999998</v>
      </c>
      <c r="Z4" s="65">
        <f t="shared" ref="Z4:Z34" si="12">IF((Y4-Y3&lt;0), "",(Y4-Y3)*1000000)</f>
        <v>2799.9999999996917</v>
      </c>
      <c r="AA4" s="58">
        <v>602.88</v>
      </c>
      <c r="AB4" s="65">
        <f t="shared" ref="AB4:AB34" si="13">IF((AA4-AA3&lt;0), "",(AA4-AA3)*1000)</f>
        <v>330.00000000004093</v>
      </c>
      <c r="AC4" s="58">
        <v>608.03</v>
      </c>
      <c r="AD4" s="65">
        <f t="shared" ref="AD4:AD34" si="14">IF((AC4-AC3&lt;0), "",(AC4-AC3)*1000)</f>
        <v>490.00000000000909</v>
      </c>
      <c r="AE4" s="58">
        <v>972.01</v>
      </c>
      <c r="AF4" s="65">
        <f t="shared" ref="AF4:AF34" si="15">IF((AE4-AE3&lt;0), "",(AE4-AE3)*1000)</f>
        <v>700.00000000004547</v>
      </c>
      <c r="AG4" s="58">
        <v>26984</v>
      </c>
      <c r="AH4" s="67">
        <f t="shared" ref="AH4:AH34" si="16">IF((AG4-AG3&lt;0), "",AG4-AG3)</f>
        <v>31</v>
      </c>
      <c r="AI4" s="58">
        <v>1.0358000000000001</v>
      </c>
      <c r="AJ4" s="65">
        <f t="shared" ref="AJ4:AJ34" si="17">IF((AI4-AI3&lt;0), "",(AI4-AI3)*1000000)</f>
        <v>700.00000000014495</v>
      </c>
      <c r="AK4" s="58">
        <v>342.38</v>
      </c>
      <c r="AL4" s="65">
        <f t="shared" ref="AL4:AL34" si="18">IF((AK4-AK3&lt;0), "",(AK4-AK3)*1000)</f>
        <v>170.00000000001592</v>
      </c>
      <c r="AM4" s="58">
        <v>312.87</v>
      </c>
      <c r="AN4" s="65">
        <f t="shared" ref="AN4:AN34" si="19">IF((AM4-AM3&lt;0), "",(AM4-AM3)*1000)</f>
        <v>160.00000000002501</v>
      </c>
      <c r="AO4" s="58">
        <v>304.33999999999997</v>
      </c>
      <c r="AP4" s="65">
        <f t="shared" ref="AP4:AP34" si="20">IF((AO4-AO3&lt;0), "",(AO4-AO3)*1000)</f>
        <v>139.99999999998636</v>
      </c>
      <c r="AQ4" s="58">
        <v>356.98</v>
      </c>
      <c r="AR4" s="65">
        <f t="shared" ref="AR4:AR34" si="21">IF((AQ4-AQ3&lt;0), "",(AQ4-AQ3)*1000)</f>
        <v>170.00000000001592</v>
      </c>
      <c r="AS4" s="58">
        <v>483.27</v>
      </c>
      <c r="AT4" s="65">
        <f t="shared" ref="AT4:AT34" si="22">IF((AS4-AS3&lt;0), "",(AS4-AS3)*1000)</f>
        <v>120.00000000000455</v>
      </c>
      <c r="AU4" s="58">
        <v>387.24</v>
      </c>
      <c r="AV4" s="65">
        <f t="shared" ref="AV4:AV34" si="23">IF((AU4-AU3&lt;0), "",(AU4-AU3)*1000)</f>
        <v>129.99999999999545</v>
      </c>
      <c r="AW4" s="58">
        <v>414.37</v>
      </c>
      <c r="AX4" s="65">
        <f t="shared" ref="AX4:AX34" si="24">IF((AW4-AW3&lt;0), "",(AW4-AW3)*1000)</f>
        <v>110.00000000001364</v>
      </c>
      <c r="AY4" s="58">
        <v>449.42</v>
      </c>
      <c r="AZ4" s="65">
        <f t="shared" ref="AZ4:AZ34" si="25">IF((AY4-AY3&lt;0), "",(AY4-AY3)*1000)</f>
        <v>120.00000000000455</v>
      </c>
      <c r="BA4" s="58">
        <v>467.08</v>
      </c>
      <c r="BB4" s="65">
        <f t="shared" ref="BB4:BB34" si="26">IF((BA4-BA3&lt;0), "",(BA4-BA3)*1000)</f>
        <v>120.00000000000455</v>
      </c>
      <c r="BC4" s="58">
        <v>299.49</v>
      </c>
      <c r="BD4" s="65">
        <f t="shared" ref="BD4:BD34" si="27">IF((BC4-BC3&lt;0), "",(BC4-BC3)*1000)</f>
        <v>90.000000000031832</v>
      </c>
      <c r="BE4" s="59">
        <v>61465</v>
      </c>
      <c r="BF4" s="67">
        <f t="shared" ref="BF4:BF34" si="28">IF((BE4-BE3&lt;0), "",BE4-BE3)</f>
        <v>36</v>
      </c>
      <c r="BG4" s="60">
        <v>258.04000000000002</v>
      </c>
      <c r="BH4" s="65">
        <f t="shared" ref="BH4:BH34" si="29">IF((BG4-BG3&lt;0), "",(BG4-BG3)*1000)</f>
        <v>60.000000000002274</v>
      </c>
      <c r="BI4" s="60">
        <v>312.14999999999998</v>
      </c>
      <c r="BJ4" s="65">
        <f t="shared" ref="BJ4:BJ34" si="30">IF((BI4-BI3&lt;0), "",(BI4-BI3)*1000)</f>
        <v>39.99999999996362</v>
      </c>
      <c r="BK4" s="60">
        <v>264.63</v>
      </c>
      <c r="BL4" s="65">
        <f t="shared" ref="BL4:BL34" si="31">IF((BK4-BK3&lt;0), "",(BK4-BK3)*1000)</f>
        <v>50.000000000011369</v>
      </c>
      <c r="BM4" s="60">
        <v>247.99</v>
      </c>
      <c r="BN4" s="65">
        <f t="shared" ref="BN4:BN34" si="32">IF((BM4-BM3&lt;0), "",(BM4-BM3)*1000)</f>
        <v>40.000000000020464</v>
      </c>
      <c r="BO4" s="60">
        <v>316.37</v>
      </c>
      <c r="BP4" s="65">
        <f t="shared" ref="BP4:BP34" si="33">IF((BO4-BO3&lt;0), "",(BO4-BO3)*1000)</f>
        <v>40.000000000020464</v>
      </c>
      <c r="BQ4" s="60">
        <v>66377</v>
      </c>
      <c r="BR4" s="65">
        <f t="shared" ref="BR4:BR34" si="34">IF((BQ4-BQ3&lt;0), "",BQ4-BQ3)</f>
        <v>48</v>
      </c>
      <c r="BS4" s="60">
        <v>226.16</v>
      </c>
      <c r="BT4" s="65">
        <f t="shared" ref="BT4:BT34" si="35">IF((BS4-BS3&lt;0), "",(BS4-BS3)*1000)</f>
        <v>49.999999999982947</v>
      </c>
      <c r="BU4" s="60">
        <v>63763</v>
      </c>
      <c r="BV4" s="65">
        <f t="shared" ref="BV4:BV34" si="36">IF((BU4-BU3&lt;0), "",BU4-BU3)</f>
        <v>42</v>
      </c>
      <c r="BW4" s="60">
        <v>254.3</v>
      </c>
      <c r="BX4" s="65">
        <f t="shared" ref="BX4:BX34" si="37">IF((BW4-BW3&lt;0), "",(BW4-BW3)*1000)</f>
        <v>70.0000000000216</v>
      </c>
      <c r="BY4" s="60">
        <v>85591</v>
      </c>
      <c r="BZ4" s="67">
        <f t="shared" ref="BZ4:BZ34" si="38">IF((BY4-BY3&lt;0), "",BY4-BY3)</f>
        <v>51</v>
      </c>
      <c r="CA4" s="60">
        <v>63137.3</v>
      </c>
      <c r="CB4" s="67">
        <f t="shared" ref="CB4:CB34" si="39">IF((CA4-CA3&lt;0), "",CA4-CA3)</f>
        <v>95.30000000000291</v>
      </c>
      <c r="CC4" s="60">
        <v>18830</v>
      </c>
      <c r="CD4" s="67">
        <f t="shared" ref="CD4:CD34" si="40">IF((CC4-CC3&lt;0), "",CC4-CC3)</f>
        <v>23</v>
      </c>
      <c r="CE4" s="60">
        <v>9072.1</v>
      </c>
      <c r="CF4" s="67">
        <f t="shared" ref="CF4:CF34" si="41">IF((CE4-CE3&lt;0), "",CE4-CE3)</f>
        <v>2.7000000000007276</v>
      </c>
      <c r="CG4" s="60">
        <v>86827</v>
      </c>
      <c r="CH4" s="67">
        <f t="shared" ref="CH4:CH34" si="42">IF((CG4-CG3&lt;0), "",CG4-CG3)</f>
        <v>39</v>
      </c>
      <c r="CI4" s="60">
        <v>1124333</v>
      </c>
      <c r="CJ4" s="67">
        <f t="shared" ref="CJ4:CJ34" si="43">IF((CI4-CI3&lt;0), "",CI4-CI3)</f>
        <v>335</v>
      </c>
      <c r="CK4" s="60">
        <v>1229.2</v>
      </c>
      <c r="CL4" s="64">
        <f t="shared" ref="CL4:CL34" si="44">IF((CK4-CK3&lt;0), "",(CK4-CK3)*1000)</f>
        <v>799.99999999995453</v>
      </c>
      <c r="CM4" s="65">
        <f t="shared" ref="CM4:CM34" si="45">CQ4+CS4</f>
        <v>89</v>
      </c>
      <c r="CN4" s="62">
        <v>10</v>
      </c>
      <c r="CO4" s="62">
        <v>18</v>
      </c>
      <c r="CP4" s="68">
        <v>53702</v>
      </c>
      <c r="CQ4" s="67">
        <f t="shared" ref="CQ4:CQ34" si="46">IF((CP4-CP3&lt;0), "",CP4-CP3)</f>
        <v>66</v>
      </c>
      <c r="CR4" s="68">
        <v>27929.200000000001</v>
      </c>
      <c r="CS4" s="67">
        <f t="shared" ref="CS4:CS34" si="47">IF((CR4-CR3&lt;0), "",CR4-CR3)</f>
        <v>23</v>
      </c>
      <c r="CT4" s="75">
        <v>13206</v>
      </c>
      <c r="CU4" s="67">
        <f t="shared" ref="CU4:CU34" si="48">IF((CT4-CT3&lt;0), "",CT4-CT3)</f>
        <v>16</v>
      </c>
      <c r="CV4" s="68">
        <v>32012</v>
      </c>
      <c r="CW4" s="67">
        <f t="shared" ref="CW4:CW34" si="49">IF((CV4-CV3&lt;0), "",CV4-CV3)</f>
        <v>25</v>
      </c>
      <c r="CX4" s="58">
        <v>5934.3</v>
      </c>
      <c r="CY4" s="67">
        <f t="shared" ref="CY4:CY34" si="50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si="9"/>
        <v>0.79999999999995453</v>
      </c>
      <c r="U5" s="58">
        <v>661962.5</v>
      </c>
      <c r="V5" s="67">
        <f t="shared" si="10"/>
        <v>321.30000000004657</v>
      </c>
      <c r="W5" s="58">
        <v>596.23</v>
      </c>
      <c r="X5" s="65">
        <f t="shared" si="11"/>
        <v>360.00000000001364</v>
      </c>
      <c r="Y5" s="58">
        <v>4.5351999999999997</v>
      </c>
      <c r="Z5" s="65">
        <f t="shared" si="12"/>
        <v>2699.9999999999245</v>
      </c>
      <c r="AA5" s="58">
        <v>603.08000000000004</v>
      </c>
      <c r="AB5" s="65">
        <f t="shared" si="13"/>
        <v>200.00000000004547</v>
      </c>
      <c r="AC5" s="58">
        <v>608.47</v>
      </c>
      <c r="AD5" s="65">
        <f t="shared" si="14"/>
        <v>440.00000000005457</v>
      </c>
      <c r="AE5" s="58">
        <v>972.33</v>
      </c>
      <c r="AF5" s="65">
        <f t="shared" si="15"/>
        <v>320.00000000005002</v>
      </c>
      <c r="AG5" s="58">
        <v>27017</v>
      </c>
      <c r="AH5" s="67">
        <f t="shared" si="16"/>
        <v>33</v>
      </c>
      <c r="AI5" s="58">
        <v>1.0364</v>
      </c>
      <c r="AJ5" s="65">
        <f t="shared" si="17"/>
        <v>599.99999999993395</v>
      </c>
      <c r="AK5" s="58">
        <v>342.46</v>
      </c>
      <c r="AL5" s="65">
        <f t="shared" si="18"/>
        <v>79.999999999984084</v>
      </c>
      <c r="AM5" s="58">
        <v>312.95999999999998</v>
      </c>
      <c r="AN5" s="65">
        <f t="shared" si="19"/>
        <v>89.999999999974989</v>
      </c>
      <c r="AO5" s="58">
        <v>304.39999999999998</v>
      </c>
      <c r="AP5" s="65">
        <f t="shared" si="20"/>
        <v>60.000000000002274</v>
      </c>
      <c r="AQ5" s="58">
        <v>357.04</v>
      </c>
      <c r="AR5" s="65">
        <f t="shared" si="21"/>
        <v>60.000000000002274</v>
      </c>
      <c r="AS5" s="58">
        <v>483.33</v>
      </c>
      <c r="AT5" s="65">
        <f t="shared" si="22"/>
        <v>60.000000000002274</v>
      </c>
      <c r="AU5" s="58">
        <v>387.28</v>
      </c>
      <c r="AV5" s="65">
        <f t="shared" si="23"/>
        <v>39.99999999996362</v>
      </c>
      <c r="AW5" s="58">
        <v>414.42</v>
      </c>
      <c r="AX5" s="65">
        <f t="shared" si="24"/>
        <v>50.000000000011369</v>
      </c>
      <c r="AY5" s="58">
        <v>449.47</v>
      </c>
      <c r="AZ5" s="65">
        <f t="shared" si="25"/>
        <v>50.000000000011369</v>
      </c>
      <c r="BA5" s="58">
        <v>467.14</v>
      </c>
      <c r="BB5" s="65">
        <f t="shared" si="26"/>
        <v>60.000000000002274</v>
      </c>
      <c r="BC5" s="58">
        <v>299.52999999999997</v>
      </c>
      <c r="BD5" s="65">
        <f t="shared" si="27"/>
        <v>39.99999999996362</v>
      </c>
      <c r="BE5" s="59">
        <v>61499</v>
      </c>
      <c r="BF5" s="67">
        <f t="shared" si="28"/>
        <v>34</v>
      </c>
      <c r="BG5" s="60">
        <v>258.08999999999997</v>
      </c>
      <c r="BH5" s="65">
        <f t="shared" si="29"/>
        <v>49.999999999954525</v>
      </c>
      <c r="BI5" s="60">
        <v>312.19</v>
      </c>
      <c r="BJ5" s="65">
        <f t="shared" si="30"/>
        <v>40.000000000020464</v>
      </c>
      <c r="BK5" s="60">
        <v>264.68</v>
      </c>
      <c r="BL5" s="65">
        <f t="shared" si="31"/>
        <v>50.000000000011369</v>
      </c>
      <c r="BM5" s="60">
        <v>248.03</v>
      </c>
      <c r="BN5" s="65">
        <f t="shared" si="32"/>
        <v>39.999999999992042</v>
      </c>
      <c r="BO5" s="60">
        <v>316.39999999999998</v>
      </c>
      <c r="BP5" s="65">
        <f t="shared" si="33"/>
        <v>29.999999999972715</v>
      </c>
      <c r="BQ5" s="60">
        <v>66418</v>
      </c>
      <c r="BR5" s="65">
        <f t="shared" si="34"/>
        <v>41</v>
      </c>
      <c r="BS5" s="60">
        <v>226.21</v>
      </c>
      <c r="BT5" s="65">
        <f t="shared" si="35"/>
        <v>50.000000000011369</v>
      </c>
      <c r="BU5" s="60">
        <v>63796</v>
      </c>
      <c r="BV5" s="65">
        <f t="shared" si="36"/>
        <v>33</v>
      </c>
      <c r="BW5" s="60">
        <v>254.36</v>
      </c>
      <c r="BX5" s="65">
        <f t="shared" si="37"/>
        <v>60.000000000002274</v>
      </c>
      <c r="BY5" s="60">
        <v>85642</v>
      </c>
      <c r="BZ5" s="67">
        <f t="shared" si="38"/>
        <v>51</v>
      </c>
      <c r="CA5" s="60">
        <v>63209</v>
      </c>
      <c r="CB5" s="67">
        <f t="shared" si="39"/>
        <v>71.69999999999709</v>
      </c>
      <c r="CC5" s="60">
        <v>18838.2</v>
      </c>
      <c r="CD5" s="67">
        <f t="shared" si="40"/>
        <v>8.2000000000007276</v>
      </c>
      <c r="CE5" s="60">
        <v>9075.6</v>
      </c>
      <c r="CF5" s="67">
        <f t="shared" si="41"/>
        <v>3.5</v>
      </c>
      <c r="CG5" s="60">
        <v>86860</v>
      </c>
      <c r="CH5" s="67">
        <f t="shared" si="42"/>
        <v>33</v>
      </c>
      <c r="CI5" s="60">
        <v>1124599</v>
      </c>
      <c r="CJ5" s="67">
        <f t="shared" si="43"/>
        <v>266</v>
      </c>
      <c r="CK5" s="60">
        <v>1230.0999999999999</v>
      </c>
      <c r="CL5" s="64">
        <f t="shared" si="44"/>
        <v>899.99999999986358</v>
      </c>
      <c r="CM5" s="65">
        <f t="shared" si="45"/>
        <v>84.299999999999272</v>
      </c>
      <c r="CN5" s="62">
        <v>14</v>
      </c>
      <c r="CO5" s="62">
        <v>26</v>
      </c>
      <c r="CP5" s="68">
        <v>53775</v>
      </c>
      <c r="CQ5" s="67">
        <f t="shared" si="46"/>
        <v>73</v>
      </c>
      <c r="CR5" s="68">
        <v>27940.5</v>
      </c>
      <c r="CS5" s="67">
        <f t="shared" si="47"/>
        <v>11.299999999999272</v>
      </c>
      <c r="CT5" s="75">
        <v>13221</v>
      </c>
      <c r="CU5" s="67">
        <f t="shared" si="48"/>
        <v>15</v>
      </c>
      <c r="CV5" s="68">
        <v>32033</v>
      </c>
      <c r="CW5" s="67">
        <f t="shared" si="49"/>
        <v>21</v>
      </c>
      <c r="CX5" s="58">
        <v>5943.4</v>
      </c>
      <c r="CY5" s="67">
        <f t="shared" si="50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9"/>
        <v>1</v>
      </c>
      <c r="U6" s="58">
        <v>662405.5</v>
      </c>
      <c r="V6" s="67">
        <f t="shared" si="10"/>
        <v>443</v>
      </c>
      <c r="W6" s="58">
        <v>596.54</v>
      </c>
      <c r="X6" s="65">
        <f t="shared" si="11"/>
        <v>309.99999999994543</v>
      </c>
      <c r="Y6" s="58">
        <v>4.5378999999999996</v>
      </c>
      <c r="Z6" s="65">
        <f t="shared" si="12"/>
        <v>2699.9999999999245</v>
      </c>
      <c r="AA6" s="58">
        <v>603.49</v>
      </c>
      <c r="AB6" s="65">
        <f t="shared" si="13"/>
        <v>409.99999999996817</v>
      </c>
      <c r="AC6" s="58">
        <v>608.89</v>
      </c>
      <c r="AD6" s="65">
        <f t="shared" si="14"/>
        <v>419.99999999995907</v>
      </c>
      <c r="AE6" s="58">
        <v>972.71</v>
      </c>
      <c r="AF6" s="65">
        <f t="shared" si="15"/>
        <v>379.99999999999545</v>
      </c>
      <c r="AG6" s="58">
        <v>27055</v>
      </c>
      <c r="AH6" s="67">
        <f t="shared" si="16"/>
        <v>38</v>
      </c>
      <c r="AI6" s="58">
        <v>1.0370999999999999</v>
      </c>
      <c r="AJ6" s="65">
        <f t="shared" si="17"/>
        <v>699.99999999992292</v>
      </c>
      <c r="AK6" s="58">
        <v>342.56</v>
      </c>
      <c r="AL6" s="65">
        <f t="shared" si="18"/>
        <v>100.00000000002274</v>
      </c>
      <c r="AM6" s="58">
        <v>313.31</v>
      </c>
      <c r="AN6" s="65">
        <f t="shared" si="19"/>
        <v>350.00000000002274</v>
      </c>
      <c r="AO6" s="58">
        <v>304.44</v>
      </c>
      <c r="AP6" s="65">
        <f t="shared" si="20"/>
        <v>40.000000000020464</v>
      </c>
      <c r="AQ6" s="58">
        <v>357.08</v>
      </c>
      <c r="AR6" s="65">
        <f t="shared" si="21"/>
        <v>39.99999999996362</v>
      </c>
      <c r="AS6" s="58">
        <v>483.38</v>
      </c>
      <c r="AT6" s="65">
        <f t="shared" si="22"/>
        <v>50.000000000011369</v>
      </c>
      <c r="AU6" s="58">
        <v>387.31</v>
      </c>
      <c r="AV6" s="65">
        <f t="shared" si="23"/>
        <v>30.000000000029559</v>
      </c>
      <c r="AW6" s="58">
        <v>414.46</v>
      </c>
      <c r="AX6" s="65">
        <f t="shared" si="24"/>
        <v>39.99999999996362</v>
      </c>
      <c r="AY6" s="58">
        <v>449.51</v>
      </c>
      <c r="AZ6" s="65">
        <f t="shared" si="25"/>
        <v>39.99999999996362</v>
      </c>
      <c r="BA6" s="58">
        <v>467.21</v>
      </c>
      <c r="BB6" s="65">
        <f t="shared" si="26"/>
        <v>69.999999999993179</v>
      </c>
      <c r="BC6" s="58">
        <v>299.58</v>
      </c>
      <c r="BD6" s="65">
        <f t="shared" si="27"/>
        <v>50.000000000011369</v>
      </c>
      <c r="BE6" s="59">
        <v>61587</v>
      </c>
      <c r="BF6" s="67">
        <f t="shared" si="28"/>
        <v>88</v>
      </c>
      <c r="BG6" s="60">
        <v>258.14999999999998</v>
      </c>
      <c r="BH6" s="65">
        <f t="shared" si="29"/>
        <v>60.000000000002274</v>
      </c>
      <c r="BI6" s="60">
        <v>312.23</v>
      </c>
      <c r="BJ6" s="65">
        <f t="shared" si="30"/>
        <v>40.000000000020464</v>
      </c>
      <c r="BK6" s="60">
        <v>264.75</v>
      </c>
      <c r="BL6" s="65">
        <f t="shared" si="31"/>
        <v>69.999999999993179</v>
      </c>
      <c r="BM6" s="60">
        <v>248.07</v>
      </c>
      <c r="BN6" s="65">
        <f t="shared" si="32"/>
        <v>39.999999999992042</v>
      </c>
      <c r="BO6" s="60">
        <v>316.43</v>
      </c>
      <c r="BP6" s="65">
        <f t="shared" si="33"/>
        <v>30.000000000029559</v>
      </c>
      <c r="BQ6" s="60">
        <v>66468</v>
      </c>
      <c r="BR6" s="65">
        <f t="shared" si="34"/>
        <v>50</v>
      </c>
      <c r="BS6" s="60">
        <v>226.27</v>
      </c>
      <c r="BT6" s="65">
        <f t="shared" si="35"/>
        <v>60.000000000002274</v>
      </c>
      <c r="BU6" s="60">
        <v>63834</v>
      </c>
      <c r="BV6" s="65">
        <f t="shared" si="36"/>
        <v>38</v>
      </c>
      <c r="BW6" s="60">
        <v>254.41</v>
      </c>
      <c r="BX6" s="65">
        <f t="shared" si="37"/>
        <v>49.999999999982947</v>
      </c>
      <c r="BY6" s="60">
        <v>85694</v>
      </c>
      <c r="BZ6" s="67">
        <f t="shared" si="38"/>
        <v>52</v>
      </c>
      <c r="CA6" s="60">
        <v>63264</v>
      </c>
      <c r="CB6" s="67">
        <f t="shared" si="39"/>
        <v>55</v>
      </c>
      <c r="CC6" s="60">
        <v>18853.8</v>
      </c>
      <c r="CD6" s="67">
        <f t="shared" si="40"/>
        <v>15.599999999998545</v>
      </c>
      <c r="CE6" s="60">
        <v>9077</v>
      </c>
      <c r="CF6" s="67">
        <f t="shared" si="41"/>
        <v>1.3999999999996362</v>
      </c>
      <c r="CG6" s="60">
        <v>86900.9</v>
      </c>
      <c r="CH6" s="67">
        <f t="shared" si="42"/>
        <v>40.899999999994179</v>
      </c>
      <c r="CI6" s="60">
        <v>1124934</v>
      </c>
      <c r="CJ6" s="67">
        <f t="shared" si="43"/>
        <v>335</v>
      </c>
      <c r="CK6" s="60">
        <v>1230.9000000000001</v>
      </c>
      <c r="CL6" s="64">
        <f t="shared" si="44"/>
        <v>800.0000000001819</v>
      </c>
      <c r="CM6" s="65">
        <f t="shared" si="45"/>
        <v>100.5</v>
      </c>
      <c r="CN6" s="62">
        <v>17</v>
      </c>
      <c r="CO6" s="62">
        <v>32</v>
      </c>
      <c r="CP6" s="68">
        <v>53848</v>
      </c>
      <c r="CQ6" s="67">
        <f t="shared" si="46"/>
        <v>73</v>
      </c>
      <c r="CR6" s="68">
        <v>27968</v>
      </c>
      <c r="CS6" s="67">
        <f t="shared" si="47"/>
        <v>27.5</v>
      </c>
      <c r="CT6" s="75">
        <v>13235</v>
      </c>
      <c r="CU6" s="67">
        <f t="shared" si="48"/>
        <v>14</v>
      </c>
      <c r="CV6" s="68">
        <v>32075</v>
      </c>
      <c r="CW6" s="67">
        <f t="shared" si="49"/>
        <v>42</v>
      </c>
      <c r="CX6" s="58">
        <v>5954.3</v>
      </c>
      <c r="CY6" s="67">
        <f t="shared" si="50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9"/>
        <v>1</v>
      </c>
      <c r="U7" s="58">
        <v>662797.30000000005</v>
      </c>
      <c r="V7" s="67">
        <f t="shared" si="10"/>
        <v>391.80000000004657</v>
      </c>
      <c r="W7" s="58">
        <v>596.84</v>
      </c>
      <c r="X7" s="65">
        <f t="shared" si="11"/>
        <v>300.00000000006821</v>
      </c>
      <c r="Y7" s="58">
        <v>4.5404999999999998</v>
      </c>
      <c r="Z7" s="65">
        <f t="shared" si="12"/>
        <v>2600.0000000001578</v>
      </c>
      <c r="AA7" s="58">
        <v>603.77</v>
      </c>
      <c r="AB7" s="65">
        <f t="shared" si="13"/>
        <v>279.99999999997272</v>
      </c>
      <c r="AC7" s="58">
        <v>609.23</v>
      </c>
      <c r="AD7" s="65">
        <f t="shared" si="14"/>
        <v>340.00000000003183</v>
      </c>
      <c r="AE7" s="58">
        <v>973.16</v>
      </c>
      <c r="AF7" s="65">
        <f t="shared" si="15"/>
        <v>449.99999999993179</v>
      </c>
      <c r="AG7" s="58">
        <v>27089</v>
      </c>
      <c r="AH7" s="67">
        <f t="shared" si="16"/>
        <v>34</v>
      </c>
      <c r="AI7" s="58">
        <v>1.0376000000000001</v>
      </c>
      <c r="AJ7" s="65">
        <f t="shared" si="17"/>
        <v>500.00000000016701</v>
      </c>
      <c r="AK7" s="58">
        <v>342.71</v>
      </c>
      <c r="AL7" s="65">
        <f t="shared" si="18"/>
        <v>149.99999999997726</v>
      </c>
      <c r="AM7" s="58">
        <v>313.52999999999997</v>
      </c>
      <c r="AN7" s="65">
        <f t="shared" si="19"/>
        <v>219.99999999997044</v>
      </c>
      <c r="AO7" s="58">
        <v>304.52999999999997</v>
      </c>
      <c r="AP7" s="65">
        <f t="shared" si="20"/>
        <v>89.999999999974989</v>
      </c>
      <c r="AQ7" s="58">
        <v>357.13</v>
      </c>
      <c r="AR7" s="65">
        <f t="shared" si="21"/>
        <v>50.000000000011369</v>
      </c>
      <c r="AS7" s="58">
        <v>483.44</v>
      </c>
      <c r="AT7" s="65">
        <f t="shared" si="22"/>
        <v>60.000000000002274</v>
      </c>
      <c r="AU7" s="58">
        <v>387.35</v>
      </c>
      <c r="AV7" s="65">
        <f t="shared" si="23"/>
        <v>40.000000000020464</v>
      </c>
      <c r="AW7" s="58">
        <v>414.52</v>
      </c>
      <c r="AX7" s="65">
        <f t="shared" si="24"/>
        <v>60.000000000002274</v>
      </c>
      <c r="AY7" s="58">
        <v>449.59</v>
      </c>
      <c r="AZ7" s="65">
        <f t="shared" si="25"/>
        <v>79.999999999984084</v>
      </c>
      <c r="BA7" s="58">
        <v>467.3</v>
      </c>
      <c r="BB7" s="65">
        <f t="shared" si="26"/>
        <v>90.000000000031832</v>
      </c>
      <c r="BC7" s="58">
        <v>299.63</v>
      </c>
      <c r="BD7" s="65">
        <f t="shared" si="27"/>
        <v>50.000000000011369</v>
      </c>
      <c r="BE7" s="59">
        <v>61619</v>
      </c>
      <c r="BF7" s="67">
        <f t="shared" si="28"/>
        <v>32</v>
      </c>
      <c r="BG7" s="60">
        <v>258.2</v>
      </c>
      <c r="BH7" s="65">
        <f t="shared" si="29"/>
        <v>50.000000000011369</v>
      </c>
      <c r="BI7" s="60">
        <v>312.27</v>
      </c>
      <c r="BJ7" s="65">
        <f t="shared" si="30"/>
        <v>39.99999999996362</v>
      </c>
      <c r="BK7" s="60">
        <v>264.8</v>
      </c>
      <c r="BL7" s="65">
        <f t="shared" si="31"/>
        <v>50.000000000011369</v>
      </c>
      <c r="BM7" s="60">
        <v>248.12</v>
      </c>
      <c r="BN7" s="65">
        <f t="shared" si="32"/>
        <v>50.000000000011369</v>
      </c>
      <c r="BO7" s="60">
        <v>316.47000000000003</v>
      </c>
      <c r="BP7" s="65">
        <f t="shared" si="33"/>
        <v>40.000000000020464</v>
      </c>
      <c r="BQ7" s="60">
        <v>66513</v>
      </c>
      <c r="BR7" s="65">
        <f t="shared" si="34"/>
        <v>45</v>
      </c>
      <c r="BS7" s="60">
        <v>226.31</v>
      </c>
      <c r="BT7" s="65">
        <f t="shared" si="35"/>
        <v>39.999999999992042</v>
      </c>
      <c r="BU7" s="60">
        <v>63867</v>
      </c>
      <c r="BV7" s="65">
        <f t="shared" si="36"/>
        <v>33</v>
      </c>
      <c r="BW7" s="60">
        <v>254.45</v>
      </c>
      <c r="BX7" s="65">
        <f t="shared" si="37"/>
        <v>39.999999999992042</v>
      </c>
      <c r="BY7" s="60">
        <v>85743</v>
      </c>
      <c r="BZ7" s="67">
        <f t="shared" si="38"/>
        <v>49</v>
      </c>
      <c r="CA7" s="60">
        <v>63333.7</v>
      </c>
      <c r="CB7" s="67">
        <f t="shared" si="39"/>
        <v>69.69999999999709</v>
      </c>
      <c r="CC7" s="60">
        <v>18869.7</v>
      </c>
      <c r="CD7" s="67">
        <f t="shared" si="40"/>
        <v>15.900000000001455</v>
      </c>
      <c r="CE7" s="60">
        <v>9077.9</v>
      </c>
      <c r="CF7" s="67">
        <f t="shared" si="41"/>
        <v>0.8999999999996362</v>
      </c>
      <c r="CG7" s="60">
        <v>86935.7</v>
      </c>
      <c r="CH7" s="67">
        <f t="shared" si="42"/>
        <v>34.80000000000291</v>
      </c>
      <c r="CI7" s="60">
        <v>1125267</v>
      </c>
      <c r="CJ7" s="67">
        <f t="shared" si="43"/>
        <v>333</v>
      </c>
      <c r="CK7" s="60">
        <v>1231.8</v>
      </c>
      <c r="CL7" s="64">
        <f t="shared" si="44"/>
        <v>899.99999999986358</v>
      </c>
      <c r="CM7" s="65">
        <f t="shared" si="45"/>
        <v>93</v>
      </c>
      <c r="CN7" s="62">
        <v>17</v>
      </c>
      <c r="CO7" s="62">
        <v>32</v>
      </c>
      <c r="CP7" s="68">
        <v>53915</v>
      </c>
      <c r="CQ7" s="67">
        <f t="shared" si="46"/>
        <v>67</v>
      </c>
      <c r="CR7" s="68">
        <v>27994</v>
      </c>
      <c r="CS7" s="67">
        <f t="shared" si="47"/>
        <v>26</v>
      </c>
      <c r="CT7" s="75">
        <v>13249</v>
      </c>
      <c r="CU7" s="67">
        <f t="shared" si="48"/>
        <v>14</v>
      </c>
      <c r="CV7" s="68">
        <v>32126</v>
      </c>
      <c r="CW7" s="67">
        <f t="shared" si="49"/>
        <v>51</v>
      </c>
      <c r="CX7" s="58">
        <v>5962.6</v>
      </c>
      <c r="CY7" s="67">
        <f t="shared" si="50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9"/>
        <v>1</v>
      </c>
      <c r="U8" s="58">
        <v>663140.30000000005</v>
      </c>
      <c r="V8" s="67">
        <f t="shared" si="10"/>
        <v>343</v>
      </c>
      <c r="W8" s="58">
        <v>597.09</v>
      </c>
      <c r="X8" s="65">
        <f t="shared" si="11"/>
        <v>250</v>
      </c>
      <c r="Y8" s="58">
        <v>4.5429000000000004</v>
      </c>
      <c r="Z8" s="65">
        <f t="shared" si="12"/>
        <v>2400.0000000006239</v>
      </c>
      <c r="AA8" s="58">
        <v>604.04999999999995</v>
      </c>
      <c r="AB8" s="65">
        <f t="shared" si="13"/>
        <v>279.99999999997272</v>
      </c>
      <c r="AC8" s="58">
        <v>609.47</v>
      </c>
      <c r="AD8" s="65">
        <f t="shared" si="14"/>
        <v>240.00000000000909</v>
      </c>
      <c r="AE8" s="58">
        <v>973.45</v>
      </c>
      <c r="AF8" s="65">
        <f t="shared" si="15"/>
        <v>290.00000000007731</v>
      </c>
      <c r="AG8" s="58">
        <v>27120</v>
      </c>
      <c r="AH8" s="67">
        <f t="shared" si="16"/>
        <v>31</v>
      </c>
      <c r="AI8" s="58">
        <v>1.0379</v>
      </c>
      <c r="AJ8" s="65">
        <f t="shared" si="17"/>
        <v>299.99999999996697</v>
      </c>
      <c r="AK8" s="58">
        <v>342.77</v>
      </c>
      <c r="AL8" s="65">
        <f t="shared" si="18"/>
        <v>60.000000000002274</v>
      </c>
      <c r="AM8" s="58">
        <v>313.7</v>
      </c>
      <c r="AN8" s="65">
        <f t="shared" si="19"/>
        <v>170.00000000001592</v>
      </c>
      <c r="AO8" s="58">
        <v>304.56</v>
      </c>
      <c r="AP8" s="65">
        <f t="shared" si="20"/>
        <v>30.000000000029559</v>
      </c>
      <c r="AQ8" s="58">
        <v>357.18</v>
      </c>
      <c r="AR8" s="65">
        <f t="shared" si="21"/>
        <v>50.000000000011369</v>
      </c>
      <c r="AS8" s="58">
        <v>483.48</v>
      </c>
      <c r="AT8" s="65">
        <f t="shared" si="22"/>
        <v>40.000000000020464</v>
      </c>
      <c r="AU8" s="58">
        <v>387.37</v>
      </c>
      <c r="AV8" s="65">
        <f t="shared" si="23"/>
        <v>19.99999999998181</v>
      </c>
      <c r="AW8" s="58">
        <v>414.58</v>
      </c>
      <c r="AX8" s="65">
        <f t="shared" si="24"/>
        <v>60.000000000002274</v>
      </c>
      <c r="AY8" s="58">
        <v>449.62</v>
      </c>
      <c r="AZ8" s="65">
        <f t="shared" si="25"/>
        <v>30.000000000029559</v>
      </c>
      <c r="BA8" s="58">
        <v>467.36</v>
      </c>
      <c r="BB8" s="65">
        <f t="shared" si="26"/>
        <v>60.000000000002274</v>
      </c>
      <c r="BC8" s="58">
        <v>299.67</v>
      </c>
      <c r="BD8" s="65">
        <f t="shared" si="27"/>
        <v>40.000000000020464</v>
      </c>
      <c r="BE8" s="59">
        <v>61678</v>
      </c>
      <c r="BF8" s="67">
        <f t="shared" si="28"/>
        <v>59</v>
      </c>
      <c r="BG8" s="60">
        <v>258.23</v>
      </c>
      <c r="BH8" s="65">
        <f t="shared" si="29"/>
        <v>30.000000000029559</v>
      </c>
      <c r="BI8" s="60">
        <v>312.3</v>
      </c>
      <c r="BJ8" s="65">
        <f t="shared" si="30"/>
        <v>30.000000000029559</v>
      </c>
      <c r="BK8" s="60">
        <v>264.83</v>
      </c>
      <c r="BL8" s="65">
        <f t="shared" si="31"/>
        <v>29.999999999972715</v>
      </c>
      <c r="BM8" s="60">
        <v>248.15</v>
      </c>
      <c r="BN8" s="65">
        <f t="shared" si="32"/>
        <v>30.000000000001137</v>
      </c>
      <c r="BO8" s="60">
        <v>316.5</v>
      </c>
      <c r="BP8" s="65">
        <f t="shared" si="33"/>
        <v>29.999999999972715</v>
      </c>
      <c r="BQ8" s="60">
        <v>66541</v>
      </c>
      <c r="BR8" s="65">
        <f t="shared" si="34"/>
        <v>28</v>
      </c>
      <c r="BS8" s="60">
        <v>226.36</v>
      </c>
      <c r="BT8" s="65">
        <f t="shared" si="35"/>
        <v>50.000000000011369</v>
      </c>
      <c r="BU8" s="60">
        <v>63889</v>
      </c>
      <c r="BV8" s="65">
        <f t="shared" si="36"/>
        <v>22</v>
      </c>
      <c r="BW8" s="60">
        <v>254.49</v>
      </c>
      <c r="BX8" s="65">
        <f t="shared" si="37"/>
        <v>40.000000000020464</v>
      </c>
      <c r="BY8" s="60">
        <v>85777</v>
      </c>
      <c r="BZ8" s="67">
        <f t="shared" si="38"/>
        <v>34</v>
      </c>
      <c r="CA8" s="60">
        <v>63399.6</v>
      </c>
      <c r="CB8" s="67">
        <f t="shared" si="39"/>
        <v>65.900000000001455</v>
      </c>
      <c r="CC8" s="60">
        <v>18885.599999999999</v>
      </c>
      <c r="CD8" s="67">
        <f t="shared" si="40"/>
        <v>15.899999999997817</v>
      </c>
      <c r="CE8" s="60">
        <v>9080.6</v>
      </c>
      <c r="CF8" s="67">
        <f t="shared" si="41"/>
        <v>2.7000000000007276</v>
      </c>
      <c r="CG8" s="60">
        <v>86981.7</v>
      </c>
      <c r="CH8" s="67">
        <f t="shared" si="42"/>
        <v>46</v>
      </c>
      <c r="CI8" s="60">
        <v>1125592</v>
      </c>
      <c r="CJ8" s="67">
        <f t="shared" si="43"/>
        <v>325</v>
      </c>
      <c r="CK8" s="60">
        <v>1232.5999999999999</v>
      </c>
      <c r="CL8" s="64">
        <f t="shared" si="44"/>
        <v>799.99999999995453</v>
      </c>
      <c r="CM8" s="65">
        <f t="shared" si="45"/>
        <v>92</v>
      </c>
      <c r="CN8" s="62">
        <v>17</v>
      </c>
      <c r="CO8" s="62">
        <v>32</v>
      </c>
      <c r="CP8" s="68">
        <v>53984</v>
      </c>
      <c r="CQ8" s="67">
        <f t="shared" si="46"/>
        <v>69</v>
      </c>
      <c r="CR8" s="68">
        <v>28017</v>
      </c>
      <c r="CS8" s="67">
        <f t="shared" si="47"/>
        <v>23</v>
      </c>
      <c r="CT8" s="75">
        <v>13264</v>
      </c>
      <c r="CU8" s="67">
        <f t="shared" si="48"/>
        <v>15</v>
      </c>
      <c r="CV8" s="68">
        <v>32155</v>
      </c>
      <c r="CW8" s="67">
        <f t="shared" si="49"/>
        <v>29</v>
      </c>
      <c r="CX8" s="58">
        <v>5967.4</v>
      </c>
      <c r="CY8" s="67">
        <f t="shared" si="50"/>
        <v>4.7999999999992724</v>
      </c>
    </row>
    <row r="9" spans="1:103" ht="25.5" customHeight="1" thickBot="1" x14ac:dyDescent="0.45">
      <c r="A9" s="63">
        <v>44963</v>
      </c>
      <c r="B9" s="44"/>
      <c r="C9" s="58"/>
      <c r="D9" s="64" t="str">
        <f t="shared" si="1"/>
        <v>0</v>
      </c>
      <c r="E9" s="58"/>
      <c r="F9" s="64" t="str">
        <f t="shared" si="2"/>
        <v>0</v>
      </c>
      <c r="G9" s="58"/>
      <c r="H9" s="64" t="str">
        <f t="shared" si="3"/>
        <v>0</v>
      </c>
      <c r="I9" s="58"/>
      <c r="J9" s="64" t="str">
        <f t="shared" si="4"/>
        <v>0</v>
      </c>
      <c r="K9" s="58"/>
      <c r="L9" s="64" t="str">
        <f t="shared" si="5"/>
        <v>0</v>
      </c>
      <c r="M9" s="58"/>
      <c r="N9" s="64" t="str">
        <f t="shared" si="6"/>
        <v/>
      </c>
      <c r="O9" s="58"/>
      <c r="P9" s="67" t="str">
        <f t="shared" si="7"/>
        <v/>
      </c>
      <c r="Q9" s="58"/>
      <c r="R9" s="67" t="str">
        <f t="shared" si="8"/>
        <v/>
      </c>
      <c r="S9" s="58"/>
      <c r="T9" s="67" t="str">
        <f t="shared" si="9"/>
        <v/>
      </c>
      <c r="U9" s="58"/>
      <c r="V9" s="67" t="str">
        <f t="shared" si="10"/>
        <v/>
      </c>
      <c r="W9" s="58"/>
      <c r="X9" s="65" t="str">
        <f t="shared" si="11"/>
        <v/>
      </c>
      <c r="Y9" s="58"/>
      <c r="Z9" s="65" t="str">
        <f t="shared" si="12"/>
        <v/>
      </c>
      <c r="AA9" s="58"/>
      <c r="AB9" s="65" t="str">
        <f t="shared" si="13"/>
        <v/>
      </c>
      <c r="AC9" s="58"/>
      <c r="AD9" s="65" t="str">
        <f t="shared" si="14"/>
        <v/>
      </c>
      <c r="AE9" s="58"/>
      <c r="AF9" s="65" t="str">
        <f t="shared" si="15"/>
        <v/>
      </c>
      <c r="AG9" s="58"/>
      <c r="AH9" s="67" t="str">
        <f t="shared" si="16"/>
        <v/>
      </c>
      <c r="AI9" s="58"/>
      <c r="AJ9" s="65" t="str">
        <f t="shared" si="17"/>
        <v/>
      </c>
      <c r="AK9" s="58"/>
      <c r="AL9" s="65" t="str">
        <f t="shared" si="18"/>
        <v/>
      </c>
      <c r="AM9" s="58"/>
      <c r="AN9" s="65" t="str">
        <f t="shared" si="19"/>
        <v/>
      </c>
      <c r="AO9" s="58"/>
      <c r="AP9" s="65" t="str">
        <f t="shared" si="20"/>
        <v/>
      </c>
      <c r="AQ9" s="58"/>
      <c r="AR9" s="65" t="str">
        <f t="shared" si="21"/>
        <v/>
      </c>
      <c r="AS9" s="58"/>
      <c r="AT9" s="65" t="str">
        <f t="shared" si="22"/>
        <v/>
      </c>
      <c r="AU9" s="58"/>
      <c r="AV9" s="65" t="str">
        <f t="shared" si="23"/>
        <v/>
      </c>
      <c r="AW9" s="58"/>
      <c r="AX9" s="65" t="str">
        <f t="shared" si="24"/>
        <v/>
      </c>
      <c r="AY9" s="58"/>
      <c r="AZ9" s="65" t="str">
        <f t="shared" si="25"/>
        <v/>
      </c>
      <c r="BA9" s="58"/>
      <c r="BB9" s="65" t="str">
        <f t="shared" si="26"/>
        <v/>
      </c>
      <c r="BC9" s="58"/>
      <c r="BD9" s="65" t="str">
        <f t="shared" si="27"/>
        <v/>
      </c>
      <c r="BE9" s="59"/>
      <c r="BF9" s="67" t="str">
        <f t="shared" si="28"/>
        <v/>
      </c>
      <c r="BG9" s="60"/>
      <c r="BH9" s="65" t="str">
        <f t="shared" si="29"/>
        <v/>
      </c>
      <c r="BI9" s="60"/>
      <c r="BJ9" s="65" t="str">
        <f t="shared" si="30"/>
        <v/>
      </c>
      <c r="BK9" s="60"/>
      <c r="BL9" s="65" t="str">
        <f t="shared" si="31"/>
        <v/>
      </c>
      <c r="BM9" s="60"/>
      <c r="BN9" s="65" t="str">
        <f t="shared" si="32"/>
        <v/>
      </c>
      <c r="BO9" s="60"/>
      <c r="BP9" s="65" t="str">
        <f t="shared" si="33"/>
        <v/>
      </c>
      <c r="BQ9" s="60"/>
      <c r="BR9" s="65" t="str">
        <f t="shared" si="34"/>
        <v/>
      </c>
      <c r="BS9" s="60"/>
      <c r="BT9" s="65" t="str">
        <f t="shared" si="35"/>
        <v/>
      </c>
      <c r="BU9" s="60"/>
      <c r="BV9" s="65" t="str">
        <f t="shared" si="36"/>
        <v/>
      </c>
      <c r="BW9" s="60"/>
      <c r="BX9" s="65" t="str">
        <f t="shared" si="37"/>
        <v/>
      </c>
      <c r="BY9" s="60"/>
      <c r="BZ9" s="67" t="str">
        <f t="shared" si="38"/>
        <v/>
      </c>
      <c r="CA9" s="60"/>
      <c r="CB9" s="67" t="str">
        <f t="shared" si="39"/>
        <v/>
      </c>
      <c r="CC9" s="60"/>
      <c r="CD9" s="67" t="str">
        <f t="shared" si="40"/>
        <v/>
      </c>
      <c r="CE9" s="60"/>
      <c r="CF9" s="67" t="str">
        <f t="shared" si="41"/>
        <v/>
      </c>
      <c r="CG9" s="60"/>
      <c r="CH9" s="67" t="str">
        <f t="shared" si="42"/>
        <v/>
      </c>
      <c r="CI9" s="60"/>
      <c r="CJ9" s="67" t="str">
        <f t="shared" si="43"/>
        <v/>
      </c>
      <c r="CK9" s="60"/>
      <c r="CL9" s="64" t="str">
        <f t="shared" si="44"/>
        <v/>
      </c>
      <c r="CM9" s="65" t="e">
        <f t="shared" si="45"/>
        <v>#VALUE!</v>
      </c>
      <c r="CN9" s="62"/>
      <c r="CO9" s="62"/>
      <c r="CP9" s="68"/>
      <c r="CQ9" s="67" t="str">
        <f t="shared" si="46"/>
        <v/>
      </c>
      <c r="CR9" s="68"/>
      <c r="CS9" s="67" t="str">
        <f t="shared" si="47"/>
        <v/>
      </c>
      <c r="CT9" s="75"/>
      <c r="CU9" s="67" t="str">
        <f t="shared" si="48"/>
        <v/>
      </c>
      <c r="CV9" s="68"/>
      <c r="CW9" s="67" t="str">
        <f t="shared" si="49"/>
        <v/>
      </c>
      <c r="CX9" s="58"/>
      <c r="CY9" s="67" t="str">
        <f t="shared" si="50"/>
        <v/>
      </c>
    </row>
    <row r="10" spans="1:103" ht="25.5" customHeight="1" thickBot="1" x14ac:dyDescent="0.45">
      <c r="A10" s="63">
        <v>44964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44965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44966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44967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44968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44969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44970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44971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44972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J20" sqref="J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-233</v>
      </c>
    </row>
    <row r="14" spans="1:20" ht="17.25" customHeight="1" x14ac:dyDescent="0.25">
      <c r="A14" s="73">
        <v>44964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44965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44966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44967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44968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44969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44970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44971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2023-02-06T17:09:14Z</dcterms:modified>
</cp:coreProperties>
</file>