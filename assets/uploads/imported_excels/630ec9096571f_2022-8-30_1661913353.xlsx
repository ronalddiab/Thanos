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A6E7509C-38D2-4C09-8015-CD89470AA2E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<sst xmlns="http://schemas.openxmlformats.org/spreadsheetml/2006/main" count="66" uniqueCount="32">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</sst>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8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94</v>
          </cell>
          <cell r="H387">
            <v>77</v>
          </cell>
          <cell r="I387">
            <v>78</v>
          </cell>
          <cell r="J387">
            <v>80</v>
          </cell>
          <cell r="K387">
            <v>93</v>
          </cell>
          <cell r="L387">
            <v>129</v>
          </cell>
          <cell r="M387">
            <v>94</v>
          </cell>
          <cell r="N387">
            <v>105</v>
          </cell>
          <cell r="O387">
            <v>102</v>
          </cell>
          <cell r="P387">
            <v>108</v>
          </cell>
          <cell r="Q387">
            <v>130</v>
          </cell>
          <cell r="R387">
            <v>111</v>
          </cell>
          <cell r="S387">
            <v>125</v>
          </cell>
          <cell r="T387">
            <v>136</v>
          </cell>
          <cell r="U387">
            <v>155</v>
          </cell>
          <cell r="V387">
            <v>117</v>
          </cell>
          <cell r="W387">
            <v>122</v>
          </cell>
          <cell r="X387">
            <v>118</v>
          </cell>
          <cell r="Y387">
            <v>141</v>
          </cell>
          <cell r="Z387">
            <v>115</v>
          </cell>
          <cell r="AA387">
            <v>178</v>
          </cell>
          <cell r="AB387">
            <v>134</v>
          </cell>
          <cell r="AC387">
            <v>117</v>
          </cell>
          <cell r="AD387">
            <v>123</v>
          </cell>
          <cell r="AE387">
            <v>120</v>
          </cell>
          <cell r="AF387">
            <v>117</v>
          </cell>
          <cell r="AG387">
            <v>179</v>
          </cell>
          <cell r="AH387">
            <v>137</v>
          </cell>
          <cell r="AI387">
            <v>137</v>
          </cell>
          <cell r="AJ387">
            <v>135</v>
          </cell>
          <cell r="AK387"/>
        </row>
        <row r="388">
          <cell r="G388">
            <v>144</v>
          </cell>
          <cell r="H388">
            <v>128</v>
          </cell>
          <cell r="I388">
            <v>145</v>
          </cell>
          <cell r="J388">
            <v>155</v>
          </cell>
          <cell r="K388">
            <v>187</v>
          </cell>
          <cell r="L388">
            <v>285</v>
          </cell>
          <cell r="M388">
            <v>169</v>
          </cell>
          <cell r="N388">
            <v>177</v>
          </cell>
          <cell r="O388">
            <v>181</v>
          </cell>
          <cell r="P388">
            <v>205</v>
          </cell>
          <cell r="Q388">
            <v>253</v>
          </cell>
          <cell r="R388">
            <v>232</v>
          </cell>
          <cell r="S388">
            <v>270</v>
          </cell>
          <cell r="T388">
            <v>298</v>
          </cell>
          <cell r="U388">
            <v>280</v>
          </cell>
          <cell r="V388">
            <v>210</v>
          </cell>
          <cell r="W388">
            <v>216</v>
          </cell>
          <cell r="X388">
            <v>216</v>
          </cell>
          <cell r="Y388">
            <v>294</v>
          </cell>
          <cell r="Z388">
            <v>194</v>
          </cell>
          <cell r="AA388">
            <v>331</v>
          </cell>
          <cell r="AB388">
            <v>219</v>
          </cell>
          <cell r="AC388">
            <v>223</v>
          </cell>
          <cell r="AD388">
            <v>221</v>
          </cell>
          <cell r="AE388">
            <v>195</v>
          </cell>
          <cell r="AF388">
            <v>219</v>
          </cell>
          <cell r="AG388">
            <v>360</v>
          </cell>
          <cell r="AH388">
            <v>244</v>
          </cell>
          <cell r="AI388">
            <v>243</v>
          </cell>
          <cell r="AJ388">
            <v>218</v>
          </cell>
          <cell r="AK388"/>
        </row>
      </sheetData>
      <sheetData sheetId="5"/>
      <sheetData sheetId="6"/>
      <sheetData sheetId="7">
        <row r="23">
          <cell r="G23">
            <v>188.1</v>
          </cell>
          <cell r="H23">
            <v>179.3</v>
          </cell>
          <cell r="I23">
            <v>159.30000000000001</v>
          </cell>
          <cell r="J23">
            <v>171.2</v>
          </cell>
          <cell r="K23">
            <v>197.5</v>
          </cell>
          <cell r="L23">
            <v>184</v>
          </cell>
          <cell r="M23">
            <v>180.4</v>
          </cell>
          <cell r="N23">
            <v>182.3</v>
          </cell>
          <cell r="O23">
            <v>174.3</v>
          </cell>
          <cell r="P23">
            <v>164.2</v>
          </cell>
          <cell r="Q23">
            <v>173</v>
          </cell>
          <cell r="R23">
            <v>183.5</v>
          </cell>
          <cell r="S23">
            <v>178.4</v>
          </cell>
          <cell r="T23">
            <v>181.4</v>
          </cell>
          <cell r="U23">
            <v>184.3</v>
          </cell>
          <cell r="V23">
            <v>179.6</v>
          </cell>
          <cell r="W23">
            <v>158.4</v>
          </cell>
          <cell r="X23">
            <v>172.6</v>
          </cell>
          <cell r="Y23">
            <v>179.4</v>
          </cell>
          <cell r="Z23">
            <v>193.1</v>
          </cell>
          <cell r="AA23">
            <v>177</v>
          </cell>
          <cell r="AB23">
            <v>173.9</v>
          </cell>
          <cell r="AC23">
            <v>174.1</v>
          </cell>
          <cell r="AD23">
            <v>162.9</v>
          </cell>
          <cell r="AE23">
            <v>180.2</v>
          </cell>
          <cell r="AF23">
            <v>172.6</v>
          </cell>
          <cell r="AG23">
            <v>198.5</v>
          </cell>
          <cell r="AH23">
            <v>196</v>
          </cell>
          <cell r="AI23">
            <v>178.6</v>
          </cell>
          <cell r="AJ23">
            <v>177.2</v>
          </cell>
          <cell r="AK23">
            <v>0</v>
          </cell>
        </row>
        <row r="41">
          <cell r="G41">
            <v>156</v>
          </cell>
          <cell r="H41">
            <v>155</v>
          </cell>
          <cell r="I41">
            <v>138</v>
          </cell>
          <cell r="J41">
            <v>139</v>
          </cell>
          <cell r="K41">
            <v>143</v>
          </cell>
          <cell r="L41">
            <v>182</v>
          </cell>
          <cell r="M41">
            <v>192</v>
          </cell>
          <cell r="N41">
            <v>173</v>
          </cell>
          <cell r="O41">
            <v>155</v>
          </cell>
          <cell r="P41">
            <v>165</v>
          </cell>
          <cell r="Q41">
            <v>190</v>
          </cell>
          <cell r="R41">
            <v>205</v>
          </cell>
          <cell r="S41">
            <v>224</v>
          </cell>
          <cell r="T41">
            <v>210</v>
          </cell>
          <cell r="U41">
            <v>211</v>
          </cell>
          <cell r="V41">
            <v>196</v>
          </cell>
          <cell r="W41">
            <v>160</v>
          </cell>
          <cell r="X41">
            <v>182</v>
          </cell>
          <cell r="Y41">
            <v>177</v>
          </cell>
          <cell r="Z41">
            <v>205</v>
          </cell>
          <cell r="AA41">
            <v>206</v>
          </cell>
          <cell r="AB41">
            <v>174</v>
          </cell>
          <cell r="AC41">
            <v>179</v>
          </cell>
          <cell r="AD41">
            <v>139</v>
          </cell>
          <cell r="AE41">
            <v>174</v>
          </cell>
          <cell r="AF41">
            <v>163</v>
          </cell>
          <cell r="AG41">
            <v>181</v>
          </cell>
          <cell r="AH41">
            <v>203</v>
          </cell>
          <cell r="AI41">
            <v>161</v>
          </cell>
          <cell r="AJ41">
            <v>151</v>
          </cell>
          <cell r="AK41">
            <v>0</v>
          </cell>
        </row>
        <row r="91">
          <cell r="G91">
            <v>28.613399999999999</v>
          </cell>
          <cell r="H91">
            <v>4.4447999999999999</v>
          </cell>
          <cell r="I91">
            <v>27.779999999999998</v>
          </cell>
          <cell r="J91">
            <v>391.14240000000001</v>
          </cell>
          <cell r="K91">
            <v>671.9982</v>
          </cell>
          <cell r="L91">
            <v>361.14</v>
          </cell>
          <cell r="M91">
            <v>85.006799999999998</v>
          </cell>
          <cell r="N91">
            <v>55.559999999999995</v>
          </cell>
          <cell r="O91">
            <v>1.9445999999999999</v>
          </cell>
          <cell r="P91">
            <v>112.7868</v>
          </cell>
          <cell r="Q91">
            <v>0</v>
          </cell>
          <cell r="R91">
            <v>198.62699999999998</v>
          </cell>
          <cell r="S91">
            <v>615.88260000000002</v>
          </cell>
          <cell r="T91">
            <v>197.238</v>
          </cell>
          <cell r="U91">
            <v>226.6848</v>
          </cell>
          <cell r="V91">
            <v>56.3934</v>
          </cell>
          <cell r="W91">
            <v>112.509</v>
          </cell>
          <cell r="X91">
            <v>141.95579999999998</v>
          </cell>
          <cell r="Y91">
            <v>138.9</v>
          </cell>
          <cell r="Z91">
            <v>416.7</v>
          </cell>
          <cell r="AA91">
            <v>361.14</v>
          </cell>
          <cell r="AB91">
            <v>391.14240000000001</v>
          </cell>
          <cell r="AC91">
            <v>30.835799999999999</v>
          </cell>
          <cell r="AD91">
            <v>222.23999999999998</v>
          </cell>
          <cell r="AE91">
            <v>361.14</v>
          </cell>
          <cell r="AF91">
            <v>29.169</v>
          </cell>
          <cell r="AG91">
            <v>55.559999999999995</v>
          </cell>
          <cell r="AH91">
            <v>974.80020000000002</v>
          </cell>
          <cell r="AI91">
            <v>694.5</v>
          </cell>
          <cell r="AJ91">
            <v>1030.6379999999999</v>
          </cell>
          <cell r="AK91">
            <v>0</v>
          </cell>
        </row>
        <row r="115">
          <cell r="G115">
            <v>39018.676800000001</v>
          </cell>
          <cell r="H115">
            <v>41203.296000000002</v>
          </cell>
          <cell r="I115">
            <v>40333.2264</v>
          </cell>
          <cell r="J115">
            <v>18520.925999999999</v>
          </cell>
          <cell r="K115">
            <v>15563.744999999999</v>
          </cell>
          <cell r="L115">
            <v>18163.397399999998</v>
          </cell>
          <cell r="M115">
            <v>26568.514199999998</v>
          </cell>
          <cell r="N115">
            <v>32353.699199999999</v>
          </cell>
          <cell r="O115">
            <v>32858.184000000001</v>
          </cell>
          <cell r="P115">
            <v>32873.1852</v>
          </cell>
          <cell r="Q115">
            <v>33149.318399999996</v>
          </cell>
          <cell r="R115">
            <v>31103.321400000001</v>
          </cell>
          <cell r="S115">
            <v>25967.355</v>
          </cell>
          <cell r="T115">
            <v>31955.056199999999</v>
          </cell>
          <cell r="U115">
            <v>35659.796999999999</v>
          </cell>
          <cell r="V115">
            <v>38158.608</v>
          </cell>
          <cell r="W115">
            <v>25022.279399999999</v>
          </cell>
          <cell r="X115">
            <v>27045.496800000001</v>
          </cell>
          <cell r="Y115">
            <v>22942.112999999998</v>
          </cell>
          <cell r="Z115">
            <v>26190.984</v>
          </cell>
          <cell r="AA115">
            <v>25287.578399999999</v>
          </cell>
          <cell r="AB115">
            <v>22619.309399999998</v>
          </cell>
          <cell r="AC115">
            <v>34397.195999999996</v>
          </cell>
          <cell r="AD115">
            <v>28328.377199999999</v>
          </cell>
          <cell r="AE115">
            <v>19870.4784</v>
          </cell>
          <cell r="AF115">
            <v>29795.161199999999</v>
          </cell>
          <cell r="AG115">
            <v>35113.919999999998</v>
          </cell>
          <cell r="AH115">
            <v>18618.433799999999</v>
          </cell>
          <cell r="AI115">
            <v>13336.066799999999</v>
          </cell>
          <cell r="AJ115">
            <v>15390.119999999999</v>
          </cell>
          <cell r="AK115">
            <v>0</v>
          </cell>
        </row>
        <row r="147">
          <cell r="G147">
            <v>17326</v>
          </cell>
          <cell r="H147">
            <v>16930</v>
          </cell>
          <cell r="I147">
            <v>16342</v>
          </cell>
          <cell r="J147">
            <v>15852</v>
          </cell>
          <cell r="K147">
            <v>16242</v>
          </cell>
          <cell r="L147">
            <v>16462</v>
          </cell>
          <cell r="M147">
            <v>16813</v>
          </cell>
          <cell r="N147">
            <v>16401</v>
          </cell>
          <cell r="O147">
            <v>16397</v>
          </cell>
          <cell r="P147">
            <v>16201</v>
          </cell>
          <cell r="Q147">
            <v>16586</v>
          </cell>
          <cell r="R147">
            <v>16710</v>
          </cell>
          <cell r="S147">
            <v>16901</v>
          </cell>
          <cell r="T147">
            <v>17158</v>
          </cell>
          <cell r="U147">
            <v>17211</v>
          </cell>
          <cell r="V147">
            <v>17239</v>
          </cell>
          <cell r="W147">
            <v>15979</v>
          </cell>
          <cell r="X147">
            <v>16676</v>
          </cell>
          <cell r="Y147">
            <v>16490</v>
          </cell>
          <cell r="Z147">
            <v>16824</v>
          </cell>
          <cell r="AA147">
            <v>16698</v>
          </cell>
          <cell r="AB147">
            <v>16358</v>
          </cell>
          <cell r="AC147">
            <v>16427</v>
          </cell>
          <cell r="AD147">
            <v>15907</v>
          </cell>
          <cell r="AE147">
            <v>16612</v>
          </cell>
          <cell r="AF147">
            <v>16737</v>
          </cell>
          <cell r="AG147">
            <v>17267</v>
          </cell>
          <cell r="AH147">
            <v>16727</v>
          </cell>
          <cell r="AI147">
            <v>16211</v>
          </cell>
          <cell r="AJ147">
            <v>16488</v>
          </cell>
          <cell r="AK147">
            <v>0</v>
          </cell>
        </row>
      </sheetData>
      <sheetData sheetId="8">
        <row r="3">
          <cell r="G3">
            <v>30.96</v>
          </cell>
        </row>
        <row r="23">
          <cell r="M23">
            <v>146.95331387597332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10" workbookViewId="0">
      <selection activeCell="I10" sqref="I1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8</v>
      </c>
      <c r="D2" s="7">
        <v>2022</v>
      </c>
      <c r="E2" s="9">
        <f>'Otemachi Daily'!D5</f>
        <v>17326</v>
      </c>
      <c r="F2" s="34">
        <f>[1]見込!$G$3</f>
        <v>30.96</v>
      </c>
      <c r="G2" s="9">
        <f>'Otemachi Daily'!F5</f>
        <v>188.1</v>
      </c>
      <c r="H2" s="34">
        <f>[1]見込!$M$23</f>
        <v>146.95331387597332</v>
      </c>
      <c r="I2" s="9">
        <f>'Otemachi Daily'!H5</f>
        <v>39018.676800000001</v>
      </c>
      <c r="J2" s="34">
        <v>10.79</v>
      </c>
      <c r="K2" s="9">
        <f>'Otemachi Daily'!J5</f>
        <v>28.613399999999999</v>
      </c>
      <c r="L2" s="34">
        <v>7.22</v>
      </c>
      <c r="M2" s="9">
        <f>'Otemachi Daily'!L5</f>
        <v>156</v>
      </c>
      <c r="N2" s="34">
        <v>741</v>
      </c>
      <c r="O2" s="9">
        <f>'Otemachi Daily'!M5</f>
        <v>94</v>
      </c>
      <c r="P2" s="9">
        <f>'Otemachi Daily'!N5</f>
        <v>144</v>
      </c>
    </row>
    <row r="3" spans="1:16" ht="15">
      <c r="A3" s="6" t="s">
        <v>22</v>
      </c>
      <c r="B3" s="7">
        <f>B2+1</f>
        <v>2</v>
      </c>
      <c r="C3" s="8">
        <v>8</v>
      </c>
      <c r="D3" s="7">
        <v>2022</v>
      </c>
      <c r="E3" s="9">
        <f>'Otemachi Daily'!D6</f>
        <v>16930</v>
      </c>
      <c r="F3" s="34">
        <f>[1]見込!$G$3</f>
        <v>30.96</v>
      </c>
      <c r="G3" s="9">
        <f>'Otemachi Daily'!F6</f>
        <v>179.3</v>
      </c>
      <c r="H3" s="34">
        <f>[1]見込!$M$23</f>
        <v>146.95331387597332</v>
      </c>
      <c r="I3" s="9">
        <f>'Otemachi Daily'!H6</f>
        <v>41203.296000000002</v>
      </c>
      <c r="J3" s="34">
        <v>10.79</v>
      </c>
      <c r="K3" s="9">
        <f>'Otemachi Daily'!J6</f>
        <v>4.4447999999999999</v>
      </c>
      <c r="L3" s="34">
        <v>7.22</v>
      </c>
      <c r="M3" s="9">
        <f>'Otemachi Daily'!L6</f>
        <v>155</v>
      </c>
      <c r="N3" s="34">
        <v>741</v>
      </c>
      <c r="O3" s="9">
        <f>'Otemachi Daily'!M6</f>
        <v>77</v>
      </c>
      <c r="P3" s="9">
        <f>'Otemachi Daily'!N6</f>
        <v>128</v>
      </c>
    </row>
    <row r="4" spans="1:16" ht="1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f>'Otemachi Daily'!D7</f>
        <v>16342</v>
      </c>
      <c r="F4" s="34">
        <f>[1]見込!$G$3</f>
        <v>30.96</v>
      </c>
      <c r="G4" s="9">
        <f>'Otemachi Daily'!F7</f>
        <v>159.30000000000001</v>
      </c>
      <c r="H4" s="34">
        <f>[1]見込!$M$23</f>
        <v>146.95331387597332</v>
      </c>
      <c r="I4" s="9">
        <f>'Otemachi Daily'!H7</f>
        <v>40333.2264</v>
      </c>
      <c r="J4" s="34">
        <v>10.79</v>
      </c>
      <c r="K4" s="9">
        <f>'Otemachi Daily'!J7</f>
        <v>27.779999999999998</v>
      </c>
      <c r="L4" s="34">
        <v>7.22</v>
      </c>
      <c r="M4" s="9">
        <f>'Otemachi Daily'!L7</f>
        <v>138</v>
      </c>
      <c r="N4" s="34">
        <v>741</v>
      </c>
      <c r="O4" s="9">
        <f>'Otemachi Daily'!M7</f>
        <v>78</v>
      </c>
      <c r="P4" s="9">
        <f>'Otemachi Daily'!N7</f>
        <v>145</v>
      </c>
    </row>
    <row r="5" spans="1:16" ht="15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f>'Otemachi Daily'!D8</f>
        <v>15852</v>
      </c>
      <c r="F5" s="34">
        <f>[1]見込!$G$3</f>
        <v>30.96</v>
      </c>
      <c r="G5" s="9">
        <f>'Otemachi Daily'!F8</f>
        <v>171.2</v>
      </c>
      <c r="H5" s="34">
        <f>[1]見込!$M$23</f>
        <v>146.95331387597332</v>
      </c>
      <c r="I5" s="9">
        <f>'Otemachi Daily'!H8</f>
        <v>18520.925999999999</v>
      </c>
      <c r="J5" s="34">
        <v>10.79</v>
      </c>
      <c r="K5" s="9">
        <f>'Otemachi Daily'!J8</f>
        <v>391.14240000000001</v>
      </c>
      <c r="L5" s="34">
        <v>7.22</v>
      </c>
      <c r="M5" s="9">
        <f>'Otemachi Daily'!L8</f>
        <v>139</v>
      </c>
      <c r="N5" s="34">
        <v>741</v>
      </c>
      <c r="O5" s="9">
        <f>'Otemachi Daily'!M8</f>
        <v>80</v>
      </c>
      <c r="P5" s="9">
        <f>'Otemachi Daily'!N8</f>
        <v>155</v>
      </c>
    </row>
    <row r="6" spans="1:16" ht="15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f>'Otemachi Daily'!D9</f>
        <v>16242</v>
      </c>
      <c r="F6" s="34">
        <f>[1]見込!$G$3</f>
        <v>30.96</v>
      </c>
      <c r="G6" s="9">
        <f>'Otemachi Daily'!F9</f>
        <v>197.5</v>
      </c>
      <c r="H6" s="34">
        <f>[1]見込!$M$23</f>
        <v>146.95331387597332</v>
      </c>
      <c r="I6" s="9">
        <f>'Otemachi Daily'!H9</f>
        <v>15563.744999999999</v>
      </c>
      <c r="J6" s="34">
        <v>10.79</v>
      </c>
      <c r="K6" s="9">
        <f>'Otemachi Daily'!J9</f>
        <v>671.9982</v>
      </c>
      <c r="L6" s="34">
        <v>7.22</v>
      </c>
      <c r="M6" s="9">
        <f>'Otemachi Daily'!L9</f>
        <v>143</v>
      </c>
      <c r="N6" s="34">
        <v>741</v>
      </c>
      <c r="O6" s="9">
        <f>'Otemachi Daily'!M9</f>
        <v>93</v>
      </c>
      <c r="P6" s="9">
        <f>'Otemachi Daily'!N9</f>
        <v>187</v>
      </c>
    </row>
    <row r="7" spans="1:16" ht="15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f>'Otemachi Daily'!D10</f>
        <v>16462</v>
      </c>
      <c r="F7" s="34">
        <f>[1]見込!$G$3</f>
        <v>30.96</v>
      </c>
      <c r="G7" s="9">
        <f>'Otemachi Daily'!F10</f>
        <v>184</v>
      </c>
      <c r="H7" s="34">
        <f>[1]見込!$M$23</f>
        <v>146.95331387597332</v>
      </c>
      <c r="I7" s="9">
        <f>'Otemachi Daily'!H10</f>
        <v>18163.397399999998</v>
      </c>
      <c r="J7" s="34">
        <v>10.79</v>
      </c>
      <c r="K7" s="9">
        <f>'Otemachi Daily'!J10</f>
        <v>361.14</v>
      </c>
      <c r="L7" s="34">
        <v>7.22</v>
      </c>
      <c r="M7" s="9">
        <f>'Otemachi Daily'!L10</f>
        <v>182</v>
      </c>
      <c r="N7" s="34">
        <v>741</v>
      </c>
      <c r="O7" s="9">
        <f>'Otemachi Daily'!M10</f>
        <v>129</v>
      </c>
      <c r="P7" s="9">
        <f>'Otemachi Daily'!N10</f>
        <v>285</v>
      </c>
    </row>
    <row r="8" spans="1:16" ht="15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f>'Otemachi Daily'!D11</f>
        <v>16813</v>
      </c>
      <c r="F8" s="34">
        <f>[1]見込!$G$3</f>
        <v>30.96</v>
      </c>
      <c r="G8" s="9">
        <f>'Otemachi Daily'!F11</f>
        <v>180.4</v>
      </c>
      <c r="H8" s="34">
        <f>[1]見込!$M$23</f>
        <v>146.95331387597332</v>
      </c>
      <c r="I8" s="9">
        <f>'Otemachi Daily'!H11</f>
        <v>26568.514199999998</v>
      </c>
      <c r="J8" s="34">
        <v>10.79</v>
      </c>
      <c r="K8" s="9">
        <f>'Otemachi Daily'!J11</f>
        <v>85.006799999999998</v>
      </c>
      <c r="L8" s="34">
        <v>7.22</v>
      </c>
      <c r="M8" s="9">
        <f>'Otemachi Daily'!L11</f>
        <v>192</v>
      </c>
      <c r="N8" s="34">
        <v>741</v>
      </c>
      <c r="O8" s="9">
        <f>'Otemachi Daily'!M11</f>
        <v>94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f>'Otemachi Daily'!D12</f>
        <v>16401</v>
      </c>
      <c r="F9" s="34">
        <f>[1]見込!$G$3</f>
        <v>30.96</v>
      </c>
      <c r="G9" s="9">
        <f>'Otemachi Daily'!F12</f>
        <v>182.3</v>
      </c>
      <c r="H9" s="34">
        <f>[1]見込!$M$23</f>
        <v>146.95331387597332</v>
      </c>
      <c r="I9" s="9">
        <f>'Otemachi Daily'!H12</f>
        <v>32353.699199999999</v>
      </c>
      <c r="J9" s="34">
        <v>10.79</v>
      </c>
      <c r="K9" s="9">
        <f>'Otemachi Daily'!J12</f>
        <v>55.559999999999995</v>
      </c>
      <c r="L9" s="34">
        <v>7.22</v>
      </c>
      <c r="M9" s="9">
        <f>'Otemachi Daily'!L12</f>
        <v>173</v>
      </c>
      <c r="N9" s="34">
        <v>741</v>
      </c>
      <c r="O9" s="9">
        <f>'Otemachi Daily'!M12</f>
        <v>105</v>
      </c>
      <c r="P9" s="9">
        <f>'Otemachi Daily'!N12</f>
        <v>177</v>
      </c>
    </row>
    <row r="10" spans="1:16" ht="15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f>'Otemachi Daily'!D13</f>
        <v>16397</v>
      </c>
      <c r="F10" s="34">
        <f>[1]見込!$G$3</f>
        <v>30.96</v>
      </c>
      <c r="G10" s="9">
        <f>'Otemachi Daily'!F13</f>
        <v>174.3</v>
      </c>
      <c r="H10" s="34">
        <f>[1]見込!$M$23</f>
        <v>146.95331387597332</v>
      </c>
      <c r="I10" s="9">
        <f>'Otemachi Daily'!H13</f>
        <v>32858.184000000001</v>
      </c>
      <c r="J10" s="34">
        <v>10.79</v>
      </c>
      <c r="K10" s="9">
        <f>'Otemachi Daily'!J13</f>
        <v>1.9445999999999999</v>
      </c>
      <c r="L10" s="34">
        <v>7.22</v>
      </c>
      <c r="M10" s="9">
        <f>'Otemachi Daily'!L13</f>
        <v>155</v>
      </c>
      <c r="N10" s="34">
        <v>741</v>
      </c>
      <c r="O10" s="9">
        <f>'Otemachi Daily'!M13</f>
        <v>102</v>
      </c>
      <c r="P10" s="9">
        <f>'Otemachi Daily'!N13</f>
        <v>181</v>
      </c>
    </row>
    <row r="11" spans="1:16" ht="15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f>'Otemachi Daily'!D14</f>
        <v>16201</v>
      </c>
      <c r="F11" s="34">
        <f>[1]見込!$G$3</f>
        <v>30.96</v>
      </c>
      <c r="G11" s="9">
        <f>'Otemachi Daily'!F14</f>
        <v>164.2</v>
      </c>
      <c r="H11" s="34">
        <f>[1]見込!$M$23</f>
        <v>146.95331387597332</v>
      </c>
      <c r="I11" s="9">
        <f>'Otemachi Daily'!H14</f>
        <v>32873.1852</v>
      </c>
      <c r="J11" s="34">
        <v>10.79</v>
      </c>
      <c r="K11" s="9">
        <f>'Otemachi Daily'!J14</f>
        <v>112.7868</v>
      </c>
      <c r="L11" s="34">
        <v>7.22</v>
      </c>
      <c r="M11" s="9">
        <f>'Otemachi Daily'!L14</f>
        <v>165</v>
      </c>
      <c r="N11" s="34">
        <v>741</v>
      </c>
      <c r="O11" s="9">
        <f>'Otemachi Daily'!M14</f>
        <v>108</v>
      </c>
      <c r="P11" s="9">
        <f>'Otemachi Daily'!N14</f>
        <v>205</v>
      </c>
    </row>
    <row r="12" spans="1:16" ht="15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f>'Otemachi Daily'!D15</f>
        <v>16586</v>
      </c>
      <c r="F12" s="34">
        <f>[1]見込!$G$3</f>
        <v>30.96</v>
      </c>
      <c r="G12" s="9">
        <f>'Otemachi Daily'!F15</f>
        <v>173</v>
      </c>
      <c r="H12" s="34">
        <f>[1]見込!$M$23</f>
        <v>146.95331387597332</v>
      </c>
      <c r="I12" s="9">
        <f>'Otemachi Daily'!H15</f>
        <v>33149.318399999996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190</v>
      </c>
      <c r="N12" s="34">
        <v>741</v>
      </c>
      <c r="O12" s="9">
        <f>'Otemachi Daily'!M15</f>
        <v>130</v>
      </c>
      <c r="P12" s="9">
        <f>'Otemachi Daily'!N15</f>
        <v>253</v>
      </c>
    </row>
    <row r="13" spans="1:16" ht="15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f>'Otemachi Daily'!D16</f>
        <v>16710</v>
      </c>
      <c r="F13" s="34">
        <f>[1]見込!$G$3</f>
        <v>30.96</v>
      </c>
      <c r="G13" s="9">
        <f>'Otemachi Daily'!F16</f>
        <v>183.5</v>
      </c>
      <c r="H13" s="34">
        <f>[1]見込!$M$23</f>
        <v>146.95331387597332</v>
      </c>
      <c r="I13" s="9">
        <f>'Otemachi Daily'!H16</f>
        <v>31103.321400000001</v>
      </c>
      <c r="J13" s="34">
        <v>10.79</v>
      </c>
      <c r="K13" s="9">
        <f>'Otemachi Daily'!J16</f>
        <v>198.62699999999998</v>
      </c>
      <c r="L13" s="34">
        <v>7.22</v>
      </c>
      <c r="M13" s="9">
        <f>'Otemachi Daily'!L16</f>
        <v>205</v>
      </c>
      <c r="N13" s="34">
        <v>741</v>
      </c>
      <c r="O13" s="9">
        <f>'Otemachi Daily'!M16</f>
        <v>111</v>
      </c>
      <c r="P13" s="9">
        <f>'Otemachi Daily'!N16</f>
        <v>232</v>
      </c>
    </row>
    <row r="14" spans="1:16" ht="15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f>'Otemachi Daily'!D17</f>
        <v>16901</v>
      </c>
      <c r="F14" s="34">
        <f>[1]見込!$G$3</f>
        <v>30.96</v>
      </c>
      <c r="G14" s="9">
        <f>'Otemachi Daily'!F17</f>
        <v>178.4</v>
      </c>
      <c r="H14" s="34">
        <f>[1]見込!$M$23</f>
        <v>146.95331387597332</v>
      </c>
      <c r="I14" s="9">
        <f>'Otemachi Daily'!H17</f>
        <v>25967.355</v>
      </c>
      <c r="J14" s="34">
        <v>10.79</v>
      </c>
      <c r="K14" s="9">
        <f>'Otemachi Daily'!J17</f>
        <v>615.88260000000002</v>
      </c>
      <c r="L14" s="34">
        <v>7.22</v>
      </c>
      <c r="M14" s="9">
        <f>'Otemachi Daily'!L17</f>
        <v>224</v>
      </c>
      <c r="N14" s="34">
        <v>741</v>
      </c>
      <c r="O14" s="9">
        <f>'Otemachi Daily'!M17</f>
        <v>125</v>
      </c>
      <c r="P14" s="9">
        <f>'Otemachi Daily'!N17</f>
        <v>270</v>
      </c>
    </row>
    <row r="15" spans="1:16" ht="15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f>'Otemachi Daily'!D18</f>
        <v>17158</v>
      </c>
      <c r="F15" s="34">
        <f>[1]見込!$G$3</f>
        <v>30.96</v>
      </c>
      <c r="G15" s="9">
        <f>'Otemachi Daily'!F18</f>
        <v>181.4</v>
      </c>
      <c r="H15" s="34">
        <f>[1]見込!$M$23</f>
        <v>146.95331387597332</v>
      </c>
      <c r="I15" s="9">
        <f>'Otemachi Daily'!H18</f>
        <v>31955.056199999999</v>
      </c>
      <c r="J15" s="34">
        <v>10.79</v>
      </c>
      <c r="K15" s="9">
        <f>'Otemachi Daily'!J18</f>
        <v>197.238</v>
      </c>
      <c r="L15" s="34">
        <v>7.22</v>
      </c>
      <c r="M15" s="9">
        <f>'Otemachi Daily'!L18</f>
        <v>210</v>
      </c>
      <c r="N15" s="34">
        <v>741</v>
      </c>
      <c r="O15" s="9">
        <f>'Otemachi Daily'!M18</f>
        <v>136</v>
      </c>
      <c r="P15" s="9">
        <f>'Otemachi Daily'!N18</f>
        <v>298</v>
      </c>
    </row>
    <row r="16" spans="1:16" ht="15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f>'Otemachi Daily'!D19</f>
        <v>17211</v>
      </c>
      <c r="F16" s="34">
        <f>[1]見込!$G$3</f>
        <v>30.96</v>
      </c>
      <c r="G16" s="9">
        <f>'Otemachi Daily'!F19</f>
        <v>184.3</v>
      </c>
      <c r="H16" s="34">
        <f>[1]見込!$M$23</f>
        <v>146.95331387597332</v>
      </c>
      <c r="I16" s="9">
        <f>'Otemachi Daily'!H19</f>
        <v>35659.796999999999</v>
      </c>
      <c r="J16" s="34">
        <v>10.79</v>
      </c>
      <c r="K16" s="9">
        <f>'Otemachi Daily'!J19</f>
        <v>226.6848</v>
      </c>
      <c r="L16" s="34">
        <v>7.22</v>
      </c>
      <c r="M16" s="9">
        <f>'Otemachi Daily'!L19</f>
        <v>211</v>
      </c>
      <c r="N16" s="34">
        <v>741</v>
      </c>
      <c r="O16" s="9">
        <f>'Otemachi Daily'!M19</f>
        <v>155</v>
      </c>
      <c r="P16" s="9">
        <f>'Otemachi Daily'!N19</f>
        <v>280</v>
      </c>
    </row>
    <row r="17" spans="1:16" ht="15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f>'Otemachi Daily'!D20</f>
        <v>17239</v>
      </c>
      <c r="F17" s="34">
        <f>[1]見込!$G$3</f>
        <v>30.96</v>
      </c>
      <c r="G17" s="9">
        <f>'Otemachi Daily'!F20</f>
        <v>179.6</v>
      </c>
      <c r="H17" s="34">
        <f>[1]見込!$M$23</f>
        <v>146.95331387597332</v>
      </c>
      <c r="I17" s="9">
        <f>'Otemachi Daily'!H20</f>
        <v>38158.608</v>
      </c>
      <c r="J17" s="34">
        <v>10.79</v>
      </c>
      <c r="K17" s="9">
        <f>'Otemachi Daily'!J20</f>
        <v>56.3934</v>
      </c>
      <c r="L17" s="34">
        <v>7.22</v>
      </c>
      <c r="M17" s="9">
        <f>'Otemachi Daily'!L20</f>
        <v>196</v>
      </c>
      <c r="N17" s="34">
        <v>741</v>
      </c>
      <c r="O17" s="9">
        <f>'Otemachi Daily'!M20</f>
        <v>117</v>
      </c>
      <c r="P17" s="9">
        <f>'Otemachi Daily'!N20</f>
        <v>210</v>
      </c>
    </row>
    <row r="18" spans="1:16" ht="15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f>'Otemachi Daily'!D21</f>
        <v>15979</v>
      </c>
      <c r="F18" s="34">
        <f>[1]見込!$G$3</f>
        <v>30.96</v>
      </c>
      <c r="G18" s="9">
        <f>'Otemachi Daily'!F21</f>
        <v>158.4</v>
      </c>
      <c r="H18" s="34">
        <f>[1]見込!$M$23</f>
        <v>146.95331387597332</v>
      </c>
      <c r="I18" s="9">
        <f>'Otemachi Daily'!H21</f>
        <v>25022.279399999999</v>
      </c>
      <c r="J18" s="34">
        <v>10.79</v>
      </c>
      <c r="K18" s="9">
        <f>'Otemachi Daily'!J21</f>
        <v>112.509</v>
      </c>
      <c r="L18" s="34">
        <v>7.22</v>
      </c>
      <c r="M18" s="9">
        <f>'Otemachi Daily'!L21</f>
        <v>160</v>
      </c>
      <c r="N18" s="34">
        <v>741</v>
      </c>
      <c r="O18" s="9">
        <f>'Otemachi Daily'!M21</f>
        <v>122</v>
      </c>
      <c r="P18" s="9">
        <f>'Otemachi Daily'!N21</f>
        <v>216</v>
      </c>
    </row>
    <row r="19" spans="1:16" ht="15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f>'Otemachi Daily'!D22</f>
        <v>16676</v>
      </c>
      <c r="F19" s="34">
        <f>[1]見込!$G$3</f>
        <v>30.96</v>
      </c>
      <c r="G19" s="9">
        <f>'Otemachi Daily'!F22</f>
        <v>172.6</v>
      </c>
      <c r="H19" s="34">
        <f>[1]見込!$M$23</f>
        <v>146.95331387597332</v>
      </c>
      <c r="I19" s="9">
        <f>'Otemachi Daily'!H22</f>
        <v>27045.496800000001</v>
      </c>
      <c r="J19" s="34">
        <v>10.79</v>
      </c>
      <c r="K19" s="9">
        <f>'Otemachi Daily'!J22</f>
        <v>141.95579999999998</v>
      </c>
      <c r="L19" s="34">
        <v>7.22</v>
      </c>
      <c r="M19" s="9">
        <f>'Otemachi Daily'!L22</f>
        <v>182</v>
      </c>
      <c r="N19" s="34">
        <v>741</v>
      </c>
      <c r="O19" s="9">
        <f>'Otemachi Daily'!M22</f>
        <v>118</v>
      </c>
      <c r="P19" s="9">
        <f>'Otemachi Daily'!N22</f>
        <v>216</v>
      </c>
    </row>
    <row r="20" spans="1:16" ht="15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f>'Otemachi Daily'!D23</f>
        <v>16490</v>
      </c>
      <c r="F20" s="34">
        <f>[1]見込!$G$3</f>
        <v>30.96</v>
      </c>
      <c r="G20" s="9">
        <f>'Otemachi Daily'!F23</f>
        <v>179.4</v>
      </c>
      <c r="H20" s="34">
        <f>[1]見込!$M$23</f>
        <v>146.95331387597332</v>
      </c>
      <c r="I20" s="9">
        <f>'Otemachi Daily'!H23</f>
        <v>22942.112999999998</v>
      </c>
      <c r="J20" s="34">
        <v>10.79</v>
      </c>
      <c r="K20" s="9">
        <f>'Otemachi Daily'!J23</f>
        <v>138.9</v>
      </c>
      <c r="L20" s="34">
        <v>7.22</v>
      </c>
      <c r="M20" s="9">
        <f>'Otemachi Daily'!L23</f>
        <v>177</v>
      </c>
      <c r="N20" s="34">
        <v>741</v>
      </c>
      <c r="O20" s="9">
        <f>'Otemachi Daily'!M23</f>
        <v>141</v>
      </c>
      <c r="P20" s="9">
        <f>'Otemachi Daily'!N23</f>
        <v>294</v>
      </c>
    </row>
    <row r="21" spans="1:16" ht="15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f>'Otemachi Daily'!D24</f>
        <v>16824</v>
      </c>
      <c r="F21" s="34">
        <f>[1]見込!$G$3</f>
        <v>30.96</v>
      </c>
      <c r="G21" s="9">
        <f>'Otemachi Daily'!F24</f>
        <v>193.1</v>
      </c>
      <c r="H21" s="34">
        <f>[1]見込!$M$23</f>
        <v>146.95331387597332</v>
      </c>
      <c r="I21" s="9">
        <f>'Otemachi Daily'!H24</f>
        <v>26190.984</v>
      </c>
      <c r="J21" s="34">
        <v>10.79</v>
      </c>
      <c r="K21" s="9">
        <f>'Otemachi Daily'!J24</f>
        <v>416.7</v>
      </c>
      <c r="L21" s="34">
        <v>7.22</v>
      </c>
      <c r="M21" s="9">
        <f>'Otemachi Daily'!L24</f>
        <v>205</v>
      </c>
      <c r="N21" s="34">
        <v>741</v>
      </c>
      <c r="O21" s="9">
        <f>'Otemachi Daily'!M24</f>
        <v>115</v>
      </c>
      <c r="P21" s="9">
        <f>'Otemachi Daily'!N24</f>
        <v>194</v>
      </c>
    </row>
    <row r="22" spans="1:16" ht="15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f>'Otemachi Daily'!D25</f>
        <v>16698</v>
      </c>
      <c r="F22" s="34">
        <f>[1]見込!$G$3</f>
        <v>30.96</v>
      </c>
      <c r="G22" s="9">
        <f>'Otemachi Daily'!F25</f>
        <v>177</v>
      </c>
      <c r="H22" s="34">
        <f>[1]見込!$M$23</f>
        <v>146.95331387597332</v>
      </c>
      <c r="I22" s="9">
        <f>'Otemachi Daily'!H25</f>
        <v>25287.578399999999</v>
      </c>
      <c r="J22" s="34">
        <v>10.79</v>
      </c>
      <c r="K22" s="9">
        <f>'Otemachi Daily'!J25</f>
        <v>361.14</v>
      </c>
      <c r="L22" s="34">
        <v>7.22</v>
      </c>
      <c r="M22" s="9">
        <f>'Otemachi Daily'!L25</f>
        <v>206</v>
      </c>
      <c r="N22" s="34">
        <v>741</v>
      </c>
      <c r="O22" s="9">
        <f>'Otemachi Daily'!M25</f>
        <v>178</v>
      </c>
      <c r="P22" s="9">
        <f>'Otemachi Daily'!N25</f>
        <v>331</v>
      </c>
    </row>
    <row r="23" spans="1:16" ht="15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f>'Otemachi Daily'!D26</f>
        <v>16358</v>
      </c>
      <c r="F23" s="34">
        <f>[1]見込!$G$3</f>
        <v>30.96</v>
      </c>
      <c r="G23" s="9">
        <f>'Otemachi Daily'!F26</f>
        <v>173.9</v>
      </c>
      <c r="H23" s="34">
        <f>[1]見込!$M$23</f>
        <v>146.95331387597332</v>
      </c>
      <c r="I23" s="9">
        <f>'Otemachi Daily'!H26</f>
        <v>22619.309399999998</v>
      </c>
      <c r="J23" s="34">
        <v>10.79</v>
      </c>
      <c r="K23" s="9">
        <f>'Otemachi Daily'!J26</f>
        <v>391.14240000000001</v>
      </c>
      <c r="L23" s="34">
        <v>7.22</v>
      </c>
      <c r="M23" s="9">
        <f>'Otemachi Daily'!L26</f>
        <v>174</v>
      </c>
      <c r="N23" s="34">
        <v>741</v>
      </c>
      <c r="O23" s="9">
        <f>'Otemachi Daily'!M26</f>
        <v>134</v>
      </c>
      <c r="P23" s="9">
        <f>'Otemachi Daily'!N26</f>
        <v>219</v>
      </c>
    </row>
    <row r="24" spans="1:16" ht="15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f>'Otemachi Daily'!D27</f>
        <v>16427</v>
      </c>
      <c r="F24" s="34">
        <f>[1]見込!$G$3</f>
        <v>30.96</v>
      </c>
      <c r="G24" s="9">
        <f>'Otemachi Daily'!F27</f>
        <v>174.1</v>
      </c>
      <c r="H24" s="34">
        <f>[1]見込!$M$23</f>
        <v>146.95331387597332</v>
      </c>
      <c r="I24" s="9">
        <f>'Otemachi Daily'!H27</f>
        <v>34397.195999999996</v>
      </c>
      <c r="J24" s="34">
        <v>10.79</v>
      </c>
      <c r="K24" s="9">
        <f>'Otemachi Daily'!J27</f>
        <v>30.835799999999999</v>
      </c>
      <c r="L24" s="34">
        <v>7.22</v>
      </c>
      <c r="M24" s="9">
        <f>'Otemachi Daily'!L27</f>
        <v>179</v>
      </c>
      <c r="N24" s="34">
        <v>741</v>
      </c>
      <c r="O24" s="9">
        <f>'Otemachi Daily'!M27</f>
        <v>117</v>
      </c>
      <c r="P24" s="9">
        <f>'Otemachi Daily'!N27</f>
        <v>223</v>
      </c>
    </row>
    <row r="25" spans="1:16" ht="15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f>'Otemachi Daily'!D28</f>
        <v>15907</v>
      </c>
      <c r="F25" s="34">
        <f>[1]見込!$G$3</f>
        <v>30.96</v>
      </c>
      <c r="G25" s="9">
        <f>'Otemachi Daily'!F28</f>
        <v>162.9</v>
      </c>
      <c r="H25" s="34">
        <f>[1]見込!$M$23</f>
        <v>146.95331387597332</v>
      </c>
      <c r="I25" s="9">
        <f>'Otemachi Daily'!H28</f>
        <v>28328.377199999999</v>
      </c>
      <c r="J25" s="34">
        <v>10.79</v>
      </c>
      <c r="K25" s="9">
        <f>'Otemachi Daily'!J28</f>
        <v>222.23999999999998</v>
      </c>
      <c r="L25" s="34">
        <v>7.22</v>
      </c>
      <c r="M25" s="9">
        <f>'Otemachi Daily'!L28</f>
        <v>139</v>
      </c>
      <c r="N25" s="34">
        <v>741</v>
      </c>
      <c r="O25" s="9">
        <f>'Otemachi Daily'!M28</f>
        <v>123</v>
      </c>
      <c r="P25" s="9">
        <f>'Otemachi Daily'!N28</f>
        <v>221</v>
      </c>
    </row>
    <row r="26" spans="1:16" ht="15">
      <c r="A26" s="6" t="s">
        <v>22</v>
      </c>
      <c r="B26" s="7">
        <f>B25+1</f>
        <v>25</v>
      </c>
      <c r="C26" s="8">
        <v>8</v>
      </c>
      <c r="D26" s="7">
        <v>2022</v>
      </c>
      <c r="E26" s="9">
        <f>'Otemachi Daily'!D29</f>
        <v>16612</v>
      </c>
      <c r="F26" s="34">
        <f>[1]見込!$G$3</f>
        <v>30.96</v>
      </c>
      <c r="G26" s="9">
        <f>'Otemachi Daily'!F29</f>
        <v>180.2</v>
      </c>
      <c r="H26" s="34">
        <f>[1]見込!$M$23</f>
        <v>146.95331387597332</v>
      </c>
      <c r="I26" s="9">
        <f>'Otemachi Daily'!H29</f>
        <v>19870.4784</v>
      </c>
      <c r="J26" s="34">
        <v>10.79</v>
      </c>
      <c r="K26" s="9">
        <f>'Otemachi Daily'!J29</f>
        <v>361.14</v>
      </c>
      <c r="L26" s="34">
        <v>7.22</v>
      </c>
      <c r="M26" s="9">
        <f>'Otemachi Daily'!L29</f>
        <v>174</v>
      </c>
      <c r="N26" s="34">
        <v>741</v>
      </c>
      <c r="O26" s="9">
        <f>'Otemachi Daily'!M29</f>
        <v>120</v>
      </c>
      <c r="P26" s="9">
        <f>'Otemachi Daily'!N29</f>
        <v>195</v>
      </c>
    </row>
    <row r="27" spans="1:16" ht="15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f>'Otemachi Daily'!D30</f>
        <v>16737</v>
      </c>
      <c r="F27" s="34">
        <f>[1]見込!$G$3</f>
        <v>30.96</v>
      </c>
      <c r="G27" s="9">
        <f>'Otemachi Daily'!F30</f>
        <v>172.6</v>
      </c>
      <c r="H27" s="34">
        <f>[1]見込!$M$23</f>
        <v>146.95331387597332</v>
      </c>
      <c r="I27" s="9">
        <f>'Otemachi Daily'!H30</f>
        <v>29795.161199999999</v>
      </c>
      <c r="J27" s="34">
        <v>10.79</v>
      </c>
      <c r="K27" s="9">
        <f>'Otemachi Daily'!J30</f>
        <v>29.169</v>
      </c>
      <c r="L27" s="34">
        <v>7.22</v>
      </c>
      <c r="M27" s="9">
        <f>'Otemachi Daily'!L30</f>
        <v>163</v>
      </c>
      <c r="N27" s="34">
        <v>741</v>
      </c>
      <c r="O27" s="9">
        <f>'Otemachi Daily'!M30</f>
        <v>117</v>
      </c>
      <c r="P27" s="9">
        <f>'Otemachi Daily'!N30</f>
        <v>219</v>
      </c>
    </row>
    <row r="28" spans="1:16" ht="15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f>'Otemachi Daily'!D31</f>
        <v>17267</v>
      </c>
      <c r="F28" s="34">
        <f>[1]見込!$G$3</f>
        <v>30.96</v>
      </c>
      <c r="G28" s="9">
        <f>'Otemachi Daily'!F31</f>
        <v>198.5</v>
      </c>
      <c r="H28" s="34">
        <f>[1]見込!$M$23</f>
        <v>146.95331387597332</v>
      </c>
      <c r="I28" s="9">
        <f>'Otemachi Daily'!H31</f>
        <v>35113.919999999998</v>
      </c>
      <c r="J28" s="34">
        <v>10.79</v>
      </c>
      <c r="K28" s="9">
        <f>'Otemachi Daily'!J31</f>
        <v>55.559999999999995</v>
      </c>
      <c r="L28" s="34">
        <v>7.22</v>
      </c>
      <c r="M28" s="9">
        <f>'Otemachi Daily'!L31</f>
        <v>181</v>
      </c>
      <c r="N28" s="34">
        <v>741</v>
      </c>
      <c r="O28" s="9">
        <f>'Otemachi Daily'!M31</f>
        <v>179</v>
      </c>
      <c r="P28" s="9">
        <f>'Otemachi Daily'!N31</f>
        <v>360</v>
      </c>
    </row>
    <row r="29" spans="1:16" ht="15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f>'Otemachi Daily'!D32</f>
        <v>16727</v>
      </c>
      <c r="F29" s="34">
        <f>[1]見込!$G$3</f>
        <v>30.96</v>
      </c>
      <c r="G29" s="9">
        <f>'Otemachi Daily'!F32</f>
        <v>196</v>
      </c>
      <c r="H29" s="34">
        <f>[1]見込!$M$23</f>
        <v>146.95331387597332</v>
      </c>
      <c r="I29" s="9">
        <f>'Otemachi Daily'!H32</f>
        <v>18618.433799999999</v>
      </c>
      <c r="J29" s="34">
        <v>10.79</v>
      </c>
      <c r="K29" s="9">
        <f>'Otemachi Daily'!J32</f>
        <v>974.80020000000002</v>
      </c>
      <c r="L29" s="34">
        <v>7.22</v>
      </c>
      <c r="M29" s="9">
        <f>'Otemachi Daily'!L32</f>
        <v>203</v>
      </c>
      <c r="N29" s="34">
        <v>741</v>
      </c>
      <c r="O29" s="9">
        <f>'Otemachi Daily'!M32</f>
        <v>137</v>
      </c>
      <c r="P29" s="9">
        <f>'Otemachi Daily'!N32</f>
        <v>244</v>
      </c>
    </row>
    <row r="30" spans="1:16" ht="15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f>'Otemachi Daily'!D33</f>
        <v>16211</v>
      </c>
      <c r="F30" s="34">
        <f>[1]見込!$G$3</f>
        <v>30.96</v>
      </c>
      <c r="G30" s="9">
        <f>'Otemachi Daily'!F33</f>
        <v>178.6</v>
      </c>
      <c r="H30" s="34">
        <f>[1]見込!$M$23</f>
        <v>146.95331387597332</v>
      </c>
      <c r="I30" s="9">
        <f>'Otemachi Daily'!H33</f>
        <v>13336.066799999999</v>
      </c>
      <c r="J30" s="34">
        <v>10.79</v>
      </c>
      <c r="K30" s="9">
        <f>'Otemachi Daily'!J33</f>
        <v>694.5</v>
      </c>
      <c r="L30" s="34">
        <v>7.22</v>
      </c>
      <c r="M30" s="9">
        <f>'Otemachi Daily'!L33</f>
        <v>161</v>
      </c>
      <c r="N30" s="34">
        <v>741</v>
      </c>
      <c r="O30" s="9">
        <f>'Otemachi Daily'!M33</f>
        <v>137</v>
      </c>
      <c r="P30" s="9">
        <f>'Otemachi Daily'!N33</f>
        <v>243</v>
      </c>
    </row>
    <row r="31" spans="1:16" ht="15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f>'Otemachi Daily'!D34</f>
        <v>16488</v>
      </c>
      <c r="F31" s="34">
        <f>[1]見込!$G$3</f>
        <v>30.96</v>
      </c>
      <c r="G31" s="9">
        <f>'Otemachi Daily'!F34</f>
        <v>177.2</v>
      </c>
      <c r="H31" s="34">
        <f>[1]見込!$M$23</f>
        <v>146.95331387597332</v>
      </c>
      <c r="I31" s="9">
        <f>'Otemachi Daily'!H34</f>
        <v>15390.119999999999</v>
      </c>
      <c r="J31" s="34">
        <v>10.79</v>
      </c>
      <c r="K31" s="9">
        <f>'Otemachi Daily'!J34</f>
        <v>1030.6379999999999</v>
      </c>
      <c r="L31" s="34">
        <v>7.22</v>
      </c>
      <c r="M31" s="9">
        <f>'Otemachi Daily'!L34</f>
        <v>151</v>
      </c>
      <c r="N31" s="34">
        <v>741</v>
      </c>
      <c r="O31" s="9">
        <f>'Otemachi Daily'!M34</f>
        <v>135</v>
      </c>
      <c r="P31" s="9">
        <f>'Otemachi Daily'!N34</f>
        <v>218</v>
      </c>
    </row>
    <row r="32" spans="1:16" ht="15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f>'Otemachi Daily'!D35</f>
        <v>0</v>
      </c>
      <c r="F32" s="34">
        <f>[1]見込!$G$3</f>
        <v>30.96</v>
      </c>
      <c r="G32" s="9">
        <f>'Otemachi Daily'!F35</f>
        <v>0</v>
      </c>
      <c r="H32" s="34">
        <f>[1]見込!$M$23</f>
        <v>146.95331387597332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44774</v>
      </c>
      <c r="B5" s="38"/>
      <c r="C5" s="35">
        <f>[1]コスト!$G$147</f>
        <v>17326</v>
      </c>
      <c r="D5" s="35">
        <f>C5</f>
        <v>17326</v>
      </c>
      <c r="E5" s="35">
        <f>[1]コスト!$G$23</f>
        <v>188.1</v>
      </c>
      <c r="F5" s="35">
        <f>E5</f>
        <v>188.1</v>
      </c>
      <c r="G5" s="35">
        <f>[1]コスト!$G$115</f>
        <v>39018.676800000001</v>
      </c>
      <c r="H5" s="35">
        <f>G5</f>
        <v>39018.676800000001</v>
      </c>
      <c r="I5" s="35">
        <f>[1]コスト!$G$91</f>
        <v>28.613399999999999</v>
      </c>
      <c r="J5" s="35">
        <f>I5</f>
        <v>28.613399999999999</v>
      </c>
      <c r="K5" s="35">
        <f>[1]コスト!$G$41</f>
        <v>156</v>
      </c>
      <c r="L5" s="35">
        <f>K5</f>
        <v>156</v>
      </c>
      <c r="M5" s="35">
        <f>[1]使用量!$G$387</f>
        <v>94</v>
      </c>
      <c r="N5" s="35">
        <f>[1]使用量!$G$388</f>
        <v>144</v>
      </c>
      <c r="O5" s="26"/>
      <c r="P5" s="37"/>
      <c r="Q5" s="37"/>
    </row>
    <row r="6" spans="1:17" ht="45" customHeight="1">
      <c r="A6" s="28">
        <v>44775</v>
      </c>
      <c r="B6" s="38"/>
      <c r="C6" s="35">
        <f>[1]コスト!$H$147</f>
        <v>16930</v>
      </c>
      <c r="D6" s="35">
        <f t="shared" ref="D6:F35" si="0">C6</f>
        <v>16930</v>
      </c>
      <c r="E6" s="35">
        <f>[1]コスト!$H$23</f>
        <v>179.3</v>
      </c>
      <c r="F6" s="35">
        <f t="shared" si="0"/>
        <v>179.3</v>
      </c>
      <c r="G6" s="35">
        <f>[1]コスト!$H$115</f>
        <v>41203.296000000002</v>
      </c>
      <c r="H6" s="35">
        <f t="shared" ref="H6" si="1">G6</f>
        <v>41203.296000000002</v>
      </c>
      <c r="I6" s="35">
        <f>[1]コスト!$H$91</f>
        <v>4.4447999999999999</v>
      </c>
      <c r="J6" s="35">
        <f t="shared" ref="J6" si="2">I6</f>
        <v>4.4447999999999999</v>
      </c>
      <c r="K6" s="35">
        <f>[1]コスト!$H$41</f>
        <v>155</v>
      </c>
      <c r="L6" s="35">
        <f t="shared" ref="L6" si="3">K6</f>
        <v>155</v>
      </c>
      <c r="M6" s="35">
        <f>[1]使用量!$H$387</f>
        <v>77</v>
      </c>
      <c r="N6" s="35">
        <f>[1]使用量!$H$388</f>
        <v>128</v>
      </c>
      <c r="O6" s="26"/>
      <c r="P6" s="37"/>
      <c r="Q6" s="37"/>
    </row>
    <row r="7" spans="1:17" ht="45" customHeight="1">
      <c r="A7" s="28">
        <v>44776</v>
      </c>
      <c r="B7" s="38"/>
      <c r="C7" s="35">
        <f>[1]コスト!$I$147</f>
        <v>16342</v>
      </c>
      <c r="D7" s="35">
        <f t="shared" si="0"/>
        <v>16342</v>
      </c>
      <c r="E7" s="35">
        <f>[1]コスト!$I$23</f>
        <v>159.30000000000001</v>
      </c>
      <c r="F7" s="35">
        <f t="shared" si="0"/>
        <v>159.30000000000001</v>
      </c>
      <c r="G7" s="35">
        <f>[1]コスト!$I$115</f>
        <v>40333.2264</v>
      </c>
      <c r="H7" s="35">
        <f t="shared" ref="H7" si="4">G7</f>
        <v>40333.2264</v>
      </c>
      <c r="I7" s="35">
        <f>[1]コスト!$I$91</f>
        <v>27.779999999999998</v>
      </c>
      <c r="J7" s="35">
        <f t="shared" ref="J7" si="5">I7</f>
        <v>27.779999999999998</v>
      </c>
      <c r="K7" s="35">
        <f>[1]コスト!$I$41</f>
        <v>138</v>
      </c>
      <c r="L7" s="35">
        <f t="shared" ref="L7" si="6">K7</f>
        <v>138</v>
      </c>
      <c r="M7" s="35">
        <f>[1]使用量!$I$387</f>
        <v>78</v>
      </c>
      <c r="N7" s="35">
        <f>[1]使用量!$I$388</f>
        <v>145</v>
      </c>
      <c r="P7" s="37"/>
      <c r="Q7" s="37"/>
    </row>
    <row r="8" spans="1:17" ht="45" customHeight="1">
      <c r="A8" s="28">
        <v>44777</v>
      </c>
      <c r="B8" s="38"/>
      <c r="C8" s="35">
        <f>[1]コスト!$J$147</f>
        <v>15852</v>
      </c>
      <c r="D8" s="35">
        <f t="shared" si="0"/>
        <v>15852</v>
      </c>
      <c r="E8" s="35">
        <f>[1]コスト!$J$23</f>
        <v>171.2</v>
      </c>
      <c r="F8" s="35">
        <f t="shared" si="0"/>
        <v>171.2</v>
      </c>
      <c r="G8" s="35">
        <f>[1]コスト!$J$115</f>
        <v>18520.925999999999</v>
      </c>
      <c r="H8" s="35">
        <f t="shared" ref="H8" si="7">G8</f>
        <v>18520.925999999999</v>
      </c>
      <c r="I8" s="35">
        <f>[1]コスト!$J$91</f>
        <v>391.14240000000001</v>
      </c>
      <c r="J8" s="35">
        <f t="shared" ref="J8" si="8">I8</f>
        <v>391.14240000000001</v>
      </c>
      <c r="K8" s="35">
        <f>[1]コスト!$J$41</f>
        <v>139</v>
      </c>
      <c r="L8" s="35">
        <f t="shared" ref="L8" si="9">K8</f>
        <v>139</v>
      </c>
      <c r="M8" s="35">
        <f>[1]使用量!$J$387</f>
        <v>80</v>
      </c>
      <c r="N8" s="35">
        <f>[1]使用量!$J$388</f>
        <v>155</v>
      </c>
      <c r="P8" s="37"/>
      <c r="Q8" s="37"/>
    </row>
    <row r="9" spans="1:17" ht="45" customHeight="1">
      <c r="A9" s="28">
        <v>44778</v>
      </c>
      <c r="B9" s="38"/>
      <c r="C9" s="35">
        <f>[1]コスト!$K$147</f>
        <v>16242</v>
      </c>
      <c r="D9" s="35">
        <f t="shared" si="0"/>
        <v>16242</v>
      </c>
      <c r="E9" s="35">
        <f>[1]コスト!$K$23</f>
        <v>197.5</v>
      </c>
      <c r="F9" s="35">
        <f t="shared" si="0"/>
        <v>197.5</v>
      </c>
      <c r="G9" s="35">
        <f>[1]コスト!$K$115</f>
        <v>15563.744999999999</v>
      </c>
      <c r="H9" s="35">
        <f t="shared" ref="H9" si="10">G9</f>
        <v>15563.744999999999</v>
      </c>
      <c r="I9" s="35">
        <f>[1]コスト!$K$91</f>
        <v>671.9982</v>
      </c>
      <c r="J9" s="35">
        <f t="shared" ref="J9" si="11">I9</f>
        <v>671.9982</v>
      </c>
      <c r="K9" s="35">
        <f>[1]コスト!$K$41</f>
        <v>143</v>
      </c>
      <c r="L9" s="35">
        <f t="shared" ref="L9" si="12">K9</f>
        <v>143</v>
      </c>
      <c r="M9" s="35">
        <f>[1]使用量!$K$387</f>
        <v>93</v>
      </c>
      <c r="N9" s="35">
        <f>[1]使用量!$K$388</f>
        <v>187</v>
      </c>
      <c r="P9" s="37"/>
      <c r="Q9" s="37"/>
    </row>
    <row r="10" spans="1:17" ht="45" customHeight="1">
      <c r="A10" s="28">
        <v>44779</v>
      </c>
      <c r="B10" s="38"/>
      <c r="C10" s="35">
        <f>[1]コスト!$L$147</f>
        <v>16462</v>
      </c>
      <c r="D10" s="35">
        <f t="shared" si="0"/>
        <v>16462</v>
      </c>
      <c r="E10" s="35">
        <f>[1]コスト!$L$23</f>
        <v>184</v>
      </c>
      <c r="F10" s="35">
        <f t="shared" si="0"/>
        <v>184</v>
      </c>
      <c r="G10" s="35">
        <f>[1]コスト!$L$115</f>
        <v>18163.397399999998</v>
      </c>
      <c r="H10" s="35">
        <f t="shared" ref="H10" si="13">G10</f>
        <v>18163.397399999998</v>
      </c>
      <c r="I10" s="35">
        <f>[1]コスト!$L$91</f>
        <v>361.14</v>
      </c>
      <c r="J10" s="35">
        <f t="shared" ref="J10" si="14">I10</f>
        <v>361.14</v>
      </c>
      <c r="K10" s="35">
        <f>[1]コスト!$L$41</f>
        <v>182</v>
      </c>
      <c r="L10" s="35">
        <f t="shared" ref="L10" si="15">K10</f>
        <v>182</v>
      </c>
      <c r="M10" s="35">
        <f>[1]使用量!$L$387</f>
        <v>129</v>
      </c>
      <c r="N10" s="35">
        <f>[1]使用量!$L$388</f>
        <v>285</v>
      </c>
      <c r="P10" s="37"/>
      <c r="Q10" s="37"/>
    </row>
    <row r="11" spans="1:17" ht="45" customHeight="1">
      <c r="A11" s="28">
        <v>44780</v>
      </c>
      <c r="B11" s="38"/>
      <c r="C11" s="35">
        <f>[1]コスト!$M$147</f>
        <v>16813</v>
      </c>
      <c r="D11" s="35">
        <f t="shared" si="0"/>
        <v>16813</v>
      </c>
      <c r="E11" s="35">
        <f>[1]コスト!$M$23</f>
        <v>180.4</v>
      </c>
      <c r="F11" s="35">
        <f t="shared" si="0"/>
        <v>180.4</v>
      </c>
      <c r="G11" s="35">
        <f>[1]コスト!$M$115</f>
        <v>26568.514199999998</v>
      </c>
      <c r="H11" s="35">
        <f t="shared" ref="H11" si="16">G11</f>
        <v>26568.514199999998</v>
      </c>
      <c r="I11" s="35">
        <f>[1]コスト!$M$91</f>
        <v>85.006799999999998</v>
      </c>
      <c r="J11" s="35">
        <f t="shared" ref="J11" si="17">I11</f>
        <v>85.006799999999998</v>
      </c>
      <c r="K11" s="35">
        <f>[1]コスト!$M$41</f>
        <v>192</v>
      </c>
      <c r="L11" s="35">
        <f t="shared" ref="L11" si="18">K11</f>
        <v>192</v>
      </c>
      <c r="M11" s="35">
        <f>[1]使用量!$M$387</f>
        <v>94</v>
      </c>
      <c r="N11" s="35">
        <f>[1]使用量!$M$388</f>
        <v>169</v>
      </c>
      <c r="P11" s="37"/>
      <c r="Q11" s="37"/>
    </row>
    <row r="12" spans="1:17" ht="45" customHeight="1">
      <c r="A12" s="28">
        <v>44781</v>
      </c>
      <c r="B12" s="38"/>
      <c r="C12" s="35">
        <f>[1]コスト!$N$147</f>
        <v>16401</v>
      </c>
      <c r="D12" s="35">
        <f t="shared" si="0"/>
        <v>16401</v>
      </c>
      <c r="E12" s="35">
        <f>[1]コスト!$N$23</f>
        <v>182.3</v>
      </c>
      <c r="F12" s="35">
        <f t="shared" si="0"/>
        <v>182.3</v>
      </c>
      <c r="G12" s="35">
        <f>[1]コスト!$N$115</f>
        <v>32353.699199999999</v>
      </c>
      <c r="H12" s="35">
        <f t="shared" ref="H12" si="19">G12</f>
        <v>32353.699199999999</v>
      </c>
      <c r="I12" s="35">
        <f>[1]コスト!$N$91</f>
        <v>55.559999999999995</v>
      </c>
      <c r="J12" s="35">
        <f t="shared" ref="J12" si="20">I12</f>
        <v>55.559999999999995</v>
      </c>
      <c r="K12" s="35">
        <f>[1]コスト!$N$41</f>
        <v>173</v>
      </c>
      <c r="L12" s="35">
        <f t="shared" ref="L12" si="21">K12</f>
        <v>173</v>
      </c>
      <c r="M12" s="35">
        <f>[1]使用量!$N$387</f>
        <v>105</v>
      </c>
      <c r="N12" s="35">
        <f>[1]使用量!$N$388</f>
        <v>177</v>
      </c>
      <c r="P12" s="37"/>
      <c r="Q12" s="37"/>
    </row>
    <row r="13" spans="1:17" ht="45" customHeight="1">
      <c r="A13" s="28">
        <v>44782</v>
      </c>
      <c r="B13" s="38"/>
      <c r="C13" s="35">
        <f>[1]コスト!$O$147</f>
        <v>16397</v>
      </c>
      <c r="D13" s="35">
        <f t="shared" si="0"/>
        <v>16397</v>
      </c>
      <c r="E13" s="35">
        <f>[1]コスト!$O$23</f>
        <v>174.3</v>
      </c>
      <c r="F13" s="35">
        <f t="shared" si="0"/>
        <v>174.3</v>
      </c>
      <c r="G13" s="35">
        <f>[1]コスト!$O$115</f>
        <v>32858.184000000001</v>
      </c>
      <c r="H13" s="35">
        <f t="shared" ref="H13" si="22">G13</f>
        <v>32858.184000000001</v>
      </c>
      <c r="I13" s="35">
        <f>[1]コスト!$O$91</f>
        <v>1.9445999999999999</v>
      </c>
      <c r="J13" s="35">
        <f t="shared" ref="J13" si="23">I13</f>
        <v>1.9445999999999999</v>
      </c>
      <c r="K13" s="35">
        <f>[1]コスト!$O$41</f>
        <v>155</v>
      </c>
      <c r="L13" s="35">
        <f t="shared" ref="L13" si="24">K13</f>
        <v>155</v>
      </c>
      <c r="M13" s="35">
        <f>[1]使用量!$O$387</f>
        <v>102</v>
      </c>
      <c r="N13" s="35">
        <f>[1]使用量!$O$388</f>
        <v>181</v>
      </c>
      <c r="P13" s="37"/>
      <c r="Q13" s="37"/>
    </row>
    <row r="14" spans="1:17" ht="45" customHeight="1">
      <c r="A14" s="28">
        <v>44783</v>
      </c>
      <c r="B14" s="38"/>
      <c r="C14" s="35">
        <f>[1]コスト!$P$147</f>
        <v>16201</v>
      </c>
      <c r="D14" s="35">
        <f t="shared" si="0"/>
        <v>16201</v>
      </c>
      <c r="E14" s="35">
        <f>[1]コスト!$P$23</f>
        <v>164.2</v>
      </c>
      <c r="F14" s="35">
        <f t="shared" si="0"/>
        <v>164.2</v>
      </c>
      <c r="G14" s="35">
        <f>[1]コスト!$P$115</f>
        <v>32873.1852</v>
      </c>
      <c r="H14" s="35">
        <f t="shared" ref="H14" si="25">G14</f>
        <v>32873.1852</v>
      </c>
      <c r="I14" s="35">
        <f>[1]コスト!$P$91</f>
        <v>112.7868</v>
      </c>
      <c r="J14" s="35">
        <f t="shared" ref="J14" si="26">I14</f>
        <v>112.7868</v>
      </c>
      <c r="K14" s="35">
        <f>[1]コスト!$P$41</f>
        <v>165</v>
      </c>
      <c r="L14" s="35">
        <f t="shared" ref="L14" si="27">K14</f>
        <v>165</v>
      </c>
      <c r="M14" s="35">
        <f>[1]使用量!$P$387</f>
        <v>108</v>
      </c>
      <c r="N14" s="35">
        <f>[1]使用量!$P$388</f>
        <v>205</v>
      </c>
      <c r="P14" s="37"/>
      <c r="Q14" s="37"/>
    </row>
    <row r="15" spans="1:17" ht="45" customHeight="1">
      <c r="A15" s="28">
        <v>44784</v>
      </c>
      <c r="B15" s="38"/>
      <c r="C15" s="35">
        <f>[1]コスト!$Q$147</f>
        <v>16586</v>
      </c>
      <c r="D15" s="35">
        <f t="shared" si="0"/>
        <v>16586</v>
      </c>
      <c r="E15" s="35">
        <f>[1]コスト!$Q$23</f>
        <v>173</v>
      </c>
      <c r="F15" s="35">
        <f t="shared" si="0"/>
        <v>173</v>
      </c>
      <c r="G15" s="35">
        <f>[1]コスト!$Q$115</f>
        <v>33149.318399999996</v>
      </c>
      <c r="H15" s="35">
        <f t="shared" ref="H15" si="28">G15</f>
        <v>33149.318399999996</v>
      </c>
      <c r="I15" s="35">
        <f>[1]コスト!$Q$91</f>
        <v>0</v>
      </c>
      <c r="J15" s="35">
        <f t="shared" ref="J15" si="29">I15</f>
        <v>0</v>
      </c>
      <c r="K15" s="35">
        <f>[1]コスト!$Q$41</f>
        <v>190</v>
      </c>
      <c r="L15" s="35">
        <f t="shared" ref="L15" si="30">K15</f>
        <v>190</v>
      </c>
      <c r="M15" s="35">
        <f>[1]使用量!$Q$387</f>
        <v>130</v>
      </c>
      <c r="N15" s="35">
        <f>[1]使用量!$Q$388</f>
        <v>253</v>
      </c>
      <c r="P15" s="37"/>
      <c r="Q15" s="37"/>
    </row>
    <row r="16" spans="1:17" ht="45" customHeight="1">
      <c r="A16" s="28">
        <v>44785</v>
      </c>
      <c r="B16" s="38"/>
      <c r="C16" s="35">
        <f>[1]コスト!$R$147</f>
        <v>16710</v>
      </c>
      <c r="D16" s="35">
        <f t="shared" si="0"/>
        <v>16710</v>
      </c>
      <c r="E16" s="35">
        <f>[1]コスト!$R$23</f>
        <v>183.5</v>
      </c>
      <c r="F16" s="35">
        <f t="shared" si="0"/>
        <v>183.5</v>
      </c>
      <c r="G16" s="35">
        <f>[1]コスト!$R$115</f>
        <v>31103.321400000001</v>
      </c>
      <c r="H16" s="35">
        <f t="shared" ref="H16" si="31">G16</f>
        <v>31103.321400000001</v>
      </c>
      <c r="I16" s="35">
        <f>[1]コスト!$R$91</f>
        <v>198.62699999999998</v>
      </c>
      <c r="J16" s="35">
        <f t="shared" ref="J16" si="32">I16</f>
        <v>198.62699999999998</v>
      </c>
      <c r="K16" s="35">
        <f>[1]コスト!$R$41</f>
        <v>205</v>
      </c>
      <c r="L16" s="35">
        <f t="shared" ref="L16" si="33">K16</f>
        <v>205</v>
      </c>
      <c r="M16" s="35">
        <f>[1]使用量!$R$387</f>
        <v>111</v>
      </c>
      <c r="N16" s="35">
        <f>[1]使用量!$R$388</f>
        <v>232</v>
      </c>
      <c r="P16" s="37"/>
      <c r="Q16" s="37"/>
    </row>
    <row r="17" spans="1:26" ht="45" customHeight="1">
      <c r="A17" s="28">
        <v>44786</v>
      </c>
      <c r="B17" s="38"/>
      <c r="C17" s="35">
        <f>[1]コスト!$S$147</f>
        <v>16901</v>
      </c>
      <c r="D17" s="35">
        <f t="shared" si="0"/>
        <v>16901</v>
      </c>
      <c r="E17" s="35">
        <f>[1]コスト!$S$23</f>
        <v>178.4</v>
      </c>
      <c r="F17" s="35">
        <f t="shared" si="0"/>
        <v>178.4</v>
      </c>
      <c r="G17" s="35">
        <f>[1]コスト!$S$115</f>
        <v>25967.355</v>
      </c>
      <c r="H17" s="35">
        <f t="shared" ref="H17" si="34">G17</f>
        <v>25967.355</v>
      </c>
      <c r="I17" s="35">
        <f>[1]コスト!$S$91</f>
        <v>615.88260000000002</v>
      </c>
      <c r="J17" s="35">
        <f t="shared" ref="J17" si="35">I17</f>
        <v>615.88260000000002</v>
      </c>
      <c r="K17" s="35">
        <f>[1]コスト!$S$41</f>
        <v>224</v>
      </c>
      <c r="L17" s="35">
        <f t="shared" ref="L17" si="36">K17</f>
        <v>224</v>
      </c>
      <c r="M17" s="35">
        <f>[1]使用量!$S$387</f>
        <v>125</v>
      </c>
      <c r="N17" s="35">
        <f>[1]使用量!$S$388</f>
        <v>270</v>
      </c>
      <c r="P17" s="37"/>
      <c r="Q17" s="37"/>
    </row>
    <row r="18" spans="1:26" ht="45" customHeight="1">
      <c r="A18" s="28">
        <v>44787</v>
      </c>
      <c r="B18" s="38"/>
      <c r="C18" s="35">
        <f>[1]コスト!$T$147</f>
        <v>17158</v>
      </c>
      <c r="D18" s="35">
        <f t="shared" si="0"/>
        <v>17158</v>
      </c>
      <c r="E18" s="35">
        <f>[1]コスト!$T$23</f>
        <v>181.4</v>
      </c>
      <c r="F18" s="35">
        <f t="shared" si="0"/>
        <v>181.4</v>
      </c>
      <c r="G18" s="35">
        <f>[1]コスト!$T$115</f>
        <v>31955.056199999999</v>
      </c>
      <c r="H18" s="35">
        <f t="shared" ref="H18" si="37">G18</f>
        <v>31955.056199999999</v>
      </c>
      <c r="I18" s="35">
        <f>[1]コスト!$T$91</f>
        <v>197.238</v>
      </c>
      <c r="J18" s="35">
        <f t="shared" ref="J18" si="38">I18</f>
        <v>197.238</v>
      </c>
      <c r="K18" s="35">
        <f>[1]コスト!$T$41</f>
        <v>210</v>
      </c>
      <c r="L18" s="35">
        <f t="shared" ref="L18" si="39">K18</f>
        <v>210</v>
      </c>
      <c r="M18" s="35">
        <f>[1]使用量!$T$387</f>
        <v>136</v>
      </c>
      <c r="N18" s="35">
        <f>[1]使用量!$T$388</f>
        <v>298</v>
      </c>
      <c r="P18" s="37"/>
      <c r="Q18" s="37"/>
      <c r="Z18" s="36"/>
    </row>
    <row r="19" spans="1:26" ht="45" customHeight="1">
      <c r="A19" s="28">
        <v>44788</v>
      </c>
      <c r="B19" s="38"/>
      <c r="C19" s="35">
        <f>[1]コスト!$U$147</f>
        <v>17211</v>
      </c>
      <c r="D19" s="35">
        <f t="shared" si="0"/>
        <v>17211</v>
      </c>
      <c r="E19" s="35">
        <f>[1]コスト!$U$23</f>
        <v>184.3</v>
      </c>
      <c r="F19" s="35">
        <f t="shared" si="0"/>
        <v>184.3</v>
      </c>
      <c r="G19" s="35">
        <f>[1]コスト!$U$115</f>
        <v>35659.796999999999</v>
      </c>
      <c r="H19" s="35">
        <f t="shared" ref="H19" si="40">G19</f>
        <v>35659.796999999999</v>
      </c>
      <c r="I19" s="35">
        <f>[1]コスト!$U$91</f>
        <v>226.6848</v>
      </c>
      <c r="J19" s="35">
        <f t="shared" ref="J19" si="41">I19</f>
        <v>226.6848</v>
      </c>
      <c r="K19" s="35">
        <f>[1]コスト!$U$41</f>
        <v>211</v>
      </c>
      <c r="L19" s="35">
        <f t="shared" ref="L19" si="42">K19</f>
        <v>211</v>
      </c>
      <c r="M19" s="35">
        <f>[1]使用量!$U$387</f>
        <v>155</v>
      </c>
      <c r="N19" s="35">
        <f>[1]使用量!$U$388</f>
        <v>280</v>
      </c>
      <c r="P19" s="37"/>
      <c r="Q19" s="37"/>
    </row>
    <row r="20" spans="1:26" ht="45" customHeight="1">
      <c r="A20" s="28">
        <v>44789</v>
      </c>
      <c r="B20" s="38"/>
      <c r="C20" s="35">
        <f>[1]コスト!$V$147</f>
        <v>17239</v>
      </c>
      <c r="D20" s="35">
        <f t="shared" si="0"/>
        <v>17239</v>
      </c>
      <c r="E20" s="35">
        <f>[1]コスト!$V$23</f>
        <v>179.6</v>
      </c>
      <c r="F20" s="35">
        <f t="shared" si="0"/>
        <v>179.6</v>
      </c>
      <c r="G20" s="35">
        <f>[1]コスト!$V$115</f>
        <v>38158.608</v>
      </c>
      <c r="H20" s="35">
        <f t="shared" ref="H20" si="43">G20</f>
        <v>38158.608</v>
      </c>
      <c r="I20" s="35">
        <f>[1]コスト!$V$91</f>
        <v>56.3934</v>
      </c>
      <c r="J20" s="35">
        <f t="shared" ref="J20" si="44">I20</f>
        <v>56.3934</v>
      </c>
      <c r="K20" s="35">
        <f>[1]コスト!$V$41</f>
        <v>196</v>
      </c>
      <c r="L20" s="35">
        <f t="shared" ref="L20" si="45">K20</f>
        <v>196</v>
      </c>
      <c r="M20" s="35">
        <f>[1]使用量!$V$387</f>
        <v>117</v>
      </c>
      <c r="N20" s="35">
        <f>[1]使用量!$V$388</f>
        <v>210</v>
      </c>
      <c r="P20" s="37"/>
      <c r="Q20" s="37"/>
    </row>
    <row r="21" spans="1:26" ht="45" customHeight="1">
      <c r="A21" s="28">
        <v>44790</v>
      </c>
      <c r="B21" s="38"/>
      <c r="C21" s="35">
        <f>[1]コスト!$W$147</f>
        <v>15979</v>
      </c>
      <c r="D21" s="35">
        <f t="shared" si="0"/>
        <v>15979</v>
      </c>
      <c r="E21" s="35">
        <f>[1]コスト!$W$23</f>
        <v>158.4</v>
      </c>
      <c r="F21" s="35">
        <f t="shared" si="0"/>
        <v>158.4</v>
      </c>
      <c r="G21" s="35">
        <f>[1]コスト!$W$115</f>
        <v>25022.279399999999</v>
      </c>
      <c r="H21" s="35">
        <f t="shared" ref="H21" si="46">G21</f>
        <v>25022.279399999999</v>
      </c>
      <c r="I21" s="35">
        <f>[1]コスト!$W$91</f>
        <v>112.509</v>
      </c>
      <c r="J21" s="35">
        <f t="shared" ref="J21" si="47">I21</f>
        <v>112.509</v>
      </c>
      <c r="K21" s="35">
        <f>[1]コスト!$W$41</f>
        <v>160</v>
      </c>
      <c r="L21" s="35">
        <f t="shared" ref="L21" si="48">K21</f>
        <v>160</v>
      </c>
      <c r="M21" s="35">
        <f>[1]使用量!$W$387</f>
        <v>122</v>
      </c>
      <c r="N21" s="35">
        <f>[1]使用量!$W$388</f>
        <v>216</v>
      </c>
      <c r="P21" s="37"/>
      <c r="Q21" s="37"/>
    </row>
    <row r="22" spans="1:26" ht="45" customHeight="1">
      <c r="A22" s="28">
        <v>44791</v>
      </c>
      <c r="B22" s="38"/>
      <c r="C22" s="35">
        <f>[1]コスト!$X$147</f>
        <v>16676</v>
      </c>
      <c r="D22" s="35">
        <f t="shared" si="0"/>
        <v>16676</v>
      </c>
      <c r="E22" s="35">
        <f>[1]コスト!$X$23</f>
        <v>172.6</v>
      </c>
      <c r="F22" s="35">
        <f t="shared" si="0"/>
        <v>172.6</v>
      </c>
      <c r="G22" s="35">
        <f>[1]コスト!$X$115</f>
        <v>27045.496800000001</v>
      </c>
      <c r="H22" s="35">
        <f t="shared" ref="H22" si="49">G22</f>
        <v>27045.496800000001</v>
      </c>
      <c r="I22" s="35">
        <f>[1]コスト!$X$91</f>
        <v>141.95579999999998</v>
      </c>
      <c r="J22" s="35">
        <f t="shared" ref="J22" si="50">I22</f>
        <v>141.95579999999998</v>
      </c>
      <c r="K22" s="35">
        <f>[1]コスト!$X$41</f>
        <v>182</v>
      </c>
      <c r="L22" s="35">
        <f t="shared" ref="L22" si="51">K22</f>
        <v>182</v>
      </c>
      <c r="M22" s="35">
        <f>[1]使用量!$X$387</f>
        <v>118</v>
      </c>
      <c r="N22" s="35">
        <f>[1]使用量!$X$388</f>
        <v>216</v>
      </c>
      <c r="P22" s="37"/>
      <c r="Q22" s="37"/>
    </row>
    <row r="23" spans="1:26" ht="45" customHeight="1">
      <c r="A23" s="28">
        <v>44792</v>
      </c>
      <c r="B23" s="38"/>
      <c r="C23" s="35">
        <f>[1]コスト!$Y$147</f>
        <v>16490</v>
      </c>
      <c r="D23" s="35">
        <f t="shared" si="0"/>
        <v>16490</v>
      </c>
      <c r="E23" s="35">
        <f>[1]コスト!$Y$23</f>
        <v>179.4</v>
      </c>
      <c r="F23" s="35">
        <f t="shared" si="0"/>
        <v>179.4</v>
      </c>
      <c r="G23" s="35">
        <f>[1]コスト!$Y$115</f>
        <v>22942.112999999998</v>
      </c>
      <c r="H23" s="35">
        <f t="shared" ref="H23" si="52">G23</f>
        <v>22942.112999999998</v>
      </c>
      <c r="I23" s="35">
        <f>[1]コスト!$Y$91</f>
        <v>138.9</v>
      </c>
      <c r="J23" s="35">
        <f t="shared" ref="J23" si="53">I23</f>
        <v>138.9</v>
      </c>
      <c r="K23" s="35">
        <f>[1]コスト!$Y$41</f>
        <v>177</v>
      </c>
      <c r="L23" s="35">
        <f t="shared" ref="L23" si="54">K23</f>
        <v>177</v>
      </c>
      <c r="M23" s="35">
        <f>[1]使用量!$Y$387</f>
        <v>141</v>
      </c>
      <c r="N23" s="35">
        <f>[1]使用量!$Y$388</f>
        <v>294</v>
      </c>
      <c r="P23" s="37"/>
      <c r="Q23" s="37"/>
    </row>
    <row r="24" spans="1:26" ht="45" customHeight="1">
      <c r="A24" s="28">
        <v>44793</v>
      </c>
      <c r="B24" s="38"/>
      <c r="C24" s="35">
        <f>[1]コスト!$Z$147</f>
        <v>16824</v>
      </c>
      <c r="D24" s="35">
        <f t="shared" si="0"/>
        <v>16824</v>
      </c>
      <c r="E24" s="35">
        <f>[1]コスト!$Z$23</f>
        <v>193.1</v>
      </c>
      <c r="F24" s="35">
        <f t="shared" si="0"/>
        <v>193.1</v>
      </c>
      <c r="G24" s="35">
        <f>[1]コスト!$Z$115</f>
        <v>26190.984</v>
      </c>
      <c r="H24" s="35">
        <f t="shared" ref="H24" si="55">G24</f>
        <v>26190.984</v>
      </c>
      <c r="I24" s="35">
        <f>[1]コスト!$Z$91</f>
        <v>416.7</v>
      </c>
      <c r="J24" s="35">
        <f t="shared" ref="J24" si="56">I24</f>
        <v>416.7</v>
      </c>
      <c r="K24" s="35">
        <f>[1]コスト!$Z$41</f>
        <v>205</v>
      </c>
      <c r="L24" s="35">
        <f t="shared" ref="L24" si="57">K24</f>
        <v>205</v>
      </c>
      <c r="M24" s="35">
        <f>[1]使用量!$Z$387</f>
        <v>115</v>
      </c>
      <c r="N24" s="35">
        <f>[1]使用量!$Z$388</f>
        <v>194</v>
      </c>
      <c r="P24" s="37"/>
      <c r="Q24" s="37"/>
    </row>
    <row r="25" spans="1:26" ht="45" customHeight="1">
      <c r="A25" s="28">
        <v>44794</v>
      </c>
      <c r="B25" s="38"/>
      <c r="C25" s="35">
        <f>[1]コスト!$AA$147</f>
        <v>16698</v>
      </c>
      <c r="D25" s="35">
        <f t="shared" si="0"/>
        <v>16698</v>
      </c>
      <c r="E25" s="35">
        <f>[1]コスト!$AA$23</f>
        <v>177</v>
      </c>
      <c r="F25" s="35">
        <f t="shared" si="0"/>
        <v>177</v>
      </c>
      <c r="G25" s="35">
        <f>[1]コスト!$AA$115</f>
        <v>25287.578399999999</v>
      </c>
      <c r="H25" s="35">
        <f t="shared" ref="H25" si="58">G25</f>
        <v>25287.578399999999</v>
      </c>
      <c r="I25" s="35">
        <f>[1]コスト!$AA$91</f>
        <v>361.14</v>
      </c>
      <c r="J25" s="35">
        <f t="shared" ref="J25" si="59">I25</f>
        <v>361.14</v>
      </c>
      <c r="K25" s="35">
        <f>[1]コスト!$AA$41</f>
        <v>206</v>
      </c>
      <c r="L25" s="35">
        <f t="shared" ref="L25" si="60">K25</f>
        <v>206</v>
      </c>
      <c r="M25" s="35">
        <f>[1]使用量!$AA$387</f>
        <v>178</v>
      </c>
      <c r="N25" s="35">
        <f>[1]使用量!$AA$388</f>
        <v>331</v>
      </c>
      <c r="P25" s="37"/>
      <c r="Q25" s="37"/>
    </row>
    <row r="26" spans="1:26" ht="45" customHeight="1">
      <c r="A26" s="28">
        <v>44795</v>
      </c>
      <c r="B26" s="38"/>
      <c r="C26" s="35">
        <f>[1]コスト!$AB$147</f>
        <v>16358</v>
      </c>
      <c r="D26" s="35">
        <f t="shared" si="0"/>
        <v>16358</v>
      </c>
      <c r="E26" s="35">
        <f>[1]コスト!$AB$23</f>
        <v>173.9</v>
      </c>
      <c r="F26" s="35">
        <f t="shared" si="0"/>
        <v>173.9</v>
      </c>
      <c r="G26" s="35">
        <f>[1]コスト!$AB$115</f>
        <v>22619.309399999998</v>
      </c>
      <c r="H26" s="35">
        <f t="shared" ref="H26" si="61">G26</f>
        <v>22619.309399999998</v>
      </c>
      <c r="I26" s="35">
        <f>[1]コスト!$AB$91</f>
        <v>391.14240000000001</v>
      </c>
      <c r="J26" s="35">
        <f t="shared" ref="J26" si="62">I26</f>
        <v>391.14240000000001</v>
      </c>
      <c r="K26" s="35">
        <f>[1]コスト!$AB$41</f>
        <v>174</v>
      </c>
      <c r="L26" s="35">
        <f t="shared" ref="L26" si="63">K26</f>
        <v>174</v>
      </c>
      <c r="M26" s="35">
        <f>[1]使用量!$AB$387</f>
        <v>134</v>
      </c>
      <c r="N26" s="35">
        <f>[1]使用量!$AB$388</f>
        <v>219</v>
      </c>
      <c r="P26" s="37"/>
      <c r="Q26" s="37"/>
    </row>
    <row r="27" spans="1:26" ht="45" customHeight="1">
      <c r="A27" s="28">
        <v>44796</v>
      </c>
      <c r="B27" s="38"/>
      <c r="C27" s="35">
        <f>[1]コスト!$AC$147</f>
        <v>16427</v>
      </c>
      <c r="D27" s="35">
        <f t="shared" si="0"/>
        <v>16427</v>
      </c>
      <c r="E27" s="35">
        <f>[1]コスト!$AC$23</f>
        <v>174.1</v>
      </c>
      <c r="F27" s="35">
        <f t="shared" si="0"/>
        <v>174.1</v>
      </c>
      <c r="G27" s="35">
        <f>[1]コスト!$AC$115</f>
        <v>34397.195999999996</v>
      </c>
      <c r="H27" s="35">
        <f t="shared" ref="H27" si="64">G27</f>
        <v>34397.195999999996</v>
      </c>
      <c r="I27" s="35">
        <f>[1]コスト!$AC$91</f>
        <v>30.835799999999999</v>
      </c>
      <c r="J27" s="35">
        <f t="shared" ref="J27" si="65">I27</f>
        <v>30.835799999999999</v>
      </c>
      <c r="K27" s="35">
        <f>[1]コスト!$AC$41</f>
        <v>179</v>
      </c>
      <c r="L27" s="35">
        <f t="shared" ref="L27" si="66">K27</f>
        <v>179</v>
      </c>
      <c r="M27" s="35">
        <f>[1]使用量!$AC$387</f>
        <v>117</v>
      </c>
      <c r="N27" s="35">
        <f>[1]使用量!$AC$388</f>
        <v>223</v>
      </c>
      <c r="P27" s="37"/>
      <c r="Q27" s="37"/>
    </row>
    <row r="28" spans="1:26" ht="45" customHeight="1">
      <c r="A28" s="28">
        <v>44797</v>
      </c>
      <c r="B28" s="38"/>
      <c r="C28" s="35">
        <f>[1]コスト!$AD$147</f>
        <v>15907</v>
      </c>
      <c r="D28" s="35">
        <f t="shared" si="0"/>
        <v>15907</v>
      </c>
      <c r="E28" s="35">
        <f>[1]コスト!$AD$23</f>
        <v>162.9</v>
      </c>
      <c r="F28" s="35">
        <f t="shared" si="0"/>
        <v>162.9</v>
      </c>
      <c r="G28" s="35">
        <f>[1]コスト!$AD$115</f>
        <v>28328.377199999999</v>
      </c>
      <c r="H28" s="35">
        <f t="shared" ref="H28" si="67">G28</f>
        <v>28328.377199999999</v>
      </c>
      <c r="I28" s="35">
        <f>[1]コスト!$AD$91</f>
        <v>222.23999999999998</v>
      </c>
      <c r="J28" s="35">
        <f t="shared" ref="J28" si="68">I28</f>
        <v>222.23999999999998</v>
      </c>
      <c r="K28" s="35">
        <f>[1]コスト!$AD$41</f>
        <v>139</v>
      </c>
      <c r="L28" s="35">
        <f t="shared" ref="L28" si="69">K28</f>
        <v>139</v>
      </c>
      <c r="M28" s="35">
        <f>[1]使用量!$AD$387</f>
        <v>123</v>
      </c>
      <c r="N28" s="35">
        <f>[1]使用量!$AD$388</f>
        <v>221</v>
      </c>
      <c r="P28" s="37"/>
      <c r="Q28" s="37"/>
    </row>
    <row r="29" spans="1:26" ht="45" customHeight="1">
      <c r="A29" s="28">
        <v>44798</v>
      </c>
      <c r="B29" s="38"/>
      <c r="C29" s="35">
        <f>[1]コスト!$AE$147</f>
        <v>16612</v>
      </c>
      <c r="D29" s="35">
        <f t="shared" si="0"/>
        <v>16612</v>
      </c>
      <c r="E29" s="35">
        <f>[1]コスト!$AE$23</f>
        <v>180.2</v>
      </c>
      <c r="F29" s="35">
        <f t="shared" si="0"/>
        <v>180.2</v>
      </c>
      <c r="G29" s="35">
        <f>[1]コスト!$AE$115</f>
        <v>19870.4784</v>
      </c>
      <c r="H29" s="35">
        <f t="shared" ref="H29" si="70">G29</f>
        <v>19870.4784</v>
      </c>
      <c r="I29" s="35">
        <f>[1]コスト!$AE$91</f>
        <v>361.14</v>
      </c>
      <c r="J29" s="35">
        <f t="shared" ref="J29" si="71">I29</f>
        <v>361.14</v>
      </c>
      <c r="K29" s="35">
        <f>[1]コスト!$AE$41</f>
        <v>174</v>
      </c>
      <c r="L29" s="35">
        <f t="shared" ref="L29" si="72">K29</f>
        <v>174</v>
      </c>
      <c r="M29" s="35">
        <f>[1]使用量!$AE$387</f>
        <v>120</v>
      </c>
      <c r="N29" s="35">
        <f>[1]使用量!$AE$388</f>
        <v>195</v>
      </c>
      <c r="P29" s="37"/>
      <c r="Q29" s="37"/>
    </row>
    <row r="30" spans="1:26" ht="45" customHeight="1">
      <c r="A30" s="28">
        <v>44799</v>
      </c>
      <c r="B30" s="38"/>
      <c r="C30" s="35">
        <f>[1]コスト!$AF$147</f>
        <v>16737</v>
      </c>
      <c r="D30" s="35">
        <f t="shared" si="0"/>
        <v>16737</v>
      </c>
      <c r="E30" s="35">
        <f>[1]コスト!$AF$23</f>
        <v>172.6</v>
      </c>
      <c r="F30" s="35">
        <f t="shared" si="0"/>
        <v>172.6</v>
      </c>
      <c r="G30" s="35">
        <f>[1]コスト!$AF$115</f>
        <v>29795.161199999999</v>
      </c>
      <c r="H30" s="35">
        <f t="shared" ref="H30" si="73">G30</f>
        <v>29795.161199999999</v>
      </c>
      <c r="I30" s="35">
        <f>[1]コスト!$AF$91</f>
        <v>29.169</v>
      </c>
      <c r="J30" s="35">
        <f t="shared" ref="J30" si="74">I30</f>
        <v>29.169</v>
      </c>
      <c r="K30" s="35">
        <f>[1]コスト!$AF$41</f>
        <v>163</v>
      </c>
      <c r="L30" s="35">
        <f t="shared" ref="L30" si="75">K30</f>
        <v>163</v>
      </c>
      <c r="M30" s="35">
        <f>[1]使用量!$AF$387</f>
        <v>117</v>
      </c>
      <c r="N30" s="35">
        <f>[1]使用量!$AF$388</f>
        <v>219</v>
      </c>
      <c r="P30" s="37"/>
      <c r="Q30" s="37"/>
    </row>
    <row r="31" spans="1:26" ht="45" customHeight="1">
      <c r="A31" s="28">
        <v>44800</v>
      </c>
      <c r="B31" s="38"/>
      <c r="C31" s="35">
        <f>[1]コスト!$AG$147</f>
        <v>17267</v>
      </c>
      <c r="D31" s="35">
        <f t="shared" si="0"/>
        <v>17267</v>
      </c>
      <c r="E31" s="35">
        <f>[1]コスト!$AG$23</f>
        <v>198.5</v>
      </c>
      <c r="F31" s="35">
        <f t="shared" si="0"/>
        <v>198.5</v>
      </c>
      <c r="G31" s="35">
        <f>[1]コスト!$AG$115</f>
        <v>35113.919999999998</v>
      </c>
      <c r="H31" s="35">
        <f t="shared" ref="H31" si="76">G31</f>
        <v>35113.919999999998</v>
      </c>
      <c r="I31" s="35">
        <f>[1]コスト!$AG$91</f>
        <v>55.559999999999995</v>
      </c>
      <c r="J31" s="35">
        <f t="shared" ref="J31" si="77">I31</f>
        <v>55.559999999999995</v>
      </c>
      <c r="K31" s="35">
        <f>[1]コスト!$AG$41</f>
        <v>181</v>
      </c>
      <c r="L31" s="35">
        <f t="shared" ref="L31" si="78">K31</f>
        <v>181</v>
      </c>
      <c r="M31" s="35">
        <f>[1]使用量!$AG$387</f>
        <v>179</v>
      </c>
      <c r="N31" s="35">
        <f>[1]使用量!$AG$388</f>
        <v>360</v>
      </c>
      <c r="P31" s="37"/>
      <c r="Q31" s="37"/>
    </row>
    <row r="32" spans="1:26" ht="45" customHeight="1">
      <c r="A32" s="28">
        <v>44801</v>
      </c>
      <c r="B32" s="38"/>
      <c r="C32" s="35">
        <f>[1]コスト!$AH$147</f>
        <v>16727</v>
      </c>
      <c r="D32" s="35">
        <f t="shared" si="0"/>
        <v>16727</v>
      </c>
      <c r="E32" s="35">
        <f>[1]コスト!$AH$23</f>
        <v>196</v>
      </c>
      <c r="F32" s="35">
        <f t="shared" si="0"/>
        <v>196</v>
      </c>
      <c r="G32" s="35">
        <f>[1]コスト!$AH$115</f>
        <v>18618.433799999999</v>
      </c>
      <c r="H32" s="35">
        <f t="shared" ref="H32" si="79">G32</f>
        <v>18618.433799999999</v>
      </c>
      <c r="I32" s="35">
        <f>[1]コスト!$AH$91</f>
        <v>974.80020000000002</v>
      </c>
      <c r="J32" s="35">
        <f t="shared" ref="J32" si="80">I32</f>
        <v>974.80020000000002</v>
      </c>
      <c r="K32" s="35">
        <f>[1]コスト!$AH$41</f>
        <v>203</v>
      </c>
      <c r="L32" s="35">
        <f t="shared" ref="L32" si="81">K32</f>
        <v>203</v>
      </c>
      <c r="M32" s="35">
        <f>[1]使用量!$AH$387</f>
        <v>137</v>
      </c>
      <c r="N32" s="35">
        <f>[1]使用量!$AH$388</f>
        <v>244</v>
      </c>
      <c r="P32" s="37"/>
      <c r="Q32" s="37"/>
    </row>
    <row r="33" spans="1:17" ht="36" customHeight="1">
      <c r="A33" s="28">
        <v>44802</v>
      </c>
      <c r="C33" s="35">
        <f>[1]コスト!$AI$147</f>
        <v>16211</v>
      </c>
      <c r="D33" s="35">
        <f t="shared" si="0"/>
        <v>16211</v>
      </c>
      <c r="E33" s="35">
        <f>[1]コスト!$AI$23</f>
        <v>178.6</v>
      </c>
      <c r="F33" s="35">
        <f t="shared" si="0"/>
        <v>178.6</v>
      </c>
      <c r="G33" s="35">
        <f>[1]コスト!$AI$115</f>
        <v>13336.066799999999</v>
      </c>
      <c r="H33" s="35">
        <f t="shared" ref="H33" si="82">G33</f>
        <v>13336.066799999999</v>
      </c>
      <c r="I33" s="35">
        <f>[1]コスト!$AI$91</f>
        <v>694.5</v>
      </c>
      <c r="J33" s="35">
        <f t="shared" ref="J33" si="83">I33</f>
        <v>694.5</v>
      </c>
      <c r="K33" s="35">
        <f>[1]コスト!$AI$41</f>
        <v>161</v>
      </c>
      <c r="L33" s="35">
        <f t="shared" ref="L33" si="84">K33</f>
        <v>161</v>
      </c>
      <c r="M33" s="35">
        <f>[1]使用量!$AI$387</f>
        <v>137</v>
      </c>
      <c r="N33" s="35">
        <f>[1]使用量!$AI$388</f>
        <v>243</v>
      </c>
      <c r="P33" s="37"/>
      <c r="Q33" s="37"/>
    </row>
    <row r="34" spans="1:17" ht="45.6" customHeight="1">
      <c r="A34" s="28">
        <v>44803</v>
      </c>
      <c r="C34" s="35">
        <f>[1]コスト!$AJ$147</f>
        <v>16488</v>
      </c>
      <c r="D34" s="35">
        <f t="shared" si="0"/>
        <v>16488</v>
      </c>
      <c r="E34" s="35">
        <f>[1]コスト!$AJ$23</f>
        <v>177.2</v>
      </c>
      <c r="F34" s="35">
        <f t="shared" si="0"/>
        <v>177.2</v>
      </c>
      <c r="G34" s="35">
        <f>[1]コスト!$AJ$115</f>
        <v>15390.119999999999</v>
      </c>
      <c r="H34" s="35">
        <f t="shared" ref="H34" si="85">G34</f>
        <v>15390.119999999999</v>
      </c>
      <c r="I34" s="35">
        <f>[1]コスト!$AJ$91</f>
        <v>1030.6379999999999</v>
      </c>
      <c r="J34" s="35">
        <f t="shared" ref="J34" si="86">I34</f>
        <v>1030.6379999999999</v>
      </c>
      <c r="K34" s="35">
        <f>[1]コスト!$AJ$41</f>
        <v>151</v>
      </c>
      <c r="L34" s="35">
        <f t="shared" ref="L34" si="87">K34</f>
        <v>151</v>
      </c>
      <c r="M34" s="35">
        <f>[1]使用量!$AJ$387</f>
        <v>135</v>
      </c>
      <c r="N34" s="35">
        <f>[1]使用量!$AJ$388</f>
        <v>218</v>
      </c>
      <c r="P34" s="37"/>
      <c r="Q34" s="37"/>
    </row>
    <row r="35" spans="1:17" ht="47.45" customHeight="1">
      <c r="A35" s="28">
        <v>44804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2022-08-31T02:32:25Z</dcterms:modified>
</cp:coreProperties>
</file>