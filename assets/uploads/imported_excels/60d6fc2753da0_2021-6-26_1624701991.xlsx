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20" yWindow="-120" windowWidth="19440" windowHeight="15600" firstSheet="2" activeTab="6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<sst xmlns="http://schemas.openxmlformats.org/spreadsheetml/2006/main" count="201" uniqueCount="128">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</sst>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1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7771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1"/>
                <c:pt idx="0">
                  <c:v>Total Consumption M3                       (Meter 1 : 2) 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684288"/>
        <c:axId val="222685824"/>
      </c:barChart>
      <c:catAx>
        <c:axId val="222684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222685824"/>
        <c:crosses val="autoZero"/>
        <c:auto val="1"/>
        <c:lblAlgn val="ctr"/>
        <c:lblOffset val="100"/>
        <c:noMultiLvlLbl val="0"/>
      </c:catAx>
      <c:valAx>
        <c:axId val="22268582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2684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5" zoomScaleNormal="85" workbookViewId="0">
      <selection activeCell="E38" sqref="E3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>
        <v>19</v>
      </c>
      <c r="N12" s="72">
        <v>44</v>
      </c>
      <c r="O12" s="72">
        <v>116</v>
      </c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>
        <v>20</v>
      </c>
      <c r="N13" s="72">
        <v>50</v>
      </c>
      <c r="O13" s="72">
        <v>151</v>
      </c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>
        <v>18</v>
      </c>
      <c r="N14" s="72">
        <v>49</v>
      </c>
      <c r="O14" s="72">
        <v>144</v>
      </c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>
        <v>11</v>
      </c>
      <c r="N15" s="72">
        <v>32</v>
      </c>
      <c r="O15" s="72">
        <v>78</v>
      </c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>
        <v>9</v>
      </c>
      <c r="N16" s="72">
        <v>30</v>
      </c>
      <c r="O16" s="72">
        <v>69</v>
      </c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>
        <v>18020.000000000211</v>
      </c>
      <c r="F17" s="48">
        <v>0.14000000000000001</v>
      </c>
      <c r="G17" s="107">
        <v>6325</v>
      </c>
      <c r="H17" s="48">
        <v>0.4453480216384178</v>
      </c>
      <c r="I17" s="65">
        <v>281</v>
      </c>
      <c r="J17" s="76">
        <v>0.4</v>
      </c>
      <c r="K17" s="108"/>
      <c r="L17" s="76">
        <v>1.5287027707808565</v>
      </c>
      <c r="M17" s="72">
        <v>14</v>
      </c>
      <c r="N17" s="72">
        <v>41</v>
      </c>
      <c r="O17" s="72">
        <v>104</v>
      </c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>
        <v>28610.000000000124</v>
      </c>
      <c r="F18" s="48">
        <v>0.14000000000000001</v>
      </c>
      <c r="G18" s="107">
        <v>6346</v>
      </c>
      <c r="H18" s="48">
        <v>0.4453480216384178</v>
      </c>
      <c r="I18" s="65">
        <v>346</v>
      </c>
      <c r="J18" s="76">
        <v>0.4</v>
      </c>
      <c r="K18" s="108"/>
      <c r="L18" s="76">
        <v>1.5287027707808565</v>
      </c>
      <c r="M18" s="72">
        <v>13</v>
      </c>
      <c r="N18" s="72">
        <v>33</v>
      </c>
      <c r="O18" s="72">
        <v>90</v>
      </c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>
        <v>23489.999999999327</v>
      </c>
      <c r="F19" s="48">
        <v>0.14000000000000001</v>
      </c>
      <c r="G19" s="107">
        <v>6276</v>
      </c>
      <c r="H19" s="48">
        <v>0.4453480216384178</v>
      </c>
      <c r="I19" s="65">
        <v>327</v>
      </c>
      <c r="J19" s="76">
        <v>0.4</v>
      </c>
      <c r="K19" s="108"/>
      <c r="L19" s="76">
        <v>1.5287027707808565</v>
      </c>
      <c r="M19" s="72">
        <v>17</v>
      </c>
      <c r="N19" s="72">
        <v>41</v>
      </c>
      <c r="O19" s="72">
        <v>120</v>
      </c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>
        <v>23380.000000000109</v>
      </c>
      <c r="F20" s="48">
        <v>0.14000000000000001</v>
      </c>
      <c r="G20" s="107">
        <v>6239</v>
      </c>
      <c r="H20" s="48">
        <v>0.4453480216384178</v>
      </c>
      <c r="I20" s="65">
        <v>283</v>
      </c>
      <c r="J20" s="76">
        <v>0.4</v>
      </c>
      <c r="K20" s="108"/>
      <c r="L20" s="76">
        <v>1.5287027707808565</v>
      </c>
      <c r="M20" s="72">
        <v>21</v>
      </c>
      <c r="N20" s="72">
        <v>50</v>
      </c>
      <c r="O20" s="72">
        <v>153</v>
      </c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>
        <v>22530.00000000111</v>
      </c>
      <c r="F21" s="48">
        <v>0.14000000000000001</v>
      </c>
      <c r="G21" s="107">
        <v>6230</v>
      </c>
      <c r="H21" s="48">
        <v>0.4453480216384178</v>
      </c>
      <c r="I21" s="65">
        <v>273</v>
      </c>
      <c r="J21" s="76">
        <v>0.4</v>
      </c>
      <c r="K21" s="108"/>
      <c r="L21" s="76">
        <v>1.5287027707808565</v>
      </c>
      <c r="M21" s="72">
        <v>23</v>
      </c>
      <c r="N21" s="72">
        <v>56</v>
      </c>
      <c r="O21" s="72">
        <v>176</v>
      </c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>
        <v>24279.999999999061</v>
      </c>
      <c r="F22" s="48">
        <v>0.14000000000000001</v>
      </c>
      <c r="G22" s="107">
        <v>6554</v>
      </c>
      <c r="H22" s="48">
        <v>0.4453480216384178</v>
      </c>
      <c r="I22" s="65">
        <v>298</v>
      </c>
      <c r="J22" s="76">
        <v>0.4</v>
      </c>
      <c r="K22" s="108"/>
      <c r="L22" s="76">
        <v>1.5287027707808565</v>
      </c>
      <c r="M22" s="72">
        <v>18</v>
      </c>
      <c r="N22" s="72">
        <v>52</v>
      </c>
      <c r="O22" s="72">
        <v>135</v>
      </c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>
        <v>23740.000000000236</v>
      </c>
      <c r="F23" s="48">
        <v>0.14000000000000001</v>
      </c>
      <c r="G23" s="107">
        <v>6270</v>
      </c>
      <c r="H23" s="48">
        <v>0.4453480216384178</v>
      </c>
      <c r="I23" s="65">
        <v>321</v>
      </c>
      <c r="J23" s="76">
        <v>0.4</v>
      </c>
      <c r="K23" s="108"/>
      <c r="L23" s="76">
        <v>1.5287027707808565</v>
      </c>
      <c r="M23" s="72">
        <v>11</v>
      </c>
      <c r="N23" s="72">
        <v>34</v>
      </c>
      <c r="O23" s="72">
        <v>111</v>
      </c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>
        <v>22890.000000000098</v>
      </c>
      <c r="F24" s="48">
        <v>0.14000000000000001</v>
      </c>
      <c r="G24" s="107">
        <v>6383</v>
      </c>
      <c r="H24" s="48">
        <v>0.4453480216384178</v>
      </c>
      <c r="I24" s="65">
        <v>273</v>
      </c>
      <c r="J24" s="76">
        <v>0.4</v>
      </c>
      <c r="K24" s="108"/>
      <c r="L24" s="76">
        <v>1.5287027707808565</v>
      </c>
      <c r="M24" s="72">
        <v>17</v>
      </c>
      <c r="N24" s="72">
        <v>50</v>
      </c>
      <c r="O24" s="72">
        <v>104</v>
      </c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>
        <v>23200</v>
      </c>
      <c r="F25" s="48">
        <v>0.14000000000000001</v>
      </c>
      <c r="G25" s="107">
        <v>6284</v>
      </c>
      <c r="H25" s="48">
        <v>0.4453480216384178</v>
      </c>
      <c r="I25" s="65">
        <v>222</v>
      </c>
      <c r="J25" s="76">
        <v>0.4</v>
      </c>
      <c r="K25" s="108"/>
      <c r="L25" s="76">
        <v>1.5287027707808565</v>
      </c>
      <c r="M25" s="72">
        <v>18</v>
      </c>
      <c r="N25" s="72">
        <v>51</v>
      </c>
      <c r="O25" s="72">
        <v>129</v>
      </c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>
        <v>21460</v>
      </c>
      <c r="F26" s="48">
        <v>0.14000000000000001</v>
      </c>
      <c r="G26" s="107">
        <v>5822</v>
      </c>
      <c r="H26" s="48">
        <v>0.4453480216384178</v>
      </c>
      <c r="I26" s="65">
        <v>309</v>
      </c>
      <c r="J26" s="76">
        <v>0.4</v>
      </c>
      <c r="K26" s="108"/>
      <c r="L26" s="76">
        <v>1.5287027707808565</v>
      </c>
      <c r="M26" s="72">
        <v>19</v>
      </c>
      <c r="N26" s="72">
        <v>52</v>
      </c>
      <c r="O26" s="72">
        <v>152</v>
      </c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575310.00000000047</v>
      </c>
      <c r="F33" s="104">
        <v>0</v>
      </c>
      <c r="G33" s="101">
        <f>SUM(G2:G32)</f>
        <v>156977</v>
      </c>
      <c r="H33" s="102">
        <v>0</v>
      </c>
      <c r="I33" s="103">
        <f>SUM(I2:I32)</f>
        <v>7730</v>
      </c>
      <c r="J33" s="104">
        <v>0</v>
      </c>
      <c r="K33" s="105">
        <v>0</v>
      </c>
      <c r="L33" s="102">
        <v>0</v>
      </c>
      <c r="M33" s="106">
        <f t="shared" ref="M33:O33" si="1">SUM(M2:M32)</f>
        <v>402</v>
      </c>
      <c r="N33" s="106">
        <f t="shared" si="1"/>
        <v>1041</v>
      </c>
      <c r="O33" s="106">
        <f t="shared" si="1"/>
        <v>2977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8" zoomScaleNormal="78" workbookViewId="0">
      <selection activeCell="F28" sqref="F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>
        <v>19</v>
      </c>
      <c r="W14" s="71">
        <v>44</v>
      </c>
      <c r="X14" s="71">
        <v>116</v>
      </c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>
        <v>20</v>
      </c>
      <c r="W15" s="71">
        <v>50</v>
      </c>
      <c r="X15" s="71">
        <v>151</v>
      </c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>
        <v>18</v>
      </c>
      <c r="W16" s="71">
        <v>49</v>
      </c>
      <c r="X16" s="71">
        <v>144</v>
      </c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>
        <v>11</v>
      </c>
      <c r="W17" s="71">
        <v>32</v>
      </c>
      <c r="X17" s="71">
        <v>78</v>
      </c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>
        <v>9</v>
      </c>
      <c r="W18" s="71">
        <v>30</v>
      </c>
      <c r="X18" s="71">
        <v>69</v>
      </c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>
        <v>14</v>
      </c>
      <c r="W19" s="71">
        <v>41</v>
      </c>
      <c r="X19" s="71">
        <v>104</v>
      </c>
      <c r="Y19" s="17"/>
    </row>
    <row r="20" spans="1:25" ht="21" customHeight="1" x14ac:dyDescent="0.25">
      <c r="A20" s="8">
        <v>44364</v>
      </c>
      <c r="B20" s="1">
        <v>962.42</v>
      </c>
      <c r="C20" s="1">
        <v>226.4</v>
      </c>
      <c r="D20" s="1">
        <v>7446082.1799999997</v>
      </c>
      <c r="E20" s="1">
        <v>8139013.1500000004</v>
      </c>
      <c r="F20" s="1">
        <v>2.3464</v>
      </c>
      <c r="G20" s="1">
        <v>734.46</v>
      </c>
      <c r="H20" s="1">
        <v>615.58000000000004</v>
      </c>
      <c r="I20" s="1">
        <v>231.45</v>
      </c>
      <c r="J20" s="1">
        <v>313.47000000000003</v>
      </c>
      <c r="K20" s="1">
        <v>337.19</v>
      </c>
      <c r="L20" s="1">
        <v>231.25</v>
      </c>
      <c r="M20" s="1">
        <v>507.63</v>
      </c>
      <c r="N20" s="1">
        <v>462.05</v>
      </c>
      <c r="O20" s="1">
        <v>148.25</v>
      </c>
      <c r="P20" s="1">
        <v>604.21</v>
      </c>
      <c r="Q20" s="1">
        <v>450.97</v>
      </c>
      <c r="R20" s="1">
        <v>153.56</v>
      </c>
      <c r="S20" s="1">
        <v>113.48</v>
      </c>
      <c r="T20" s="1">
        <v>414.68</v>
      </c>
      <c r="V20" s="71">
        <v>13</v>
      </c>
      <c r="W20" s="71">
        <v>33</v>
      </c>
      <c r="X20" s="71">
        <v>90</v>
      </c>
      <c r="Y20" s="17"/>
    </row>
    <row r="21" spans="1:25" ht="21" customHeight="1" x14ac:dyDescent="0.25">
      <c r="A21" s="8">
        <v>44365</v>
      </c>
      <c r="B21" s="1">
        <v>963.89</v>
      </c>
      <c r="C21" s="1">
        <v>226.6</v>
      </c>
      <c r="D21" s="1">
        <v>7449267.9100000001</v>
      </c>
      <c r="E21" s="1">
        <v>8142139.4199999999</v>
      </c>
      <c r="F21" s="1">
        <v>2.3489</v>
      </c>
      <c r="G21" s="1">
        <v>735.35</v>
      </c>
      <c r="H21" s="1">
        <v>616</v>
      </c>
      <c r="I21" s="1">
        <v>231.74</v>
      </c>
      <c r="J21" s="1">
        <v>313.72000000000003</v>
      </c>
      <c r="K21" s="1">
        <v>337.46</v>
      </c>
      <c r="L21" s="1">
        <v>231.44</v>
      </c>
      <c r="M21" s="1">
        <v>508.5</v>
      </c>
      <c r="N21" s="1">
        <v>462.86</v>
      </c>
      <c r="O21" s="1">
        <v>148.52000000000001</v>
      </c>
      <c r="P21" s="1">
        <v>605.28</v>
      </c>
      <c r="Q21" s="1">
        <v>451.73</v>
      </c>
      <c r="R21" s="1">
        <v>153.82</v>
      </c>
      <c r="S21" s="1">
        <v>113.56</v>
      </c>
      <c r="T21" s="1">
        <v>415.1</v>
      </c>
      <c r="V21" s="71">
        <v>17</v>
      </c>
      <c r="W21" s="71">
        <v>41</v>
      </c>
      <c r="X21" s="71">
        <v>120</v>
      </c>
      <c r="Y21" s="17"/>
    </row>
    <row r="22" spans="1:25" ht="21" customHeight="1" x14ac:dyDescent="0.25">
      <c r="A22" s="8">
        <v>44366</v>
      </c>
      <c r="B22" s="1">
        <v>965.35</v>
      </c>
      <c r="C22" s="1">
        <v>226.83</v>
      </c>
      <c r="D22" s="1">
        <v>7451994.2999999998</v>
      </c>
      <c r="E22" s="1">
        <v>8145341.4699999997</v>
      </c>
      <c r="F22" s="1">
        <v>2.3515000000000001</v>
      </c>
      <c r="G22" s="1">
        <v>736.29</v>
      </c>
      <c r="H22" s="1">
        <v>616.39</v>
      </c>
      <c r="I22" s="1">
        <v>232.13</v>
      </c>
      <c r="J22" s="1">
        <v>313.92</v>
      </c>
      <c r="K22" s="1">
        <v>337.71</v>
      </c>
      <c r="L22" s="1">
        <v>231.63</v>
      </c>
      <c r="M22" s="1">
        <v>509.35</v>
      </c>
      <c r="N22" s="1">
        <v>463.65</v>
      </c>
      <c r="O22" s="1">
        <v>148.79</v>
      </c>
      <c r="P22" s="1">
        <v>606.41999999999996</v>
      </c>
      <c r="Q22" s="1">
        <v>452.59</v>
      </c>
      <c r="R22" s="28">
        <v>154.1</v>
      </c>
      <c r="S22" s="28">
        <v>113.65</v>
      </c>
      <c r="T22" s="1">
        <v>415.4</v>
      </c>
      <c r="V22" s="71">
        <v>21</v>
      </c>
      <c r="W22" s="71">
        <v>50</v>
      </c>
      <c r="X22" s="71">
        <v>153</v>
      </c>
      <c r="Y22" s="17"/>
    </row>
    <row r="23" spans="1:25" ht="21" customHeight="1" x14ac:dyDescent="0.25">
      <c r="A23" s="8">
        <v>44367</v>
      </c>
      <c r="B23" s="1">
        <v>966.66</v>
      </c>
      <c r="C23" s="1">
        <v>227.63</v>
      </c>
      <c r="D23" s="1">
        <v>7454597.6399999997</v>
      </c>
      <c r="E23" s="1">
        <v>8148925.7000000002</v>
      </c>
      <c r="F23" s="1">
        <v>2.3538999999999999</v>
      </c>
      <c r="G23" s="1">
        <v>737.18</v>
      </c>
      <c r="H23" s="1">
        <v>616.82000000000005</v>
      </c>
      <c r="I23" s="1">
        <v>232.48</v>
      </c>
      <c r="J23" s="1">
        <v>314.05</v>
      </c>
      <c r="K23" s="1">
        <v>337.92</v>
      </c>
      <c r="L23" s="1">
        <v>231.81</v>
      </c>
      <c r="M23" s="1">
        <v>510.09</v>
      </c>
      <c r="N23" s="1">
        <v>464.4</v>
      </c>
      <c r="O23" s="1">
        <v>149.01</v>
      </c>
      <c r="P23" s="1">
        <v>607.51</v>
      </c>
      <c r="Q23" s="1">
        <v>453.36</v>
      </c>
      <c r="R23" s="1">
        <v>154.41999999999999</v>
      </c>
      <c r="S23" s="1">
        <v>113.79</v>
      </c>
      <c r="T23" s="1">
        <v>415.86</v>
      </c>
      <c r="V23" s="71">
        <v>23</v>
      </c>
      <c r="W23" s="71">
        <v>56</v>
      </c>
      <c r="X23" s="71">
        <v>176</v>
      </c>
      <c r="Y23" s="17"/>
    </row>
    <row r="24" spans="1:25" ht="21" customHeight="1" x14ac:dyDescent="0.25">
      <c r="A24" s="8">
        <v>44368</v>
      </c>
      <c r="B24" s="1">
        <v>967.92</v>
      </c>
      <c r="C24" s="1">
        <v>227.24</v>
      </c>
      <c r="D24" s="1">
        <v>7457237.21</v>
      </c>
      <c r="E24" s="1">
        <v>8152480.1799999997</v>
      </c>
      <c r="F24" s="1">
        <v>2.3563999999999998</v>
      </c>
      <c r="G24" s="1">
        <v>738.07</v>
      </c>
      <c r="H24" s="1">
        <v>617.34</v>
      </c>
      <c r="I24" s="1">
        <v>232.83</v>
      </c>
      <c r="J24" s="1">
        <v>314.18</v>
      </c>
      <c r="K24" s="1">
        <v>338.15</v>
      </c>
      <c r="L24" s="1">
        <v>231.98</v>
      </c>
      <c r="M24" s="1">
        <v>510.87</v>
      </c>
      <c r="N24" s="1">
        <v>465.16</v>
      </c>
      <c r="O24" s="1">
        <v>149.24</v>
      </c>
      <c r="P24" s="1">
        <v>608.57000000000005</v>
      </c>
      <c r="Q24" s="1">
        <v>454.12</v>
      </c>
      <c r="R24" s="1">
        <v>154.91999999999999</v>
      </c>
      <c r="S24" s="1">
        <v>113.92</v>
      </c>
      <c r="T24" s="1">
        <v>416.32</v>
      </c>
      <c r="V24" s="71">
        <v>18</v>
      </c>
      <c r="W24" s="71">
        <v>52</v>
      </c>
      <c r="X24" s="71">
        <v>135</v>
      </c>
      <c r="Y24" s="17"/>
    </row>
    <row r="25" spans="1:25" ht="21" customHeight="1" x14ac:dyDescent="0.25">
      <c r="A25" s="8">
        <v>44369</v>
      </c>
      <c r="B25" s="1">
        <v>969.36</v>
      </c>
      <c r="C25" s="1">
        <v>227.5</v>
      </c>
      <c r="D25" s="1">
        <v>7460025.2699999996</v>
      </c>
      <c r="E25" s="1">
        <v>8156239.6100000003</v>
      </c>
      <c r="F25" s="1">
        <v>2.3589000000000002</v>
      </c>
      <c r="G25" s="1">
        <v>739.03</v>
      </c>
      <c r="H25" s="1">
        <v>617.82000000000005</v>
      </c>
      <c r="I25" s="1">
        <v>233.2</v>
      </c>
      <c r="J25" s="1">
        <v>314.42</v>
      </c>
      <c r="K25" s="1">
        <v>338.43</v>
      </c>
      <c r="L25" s="1">
        <v>232.18</v>
      </c>
      <c r="M25" s="1">
        <v>511.68</v>
      </c>
      <c r="N25" s="1">
        <v>465.96</v>
      </c>
      <c r="O25" s="1">
        <v>149.47</v>
      </c>
      <c r="P25" s="1">
        <v>609.63</v>
      </c>
      <c r="Q25" s="1">
        <v>454.9</v>
      </c>
      <c r="R25" s="1">
        <v>155.05000000000001</v>
      </c>
      <c r="S25" s="1">
        <v>114.06</v>
      </c>
      <c r="T25" s="1">
        <v>416.83</v>
      </c>
      <c r="V25" s="71">
        <v>11</v>
      </c>
      <c r="W25" s="71">
        <v>34</v>
      </c>
      <c r="X25" s="71">
        <v>111</v>
      </c>
      <c r="Y25" s="17"/>
    </row>
    <row r="26" spans="1:25" ht="21" customHeight="1" x14ac:dyDescent="0.25">
      <c r="A26" s="8">
        <v>44370</v>
      </c>
      <c r="B26" s="1">
        <v>970.73</v>
      </c>
      <c r="C26" s="1">
        <v>227.74</v>
      </c>
      <c r="D26" s="1">
        <v>7462669.0700000003</v>
      </c>
      <c r="E26" s="1">
        <v>8159919.3499999996</v>
      </c>
      <c r="F26" s="1">
        <v>2.3614000000000002</v>
      </c>
      <c r="G26" s="1">
        <v>739.94</v>
      </c>
      <c r="H26" s="1">
        <v>618.35</v>
      </c>
      <c r="I26" s="1">
        <v>233.57</v>
      </c>
      <c r="J26" s="1">
        <v>314.63</v>
      </c>
      <c r="K26" s="1">
        <v>338.7</v>
      </c>
      <c r="L26" s="1">
        <v>232.38</v>
      </c>
      <c r="M26" s="1">
        <v>512.54</v>
      </c>
      <c r="N26" s="1">
        <v>466.72</v>
      </c>
      <c r="O26" s="1">
        <v>149.66999999999999</v>
      </c>
      <c r="P26" s="1">
        <v>610.70000000000005</v>
      </c>
      <c r="Q26" s="1">
        <v>455.65</v>
      </c>
      <c r="R26" s="1">
        <v>155.36000000000001</v>
      </c>
      <c r="S26" s="1">
        <v>114.2</v>
      </c>
      <c r="T26" s="1">
        <v>417.3</v>
      </c>
      <c r="V26" s="71">
        <v>17</v>
      </c>
      <c r="W26" s="71">
        <v>50</v>
      </c>
      <c r="X26" s="71">
        <v>104</v>
      </c>
      <c r="Y26" s="17"/>
    </row>
    <row r="27" spans="1:25" ht="21" customHeight="1" x14ac:dyDescent="0.25">
      <c r="A27" s="8">
        <v>44371</v>
      </c>
      <c r="B27" s="1">
        <v>972.07</v>
      </c>
      <c r="C27" s="1">
        <v>227.98</v>
      </c>
      <c r="D27" s="1">
        <v>7464948.9400000004</v>
      </c>
      <c r="E27" s="1">
        <v>8163578.8200000003</v>
      </c>
      <c r="F27" s="1">
        <v>2.3639000000000001</v>
      </c>
      <c r="G27" s="1">
        <v>740.81</v>
      </c>
      <c r="H27" s="1">
        <v>618.85</v>
      </c>
      <c r="I27" s="1">
        <v>233.93</v>
      </c>
      <c r="J27" s="1">
        <v>314.87</v>
      </c>
      <c r="K27" s="1">
        <v>338.97</v>
      </c>
      <c r="L27" s="1">
        <v>232.57</v>
      </c>
      <c r="M27" s="1">
        <v>513.29</v>
      </c>
      <c r="N27" s="1">
        <v>467.48</v>
      </c>
      <c r="O27" s="1">
        <v>149.97</v>
      </c>
      <c r="P27" s="1">
        <v>611.79999999999995</v>
      </c>
      <c r="Q27" s="1">
        <v>456.39</v>
      </c>
      <c r="R27" s="1">
        <v>155.69</v>
      </c>
      <c r="S27" s="1">
        <v>114.33</v>
      </c>
      <c r="T27" s="1">
        <v>417.75</v>
      </c>
      <c r="V27" s="71">
        <v>18</v>
      </c>
      <c r="W27" s="71">
        <v>51</v>
      </c>
      <c r="X27" s="71">
        <v>129</v>
      </c>
      <c r="Y27" s="17"/>
    </row>
    <row r="28" spans="1:25" ht="21" customHeight="1" x14ac:dyDescent="0.25">
      <c r="A28" s="8">
        <v>44372</v>
      </c>
      <c r="B28" s="1">
        <v>973.4</v>
      </c>
      <c r="C28" s="1">
        <v>228.18</v>
      </c>
      <c r="D28" s="1">
        <v>7467350.8300000001</v>
      </c>
      <c r="E28" s="1">
        <v>8167123.2999999998</v>
      </c>
      <c r="F28" s="1">
        <v>2.3664000000000001</v>
      </c>
      <c r="G28" s="1">
        <v>741.69</v>
      </c>
      <c r="H28" s="1">
        <v>619.32000000000005</v>
      </c>
      <c r="I28" s="1">
        <v>234.25</v>
      </c>
      <c r="J28" s="1">
        <v>315.05</v>
      </c>
      <c r="K28" s="1">
        <v>339.18</v>
      </c>
      <c r="L28" s="1">
        <v>232.75</v>
      </c>
      <c r="M28" s="1">
        <v>514.02</v>
      </c>
      <c r="N28" s="1">
        <v>468.31</v>
      </c>
      <c r="O28" s="1">
        <v>150.13999999999999</v>
      </c>
      <c r="P28" s="1">
        <v>613.04999999999995</v>
      </c>
      <c r="Q28" s="1">
        <v>457.19</v>
      </c>
      <c r="R28" s="1">
        <v>155.86000000000001</v>
      </c>
      <c r="S28" s="1">
        <v>114.44</v>
      </c>
      <c r="T28" s="1">
        <v>418.22</v>
      </c>
      <c r="V28" s="71">
        <v>19</v>
      </c>
      <c r="W28" s="71">
        <v>52</v>
      </c>
      <c r="X28" s="71">
        <v>152</v>
      </c>
      <c r="Y28" s="17"/>
    </row>
    <row r="29" spans="1:25" ht="21" customHeight="1" x14ac:dyDescent="0.25">
      <c r="A29" s="8">
        <v>44373</v>
      </c>
      <c r="B29" s="1">
        <v>974.72</v>
      </c>
      <c r="C29" s="1">
        <v>228.43</v>
      </c>
      <c r="D29" s="1">
        <v>7469457.3899999997</v>
      </c>
      <c r="E29" s="1">
        <v>8170121.4199999999</v>
      </c>
      <c r="F29" s="1">
        <v>2.3679999999999999</v>
      </c>
      <c r="G29" s="1">
        <v>742.48</v>
      </c>
      <c r="H29" s="1">
        <v>619.79</v>
      </c>
      <c r="I29" s="1">
        <v>234.56</v>
      </c>
      <c r="J29" s="1">
        <v>315.29000000000002</v>
      </c>
      <c r="K29" s="1">
        <v>339.43</v>
      </c>
      <c r="L29" s="1">
        <v>232.94</v>
      </c>
      <c r="M29" s="1">
        <v>514.80999999999995</v>
      </c>
      <c r="N29" s="1">
        <v>469.11</v>
      </c>
      <c r="O29" s="1">
        <v>150.34</v>
      </c>
      <c r="P29" s="1">
        <v>614.11</v>
      </c>
      <c r="Q29" s="1">
        <v>458.01</v>
      </c>
      <c r="R29" s="1">
        <v>156.16999999999999</v>
      </c>
      <c r="S29" s="1">
        <v>114.56</v>
      </c>
      <c r="T29" s="1">
        <v>418.5</v>
      </c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402</v>
      </c>
      <c r="W35" s="78">
        <f>SUM(W4:W34)</f>
        <v>1041</v>
      </c>
      <c r="X35" s="78">
        <f>SUM(X4:X34)</f>
        <v>2977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45" sqref="J4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18020.000000000211</v>
      </c>
      <c r="C19" s="4">
        <f>('Kwh Reading'!T20-'Kwh Reading'!T19)*1000</f>
        <v>500</v>
      </c>
      <c r="D19" s="2">
        <f>('Kwh Reading'!F20-'Kwh Reading'!F19)*1000000</f>
        <v>2600.0000000001578</v>
      </c>
      <c r="E19" s="2">
        <f>('Kwh Reading'!C20-'Kwh Reading'!C19)*1000</f>
        <v>210.00000000000796</v>
      </c>
      <c r="F19" s="2">
        <f>('Kwh Reading'!J20-'Kwh Reading'!J19)*1000</f>
        <v>180.00000000000682</v>
      </c>
      <c r="G19" s="2">
        <f>('Kwh Reading'!K20-'Kwh Reading'!K19)*1000</f>
        <v>199.99999999998863</v>
      </c>
      <c r="H19" s="2">
        <f>('Kwh Reading'!L20-'Kwh Reading'!L19)*1000</f>
        <v>169.99999999998749</v>
      </c>
      <c r="I19" s="2">
        <f>('Kwh Reading'!R20-'Kwh Reading'!R19)*1000</f>
        <v>319.99999999999318</v>
      </c>
      <c r="J19" s="2">
        <f>('Kwh Reading'!S20-'Kwh Reading'!S19)*1000</f>
        <v>280.00000000000114</v>
      </c>
      <c r="K19" s="2">
        <f>('Kwh Reading'!I20-'Kwh Reading'!I19)*1000</f>
        <v>339.99999999997499</v>
      </c>
      <c r="L19" s="2">
        <f>('Kwh Reading'!B20-'Kwh Reading'!B19)*1000</f>
        <v>1399.9999999999773</v>
      </c>
      <c r="M19" s="2">
        <f>('Kwh Reading'!M20-'Kwh Reading'!M19)*1000</f>
        <v>889.99999999998636</v>
      </c>
      <c r="N19" s="2">
        <f>('Kwh Reading'!H20-'Kwh Reading'!H19)*1000</f>
        <v>420.00000000007276</v>
      </c>
      <c r="O19" s="2">
        <f>('Kwh Reading'!P20-'Kwh Reading'!P19)*1000</f>
        <v>1200.0000000000455</v>
      </c>
      <c r="P19" s="2">
        <f>('Kwh Reading'!G20-'Kwh Reading'!G19)*1000</f>
        <v>910.00000000008185</v>
      </c>
      <c r="Q19" s="2">
        <f>('Kwh Reading'!Q20-'Kwh Reading'!Q19)*1000</f>
        <v>780.00000000002956</v>
      </c>
      <c r="R19" s="2">
        <f>('Kwh Reading'!N20-'Kwh Reading'!N19)*1000</f>
        <v>800.00000000001137</v>
      </c>
      <c r="S19" s="34">
        <f>'Kwh Reading'!E20-'Kwh Reading'!E19</f>
        <v>3452.7200000006706</v>
      </c>
      <c r="T19" s="34">
        <f>'Kwh Reading'!D20-'Kwh Reading'!D19</f>
        <v>1902.9399999994785</v>
      </c>
      <c r="U19" s="27">
        <f>('Kwh Reading'!O20-'Kwh Reading'!O19)*1000</f>
        <v>250</v>
      </c>
      <c r="V19" s="16">
        <f t="shared" si="1"/>
        <v>1214.3399999997418</v>
      </c>
    </row>
    <row r="20" spans="1:22" x14ac:dyDescent="0.25">
      <c r="A20" s="3">
        <f>'Kwh Reading'!A20</f>
        <v>44364</v>
      </c>
      <c r="B20" s="26">
        <f>TOTAL!E18</f>
        <v>28610.000000000124</v>
      </c>
      <c r="C20" s="4">
        <f>('Kwh Reading'!T21-'Kwh Reading'!T20)*1000</f>
        <v>420.00000000001592</v>
      </c>
      <c r="D20" s="2">
        <f>('Kwh Reading'!F21-'Kwh Reading'!F20)*1000000</f>
        <v>2499.9999999999468</v>
      </c>
      <c r="E20" s="2">
        <f>('Kwh Reading'!C21-'Kwh Reading'!C20)*1000</f>
        <v>199.99999999998863</v>
      </c>
      <c r="F20" s="2">
        <f>('Kwh Reading'!J21-'Kwh Reading'!J20)*1000</f>
        <v>250</v>
      </c>
      <c r="G20" s="2">
        <f>('Kwh Reading'!K21-'Kwh Reading'!K20)*1000</f>
        <v>269.99999999998181</v>
      </c>
      <c r="H20" s="2">
        <f>('Kwh Reading'!L21-'Kwh Reading'!L20)*1000</f>
        <v>189.99999999999773</v>
      </c>
      <c r="I20" s="2">
        <f>('Kwh Reading'!R21-'Kwh Reading'!R20)*1000</f>
        <v>259.99999999999091</v>
      </c>
      <c r="J20" s="2">
        <f>('Kwh Reading'!S21-'Kwh Reading'!S20)*1000</f>
        <v>79.999999999998295</v>
      </c>
      <c r="K20" s="2">
        <f>('Kwh Reading'!I21-'Kwh Reading'!I20)*1000</f>
        <v>290.00000000002046</v>
      </c>
      <c r="L20" s="2">
        <f>('Kwh Reading'!B21-'Kwh Reading'!B20)*1000</f>
        <v>1470.0000000000273</v>
      </c>
      <c r="M20" s="2">
        <f>('Kwh Reading'!M21-'Kwh Reading'!M20)*1000</f>
        <v>870.00000000000455</v>
      </c>
      <c r="N20" s="2">
        <f>('Kwh Reading'!H21-'Kwh Reading'!H20)*1000</f>
        <v>419.99999999995907</v>
      </c>
      <c r="O20" s="2">
        <f>('Kwh Reading'!P21-'Kwh Reading'!P20)*1000</f>
        <v>1069.9999999999363</v>
      </c>
      <c r="P20" s="2">
        <f>('Kwh Reading'!G21-'Kwh Reading'!G20)*1000</f>
        <v>889.99999999998636</v>
      </c>
      <c r="Q20" s="2">
        <f>('Kwh Reading'!Q21-'Kwh Reading'!Q20)*1000</f>
        <v>759.99999999999091</v>
      </c>
      <c r="R20" s="2">
        <f>('Kwh Reading'!N21-'Kwh Reading'!N20)*1000</f>
        <v>810.00000000000227</v>
      </c>
      <c r="S20" s="34">
        <f>'Kwh Reading'!E21-'Kwh Reading'!E20</f>
        <v>3126.269999999553</v>
      </c>
      <c r="T20" s="34">
        <f>'Kwh Reading'!D21-'Kwh Reading'!D20</f>
        <v>3185.730000000447</v>
      </c>
      <c r="U20" s="27">
        <f>('Kwh Reading'!O21-'Kwh Reading'!O20)*1000</f>
        <v>270.00000000001023</v>
      </c>
      <c r="V20" s="16">
        <f t="shared" si="1"/>
        <v>11278.000000000266</v>
      </c>
    </row>
    <row r="21" spans="1:22" ht="16.5" customHeight="1" x14ac:dyDescent="0.25">
      <c r="A21" s="3">
        <f>'Kwh Reading'!A21</f>
        <v>44365</v>
      </c>
      <c r="B21" s="26">
        <f>TOTAL!E19</f>
        <v>23489.999999999327</v>
      </c>
      <c r="C21" s="4">
        <f>('Kwh Reading'!T22-'Kwh Reading'!T21)*1000</f>
        <v>299.99999999995453</v>
      </c>
      <c r="D21" s="2">
        <f>('Kwh Reading'!F22-'Kwh Reading'!F21)*1000000</f>
        <v>2600.0000000001578</v>
      </c>
      <c r="E21" s="2">
        <f>('Kwh Reading'!C22-'Kwh Reading'!C21)*1000</f>
        <v>230.00000000001819</v>
      </c>
      <c r="F21" s="2">
        <f>('Kwh Reading'!J22-'Kwh Reading'!J21)*1000</f>
        <v>199.99999999998863</v>
      </c>
      <c r="G21" s="2">
        <f>('Kwh Reading'!K22-'Kwh Reading'!K21)*1000</f>
        <v>250</v>
      </c>
      <c r="H21" s="2">
        <f>('Kwh Reading'!L22-'Kwh Reading'!L21)*1000</f>
        <v>189.99999999999773</v>
      </c>
      <c r="I21" s="2">
        <f>('Kwh Reading'!R22-'Kwh Reading'!R21)*1000</f>
        <v>280.00000000000114</v>
      </c>
      <c r="J21" s="2">
        <f>('Kwh Reading'!S22-'Kwh Reading'!S21)*1000</f>
        <v>90.000000000003411</v>
      </c>
      <c r="K21" s="2">
        <f>('Kwh Reading'!I22-'Kwh Reading'!I21)*1000</f>
        <v>389.99999999998636</v>
      </c>
      <c r="L21" s="2">
        <f>('Kwh Reading'!B22-'Kwh Reading'!B21)*1000</f>
        <v>1460.0000000000364</v>
      </c>
      <c r="M21" s="2">
        <f>('Kwh Reading'!M22-'Kwh Reading'!M21)*1000</f>
        <v>850.00000000002274</v>
      </c>
      <c r="N21" s="2">
        <f>('Kwh Reading'!H22-'Kwh Reading'!H21)*1000</f>
        <v>389.99999999998636</v>
      </c>
      <c r="O21" s="2">
        <f>('Kwh Reading'!P22-'Kwh Reading'!P21)*1000</f>
        <v>1139.9999999999864</v>
      </c>
      <c r="P21" s="2">
        <f>('Kwh Reading'!G22-'Kwh Reading'!G21)*1000</f>
        <v>939.99999999994088</v>
      </c>
      <c r="Q21" s="2">
        <f>('Kwh Reading'!Q22-'Kwh Reading'!Q21)*1000</f>
        <v>859.9999999999568</v>
      </c>
      <c r="R21" s="2">
        <f>('Kwh Reading'!N22-'Kwh Reading'!N21)*1000</f>
        <v>789.99999999996362</v>
      </c>
      <c r="S21" s="34">
        <f>'Kwh Reading'!E22-'Kwh Reading'!E21</f>
        <v>3202.0499999998137</v>
      </c>
      <c r="T21" s="34">
        <f>'Kwh Reading'!D22-'Kwh Reading'!D21</f>
        <v>2726.3899999996647</v>
      </c>
      <c r="U21" s="27">
        <f>('Kwh Reading'!O22-'Kwh Reading'!O21)*1000</f>
        <v>269.99999999998181</v>
      </c>
      <c r="V21" s="16">
        <f t="shared" si="1"/>
        <v>6331.5599999998667</v>
      </c>
    </row>
    <row r="22" spans="1:22" x14ac:dyDescent="0.25">
      <c r="A22" s="3">
        <f>'Kwh Reading'!A22</f>
        <v>44366</v>
      </c>
      <c r="B22" s="26">
        <f>TOTAL!E20</f>
        <v>23380.000000000109</v>
      </c>
      <c r="C22" s="4">
        <f>('Kwh Reading'!T23-'Kwh Reading'!T22)*1000</f>
        <v>460.00000000003638</v>
      </c>
      <c r="D22" s="2">
        <f>('Kwh Reading'!F23-'Kwh Reading'!F22)*1000000</f>
        <v>2399.9999999997358</v>
      </c>
      <c r="E22" s="2">
        <f>('Kwh Reading'!C23-'Kwh Reading'!C22)*1000</f>
        <v>799.99999999998295</v>
      </c>
      <c r="F22" s="2">
        <f>('Kwh Reading'!J23-'Kwh Reading'!J22)*1000</f>
        <v>129.99999999999545</v>
      </c>
      <c r="G22" s="2">
        <f>('Kwh Reading'!K23-'Kwh Reading'!K22)*1000</f>
        <v>210.00000000003638</v>
      </c>
      <c r="H22" s="2">
        <f>('Kwh Reading'!L23-'Kwh Reading'!L22)*1000</f>
        <v>180.00000000000682</v>
      </c>
      <c r="I22" s="2">
        <f>('Kwh Reading'!R23-'Kwh Reading'!R22)*1000</f>
        <v>319.99999999999318</v>
      </c>
      <c r="J22" s="2">
        <f>('Kwh Reading'!S23-'Kwh Reading'!S22)*1000</f>
        <v>140.00000000000057</v>
      </c>
      <c r="K22" s="2">
        <f>('Kwh Reading'!I23-'Kwh Reading'!I22)*1000</f>
        <v>349.99999999999432</v>
      </c>
      <c r="L22" s="2">
        <f>('Kwh Reading'!B23-'Kwh Reading'!B22)*1000</f>
        <v>1309.9999999999454</v>
      </c>
      <c r="M22" s="2">
        <f>('Kwh Reading'!M23-'Kwh Reading'!M22)*1000</f>
        <v>739.99999999995225</v>
      </c>
      <c r="N22" s="2">
        <f>('Kwh Reading'!H23-'Kwh Reading'!H22)*1000</f>
        <v>430.00000000006366</v>
      </c>
      <c r="O22" s="2">
        <f>('Kwh Reading'!P23-'Kwh Reading'!P22)*1000</f>
        <v>1090.0000000000318</v>
      </c>
      <c r="P22" s="2">
        <f>('Kwh Reading'!G23-'Kwh Reading'!G22)*1000</f>
        <v>889.99999999998636</v>
      </c>
      <c r="Q22" s="2">
        <f>('Kwh Reading'!Q23-'Kwh Reading'!Q22)*1000</f>
        <v>770.00000000003865</v>
      </c>
      <c r="R22" s="2">
        <f>('Kwh Reading'!N23-'Kwh Reading'!N22)*1000</f>
        <v>750</v>
      </c>
      <c r="S22" s="34">
        <f>'Kwh Reading'!E23-'Kwh Reading'!E22</f>
        <v>3584.230000000447</v>
      </c>
      <c r="T22" s="34">
        <f>'Kwh Reading'!D23-'Kwh Reading'!D22</f>
        <v>2603.339999999851</v>
      </c>
      <c r="U22" s="27">
        <f>('Kwh Reading'!O23-'Kwh Reading'!O22)*1000</f>
        <v>219.99999999999886</v>
      </c>
      <c r="V22" s="16">
        <f t="shared" si="1"/>
        <v>6002.4300000000148</v>
      </c>
    </row>
    <row r="23" spans="1:22" x14ac:dyDescent="0.25">
      <c r="A23" s="3">
        <f>'Kwh Reading'!A23</f>
        <v>44367</v>
      </c>
      <c r="B23" s="26">
        <f>TOTAL!E21</f>
        <v>22530.00000000111</v>
      </c>
      <c r="C23" s="4">
        <f>('Kwh Reading'!T24-'Kwh Reading'!T23)*1000</f>
        <v>459.99999999997954</v>
      </c>
      <c r="D23" s="2">
        <f>('Kwh Reading'!F24-'Kwh Reading'!F23)*1000000</f>
        <v>2499.9999999999468</v>
      </c>
      <c r="E23" s="2">
        <f>('Kwh Reading'!C24-'Kwh Reading'!C23)*1000</f>
        <v>-389.99999999998636</v>
      </c>
      <c r="F23" s="2">
        <f>('Kwh Reading'!J24-'Kwh Reading'!J23)*1000</f>
        <v>129.99999999999545</v>
      </c>
      <c r="G23" s="2">
        <f>('Kwh Reading'!K24-'Kwh Reading'!K23)*1000</f>
        <v>229.99999999996135</v>
      </c>
      <c r="H23" s="2">
        <f>('Kwh Reading'!L24-'Kwh Reading'!L23)*1000</f>
        <v>169.99999999998749</v>
      </c>
      <c r="I23" s="2">
        <f>('Kwh Reading'!R24-'Kwh Reading'!R23)*1000</f>
        <v>500</v>
      </c>
      <c r="J23" s="2">
        <f>('Kwh Reading'!S24-'Kwh Reading'!S23)*1000</f>
        <v>129.99999999999545</v>
      </c>
      <c r="K23" s="2">
        <f>('Kwh Reading'!I24-'Kwh Reading'!I23)*1000</f>
        <v>350.00000000002274</v>
      </c>
      <c r="L23" s="2">
        <f>('Kwh Reading'!B24-'Kwh Reading'!B23)*1000</f>
        <v>1259.9999999999909</v>
      </c>
      <c r="M23" s="2">
        <f>('Kwh Reading'!M24-'Kwh Reading'!M23)*1000</f>
        <v>780.00000000002956</v>
      </c>
      <c r="N23" s="2">
        <f>('Kwh Reading'!H24-'Kwh Reading'!H23)*1000</f>
        <v>519.99999999998181</v>
      </c>
      <c r="O23" s="2">
        <f>('Kwh Reading'!P24-'Kwh Reading'!P23)*1000</f>
        <v>1060.0000000000591</v>
      </c>
      <c r="P23" s="2">
        <f>('Kwh Reading'!G24-'Kwh Reading'!G23)*1000</f>
        <v>890.00000000010004</v>
      </c>
      <c r="Q23" s="2">
        <f>('Kwh Reading'!Q24-'Kwh Reading'!Q23)*1000</f>
        <v>759.99999999999091</v>
      </c>
      <c r="R23" s="2">
        <f>('Kwh Reading'!N24-'Kwh Reading'!N23)*1000</f>
        <v>760.00000000004775</v>
      </c>
      <c r="S23" s="34">
        <f>'Kwh Reading'!E24-'Kwh Reading'!E23</f>
        <v>3554.4799999995157</v>
      </c>
      <c r="T23" s="34">
        <f>'Kwh Reading'!D24-'Kwh Reading'!D23</f>
        <v>2639.570000000298</v>
      </c>
      <c r="U23" s="27">
        <f>('Kwh Reading'!O24-'Kwh Reading'!O23)*1000</f>
        <v>230.00000000001819</v>
      </c>
      <c r="V23" s="16">
        <f t="shared" si="1"/>
        <v>5995.9500000011722</v>
      </c>
    </row>
    <row r="24" spans="1:22" x14ac:dyDescent="0.25">
      <c r="A24" s="3">
        <f>'Kwh Reading'!A24</f>
        <v>44368</v>
      </c>
      <c r="B24" s="26">
        <f>TOTAL!E22</f>
        <v>24279.999999999061</v>
      </c>
      <c r="C24" s="4">
        <f>('Kwh Reading'!T25-'Kwh Reading'!T24)*1000</f>
        <v>509.99999999999091</v>
      </c>
      <c r="D24" s="2">
        <f>('Kwh Reading'!F25-'Kwh Reading'!F24)*1000000</f>
        <v>2500.0000000003906</v>
      </c>
      <c r="E24" s="2">
        <f>('Kwh Reading'!C25-'Kwh Reading'!C24)*1000</f>
        <v>259.99999999999091</v>
      </c>
      <c r="F24" s="2">
        <f>('Kwh Reading'!J25-'Kwh Reading'!J24)*1000</f>
        <v>240.00000000000909</v>
      </c>
      <c r="G24" s="2">
        <f>('Kwh Reading'!K25-'Kwh Reading'!K24)*1000</f>
        <v>280.00000000002956</v>
      </c>
      <c r="H24" s="2">
        <f>('Kwh Reading'!L25-'Kwh Reading'!L24)*1000</f>
        <v>200.00000000001705</v>
      </c>
      <c r="I24" s="2">
        <f>('Kwh Reading'!R25-'Kwh Reading'!R24)*1000</f>
        <v>130.00000000002387</v>
      </c>
      <c r="J24" s="2">
        <f>('Kwh Reading'!S25-'Kwh Reading'!S24)*1000</f>
        <v>140.00000000000057</v>
      </c>
      <c r="K24" s="2">
        <f>('Kwh Reading'!I25-'Kwh Reading'!I24)*1000</f>
        <v>369.99999999997613</v>
      </c>
      <c r="L24" s="2">
        <f>('Kwh Reading'!B25-'Kwh Reading'!B24)*1000</f>
        <v>1440.0000000000546</v>
      </c>
      <c r="M24" s="2">
        <f>('Kwh Reading'!M25-'Kwh Reading'!M24)*1000</f>
        <v>810.00000000000227</v>
      </c>
      <c r="N24" s="2">
        <f>('Kwh Reading'!H25-'Kwh Reading'!H24)*1000</f>
        <v>480.00000000001819</v>
      </c>
      <c r="O24" s="2">
        <f>('Kwh Reading'!P25-'Kwh Reading'!P24)*1000</f>
        <v>1059.9999999999454</v>
      </c>
      <c r="P24" s="2">
        <f>('Kwh Reading'!G25-'Kwh Reading'!G24)*1000</f>
        <v>959.99999999992269</v>
      </c>
      <c r="Q24" s="2">
        <f>('Kwh Reading'!Q25-'Kwh Reading'!Q24)*1000</f>
        <v>779.99999999997272</v>
      </c>
      <c r="R24" s="2">
        <f>('Kwh Reading'!N25-'Kwh Reading'!N24)*1000</f>
        <v>799.99999999995453</v>
      </c>
      <c r="S24" s="2">
        <f>'Kwh Reading'!E25-'Kwh Reading'!E24</f>
        <v>3759.4300000006333</v>
      </c>
      <c r="T24" s="2">
        <f>'Kwh Reading'!D25-'Kwh Reading'!D24</f>
        <v>2788.0599999995902</v>
      </c>
      <c r="U24" s="27">
        <f>('Kwh Reading'!O25-'Kwh Reading'!O24)*1000</f>
        <v>229.99999999998977</v>
      </c>
      <c r="V24" s="16">
        <f t="shared" si="1"/>
        <v>6542.5099999985505</v>
      </c>
    </row>
    <row r="25" spans="1:22" x14ac:dyDescent="0.25">
      <c r="A25" s="3">
        <f>'Kwh Reading'!A25</f>
        <v>44369</v>
      </c>
      <c r="B25" s="26">
        <f>TOTAL!E23</f>
        <v>23740.000000000236</v>
      </c>
      <c r="C25" s="4">
        <f>('Kwh Reading'!T26-'Kwh Reading'!T25)*1000</f>
        <v>470.00000000002728</v>
      </c>
      <c r="D25" s="2">
        <f>('Kwh Reading'!F26-'Kwh Reading'!F25)*1000000</f>
        <v>2499.9999999999468</v>
      </c>
      <c r="E25" s="2">
        <f>('Kwh Reading'!C26-'Kwh Reading'!C25)*1000</f>
        <v>240.00000000000909</v>
      </c>
      <c r="F25" s="2">
        <f>('Kwh Reading'!J26-'Kwh Reading'!J25)*1000</f>
        <v>209.99999999997954</v>
      </c>
      <c r="G25" s="2">
        <f>('Kwh Reading'!K26-'Kwh Reading'!K25)*1000</f>
        <v>269.99999999998181</v>
      </c>
      <c r="H25" s="2">
        <f>('Kwh Reading'!L26-'Kwh Reading'!L25)*1000</f>
        <v>199.99999999998863</v>
      </c>
      <c r="I25" s="2">
        <f>('Kwh Reading'!R26-'Kwh Reading'!R25)*1000</f>
        <v>310.00000000000227</v>
      </c>
      <c r="J25" s="2">
        <f>('Kwh Reading'!S26-'Kwh Reading'!S25)*1000</f>
        <v>140.00000000000057</v>
      </c>
      <c r="K25" s="2">
        <f>('Kwh Reading'!I26-'Kwh Reading'!I25)*1000</f>
        <v>370.00000000000455</v>
      </c>
      <c r="L25" s="2">
        <f>('Kwh Reading'!B26-'Kwh Reading'!B25)*1000</f>
        <v>1370.0000000000045</v>
      </c>
      <c r="M25" s="2">
        <f>('Kwh Reading'!M26-'Kwh Reading'!M25)*1000</f>
        <v>859.9999999999568</v>
      </c>
      <c r="N25" s="2">
        <f>('Kwh Reading'!H26-'Kwh Reading'!H25)*1000</f>
        <v>529.99999999997272</v>
      </c>
      <c r="O25" s="2">
        <f>('Kwh Reading'!P26-'Kwh Reading'!P25)*1000</f>
        <v>1070.00000000005</v>
      </c>
      <c r="P25" s="2">
        <f>('Kwh Reading'!G26-'Kwh Reading'!G25)*1000</f>
        <v>910.00000000008185</v>
      </c>
      <c r="Q25" s="2">
        <f>('Kwh Reading'!Q26-'Kwh Reading'!Q25)*1000</f>
        <v>750</v>
      </c>
      <c r="R25" s="2">
        <f>('Kwh Reading'!N26-'Kwh Reading'!N25)*1000</f>
        <v>760.00000000004775</v>
      </c>
      <c r="S25" s="2">
        <f>'Kwh Reading'!E26-'Kwh Reading'!E25</f>
        <v>3679.7399999992922</v>
      </c>
      <c r="T25" s="2">
        <f>'Kwh Reading'!D26-'Kwh Reading'!D25</f>
        <v>2643.8000000007451</v>
      </c>
      <c r="U25" s="27">
        <f>('Kwh Reading'!O26-'Kwh Reading'!O25)*1000</f>
        <v>199.99999999998863</v>
      </c>
      <c r="V25" s="16">
        <f t="shared" si="1"/>
        <v>6256.4600000001592</v>
      </c>
    </row>
    <row r="26" spans="1:22" x14ac:dyDescent="0.25">
      <c r="A26" s="3">
        <f>'Kwh Reading'!A26</f>
        <v>44370</v>
      </c>
      <c r="B26" s="26">
        <f>TOTAL!E24</f>
        <v>22890.000000000098</v>
      </c>
      <c r="C26" s="4">
        <f>('Kwh Reading'!T27-'Kwh Reading'!T26)*1000</f>
        <v>449.99999999998863</v>
      </c>
      <c r="D26" s="2">
        <f>('Kwh Reading'!F27-'Kwh Reading'!F26)*1000000</f>
        <v>2499.9999999999468</v>
      </c>
      <c r="E26" s="2">
        <f>('Kwh Reading'!C27-'Kwh Reading'!C26)*1000</f>
        <v>239.99999999998067</v>
      </c>
      <c r="F26" s="2">
        <f>('Kwh Reading'!J27-'Kwh Reading'!J26)*1000</f>
        <v>240.00000000000909</v>
      </c>
      <c r="G26" s="2">
        <f>('Kwh Reading'!K27-'Kwh Reading'!K26)*1000</f>
        <v>270.00000000003865</v>
      </c>
      <c r="H26" s="2">
        <f>('Kwh Reading'!L27-'Kwh Reading'!L26)*1000</f>
        <v>189.99999999999773</v>
      </c>
      <c r="I26" s="2">
        <f>('Kwh Reading'!R27-'Kwh Reading'!R26)*1000</f>
        <v>329.99999999998408</v>
      </c>
      <c r="J26" s="2">
        <f>('Kwh Reading'!S27-'Kwh Reading'!S26)*1000</f>
        <v>129.99999999999545</v>
      </c>
      <c r="K26" s="2">
        <f>('Kwh Reading'!I27-'Kwh Reading'!I26)*1000</f>
        <v>360.00000000001364</v>
      </c>
      <c r="L26" s="2">
        <f>('Kwh Reading'!B27-'Kwh Reading'!B26)*1000</f>
        <v>1340.0000000000318</v>
      </c>
      <c r="M26" s="2">
        <f>('Kwh Reading'!M27-'Kwh Reading'!M26)*1000</f>
        <v>750</v>
      </c>
      <c r="N26" s="2">
        <f>('Kwh Reading'!H27-'Kwh Reading'!H26)*1000</f>
        <v>500</v>
      </c>
      <c r="O26" s="2">
        <f>('Kwh Reading'!P27-'Kwh Reading'!P26)*1000</f>
        <v>1099.9999999999091</v>
      </c>
      <c r="P26" s="2">
        <f>('Kwh Reading'!G27-'Kwh Reading'!G26)*1000</f>
        <v>869.99999999989086</v>
      </c>
      <c r="Q26" s="2">
        <f>('Kwh Reading'!Q27-'Kwh Reading'!Q26)*1000</f>
        <v>740.00000000000909</v>
      </c>
      <c r="R26" s="2">
        <f>('Kwh Reading'!N27-'Kwh Reading'!N26)*1000</f>
        <v>759.99999999999091</v>
      </c>
      <c r="S26" s="2">
        <f>'Kwh Reading'!E27-'Kwh Reading'!E26</f>
        <v>3659.4700000006706</v>
      </c>
      <c r="T26" s="2">
        <f>'Kwh Reading'!D27-'Kwh Reading'!D26</f>
        <v>2279.8700000001118</v>
      </c>
      <c r="U26" s="27">
        <f>('Kwh Reading'!O27-'Kwh Reading'!O26)*1000</f>
        <v>300.00000000001137</v>
      </c>
      <c r="V26" s="16">
        <f t="shared" si="1"/>
        <v>5880.6599999995196</v>
      </c>
    </row>
    <row r="27" spans="1:22" x14ac:dyDescent="0.25">
      <c r="A27" s="3">
        <f>'Kwh Reading'!A27</f>
        <v>44371</v>
      </c>
      <c r="B27" s="26">
        <f>TOTAL!E25</f>
        <v>23200</v>
      </c>
      <c r="C27" s="4">
        <f>('Kwh Reading'!T28-'Kwh Reading'!T27)*1000</f>
        <v>470.00000000002728</v>
      </c>
      <c r="D27" s="2">
        <f>('Kwh Reading'!F28-'Kwh Reading'!F27)*1000000</f>
        <v>2499.9999999999468</v>
      </c>
      <c r="E27" s="2">
        <f>('Kwh Reading'!C28-'Kwh Reading'!C27)*1000</f>
        <v>200.00000000001705</v>
      </c>
      <c r="F27" s="2">
        <f>('Kwh Reading'!J28-'Kwh Reading'!J27)*1000</f>
        <v>180.00000000000682</v>
      </c>
      <c r="G27" s="2">
        <f>('Kwh Reading'!K28-'Kwh Reading'!K27)*1000</f>
        <v>209.99999999997954</v>
      </c>
      <c r="H27" s="2">
        <f>('Kwh Reading'!L28-'Kwh Reading'!L27)*1000</f>
        <v>180.00000000000682</v>
      </c>
      <c r="I27" s="2">
        <f>('Kwh Reading'!R28-'Kwh Reading'!R27)*1000</f>
        <v>170.00000000001592</v>
      </c>
      <c r="J27" s="2">
        <f>('Kwh Reading'!S28-'Kwh Reading'!S27)*1000</f>
        <v>109.99999999999943</v>
      </c>
      <c r="K27" s="2">
        <f>('Kwh Reading'!I28-'Kwh Reading'!I27)*1000</f>
        <v>319.99999999999318</v>
      </c>
      <c r="L27" s="2">
        <f>('Kwh Reading'!B28-'Kwh Reading'!B27)*1000</f>
        <v>1329.9999999999272</v>
      </c>
      <c r="M27" s="2">
        <f>('Kwh Reading'!M28-'Kwh Reading'!M27)*1000</f>
        <v>730.00000000001819</v>
      </c>
      <c r="N27" s="2">
        <f>('Kwh Reading'!H28-'Kwh Reading'!H27)*1000</f>
        <v>470.00000000002728</v>
      </c>
      <c r="O27" s="2">
        <f>('Kwh Reading'!P28-'Kwh Reading'!P27)*1000</f>
        <v>1250</v>
      </c>
      <c r="P27" s="2">
        <f>('Kwh Reading'!G28-'Kwh Reading'!G27)*1000</f>
        <v>880.00000000010914</v>
      </c>
      <c r="Q27" s="2">
        <f>('Kwh Reading'!Q28-'Kwh Reading'!Q27)*1000</f>
        <v>800.00000000001137</v>
      </c>
      <c r="R27" s="2">
        <f>('Kwh Reading'!N28-'Kwh Reading'!N27)*1000</f>
        <v>829.99999999998408</v>
      </c>
      <c r="S27" s="2">
        <f>'Kwh Reading'!E28-'Kwh Reading'!E27</f>
        <v>3544.4799999995157</v>
      </c>
      <c r="T27" s="2">
        <f>'Kwh Reading'!D28-'Kwh Reading'!D27</f>
        <v>2401.8899999996647</v>
      </c>
      <c r="U27" s="27">
        <f>('Kwh Reading'!O28-'Kwh Reading'!O27)*1000</f>
        <v>169.99999999998749</v>
      </c>
      <c r="V27" s="16">
        <f t="shared" si="1"/>
        <v>6453.6300000007614</v>
      </c>
    </row>
    <row r="28" spans="1:22" x14ac:dyDescent="0.25">
      <c r="A28" s="3">
        <f>'Kwh Reading'!A28</f>
        <v>44372</v>
      </c>
      <c r="B28" s="26">
        <f>TOTAL!E26</f>
        <v>21460</v>
      </c>
      <c r="C28" s="4">
        <f>('Kwh Reading'!T29-'Kwh Reading'!T28)*1000</f>
        <v>279.99999999997272</v>
      </c>
      <c r="D28" s="2">
        <f>('Kwh Reading'!F29-'Kwh Reading'!F28)*1000000</f>
        <v>1599.9999999998238</v>
      </c>
      <c r="E28" s="2">
        <f>('Kwh Reading'!C29-'Kwh Reading'!C28)*1000</f>
        <v>250</v>
      </c>
      <c r="F28" s="2">
        <f>('Kwh Reading'!J29-'Kwh Reading'!J28)*1000</f>
        <v>240.00000000000909</v>
      </c>
      <c r="G28" s="2">
        <f>('Kwh Reading'!K29-'Kwh Reading'!K28)*1000</f>
        <v>250</v>
      </c>
      <c r="H28" s="2">
        <f>('Kwh Reading'!L29-'Kwh Reading'!L28)*1000</f>
        <v>189.99999999999773</v>
      </c>
      <c r="I28" s="2">
        <f>('Kwh Reading'!R29-'Kwh Reading'!R28)*1000</f>
        <v>309.99999999997385</v>
      </c>
      <c r="J28" s="2">
        <f>('Kwh Reading'!S29-'Kwh Reading'!S28)*1000</f>
        <v>120.00000000000455</v>
      </c>
      <c r="K28" s="2">
        <f>('Kwh Reading'!I29-'Kwh Reading'!I28)*1000</f>
        <v>310.00000000000227</v>
      </c>
      <c r="L28" s="2">
        <f>('Kwh Reading'!B29-'Kwh Reading'!B28)*1000</f>
        <v>1320.00000000005</v>
      </c>
      <c r="M28" s="2">
        <f>('Kwh Reading'!M29-'Kwh Reading'!M28)*1000</f>
        <v>789.99999999996362</v>
      </c>
      <c r="N28" s="2">
        <f>('Kwh Reading'!H29-'Kwh Reading'!H28)*1000</f>
        <v>469.9999999999136</v>
      </c>
      <c r="O28" s="2">
        <f>('Kwh Reading'!P29-'Kwh Reading'!P28)*1000</f>
        <v>1060.0000000000591</v>
      </c>
      <c r="P28" s="2">
        <f>('Kwh Reading'!G29-'Kwh Reading'!G28)*1000</f>
        <v>789.99999999996362</v>
      </c>
      <c r="Q28" s="2">
        <f>('Kwh Reading'!Q29-'Kwh Reading'!Q28)*1000</f>
        <v>819.99999999999318</v>
      </c>
      <c r="R28" s="2">
        <f>('Kwh Reading'!N29-'Kwh Reading'!N28)*1000</f>
        <v>800.00000000001137</v>
      </c>
      <c r="S28" s="2">
        <f>'Kwh Reading'!E29-'Kwh Reading'!E28</f>
        <v>2998.1200000001118</v>
      </c>
      <c r="T28" s="2">
        <f>'Kwh Reading'!D29-'Kwh Reading'!D28</f>
        <v>2106.5599999995902</v>
      </c>
      <c r="U28" s="27">
        <f>('Kwh Reading'!O29-'Kwh Reading'!O28)*1000</f>
        <v>200.00000000001705</v>
      </c>
      <c r="V28" s="16">
        <f t="shared" si="1"/>
        <v>6555.3200000005436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-418500</v>
      </c>
      <c r="D29" s="2">
        <f>('Kwh Reading'!F30-'Kwh Reading'!F29)*1000000</f>
        <v>-2368000</v>
      </c>
      <c r="E29" s="2">
        <f>('Kwh Reading'!C30-'Kwh Reading'!C29)*1000</f>
        <v>-228430</v>
      </c>
      <c r="F29" s="2">
        <f>('Kwh Reading'!J30-'Kwh Reading'!J29)*1000</f>
        <v>-315290</v>
      </c>
      <c r="G29" s="2">
        <f>('Kwh Reading'!K30-'Kwh Reading'!K29)*1000</f>
        <v>-339430</v>
      </c>
      <c r="H29" s="2">
        <f>('Kwh Reading'!L30-'Kwh Reading'!L29)*1000</f>
        <v>-232940</v>
      </c>
      <c r="I29" s="2">
        <f>('Kwh Reading'!R30-'Kwh Reading'!R29)*1000</f>
        <v>-156170</v>
      </c>
      <c r="J29" s="2">
        <f>('Kwh Reading'!S30-'Kwh Reading'!S29)*1000</f>
        <v>-114560</v>
      </c>
      <c r="K29" s="2">
        <f>('Kwh Reading'!I30-'Kwh Reading'!I29)*1000</f>
        <v>-234560</v>
      </c>
      <c r="L29" s="2">
        <f>('Kwh Reading'!B30-'Kwh Reading'!B29)*1000</f>
        <v>-974720</v>
      </c>
      <c r="M29" s="2">
        <f>('Kwh Reading'!M30-'Kwh Reading'!M29)*1000</f>
        <v>-514809.99999999994</v>
      </c>
      <c r="N29" s="2">
        <f>('Kwh Reading'!H30-'Kwh Reading'!H29)*1000</f>
        <v>-619790</v>
      </c>
      <c r="O29" s="2">
        <f>('Kwh Reading'!P30-'Kwh Reading'!P29)*1000</f>
        <v>-614110</v>
      </c>
      <c r="P29" s="2">
        <f>('Kwh Reading'!G30-'Kwh Reading'!G29)*1000</f>
        <v>-742480</v>
      </c>
      <c r="Q29" s="2">
        <f>('Kwh Reading'!Q30-'Kwh Reading'!Q29)*1000</f>
        <v>-458010</v>
      </c>
      <c r="R29" s="2">
        <f>('Kwh Reading'!N30-'Kwh Reading'!N29)*1000</f>
        <v>-469110</v>
      </c>
      <c r="S29" s="2">
        <f>'Kwh Reading'!E30-'Kwh Reading'!E29</f>
        <v>-8170121.4199999999</v>
      </c>
      <c r="T29" s="2">
        <f>'Kwh Reading'!D30-'Kwh Reading'!D29</f>
        <v>-7469457.3899999997</v>
      </c>
      <c r="U29" s="27">
        <f>('Kwh Reading'!O30-'Kwh Reading'!O29)*1000</f>
        <v>-150340</v>
      </c>
      <c r="V29" s="16">
        <f t="shared" si="1"/>
        <v>24590828.810000002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578079.99999999977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</v>
      </c>
      <c r="K35" s="75">
        <f t="shared" si="6"/>
        <v>-226280</v>
      </c>
      <c r="L35" s="75">
        <f t="shared" si="6"/>
        <v>-941590</v>
      </c>
      <c r="M35" s="75">
        <f t="shared" si="6"/>
        <v>-494460</v>
      </c>
      <c r="N35" s="75">
        <f t="shared" si="6"/>
        <v>-608010</v>
      </c>
      <c r="O35" s="75">
        <f t="shared" si="6"/>
        <v>-586590</v>
      </c>
      <c r="P35" s="75">
        <f t="shared" si="6"/>
        <v>-719090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24751492.770000003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18020.000000000211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1">
        <f>'Kwh Consumption'!U19</f>
        <v>250</v>
      </c>
      <c r="L18" s="32">
        <f t="shared" si="0"/>
        <v>1214.3399999997382</v>
      </c>
    </row>
    <row r="19" spans="1:12" x14ac:dyDescent="0.25">
      <c r="A19" s="14">
        <f>'Kwh Reading'!A20</f>
        <v>44364</v>
      </c>
      <c r="B19" s="83">
        <f>TOTAL!E18</f>
        <v>28610.000000000124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2">
        <f t="shared" si="0"/>
        <v>11278.000000000269</v>
      </c>
    </row>
    <row r="20" spans="1:12" x14ac:dyDescent="0.25">
      <c r="A20" s="14">
        <f>'Kwh Reading'!A21</f>
        <v>44365</v>
      </c>
      <c r="B20" s="83">
        <f>TOTAL!E19</f>
        <v>23489.999999999327</v>
      </c>
      <c r="C20" s="1">
        <f>'Kwh Consumption'!C21</f>
        <v>299.99999999995453</v>
      </c>
      <c r="D20" s="1">
        <f>'Kwh Consumption'!D21</f>
        <v>2600.0000000001578</v>
      </c>
      <c r="E20" s="1">
        <f>'Kwh Consumption'!E21</f>
        <v>230.00000000001819</v>
      </c>
      <c r="F20" s="1">
        <f>('Kwh Consumption'!F21+'Kwh Consumption'!G21+'Kwh Consumption'!H21)</f>
        <v>639.99999999998636</v>
      </c>
      <c r="G20" s="16">
        <f>('Kwh Consumption'!I21+'Kwh Consumption'!J21)</f>
        <v>370.00000000000455</v>
      </c>
      <c r="H20" s="1">
        <f>('Kwh Consumption'!K21+'Kwh Consumption'!L21)</f>
        <v>1850.0000000000227</v>
      </c>
      <c r="I20" s="1">
        <f>('Kwh Consumption'!M21+'Kwh Consumption'!N21+'Kwh Consumption'!O21+'Kwh Consumption'!P21+'Kwh Consumption'!Q21+'Kwh Consumption'!R21)</f>
        <v>4969.9999999998563</v>
      </c>
      <c r="J20" s="1">
        <f>('Kwh Consumption'!S21+'Kwh Consumption'!T21)</f>
        <v>5928.4399999994785</v>
      </c>
      <c r="K20" s="1">
        <f>'Kwh Consumption'!U21</f>
        <v>269.99999999998181</v>
      </c>
      <c r="L20" s="32">
        <f t="shared" si="0"/>
        <v>6331.5599999998722</v>
      </c>
    </row>
    <row r="21" spans="1:12" x14ac:dyDescent="0.25">
      <c r="A21" s="14">
        <f>'Kwh Reading'!A22</f>
        <v>44366</v>
      </c>
      <c r="B21" s="83">
        <f>TOTAL!E20</f>
        <v>23380.000000000109</v>
      </c>
      <c r="C21" s="1">
        <f>'Kwh Consumption'!C22</f>
        <v>460.00000000003638</v>
      </c>
      <c r="D21" s="1">
        <f>'Kwh Consumption'!D22</f>
        <v>2399.9999999997358</v>
      </c>
      <c r="E21" s="1">
        <f>'Kwh Consumption'!E22</f>
        <v>799.99999999998295</v>
      </c>
      <c r="F21" s="1">
        <f>('Kwh Consumption'!F22+'Kwh Consumption'!G22+'Kwh Consumption'!H22)</f>
        <v>520.00000000003865</v>
      </c>
      <c r="G21" s="16">
        <f>('Kwh Consumption'!I22+'Kwh Consumption'!J22)</f>
        <v>459.99999999999375</v>
      </c>
      <c r="H21" s="1">
        <f>('Kwh Consumption'!K22+'Kwh Consumption'!L22)</f>
        <v>1659.9999999999397</v>
      </c>
      <c r="I21" s="1">
        <f>('Kwh Consumption'!M22+'Kwh Consumption'!N22+'Kwh Consumption'!O22+'Kwh Consumption'!P22+'Kwh Consumption'!Q22+'Kwh Consumption'!R22)</f>
        <v>4670.0000000000728</v>
      </c>
      <c r="J21" s="1">
        <f>('Kwh Consumption'!S22+'Kwh Consumption'!T22)</f>
        <v>6187.570000000298</v>
      </c>
      <c r="K21" s="1">
        <f>'Kwh Consumption'!U22</f>
        <v>219.99999999999886</v>
      </c>
      <c r="L21" s="32">
        <f t="shared" si="0"/>
        <v>6002.4300000000158</v>
      </c>
    </row>
    <row r="22" spans="1:12" x14ac:dyDescent="0.25">
      <c r="A22" s="14">
        <f>'Kwh Reading'!A23</f>
        <v>44367</v>
      </c>
      <c r="B22" s="83">
        <f>TOTAL!E21</f>
        <v>22530.00000000111</v>
      </c>
      <c r="C22" s="1">
        <f>'Kwh Consumption'!C23</f>
        <v>459.99999999997954</v>
      </c>
      <c r="D22" s="1">
        <f>'Kwh Consumption'!D23</f>
        <v>2499.9999999999468</v>
      </c>
      <c r="E22" s="1">
        <f>'Kwh Consumption'!E23</f>
        <v>-389.99999999998636</v>
      </c>
      <c r="F22" s="1">
        <f>('Kwh Consumption'!F23+'Kwh Consumption'!G23+'Kwh Consumption'!H23)</f>
        <v>529.99999999994429</v>
      </c>
      <c r="G22" s="16">
        <f>('Kwh Consumption'!I23+'Kwh Consumption'!J23)</f>
        <v>629.99999999999545</v>
      </c>
      <c r="H22" s="1">
        <f>('Kwh Consumption'!K23+'Kwh Consumption'!L23)</f>
        <v>1610.0000000000136</v>
      </c>
      <c r="I22" s="1">
        <f>('Kwh Consumption'!M23+'Kwh Consumption'!N23+'Kwh Consumption'!O23+'Kwh Consumption'!P23+'Kwh Consumption'!Q23+'Kwh Consumption'!R23)</f>
        <v>4770.0000000002092</v>
      </c>
      <c r="J22" s="1">
        <f>('Kwh Consumption'!S23+'Kwh Consumption'!T23)</f>
        <v>6194.0499999998137</v>
      </c>
      <c r="K22" s="1">
        <f>'Kwh Consumption'!U23</f>
        <v>230.00000000001819</v>
      </c>
      <c r="L22" s="32">
        <f t="shared" si="0"/>
        <v>5995.950000001174</v>
      </c>
    </row>
    <row r="23" spans="1:12" x14ac:dyDescent="0.25">
      <c r="A23" s="14">
        <f>'Kwh Reading'!A24</f>
        <v>44368</v>
      </c>
      <c r="B23" s="83">
        <f>TOTAL!E22</f>
        <v>24279.999999999061</v>
      </c>
      <c r="C23" s="1">
        <f>'Kwh Consumption'!C24</f>
        <v>509.99999999999091</v>
      </c>
      <c r="D23" s="1">
        <f>'Kwh Consumption'!D24</f>
        <v>2500.0000000003906</v>
      </c>
      <c r="E23" s="1">
        <f>'Kwh Consumption'!E24</f>
        <v>259.99999999999091</v>
      </c>
      <c r="F23" s="1">
        <f>('Kwh Consumption'!F24+'Kwh Consumption'!G24+'Kwh Consumption'!H24)</f>
        <v>720.00000000005571</v>
      </c>
      <c r="G23" s="16">
        <f>('Kwh Consumption'!I24+'Kwh Consumption'!J24)</f>
        <v>270.00000000002444</v>
      </c>
      <c r="H23" s="1">
        <f>('Kwh Consumption'!K24+'Kwh Consumption'!L24)</f>
        <v>1810.0000000000307</v>
      </c>
      <c r="I23" s="1">
        <f>('Kwh Consumption'!M24+'Kwh Consumption'!N24+'Kwh Consumption'!O24+'Kwh Consumption'!P24+'Kwh Consumption'!Q24+'Kwh Consumption'!R24)</f>
        <v>4889.9999999998163</v>
      </c>
      <c r="J23" s="1">
        <f>('Kwh Consumption'!S24+'Kwh Consumption'!T24)</f>
        <v>6547.4900000002235</v>
      </c>
      <c r="K23" s="1">
        <f>'Kwh Consumption'!U24</f>
        <v>229.99999999998977</v>
      </c>
      <c r="L23" s="32">
        <f t="shared" si="0"/>
        <v>6542.5099999985514</v>
      </c>
    </row>
    <row r="24" spans="1:12" x14ac:dyDescent="0.25">
      <c r="A24" s="14">
        <f>'Kwh Reading'!A25</f>
        <v>44369</v>
      </c>
      <c r="B24" s="83">
        <f>TOTAL!E23</f>
        <v>23740.000000000236</v>
      </c>
      <c r="C24" s="1">
        <f>'Kwh Consumption'!C25</f>
        <v>470.00000000002728</v>
      </c>
      <c r="D24" s="1">
        <f>'Kwh Consumption'!D25</f>
        <v>2499.9999999999468</v>
      </c>
      <c r="E24" s="1">
        <f>'Kwh Consumption'!E25</f>
        <v>240.00000000000909</v>
      </c>
      <c r="F24" s="1">
        <f>('Kwh Consumption'!F25+'Kwh Consumption'!G25+'Kwh Consumption'!H25)</f>
        <v>679.99999999994998</v>
      </c>
      <c r="G24" s="16">
        <f>('Kwh Consumption'!I25+'Kwh Consumption'!J25)</f>
        <v>450.00000000000284</v>
      </c>
      <c r="H24" s="1">
        <f>('Kwh Consumption'!K25+'Kwh Consumption'!L25)</f>
        <v>1740.0000000000091</v>
      </c>
      <c r="I24" s="1">
        <f>('Kwh Consumption'!M25+'Kwh Consumption'!N25+'Kwh Consumption'!O25+'Kwh Consumption'!P25+'Kwh Consumption'!Q25+'Kwh Consumption'!R25)</f>
        <v>4880.0000000001091</v>
      </c>
      <c r="J24" s="1">
        <f>('Kwh Consumption'!S25+'Kwh Consumption'!T25)</f>
        <v>6323.5400000000373</v>
      </c>
      <c r="K24" s="1">
        <f>'Kwh Consumption'!U25</f>
        <v>199.99999999998863</v>
      </c>
      <c r="L24" s="32">
        <f t="shared" si="0"/>
        <v>6256.4600000001556</v>
      </c>
    </row>
    <row r="25" spans="1:12" x14ac:dyDescent="0.25">
      <c r="A25" s="14">
        <f>'Kwh Reading'!A26</f>
        <v>44370</v>
      </c>
      <c r="B25" s="83">
        <f>TOTAL!E24</f>
        <v>22890.000000000098</v>
      </c>
      <c r="C25" s="1">
        <f>'Kwh Consumption'!C26</f>
        <v>449.99999999998863</v>
      </c>
      <c r="D25" s="1">
        <f>'Kwh Consumption'!D26</f>
        <v>2499.9999999999468</v>
      </c>
      <c r="E25" s="1">
        <f>'Kwh Consumption'!E26</f>
        <v>239.99999999998067</v>
      </c>
      <c r="F25" s="1">
        <f>('Kwh Consumption'!F26+'Kwh Consumption'!G26+'Kwh Consumption'!H26)</f>
        <v>700.00000000004547</v>
      </c>
      <c r="G25" s="16">
        <f>('Kwh Consumption'!I26+'Kwh Consumption'!J26)</f>
        <v>459.99999999997954</v>
      </c>
      <c r="H25" s="1">
        <f>('Kwh Consumption'!K26+'Kwh Consumption'!L26)</f>
        <v>1700.0000000000455</v>
      </c>
      <c r="I25" s="1">
        <f>('Kwh Consumption'!M26+'Kwh Consumption'!N26+'Kwh Consumption'!O26+'Kwh Consumption'!P26+'Kwh Consumption'!Q26+'Kwh Consumption'!R26)</f>
        <v>4719.9999999997999</v>
      </c>
      <c r="J25" s="1">
        <f>('Kwh Consumption'!S26+'Kwh Consumption'!T26)</f>
        <v>5939.3400000007823</v>
      </c>
      <c r="K25" s="1">
        <f>'Kwh Consumption'!U26</f>
        <v>300.00000000001137</v>
      </c>
      <c r="L25" s="32">
        <f t="shared" si="0"/>
        <v>5880.6599999995233</v>
      </c>
    </row>
    <row r="26" spans="1:12" x14ac:dyDescent="0.25">
      <c r="A26" s="14">
        <f>'Kwh Reading'!A27</f>
        <v>44371</v>
      </c>
      <c r="B26" s="83">
        <f>TOTAL!E25</f>
        <v>23200</v>
      </c>
      <c r="C26" s="1">
        <f>'Kwh Consumption'!C27</f>
        <v>470.00000000002728</v>
      </c>
      <c r="D26" s="1">
        <f>'Kwh Consumption'!D27</f>
        <v>2499.9999999999468</v>
      </c>
      <c r="E26" s="1">
        <f>'Kwh Consumption'!E27</f>
        <v>200.00000000001705</v>
      </c>
      <c r="F26" s="1">
        <f>('Kwh Consumption'!F27+'Kwh Consumption'!G27+'Kwh Consumption'!H27)</f>
        <v>569.99999999999318</v>
      </c>
      <c r="G26" s="16">
        <f>('Kwh Consumption'!I27+'Kwh Consumption'!J27)</f>
        <v>280.00000000001535</v>
      </c>
      <c r="H26" s="1">
        <f>('Kwh Consumption'!K27+'Kwh Consumption'!L27)</f>
        <v>1649.9999999999204</v>
      </c>
      <c r="I26" s="1">
        <f>('Kwh Consumption'!M27+'Kwh Consumption'!N27+'Kwh Consumption'!O27+'Kwh Consumption'!P27+'Kwh Consumption'!Q27+'Kwh Consumption'!R27)</f>
        <v>4960.0000000001492</v>
      </c>
      <c r="J26" s="1">
        <f>('Kwh Consumption'!S27+'Kwh Consumption'!T27)</f>
        <v>5946.3699999991804</v>
      </c>
      <c r="K26" s="1">
        <f>'Kwh Consumption'!U27</f>
        <v>169.99999999998749</v>
      </c>
      <c r="L26" s="32">
        <f t="shared" si="0"/>
        <v>6453.6300000007632</v>
      </c>
    </row>
    <row r="27" spans="1:12" x14ac:dyDescent="0.25">
      <c r="A27" s="14">
        <f>'Kwh Reading'!A28</f>
        <v>44372</v>
      </c>
      <c r="B27" s="83">
        <f>TOTAL!E26</f>
        <v>21460</v>
      </c>
      <c r="C27" s="1">
        <f>'Kwh Consumption'!C28</f>
        <v>279.99999999997272</v>
      </c>
      <c r="D27" s="1">
        <f>'Kwh Consumption'!D28</f>
        <v>1599.9999999998238</v>
      </c>
      <c r="E27" s="1">
        <f>'Kwh Consumption'!E28</f>
        <v>250</v>
      </c>
      <c r="F27" s="1">
        <f>('Kwh Consumption'!F28+'Kwh Consumption'!G28+'Kwh Consumption'!H28)</f>
        <v>680.00000000000682</v>
      </c>
      <c r="G27" s="16">
        <f>('Kwh Consumption'!I28+'Kwh Consumption'!J28)</f>
        <v>429.9999999999784</v>
      </c>
      <c r="H27" s="1">
        <f>('Kwh Consumption'!K28+'Kwh Consumption'!L28)</f>
        <v>1630.0000000000523</v>
      </c>
      <c r="I27" s="1">
        <f>('Kwh Consumption'!M28+'Kwh Consumption'!N28+'Kwh Consumption'!O28+'Kwh Consumption'!P28+'Kwh Consumption'!Q28+'Kwh Consumption'!R28)</f>
        <v>4729.9999999999045</v>
      </c>
      <c r="J27" s="1">
        <f>('Kwh Consumption'!S28+'Kwh Consumption'!T28)</f>
        <v>5104.679999999702</v>
      </c>
      <c r="K27" s="1">
        <f>'Kwh Consumption'!U28</f>
        <v>200.00000000001705</v>
      </c>
      <c r="L27" s="32">
        <f t="shared" si="0"/>
        <v>6555.3200000005427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-418500</v>
      </c>
      <c r="D28" s="1">
        <f>'Kwh Consumption'!D29</f>
        <v>-2368000</v>
      </c>
      <c r="E28" s="1">
        <f>'Kwh Consumption'!E29</f>
        <v>-228430</v>
      </c>
      <c r="F28" s="1">
        <f>('Kwh Consumption'!F29+'Kwh Consumption'!G29+'Kwh Consumption'!H29)</f>
        <v>-887660</v>
      </c>
      <c r="G28" s="16">
        <f>('Kwh Consumption'!I29+'Kwh Consumption'!J29)</f>
        <v>-270730</v>
      </c>
      <c r="H28" s="1">
        <f>('Kwh Consumption'!K29+'Kwh Consumption'!L29)</f>
        <v>-1209280</v>
      </c>
      <c r="I28" s="1">
        <f>('Kwh Consumption'!M29+'Kwh Consumption'!N29+'Kwh Consumption'!O29+'Kwh Consumption'!P29+'Kwh Consumption'!Q29+'Kwh Consumption'!R29)</f>
        <v>-3418310</v>
      </c>
      <c r="J28" s="1">
        <f>('Kwh Consumption'!S29+'Kwh Consumption'!T29)</f>
        <v>-15639578.809999999</v>
      </c>
      <c r="K28" s="1">
        <f>'Kwh Consumption'!U29</f>
        <v>-150340</v>
      </c>
      <c r="L28" s="32">
        <f t="shared" si="0"/>
        <v>24590828.809999999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575310.00000000047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-144040</v>
      </c>
      <c r="L34" s="75">
        <f t="shared" si="1"/>
        <v>24748722.77</v>
      </c>
      <c r="M34" s="84">
        <f>C34+D34+E34+F34+G34+H34+I34+J34+K34+L34</f>
        <v>575310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-20165.600000000002</v>
      </c>
      <c r="L36" s="75">
        <f>L34*B36</f>
        <v>3464821.1878000004</v>
      </c>
      <c r="M36" s="84">
        <f>C36+D36+E36+F36+G36+H36+I36+J36+K36+L36</f>
        <v>80543.399999999907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2522.8000000000297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170.00759999996387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4005.4000000000178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1578.9200000000374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3288.5999999999062</v>
      </c>
      <c r="D20" s="1">
        <f>'Kwh Consumption'!C21*' Kwh area wise $ '!B20</f>
        <v>41.999999999993641</v>
      </c>
      <c r="E20" s="1">
        <f>'Kwh Consumption'!D21*' Kwh area wise $ '!B20</f>
        <v>364.00000000002211</v>
      </c>
      <c r="F20" s="1">
        <f>'Kwh Consumption'!E21*' Kwh area wise $ '!B20</f>
        <v>32.200000000002547</v>
      </c>
      <c r="G20" s="1">
        <f>('Kwh Consumption'!F21+'Kwh Consumption'!G21+'Kwh Consumption'!H21)*' Kwh area wise $ '!B20</f>
        <v>89.599999999998104</v>
      </c>
      <c r="H20" s="16">
        <f>('Kwh Consumption'!I21+'Kwh Consumption'!J21)*' Kwh area wise $ '!B20</f>
        <v>51.800000000000644</v>
      </c>
      <c r="I20" s="1">
        <f>('Kwh Consumption'!K21+'Kwh Consumption'!L21)*' Kwh area wise $ '!B20</f>
        <v>259.00000000000318</v>
      </c>
      <c r="J20" s="1">
        <f>('Kwh Consumption'!M21+'Kwh Consumption'!N21+'Kwh Consumption'!O21+'Kwh Consumption'!P21+'Kwh Consumption'!Q21+'Kwh Consumption'!R21)*' Kwh area wise $ '!B20</f>
        <v>695.79999999997995</v>
      </c>
      <c r="K20" s="1">
        <f>('Kwh Consumption'!S21+'Kwh Consumption'!T21)*' Kwh area wise $ '!B20</f>
        <v>829.98159999992708</v>
      </c>
      <c r="L20" s="1">
        <f>'Kwh Consumption'!U21*' Kwh area wise $ '!B20</f>
        <v>37.799999999997461</v>
      </c>
      <c r="M20" s="1">
        <f>'Kwh Consumption'!V21*' Kwh area wise $ '!B20</f>
        <v>886.41839999998138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3273.2000000000157</v>
      </c>
      <c r="D21" s="1">
        <f>'Kwh Consumption'!C22*' Kwh area wise $ '!B21</f>
        <v>64.400000000005093</v>
      </c>
      <c r="E21" s="1">
        <f>'Kwh Consumption'!D22*' Kwh area wise $ '!B21</f>
        <v>335.99999999996305</v>
      </c>
      <c r="F21" s="1">
        <f>'Kwh Consumption'!E22*' Kwh area wise $ '!B21</f>
        <v>111.99999999999763</v>
      </c>
      <c r="G21" s="1">
        <f>('Kwh Consumption'!F22+'Kwh Consumption'!G22+'Kwh Consumption'!H22)*' Kwh area wise $ '!B21</f>
        <v>72.800000000005411</v>
      </c>
      <c r="H21" s="16">
        <f>('Kwh Consumption'!I22+'Kwh Consumption'!J22)*' Kwh area wise $ '!B21</f>
        <v>64.399999999999125</v>
      </c>
      <c r="I21" s="1">
        <f>('Kwh Consumption'!K22+'Kwh Consumption'!L22)*' Kwh area wise $ '!B21</f>
        <v>232.39999999999159</v>
      </c>
      <c r="J21" s="1">
        <f>('Kwh Consumption'!M22+'Kwh Consumption'!N22+'Kwh Consumption'!O22+'Kwh Consumption'!P22+'Kwh Consumption'!Q22+'Kwh Consumption'!R22)*' Kwh area wise $ '!B21</f>
        <v>653.8000000000103</v>
      </c>
      <c r="K21" s="1">
        <f>('Kwh Consumption'!S22+'Kwh Consumption'!T22)*' Kwh area wise $ '!B21</f>
        <v>866.25980000004176</v>
      </c>
      <c r="L21" s="1">
        <f>'Kwh Consumption'!U22*' Kwh area wise $ '!B21</f>
        <v>30.799999999999844</v>
      </c>
      <c r="M21" s="1">
        <f>'Kwh Consumption'!V22*' Kwh area wise $ '!B21</f>
        <v>840.34020000000214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3154.2000000001558</v>
      </c>
      <c r="D22" s="1">
        <f>'Kwh Consumption'!C23*' Kwh area wise $ '!B22</f>
        <v>64.399999999997135</v>
      </c>
      <c r="E22" s="1">
        <f>'Kwh Consumption'!D23*' Kwh area wise $ '!B22</f>
        <v>349.99999999999261</v>
      </c>
      <c r="F22" s="1">
        <f>'Kwh Consumption'!E23*' Kwh area wise $ '!B22</f>
        <v>-54.599999999998097</v>
      </c>
      <c r="G22" s="1">
        <f>('Kwh Consumption'!F23+'Kwh Consumption'!G23+'Kwh Consumption'!H23)*' Kwh area wise $ '!B22</f>
        <v>74.199999999992201</v>
      </c>
      <c r="H22" s="16">
        <f>('Kwh Consumption'!I23+'Kwh Consumption'!J23)*' Kwh area wise $ '!B22</f>
        <v>88.199999999999378</v>
      </c>
      <c r="I22" s="1">
        <f>('Kwh Consumption'!K23+'Kwh Consumption'!L23)*' Kwh area wise $ '!B22</f>
        <v>225.40000000000194</v>
      </c>
      <c r="J22" s="1">
        <f>('Kwh Consumption'!M23+'Kwh Consumption'!N23+'Kwh Consumption'!O23+'Kwh Consumption'!P23+'Kwh Consumption'!Q23+'Kwh Consumption'!R23)*' Kwh area wise $ '!B22</f>
        <v>667.8000000000294</v>
      </c>
      <c r="K22" s="1">
        <f>('Kwh Consumption'!S23+'Kwh Consumption'!T23)*' Kwh area wise $ '!B22</f>
        <v>867.166999999974</v>
      </c>
      <c r="L22" s="1">
        <f>'Kwh Consumption'!U23*' Kwh area wise $ '!B22</f>
        <v>32.200000000002547</v>
      </c>
      <c r="M22" s="1">
        <f>'Kwh Consumption'!V23*' Kwh area wise $ '!B22</f>
        <v>839.43300000016416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3399.1999999998689</v>
      </c>
      <c r="D23" s="1">
        <f>'Kwh Consumption'!C24*' Kwh area wise $ '!B23</f>
        <v>71.399999999998727</v>
      </c>
      <c r="E23" s="1">
        <f>'Kwh Consumption'!D24*' Kwh area wise $ '!B23</f>
        <v>350.00000000005474</v>
      </c>
      <c r="F23" s="1">
        <f>'Kwh Consumption'!E24*' Kwh area wise $ '!B23</f>
        <v>36.399999999998727</v>
      </c>
      <c r="G23" s="1">
        <f>('Kwh Consumption'!F24+'Kwh Consumption'!G24+'Kwh Consumption'!H24)*' Kwh area wise $ '!B23</f>
        <v>100.80000000000781</v>
      </c>
      <c r="H23" s="16">
        <f>('Kwh Consumption'!I24+'Kwh Consumption'!J24)*' Kwh area wise $ '!B23</f>
        <v>37.800000000003429</v>
      </c>
      <c r="I23" s="1">
        <f>('Kwh Consumption'!K24+'Kwh Consumption'!L24)*' Kwh area wise $ '!B23</f>
        <v>253.40000000000433</v>
      </c>
      <c r="J23" s="1">
        <f>('Kwh Consumption'!M24+'Kwh Consumption'!N24+'Kwh Consumption'!O24+'Kwh Consumption'!P24+'Kwh Consumption'!Q24+'Kwh Consumption'!R24)*' Kwh area wise $ '!B23</f>
        <v>684.59999999997433</v>
      </c>
      <c r="K23" s="1">
        <f>('Kwh Consumption'!S24+'Kwh Consumption'!T24)*' Kwh area wise $ '!B23</f>
        <v>916.64860000003137</v>
      </c>
      <c r="L23" s="1">
        <f>'Kwh Consumption'!U24*' Kwh area wise $ '!B23</f>
        <v>32.199999999998568</v>
      </c>
      <c r="M23" s="1">
        <f>'Kwh Consumption'!V24*' Kwh area wise $ '!B23</f>
        <v>915.9513999997971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3323.6000000000336</v>
      </c>
      <c r="D24" s="1">
        <f>'Kwh Consumption'!C25*' Kwh area wise $ '!B24</f>
        <v>65.80000000000382</v>
      </c>
      <c r="E24" s="1">
        <f>'Kwh Consumption'!D25*' Kwh area wise $ '!B24</f>
        <v>349.99999999999261</v>
      </c>
      <c r="F24" s="1">
        <f>'Kwh Consumption'!E25*' Kwh area wise $ '!B24</f>
        <v>33.600000000001273</v>
      </c>
      <c r="G24" s="1">
        <f>('Kwh Consumption'!F25+'Kwh Consumption'!G25+'Kwh Consumption'!H25)*' Kwh area wise $ '!B24</f>
        <v>95.199999999993011</v>
      </c>
      <c r="H24" s="16">
        <f>('Kwh Consumption'!I25+'Kwh Consumption'!J25)*' Kwh area wise $ '!B24</f>
        <v>63.000000000000405</v>
      </c>
      <c r="I24" s="1">
        <f>('Kwh Consumption'!K25+'Kwh Consumption'!L25)*' Kwh area wise $ '!B24</f>
        <v>243.6000000000013</v>
      </c>
      <c r="J24" s="1">
        <f>('Kwh Consumption'!M25+'Kwh Consumption'!N25+'Kwh Consumption'!O25+'Kwh Consumption'!P25+'Kwh Consumption'!Q25+'Kwh Consumption'!R25)*' Kwh area wise $ '!B24</f>
        <v>683.20000000001539</v>
      </c>
      <c r="K24" s="1">
        <f>('Kwh Consumption'!S25+'Kwh Consumption'!T25)*' Kwh area wise $ '!B24</f>
        <v>885.29560000000527</v>
      </c>
      <c r="L24" s="1">
        <f>'Kwh Consumption'!U25*' Kwh area wise $ '!B24</f>
        <v>27.999999999998412</v>
      </c>
      <c r="M24" s="1">
        <f>'Kwh Consumption'!V25*' Kwh area wise $ '!B24</f>
        <v>875.90440000002241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3204.600000000014</v>
      </c>
      <c r="D25" s="1">
        <f>'Kwh Consumption'!C26*' Kwh area wise $ '!B25</f>
        <v>62.999999999998415</v>
      </c>
      <c r="E25" s="1">
        <f>'Kwh Consumption'!D26*' Kwh area wise $ '!B25</f>
        <v>349.99999999999261</v>
      </c>
      <c r="F25" s="1">
        <f>'Kwh Consumption'!E26*' Kwh area wise $ '!B25</f>
        <v>33.599999999997294</v>
      </c>
      <c r="G25" s="1">
        <f>('Kwh Consumption'!F26+'Kwh Consumption'!G26+'Kwh Consumption'!H26)*' Kwh area wise $ '!B25</f>
        <v>98.000000000006381</v>
      </c>
      <c r="H25" s="16">
        <f>('Kwh Consumption'!I26+'Kwh Consumption'!J26)*' Kwh area wise $ '!B25</f>
        <v>64.399999999997135</v>
      </c>
      <c r="I25" s="1">
        <f>('Kwh Consumption'!K26+'Kwh Consumption'!L26)*' Kwh area wise $ '!B25</f>
        <v>238.00000000000639</v>
      </c>
      <c r="J25" s="1">
        <f>('Kwh Consumption'!M26+'Kwh Consumption'!N26+'Kwh Consumption'!O26+'Kwh Consumption'!P26+'Kwh Consumption'!Q26+'Kwh Consumption'!R26)*' Kwh area wise $ '!B25</f>
        <v>660.7999999999721</v>
      </c>
      <c r="K25" s="1">
        <f>('Kwh Consumption'!S26+'Kwh Consumption'!T26)*' Kwh area wise $ '!B25</f>
        <v>831.50760000010962</v>
      </c>
      <c r="L25" s="1">
        <f>'Kwh Consumption'!U26*' Kwh area wise $ '!B25</f>
        <v>42.000000000001599</v>
      </c>
      <c r="M25" s="1">
        <f>'Kwh Consumption'!V26*' Kwh area wise $ '!B25</f>
        <v>823.29239999993285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3248.0000000000005</v>
      </c>
      <c r="D26" s="1">
        <f>'Kwh Consumption'!C27*' Kwh area wise $ '!B26</f>
        <v>65.80000000000382</v>
      </c>
      <c r="E26" s="1">
        <f>'Kwh Consumption'!D27*' Kwh area wise $ '!B26</f>
        <v>349.99999999999261</v>
      </c>
      <c r="F26" s="1">
        <f>'Kwh Consumption'!E27*' Kwh area wise $ '!B26</f>
        <v>28.000000000002391</v>
      </c>
      <c r="G26" s="1">
        <f>('Kwh Consumption'!F27+'Kwh Consumption'!G27+'Kwh Consumption'!H27)*' Kwh area wise $ '!B26</f>
        <v>79.799999999999059</v>
      </c>
      <c r="H26" s="16">
        <f>('Kwh Consumption'!I27+'Kwh Consumption'!J27)*' Kwh area wise $ '!B26</f>
        <v>39.200000000002156</v>
      </c>
      <c r="I26" s="1">
        <f>('Kwh Consumption'!K27+'Kwh Consumption'!L27)*' Kwh area wise $ '!B26</f>
        <v>230.99999999998889</v>
      </c>
      <c r="J26" s="1">
        <f>('Kwh Consumption'!M27+'Kwh Consumption'!N27+'Kwh Consumption'!O27+'Kwh Consumption'!P27+'Kwh Consumption'!Q27+'Kwh Consumption'!R27)*' Kwh area wise $ '!B26</f>
        <v>694.4000000000209</v>
      </c>
      <c r="K26" s="1">
        <f>('Kwh Consumption'!S27+'Kwh Consumption'!T27)*' Kwh area wise $ '!B26</f>
        <v>832.4917999998853</v>
      </c>
      <c r="L26" s="1">
        <f>'Kwh Consumption'!U27*' Kwh area wise $ '!B26</f>
        <v>23.799999999998253</v>
      </c>
      <c r="M26" s="1">
        <f>'Kwh Consumption'!V27*' Kwh area wise $ '!B26</f>
        <v>903.50820000010663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3004.4</v>
      </c>
      <c r="D27" s="1">
        <f>'Kwh Consumption'!C28*' Kwh area wise $ '!B27</f>
        <v>39.199999999996187</v>
      </c>
      <c r="E27" s="1">
        <f>'Kwh Consumption'!D28*' Kwh area wise $ '!B27</f>
        <v>223.99999999997536</v>
      </c>
      <c r="F27" s="1">
        <f>'Kwh Consumption'!E28*' Kwh area wise $ '!B27</f>
        <v>35</v>
      </c>
      <c r="G27" s="1">
        <f>('Kwh Consumption'!F28+'Kwh Consumption'!G28+'Kwh Consumption'!H28)*' Kwh area wise $ '!B27</f>
        <v>95.200000000000969</v>
      </c>
      <c r="H27" s="16">
        <f>('Kwh Consumption'!I28+'Kwh Consumption'!J28)*' Kwh area wise $ '!B27</f>
        <v>60.199999999996983</v>
      </c>
      <c r="I27" s="1">
        <f>('Kwh Consumption'!K28+'Kwh Consumption'!L28)*' Kwh area wise $ '!B27</f>
        <v>228.20000000000735</v>
      </c>
      <c r="J27" s="1">
        <f>('Kwh Consumption'!M28+'Kwh Consumption'!N28+'Kwh Consumption'!O28+'Kwh Consumption'!P28+'Kwh Consumption'!Q28+'Kwh Consumption'!R28)*' Kwh area wise $ '!B27</f>
        <v>662.19999999998674</v>
      </c>
      <c r="K27" s="1">
        <f>('Kwh Consumption'!S28+'Kwh Consumption'!T28)*' Kwh area wise $ '!B27</f>
        <v>714.65519999995831</v>
      </c>
      <c r="L27" s="1">
        <f>'Kwh Consumption'!U28*' Kwh area wise $ '!B27</f>
        <v>28.000000000002391</v>
      </c>
      <c r="M27" s="1">
        <f>'Kwh Consumption'!V28*' Kwh area wise $ '!B27</f>
        <v>917.74480000007622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-58590.000000000007</v>
      </c>
      <c r="E28" s="1">
        <f>'Kwh Consumption'!D29*' Kwh area wise $ '!B28</f>
        <v>-331520.00000000006</v>
      </c>
      <c r="F28" s="1">
        <f>'Kwh Consumption'!E29*' Kwh area wise $ '!B28</f>
        <v>-31980.200000000004</v>
      </c>
      <c r="G28" s="1">
        <f>('Kwh Consumption'!F29+'Kwh Consumption'!G29+'Kwh Consumption'!H29)*' Kwh area wise $ '!B28</f>
        <v>-124272.40000000001</v>
      </c>
      <c r="H28" s="16">
        <f>('Kwh Consumption'!I29+'Kwh Consumption'!J29)*' Kwh area wise $ '!B28</f>
        <v>-37902.200000000004</v>
      </c>
      <c r="I28" s="1">
        <f>('Kwh Consumption'!K29+'Kwh Consumption'!L29)*' Kwh area wise $ '!B28</f>
        <v>-169299.20000000001</v>
      </c>
      <c r="J28" s="1">
        <f>('Kwh Consumption'!M29+'Kwh Consumption'!N29+'Kwh Consumption'!O29+'Kwh Consumption'!P29+'Kwh Consumption'!Q29+'Kwh Consumption'!R29)*' Kwh area wise $ '!B28</f>
        <v>-478563.4</v>
      </c>
      <c r="K28" s="1">
        <f>('Kwh Consumption'!S29+'Kwh Consumption'!T29)*' Kwh area wise $ '!B28</f>
        <v>-2189541.0334000001</v>
      </c>
      <c r="L28" s="1">
        <f>'Kwh Consumption'!U29*' Kwh area wise $ '!B28</f>
        <v>-21047.600000000002</v>
      </c>
      <c r="M28" s="1">
        <f>'Kwh Consumption'!V29*' Kwh area wise $ '!B28</f>
        <v>3442716.0334000005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80931.199999999997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-2169230.3878000001</v>
      </c>
      <c r="L34" s="75">
        <f t="shared" si="0"/>
        <v>-20165.600000000002</v>
      </c>
      <c r="M34" s="75">
        <f>SUM(M3:M33)</f>
        <v>3465208.9878000007</v>
      </c>
      <c r="N34" s="84">
        <f>D34+E34+F34+G34+H34+I34+J34+K34+L34+M34</f>
        <v>80931.200000000186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="89" zoomScaleNormal="89" workbookViewId="0">
      <pane xSplit="1" ySplit="2" topLeftCell="C3" activePane="bottomRight" state="frozen"/>
      <selection pane="topRight" activeCell="C25" sqref="C25"/>
      <selection pane="bottomLeft" activeCell="C25" sqref="C25"/>
      <selection pane="bottomRight" activeCell="R29" sqref="R2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124453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51927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124460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>
        <v>165030</v>
      </c>
      <c r="C19" s="33">
        <v>125197</v>
      </c>
      <c r="D19" s="55">
        <v>207244</v>
      </c>
      <c r="E19" s="55">
        <v>246994</v>
      </c>
      <c r="F19" s="55">
        <v>66919</v>
      </c>
      <c r="G19" s="55">
        <v>111404</v>
      </c>
      <c r="H19" s="33">
        <v>52210</v>
      </c>
      <c r="I19" s="55">
        <v>63340</v>
      </c>
      <c r="J19" s="55">
        <v>20013</v>
      </c>
      <c r="K19" s="55">
        <v>1024</v>
      </c>
      <c r="L19" s="55">
        <v>17140</v>
      </c>
      <c r="M19" s="55">
        <v>23959</v>
      </c>
      <c r="N19" s="55">
        <v>7197</v>
      </c>
      <c r="O19" s="55">
        <v>1656</v>
      </c>
      <c r="P19" s="55">
        <v>26915</v>
      </c>
      <c r="Q19" s="33">
        <v>571</v>
      </c>
      <c r="R19" s="55">
        <v>6170</v>
      </c>
    </row>
    <row r="20" spans="1:22" x14ac:dyDescent="0.25">
      <c r="A20" s="54">
        <v>44365</v>
      </c>
      <c r="B20" s="33">
        <v>165111</v>
      </c>
      <c r="C20" s="56">
        <v>125439</v>
      </c>
      <c r="D20" s="10">
        <v>207405</v>
      </c>
      <c r="E20" s="55">
        <v>247090</v>
      </c>
      <c r="F20" s="55">
        <v>66919</v>
      </c>
      <c r="G20" s="55">
        <v>111422</v>
      </c>
      <c r="H20" s="33">
        <v>52252</v>
      </c>
      <c r="I20" s="55">
        <v>63371</v>
      </c>
      <c r="J20" s="55">
        <v>20034</v>
      </c>
      <c r="K20" s="55">
        <v>1024</v>
      </c>
      <c r="L20" s="55">
        <v>17144</v>
      </c>
      <c r="M20" s="55">
        <v>23976</v>
      </c>
      <c r="N20" s="55">
        <v>7205</v>
      </c>
      <c r="O20" s="55">
        <v>1657</v>
      </c>
      <c r="P20" s="55">
        <v>26930</v>
      </c>
      <c r="Q20" s="33">
        <v>577</v>
      </c>
      <c r="R20" s="55">
        <v>6174</v>
      </c>
    </row>
    <row r="21" spans="1:22" x14ac:dyDescent="0.25">
      <c r="A21" s="54">
        <v>44366</v>
      </c>
      <c r="B21" s="33">
        <v>165363</v>
      </c>
      <c r="C21" s="33">
        <v>125484</v>
      </c>
      <c r="D21" s="55">
        <v>207548</v>
      </c>
      <c r="E21" s="55">
        <v>247193</v>
      </c>
      <c r="F21" s="55">
        <v>66921</v>
      </c>
      <c r="G21" s="55">
        <v>111439</v>
      </c>
      <c r="H21" s="33">
        <v>52307</v>
      </c>
      <c r="I21" s="55">
        <v>63384</v>
      </c>
      <c r="J21" s="55">
        <v>20050</v>
      </c>
      <c r="K21" s="55">
        <v>1024</v>
      </c>
      <c r="L21" s="55">
        <v>17150</v>
      </c>
      <c r="M21" s="55">
        <v>23983</v>
      </c>
      <c r="N21" s="55">
        <v>7213</v>
      </c>
      <c r="O21" s="55">
        <v>1658</v>
      </c>
      <c r="P21" s="55">
        <v>26930</v>
      </c>
      <c r="Q21" s="33">
        <v>579</v>
      </c>
      <c r="R21" s="55">
        <v>6175</v>
      </c>
    </row>
    <row r="22" spans="1:22" x14ac:dyDescent="0.25">
      <c r="A22" s="54">
        <v>44367</v>
      </c>
      <c r="B22" s="33">
        <v>165531</v>
      </c>
      <c r="C22" s="56">
        <v>125812</v>
      </c>
      <c r="D22" s="55">
        <v>207687</v>
      </c>
      <c r="E22" s="55">
        <v>247244</v>
      </c>
      <c r="F22" s="55">
        <v>66922</v>
      </c>
      <c r="G22" s="55">
        <v>111453</v>
      </c>
      <c r="H22" s="33">
        <v>52382</v>
      </c>
      <c r="I22" s="55">
        <v>63411</v>
      </c>
      <c r="J22" s="55">
        <v>20067</v>
      </c>
      <c r="K22" s="55">
        <v>1024</v>
      </c>
      <c r="L22" s="55">
        <v>17157</v>
      </c>
      <c r="M22" s="55">
        <v>23998</v>
      </c>
      <c r="N22" s="55">
        <v>7223</v>
      </c>
      <c r="O22" s="55">
        <v>1659</v>
      </c>
      <c r="P22" s="55">
        <v>26942</v>
      </c>
      <c r="Q22" s="33">
        <v>580</v>
      </c>
      <c r="R22" s="55">
        <v>6180</v>
      </c>
    </row>
    <row r="23" spans="1:22" x14ac:dyDescent="0.25">
      <c r="A23" s="54">
        <v>44368</v>
      </c>
      <c r="B23" s="33">
        <v>165625</v>
      </c>
      <c r="C23" s="33">
        <v>126142</v>
      </c>
      <c r="D23" s="55">
        <v>207832</v>
      </c>
      <c r="E23" s="55">
        <v>247297</v>
      </c>
      <c r="F23" s="55">
        <v>66922</v>
      </c>
      <c r="G23" s="55">
        <v>111469</v>
      </c>
      <c r="H23" s="33">
        <v>52440</v>
      </c>
      <c r="I23" s="55">
        <v>63436</v>
      </c>
      <c r="J23" s="55">
        <v>20087</v>
      </c>
      <c r="K23" s="55">
        <v>1024</v>
      </c>
      <c r="L23" s="55">
        <v>17163</v>
      </c>
      <c r="M23" s="55">
        <v>24108</v>
      </c>
      <c r="N23" s="55">
        <v>7237</v>
      </c>
      <c r="O23" s="55">
        <v>1659</v>
      </c>
      <c r="P23" s="55">
        <v>26954</v>
      </c>
      <c r="Q23" s="33">
        <v>591</v>
      </c>
      <c r="R23" s="55">
        <v>6186</v>
      </c>
    </row>
    <row r="24" spans="1:22" x14ac:dyDescent="0.25">
      <c r="A24" s="54">
        <v>44369</v>
      </c>
      <c r="B24" s="33">
        <v>165754</v>
      </c>
      <c r="C24" s="56">
        <v>126470</v>
      </c>
      <c r="D24" s="55">
        <v>207981</v>
      </c>
      <c r="E24" s="55">
        <v>247352</v>
      </c>
      <c r="F24" s="55">
        <v>66923</v>
      </c>
      <c r="G24" s="55">
        <v>111487</v>
      </c>
      <c r="H24" s="33">
        <v>52485</v>
      </c>
      <c r="I24" s="55">
        <v>63466</v>
      </c>
      <c r="J24" s="55">
        <v>20106</v>
      </c>
      <c r="K24" s="55">
        <v>1024</v>
      </c>
      <c r="L24" s="55">
        <v>17170</v>
      </c>
      <c r="M24" s="55">
        <v>24025</v>
      </c>
      <c r="N24" s="55">
        <v>7239</v>
      </c>
      <c r="O24" s="55">
        <v>1660</v>
      </c>
      <c r="P24" s="55">
        <v>26966</v>
      </c>
      <c r="Q24" s="33">
        <v>599</v>
      </c>
      <c r="R24" s="55">
        <v>6190</v>
      </c>
    </row>
    <row r="25" spans="1:22" x14ac:dyDescent="0.25">
      <c r="A25" s="54">
        <v>44370</v>
      </c>
      <c r="B25" s="33">
        <v>165909</v>
      </c>
      <c r="C25" s="33">
        <v>126525</v>
      </c>
      <c r="D25" s="55">
        <v>208153</v>
      </c>
      <c r="E25" s="55">
        <v>247420</v>
      </c>
      <c r="F25" s="55">
        <v>66924</v>
      </c>
      <c r="G25" s="55">
        <v>111503</v>
      </c>
      <c r="H25" s="33">
        <v>52559</v>
      </c>
      <c r="I25" s="55">
        <v>63479</v>
      </c>
      <c r="J25" s="55">
        <v>20125</v>
      </c>
      <c r="K25" s="55">
        <v>1024</v>
      </c>
      <c r="L25" s="55">
        <v>17175</v>
      </c>
      <c r="M25" s="55">
        <v>24040</v>
      </c>
      <c r="N25" s="55">
        <v>7247</v>
      </c>
      <c r="O25" s="55">
        <v>1662</v>
      </c>
      <c r="P25" s="55">
        <v>26966</v>
      </c>
      <c r="Q25" s="33">
        <v>601</v>
      </c>
      <c r="R25" s="55">
        <v>6196</v>
      </c>
    </row>
    <row r="26" spans="1:22" x14ac:dyDescent="0.25">
      <c r="A26" s="54">
        <v>44371</v>
      </c>
      <c r="B26" s="33">
        <v>166258</v>
      </c>
      <c r="C26" s="56">
        <v>126537</v>
      </c>
      <c r="D26" s="55">
        <v>208281</v>
      </c>
      <c r="E26" s="55">
        <v>247478</v>
      </c>
      <c r="F26" s="55">
        <v>66924</v>
      </c>
      <c r="G26" s="55">
        <v>111520</v>
      </c>
      <c r="H26" s="33">
        <v>52611</v>
      </c>
      <c r="I26" s="55">
        <v>63503</v>
      </c>
      <c r="J26" s="55">
        <v>20145</v>
      </c>
      <c r="K26" s="55">
        <v>1024</v>
      </c>
      <c r="L26" s="55">
        <v>17182</v>
      </c>
      <c r="M26" s="55">
        <v>24055</v>
      </c>
      <c r="N26" s="55">
        <v>7255</v>
      </c>
      <c r="O26" s="55">
        <v>1664</v>
      </c>
      <c r="P26" s="55">
        <v>26982</v>
      </c>
      <c r="Q26" s="33">
        <v>618</v>
      </c>
      <c r="R26" s="55">
        <v>6200</v>
      </c>
    </row>
    <row r="27" spans="1:22" x14ac:dyDescent="0.25">
      <c r="A27" s="54">
        <v>44372</v>
      </c>
      <c r="B27" s="33">
        <v>166438</v>
      </c>
      <c r="C27" s="33">
        <v>127192</v>
      </c>
      <c r="D27" s="55">
        <v>208451</v>
      </c>
      <c r="E27" s="55">
        <v>247534</v>
      </c>
      <c r="F27" s="55">
        <v>66925</v>
      </c>
      <c r="G27" s="55">
        <v>111535</v>
      </c>
      <c r="H27" s="33">
        <v>52651</v>
      </c>
      <c r="I27" s="55">
        <v>63533</v>
      </c>
      <c r="J27" s="55">
        <v>20164</v>
      </c>
      <c r="K27" s="55">
        <v>1024</v>
      </c>
      <c r="L27" s="55">
        <v>17188</v>
      </c>
      <c r="M27" s="55">
        <v>24070</v>
      </c>
      <c r="N27" s="55">
        <v>7265</v>
      </c>
      <c r="O27" s="55">
        <v>1664</v>
      </c>
      <c r="P27" s="55">
        <v>26995</v>
      </c>
      <c r="Q27" s="33">
        <v>620</v>
      </c>
      <c r="R27" s="55">
        <v>6204</v>
      </c>
    </row>
    <row r="28" spans="1:22" x14ac:dyDescent="0.25">
      <c r="A28" s="54">
        <v>44373</v>
      </c>
      <c r="B28" s="33">
        <v>167270</v>
      </c>
      <c r="C28" s="56">
        <v>127277</v>
      </c>
      <c r="D28" s="55">
        <v>208640</v>
      </c>
      <c r="E28" s="55">
        <v>247593</v>
      </c>
      <c r="F28" s="55">
        <v>66928</v>
      </c>
      <c r="G28" s="55">
        <v>111555</v>
      </c>
      <c r="H28" s="33">
        <v>52704</v>
      </c>
      <c r="I28" s="55">
        <v>63546</v>
      </c>
      <c r="J28" s="55">
        <v>20185</v>
      </c>
      <c r="K28" s="55">
        <v>1024</v>
      </c>
      <c r="L28" s="55">
        <v>17197</v>
      </c>
      <c r="M28" s="55">
        <v>24085</v>
      </c>
      <c r="N28" s="55">
        <v>7273</v>
      </c>
      <c r="O28" s="55">
        <v>1665</v>
      </c>
      <c r="P28" s="55">
        <v>26995</v>
      </c>
      <c r="Q28" s="33">
        <v>624</v>
      </c>
      <c r="R28" s="55">
        <v>6206</v>
      </c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zoomScale="70" zoomScaleNormal="70" workbookViewId="0">
      <pane ySplit="3" topLeftCell="A4" activePane="bottomLeft" state="frozen"/>
      <selection activeCell="C25" sqref="C25"/>
      <selection pane="bottomLeft" activeCell="E16" sqref="E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210</v>
      </c>
      <c r="D16" s="67">
        <f t="shared" si="2"/>
        <v>0.72164948453608246</v>
      </c>
      <c r="E16" s="87">
        <f>'Water Reading'!H16-'Water Reading'!H15</f>
        <v>6</v>
      </c>
      <c r="F16" s="89">
        <f t="shared" si="3"/>
        <v>2.8571428571428571E-2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1.0047619047619047</v>
      </c>
      <c r="I16" s="90">
        <f>'Water Reading'!P16-'Water Reading'!P15</f>
        <v>12</v>
      </c>
      <c r="J16" s="68">
        <f t="shared" si="5"/>
        <v>5.7142857142857141E-2</v>
      </c>
      <c r="K16" s="91">
        <f>('Water Reading'!I16-'Water Reading'!I15)-('Water Reading'!P16-'Water Reading'!P15)</f>
        <v>23</v>
      </c>
      <c r="L16" s="68">
        <f t="shared" si="6"/>
        <v>0.10952380952380952</v>
      </c>
      <c r="M16" s="90">
        <f>'Water Reading'!R16-'Water Reading'!R15</f>
        <v>5</v>
      </c>
      <c r="N16" s="92">
        <f t="shared" si="7"/>
        <v>2.3809523809523808E-2</v>
      </c>
      <c r="O16" s="90">
        <f>'Water Reading'!Q16-'Water Reading'!Q15</f>
        <v>5</v>
      </c>
      <c r="P16" s="99">
        <f t="shared" si="8"/>
        <v>2.3809523809523808E-2</v>
      </c>
      <c r="Q16" s="91">
        <f>'Water Reading'!F16-'Water Reading'!F15</f>
        <v>1</v>
      </c>
      <c r="R16" s="100">
        <f t="shared" si="9"/>
        <v>4.7619047619047623E-3</v>
      </c>
      <c r="S16" s="94">
        <f>'Water Reading'!E16-'Water Reading'!E15</f>
        <v>63</v>
      </c>
      <c r="T16" s="100">
        <f t="shared" si="10"/>
        <v>0.3</v>
      </c>
      <c r="U16" s="90">
        <f>'Water Reading'!G16-'Water Reading'!G15</f>
        <v>18</v>
      </c>
      <c r="V16" s="100">
        <f t="shared" si="11"/>
        <v>8.5714285714285715E-2</v>
      </c>
      <c r="W16" s="90">
        <f>'Water Reading'!J16-'Water Reading'!J15</f>
        <v>19</v>
      </c>
      <c r="X16" s="100">
        <f t="shared" si="12"/>
        <v>9.0476190476190474E-2</v>
      </c>
      <c r="Y16" s="66">
        <f t="shared" si="0"/>
        <v>363</v>
      </c>
      <c r="Z16" s="67">
        <f t="shared" si="1"/>
        <v>1.2474226804123711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238</v>
      </c>
      <c r="D17" s="67">
        <f t="shared" si="2"/>
        <v>0.86861313868613144</v>
      </c>
      <c r="E17" s="87">
        <f>'Water Reading'!H17-'Water Reading'!H16</f>
        <v>121</v>
      </c>
      <c r="F17" s="89">
        <f t="shared" si="3"/>
        <v>0.50840336134453779</v>
      </c>
      <c r="G17" s="93">
        <f>('Water Reading'!D17-'Water Reading'!D16)-('Water Reading'!R17-'Water Reading'!R16)-('Water Reading'!Q17-'Water Reading'!Q16)</f>
        <v>111</v>
      </c>
      <c r="H17" s="89">
        <f t="shared" si="4"/>
        <v>0.46638655462184875</v>
      </c>
      <c r="I17" s="90">
        <f>'Water Reading'!P17-'Water Reading'!P16</f>
        <v>10</v>
      </c>
      <c r="J17" s="68">
        <f t="shared" si="5"/>
        <v>4.2016806722689079E-2</v>
      </c>
      <c r="K17" s="91">
        <f>('Water Reading'!I17-'Water Reading'!I16)-('Water Reading'!P17-'Water Reading'!P16)</f>
        <v>16</v>
      </c>
      <c r="L17" s="68">
        <f t="shared" si="6"/>
        <v>6.7226890756302518E-2</v>
      </c>
      <c r="M17" s="90">
        <f>'Water Reading'!R17-'Water Reading'!R16</f>
        <v>3</v>
      </c>
      <c r="N17" s="92">
        <f t="shared" si="7"/>
        <v>1.2605042016806723E-2</v>
      </c>
      <c r="O17" s="90">
        <f>'Water Reading'!Q17-'Water Reading'!Q16</f>
        <v>6</v>
      </c>
      <c r="P17" s="99">
        <f t="shared" si="8"/>
        <v>2.5210084033613446E-2</v>
      </c>
      <c r="Q17" s="91">
        <f>'Water Reading'!F17-'Water Reading'!F16</f>
        <v>1</v>
      </c>
      <c r="R17" s="100">
        <f t="shared" si="9"/>
        <v>4.2016806722689074E-3</v>
      </c>
      <c r="S17" s="94">
        <f>'Water Reading'!E17-'Water Reading'!E16</f>
        <v>54</v>
      </c>
      <c r="T17" s="100">
        <f t="shared" si="10"/>
        <v>0.22689075630252101</v>
      </c>
      <c r="U17" s="90">
        <f>'Water Reading'!G17-'Water Reading'!G16</f>
        <v>15</v>
      </c>
      <c r="V17" s="100">
        <f t="shared" si="11"/>
        <v>6.3025210084033612E-2</v>
      </c>
      <c r="W17" s="90">
        <f>'Water Reading'!J17-'Water Reading'!J16</f>
        <v>18</v>
      </c>
      <c r="X17" s="100">
        <f t="shared" si="12"/>
        <v>7.5630252100840331E-2</v>
      </c>
      <c r="Y17" s="66">
        <f t="shared" si="0"/>
        <v>355</v>
      </c>
      <c r="Z17" s="67">
        <f t="shared" si="1"/>
        <v>1.2956204379562044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325</v>
      </c>
      <c r="D18" s="67">
        <f t="shared" si="2"/>
        <v>0.9878419452887538</v>
      </c>
      <c r="E18" s="87">
        <f>'Water Reading'!H18-'Water Reading'!H17</f>
        <v>95</v>
      </c>
      <c r="F18" s="89">
        <f t="shared" si="3"/>
        <v>0.29230769230769232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0.42153846153846153</v>
      </c>
      <c r="I18" s="90">
        <f>'Water Reading'!P18-'Water Reading'!P17</f>
        <v>14</v>
      </c>
      <c r="J18" s="68">
        <f t="shared" si="5"/>
        <v>4.3076923076923075E-2</v>
      </c>
      <c r="K18" s="91">
        <f>('Water Reading'!I18-'Water Reading'!I17)-('Water Reading'!P18-'Water Reading'!P17)</f>
        <v>11</v>
      </c>
      <c r="L18" s="68">
        <f t="shared" si="6"/>
        <v>3.3846153846153845E-2</v>
      </c>
      <c r="M18" s="90">
        <f>'Water Reading'!R18-'Water Reading'!R17</f>
        <v>4</v>
      </c>
      <c r="N18" s="92">
        <f t="shared" si="7"/>
        <v>1.2307692307692308E-2</v>
      </c>
      <c r="O18" s="90">
        <f>'Water Reading'!Q18-'Water Reading'!Q17</f>
        <v>1</v>
      </c>
      <c r="P18" s="99">
        <f t="shared" si="8"/>
        <v>3.0769230769230769E-3</v>
      </c>
      <c r="Q18" s="91">
        <f>'Water Reading'!F18-'Water Reading'!F17</f>
        <v>1</v>
      </c>
      <c r="R18" s="100">
        <f t="shared" si="9"/>
        <v>3.0769230769230769E-3</v>
      </c>
      <c r="S18" s="94">
        <f>'Water Reading'!E18-'Water Reading'!E17</f>
        <v>59</v>
      </c>
      <c r="T18" s="100">
        <f t="shared" si="10"/>
        <v>0.18153846153846154</v>
      </c>
      <c r="U18" s="90">
        <f>'Water Reading'!G18-'Water Reading'!G17</f>
        <v>15</v>
      </c>
      <c r="V18" s="100">
        <f t="shared" si="11"/>
        <v>4.6153846153846156E-2</v>
      </c>
      <c r="W18" s="90">
        <f>'Water Reading'!J18-'Water Reading'!J17</f>
        <v>18</v>
      </c>
      <c r="X18" s="100">
        <f t="shared" si="12"/>
        <v>5.5384615384615386E-2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281</v>
      </c>
      <c r="C19" s="66">
        <f>('Water Reading'!B19-'Water Reading'!B18)+('Water Reading'!C19-'Water Reading'!C18)</f>
        <v>882</v>
      </c>
      <c r="D19" s="67">
        <f t="shared" si="2"/>
        <v>3.1387900355871885</v>
      </c>
      <c r="E19" s="87">
        <f>'Water Reading'!H19-'Water Reading'!H18</f>
        <v>67</v>
      </c>
      <c r="F19" s="89">
        <f t="shared" si="3"/>
        <v>7.5963718820861684E-2</v>
      </c>
      <c r="G19" s="93">
        <f>('Water Reading'!D19-'Water Reading'!D18)-('Water Reading'!R19-'Water Reading'!R18)-('Water Reading'!Q19-'Water Reading'!Q18)</f>
        <v>136</v>
      </c>
      <c r="H19" s="89">
        <f t="shared" si="4"/>
        <v>0.15419501133786848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11</v>
      </c>
      <c r="L19" s="68">
        <f t="shared" si="6"/>
        <v>1.2471655328798186E-2</v>
      </c>
      <c r="M19" s="90">
        <f>'Water Reading'!R19-'Water Reading'!R18</f>
        <v>5</v>
      </c>
      <c r="N19" s="92">
        <f t="shared" si="7"/>
        <v>5.6689342403628117E-3</v>
      </c>
      <c r="O19" s="90">
        <f>'Water Reading'!Q19-'Water Reading'!Q18</f>
        <v>8</v>
      </c>
      <c r="P19" s="99">
        <f t="shared" si="8"/>
        <v>9.0702947845804991E-3</v>
      </c>
      <c r="Q19" s="91">
        <f>'Water Reading'!F19-'Water Reading'!F18</f>
        <v>1</v>
      </c>
      <c r="R19" s="100">
        <f t="shared" si="9"/>
        <v>1.1337868480725624E-3</v>
      </c>
      <c r="S19" s="94">
        <f>'Water Reading'!E19-'Water Reading'!E18</f>
        <v>62</v>
      </c>
      <c r="T19" s="100">
        <f t="shared" si="10"/>
        <v>7.029478458049887E-2</v>
      </c>
      <c r="U19" s="90">
        <f>'Water Reading'!G19-'Water Reading'!G18</f>
        <v>16</v>
      </c>
      <c r="V19" s="100">
        <f t="shared" si="11"/>
        <v>1.8140589569160998E-2</v>
      </c>
      <c r="W19" s="90">
        <f>'Water Reading'!J19-'Water Reading'!J18</f>
        <v>17</v>
      </c>
      <c r="X19" s="100">
        <f t="shared" si="12"/>
        <v>1.927437641723356E-2</v>
      </c>
      <c r="Y19" s="66">
        <f t="shared" si="0"/>
        <v>323</v>
      </c>
      <c r="Z19" s="67">
        <f t="shared" si="1"/>
        <v>1.1494661921708185</v>
      </c>
    </row>
    <row r="20" spans="1:26" x14ac:dyDescent="0.25">
      <c r="A20" s="8">
        <f>'Water Reading'!A19</f>
        <v>44364</v>
      </c>
      <c r="B20" s="65">
        <f>TOTAL!I18</f>
        <v>346</v>
      </c>
      <c r="C20" s="66">
        <f>('Water Reading'!B20-'Water Reading'!B19)+('Water Reading'!C20-'Water Reading'!C19)</f>
        <v>323</v>
      </c>
      <c r="D20" s="67">
        <f t="shared" si="2"/>
        <v>0.93352601156069359</v>
      </c>
      <c r="E20" s="87">
        <f>'Water Reading'!H20-'Water Reading'!H19</f>
        <v>42</v>
      </c>
      <c r="F20" s="89">
        <f t="shared" si="3"/>
        <v>0.13003095975232198</v>
      </c>
      <c r="G20" s="93">
        <f>('Water Reading'!D20-'Water Reading'!D19)-('Water Reading'!R20-'Water Reading'!R19)-('Water Reading'!Q20-'Water Reading'!Q19)</f>
        <v>151</v>
      </c>
      <c r="H20" s="89">
        <f t="shared" si="4"/>
        <v>0.46749226006191952</v>
      </c>
      <c r="I20" s="90">
        <f>'Water Reading'!P20-'Water Reading'!P19</f>
        <v>15</v>
      </c>
      <c r="J20" s="68">
        <f t="shared" si="5"/>
        <v>4.6439628482972138E-2</v>
      </c>
      <c r="K20" s="91">
        <f>('Water Reading'!I20-'Water Reading'!I19)-('Water Reading'!P20-'Water Reading'!P19)</f>
        <v>16</v>
      </c>
      <c r="L20" s="68">
        <f t="shared" si="6"/>
        <v>4.9535603715170282E-2</v>
      </c>
      <c r="M20" s="90">
        <f>'Water Reading'!R20-'Water Reading'!R19</f>
        <v>4</v>
      </c>
      <c r="N20" s="92">
        <f t="shared" si="7"/>
        <v>1.238390092879257E-2</v>
      </c>
      <c r="O20" s="90">
        <f>'Water Reading'!Q20-'Water Reading'!Q19</f>
        <v>6</v>
      </c>
      <c r="P20" s="99">
        <f t="shared" si="8"/>
        <v>1.8575851393188854E-2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96</v>
      </c>
      <c r="T20" s="100">
        <f t="shared" si="10"/>
        <v>0.29721362229102166</v>
      </c>
      <c r="U20" s="90">
        <f>'Water Reading'!G20-'Water Reading'!G19</f>
        <v>18</v>
      </c>
      <c r="V20" s="100">
        <f t="shared" si="11"/>
        <v>5.5727554179566562E-2</v>
      </c>
      <c r="W20" s="90">
        <f>'Water Reading'!J20-'Water Reading'!J19</f>
        <v>21</v>
      </c>
      <c r="X20" s="100">
        <f t="shared" si="12"/>
        <v>6.5015479876160992E-2</v>
      </c>
      <c r="Y20" s="66">
        <f t="shared" si="0"/>
        <v>369</v>
      </c>
      <c r="Z20" s="67">
        <f t="shared" si="1"/>
        <v>1.0664739884393064</v>
      </c>
    </row>
    <row r="21" spans="1:26" x14ac:dyDescent="0.25">
      <c r="A21" s="8">
        <f>'Water Reading'!A20</f>
        <v>44365</v>
      </c>
      <c r="B21" s="65">
        <f>TOTAL!I19</f>
        <v>327</v>
      </c>
      <c r="C21" s="66">
        <f>('Water Reading'!B21-'Water Reading'!B20)+('Water Reading'!C21-'Water Reading'!C20)</f>
        <v>297</v>
      </c>
      <c r="D21" s="67">
        <f t="shared" si="2"/>
        <v>0.90825688073394495</v>
      </c>
      <c r="E21" s="87">
        <f>'Water Reading'!H21-'Water Reading'!H20</f>
        <v>55</v>
      </c>
      <c r="F21" s="89">
        <f t="shared" si="3"/>
        <v>0.18518518518518517</v>
      </c>
      <c r="G21" s="93">
        <f>('Water Reading'!D21-'Water Reading'!D20)-('Water Reading'!R21-'Water Reading'!R20)-('Water Reading'!Q21-'Water Reading'!Q20)</f>
        <v>140</v>
      </c>
      <c r="H21" s="89">
        <f t="shared" si="4"/>
        <v>0.4713804713804714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13</v>
      </c>
      <c r="L21" s="68">
        <f t="shared" si="6"/>
        <v>4.3771043771043773E-2</v>
      </c>
      <c r="M21" s="90">
        <f>'Water Reading'!R21-'Water Reading'!R20</f>
        <v>1</v>
      </c>
      <c r="N21" s="92">
        <f t="shared" si="7"/>
        <v>3.3670033670033669E-3</v>
      </c>
      <c r="O21" s="90">
        <f>'Water Reading'!Q21-'Water Reading'!Q20</f>
        <v>2</v>
      </c>
      <c r="P21" s="99">
        <f t="shared" si="8"/>
        <v>6.7340067340067337E-3</v>
      </c>
      <c r="Q21" s="91">
        <f>'Water Reading'!F21-'Water Reading'!F20</f>
        <v>2</v>
      </c>
      <c r="R21" s="100">
        <f t="shared" si="9"/>
        <v>6.7340067340067337E-3</v>
      </c>
      <c r="S21" s="94">
        <f>'Water Reading'!E21-'Water Reading'!E20</f>
        <v>103</v>
      </c>
      <c r="T21" s="100">
        <f t="shared" si="10"/>
        <v>0.34680134680134678</v>
      </c>
      <c r="U21" s="90">
        <f>'Water Reading'!G21-'Water Reading'!G20</f>
        <v>17</v>
      </c>
      <c r="V21" s="100">
        <f t="shared" si="11"/>
        <v>5.7239057239057242E-2</v>
      </c>
      <c r="W21" s="90">
        <f>'Water Reading'!J21-'Water Reading'!J20</f>
        <v>16</v>
      </c>
      <c r="X21" s="100">
        <f t="shared" si="12"/>
        <v>5.387205387205387E-2</v>
      </c>
      <c r="Y21" s="66">
        <f t="shared" si="0"/>
        <v>349</v>
      </c>
      <c r="Z21" s="67">
        <f t="shared" si="1"/>
        <v>1.0672782874617737</v>
      </c>
    </row>
    <row r="22" spans="1:26" x14ac:dyDescent="0.25">
      <c r="A22" s="8">
        <f>'Water Reading'!A21</f>
        <v>44366</v>
      </c>
      <c r="B22" s="65">
        <f>TOTAL!I20</f>
        <v>283</v>
      </c>
      <c r="C22" s="66">
        <f>('Water Reading'!B22-'Water Reading'!B21)+('Water Reading'!C22-'Water Reading'!C21)</f>
        <v>496</v>
      </c>
      <c r="D22" s="67">
        <f t="shared" si="2"/>
        <v>1.7526501766784452</v>
      </c>
      <c r="E22" s="87">
        <f>'Water Reading'!H22-'Water Reading'!H21</f>
        <v>75</v>
      </c>
      <c r="F22" s="89">
        <f t="shared" si="3"/>
        <v>0.15120967741935484</v>
      </c>
      <c r="G22" s="93">
        <f>('Water Reading'!D22-'Water Reading'!D21)-('Water Reading'!R22-'Water Reading'!R21)-('Water Reading'!Q22-'Water Reading'!Q21)</f>
        <v>133</v>
      </c>
      <c r="H22" s="89">
        <f t="shared" si="4"/>
        <v>0.26814516129032256</v>
      </c>
      <c r="I22" s="90">
        <f>'Water Reading'!P22-'Water Reading'!P21</f>
        <v>12</v>
      </c>
      <c r="J22" s="68">
        <f t="shared" si="5"/>
        <v>2.4193548387096774E-2</v>
      </c>
      <c r="K22" s="91">
        <f>('Water Reading'!I22-'Water Reading'!I21)-('Water Reading'!P22-'Water Reading'!P21)</f>
        <v>15</v>
      </c>
      <c r="L22" s="68">
        <f t="shared" si="6"/>
        <v>3.0241935483870969E-2</v>
      </c>
      <c r="M22" s="90">
        <f>'Water Reading'!R22-'Water Reading'!R21</f>
        <v>5</v>
      </c>
      <c r="N22" s="92">
        <f t="shared" si="7"/>
        <v>1.0080645161290322E-2</v>
      </c>
      <c r="O22" s="90">
        <f>'Water Reading'!Q22-'Water Reading'!Q21</f>
        <v>1</v>
      </c>
      <c r="P22" s="99">
        <f t="shared" si="8"/>
        <v>2.0161290322580645E-3</v>
      </c>
      <c r="Q22" s="91">
        <f>'Water Reading'!F22-'Water Reading'!F21</f>
        <v>1</v>
      </c>
      <c r="R22" s="100">
        <f t="shared" si="9"/>
        <v>2.0161290322580645E-3</v>
      </c>
      <c r="S22" s="94">
        <f>'Water Reading'!E22-'Water Reading'!E21</f>
        <v>51</v>
      </c>
      <c r="T22" s="100">
        <f t="shared" si="10"/>
        <v>0.1028225806451613</v>
      </c>
      <c r="U22" s="90">
        <f>'Water Reading'!G22-'Water Reading'!G21</f>
        <v>14</v>
      </c>
      <c r="V22" s="100">
        <f t="shared" si="11"/>
        <v>2.8225806451612902E-2</v>
      </c>
      <c r="W22" s="90">
        <f>'Water Reading'!J22-'Water Reading'!J21</f>
        <v>17</v>
      </c>
      <c r="X22" s="100">
        <f t="shared" si="12"/>
        <v>3.4274193548387094E-2</v>
      </c>
      <c r="Y22" s="66">
        <f t="shared" si="0"/>
        <v>324</v>
      </c>
      <c r="Z22" s="67">
        <f t="shared" si="1"/>
        <v>1.1448763250883391</v>
      </c>
    </row>
    <row r="23" spans="1:26" x14ac:dyDescent="0.25">
      <c r="A23" s="8">
        <f>'Water Reading'!A22</f>
        <v>44367</v>
      </c>
      <c r="B23" s="65">
        <f>TOTAL!I21</f>
        <v>273</v>
      </c>
      <c r="C23" s="66">
        <f>('Water Reading'!B23-'Water Reading'!B22)+('Water Reading'!C23-'Water Reading'!C22)</f>
        <v>424</v>
      </c>
      <c r="D23" s="67">
        <f t="shared" si="2"/>
        <v>1.5531135531135531</v>
      </c>
      <c r="E23" s="87">
        <f>'Water Reading'!H23-'Water Reading'!H22</f>
        <v>58</v>
      </c>
      <c r="F23" s="89">
        <f t="shared" si="3"/>
        <v>0.13679245283018868</v>
      </c>
      <c r="G23" s="93">
        <f>('Water Reading'!D23-'Water Reading'!D22)-('Water Reading'!R23-'Water Reading'!R22)-('Water Reading'!Q23-'Water Reading'!Q22)</f>
        <v>128</v>
      </c>
      <c r="H23" s="89">
        <f t="shared" si="4"/>
        <v>0.30188679245283018</v>
      </c>
      <c r="I23" s="90">
        <f>'Water Reading'!P23-'Water Reading'!P22</f>
        <v>12</v>
      </c>
      <c r="J23" s="68">
        <f t="shared" si="5"/>
        <v>2.8301886792452831E-2</v>
      </c>
      <c r="K23" s="91">
        <f>('Water Reading'!I23-'Water Reading'!I22)-('Water Reading'!P23-'Water Reading'!P22)</f>
        <v>13</v>
      </c>
      <c r="L23" s="68">
        <f t="shared" si="6"/>
        <v>3.0660377358490566E-2</v>
      </c>
      <c r="M23" s="90">
        <f>'Water Reading'!R23-'Water Reading'!R22</f>
        <v>6</v>
      </c>
      <c r="N23" s="92">
        <f t="shared" si="7"/>
        <v>1.4150943396226415E-2</v>
      </c>
      <c r="O23" s="90">
        <f>'Water Reading'!Q23-'Water Reading'!Q22</f>
        <v>11</v>
      </c>
      <c r="P23" s="99">
        <f t="shared" si="8"/>
        <v>2.5943396226415096E-2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53</v>
      </c>
      <c r="T23" s="100">
        <f t="shared" si="10"/>
        <v>0.125</v>
      </c>
      <c r="U23" s="90">
        <f>'Water Reading'!G23-'Water Reading'!G22</f>
        <v>16</v>
      </c>
      <c r="V23" s="100">
        <f t="shared" si="11"/>
        <v>3.7735849056603772E-2</v>
      </c>
      <c r="W23" s="90">
        <f>'Water Reading'!J23-'Water Reading'!J22</f>
        <v>20</v>
      </c>
      <c r="X23" s="100">
        <f t="shared" si="12"/>
        <v>4.716981132075472E-2</v>
      </c>
      <c r="Y23" s="66">
        <f t="shared" si="0"/>
        <v>317</v>
      </c>
      <c r="Z23" s="67">
        <f t="shared" si="1"/>
        <v>1.1611721611721613</v>
      </c>
    </row>
    <row r="24" spans="1:26" x14ac:dyDescent="0.25">
      <c r="A24" s="8">
        <f>'Water Reading'!A23</f>
        <v>44368</v>
      </c>
      <c r="B24" s="65">
        <f>TOTAL!I22</f>
        <v>298</v>
      </c>
      <c r="C24" s="66">
        <f>('Water Reading'!B24-'Water Reading'!B23)+('Water Reading'!C24-'Water Reading'!C23)</f>
        <v>457</v>
      </c>
      <c r="D24" s="67">
        <f t="shared" si="2"/>
        <v>1.5335570469798658</v>
      </c>
      <c r="E24" s="87">
        <f>'Water Reading'!H24-'Water Reading'!H23</f>
        <v>45</v>
      </c>
      <c r="F24" s="89">
        <f t="shared" si="3"/>
        <v>9.8468271334792121E-2</v>
      </c>
      <c r="G24" s="93">
        <f>('Water Reading'!D24-'Water Reading'!D23)-('Water Reading'!R24-'Water Reading'!R23)-('Water Reading'!Q24-'Water Reading'!Q23)</f>
        <v>137</v>
      </c>
      <c r="H24" s="89">
        <f t="shared" si="4"/>
        <v>0.29978118161925604</v>
      </c>
      <c r="I24" s="90">
        <f>'Water Reading'!P24-'Water Reading'!P23</f>
        <v>12</v>
      </c>
      <c r="J24" s="68">
        <f t="shared" si="5"/>
        <v>2.6258205689277898E-2</v>
      </c>
      <c r="K24" s="91">
        <f>('Water Reading'!I24-'Water Reading'!I23)-('Water Reading'!P24-'Water Reading'!P23)</f>
        <v>18</v>
      </c>
      <c r="L24" s="68">
        <f t="shared" si="6"/>
        <v>3.9387308533916851E-2</v>
      </c>
      <c r="M24" s="90">
        <f>'Water Reading'!R24-'Water Reading'!R23</f>
        <v>4</v>
      </c>
      <c r="N24" s="92">
        <f t="shared" si="7"/>
        <v>8.7527352297592995E-3</v>
      </c>
      <c r="O24" s="90">
        <f>'Water Reading'!Q24-'Water Reading'!Q23</f>
        <v>8</v>
      </c>
      <c r="P24" s="99">
        <f t="shared" si="8"/>
        <v>1.7505470459518599E-2</v>
      </c>
      <c r="Q24" s="91">
        <f>'Water Reading'!F24-'Water Reading'!F23</f>
        <v>1</v>
      </c>
      <c r="R24" s="100">
        <f t="shared" si="9"/>
        <v>2.1881838074398249E-3</v>
      </c>
      <c r="S24" s="94">
        <f>'Water Reading'!E24-'Water Reading'!E23</f>
        <v>55</v>
      </c>
      <c r="T24" s="100">
        <f t="shared" si="10"/>
        <v>0.12035010940919037</v>
      </c>
      <c r="U24" s="90">
        <f>'Water Reading'!G24-'Water Reading'!G23</f>
        <v>18</v>
      </c>
      <c r="V24" s="100">
        <f t="shared" si="11"/>
        <v>3.9387308533916851E-2</v>
      </c>
      <c r="W24" s="90">
        <f>'Water Reading'!J24-'Water Reading'!J23</f>
        <v>19</v>
      </c>
      <c r="X24" s="100">
        <f t="shared" si="12"/>
        <v>4.1575492341356671E-2</v>
      </c>
      <c r="Y24" s="66">
        <f t="shared" si="0"/>
        <v>317</v>
      </c>
      <c r="Z24" s="67">
        <f t="shared" si="1"/>
        <v>1.063758389261745</v>
      </c>
    </row>
    <row r="25" spans="1:26" x14ac:dyDescent="0.25">
      <c r="A25" s="8">
        <f>'Water Reading'!A24</f>
        <v>44369</v>
      </c>
      <c r="B25" s="65">
        <f>TOTAL!I23</f>
        <v>321</v>
      </c>
      <c r="C25" s="66">
        <f>('Water Reading'!B25-'Water Reading'!B24)+('Water Reading'!C25-'Water Reading'!C24)</f>
        <v>210</v>
      </c>
      <c r="D25" s="67">
        <f t="shared" si="2"/>
        <v>0.65420560747663548</v>
      </c>
      <c r="E25" s="87">
        <f>'Water Reading'!H25-'Water Reading'!H24</f>
        <v>74</v>
      </c>
      <c r="F25" s="89">
        <f t="shared" si="3"/>
        <v>0.35238095238095241</v>
      </c>
      <c r="G25" s="93">
        <f>('Water Reading'!D25-'Water Reading'!D24)-('Water Reading'!R25-'Water Reading'!R24)-('Water Reading'!Q25-'Water Reading'!Q24)</f>
        <v>164</v>
      </c>
      <c r="H25" s="89">
        <f t="shared" si="4"/>
        <v>0.78095238095238095</v>
      </c>
      <c r="I25" s="90">
        <f>'Water Reading'!P25-'Water Reading'!P24</f>
        <v>0</v>
      </c>
      <c r="J25" s="68">
        <f t="shared" si="5"/>
        <v>0</v>
      </c>
      <c r="K25" s="91">
        <f>('Water Reading'!I25-'Water Reading'!I24)-('Water Reading'!P25-'Water Reading'!P24)</f>
        <v>13</v>
      </c>
      <c r="L25" s="68">
        <f t="shared" si="6"/>
        <v>6.1904761904761907E-2</v>
      </c>
      <c r="M25" s="90">
        <f>'Water Reading'!R25-'Water Reading'!R24</f>
        <v>6</v>
      </c>
      <c r="N25" s="92">
        <f t="shared" si="7"/>
        <v>2.8571428571428571E-2</v>
      </c>
      <c r="O25" s="90">
        <f>'Water Reading'!Q25-'Water Reading'!Q24</f>
        <v>2</v>
      </c>
      <c r="P25" s="99">
        <f t="shared" si="8"/>
        <v>9.5238095238095247E-3</v>
      </c>
      <c r="Q25" s="91">
        <f>'Water Reading'!F25-'Water Reading'!F24</f>
        <v>1</v>
      </c>
      <c r="R25" s="100">
        <f t="shared" si="9"/>
        <v>4.7619047619047623E-3</v>
      </c>
      <c r="S25" s="94">
        <f>'Water Reading'!E25-'Water Reading'!E24</f>
        <v>68</v>
      </c>
      <c r="T25" s="100">
        <f t="shared" si="10"/>
        <v>0.32380952380952382</v>
      </c>
      <c r="U25" s="90">
        <f>'Water Reading'!G25-'Water Reading'!G24</f>
        <v>16</v>
      </c>
      <c r="V25" s="100">
        <f t="shared" si="11"/>
        <v>7.6190476190476197E-2</v>
      </c>
      <c r="W25" s="90">
        <f>'Water Reading'!J25-'Water Reading'!J24</f>
        <v>19</v>
      </c>
      <c r="X25" s="100">
        <f t="shared" si="12"/>
        <v>9.0476190476190474E-2</v>
      </c>
      <c r="Y25" s="66">
        <f t="shared" si="0"/>
        <v>363</v>
      </c>
      <c r="Z25" s="67">
        <f t="shared" si="1"/>
        <v>1.1308411214953271</v>
      </c>
    </row>
    <row r="26" spans="1:26" x14ac:dyDescent="0.25">
      <c r="A26" s="8">
        <f>'Water Reading'!A25</f>
        <v>44370</v>
      </c>
      <c r="B26" s="65">
        <f>TOTAL!I24</f>
        <v>273</v>
      </c>
      <c r="C26" s="66">
        <f>('Water Reading'!B26-'Water Reading'!B25)+('Water Reading'!C26-'Water Reading'!C25)</f>
        <v>361</v>
      </c>
      <c r="D26" s="67">
        <f t="shared" si="2"/>
        <v>1.3223443223443223</v>
      </c>
      <c r="E26" s="87">
        <f>'Water Reading'!H26-'Water Reading'!H25</f>
        <v>52</v>
      </c>
      <c r="F26" s="89">
        <f t="shared" si="3"/>
        <v>0.1440443213296399</v>
      </c>
      <c r="G26" s="93">
        <f>('Water Reading'!D26-'Water Reading'!D25)-('Water Reading'!R26-'Water Reading'!R25)-('Water Reading'!Q26-'Water Reading'!Q25)</f>
        <v>107</v>
      </c>
      <c r="H26" s="89">
        <f t="shared" si="4"/>
        <v>0.296398891966759</v>
      </c>
      <c r="I26" s="90">
        <f>'Water Reading'!P26-'Water Reading'!P25</f>
        <v>16</v>
      </c>
      <c r="J26" s="68">
        <f t="shared" si="5"/>
        <v>4.4321329639889197E-2</v>
      </c>
      <c r="K26" s="91">
        <f>('Water Reading'!I26-'Water Reading'!I25)-('Water Reading'!P26-'Water Reading'!P25)</f>
        <v>8</v>
      </c>
      <c r="L26" s="68">
        <f t="shared" si="6"/>
        <v>2.2160664819944598E-2</v>
      </c>
      <c r="M26" s="90">
        <f>'Water Reading'!R26-'Water Reading'!R25</f>
        <v>4</v>
      </c>
      <c r="N26" s="92">
        <f t="shared" si="7"/>
        <v>1.1080332409972299E-2</v>
      </c>
      <c r="O26" s="90">
        <f>'Water Reading'!Q26-'Water Reading'!Q25</f>
        <v>17</v>
      </c>
      <c r="P26" s="99">
        <f t="shared" si="8"/>
        <v>4.7091412742382273E-2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0.16066481994459833</v>
      </c>
      <c r="U26" s="90">
        <f>'Water Reading'!G26-'Water Reading'!G25</f>
        <v>17</v>
      </c>
      <c r="V26" s="100">
        <f t="shared" si="11"/>
        <v>4.7091412742382273E-2</v>
      </c>
      <c r="W26" s="90">
        <f>'Water Reading'!J26-'Water Reading'!J25</f>
        <v>20</v>
      </c>
      <c r="X26" s="100">
        <f t="shared" si="12"/>
        <v>5.5401662049861494E-2</v>
      </c>
      <c r="Y26" s="66">
        <f t="shared" si="0"/>
        <v>299</v>
      </c>
      <c r="Z26" s="67">
        <f t="shared" si="1"/>
        <v>1.0952380952380953</v>
      </c>
    </row>
    <row r="27" spans="1:26" x14ac:dyDescent="0.25">
      <c r="A27" s="8">
        <f>'Water Reading'!A26</f>
        <v>44371</v>
      </c>
      <c r="B27" s="65">
        <f>TOTAL!I25</f>
        <v>222</v>
      </c>
      <c r="C27" s="66">
        <f>('Water Reading'!B27-'Water Reading'!B26)+('Water Reading'!C27-'Water Reading'!C26)</f>
        <v>835</v>
      </c>
      <c r="D27" s="67">
        <f t="shared" si="2"/>
        <v>3.7612612612612613</v>
      </c>
      <c r="E27" s="87">
        <f>'Water Reading'!H27-'Water Reading'!H26</f>
        <v>40</v>
      </c>
      <c r="F27" s="89">
        <f t="shared" si="3"/>
        <v>4.790419161676647E-2</v>
      </c>
      <c r="G27" s="93">
        <f>('Water Reading'!D27-'Water Reading'!D26)-('Water Reading'!R27-'Water Reading'!R26)-('Water Reading'!Q27-'Water Reading'!Q26)</f>
        <v>164</v>
      </c>
      <c r="H27" s="89">
        <f t="shared" si="4"/>
        <v>0.19640718562874251</v>
      </c>
      <c r="I27" s="90">
        <f>'Water Reading'!P27-'Water Reading'!P26</f>
        <v>13</v>
      </c>
      <c r="J27" s="68">
        <f t="shared" si="5"/>
        <v>1.5568862275449102E-2</v>
      </c>
      <c r="K27" s="91">
        <f>('Water Reading'!I27-'Water Reading'!I26)-('Water Reading'!P27-'Water Reading'!P26)</f>
        <v>17</v>
      </c>
      <c r="L27" s="68">
        <f t="shared" si="6"/>
        <v>2.0359281437125749E-2</v>
      </c>
      <c r="M27" s="90">
        <f>'Water Reading'!R27-'Water Reading'!R26</f>
        <v>4</v>
      </c>
      <c r="N27" s="92">
        <f t="shared" si="7"/>
        <v>4.7904191616766467E-3</v>
      </c>
      <c r="O27" s="90">
        <f>'Water Reading'!Q27-'Water Reading'!Q26</f>
        <v>2</v>
      </c>
      <c r="P27" s="99">
        <f t="shared" si="8"/>
        <v>2.3952095808383233E-3</v>
      </c>
      <c r="Q27" s="91">
        <f>'Water Reading'!F27-'Water Reading'!F26</f>
        <v>1</v>
      </c>
      <c r="R27" s="100">
        <f t="shared" si="9"/>
        <v>1.1976047904191617E-3</v>
      </c>
      <c r="S27" s="94">
        <f>'Water Reading'!E27-'Water Reading'!E26</f>
        <v>56</v>
      </c>
      <c r="T27" s="100">
        <f t="shared" si="10"/>
        <v>6.706586826347305E-2</v>
      </c>
      <c r="U27" s="90">
        <f>'Water Reading'!G27-'Water Reading'!G26</f>
        <v>15</v>
      </c>
      <c r="V27" s="100">
        <f t="shared" si="11"/>
        <v>1.7964071856287425E-2</v>
      </c>
      <c r="W27" s="90">
        <f>'Water Reading'!J27-'Water Reading'!J26</f>
        <v>19</v>
      </c>
      <c r="X27" s="100">
        <f t="shared" si="12"/>
        <v>2.2754491017964073E-2</v>
      </c>
      <c r="Y27" s="66">
        <f t="shared" si="0"/>
        <v>331</v>
      </c>
      <c r="Z27" s="67">
        <f t="shared" si="1"/>
        <v>1.4909909909909911</v>
      </c>
    </row>
    <row r="28" spans="1:26" x14ac:dyDescent="0.25">
      <c r="A28" s="8">
        <f>'Water Reading'!A27</f>
        <v>44372</v>
      </c>
      <c r="B28" s="65">
        <f>TOTAL!I26</f>
        <v>309</v>
      </c>
      <c r="C28" s="66">
        <f>('Water Reading'!B28-'Water Reading'!B27)+('Water Reading'!C28-'Water Reading'!C27)</f>
        <v>917</v>
      </c>
      <c r="D28" s="67">
        <f t="shared" si="2"/>
        <v>2.9676375404530746</v>
      </c>
      <c r="E28" s="87">
        <f>'Water Reading'!H28-'Water Reading'!H27</f>
        <v>53</v>
      </c>
      <c r="F28" s="89">
        <f t="shared" si="3"/>
        <v>5.7797164667393673E-2</v>
      </c>
      <c r="G28" s="93">
        <f>('Water Reading'!D28-'Water Reading'!D27)-('Water Reading'!R28-'Water Reading'!R27)-('Water Reading'!Q28-'Water Reading'!Q27)</f>
        <v>183</v>
      </c>
      <c r="H28" s="89">
        <f t="shared" si="4"/>
        <v>0.19956379498364232</v>
      </c>
      <c r="I28" s="90">
        <f>'Water Reading'!P28-'Water Reading'!P27</f>
        <v>0</v>
      </c>
      <c r="J28" s="68">
        <f t="shared" si="5"/>
        <v>0</v>
      </c>
      <c r="K28" s="91">
        <f>('Water Reading'!I28-'Water Reading'!I27)-('Water Reading'!P28-'Water Reading'!P27)</f>
        <v>13</v>
      </c>
      <c r="L28" s="68">
        <f t="shared" si="6"/>
        <v>1.4176663031624863E-2</v>
      </c>
      <c r="M28" s="90">
        <f>'Water Reading'!R28-'Water Reading'!R27</f>
        <v>2</v>
      </c>
      <c r="N28" s="92">
        <f t="shared" si="7"/>
        <v>2.1810250817884407E-3</v>
      </c>
      <c r="O28" s="90">
        <f>'Water Reading'!Q28-'Water Reading'!Q27</f>
        <v>4</v>
      </c>
      <c r="P28" s="99">
        <f t="shared" si="8"/>
        <v>4.3620501635768813E-3</v>
      </c>
      <c r="Q28" s="91">
        <f>'Water Reading'!F28-'Water Reading'!F27</f>
        <v>3</v>
      </c>
      <c r="R28" s="100">
        <f t="shared" si="9"/>
        <v>3.2715376226826608E-3</v>
      </c>
      <c r="S28" s="94">
        <f>'Water Reading'!E28-'Water Reading'!E27</f>
        <v>59</v>
      </c>
      <c r="T28" s="100">
        <f t="shared" si="10"/>
        <v>6.4340239912759001E-2</v>
      </c>
      <c r="U28" s="90">
        <f>'Water Reading'!G28-'Water Reading'!G27</f>
        <v>20</v>
      </c>
      <c r="V28" s="100">
        <f t="shared" si="11"/>
        <v>2.1810250817884406E-2</v>
      </c>
      <c r="W28" s="90">
        <f>'Water Reading'!J28-'Water Reading'!J27</f>
        <v>21</v>
      </c>
      <c r="X28" s="100">
        <f t="shared" si="12"/>
        <v>2.2900763358778626E-2</v>
      </c>
      <c r="Y28" s="66">
        <f t="shared" si="0"/>
        <v>358</v>
      </c>
      <c r="Z28" s="67">
        <f t="shared" si="1"/>
        <v>1.1585760517799353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-294547</v>
      </c>
      <c r="D29" s="67" t="e">
        <f t="shared" si="2"/>
        <v>#DIV/0!</v>
      </c>
      <c r="E29" s="87">
        <f>'Water Reading'!H29-'Water Reading'!H28</f>
        <v>-52704</v>
      </c>
      <c r="F29" s="89">
        <f t="shared" si="3"/>
        <v>0.17893239449052273</v>
      </c>
      <c r="G29" s="93">
        <f>('Water Reading'!D29-'Water Reading'!D28)-('Water Reading'!R29-'Water Reading'!R28)-('Water Reading'!Q29-'Water Reading'!Q28)</f>
        <v>-201810</v>
      </c>
      <c r="H29" s="89">
        <f t="shared" si="4"/>
        <v>0.68515381246456419</v>
      </c>
      <c r="I29" s="90">
        <f>'Water Reading'!P29-'Water Reading'!P28</f>
        <v>-26995</v>
      </c>
      <c r="J29" s="68">
        <f t="shared" si="5"/>
        <v>9.1649210482537588E-2</v>
      </c>
      <c r="K29" s="91">
        <f>('Water Reading'!I29-'Water Reading'!I28)-('Water Reading'!P29-'Water Reading'!P28)</f>
        <v>-36551</v>
      </c>
      <c r="L29" s="68">
        <f t="shared" si="6"/>
        <v>0.12409225013325548</v>
      </c>
      <c r="M29" s="90">
        <f>'Water Reading'!R29-'Water Reading'!R28</f>
        <v>-6206</v>
      </c>
      <c r="N29" s="92">
        <f t="shared" si="7"/>
        <v>2.1069642535826202E-2</v>
      </c>
      <c r="O29" s="90">
        <f>'Water Reading'!Q29-'Water Reading'!Q28</f>
        <v>-624</v>
      </c>
      <c r="P29" s="99">
        <f t="shared" si="8"/>
        <v>2.1185074028932565E-3</v>
      </c>
      <c r="Q29" s="91">
        <f>'Water Reading'!F29-'Water Reading'!F28</f>
        <v>-66928</v>
      </c>
      <c r="R29" s="100">
        <f t="shared" si="9"/>
        <v>0.22722349913596132</v>
      </c>
      <c r="S29" s="94">
        <f>'Water Reading'!E29-'Water Reading'!E28</f>
        <v>-247593</v>
      </c>
      <c r="T29" s="100">
        <f t="shared" si="10"/>
        <v>0.84058910802011222</v>
      </c>
      <c r="U29" s="90">
        <f>'Water Reading'!G29-'Water Reading'!G28</f>
        <v>-111555</v>
      </c>
      <c r="V29" s="100">
        <f t="shared" si="11"/>
        <v>0.37873412392589301</v>
      </c>
      <c r="W29" s="90">
        <f>'Water Reading'!J29-'Water Reading'!J28</f>
        <v>-20185</v>
      </c>
      <c r="X29" s="100">
        <f t="shared" si="12"/>
        <v>6.8528961422115994E-2</v>
      </c>
      <c r="Y29" s="66">
        <f t="shared" si="0"/>
        <v>-771151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7771</v>
      </c>
      <c r="C35" s="75">
        <f>SUM(C4:C34)</f>
        <v>-282428</v>
      </c>
      <c r="D35" s="96">
        <f>C35/B35</f>
        <v>-36.343842491313858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-98.105777892163175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2021-06-26T09:09:08Z</dcterms:modified>
  <cp:category/>
  <cp:contentStatus/>
</cp:coreProperties>
</file>