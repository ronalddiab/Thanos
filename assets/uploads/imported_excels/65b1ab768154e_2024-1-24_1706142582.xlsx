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0" documentId="13_ncr:1_{66C7A1E4-F9CB-4DE7-93B5-6973264C3192}" xr6:coauthVersionLast="36" xr6:coauthVersionMax="36" xr10:uidLastSave="{00000000-0000-0000-0000-000000000000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<sst xmlns="http://schemas.openxmlformats.org/spreadsheetml/2006/main" count="204" uniqueCount="55">
  <si>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</si>
  <si>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</si>
  <si>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</si>
  <si>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</si>
  <si>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</si>
  <si>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</si>
  <si>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</si>
  <si>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</si>
  <si>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</si>
  <si>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</si>
  <si>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</si>
  <si>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</si>
  <si>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</si>
  <si>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</si>
  <si>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</si>
  <si>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</si>
  <si>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</si>
  <si>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</si>
  <si>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</si>
  <si>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</si>
  <si>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</si>
  <si>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</si>
  <si>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</si>
  <si>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</si>
  <si>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</si>
  <si>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</si>
  <si>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</si>
  <si>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</si>
  <si>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</si>
  <si>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</si>
  <si>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</si>
  <si>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</si>
  <si>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</si>
  <si>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</si>
  <si>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</si>
  <si>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</si>
  <si>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</si>
  <si>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</si>
  <si>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</si>
  <si>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</si>
  <si>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</si>
  <si>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</si>
  <si>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</si>
  <si>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</si>
  <si>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</si>
  <si>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</si>
  <si>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</si>
  <si>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</si>
  <si>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</si>
  <si>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</si>
  <si>
    <t>Ullah/Dipak</t>
  </si>
  <si>
    <t>Veera/Dipak</t>
  </si>
  <si>
    <t>Ramu/Sathis/Aung</t>
  </si>
  <si>
    <t>Ramu/Aung</t>
  </si>
  <si>
    <t>Parithi/Aung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</si>
</sst>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A16" workbookViewId="0">
      <selection activeCell="K29" sqref="K2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11130</v>
      </c>
      <c r="F13" s="10">
        <v>0.2989</v>
      </c>
      <c r="G13" s="13">
        <f>-'Submetering '!J13+'Submetering '!K13</f>
        <v>698</v>
      </c>
      <c r="H13" s="10">
        <v>0.23150000000000001</v>
      </c>
      <c r="I13" s="13">
        <f>'Submetering '!L13+'Submetering '!M13</f>
        <v>86</v>
      </c>
      <c r="J13" s="10">
        <v>2.74</v>
      </c>
      <c r="K13" s="9">
        <v>81</v>
      </c>
      <c r="L13" s="9">
        <v>81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11745</v>
      </c>
      <c r="F14" s="10">
        <v>0.2989</v>
      </c>
      <c r="G14" s="13">
        <f>-'Submetering '!J14+'Submetering '!K14</f>
        <v>879</v>
      </c>
      <c r="H14" s="10">
        <v>0.23150000000000001</v>
      </c>
      <c r="I14" s="13">
        <f>'Submetering '!L14+'Submetering '!M14</f>
        <v>115</v>
      </c>
      <c r="J14" s="10">
        <v>2.74</v>
      </c>
      <c r="K14" s="9">
        <v>93</v>
      </c>
      <c r="L14" s="9">
        <v>93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11535</v>
      </c>
      <c r="F15" s="10">
        <v>0.2989</v>
      </c>
      <c r="G15" s="13">
        <f>-'Submetering '!J15+'Submetering '!K15</f>
        <v>809</v>
      </c>
      <c r="H15" s="10">
        <v>0.23150000000000001</v>
      </c>
      <c r="I15" s="13">
        <f>'Submetering '!L15+'Submetering '!M15</f>
        <v>108</v>
      </c>
      <c r="J15" s="10">
        <v>2.74</v>
      </c>
      <c r="K15" s="9">
        <v>93</v>
      </c>
      <c r="L15" s="9">
        <v>93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10725</v>
      </c>
      <c r="F16" s="10">
        <v>0.2989</v>
      </c>
      <c r="G16" s="13">
        <f>-'Submetering '!J16+'Submetering '!K16</f>
        <v>660</v>
      </c>
      <c r="H16" s="10">
        <v>0.23150000000000001</v>
      </c>
      <c r="I16" s="13">
        <f>'Submetering '!L16+'Submetering '!M16</f>
        <v>80</v>
      </c>
      <c r="J16" s="10">
        <v>2.74</v>
      </c>
      <c r="K16" s="9">
        <v>123</v>
      </c>
      <c r="L16" s="9">
        <v>123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11850</v>
      </c>
      <c r="F17" s="10">
        <v>0.2989</v>
      </c>
      <c r="G17" s="13">
        <f>-'Submetering '!J17+'Submetering '!K17</f>
        <v>782</v>
      </c>
      <c r="H17" s="10">
        <v>0.23150000000000001</v>
      </c>
      <c r="I17" s="13">
        <f>'Submetering '!L17+'Submetering '!M17</f>
        <v>109</v>
      </c>
      <c r="J17" s="10">
        <v>2.74</v>
      </c>
      <c r="K17" s="9">
        <v>102</v>
      </c>
      <c r="L17" s="9">
        <v>102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11985</v>
      </c>
      <c r="F18" s="10">
        <v>0.2989</v>
      </c>
      <c r="G18" s="13">
        <f>-'Submetering '!J18+'Submetering '!K18</f>
        <v>701</v>
      </c>
      <c r="H18" s="10">
        <v>0.23150000000000001</v>
      </c>
      <c r="I18" s="13">
        <f>'Submetering '!L18+'Submetering '!M18</f>
        <v>214</v>
      </c>
      <c r="J18" s="10">
        <v>2.74</v>
      </c>
      <c r="K18" s="9">
        <v>137</v>
      </c>
      <c r="L18" s="9">
        <v>137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12000</v>
      </c>
      <c r="F19" s="10">
        <v>0.2989</v>
      </c>
      <c r="G19" s="13">
        <f>-'Submetering '!J19+'Submetering '!K19</f>
        <v>666</v>
      </c>
      <c r="H19" s="10">
        <v>0.23150000000000001</v>
      </c>
      <c r="I19" s="13">
        <f>'Submetering '!L19+'Submetering '!M19</f>
        <v>180</v>
      </c>
      <c r="J19" s="10">
        <v>2.74</v>
      </c>
      <c r="K19" s="9">
        <v>156</v>
      </c>
      <c r="L19" s="9">
        <v>156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12660</v>
      </c>
      <c r="F20" s="10">
        <v>0.2989</v>
      </c>
      <c r="G20" s="13">
        <f>-'Submetering '!J20+'Submetering '!K20</f>
        <v>826</v>
      </c>
      <c r="H20" s="10">
        <v>0.23150000000000001</v>
      </c>
      <c r="I20" s="13">
        <f>'Submetering '!L20+'Submetering '!M20</f>
        <v>106</v>
      </c>
      <c r="J20" s="10">
        <v>2.74</v>
      </c>
      <c r="K20" s="9">
        <v>170</v>
      </c>
      <c r="L20" s="9">
        <v>170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11835</v>
      </c>
      <c r="F21" s="10">
        <v>0.2989</v>
      </c>
      <c r="G21" s="13">
        <f>-'Submetering '!J21+'Submetering '!K21</f>
        <v>829</v>
      </c>
      <c r="H21" s="10">
        <v>0.23150000000000001</v>
      </c>
      <c r="I21" s="13">
        <f>'Submetering '!L21+'Submetering '!M21</f>
        <v>126</v>
      </c>
      <c r="J21" s="10">
        <v>2.74</v>
      </c>
      <c r="K21" s="9">
        <v>175</v>
      </c>
      <c r="L21" s="9">
        <v>175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11685</v>
      </c>
      <c r="F22" s="10">
        <v>0.2989</v>
      </c>
      <c r="G22" s="13">
        <f>-'Submetering '!J22+'Submetering '!K22</f>
        <v>706</v>
      </c>
      <c r="H22" s="10">
        <v>0.23150000000000001</v>
      </c>
      <c r="I22" s="13">
        <f>'Submetering '!L22+'Submetering '!M22</f>
        <v>137</v>
      </c>
      <c r="J22" s="10">
        <v>2.74</v>
      </c>
      <c r="K22" s="9">
        <v>170</v>
      </c>
      <c r="L22" s="9">
        <v>170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11850</v>
      </c>
      <c r="F23" s="10">
        <v>0.2989</v>
      </c>
      <c r="G23" s="13">
        <f>-'Submetering '!J23+'Submetering '!K23</f>
        <v>773</v>
      </c>
      <c r="H23" s="10">
        <v>0.23150000000000001</v>
      </c>
      <c r="I23" s="13">
        <f>'Submetering '!L23+'Submetering '!M23</f>
        <v>101</v>
      </c>
      <c r="J23" s="10">
        <v>2.74</v>
      </c>
      <c r="K23" s="9">
        <v>205</v>
      </c>
      <c r="L23" s="9">
        <v>205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11970</v>
      </c>
      <c r="F24" s="10">
        <v>0.2989</v>
      </c>
      <c r="G24" s="13">
        <f>-'Submetering '!J24+'Submetering '!K24</f>
        <v>741</v>
      </c>
      <c r="H24" s="10">
        <v>0.23150000000000001</v>
      </c>
      <c r="I24" s="13">
        <f>'Submetering '!L24+'Submetering '!M24</f>
        <v>137</v>
      </c>
      <c r="J24" s="10">
        <v>2.74</v>
      </c>
      <c r="K24" s="9">
        <v>234</v>
      </c>
      <c r="L24" s="9">
        <v>234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12270</v>
      </c>
      <c r="F25" s="10">
        <v>0.2989</v>
      </c>
      <c r="G25" s="13">
        <f>-'Submetering '!J25+'Submetering '!K25</f>
        <v>779</v>
      </c>
      <c r="H25" s="10">
        <v>0.23150000000000001</v>
      </c>
      <c r="I25" s="13">
        <f>'Submetering '!L25+'Submetering '!M25</f>
        <v>137</v>
      </c>
      <c r="J25" s="10">
        <v>2.74</v>
      </c>
      <c r="K25" s="9">
        <v>243</v>
      </c>
      <c r="L25" s="9">
        <v>243</v>
      </c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7" zoomScale="80" zoomScaleNormal="80" workbookViewId="0">
      <selection activeCell="Y28" sqref="Y2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4755</v>
      </c>
      <c r="F13" s="33">
        <f>(IF((Electrical!C14-Electrical!C13)&lt;0,"0",(Electrical!C14-Electrical!C13)))*15</f>
        <v>2985</v>
      </c>
      <c r="G13" s="33">
        <f>(IF((Electrical!D14-Electrical!D13)&lt;0,"0",(Electrical!D14-Electrical!D13)))*15</f>
        <v>3390</v>
      </c>
      <c r="H13" s="33">
        <f>IF((Electrical!E14-Electrical!E13)&lt;0,"0",(Electrical!E14-Electrical!E13))</f>
        <v>3310</v>
      </c>
      <c r="I13" s="33">
        <f>IF((Electrical!F14-Electrical!F13)&lt;0,"0",(Electrical!F14-Electrical!F13))</f>
        <v>363</v>
      </c>
      <c r="J13" s="33">
        <f>IF((Gas!B14-Gas!B13)&lt;0,"0",(Gas!B14-Gas!B13))</f>
        <v>0</v>
      </c>
      <c r="K13" s="33">
        <f>IF((Gas!C14-Gas!C13)&lt;0,"0",(Gas!C14-Gas!C13))</f>
        <v>698</v>
      </c>
      <c r="L13" s="33">
        <f>(IF((Water!B14-Water!B13)&lt;0,"0",(Water!B14-Water!B13)))*10</f>
        <v>70</v>
      </c>
      <c r="M13" s="33">
        <f>IF((Water!C14-Water!C13)&lt;0,"0",(Water!C14-Water!C13))</f>
        <v>16</v>
      </c>
      <c r="N13" s="33">
        <f>IF((Water!D14-Water!D13)&lt;0,"0",(Water!D14-Water!D13))</f>
        <v>0</v>
      </c>
      <c r="O13" s="33">
        <f>IF((Water!E14-Water!E13)&lt;0,"0",(Water!E14-Water!E13))</f>
        <v>7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81</v>
      </c>
      <c r="Z13" s="9">
        <v>81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4920</v>
      </c>
      <c r="F14" s="33">
        <f>(IF((Electrical!C15-Electrical!C14)&lt;0,"0",(Electrical!C15-Electrical!C14)))*15</f>
        <v>3120</v>
      </c>
      <c r="G14" s="33">
        <f>(IF((Electrical!D15-Electrical!D14)&lt;0,"0",(Electrical!D15-Electrical!D14)))*15</f>
        <v>3705</v>
      </c>
      <c r="H14" s="33">
        <f>IF((Electrical!E15-Electrical!E14)&lt;0,"0",(Electrical!E15-Electrical!E14))</f>
        <v>2898</v>
      </c>
      <c r="I14" s="33">
        <f>IF((Electrical!F15-Electrical!F14)&lt;0,"0",(Electrical!F15-Electrical!F14))</f>
        <v>327</v>
      </c>
      <c r="J14" s="33">
        <f>IF((Gas!B15-Gas!B14)&lt;0,"0",(Gas!B15-Gas!B14))</f>
        <v>0</v>
      </c>
      <c r="K14" s="33">
        <f>IF((Gas!C15-Gas!C14)&lt;0,"0",(Gas!C15-Gas!C14))</f>
        <v>879</v>
      </c>
      <c r="L14" s="33">
        <f>(IF((Water!B15-Water!B14)&lt;0,"0",(Water!B15-Water!B14)))*10</f>
        <v>100</v>
      </c>
      <c r="M14" s="33">
        <f>IF((Water!C15-Water!C14)&lt;0,"0",(Water!C15-Water!C14))</f>
        <v>15</v>
      </c>
      <c r="N14" s="33">
        <f>IF((Water!D15-Water!D14)&lt;0,"0",(Water!D15-Water!D14))</f>
        <v>0</v>
      </c>
      <c r="O14" s="33">
        <f>IF((Water!E15-Water!E14)&lt;0,"0",(Water!E15-Water!E14))</f>
        <v>7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93</v>
      </c>
      <c r="Z14" s="9">
        <v>93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4515</v>
      </c>
      <c r="F15" s="33">
        <f>(IF((Electrical!C16-Electrical!C15)&lt;0,"0",(Electrical!C16-Electrical!C15)))*15</f>
        <v>3315</v>
      </c>
      <c r="G15" s="33">
        <f>(IF((Electrical!D16-Electrical!D15)&lt;0,"0",(Electrical!D16-Electrical!D15)))*15</f>
        <v>3705</v>
      </c>
      <c r="H15" s="33">
        <f>IF((Electrical!E16-Electrical!E15)&lt;0,"0",(Electrical!E16-Electrical!E15))</f>
        <v>3175</v>
      </c>
      <c r="I15" s="33">
        <f>IF((Electrical!F16-Electrical!F15)&lt;0,"0",(Electrical!F16-Electrical!F15))</f>
        <v>379</v>
      </c>
      <c r="J15" s="33">
        <f>IF((Gas!B16-Gas!B15)&lt;0,"0",(Gas!B16-Gas!B15))</f>
        <v>0</v>
      </c>
      <c r="K15" s="33">
        <f>IF((Gas!C16-Gas!C15)&lt;0,"0",(Gas!C16-Gas!C15))</f>
        <v>809</v>
      </c>
      <c r="L15" s="33">
        <f>(IF((Water!B16-Water!B15)&lt;0,"0",(Water!B16-Water!B15)))*10</f>
        <v>90</v>
      </c>
      <c r="M15" s="33">
        <f>IF((Water!C16-Water!C15)&lt;0,"0",(Water!C16-Water!C15))</f>
        <v>18</v>
      </c>
      <c r="N15" s="33">
        <f>IF((Water!D16-Water!D15)&lt;0,"0",(Water!D16-Water!D15))</f>
        <v>0</v>
      </c>
      <c r="O15" s="33">
        <f>IF((Water!E16-Water!E15)&lt;0,"0",(Water!E16-Water!E15))</f>
        <v>7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93</v>
      </c>
      <c r="Z15" s="9">
        <v>93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4110</v>
      </c>
      <c r="F16" s="33">
        <f>(IF((Electrical!C17-Electrical!C16)&lt;0,"0",(Electrical!C17-Electrical!C16)))*15</f>
        <v>3180</v>
      </c>
      <c r="G16" s="33">
        <f>(IF((Electrical!D17-Electrical!D16)&lt;0,"0",(Electrical!D17-Electrical!D16)))*15</f>
        <v>3435</v>
      </c>
      <c r="H16" s="33">
        <f>IF((Electrical!E17-Electrical!E16)&lt;0,"0",(Electrical!E17-Electrical!E16))</f>
        <v>2973</v>
      </c>
      <c r="I16" s="33">
        <f>IF((Electrical!F17-Electrical!F16)&lt;0,"0",(Electrical!F17-Electrical!F16))</f>
        <v>340</v>
      </c>
      <c r="J16" s="33">
        <f>IF((Gas!B17-Gas!B16)&lt;0,"0",(Gas!B17-Gas!B16))</f>
        <v>0</v>
      </c>
      <c r="K16" s="33">
        <f>IF((Gas!C17-Gas!C16)&lt;0,"0",(Gas!C17-Gas!C16))</f>
        <v>660</v>
      </c>
      <c r="L16" s="33">
        <f>(IF((Water!B17-Water!B16)&lt;0,"0",(Water!B17-Water!B16)))*10</f>
        <v>60</v>
      </c>
      <c r="M16" s="33">
        <f>IF((Water!C17-Water!C16)&lt;0,"0",(Water!C17-Water!C16))</f>
        <v>20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5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16</v>
      </c>
      <c r="Y16" s="9">
        <v>123</v>
      </c>
      <c r="Z16" s="9">
        <v>123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4875</v>
      </c>
      <c r="F17" s="33">
        <f>(IF((Electrical!C18-Electrical!C17)&lt;0,"0",(Electrical!C18-Electrical!C17)))*15</f>
        <v>3390</v>
      </c>
      <c r="G17" s="33">
        <f>(IF((Electrical!D18-Electrical!D17)&lt;0,"0",(Electrical!D18-Electrical!D17)))*15</f>
        <v>3585</v>
      </c>
      <c r="H17" s="33">
        <f>IF((Electrical!E18-Electrical!E17)&lt;0,"0",(Electrical!E18-Electrical!E17))</f>
        <v>3264</v>
      </c>
      <c r="I17" s="33">
        <f>IF((Electrical!F18-Electrical!F17)&lt;0,"0",(Electrical!F18-Electrical!F17))</f>
        <v>374</v>
      </c>
      <c r="J17" s="33">
        <f>IF((Gas!B18-Gas!B17)&lt;0,"0",(Gas!B18-Gas!B17))</f>
        <v>0</v>
      </c>
      <c r="K17" s="33">
        <f>IF((Gas!C18-Gas!C17)&lt;0,"0",(Gas!C18-Gas!C17))</f>
        <v>782</v>
      </c>
      <c r="L17" s="33">
        <f>(IF((Water!B18-Water!B17)&lt;0,"0",(Water!B18-Water!B17)))*10</f>
        <v>90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102</v>
      </c>
      <c r="Z17" s="9">
        <v>102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3450</v>
      </c>
      <c r="G18" s="33">
        <f>(IF((Electrical!D19-Electrical!D18)&lt;0,"0",(Electrical!D19-Electrical!D18)))*15</f>
        <v>3585</v>
      </c>
      <c r="H18" s="33">
        <f>IF((Electrical!E19-Electrical!E18)&lt;0,"0",(Electrical!E19-Electrical!E18))</f>
        <v>3432</v>
      </c>
      <c r="I18" s="33">
        <f>IF((Electrical!F19-Electrical!F18)&lt;0,"0",(Electrical!F19-Electrical!F18))</f>
        <v>379</v>
      </c>
      <c r="J18" s="33">
        <f>IF((Gas!B19-Gas!B18)&lt;0,"0",(Gas!B19-Gas!B18))</f>
        <v>0</v>
      </c>
      <c r="K18" s="33">
        <f>IF((Gas!C19-Gas!C18)&lt;0,"0",(Gas!C19-Gas!C18))</f>
        <v>701</v>
      </c>
      <c r="L18" s="33">
        <f>(IF((Water!B19-Water!B18)&lt;0,"0",(Water!B19-Water!B18)))*10</f>
        <v>190</v>
      </c>
      <c r="M18" s="33">
        <f>IF((Water!C19-Water!C18)&lt;0,"0",(Water!C19-Water!C18))</f>
        <v>24</v>
      </c>
      <c r="N18" s="33">
        <f>IF((Water!D19-Water!D18)&lt;0,"0",(Water!D19-Water!D18))</f>
        <v>0</v>
      </c>
      <c r="O18" s="33">
        <f>IF((Water!E19-Water!E18)&lt;0,"0",(Water!E19-Water!E18))</f>
        <v>9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137</v>
      </c>
      <c r="Z18" s="9">
        <v>137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3360</v>
      </c>
      <c r="G19" s="33">
        <f>(IF((Electrical!D20-Electrical!D19)&lt;0,"0",(Electrical!D20-Electrical!D19)))*15</f>
        <v>3510</v>
      </c>
      <c r="H19" s="33">
        <f>IF((Electrical!E20-Electrical!E19)&lt;0,"0",(Electrical!E20-Electrical!E19))</f>
        <v>3435</v>
      </c>
      <c r="I19" s="33">
        <f>IF((Electrical!F20-Electrical!F19)&lt;0,"0",(Electrical!F20-Electrical!F19))</f>
        <v>368</v>
      </c>
      <c r="J19" s="33">
        <f>IF((Gas!B20-Gas!B19)&lt;0,"0",(Gas!B20-Gas!B19))</f>
        <v>0</v>
      </c>
      <c r="K19" s="33">
        <f>IF((Gas!C20-Gas!C19)&lt;0,"0",(Gas!C20-Gas!C19))</f>
        <v>666</v>
      </c>
      <c r="L19" s="33">
        <f>(IF((Water!B20-Water!B19)&lt;0,"0",(Water!B20-Water!B19)))*10</f>
        <v>160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9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8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156</v>
      </c>
      <c r="Z19" s="9">
        <v>156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5280</v>
      </c>
      <c r="F20" s="33">
        <f>(IF((Electrical!C21-Electrical!C20)&lt;0,"0",(Electrical!C21-Electrical!C20)))*15</f>
        <v>3570</v>
      </c>
      <c r="G20" s="33">
        <f>(IF((Electrical!D21-Electrical!D20)&lt;0,"0",(Electrical!D21-Electrical!D20)))*15</f>
        <v>3810</v>
      </c>
      <c r="H20" s="33">
        <f>IF((Electrical!E21-Electrical!E20)&lt;0,"0",(Electrical!E21-Electrical!E20))</f>
        <v>3450</v>
      </c>
      <c r="I20" s="33">
        <f>IF((Electrical!F21-Electrical!F20)&lt;0,"0",(Electrical!F21-Electrical!F20))</f>
        <v>418</v>
      </c>
      <c r="J20" s="33">
        <f>IF((Gas!B21-Gas!B20)&lt;0,"0",(Gas!B21-Gas!B20))</f>
        <v>0</v>
      </c>
      <c r="K20" s="33">
        <f>IF((Gas!C21-Gas!C20)&lt;0,"0",(Gas!C21-Gas!C20))</f>
        <v>826</v>
      </c>
      <c r="L20" s="33">
        <f>(IF((Water!B21-Water!B20)&lt;0,"0",(Water!B21-Water!B20)))*10</f>
        <v>90</v>
      </c>
      <c r="M20" s="33">
        <f>IF((Water!C21-Water!C20)&lt;0,"0",(Water!C21-Water!C20))</f>
        <v>16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29</v>
      </c>
      <c r="Y20" s="9">
        <v>170</v>
      </c>
      <c r="Z20" s="9">
        <v>170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4950</v>
      </c>
      <c r="F21" s="33">
        <f>(IF((Electrical!C22-Electrical!C21)&lt;0,"0",(Electrical!C22-Electrical!C21)))*15</f>
        <v>3345</v>
      </c>
      <c r="G21" s="33">
        <f>(IF((Electrical!D22-Electrical!D21)&lt;0,"0",(Electrical!D22-Electrical!D21)))*15</f>
        <v>3540</v>
      </c>
      <c r="H21" s="33">
        <f>IF((Electrical!E22-Electrical!E21)&lt;0,"0",(Electrical!E22-Electrical!E21))</f>
        <v>3053</v>
      </c>
      <c r="I21" s="33">
        <f>IF((Electrical!F22-Electrical!F21)&lt;0,"0",(Electrical!F22-Electrical!F21))</f>
        <v>410</v>
      </c>
      <c r="J21" s="33">
        <f>IF((Gas!B22-Gas!B21)&lt;0,"0",(Gas!B22-Gas!B21))</f>
        <v>0</v>
      </c>
      <c r="K21" s="33">
        <f>IF((Gas!C22-Gas!C21)&lt;0,"0",(Gas!C22-Gas!C21))</f>
        <v>829</v>
      </c>
      <c r="L21" s="33">
        <f>(IF((Water!B22-Water!B21)&lt;0,"0",(Water!B22-Water!B21)))*10</f>
        <v>110</v>
      </c>
      <c r="M21" s="33">
        <f>IF((Water!C22-Water!C21)&lt;0,"0",(Water!C22-Water!C21))</f>
        <v>16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175</v>
      </c>
      <c r="Z21" s="9">
        <v>175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4695</v>
      </c>
      <c r="F22" s="33">
        <f>(IF((Electrical!C23-Electrical!C22)&lt;0,"0",(Electrical!C23-Electrical!C22)))*15</f>
        <v>3360</v>
      </c>
      <c r="G22" s="33">
        <f>(IF((Electrical!D23-Electrical!D22)&lt;0,"0",(Electrical!D23-Electrical!D22)))*15</f>
        <v>3630</v>
      </c>
      <c r="H22" s="33">
        <f>IF((Electrical!E23-Electrical!E22)&lt;0,"0",(Electrical!E23-Electrical!E22))</f>
        <v>3053</v>
      </c>
      <c r="I22" s="33">
        <f>IF((Electrical!F23-Electrical!F22)&lt;0,"0",(Electrical!F23-Electrical!F22))</f>
        <v>389</v>
      </c>
      <c r="J22" s="33">
        <f>IF((Gas!B23-Gas!B22)&lt;0,"0",(Gas!B23-Gas!B22))</f>
        <v>0</v>
      </c>
      <c r="K22" s="33">
        <f>IF((Gas!C23-Gas!C22)&lt;0,"0",(Gas!C23-Gas!C22))</f>
        <v>706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15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170</v>
      </c>
      <c r="Z22" s="9">
        <v>170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4695</v>
      </c>
      <c r="F23" s="33">
        <f>(IF((Electrical!C24-Electrical!C23)&lt;0,"0",(Electrical!C24-Electrical!C23)))*15</f>
        <v>3435</v>
      </c>
      <c r="G23" s="33">
        <f>(IF((Electrical!D24-Electrical!D23)&lt;0,"0",(Electrical!D24-Electrical!D23)))*15</f>
        <v>3720</v>
      </c>
      <c r="H23" s="33">
        <f>IF((Electrical!E24-Electrical!E23)&lt;0,"0",(Electrical!E24-Electrical!E23))</f>
        <v>3217</v>
      </c>
      <c r="I23" s="33">
        <f>IF((Electrical!F24-Electrical!F23)&lt;0,"0",(Electrical!F24-Electrical!F23))</f>
        <v>452</v>
      </c>
      <c r="J23" s="33">
        <f>IF((Gas!B24-Gas!B23)&lt;0,"0",(Gas!B24-Gas!B23))</f>
        <v>0</v>
      </c>
      <c r="K23" s="33">
        <f>IF((Gas!C24-Gas!C23)&lt;0,"0",(Gas!C24-Gas!C23))</f>
        <v>773</v>
      </c>
      <c r="L23" s="33">
        <f>(IF((Water!B24-Water!B23)&lt;0,"0",(Water!B24-Water!B23)))*10</f>
        <v>80</v>
      </c>
      <c r="M23" s="33">
        <f>IF((Water!C24-Water!C23)&lt;0,"0",(Water!C24-Water!C23))</f>
        <v>21</v>
      </c>
      <c r="N23" s="33">
        <f>IF((Water!D24-Water!D23)&lt;0,"0",(Water!D24-Water!D23))</f>
        <v>0</v>
      </c>
      <c r="O23" s="33">
        <f>IF((Water!E24-Water!E23)&lt;0,"0",(Water!E24-Water!E23))</f>
        <v>14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15</v>
      </c>
      <c r="Y23" s="9">
        <v>205</v>
      </c>
      <c r="Z23" s="9">
        <v>205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5295</v>
      </c>
      <c r="F24" s="33">
        <f>(IF((Electrical!C25-Electrical!C24)&lt;0,"0",(Electrical!C25-Electrical!C24)))*15</f>
        <v>3135</v>
      </c>
      <c r="G24" s="33">
        <f>(IF((Electrical!D25-Electrical!D24)&lt;0,"0",(Electrical!D25-Electrical!D24)))*15</f>
        <v>3540</v>
      </c>
      <c r="H24" s="33">
        <f>IF((Electrical!E25-Electrical!E24)&lt;0,"0",(Electrical!E25-Electrical!E24))</f>
        <v>3503</v>
      </c>
      <c r="I24" s="33">
        <f>IF((Electrical!F25-Electrical!F24)&lt;0,"0",(Electrical!F25-Electrical!F24))</f>
        <v>488</v>
      </c>
      <c r="J24" s="33">
        <f>IF((Gas!B25-Gas!B24)&lt;0,"0",(Gas!B25-Gas!B24))</f>
        <v>0</v>
      </c>
      <c r="K24" s="33">
        <f>IF((Gas!C25-Gas!C24)&lt;0,"0",(Gas!C25-Gas!C24))</f>
        <v>741</v>
      </c>
      <c r="L24" s="33">
        <f>(IF((Water!B25-Water!B24)&lt;0,"0",(Water!B25-Water!B24)))*10</f>
        <v>120</v>
      </c>
      <c r="M24" s="33">
        <f>IF((Water!C25-Water!C24)&lt;0,"0",(Water!C25-Water!C24))</f>
        <v>17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234</v>
      </c>
      <c r="Z24" s="9">
        <v>234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5400</v>
      </c>
      <c r="F25" s="33">
        <f>(IF((Electrical!C26-Electrical!C25)&lt;0,"0",(Electrical!C26-Electrical!C25)))*15</f>
        <v>3225</v>
      </c>
      <c r="G25" s="33">
        <f>(IF((Electrical!D26-Electrical!D25)&lt;0,"0",(Electrical!D26-Electrical!D25)))*15</f>
        <v>3645</v>
      </c>
      <c r="H25" s="33">
        <f>IF((Electrical!E26-Electrical!E25)&lt;0,"0",(Electrical!E26-Electrical!E25))</f>
        <v>3556</v>
      </c>
      <c r="I25" s="33">
        <f>IF((Electrical!F26-Electrical!F25)&lt;0,"0",(Electrical!F26-Electrical!F25))</f>
        <v>434</v>
      </c>
      <c r="J25" s="33">
        <f>IF((Gas!B26-Gas!B25)&lt;0,"0",(Gas!B26-Gas!B25))</f>
        <v>0</v>
      </c>
      <c r="K25" s="33">
        <f>IF((Gas!C26-Gas!C25)&lt;0,"0",(Gas!C26-Gas!C25))</f>
        <v>779</v>
      </c>
      <c r="L25" s="33">
        <f>(IF((Water!B26-Water!B25)&lt;0,"0",(Water!B26-Water!B25)))*10</f>
        <v>120</v>
      </c>
      <c r="M25" s="33">
        <f>IF((Water!C26-Water!C25)&lt;0,"0",(Water!C26-Water!C25))</f>
        <v>17</v>
      </c>
      <c r="N25" s="33">
        <f>IF((Water!D26-Water!D25)&lt;0,"0",(Water!D26-Water!D25))</f>
        <v>0</v>
      </c>
      <c r="O25" s="33">
        <f>IF((Water!E26-Water!E25)&lt;0,"0",(Water!E26-Water!E25))</f>
        <v>19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243</v>
      </c>
      <c r="Z25" s="9">
        <v>243</v>
      </c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 t="str">
        <f>IF((Electrical!E27-Electrical!E26)&lt;0,"0",(Electrical!E27-Electrical!E26))</f>
        <v>0</v>
      </c>
      <c r="I26" s="33" t="str">
        <f>IF((Electrical!F27-Electrical!F26)&lt;0,"0",(Electrical!F27-Electrical!F26))</f>
        <v>0</v>
      </c>
      <c r="J26" s="33">
        <f>IF((Gas!B27-Gas!B26)&lt;0,"0",(Gas!B27-Gas!B26))</f>
        <v>0</v>
      </c>
      <c r="K26" s="33" t="str">
        <f>IF((Gas!C27-Gas!C26)&lt;0,"0",(Gas!C27-Gas!C26))</f>
        <v>0</v>
      </c>
      <c r="L26" s="33">
        <f>(IF((Water!B27-Water!B26)&lt;0,"0",(Water!B27-Water!B26)))*10</f>
        <v>0</v>
      </c>
      <c r="M26" s="33" t="str">
        <f>IF((Water!C27-Water!C26)&lt;0,"0",(Water!C27-Water!C26))</f>
        <v>0</v>
      </c>
      <c r="N26" s="33">
        <f>IF((Water!D27-Water!D26)&lt;0,"0",(Water!D27-Water!D26))</f>
        <v>0</v>
      </c>
      <c r="O26" s="33" t="str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 t="str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 t="str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topLeftCell="A7" zoomScale="70" zoomScaleNormal="70" workbookViewId="0">
      <selection activeCell="K20" sqref="K20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7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8">
        <v>97789</v>
      </c>
      <c r="C3" s="48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>
        <v>101532</v>
      </c>
      <c r="C14" s="28">
        <v>76410</v>
      </c>
      <c r="D14" s="45">
        <v>77119</v>
      </c>
      <c r="E14" s="45">
        <v>1057049</v>
      </c>
      <c r="F14" s="45">
        <v>118594</v>
      </c>
      <c r="G14" s="5" t="s">
        <v>50</v>
      </c>
    </row>
    <row r="15" spans="1:7" x14ac:dyDescent="0.35">
      <c r="A15" s="7">
        <v>13</v>
      </c>
      <c r="B15" s="28">
        <v>101860</v>
      </c>
      <c r="C15" s="28">
        <v>76618</v>
      </c>
      <c r="D15" s="45">
        <v>77366</v>
      </c>
      <c r="E15" s="45">
        <v>1059947</v>
      </c>
      <c r="F15" s="45">
        <v>118921</v>
      </c>
      <c r="G15" s="5" t="s">
        <v>45</v>
      </c>
    </row>
    <row r="16" spans="1:7" x14ac:dyDescent="0.35">
      <c r="A16" s="7">
        <v>14</v>
      </c>
      <c r="B16" s="28">
        <v>102161</v>
      </c>
      <c r="C16" s="28">
        <v>76839</v>
      </c>
      <c r="D16" s="45">
        <v>77613</v>
      </c>
      <c r="E16" s="45">
        <v>1063122</v>
      </c>
      <c r="F16" s="45">
        <v>119300</v>
      </c>
      <c r="G16" s="5" t="s">
        <v>43</v>
      </c>
    </row>
    <row r="17" spans="1:7" x14ac:dyDescent="0.35">
      <c r="A17" s="7">
        <v>15</v>
      </c>
      <c r="B17" s="28">
        <v>102435</v>
      </c>
      <c r="C17" s="28">
        <v>77051</v>
      </c>
      <c r="D17" s="45">
        <v>77842</v>
      </c>
      <c r="E17" s="45">
        <v>1066095</v>
      </c>
      <c r="F17" s="45">
        <v>119640</v>
      </c>
      <c r="G17" s="5" t="s">
        <v>41</v>
      </c>
    </row>
    <row r="18" spans="1:7" x14ac:dyDescent="0.35">
      <c r="A18" s="7">
        <v>16</v>
      </c>
      <c r="B18" s="28">
        <v>102760</v>
      </c>
      <c r="C18" s="28">
        <v>77277</v>
      </c>
      <c r="D18" s="45">
        <v>78081</v>
      </c>
      <c r="E18" s="45">
        <v>1069359</v>
      </c>
      <c r="F18" s="45">
        <v>120014</v>
      </c>
      <c r="G18" s="5" t="s">
        <v>41</v>
      </c>
    </row>
    <row r="19" spans="1:7" x14ac:dyDescent="0.35">
      <c r="A19" s="7">
        <v>17</v>
      </c>
      <c r="B19" s="28">
        <v>103090</v>
      </c>
      <c r="C19" s="28">
        <v>77507</v>
      </c>
      <c r="D19" s="45">
        <v>78320</v>
      </c>
      <c r="E19" s="45">
        <v>1072791</v>
      </c>
      <c r="F19" s="45">
        <v>120393</v>
      </c>
      <c r="G19" s="5" t="s">
        <v>41</v>
      </c>
    </row>
    <row r="20" spans="1:7" x14ac:dyDescent="0.35">
      <c r="A20" s="7">
        <v>18</v>
      </c>
      <c r="B20" s="28">
        <v>103432</v>
      </c>
      <c r="C20" s="28">
        <v>77731</v>
      </c>
      <c r="D20" s="45">
        <v>78554</v>
      </c>
      <c r="E20" s="45">
        <v>1076226</v>
      </c>
      <c r="F20" s="45">
        <v>120761</v>
      </c>
      <c r="G20" s="5" t="s">
        <v>41</v>
      </c>
    </row>
    <row r="21" spans="1:7" x14ac:dyDescent="0.35">
      <c r="A21" s="7">
        <v>19</v>
      </c>
      <c r="B21" s="28">
        <v>103784</v>
      </c>
      <c r="C21" s="28">
        <v>77969</v>
      </c>
      <c r="D21" s="45">
        <v>78808</v>
      </c>
      <c r="E21" s="45">
        <v>1079676</v>
      </c>
      <c r="F21" s="45">
        <v>121179</v>
      </c>
      <c r="G21" s="5" t="s">
        <v>51</v>
      </c>
    </row>
    <row r="22" spans="1:7" x14ac:dyDescent="0.35">
      <c r="A22" s="7">
        <v>20</v>
      </c>
      <c r="B22" s="28">
        <v>104114</v>
      </c>
      <c r="C22" s="28">
        <v>78192</v>
      </c>
      <c r="D22" s="45">
        <v>79044</v>
      </c>
      <c r="E22" s="45">
        <v>1082729</v>
      </c>
      <c r="F22" s="45">
        <v>121589</v>
      </c>
      <c r="G22" s="27" t="s">
        <v>52</v>
      </c>
    </row>
    <row r="23" spans="1:7" x14ac:dyDescent="0.35">
      <c r="A23" s="7">
        <v>21</v>
      </c>
      <c r="B23" s="28">
        <v>104427</v>
      </c>
      <c r="C23" s="28">
        <v>78416</v>
      </c>
      <c r="D23" s="45">
        <v>79286</v>
      </c>
      <c r="E23" s="45">
        <v>1085782</v>
      </c>
      <c r="F23" s="45">
        <v>121978</v>
      </c>
      <c r="G23" s="27" t="s">
        <v>53</v>
      </c>
    </row>
    <row r="24" spans="1:7" x14ac:dyDescent="0.35">
      <c r="A24" s="7">
        <v>22</v>
      </c>
      <c r="B24" s="28">
        <v>104740</v>
      </c>
      <c r="C24" s="28">
        <v>78645</v>
      </c>
      <c r="D24" s="45">
        <v>79534</v>
      </c>
      <c r="E24" s="45">
        <v>1088999</v>
      </c>
      <c r="F24" s="45">
        <v>122430</v>
      </c>
      <c r="G24" s="5" t="s">
        <v>54</v>
      </c>
    </row>
    <row r="25" spans="1:7" x14ac:dyDescent="0.35">
      <c r="A25" s="7">
        <v>23</v>
      </c>
      <c r="B25" s="28">
        <v>105093</v>
      </c>
      <c r="C25" s="28">
        <v>78854</v>
      </c>
      <c r="D25" s="45">
        <v>79770</v>
      </c>
      <c r="E25" s="45">
        <v>1092502</v>
      </c>
      <c r="F25" s="45">
        <v>122918</v>
      </c>
      <c r="G25" s="5" t="s">
        <v>54</v>
      </c>
    </row>
    <row r="26" spans="1:7" x14ac:dyDescent="0.35">
      <c r="A26" s="7">
        <v>24</v>
      </c>
      <c r="B26" s="28">
        <v>105453</v>
      </c>
      <c r="C26" s="28">
        <v>79069</v>
      </c>
      <c r="D26" s="45">
        <v>80013</v>
      </c>
      <c r="E26" s="45">
        <v>1096058</v>
      </c>
      <c r="F26" s="45">
        <v>123352</v>
      </c>
      <c r="G26" s="27" t="s">
        <v>40</v>
      </c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H20" sqref="H2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>
        <v>166764</v>
      </c>
      <c r="D14" s="5" t="s">
        <v>50</v>
      </c>
    </row>
    <row r="15" spans="1:4" x14ac:dyDescent="0.35">
      <c r="A15" s="4">
        <v>13</v>
      </c>
      <c r="B15" s="5">
        <v>0</v>
      </c>
      <c r="C15" s="5">
        <v>167643</v>
      </c>
      <c r="D15" s="5" t="s">
        <v>45</v>
      </c>
    </row>
    <row r="16" spans="1:4" x14ac:dyDescent="0.35">
      <c r="A16" s="4">
        <v>14</v>
      </c>
      <c r="B16" s="5">
        <v>0</v>
      </c>
      <c r="C16" s="5">
        <v>168452</v>
      </c>
      <c r="D16" s="5" t="s">
        <v>43</v>
      </c>
    </row>
    <row r="17" spans="1:4" x14ac:dyDescent="0.35">
      <c r="A17" s="4">
        <v>15</v>
      </c>
      <c r="B17" s="5">
        <v>0</v>
      </c>
      <c r="C17" s="5">
        <v>169112</v>
      </c>
      <c r="D17" s="5" t="s">
        <v>41</v>
      </c>
    </row>
    <row r="18" spans="1:4" x14ac:dyDescent="0.35">
      <c r="A18" s="4">
        <v>16</v>
      </c>
      <c r="B18" s="5">
        <v>0</v>
      </c>
      <c r="C18" s="5">
        <v>169894</v>
      </c>
      <c r="D18" s="5" t="s">
        <v>41</v>
      </c>
    </row>
    <row r="19" spans="1:4" x14ac:dyDescent="0.35">
      <c r="A19" s="4">
        <v>17</v>
      </c>
      <c r="B19" s="5">
        <v>0</v>
      </c>
      <c r="C19" s="5">
        <v>170595</v>
      </c>
      <c r="D19" s="5" t="s">
        <v>41</v>
      </c>
    </row>
    <row r="20" spans="1:4" x14ac:dyDescent="0.35">
      <c r="A20" s="4">
        <v>18</v>
      </c>
      <c r="B20" s="5">
        <v>0</v>
      </c>
      <c r="C20" s="5">
        <v>171261</v>
      </c>
      <c r="D20" s="5" t="s">
        <v>41</v>
      </c>
    </row>
    <row r="21" spans="1:4" x14ac:dyDescent="0.35">
      <c r="A21" s="4">
        <v>19</v>
      </c>
      <c r="B21" s="5">
        <v>0</v>
      </c>
      <c r="C21" s="5">
        <v>172087</v>
      </c>
      <c r="D21" s="5" t="s">
        <v>51</v>
      </c>
    </row>
    <row r="22" spans="1:4" ht="15.5" x14ac:dyDescent="0.35">
      <c r="A22" s="4">
        <v>20</v>
      </c>
      <c r="B22" s="5">
        <v>0</v>
      </c>
      <c r="C22" s="5">
        <v>172916</v>
      </c>
      <c r="D22" s="27" t="s">
        <v>52</v>
      </c>
    </row>
    <row r="23" spans="1:4" ht="15.5" x14ac:dyDescent="0.35">
      <c r="A23" s="4">
        <v>21</v>
      </c>
      <c r="B23" s="5">
        <v>0</v>
      </c>
      <c r="C23" s="5">
        <v>173622</v>
      </c>
      <c r="D23" s="27" t="s">
        <v>53</v>
      </c>
    </row>
    <row r="24" spans="1:4" x14ac:dyDescent="0.35">
      <c r="A24" s="4">
        <v>22</v>
      </c>
      <c r="B24" s="5">
        <v>0</v>
      </c>
      <c r="C24" s="5">
        <v>174395</v>
      </c>
      <c r="D24" s="5" t="s">
        <v>54</v>
      </c>
    </row>
    <row r="25" spans="1:4" x14ac:dyDescent="0.35">
      <c r="A25" s="4">
        <v>23</v>
      </c>
      <c r="B25" s="5">
        <v>0</v>
      </c>
      <c r="C25" s="5">
        <v>175136</v>
      </c>
      <c r="D25" s="5" t="s">
        <v>54</v>
      </c>
    </row>
    <row r="26" spans="1:4" ht="15.5" x14ac:dyDescent="0.35">
      <c r="A26" s="4">
        <v>24</v>
      </c>
      <c r="B26" s="5">
        <v>0</v>
      </c>
      <c r="C26" s="5">
        <v>175915</v>
      </c>
      <c r="D26" s="27" t="s">
        <v>40</v>
      </c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D13" zoomScale="85" zoomScaleNormal="85" workbookViewId="0">
      <selection activeCell="O32" sqref="O32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>
        <v>2703</v>
      </c>
      <c r="C14" s="5">
        <v>9312</v>
      </c>
      <c r="D14" s="5">
        <v>0</v>
      </c>
      <c r="E14" s="5">
        <v>2190</v>
      </c>
      <c r="F14" s="5">
        <v>0</v>
      </c>
      <c r="G14" s="5">
        <v>0</v>
      </c>
      <c r="H14" s="5">
        <v>0</v>
      </c>
      <c r="I14" s="5">
        <v>0</v>
      </c>
      <c r="J14" s="5">
        <v>264</v>
      </c>
      <c r="K14" s="5">
        <v>0</v>
      </c>
      <c r="L14" s="5">
        <v>0</v>
      </c>
      <c r="M14" s="5">
        <v>0</v>
      </c>
      <c r="N14" s="5">
        <v>10687</v>
      </c>
      <c r="O14" s="5" t="s">
        <v>50</v>
      </c>
    </row>
    <row r="15" spans="1:15" x14ac:dyDescent="0.35">
      <c r="A15" s="4">
        <v>13</v>
      </c>
      <c r="B15" s="5">
        <v>2713</v>
      </c>
      <c r="C15" s="5">
        <v>9327</v>
      </c>
      <c r="D15" s="5">
        <v>0</v>
      </c>
      <c r="E15" s="5">
        <v>2197</v>
      </c>
      <c r="F15" s="5">
        <v>0</v>
      </c>
      <c r="G15" s="5">
        <v>0</v>
      </c>
      <c r="H15" s="5">
        <v>0</v>
      </c>
      <c r="I15" s="5">
        <v>0</v>
      </c>
      <c r="J15" s="5">
        <v>264</v>
      </c>
      <c r="K15" s="5">
        <v>0</v>
      </c>
      <c r="L15" s="5">
        <v>0</v>
      </c>
      <c r="M15" s="5">
        <v>0</v>
      </c>
      <c r="N15" s="5">
        <v>10719</v>
      </c>
      <c r="O15" s="5" t="s">
        <v>45</v>
      </c>
    </row>
    <row r="16" spans="1:15" x14ac:dyDescent="0.35">
      <c r="A16" s="4">
        <v>14</v>
      </c>
      <c r="B16" s="5">
        <v>2722</v>
      </c>
      <c r="C16" s="5">
        <v>9345</v>
      </c>
      <c r="D16" s="5">
        <v>0</v>
      </c>
      <c r="E16" s="5">
        <v>2204</v>
      </c>
      <c r="F16" s="5">
        <v>0</v>
      </c>
      <c r="G16" s="5">
        <v>0</v>
      </c>
      <c r="H16" s="5">
        <v>0</v>
      </c>
      <c r="I16" s="5">
        <v>0</v>
      </c>
      <c r="J16" s="5">
        <v>264</v>
      </c>
      <c r="K16" s="5">
        <v>0</v>
      </c>
      <c r="L16" s="5">
        <v>0</v>
      </c>
      <c r="M16" s="5">
        <v>0</v>
      </c>
      <c r="N16" s="5">
        <v>10751</v>
      </c>
      <c r="O16" s="5" t="s">
        <v>43</v>
      </c>
    </row>
    <row r="17" spans="1:15" x14ac:dyDescent="0.35">
      <c r="A17" s="4">
        <v>15</v>
      </c>
      <c r="B17" s="5">
        <v>2728</v>
      </c>
      <c r="C17" s="5">
        <v>9365</v>
      </c>
      <c r="D17" s="5">
        <v>0</v>
      </c>
      <c r="E17" s="5">
        <v>2213</v>
      </c>
      <c r="F17" s="5">
        <v>0</v>
      </c>
      <c r="G17" s="5">
        <v>0</v>
      </c>
      <c r="H17" s="5">
        <v>0</v>
      </c>
      <c r="I17" s="5">
        <v>0</v>
      </c>
      <c r="J17" s="5">
        <v>269</v>
      </c>
      <c r="K17" s="5">
        <v>0</v>
      </c>
      <c r="L17" s="5">
        <v>0</v>
      </c>
      <c r="M17" s="5">
        <v>0</v>
      </c>
      <c r="N17" s="5">
        <v>10767</v>
      </c>
      <c r="O17" s="5" t="s">
        <v>41</v>
      </c>
    </row>
    <row r="18" spans="1:15" x14ac:dyDescent="0.35">
      <c r="A18" s="4">
        <v>16</v>
      </c>
      <c r="B18" s="5">
        <v>2737</v>
      </c>
      <c r="C18" s="5">
        <v>9384</v>
      </c>
      <c r="D18" s="5">
        <v>0</v>
      </c>
      <c r="E18" s="5">
        <v>2220</v>
      </c>
      <c r="F18" s="5">
        <v>0</v>
      </c>
      <c r="G18" s="5">
        <v>0</v>
      </c>
      <c r="H18" s="5">
        <v>0</v>
      </c>
      <c r="I18" s="5">
        <v>0</v>
      </c>
      <c r="J18" s="5">
        <v>269</v>
      </c>
      <c r="K18" s="5">
        <v>0</v>
      </c>
      <c r="L18" s="5">
        <v>0</v>
      </c>
      <c r="M18" s="5">
        <v>0</v>
      </c>
      <c r="N18" s="5">
        <v>10798</v>
      </c>
      <c r="O18" s="5" t="s">
        <v>41</v>
      </c>
    </row>
    <row r="19" spans="1:15" x14ac:dyDescent="0.35">
      <c r="A19" s="4">
        <v>17</v>
      </c>
      <c r="B19" s="5">
        <v>2756</v>
      </c>
      <c r="C19" s="5">
        <v>9408</v>
      </c>
      <c r="D19" s="5">
        <v>0</v>
      </c>
      <c r="E19" s="5">
        <v>2229</v>
      </c>
      <c r="F19" s="5">
        <v>0</v>
      </c>
      <c r="G19" s="5">
        <v>0</v>
      </c>
      <c r="H19" s="5">
        <v>0</v>
      </c>
      <c r="I19" s="5">
        <v>0</v>
      </c>
      <c r="J19" s="5">
        <v>269</v>
      </c>
      <c r="K19" s="5">
        <v>0</v>
      </c>
      <c r="L19" s="5">
        <v>0</v>
      </c>
      <c r="M19" s="5">
        <v>0</v>
      </c>
      <c r="N19" s="5">
        <v>10830</v>
      </c>
      <c r="O19" s="5" t="s">
        <v>41</v>
      </c>
    </row>
    <row r="20" spans="1:15" x14ac:dyDescent="0.35">
      <c r="A20" s="4">
        <v>18</v>
      </c>
      <c r="B20" s="5">
        <v>2772</v>
      </c>
      <c r="C20" s="5">
        <v>9428</v>
      </c>
      <c r="D20" s="5">
        <v>0</v>
      </c>
      <c r="E20" s="5">
        <v>2238</v>
      </c>
      <c r="F20" s="5">
        <v>0</v>
      </c>
      <c r="G20" s="5">
        <v>0</v>
      </c>
      <c r="H20" s="5">
        <v>0</v>
      </c>
      <c r="I20" s="5">
        <v>0</v>
      </c>
      <c r="J20" s="5">
        <v>277</v>
      </c>
      <c r="K20" s="5">
        <v>0</v>
      </c>
      <c r="L20" s="5">
        <v>0</v>
      </c>
      <c r="M20" s="5">
        <v>0</v>
      </c>
      <c r="N20" s="5">
        <v>10861</v>
      </c>
      <c r="O20" s="5" t="s">
        <v>41</v>
      </c>
    </row>
    <row r="21" spans="1:15" x14ac:dyDescent="0.35">
      <c r="A21" s="4">
        <v>19</v>
      </c>
      <c r="B21" s="5">
        <v>2781</v>
      </c>
      <c r="C21" s="5">
        <v>9444</v>
      </c>
      <c r="D21" s="5">
        <v>0</v>
      </c>
      <c r="E21" s="5">
        <v>2252</v>
      </c>
      <c r="F21" s="5">
        <v>0</v>
      </c>
      <c r="G21" s="5">
        <v>0</v>
      </c>
      <c r="H21" s="5">
        <v>0</v>
      </c>
      <c r="I21" s="5">
        <v>0</v>
      </c>
      <c r="J21" s="5">
        <v>277</v>
      </c>
      <c r="K21" s="5">
        <v>0</v>
      </c>
      <c r="L21" s="5">
        <v>0</v>
      </c>
      <c r="M21" s="5">
        <v>0</v>
      </c>
      <c r="N21" s="5">
        <v>10890</v>
      </c>
      <c r="O21" s="5" t="s">
        <v>51</v>
      </c>
    </row>
    <row r="22" spans="1:15" ht="15.5" x14ac:dyDescent="0.35">
      <c r="A22" s="4">
        <v>20</v>
      </c>
      <c r="B22" s="5">
        <v>2792</v>
      </c>
      <c r="C22" s="5">
        <v>9460</v>
      </c>
      <c r="D22" s="5">
        <v>0</v>
      </c>
      <c r="E22" s="5">
        <v>2265</v>
      </c>
      <c r="F22" s="5">
        <v>0</v>
      </c>
      <c r="G22" s="5">
        <v>0</v>
      </c>
      <c r="H22" s="5">
        <v>0</v>
      </c>
      <c r="I22" s="5">
        <v>0</v>
      </c>
      <c r="J22" s="5">
        <v>277</v>
      </c>
      <c r="K22" s="5">
        <v>0</v>
      </c>
      <c r="L22" s="5">
        <v>0</v>
      </c>
      <c r="M22" s="5">
        <v>0</v>
      </c>
      <c r="N22" s="5">
        <v>10921</v>
      </c>
      <c r="O22" s="27" t="s">
        <v>52</v>
      </c>
    </row>
    <row r="23" spans="1:15" ht="15.5" x14ac:dyDescent="0.35">
      <c r="A23" s="4">
        <v>21</v>
      </c>
      <c r="B23" s="5">
        <v>2804</v>
      </c>
      <c r="C23" s="5">
        <v>9477</v>
      </c>
      <c r="D23" s="5">
        <v>0</v>
      </c>
      <c r="E23" s="5">
        <v>2280</v>
      </c>
      <c r="F23" s="5">
        <v>0</v>
      </c>
      <c r="G23" s="5">
        <v>0</v>
      </c>
      <c r="H23" s="5">
        <v>0</v>
      </c>
      <c r="I23" s="5">
        <v>0</v>
      </c>
      <c r="J23" s="5">
        <v>277</v>
      </c>
      <c r="K23" s="5">
        <v>0</v>
      </c>
      <c r="L23" s="5">
        <v>0</v>
      </c>
      <c r="M23" s="5">
        <v>0</v>
      </c>
      <c r="N23" s="5">
        <v>10953</v>
      </c>
      <c r="O23" s="27" t="s">
        <v>53</v>
      </c>
    </row>
    <row r="24" spans="1:15" x14ac:dyDescent="0.35">
      <c r="A24" s="4">
        <v>22</v>
      </c>
      <c r="B24" s="5">
        <v>2812</v>
      </c>
      <c r="C24" s="5">
        <v>9498</v>
      </c>
      <c r="D24" s="5">
        <v>0</v>
      </c>
      <c r="E24" s="5">
        <v>2294</v>
      </c>
      <c r="F24" s="5">
        <v>0</v>
      </c>
      <c r="G24" s="5">
        <v>0</v>
      </c>
      <c r="H24" s="5">
        <v>0</v>
      </c>
      <c r="I24" s="5">
        <v>0</v>
      </c>
      <c r="J24" s="5">
        <v>279</v>
      </c>
      <c r="K24" s="5">
        <v>0</v>
      </c>
      <c r="L24" s="5">
        <v>0</v>
      </c>
      <c r="M24" s="5">
        <v>0</v>
      </c>
      <c r="N24" s="5">
        <v>10968</v>
      </c>
      <c r="O24" s="5" t="s">
        <v>54</v>
      </c>
    </row>
    <row r="25" spans="1:15" x14ac:dyDescent="0.35">
      <c r="A25" s="4">
        <v>23</v>
      </c>
      <c r="B25" s="5">
        <v>2824</v>
      </c>
      <c r="C25" s="5">
        <v>9515</v>
      </c>
      <c r="D25" s="5">
        <v>0</v>
      </c>
      <c r="E25" s="5">
        <v>2310</v>
      </c>
      <c r="F25" s="5">
        <v>0</v>
      </c>
      <c r="G25" s="5">
        <v>0</v>
      </c>
      <c r="H25" s="5">
        <v>0</v>
      </c>
      <c r="I25" s="5">
        <v>0</v>
      </c>
      <c r="J25" s="5">
        <v>280</v>
      </c>
      <c r="K25" s="5">
        <v>0</v>
      </c>
      <c r="L25" s="5">
        <v>0</v>
      </c>
      <c r="M25" s="5">
        <v>0</v>
      </c>
      <c r="N25" s="5">
        <v>11000</v>
      </c>
      <c r="O25" s="5" t="s">
        <v>54</v>
      </c>
    </row>
    <row r="26" spans="1:15" ht="15.5" x14ac:dyDescent="0.35">
      <c r="A26" s="4">
        <v>24</v>
      </c>
      <c r="B26" s="5">
        <v>2836</v>
      </c>
      <c r="C26" s="5">
        <v>9532</v>
      </c>
      <c r="D26" s="5">
        <v>0</v>
      </c>
      <c r="E26" s="5">
        <v>2329</v>
      </c>
      <c r="F26" s="5">
        <v>0</v>
      </c>
      <c r="G26" s="5">
        <v>0</v>
      </c>
      <c r="H26" s="5">
        <v>0</v>
      </c>
      <c r="I26" s="5">
        <v>0</v>
      </c>
      <c r="J26" s="5">
        <v>281</v>
      </c>
      <c r="K26" s="5">
        <v>0</v>
      </c>
      <c r="L26" s="5">
        <v>0</v>
      </c>
      <c r="M26" s="5">
        <v>0</v>
      </c>
      <c r="N26" s="5">
        <v>11032</v>
      </c>
      <c r="O26" s="27" t="s">
        <v>40</v>
      </c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2024-01-25T00:26:30Z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