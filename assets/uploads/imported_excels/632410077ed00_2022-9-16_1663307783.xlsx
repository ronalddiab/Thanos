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Sep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s="1"/>
  <c r="AW7" i="7" l="1"/>
  <c r="AX7" i="7"/>
  <c r="B39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AX29" i="7" l="1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I32" i="5"/>
  <c r="B32" i="5"/>
  <c r="S32" i="9" l="1"/>
  <c r="B32" i="9"/>
  <c r="R32" i="9" l="1"/>
  <c r="Q37" i="7"/>
  <c r="F32" i="9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X36" i="7"/>
  <c r="R31" i="9"/>
  <c r="G31" i="5" s="1"/>
  <c r="AD37" i="7"/>
  <c r="AM37" i="7"/>
  <c r="AX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<sst xmlns="http://schemas.openxmlformats.org/spreadsheetml/2006/main" count="144" uniqueCount="65">
  <si>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</si>
  <si>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</si>
  <si>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</si>
  <si>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</si>
  <si>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</si>
  <si>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</si>
  <si>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</si>
  <si>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</si>
  <si>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</si>
  <si>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</si>
  <si>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</si>
  <si>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</si>
  <si>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</si>
  <si>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</si>
  <si>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</si>
  <si>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</si>
  <si>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</si>
  <si>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</si>
  <si>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</si>
  <si>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</si>
  <si>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</si>
  <si>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</si>
  <si>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</si>
  <si>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</si>
  <si>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</si>
  <si>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</si>
  <si>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</si>
  <si>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</si>
  <si>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</si>
  <si>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</si>
  <si>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</si>
  <si>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</si>
  <si>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</si>
  <si>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</si>
  <si>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</si>
  <si>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</si>
  <si>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</si>
  <si>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</si>
  <si>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</si>
  <si>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</si>
  <si>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</si>
  <si>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</si>
  <si>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</si>
  <si>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</si>
  <si>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</si>
  <si>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</si>
  <si>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</si>
  <si>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</si>
  <si>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</si>
  <si>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Sept</t>
  </si>
  <si>
    <t>8410970</t>
  </si>
  <si>
    <t>20206910</t>
  </si>
  <si>
    <t>3536720</t>
  </si>
  <si>
    <t>4233910</t>
  </si>
  <si>
    <t>12484460</t>
  </si>
  <si>
    <t>7295390</t>
  </si>
  <si>
    <t>6338610</t>
  </si>
  <si>
    <t>7871790</t>
  </si>
  <si>
    <t>11513560</t>
  </si>
  <si>
    <t>5010740</t>
  </si>
  <si>
    <t>9300230</t>
  </si>
  <si>
    <t>15255780</t>
  </si>
  <si>
    <t>21330340</t>
  </si>
  <si>
    <t>180639</t>
  </si>
  <si>
    <t>209894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</si>
</sst>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0" fillId="5" borderId="2" xfId="0" quotePrefix="1" applyNumberFormat="1" applyFont="1" applyFill="1" applyBorder="1" applyAlignment="1">
      <alignment horizontal="right"/>
    </xf>
    <xf numFmtId="0" fontId="7" fillId="6" borderId="2" xfId="0" quotePrefix="1" applyNumberFormat="1" applyFont="1" applyFill="1" applyBorder="1" applyAlignment="1">
      <alignment horizontal="right"/>
    </xf>
    <xf numFmtId="0" fontId="7" fillId="0" borderId="2" xfId="0" quotePrefix="1" applyNumberFormat="1" applyFont="1" applyBorder="1"/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  <xf numFmtId="0" fontId="0" fillId="3" borderId="2" xfId="0" quotePrefix="1" applyNumberFormat="1" applyFont="1" applyFill="1" applyBorder="1" applyAlignment="1">
      <alignment horizontal="right" vertical="center"/>
    </xf>
    <xf numFmtId="0" fontId="7" fillId="0" borderId="10" xfId="0" quotePrefix="1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9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64850</v>
      </c>
      <c r="F2" s="11">
        <v>5.0000000000000001E-3</v>
      </c>
      <c r="G2" s="12">
        <f>Submetering!R2</f>
        <v>922.50441699999999</v>
      </c>
      <c r="H2" s="11">
        <v>0.52800000000000002</v>
      </c>
      <c r="I2" s="12">
        <f>Hotel!B7</f>
        <v>105</v>
      </c>
    </row>
    <row r="3" spans="1:9" s="15" customFormat="1" x14ac:dyDescent="0.25">
      <c r="A3" s="21" t="s">
        <v>31</v>
      </c>
      <c r="B3" s="14">
        <f>B2+1</f>
        <v>2</v>
      </c>
      <c r="C3" s="3">
        <v>9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66350</v>
      </c>
      <c r="F3" s="11">
        <v>5.0000000000000001E-3</v>
      </c>
      <c r="G3" s="12">
        <f>Submetering!R3</f>
        <v>1062.5645869999998</v>
      </c>
      <c r="H3" s="11">
        <v>0.52800000000000002</v>
      </c>
      <c r="I3" s="12">
        <f>Hotel!B8</f>
        <v>103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9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62110</v>
      </c>
      <c r="F4" s="11">
        <v>5.0000000000000001E-3</v>
      </c>
      <c r="G4" s="12">
        <f>Submetering!R4</f>
        <v>877.07949699999995</v>
      </c>
      <c r="H4" s="11">
        <v>0.52800000000000002</v>
      </c>
      <c r="I4" s="12">
        <f>Hotel!B9</f>
        <v>88</v>
      </c>
    </row>
    <row r="5" spans="1:9" s="15" customFormat="1" x14ac:dyDescent="0.25">
      <c r="A5" s="21" t="s">
        <v>31</v>
      </c>
      <c r="B5" s="14">
        <f t="shared" si="0"/>
        <v>4</v>
      </c>
      <c r="C5" s="3">
        <v>9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61910</v>
      </c>
      <c r="F5" s="11">
        <v>5.0000000000000001E-3</v>
      </c>
      <c r="G5" s="12">
        <f>Submetering!R5</f>
        <v>812.34898599999997</v>
      </c>
      <c r="H5" s="11">
        <v>0.52800000000000002</v>
      </c>
      <c r="I5" s="12">
        <f>Hotel!B10</f>
        <v>87</v>
      </c>
    </row>
    <row r="6" spans="1:9" s="15" customFormat="1" x14ac:dyDescent="0.25">
      <c r="A6" s="21" t="s">
        <v>31</v>
      </c>
      <c r="B6" s="14">
        <f t="shared" si="0"/>
        <v>5</v>
      </c>
      <c r="C6" s="3">
        <v>9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65790</v>
      </c>
      <c r="F6" s="11">
        <v>5.0000000000000001E-3</v>
      </c>
      <c r="G6" s="12">
        <f>Submetering!R6</f>
        <v>799.47859200000005</v>
      </c>
      <c r="H6" s="11">
        <v>0.52800000000000002</v>
      </c>
      <c r="I6" s="12">
        <f>Hotel!B11</f>
        <v>90</v>
      </c>
    </row>
    <row r="7" spans="1:9" s="15" customFormat="1" x14ac:dyDescent="0.25">
      <c r="A7" s="21" t="s">
        <v>31</v>
      </c>
      <c r="B7" s="14">
        <f t="shared" si="0"/>
        <v>6</v>
      </c>
      <c r="C7" s="3">
        <v>9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68900</v>
      </c>
      <c r="F7" s="11">
        <v>5.0000000000000001E-3</v>
      </c>
      <c r="G7" s="12">
        <f>Submetering!R7</f>
        <v>732.85537599999998</v>
      </c>
      <c r="H7" s="11">
        <v>0.52800000000000002</v>
      </c>
      <c r="I7" s="12">
        <f>Hotel!B12</f>
        <v>89</v>
      </c>
    </row>
    <row r="8" spans="1:9" s="15" customFormat="1" x14ac:dyDescent="0.25">
      <c r="A8" s="21" t="s">
        <v>31</v>
      </c>
      <c r="B8" s="14">
        <f t="shared" si="0"/>
        <v>7</v>
      </c>
      <c r="C8" s="3">
        <v>9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72270</v>
      </c>
      <c r="F8" s="11">
        <v>5.0000000000000001E-3</v>
      </c>
      <c r="G8" s="12">
        <f>Submetering!R8</f>
        <v>784.336952</v>
      </c>
      <c r="H8" s="11">
        <v>0.52800000000000002</v>
      </c>
      <c r="I8" s="12">
        <f>Hotel!B13</f>
        <v>94</v>
      </c>
    </row>
    <row r="9" spans="1:9" s="15" customFormat="1" x14ac:dyDescent="0.25">
      <c r="A9" s="21" t="s">
        <v>31</v>
      </c>
      <c r="B9" s="14">
        <f t="shared" si="0"/>
        <v>8</v>
      </c>
      <c r="C9" s="3">
        <v>9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77840</v>
      </c>
      <c r="F9" s="11">
        <v>5.0000000000000001E-3</v>
      </c>
      <c r="G9" s="12">
        <f>Submetering!R9</f>
        <v>858.15244699999994</v>
      </c>
      <c r="H9" s="11">
        <v>0.52800000000000002</v>
      </c>
      <c r="I9" s="12">
        <f>Hotel!B14</f>
        <v>82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9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70880</v>
      </c>
      <c r="F10" s="11">
        <v>5.0000000000000001E-3</v>
      </c>
      <c r="G10" s="12">
        <f>Submetering!R10</f>
        <v>840.73956099999998</v>
      </c>
      <c r="H10" s="11">
        <v>0.52800000000000002</v>
      </c>
      <c r="I10" s="12">
        <f>Hotel!B15</f>
        <v>111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9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63710</v>
      </c>
      <c r="F11" s="11">
        <v>5.0000000000000001E-3</v>
      </c>
      <c r="G11" s="12">
        <f>Submetering!R11</f>
        <v>718.09227699999997</v>
      </c>
      <c r="H11" s="11">
        <v>0.52800000000000002</v>
      </c>
      <c r="I11" s="12">
        <f>Hotel!B16</f>
        <v>91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9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62070</v>
      </c>
      <c r="F12" s="11">
        <v>5.0000000000000001E-3</v>
      </c>
      <c r="G12" s="12">
        <f>Submetering!R12</f>
        <v>920.99025299999994</v>
      </c>
      <c r="H12" s="11">
        <v>0.52800000000000002</v>
      </c>
      <c r="I12" s="12">
        <f>Hotel!B17</f>
        <v>110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9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63580</v>
      </c>
      <c r="F13" s="11">
        <v>5.0000000000000001E-3</v>
      </c>
      <c r="G13" s="12">
        <f>Submetering!R13</f>
        <v>1033.7954709999999</v>
      </c>
      <c r="H13" s="11">
        <v>0.52800000000000002</v>
      </c>
      <c r="I13" s="12">
        <f>Hotel!B18</f>
        <v>116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9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69860</v>
      </c>
      <c r="F14" s="11">
        <v>5.0000000000000001E-3</v>
      </c>
      <c r="G14" s="12">
        <f>Submetering!R14</f>
        <v>799.85713299999998</v>
      </c>
      <c r="H14" s="11">
        <v>0.52800000000000002</v>
      </c>
      <c r="I14" s="12">
        <f>Hotel!B19</f>
        <v>71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9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64090</v>
      </c>
      <c r="F15" s="11">
        <v>5.0000000000000001E-3</v>
      </c>
      <c r="G15" s="12">
        <f>Submetering!R15</f>
        <v>975.50015699999994</v>
      </c>
      <c r="H15" s="11">
        <v>0.52800000000000002</v>
      </c>
      <c r="I15" s="12">
        <f>Hotel!B20</f>
        <v>76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9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70060</v>
      </c>
      <c r="F16" s="11">
        <v>5.0000000000000001E-3</v>
      </c>
      <c r="G16" s="12">
        <f>Submetering!R16</f>
        <v>920.99025299999994</v>
      </c>
      <c r="H16" s="11">
        <v>0.52800000000000002</v>
      </c>
      <c r="I16" s="12">
        <f>Hotel!B21</f>
        <v>101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9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9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9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9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9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9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9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9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9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9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9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9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9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9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9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9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9</v>
      </c>
      <c r="D2" s="11">
        <v>2022</v>
      </c>
      <c r="E2" s="4">
        <f>Hotel!Q7</f>
        <v>990</v>
      </c>
      <c r="F2" s="4">
        <f>Hotel!R7</f>
        <v>14050</v>
      </c>
      <c r="G2" s="4">
        <f>Hotel!S7</f>
        <v>3740</v>
      </c>
      <c r="H2" s="4">
        <f>Hotel!T7</f>
        <v>1670</v>
      </c>
      <c r="I2" s="4">
        <f>Hotel!U7</f>
        <v>4400</v>
      </c>
      <c r="J2" s="4">
        <f>Hotel!V7</f>
        <v>4440</v>
      </c>
      <c r="K2" s="4">
        <f>Hotel!W7</f>
        <v>3460</v>
      </c>
      <c r="L2" s="4">
        <f>Hotel!X7</f>
        <v>4500</v>
      </c>
      <c r="M2" s="4">
        <f>Hotel!Y7</f>
        <v>5860</v>
      </c>
      <c r="N2" s="4">
        <f>Hotel!Z7</f>
        <v>2460</v>
      </c>
      <c r="O2" s="4">
        <f>Hotel!AA7</f>
        <v>2810</v>
      </c>
      <c r="P2" s="4">
        <f>Hotel!AB7</f>
        <v>7080</v>
      </c>
      <c r="Q2" s="4">
        <f>Hotel!AC7</f>
        <v>9390</v>
      </c>
      <c r="R2" s="4">
        <f>Hotel!AV7*0.00378541*100</f>
        <v>922.50441699999999</v>
      </c>
      <c r="S2" s="4">
        <f>Hotel!B7</f>
        <v>105</v>
      </c>
    </row>
    <row r="3" spans="1:19" x14ac:dyDescent="0.25">
      <c r="A3" s="21" t="s">
        <v>31</v>
      </c>
      <c r="B3" s="2">
        <f>B2+1</f>
        <v>2</v>
      </c>
      <c r="C3" s="3">
        <v>9</v>
      </c>
      <c r="D3" s="11">
        <v>2022</v>
      </c>
      <c r="E3" s="4">
        <f>Hotel!Q8</f>
        <v>1010</v>
      </c>
      <c r="F3" s="4">
        <f>Hotel!R8</f>
        <v>14310</v>
      </c>
      <c r="G3" s="4">
        <f>Hotel!S8</f>
        <v>3810</v>
      </c>
      <c r="H3" s="4">
        <f>Hotel!T8</f>
        <v>1690</v>
      </c>
      <c r="I3" s="4">
        <f>Hotel!U8</f>
        <v>4530</v>
      </c>
      <c r="J3" s="4">
        <f>Hotel!V8</f>
        <v>4320</v>
      </c>
      <c r="K3" s="4">
        <f>Hotel!W8</f>
        <v>3210</v>
      </c>
      <c r="L3" s="4">
        <f>Hotel!X8</f>
        <v>4610</v>
      </c>
      <c r="M3" s="4">
        <f>Hotel!Y8</f>
        <v>5820</v>
      </c>
      <c r="N3" s="4">
        <f>Hotel!Z8</f>
        <v>2620</v>
      </c>
      <c r="O3" s="4">
        <f>Hotel!AA8</f>
        <v>2970</v>
      </c>
      <c r="P3" s="4">
        <f>Hotel!AB8</f>
        <v>7250</v>
      </c>
      <c r="Q3" s="4">
        <f>Hotel!AC8</f>
        <v>10200</v>
      </c>
      <c r="R3" s="4">
        <f>Hotel!AV8*0.00378541*100</f>
        <v>1062.5645869999998</v>
      </c>
      <c r="S3" s="4">
        <f>Hotel!B8</f>
        <v>103</v>
      </c>
    </row>
    <row r="4" spans="1:19" x14ac:dyDescent="0.25">
      <c r="A4" s="21" t="s">
        <v>31</v>
      </c>
      <c r="B4" s="2">
        <f t="shared" ref="B4:B29" si="0">B3+1</f>
        <v>3</v>
      </c>
      <c r="C4" s="3">
        <v>9</v>
      </c>
      <c r="D4" s="11">
        <v>2022</v>
      </c>
      <c r="E4" s="4">
        <f>Hotel!Q9</f>
        <v>970</v>
      </c>
      <c r="F4" s="4">
        <f>Hotel!R9</f>
        <v>13220</v>
      </c>
      <c r="G4" s="4">
        <f>Hotel!S9</f>
        <v>3460</v>
      </c>
      <c r="H4" s="4">
        <f>Hotel!T9</f>
        <v>1620</v>
      </c>
      <c r="I4" s="4">
        <f>Hotel!U9</f>
        <v>4390</v>
      </c>
      <c r="J4" s="4">
        <f>Hotel!V9</f>
        <v>4140</v>
      </c>
      <c r="K4" s="4">
        <f>Hotel!W9</f>
        <v>2940</v>
      </c>
      <c r="L4" s="4">
        <f>Hotel!X9</f>
        <v>4570</v>
      </c>
      <c r="M4" s="4">
        <f>Hotel!Y9</f>
        <v>5400</v>
      </c>
      <c r="N4" s="4">
        <f>Hotel!Z9</f>
        <v>2450</v>
      </c>
      <c r="O4" s="4">
        <f>Hotel!AA9</f>
        <v>2980</v>
      </c>
      <c r="P4" s="4">
        <f>Hotel!AB9</f>
        <v>6900</v>
      </c>
      <c r="Q4" s="4">
        <f>Hotel!AC9</f>
        <v>9070</v>
      </c>
      <c r="R4" s="4">
        <f>Hotel!AV9*0.00378541*100</f>
        <v>877.07949699999995</v>
      </c>
      <c r="S4" s="4">
        <f>Hotel!B9</f>
        <v>88</v>
      </c>
    </row>
    <row r="5" spans="1:19" x14ac:dyDescent="0.25">
      <c r="A5" s="21" t="s">
        <v>31</v>
      </c>
      <c r="B5" s="2">
        <f t="shared" si="0"/>
        <v>4</v>
      </c>
      <c r="C5" s="3">
        <v>9</v>
      </c>
      <c r="D5" s="11">
        <v>2022</v>
      </c>
      <c r="E5" s="4">
        <f>Hotel!Q10</f>
        <v>960</v>
      </c>
      <c r="F5" s="4">
        <f>Hotel!R10</f>
        <v>13330</v>
      </c>
      <c r="G5" s="4">
        <f>Hotel!S10</f>
        <v>3530</v>
      </c>
      <c r="H5" s="4">
        <f>Hotel!T10</f>
        <v>1610</v>
      </c>
      <c r="I5" s="4">
        <f>Hotel!U10</f>
        <v>4230</v>
      </c>
      <c r="J5" s="4">
        <f>Hotel!V10</f>
        <v>4130</v>
      </c>
      <c r="K5" s="4">
        <f>Hotel!W10</f>
        <v>3230</v>
      </c>
      <c r="L5" s="4">
        <f>Hotel!X10</f>
        <v>4250</v>
      </c>
      <c r="M5" s="4">
        <f>Hotel!Y10</f>
        <v>5260</v>
      </c>
      <c r="N5" s="4">
        <f>Hotel!Z10</f>
        <v>2400</v>
      </c>
      <c r="O5" s="4">
        <f>Hotel!AA10</f>
        <v>2890</v>
      </c>
      <c r="P5" s="4">
        <f>Hotel!AB10</f>
        <v>6840</v>
      </c>
      <c r="Q5" s="4">
        <f>Hotel!AC10</f>
        <v>9250</v>
      </c>
      <c r="R5" s="4">
        <f>Hotel!AV10*0.00378541*100</f>
        <v>812.34898599999997</v>
      </c>
      <c r="S5" s="4">
        <f>Hotel!B10</f>
        <v>87</v>
      </c>
    </row>
    <row r="6" spans="1:19" x14ac:dyDescent="0.25">
      <c r="A6" s="21" t="s">
        <v>31</v>
      </c>
      <c r="B6" s="2">
        <f t="shared" si="0"/>
        <v>5</v>
      </c>
      <c r="C6" s="3">
        <v>9</v>
      </c>
      <c r="D6" s="11">
        <v>2022</v>
      </c>
      <c r="E6" s="4">
        <f>Hotel!Q11</f>
        <v>1020</v>
      </c>
      <c r="F6" s="4">
        <f>Hotel!R11</f>
        <v>13980</v>
      </c>
      <c r="G6" s="4">
        <f>Hotel!S11</f>
        <v>3710</v>
      </c>
      <c r="H6" s="4">
        <f>Hotel!T11</f>
        <v>1690</v>
      </c>
      <c r="I6" s="4">
        <f>Hotel!U11</f>
        <v>4510</v>
      </c>
      <c r="J6" s="4">
        <f>Hotel!V11</f>
        <v>4350</v>
      </c>
      <c r="K6" s="4">
        <f>Hotel!W11</f>
        <v>3310</v>
      </c>
      <c r="L6" s="4">
        <f>Hotel!X11</f>
        <v>4510</v>
      </c>
      <c r="M6" s="4">
        <f>Hotel!Y11</f>
        <v>5590</v>
      </c>
      <c r="N6" s="4">
        <f>Hotel!Z11</f>
        <v>2490</v>
      </c>
      <c r="O6" s="4">
        <f>Hotel!AA11</f>
        <v>2990</v>
      </c>
      <c r="P6" s="4">
        <f>Hotel!AB11</f>
        <v>7270</v>
      </c>
      <c r="Q6" s="4">
        <f>Hotel!AC11</f>
        <v>10370</v>
      </c>
      <c r="R6" s="4">
        <f>Hotel!AV11*0.00378541*100</f>
        <v>799.47859200000005</v>
      </c>
      <c r="S6" s="4">
        <f>Hotel!B11</f>
        <v>90</v>
      </c>
    </row>
    <row r="7" spans="1:19" x14ac:dyDescent="0.25">
      <c r="A7" s="21" t="s">
        <v>31</v>
      </c>
      <c r="B7" s="2">
        <f t="shared" si="0"/>
        <v>6</v>
      </c>
      <c r="C7" s="3">
        <v>9</v>
      </c>
      <c r="D7" s="11">
        <v>2022</v>
      </c>
      <c r="E7" s="4">
        <f>Hotel!Q12</f>
        <v>4420</v>
      </c>
      <c r="F7" s="4">
        <f>Hotel!R12</f>
        <v>15340</v>
      </c>
      <c r="G7" s="4">
        <f>Hotel!S12</f>
        <v>4050</v>
      </c>
      <c r="H7" s="4">
        <f>Hotel!T12</f>
        <v>1730</v>
      </c>
      <c r="I7" s="4">
        <f>Hotel!U12</f>
        <v>4440</v>
      </c>
      <c r="J7" s="4">
        <f>Hotel!V12</f>
        <v>4190</v>
      </c>
      <c r="K7" s="4">
        <f>Hotel!W12</f>
        <v>3020</v>
      </c>
      <c r="L7" s="4">
        <f>Hotel!X12</f>
        <v>4010</v>
      </c>
      <c r="M7" s="4">
        <f>Hotel!Y12</f>
        <v>5660</v>
      </c>
      <c r="N7" s="4">
        <f>Hotel!Z12</f>
        <v>2480</v>
      </c>
      <c r="O7" s="4">
        <f>Hotel!AA12</f>
        <v>2840</v>
      </c>
      <c r="P7" s="4">
        <f>Hotel!AB12</f>
        <v>7220</v>
      </c>
      <c r="Q7" s="4">
        <f>Hotel!AC12</f>
        <v>9500</v>
      </c>
      <c r="R7" s="4">
        <f>Hotel!AV12*0.00378541*100</f>
        <v>732.85537599999998</v>
      </c>
      <c r="S7" s="4">
        <f>Hotel!B12</f>
        <v>89</v>
      </c>
    </row>
    <row r="8" spans="1:19" x14ac:dyDescent="0.25">
      <c r="A8" s="21" t="s">
        <v>31</v>
      </c>
      <c r="B8" s="2">
        <f t="shared" si="0"/>
        <v>7</v>
      </c>
      <c r="C8" s="3">
        <v>9</v>
      </c>
      <c r="D8" s="11">
        <v>2022</v>
      </c>
      <c r="E8" s="4">
        <f>Hotel!Q13</f>
        <v>10670</v>
      </c>
      <c r="F8" s="4">
        <f>Hotel!R13</f>
        <v>15640</v>
      </c>
      <c r="G8" s="4">
        <f>Hotel!S13</f>
        <v>4200</v>
      </c>
      <c r="H8" s="4">
        <f>Hotel!T13</f>
        <v>1690</v>
      </c>
      <c r="I8" s="4">
        <f>Hotel!U13</f>
        <v>4250</v>
      </c>
      <c r="J8" s="4">
        <f>Hotel!V13</f>
        <v>3980</v>
      </c>
      <c r="K8" s="4">
        <f>Hotel!W13</f>
        <v>2810</v>
      </c>
      <c r="L8" s="4">
        <f>Hotel!X13</f>
        <v>3200</v>
      </c>
      <c r="M8" s="4">
        <f>Hotel!Y13</f>
        <v>5410</v>
      </c>
      <c r="N8" s="4">
        <f>Hotel!Z13</f>
        <v>2400</v>
      </c>
      <c r="O8" s="4">
        <f>Hotel!AA13</f>
        <v>2650</v>
      </c>
      <c r="P8" s="4">
        <f>Hotel!AB13</f>
        <v>6760</v>
      </c>
      <c r="Q8" s="4">
        <f>Hotel!AC13</f>
        <v>8610</v>
      </c>
      <c r="R8" s="4">
        <f>Hotel!AV13*0.00378541*100</f>
        <v>784.336952</v>
      </c>
      <c r="S8" s="4">
        <f>Hotel!B13</f>
        <v>94</v>
      </c>
    </row>
    <row r="9" spans="1:19" x14ac:dyDescent="0.25">
      <c r="A9" s="21" t="s">
        <v>31</v>
      </c>
      <c r="B9" s="2">
        <f t="shared" si="0"/>
        <v>8</v>
      </c>
      <c r="C9" s="3">
        <v>9</v>
      </c>
      <c r="D9" s="11">
        <v>2022</v>
      </c>
      <c r="E9" s="4">
        <f>Hotel!Q14</f>
        <v>11850</v>
      </c>
      <c r="F9" s="4">
        <f>Hotel!R14</f>
        <v>16320</v>
      </c>
      <c r="G9" s="4">
        <f>Hotel!S14</f>
        <v>4290</v>
      </c>
      <c r="H9" s="4">
        <f>Hotel!T14</f>
        <v>1750</v>
      </c>
      <c r="I9" s="4">
        <f>Hotel!U14</f>
        <v>4510</v>
      </c>
      <c r="J9" s="4">
        <f>Hotel!V14</f>
        <v>4150</v>
      </c>
      <c r="K9" s="4">
        <f>Hotel!W14</f>
        <v>3410</v>
      </c>
      <c r="L9" s="4">
        <f>Hotel!X14</f>
        <v>4830</v>
      </c>
      <c r="M9" s="4">
        <f>Hotel!Y14</f>
        <v>5770</v>
      </c>
      <c r="N9" s="4">
        <f>Hotel!Z14</f>
        <v>2370</v>
      </c>
      <c r="O9" s="4">
        <f>Hotel!AA14</f>
        <v>2780</v>
      </c>
      <c r="P9" s="4">
        <f>Hotel!AB14</f>
        <v>7130</v>
      </c>
      <c r="Q9" s="4">
        <f>Hotel!AC14</f>
        <v>8680</v>
      </c>
      <c r="R9" s="4">
        <f>Hotel!AV14*0.00378541*100</f>
        <v>858.15244699999994</v>
      </c>
      <c r="S9" s="4">
        <f>Hotel!B14</f>
        <v>82</v>
      </c>
    </row>
    <row r="10" spans="1:19" x14ac:dyDescent="0.25">
      <c r="A10" s="21" t="s">
        <v>31</v>
      </c>
      <c r="B10" s="2">
        <f t="shared" si="0"/>
        <v>9</v>
      </c>
      <c r="C10" s="3">
        <v>9</v>
      </c>
      <c r="D10" s="11">
        <v>2022</v>
      </c>
      <c r="E10" s="4">
        <f>Hotel!Q15</f>
        <v>9530</v>
      </c>
      <c r="F10" s="4">
        <f>Hotel!R15</f>
        <v>14910</v>
      </c>
      <c r="G10" s="4">
        <f>Hotel!S15</f>
        <v>3860</v>
      </c>
      <c r="H10" s="4">
        <f>Hotel!T15</f>
        <v>1650</v>
      </c>
      <c r="I10" s="4">
        <f>Hotel!U15</f>
        <v>4280</v>
      </c>
      <c r="J10" s="4">
        <f>Hotel!V15</f>
        <v>3990</v>
      </c>
      <c r="K10" s="4">
        <f>Hotel!W15</f>
        <v>3250</v>
      </c>
      <c r="L10" s="4">
        <f>Hotel!X15</f>
        <v>4140</v>
      </c>
      <c r="M10" s="4">
        <f>Hotel!Y15</f>
        <v>5220</v>
      </c>
      <c r="N10" s="4">
        <f>Hotel!Z15</f>
        <v>2300</v>
      </c>
      <c r="O10" s="4">
        <f>Hotel!AA15</f>
        <v>2750</v>
      </c>
      <c r="P10" s="4">
        <f>Hotel!AB15</f>
        <v>6780</v>
      </c>
      <c r="Q10" s="4">
        <f>Hotel!AC15</f>
        <v>8220</v>
      </c>
      <c r="R10" s="4">
        <f>Hotel!AV15*0.00378541*100</f>
        <v>840.73956099999998</v>
      </c>
      <c r="S10" s="4">
        <f>Hotel!B15</f>
        <v>111</v>
      </c>
    </row>
    <row r="11" spans="1:19" x14ac:dyDescent="0.25">
      <c r="A11" s="21" t="s">
        <v>31</v>
      </c>
      <c r="B11" s="2">
        <f t="shared" si="0"/>
        <v>10</v>
      </c>
      <c r="C11" s="3">
        <v>9</v>
      </c>
      <c r="D11" s="11">
        <v>2022</v>
      </c>
      <c r="E11" s="4">
        <f>Hotel!Q16</f>
        <v>980</v>
      </c>
      <c r="F11" s="4">
        <f>Hotel!R16</f>
        <v>14320</v>
      </c>
      <c r="G11" s="4">
        <f>Hotel!S16</f>
        <v>3870</v>
      </c>
      <c r="H11" s="4">
        <f>Hotel!T16</f>
        <v>1710</v>
      </c>
      <c r="I11" s="4">
        <f>Hotel!U16</f>
        <v>4490</v>
      </c>
      <c r="J11" s="4">
        <f>Hotel!V16</f>
        <v>4080</v>
      </c>
      <c r="K11" s="4">
        <f>Hotel!W16</f>
        <v>3120</v>
      </c>
      <c r="L11" s="4">
        <f>Hotel!X16</f>
        <v>4370</v>
      </c>
      <c r="M11" s="4">
        <f>Hotel!Y16</f>
        <v>5580</v>
      </c>
      <c r="N11" s="4">
        <f>Hotel!Z16</f>
        <v>2520</v>
      </c>
      <c r="O11" s="4">
        <f>Hotel!AA16</f>
        <v>2910</v>
      </c>
      <c r="P11" s="4">
        <f>Hotel!AB16</f>
        <v>7090</v>
      </c>
      <c r="Q11" s="4">
        <f>Hotel!AC16</f>
        <v>8670</v>
      </c>
      <c r="R11" s="4">
        <f>Hotel!AV16*0.00378541*100</f>
        <v>718.09227699999997</v>
      </c>
      <c r="S11" s="4">
        <f>Hotel!B16</f>
        <v>91</v>
      </c>
    </row>
    <row r="12" spans="1:19" x14ac:dyDescent="0.25">
      <c r="A12" s="21" t="s">
        <v>31</v>
      </c>
      <c r="B12" s="2">
        <f t="shared" si="0"/>
        <v>11</v>
      </c>
      <c r="C12" s="3">
        <v>9</v>
      </c>
      <c r="D12" s="11">
        <v>2022</v>
      </c>
      <c r="E12" s="4">
        <f>Hotel!Q17</f>
        <v>970</v>
      </c>
      <c r="F12" s="4">
        <f>Hotel!R17</f>
        <v>13620</v>
      </c>
      <c r="G12" s="4">
        <f>Hotel!S17</f>
        <v>3640</v>
      </c>
      <c r="H12" s="4">
        <f>Hotel!T17</f>
        <v>1690</v>
      </c>
      <c r="I12" s="4">
        <f>Hotel!U17</f>
        <v>4210</v>
      </c>
      <c r="J12" s="4">
        <f>Hotel!V17</f>
        <v>4000</v>
      </c>
      <c r="K12" s="4">
        <f>Hotel!W17</f>
        <v>3140</v>
      </c>
      <c r="L12" s="4">
        <f>Hotel!X17</f>
        <v>4130</v>
      </c>
      <c r="M12" s="4">
        <f>Hotel!Y17</f>
        <v>5420</v>
      </c>
      <c r="N12" s="4">
        <f>Hotel!Z17</f>
        <v>2420</v>
      </c>
      <c r="O12" s="4">
        <f>Hotel!AA17</f>
        <v>2780</v>
      </c>
      <c r="P12" s="4">
        <f>Hotel!AB17</f>
        <v>6910</v>
      </c>
      <c r="Q12" s="4">
        <f>Hotel!AC17</f>
        <v>9140</v>
      </c>
      <c r="R12" s="4">
        <f>Hotel!AV17*0.00378541*100</f>
        <v>920.99025299999994</v>
      </c>
      <c r="S12" s="4">
        <f>Hotel!B17</f>
        <v>110</v>
      </c>
    </row>
    <row r="13" spans="1:19" x14ac:dyDescent="0.25">
      <c r="A13" s="21" t="s">
        <v>31</v>
      </c>
      <c r="B13" s="2">
        <f t="shared" si="0"/>
        <v>12</v>
      </c>
      <c r="C13" s="3">
        <v>9</v>
      </c>
      <c r="D13" s="11">
        <v>2022</v>
      </c>
      <c r="E13" s="4">
        <f>Hotel!Q18</f>
        <v>970</v>
      </c>
      <c r="F13" s="4">
        <f>Hotel!R18</f>
        <v>13490</v>
      </c>
      <c r="G13" s="4">
        <f>Hotel!S18</f>
        <v>3590</v>
      </c>
      <c r="H13" s="4">
        <f>Hotel!T18</f>
        <v>1670</v>
      </c>
      <c r="I13" s="4">
        <f>Hotel!U18</f>
        <v>4370</v>
      </c>
      <c r="J13" s="4">
        <f>Hotel!V18</f>
        <v>4140</v>
      </c>
      <c r="K13" s="4">
        <f>Hotel!W18</f>
        <v>3490</v>
      </c>
      <c r="L13" s="4">
        <f>Hotel!X18</f>
        <v>4440</v>
      </c>
      <c r="M13" s="4">
        <f>Hotel!Y18</f>
        <v>5520</v>
      </c>
      <c r="N13" s="4">
        <f>Hotel!Z18</f>
        <v>2450</v>
      </c>
      <c r="O13" s="4">
        <f>Hotel!AA18</f>
        <v>2730</v>
      </c>
      <c r="P13" s="4">
        <f>Hotel!AB18</f>
        <v>6760</v>
      </c>
      <c r="Q13" s="4">
        <f>Hotel!AC18</f>
        <v>9960</v>
      </c>
      <c r="R13" s="4">
        <f>Hotel!AV18*0.00378541*100</f>
        <v>1033.7954709999999</v>
      </c>
      <c r="S13" s="4">
        <f>Hotel!B18</f>
        <v>116</v>
      </c>
    </row>
    <row r="14" spans="1:19" x14ac:dyDescent="0.25">
      <c r="A14" s="21" t="s">
        <v>31</v>
      </c>
      <c r="B14" s="2">
        <f t="shared" si="0"/>
        <v>13</v>
      </c>
      <c r="C14" s="3">
        <v>9</v>
      </c>
      <c r="D14" s="11">
        <v>2022</v>
      </c>
      <c r="E14" s="4">
        <f>Hotel!Q19</f>
        <v>1070</v>
      </c>
      <c r="F14" s="4">
        <f>Hotel!R19</f>
        <v>15540</v>
      </c>
      <c r="G14" s="4">
        <f>Hotel!S19</f>
        <v>4200</v>
      </c>
      <c r="H14" s="4">
        <f>Hotel!T19</f>
        <v>1850</v>
      </c>
      <c r="I14" s="4">
        <f>Hotel!U19</f>
        <v>4710</v>
      </c>
      <c r="J14" s="4">
        <f>Hotel!V19</f>
        <v>4330</v>
      </c>
      <c r="K14" s="4">
        <f>Hotel!W19</f>
        <v>3700</v>
      </c>
      <c r="L14" s="4">
        <f>Hotel!X19</f>
        <v>4670</v>
      </c>
      <c r="M14" s="4">
        <f>Hotel!Y19</f>
        <v>5890</v>
      </c>
      <c r="N14" s="4">
        <f>Hotel!Z19</f>
        <v>2650</v>
      </c>
      <c r="O14" s="4">
        <f>Hotel!AA19</f>
        <v>2940</v>
      </c>
      <c r="P14" s="4">
        <f>Hotel!AB19</f>
        <v>7450</v>
      </c>
      <c r="Q14" s="4">
        <f>Hotel!AC19</f>
        <v>10860</v>
      </c>
      <c r="R14" s="4">
        <f>Hotel!AV19*0.00378541*100</f>
        <v>799.85713299999998</v>
      </c>
      <c r="S14" s="4">
        <f>Hotel!B19</f>
        <v>71</v>
      </c>
    </row>
    <row r="15" spans="1:19" x14ac:dyDescent="0.25">
      <c r="A15" s="21" t="s">
        <v>31</v>
      </c>
      <c r="B15" s="2">
        <f t="shared" si="0"/>
        <v>14</v>
      </c>
      <c r="C15" s="3">
        <v>9</v>
      </c>
      <c r="D15" s="11">
        <v>2022</v>
      </c>
      <c r="E15" s="4">
        <f>Hotel!Q20</f>
        <v>1990</v>
      </c>
      <c r="F15" s="4">
        <f>Hotel!R20</f>
        <v>14680</v>
      </c>
      <c r="G15" s="4">
        <f>Hotel!S20</f>
        <v>4010</v>
      </c>
      <c r="H15" s="4">
        <f>Hotel!T20</f>
        <v>1680</v>
      </c>
      <c r="I15" s="4">
        <f>Hotel!U20</f>
        <v>4170</v>
      </c>
      <c r="J15" s="4">
        <f>Hotel!V20</f>
        <v>4060</v>
      </c>
      <c r="K15" s="4">
        <f>Hotel!W20</f>
        <v>3210</v>
      </c>
      <c r="L15" s="4">
        <f>Hotel!X20</f>
        <v>4210</v>
      </c>
      <c r="M15" s="4">
        <f>Hotel!Y20</f>
        <v>5410</v>
      </c>
      <c r="N15" s="4">
        <f>Hotel!Z20</f>
        <v>2370</v>
      </c>
      <c r="O15" s="4">
        <f>Hotel!AA20</f>
        <v>2720</v>
      </c>
      <c r="P15" s="4">
        <f>Hotel!AB20</f>
        <v>6640</v>
      </c>
      <c r="Q15" s="4">
        <f>Hotel!AC20</f>
        <v>8940</v>
      </c>
      <c r="R15" s="4">
        <f>Hotel!AV20*0.00378541*100</f>
        <v>975.50015699999994</v>
      </c>
      <c r="S15" s="4">
        <f>Hotel!B20</f>
        <v>76</v>
      </c>
    </row>
    <row r="16" spans="1:19" x14ac:dyDescent="0.25">
      <c r="A16" s="21" t="s">
        <v>31</v>
      </c>
      <c r="B16" s="2">
        <f t="shared" si="0"/>
        <v>15</v>
      </c>
      <c r="C16" s="3">
        <v>9</v>
      </c>
      <c r="D16" s="11">
        <v>2022</v>
      </c>
      <c r="E16" s="4">
        <f>Hotel!Q21</f>
        <v>1070</v>
      </c>
      <c r="F16" s="4">
        <f>Hotel!R21</f>
        <v>14950</v>
      </c>
      <c r="G16" s="4">
        <f>Hotel!S21</f>
        <v>3950</v>
      </c>
      <c r="H16" s="4">
        <f>Hotel!T21</f>
        <v>1830</v>
      </c>
      <c r="I16" s="4">
        <f>Hotel!U21</f>
        <v>4720</v>
      </c>
      <c r="J16" s="4">
        <f>Hotel!V21</f>
        <v>4410</v>
      </c>
      <c r="K16" s="4">
        <f>Hotel!W21</f>
        <v>3730</v>
      </c>
      <c r="L16" s="4">
        <f>Hotel!X21</f>
        <v>4710</v>
      </c>
      <c r="M16" s="4">
        <f>Hotel!Y21</f>
        <v>6190</v>
      </c>
      <c r="N16" s="4">
        <f>Hotel!Z21</f>
        <v>2730</v>
      </c>
      <c r="O16" s="4">
        <f>Hotel!AA21</f>
        <v>3030</v>
      </c>
      <c r="P16" s="4">
        <f>Hotel!AB21</f>
        <v>7450</v>
      </c>
      <c r="Q16" s="4">
        <f>Hotel!AC21</f>
        <v>11290</v>
      </c>
      <c r="R16" s="4">
        <f>Hotel!AV21*0.00378541*100</f>
        <v>920.99025299999994</v>
      </c>
      <c r="S16" s="4">
        <f>Hotel!B21</f>
        <v>101</v>
      </c>
    </row>
    <row r="17" spans="1:19" x14ac:dyDescent="0.25">
      <c r="A17" s="21" t="s">
        <v>31</v>
      </c>
      <c r="B17" s="2">
        <f t="shared" si="0"/>
        <v>16</v>
      </c>
      <c r="C17" s="3">
        <v>9</v>
      </c>
      <c r="D17" s="11">
        <v>2022</v>
      </c>
      <c r="E17" s="4" t="str">
        <f>Hotel!Q22</f>
        <v>0</v>
      </c>
      <c r="F17" s="4" t="str">
        <f>Hotel!R22</f>
        <v>0</v>
      </c>
      <c r="G17" s="4" t="str">
        <f>Hotel!S22</f>
        <v>0</v>
      </c>
      <c r="H17" s="4" t="str">
        <f>Hotel!T22</f>
        <v>0</v>
      </c>
      <c r="I17" s="4" t="str">
        <f>Hotel!U22</f>
        <v>0</v>
      </c>
      <c r="J17" s="4" t="str">
        <f>Hotel!V22</f>
        <v>0</v>
      </c>
      <c r="K17" s="4" t="str">
        <f>Hotel!W22</f>
        <v>0</v>
      </c>
      <c r="L17" s="4" t="str">
        <f>Hotel!X22</f>
        <v>0</v>
      </c>
      <c r="M17" s="4" t="str">
        <f>Hotel!Y22</f>
        <v>0</v>
      </c>
      <c r="N17" s="4" t="str">
        <f>Hotel!Z22</f>
        <v>0</v>
      </c>
      <c r="O17" s="4" t="str">
        <f>Hotel!AA22</f>
        <v>0</v>
      </c>
      <c r="P17" s="4" t="str">
        <f>Hotel!AB22</f>
        <v>0</v>
      </c>
      <c r="Q17" s="4" t="str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3">
        <v>9</v>
      </c>
      <c r="D18" s="11">
        <v>2022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9</v>
      </c>
      <c r="D19" s="11">
        <v>2022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9</v>
      </c>
      <c r="D20" s="11">
        <v>2022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9</v>
      </c>
      <c r="D21" s="11">
        <v>2022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9</v>
      </c>
      <c r="D22" s="11">
        <v>2022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9</v>
      </c>
      <c r="D23" s="11">
        <v>2022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9</v>
      </c>
      <c r="D24" s="11">
        <v>2022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9</v>
      </c>
      <c r="D25" s="11">
        <v>2022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9</v>
      </c>
      <c r="D26" s="11">
        <v>2022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9</v>
      </c>
      <c r="D27" s="11">
        <v>2022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9</v>
      </c>
      <c r="D28" s="11">
        <v>2022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9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9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9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9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topLeftCell="A4" zoomScale="93" zoomScaleNormal="93" workbookViewId="0">
      <selection activeCell="F36" sqref="F36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44804</v>
      </c>
      <c r="B2" s="40">
        <v>105</v>
      </c>
      <c r="C2" s="55">
        <v>8408970</v>
      </c>
      <c r="D2" s="55">
        <v>20178550</v>
      </c>
      <c r="E2" s="55">
        <v>3529170</v>
      </c>
      <c r="F2" s="55">
        <v>4230550</v>
      </c>
      <c r="G2" s="55">
        <v>12475530</v>
      </c>
      <c r="H2" s="55">
        <v>7286630</v>
      </c>
      <c r="I2" s="55">
        <v>6331940</v>
      </c>
      <c r="J2" s="55">
        <v>7862680</v>
      </c>
      <c r="K2" s="55">
        <v>11501880</v>
      </c>
      <c r="L2" s="55">
        <v>5005660</v>
      </c>
      <c r="M2" s="55">
        <v>9294450</v>
      </c>
      <c r="N2" s="55">
        <v>15241450</v>
      </c>
      <c r="O2" s="55">
        <v>21310750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8">
        <v>175395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6" t="s">
        <v>23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Q4" s="68" t="s">
        <v>24</v>
      </c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70"/>
      <c r="AD4" s="28" t="s">
        <v>25</v>
      </c>
      <c r="AF4" s="71" t="s">
        <v>26</v>
      </c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29" t="s">
        <v>27</v>
      </c>
      <c r="AU4" s="62" t="s">
        <v>28</v>
      </c>
      <c r="AV4" s="63" t="s">
        <v>29</v>
      </c>
      <c r="AW4" s="63" t="s">
        <v>48</v>
      </c>
      <c r="AX4" s="65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2"/>
      <c r="AV5" s="64"/>
      <c r="AW5" s="64"/>
      <c r="AX5" s="65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8">
        <v>175395</v>
      </c>
    </row>
    <row r="7" spans="1:50" x14ac:dyDescent="0.25">
      <c r="A7" s="23">
        <v>44805</v>
      </c>
      <c r="B7" s="40">
        <v>105</v>
      </c>
      <c r="C7" s="54">
        <v>8409960</v>
      </c>
      <c r="D7" s="54">
        <v>20192600</v>
      </c>
      <c r="E7" s="54">
        <v>3532910</v>
      </c>
      <c r="F7" s="54">
        <v>4232220</v>
      </c>
      <c r="G7" s="54">
        <v>12479930</v>
      </c>
      <c r="H7" s="54">
        <v>7291070</v>
      </c>
      <c r="I7" s="54">
        <v>6335400</v>
      </c>
      <c r="J7" s="54">
        <v>7867180</v>
      </c>
      <c r="K7" s="54">
        <v>11507740</v>
      </c>
      <c r="L7" s="54">
        <v>5008120</v>
      </c>
      <c r="M7" s="54">
        <v>9297260</v>
      </c>
      <c r="N7" s="54">
        <v>15248530</v>
      </c>
      <c r="O7" s="54">
        <v>21320140</v>
      </c>
      <c r="Q7" s="37">
        <f t="shared" ref="Q7:AC7" si="0">IF((C7-C2&lt;0), "0",C7-C2)</f>
        <v>990</v>
      </c>
      <c r="R7" s="37">
        <f t="shared" si="0"/>
        <v>14050</v>
      </c>
      <c r="S7" s="37">
        <f t="shared" si="0"/>
        <v>3740</v>
      </c>
      <c r="T7" s="37">
        <f t="shared" si="0"/>
        <v>1670</v>
      </c>
      <c r="U7" s="37">
        <f t="shared" si="0"/>
        <v>4400</v>
      </c>
      <c r="V7" s="37">
        <f t="shared" si="0"/>
        <v>4440</v>
      </c>
      <c r="W7" s="37">
        <f t="shared" si="0"/>
        <v>3460</v>
      </c>
      <c r="X7" s="37">
        <f t="shared" si="0"/>
        <v>4500</v>
      </c>
      <c r="Y7" s="37">
        <f t="shared" si="0"/>
        <v>5860</v>
      </c>
      <c r="Z7" s="37">
        <f t="shared" si="0"/>
        <v>2460</v>
      </c>
      <c r="AA7" s="37">
        <f t="shared" si="0"/>
        <v>2810</v>
      </c>
      <c r="AB7" s="37">
        <f t="shared" si="0"/>
        <v>7080</v>
      </c>
      <c r="AC7" s="37">
        <f t="shared" si="0"/>
        <v>9390</v>
      </c>
      <c r="AD7" s="34">
        <f>SUM(Q7:AC7)</f>
        <v>64850</v>
      </c>
      <c r="AF7" s="20">
        <f t="shared" ref="AF7:AF36" si="1">Q7*$D$39</f>
        <v>4.95</v>
      </c>
      <c r="AG7" s="20">
        <f t="shared" ref="AG7:AG36" si="2">R7*$D$39</f>
        <v>70.25</v>
      </c>
      <c r="AH7" s="20">
        <f t="shared" ref="AH7:AH36" si="3">S7*$D$39</f>
        <v>18.7</v>
      </c>
      <c r="AI7" s="20">
        <f t="shared" ref="AI7:AI36" si="4">T7*$D$39</f>
        <v>8.35</v>
      </c>
      <c r="AJ7" s="20">
        <f t="shared" ref="AJ7:AJ36" si="5">U7*$D$39</f>
        <v>22</v>
      </c>
      <c r="AK7" s="20">
        <f t="shared" ref="AK7:AK36" si="6">V7*$D$39</f>
        <v>22.2</v>
      </c>
      <c r="AL7" s="20">
        <f t="shared" ref="AL7:AL36" si="7">W7*$D$39</f>
        <v>17.3</v>
      </c>
      <c r="AM7" s="20">
        <f t="shared" ref="AM7:AM36" si="8">X7*$D$39</f>
        <v>22.5</v>
      </c>
      <c r="AN7" s="20">
        <f t="shared" ref="AN7:AN36" si="9">Y7*$D$39</f>
        <v>29.3</v>
      </c>
      <c r="AO7" s="20">
        <f t="shared" ref="AO7:AO36" si="10">Z7*$D$39</f>
        <v>12.3</v>
      </c>
      <c r="AP7" s="20">
        <f t="shared" ref="AP7:AP36" si="11">AA7*$D$39</f>
        <v>14.05</v>
      </c>
      <c r="AQ7" s="20">
        <f t="shared" ref="AQ7:AQ36" si="12">AB7*$D$39</f>
        <v>35.4</v>
      </c>
      <c r="AR7" s="20">
        <f t="shared" ref="AR7:AR36" si="13">AC7*$D$39</f>
        <v>46.95</v>
      </c>
      <c r="AS7" s="35">
        <f>SUM(AF7:AR7)</f>
        <v>324.25</v>
      </c>
      <c r="AU7" s="57">
        <v>177832</v>
      </c>
      <c r="AV7" s="37">
        <f>IF((AU7-AU6&lt;0),"0",AU7-AU6)</f>
        <v>2437</v>
      </c>
      <c r="AW7" s="37">
        <f>AV7*100*AV44</f>
        <v>922.50441699999999</v>
      </c>
      <c r="AX7" s="35">
        <f t="shared" ref="AX7:AX35" si="14">AV7*$D$40</f>
        <v>4.8739999999999997</v>
      </c>
    </row>
    <row r="8" spans="1:50" x14ac:dyDescent="0.25">
      <c r="A8" s="23">
        <v>44806</v>
      </c>
      <c r="B8" s="40">
        <v>103</v>
      </c>
      <c r="C8" s="59" t="s">
        <v>50</v>
      </c>
      <c r="D8" s="59" t="s">
        <v>51</v>
      </c>
      <c r="E8" s="59" t="s">
        <v>52</v>
      </c>
      <c r="F8" s="59" t="s">
        <v>53</v>
      </c>
      <c r="G8" s="59" t="s">
        <v>54</v>
      </c>
      <c r="H8" s="59" t="s">
        <v>55</v>
      </c>
      <c r="I8" s="59" t="s">
        <v>56</v>
      </c>
      <c r="J8" s="59" t="s">
        <v>57</v>
      </c>
      <c r="K8" s="59" t="s">
        <v>58</v>
      </c>
      <c r="L8" s="59" t="s">
        <v>59</v>
      </c>
      <c r="M8" s="59" t="s">
        <v>60</v>
      </c>
      <c r="N8" s="59" t="s">
        <v>61</v>
      </c>
      <c r="O8" s="59" t="s">
        <v>62</v>
      </c>
      <c r="Q8" s="37">
        <f>IF((C8-C7&lt;0), "0",C8-C7)</f>
        <v>1010</v>
      </c>
      <c r="R8" s="37">
        <f t="shared" ref="R8:AC8" si="15">IF((D8-D7&lt;0), "0",D8-D7)</f>
        <v>14310</v>
      </c>
      <c r="S8" s="37">
        <f t="shared" ref="S8:S35" si="16">IF((E8-E7&lt;0), "0",E8-E7)</f>
        <v>3810</v>
      </c>
      <c r="T8" s="37">
        <f t="shared" si="15"/>
        <v>1690</v>
      </c>
      <c r="U8" s="37">
        <f t="shared" si="15"/>
        <v>4530</v>
      </c>
      <c r="V8" s="37">
        <f t="shared" si="15"/>
        <v>4320</v>
      </c>
      <c r="W8" s="37">
        <f t="shared" si="15"/>
        <v>3210</v>
      </c>
      <c r="X8" s="37">
        <f t="shared" si="15"/>
        <v>4610</v>
      </c>
      <c r="Y8" s="37">
        <f t="shared" si="15"/>
        <v>5820</v>
      </c>
      <c r="Z8" s="37">
        <f t="shared" si="15"/>
        <v>2620</v>
      </c>
      <c r="AA8" s="37">
        <f t="shared" si="15"/>
        <v>2970</v>
      </c>
      <c r="AB8" s="37">
        <f t="shared" si="15"/>
        <v>7250</v>
      </c>
      <c r="AC8" s="37">
        <f t="shared" si="15"/>
        <v>10200</v>
      </c>
      <c r="AD8" s="35">
        <f>SUM(Q8:AC8)</f>
        <v>66350</v>
      </c>
      <c r="AF8" s="20">
        <f t="shared" si="1"/>
        <v>5.05</v>
      </c>
      <c r="AG8" s="20">
        <f t="shared" si="2"/>
        <v>71.55</v>
      </c>
      <c r="AH8" s="20">
        <f t="shared" si="3"/>
        <v>19.05</v>
      </c>
      <c r="AI8" s="20">
        <f t="shared" si="4"/>
        <v>8.4499999999999993</v>
      </c>
      <c r="AJ8" s="20">
        <f t="shared" si="5"/>
        <v>22.650000000000002</v>
      </c>
      <c r="AK8" s="20">
        <f t="shared" si="6"/>
        <v>21.6</v>
      </c>
      <c r="AL8" s="20">
        <f t="shared" si="7"/>
        <v>16.05</v>
      </c>
      <c r="AM8" s="20">
        <f t="shared" si="8"/>
        <v>23.05</v>
      </c>
      <c r="AN8" s="20">
        <f t="shared" si="9"/>
        <v>29.1</v>
      </c>
      <c r="AO8" s="20">
        <f t="shared" si="10"/>
        <v>13.1</v>
      </c>
      <c r="AP8" s="20">
        <f t="shared" si="11"/>
        <v>14.85</v>
      </c>
      <c r="AQ8" s="20">
        <f t="shared" si="12"/>
        <v>36.25</v>
      </c>
      <c r="AR8" s="20">
        <f t="shared" si="13"/>
        <v>51</v>
      </c>
      <c r="AS8" s="35">
        <f>SUM(AF8:AR8)</f>
        <v>331.75</v>
      </c>
      <c r="AU8" s="60" t="s">
        <v>63</v>
      </c>
      <c r="AV8" s="37">
        <f>IF((AU8-AU7&lt;0),"0",AU8-AU7)</f>
        <v>2807</v>
      </c>
      <c r="AW8" s="37">
        <f>AV8*100*AV44</f>
        <v>1062.5645870000001</v>
      </c>
      <c r="AX8" s="35">
        <f t="shared" si="14"/>
        <v>5.6139999999999999</v>
      </c>
    </row>
    <row r="9" spans="1:50" x14ac:dyDescent="0.25">
      <c r="A9" s="23">
        <v>44807</v>
      </c>
      <c r="B9" s="40">
        <v>88</v>
      </c>
      <c r="C9" s="54">
        <v>8411940</v>
      </c>
      <c r="D9" s="54">
        <v>20220130</v>
      </c>
      <c r="E9" s="54">
        <v>3540180</v>
      </c>
      <c r="F9" s="54">
        <v>4235530</v>
      </c>
      <c r="G9" s="54">
        <v>12488850</v>
      </c>
      <c r="H9" s="54">
        <v>7299530</v>
      </c>
      <c r="I9" s="54">
        <v>6341550</v>
      </c>
      <c r="J9" s="54">
        <v>7876360</v>
      </c>
      <c r="K9" s="54">
        <v>11518960</v>
      </c>
      <c r="L9" s="54">
        <v>5013190</v>
      </c>
      <c r="M9" s="54">
        <v>9303210</v>
      </c>
      <c r="N9" s="54">
        <v>15262680</v>
      </c>
      <c r="O9" s="54">
        <v>21339410</v>
      </c>
      <c r="Q9" s="37">
        <f t="shared" ref="Q9:Q30" si="17">IF((C9-C8&lt;0), "0",C9-C8)</f>
        <v>970</v>
      </c>
      <c r="R9" s="37">
        <f t="shared" ref="R9:R37" si="18">IF((D9-D8&lt;0), "0",D9-D8)</f>
        <v>13220</v>
      </c>
      <c r="S9" s="37">
        <f t="shared" si="16"/>
        <v>3460</v>
      </c>
      <c r="T9" s="37">
        <f t="shared" ref="T9:T35" si="19">IF((F9-F8&lt;0), "0",F9-F8)</f>
        <v>1620</v>
      </c>
      <c r="U9" s="37">
        <f t="shared" ref="U9:U35" si="20">IF((G9-G8&lt;0), "0",G9-G8)</f>
        <v>4390</v>
      </c>
      <c r="V9" s="37">
        <f t="shared" ref="V9:V35" si="21">IF((H9-H8&lt;0), "0",H9-H8)</f>
        <v>4140</v>
      </c>
      <c r="W9" s="37">
        <f t="shared" ref="W9:W35" si="22">IF((I9-I8&lt;0), "0",I9-I8)</f>
        <v>2940</v>
      </c>
      <c r="X9" s="37">
        <f t="shared" ref="X9:X37" si="23">IF((J9-J8&lt;0), "0",J9-J8)</f>
        <v>4570</v>
      </c>
      <c r="Y9" s="37">
        <f t="shared" ref="Y9:Y35" si="24">IF((K9-K8&lt;0), "0",K9-K8)</f>
        <v>5400</v>
      </c>
      <c r="Z9" s="37">
        <f t="shared" ref="Z9:Z35" si="25">IF((L9-L8&lt;0), "0",L9-L8)</f>
        <v>2450</v>
      </c>
      <c r="AA9" s="37">
        <f t="shared" ref="AA9:AA35" si="26">IF((M9-M8&lt;0), "0",M9-M8)</f>
        <v>2980</v>
      </c>
      <c r="AB9" s="37">
        <f t="shared" ref="AB9:AB37" si="27">IF((N9-N8&lt;0), "0",N9-N8)</f>
        <v>6900</v>
      </c>
      <c r="AC9" s="37">
        <f t="shared" ref="AC9:AC37" si="28">IF((O9-O8&lt;0), "0",O9-O8)</f>
        <v>9070</v>
      </c>
      <c r="AD9" s="35">
        <f t="shared" ref="AD9:AD37" si="29">SUM(Q9:AC9)</f>
        <v>62110</v>
      </c>
      <c r="AF9" s="20">
        <f t="shared" si="1"/>
        <v>4.8500000000000005</v>
      </c>
      <c r="AG9" s="20">
        <f t="shared" si="2"/>
        <v>66.099999999999994</v>
      </c>
      <c r="AH9" s="20">
        <f t="shared" si="3"/>
        <v>17.3</v>
      </c>
      <c r="AI9" s="20">
        <f t="shared" si="4"/>
        <v>8.1</v>
      </c>
      <c r="AJ9" s="20">
        <f t="shared" si="5"/>
        <v>21.95</v>
      </c>
      <c r="AK9" s="20">
        <f t="shared" si="6"/>
        <v>20.7</v>
      </c>
      <c r="AL9" s="20">
        <f t="shared" si="7"/>
        <v>14.700000000000001</v>
      </c>
      <c r="AM9" s="20">
        <f t="shared" si="8"/>
        <v>22.85</v>
      </c>
      <c r="AN9" s="20">
        <f t="shared" si="9"/>
        <v>27</v>
      </c>
      <c r="AO9" s="20">
        <f t="shared" si="10"/>
        <v>12.25</v>
      </c>
      <c r="AP9" s="20">
        <f t="shared" si="11"/>
        <v>14.9</v>
      </c>
      <c r="AQ9" s="20">
        <f t="shared" si="12"/>
        <v>34.5</v>
      </c>
      <c r="AR9" s="20">
        <f t="shared" si="13"/>
        <v>45.35</v>
      </c>
      <c r="AS9" s="35">
        <f t="shared" ref="AS9:AS33" si="30">SUM(AF9:AR9)</f>
        <v>310.54999999999995</v>
      </c>
      <c r="AU9" s="57">
        <v>182956</v>
      </c>
      <c r="AV9" s="37">
        <f>IF((AU9-AU8&lt;0),"0",AU9-AU8)</f>
        <v>2317</v>
      </c>
      <c r="AW9" s="37">
        <f>AV9*100*AV44</f>
        <v>877.07949699999995</v>
      </c>
      <c r="AX9" s="35">
        <f t="shared" si="14"/>
        <v>4.6340000000000003</v>
      </c>
    </row>
    <row r="10" spans="1:50" x14ac:dyDescent="0.25">
      <c r="A10" s="23">
        <v>44808</v>
      </c>
      <c r="B10" s="40">
        <v>87</v>
      </c>
      <c r="C10" s="55">
        <v>8412900</v>
      </c>
      <c r="D10" s="55">
        <v>20233460</v>
      </c>
      <c r="E10" s="55">
        <v>3543710</v>
      </c>
      <c r="F10" s="55">
        <v>4237140</v>
      </c>
      <c r="G10" s="55">
        <v>12493080</v>
      </c>
      <c r="H10" s="55">
        <v>7303660</v>
      </c>
      <c r="I10" s="55">
        <v>6344780</v>
      </c>
      <c r="J10" s="55">
        <v>7880610</v>
      </c>
      <c r="K10" s="55">
        <v>11524220</v>
      </c>
      <c r="L10" s="55">
        <v>5015590</v>
      </c>
      <c r="M10" s="55">
        <v>9306100</v>
      </c>
      <c r="N10" s="55">
        <v>15269520</v>
      </c>
      <c r="O10" s="55">
        <v>21348660</v>
      </c>
      <c r="Q10" s="37">
        <f t="shared" si="17"/>
        <v>960</v>
      </c>
      <c r="R10" s="37">
        <f t="shared" si="18"/>
        <v>13330</v>
      </c>
      <c r="S10" s="37">
        <f t="shared" si="16"/>
        <v>3530</v>
      </c>
      <c r="T10" s="37">
        <f t="shared" si="19"/>
        <v>1610</v>
      </c>
      <c r="U10" s="37">
        <f t="shared" si="20"/>
        <v>4230</v>
      </c>
      <c r="V10" s="37">
        <f t="shared" si="21"/>
        <v>4130</v>
      </c>
      <c r="W10" s="37">
        <f t="shared" si="22"/>
        <v>3230</v>
      </c>
      <c r="X10" s="37">
        <f t="shared" si="23"/>
        <v>4250</v>
      </c>
      <c r="Y10" s="37">
        <f t="shared" si="24"/>
        <v>5260</v>
      </c>
      <c r="Z10" s="37">
        <f t="shared" si="25"/>
        <v>2400</v>
      </c>
      <c r="AA10" s="37">
        <f t="shared" si="26"/>
        <v>2890</v>
      </c>
      <c r="AB10" s="37">
        <f t="shared" si="27"/>
        <v>6840</v>
      </c>
      <c r="AC10" s="37">
        <f t="shared" si="28"/>
        <v>9250</v>
      </c>
      <c r="AD10" s="35">
        <f t="shared" si="29"/>
        <v>61910</v>
      </c>
      <c r="AF10" s="20">
        <f t="shared" si="1"/>
        <v>4.8</v>
      </c>
      <c r="AG10" s="20">
        <f t="shared" si="2"/>
        <v>66.650000000000006</v>
      </c>
      <c r="AH10" s="20">
        <f t="shared" si="3"/>
        <v>17.650000000000002</v>
      </c>
      <c r="AI10" s="20">
        <f t="shared" si="4"/>
        <v>8.0500000000000007</v>
      </c>
      <c r="AJ10" s="20">
        <f t="shared" si="5"/>
        <v>21.150000000000002</v>
      </c>
      <c r="AK10" s="20">
        <f t="shared" si="6"/>
        <v>20.650000000000002</v>
      </c>
      <c r="AL10" s="20">
        <f t="shared" si="7"/>
        <v>16.149999999999999</v>
      </c>
      <c r="AM10" s="20">
        <f t="shared" si="8"/>
        <v>21.25</v>
      </c>
      <c r="AN10" s="20">
        <f t="shared" si="9"/>
        <v>26.3</v>
      </c>
      <c r="AO10" s="20">
        <f t="shared" si="10"/>
        <v>12</v>
      </c>
      <c r="AP10" s="20">
        <f t="shared" si="11"/>
        <v>14.450000000000001</v>
      </c>
      <c r="AQ10" s="20">
        <f t="shared" si="12"/>
        <v>34.200000000000003</v>
      </c>
      <c r="AR10" s="20">
        <f t="shared" si="13"/>
        <v>46.25</v>
      </c>
      <c r="AS10" s="35">
        <f t="shared" si="30"/>
        <v>309.55</v>
      </c>
      <c r="AU10" s="58">
        <v>185102</v>
      </c>
      <c r="AV10" s="37">
        <f t="shared" ref="AV10:AV26" si="31">IF((AU10-AU9&lt;0),"0",AU10-AU9)</f>
        <v>2146</v>
      </c>
      <c r="AW10" s="37">
        <f>AV10*100*AV44</f>
        <v>812.34898599999997</v>
      </c>
      <c r="AX10" s="35">
        <f t="shared" si="14"/>
        <v>4.2919999999999998</v>
      </c>
    </row>
    <row r="11" spans="1:50" x14ac:dyDescent="0.25">
      <c r="A11" s="23">
        <v>44809</v>
      </c>
      <c r="B11" s="40">
        <v>90</v>
      </c>
      <c r="C11" s="54">
        <v>8413920</v>
      </c>
      <c r="D11" s="54">
        <v>20247440</v>
      </c>
      <c r="E11" s="54">
        <v>3547420</v>
      </c>
      <c r="F11" s="54">
        <v>4238830</v>
      </c>
      <c r="G11" s="54">
        <v>12497590</v>
      </c>
      <c r="H11" s="54">
        <v>7308010</v>
      </c>
      <c r="I11" s="54">
        <v>6348090</v>
      </c>
      <c r="J11" s="54">
        <v>7885120</v>
      </c>
      <c r="K11" s="54">
        <v>11529810</v>
      </c>
      <c r="L11" s="54">
        <v>5018080</v>
      </c>
      <c r="M11" s="54">
        <v>9309090</v>
      </c>
      <c r="N11" s="54">
        <v>15276790</v>
      </c>
      <c r="O11" s="54">
        <v>21359030</v>
      </c>
      <c r="Q11" s="37">
        <f t="shared" si="17"/>
        <v>1020</v>
      </c>
      <c r="R11" s="37">
        <f t="shared" si="18"/>
        <v>13980</v>
      </c>
      <c r="S11" s="37">
        <f t="shared" si="16"/>
        <v>3710</v>
      </c>
      <c r="T11" s="37">
        <f t="shared" si="19"/>
        <v>1690</v>
      </c>
      <c r="U11" s="37">
        <f t="shared" si="20"/>
        <v>4510</v>
      </c>
      <c r="V11" s="37">
        <f t="shared" si="21"/>
        <v>4350</v>
      </c>
      <c r="W11" s="37">
        <f t="shared" si="22"/>
        <v>3310</v>
      </c>
      <c r="X11" s="37">
        <f t="shared" si="23"/>
        <v>4510</v>
      </c>
      <c r="Y11" s="37">
        <f t="shared" si="24"/>
        <v>5590</v>
      </c>
      <c r="Z11" s="37">
        <f t="shared" si="25"/>
        <v>2490</v>
      </c>
      <c r="AA11" s="37">
        <f t="shared" si="26"/>
        <v>2990</v>
      </c>
      <c r="AB11" s="37">
        <f t="shared" si="27"/>
        <v>7270</v>
      </c>
      <c r="AC11" s="37">
        <f t="shared" si="28"/>
        <v>10370</v>
      </c>
      <c r="AD11" s="35">
        <f t="shared" si="29"/>
        <v>65790</v>
      </c>
      <c r="AF11" s="20">
        <f t="shared" si="1"/>
        <v>5.1000000000000005</v>
      </c>
      <c r="AG11" s="20">
        <f t="shared" si="2"/>
        <v>69.900000000000006</v>
      </c>
      <c r="AH11" s="20">
        <f t="shared" si="3"/>
        <v>18.55</v>
      </c>
      <c r="AI11" s="20">
        <f t="shared" si="4"/>
        <v>8.4499999999999993</v>
      </c>
      <c r="AJ11" s="20">
        <f t="shared" si="5"/>
        <v>22.55</v>
      </c>
      <c r="AK11" s="20">
        <f t="shared" si="6"/>
        <v>21.75</v>
      </c>
      <c r="AL11" s="20">
        <f t="shared" si="7"/>
        <v>16.55</v>
      </c>
      <c r="AM11" s="20">
        <f t="shared" si="8"/>
        <v>22.55</v>
      </c>
      <c r="AN11" s="20">
        <f t="shared" si="9"/>
        <v>27.95</v>
      </c>
      <c r="AO11" s="20">
        <f t="shared" si="10"/>
        <v>12.450000000000001</v>
      </c>
      <c r="AP11" s="20">
        <f t="shared" si="11"/>
        <v>14.950000000000001</v>
      </c>
      <c r="AQ11" s="20">
        <f t="shared" si="12"/>
        <v>36.35</v>
      </c>
      <c r="AR11" s="20">
        <f t="shared" si="13"/>
        <v>51.85</v>
      </c>
      <c r="AS11" s="35">
        <f t="shared" si="30"/>
        <v>328.95000000000005</v>
      </c>
      <c r="AU11" s="61">
        <v>187214</v>
      </c>
      <c r="AV11" s="37">
        <f t="shared" si="31"/>
        <v>2112</v>
      </c>
      <c r="AW11" s="37">
        <f>AV11*100*AV44</f>
        <v>799.47859199999994</v>
      </c>
      <c r="AX11" s="35">
        <f t="shared" si="14"/>
        <v>4.2240000000000002</v>
      </c>
    </row>
    <row r="12" spans="1:50" x14ac:dyDescent="0.25">
      <c r="A12" s="23">
        <v>44810</v>
      </c>
      <c r="B12" s="40">
        <v>89</v>
      </c>
      <c r="C12" s="55">
        <v>8418340</v>
      </c>
      <c r="D12" s="55">
        <v>20262780</v>
      </c>
      <c r="E12" s="55">
        <v>3551470</v>
      </c>
      <c r="F12" s="55">
        <v>4240560</v>
      </c>
      <c r="G12" s="55">
        <v>12502030</v>
      </c>
      <c r="H12" s="55">
        <v>7312200</v>
      </c>
      <c r="I12" s="55">
        <v>6351110</v>
      </c>
      <c r="J12" s="55">
        <v>7889130</v>
      </c>
      <c r="K12" s="55">
        <v>11535470</v>
      </c>
      <c r="L12" s="55">
        <v>5020560</v>
      </c>
      <c r="M12" s="55">
        <v>9311930</v>
      </c>
      <c r="N12" s="55">
        <v>15284010</v>
      </c>
      <c r="O12" s="55">
        <v>21368530</v>
      </c>
      <c r="Q12" s="37">
        <f t="shared" si="17"/>
        <v>4420</v>
      </c>
      <c r="R12" s="37">
        <f t="shared" si="18"/>
        <v>15340</v>
      </c>
      <c r="S12" s="37">
        <f t="shared" si="16"/>
        <v>4050</v>
      </c>
      <c r="T12" s="37">
        <f t="shared" ref="T12:W14" si="32">IF((F12-F11&lt;0), "0",F12-F11)</f>
        <v>1730</v>
      </c>
      <c r="U12" s="37">
        <f t="shared" si="32"/>
        <v>4440</v>
      </c>
      <c r="V12" s="37">
        <f t="shared" si="32"/>
        <v>4190</v>
      </c>
      <c r="W12" s="37">
        <f t="shared" si="32"/>
        <v>3020</v>
      </c>
      <c r="X12" s="37">
        <f t="shared" si="23"/>
        <v>4010</v>
      </c>
      <c r="Y12" s="37">
        <f t="shared" si="24"/>
        <v>5660</v>
      </c>
      <c r="Z12" s="37">
        <f>IF((L12-L11&lt;0), "0",L12-L11)</f>
        <v>2480</v>
      </c>
      <c r="AA12" s="37">
        <f t="shared" si="26"/>
        <v>2840</v>
      </c>
      <c r="AB12" s="37">
        <f t="shared" si="27"/>
        <v>7220</v>
      </c>
      <c r="AC12" s="37">
        <f t="shared" si="28"/>
        <v>9500</v>
      </c>
      <c r="AD12" s="35">
        <f t="shared" si="29"/>
        <v>68900</v>
      </c>
      <c r="AF12" s="20">
        <f t="shared" si="1"/>
        <v>22.1</v>
      </c>
      <c r="AG12" s="20">
        <f t="shared" si="2"/>
        <v>76.7</v>
      </c>
      <c r="AH12" s="20">
        <f t="shared" si="3"/>
        <v>20.25</v>
      </c>
      <c r="AI12" s="20">
        <f t="shared" si="4"/>
        <v>8.65</v>
      </c>
      <c r="AJ12" s="20">
        <f t="shared" si="5"/>
        <v>22.2</v>
      </c>
      <c r="AK12" s="20">
        <f t="shared" si="6"/>
        <v>20.95</v>
      </c>
      <c r="AL12" s="20">
        <f t="shared" si="7"/>
        <v>15.1</v>
      </c>
      <c r="AM12" s="20">
        <f t="shared" si="8"/>
        <v>20.05</v>
      </c>
      <c r="AN12" s="20">
        <f t="shared" si="9"/>
        <v>28.3</v>
      </c>
      <c r="AO12" s="20">
        <f t="shared" si="10"/>
        <v>12.4</v>
      </c>
      <c r="AP12" s="20">
        <f t="shared" si="11"/>
        <v>14.200000000000001</v>
      </c>
      <c r="AQ12" s="20">
        <f t="shared" si="12"/>
        <v>36.1</v>
      </c>
      <c r="AR12" s="20">
        <f t="shared" si="13"/>
        <v>47.5</v>
      </c>
      <c r="AS12" s="35">
        <f t="shared" si="30"/>
        <v>344.50000000000006</v>
      </c>
      <c r="AU12" s="58">
        <v>189150</v>
      </c>
      <c r="AV12" s="37">
        <f t="shared" si="31"/>
        <v>1936</v>
      </c>
      <c r="AW12" s="37">
        <f>AV12*100*AV44</f>
        <v>732.85537599999998</v>
      </c>
      <c r="AX12" s="35">
        <f t="shared" si="14"/>
        <v>3.8719999999999999</v>
      </c>
    </row>
    <row r="13" spans="1:50" x14ac:dyDescent="0.25">
      <c r="A13" s="23">
        <v>44811</v>
      </c>
      <c r="B13" s="40">
        <v>94</v>
      </c>
      <c r="C13" s="54">
        <v>8429010</v>
      </c>
      <c r="D13" s="54">
        <v>20278420</v>
      </c>
      <c r="E13" s="54">
        <v>3555670</v>
      </c>
      <c r="F13" s="54">
        <v>4242250</v>
      </c>
      <c r="G13" s="54">
        <v>12506280</v>
      </c>
      <c r="H13" s="54">
        <v>7316180</v>
      </c>
      <c r="I13" s="54">
        <v>6353920</v>
      </c>
      <c r="J13" s="54">
        <v>7892330</v>
      </c>
      <c r="K13" s="54">
        <v>11540880</v>
      </c>
      <c r="L13" s="54">
        <v>5022960</v>
      </c>
      <c r="M13" s="54">
        <v>9314580</v>
      </c>
      <c r="N13" s="54">
        <v>15290770</v>
      </c>
      <c r="O13" s="54">
        <v>21377140</v>
      </c>
      <c r="Q13" s="37">
        <f t="shared" si="17"/>
        <v>10670</v>
      </c>
      <c r="R13" s="37">
        <f t="shared" si="18"/>
        <v>15640</v>
      </c>
      <c r="S13" s="37">
        <f t="shared" si="16"/>
        <v>4200</v>
      </c>
      <c r="T13" s="37">
        <f t="shared" si="32"/>
        <v>1690</v>
      </c>
      <c r="U13" s="37">
        <f t="shared" si="32"/>
        <v>4250</v>
      </c>
      <c r="V13" s="37">
        <f t="shared" si="32"/>
        <v>3980</v>
      </c>
      <c r="W13" s="37">
        <f t="shared" si="32"/>
        <v>2810</v>
      </c>
      <c r="X13" s="37">
        <f t="shared" si="23"/>
        <v>3200</v>
      </c>
      <c r="Y13" s="37">
        <f t="shared" si="24"/>
        <v>5410</v>
      </c>
      <c r="Z13" s="37">
        <f>IF((L13-L12&lt;0), "0",L13-L12)</f>
        <v>2400</v>
      </c>
      <c r="AA13" s="37">
        <f t="shared" si="26"/>
        <v>2650</v>
      </c>
      <c r="AB13" s="37">
        <f t="shared" si="27"/>
        <v>6760</v>
      </c>
      <c r="AC13" s="37">
        <f t="shared" si="28"/>
        <v>8610</v>
      </c>
      <c r="AD13" s="35">
        <f t="shared" si="29"/>
        <v>72270</v>
      </c>
      <c r="AF13" s="20">
        <f t="shared" si="1"/>
        <v>53.35</v>
      </c>
      <c r="AG13" s="20">
        <f t="shared" si="2"/>
        <v>78.2</v>
      </c>
      <c r="AH13" s="20">
        <f t="shared" si="3"/>
        <v>21</v>
      </c>
      <c r="AI13" s="20">
        <f t="shared" si="4"/>
        <v>8.4499999999999993</v>
      </c>
      <c r="AJ13" s="20">
        <f t="shared" si="5"/>
        <v>21.25</v>
      </c>
      <c r="AK13" s="20">
        <f t="shared" si="6"/>
        <v>19.900000000000002</v>
      </c>
      <c r="AL13" s="20">
        <f t="shared" si="7"/>
        <v>14.05</v>
      </c>
      <c r="AM13" s="20">
        <f t="shared" si="8"/>
        <v>16</v>
      </c>
      <c r="AN13" s="20">
        <f t="shared" si="9"/>
        <v>27.05</v>
      </c>
      <c r="AO13" s="20">
        <f t="shared" si="10"/>
        <v>12</v>
      </c>
      <c r="AP13" s="20">
        <f t="shared" si="11"/>
        <v>13.25</v>
      </c>
      <c r="AQ13" s="20">
        <f t="shared" si="12"/>
        <v>33.799999999999997</v>
      </c>
      <c r="AR13" s="20">
        <f t="shared" si="13"/>
        <v>43.050000000000004</v>
      </c>
      <c r="AS13" s="35">
        <f t="shared" si="30"/>
        <v>361.35</v>
      </c>
      <c r="AU13" s="61">
        <v>191222</v>
      </c>
      <c r="AV13" s="37">
        <f t="shared" si="31"/>
        <v>2072</v>
      </c>
      <c r="AW13" s="37">
        <f>AV13*100*AV44</f>
        <v>784.336952</v>
      </c>
      <c r="AX13" s="35">
        <f t="shared" si="14"/>
        <v>4.1440000000000001</v>
      </c>
    </row>
    <row r="14" spans="1:50" x14ac:dyDescent="0.25">
      <c r="A14" s="23">
        <v>44812</v>
      </c>
      <c r="B14" s="40">
        <v>82</v>
      </c>
      <c r="C14" s="55">
        <v>8440860</v>
      </c>
      <c r="D14" s="55">
        <v>20294740</v>
      </c>
      <c r="E14" s="55">
        <v>3559960</v>
      </c>
      <c r="F14" s="55">
        <v>4244000</v>
      </c>
      <c r="G14" s="55">
        <v>12510790</v>
      </c>
      <c r="H14" s="55">
        <v>7320330</v>
      </c>
      <c r="I14" s="55">
        <v>6357330</v>
      </c>
      <c r="J14" s="55">
        <v>7897160</v>
      </c>
      <c r="K14" s="55">
        <v>11546650</v>
      </c>
      <c r="L14" s="55">
        <v>5025330</v>
      </c>
      <c r="M14" s="55">
        <v>9317360</v>
      </c>
      <c r="N14" s="55">
        <v>15297900</v>
      </c>
      <c r="O14" s="55">
        <v>21385820</v>
      </c>
      <c r="P14" s="52"/>
      <c r="Q14" s="37">
        <f t="shared" si="17"/>
        <v>11850</v>
      </c>
      <c r="R14" s="37">
        <f t="shared" si="18"/>
        <v>16320</v>
      </c>
      <c r="S14" s="37">
        <f t="shared" si="16"/>
        <v>4290</v>
      </c>
      <c r="T14" s="37">
        <f t="shared" si="32"/>
        <v>1750</v>
      </c>
      <c r="U14" s="37">
        <f t="shared" si="32"/>
        <v>4510</v>
      </c>
      <c r="V14" s="37">
        <f t="shared" si="32"/>
        <v>4150</v>
      </c>
      <c r="W14" s="37">
        <f t="shared" si="32"/>
        <v>3410</v>
      </c>
      <c r="X14" s="37">
        <f t="shared" si="23"/>
        <v>4830</v>
      </c>
      <c r="Y14" s="37">
        <f t="shared" si="24"/>
        <v>5770</v>
      </c>
      <c r="Z14" s="37">
        <f>IF((L14-L13&lt;0), "0",L14-L13)</f>
        <v>2370</v>
      </c>
      <c r="AA14" s="37">
        <f t="shared" si="26"/>
        <v>2780</v>
      </c>
      <c r="AB14" s="37">
        <f t="shared" si="27"/>
        <v>7130</v>
      </c>
      <c r="AC14" s="37">
        <f t="shared" si="28"/>
        <v>8680</v>
      </c>
      <c r="AD14" s="35">
        <f t="shared" si="29"/>
        <v>77840</v>
      </c>
      <c r="AF14" s="20">
        <f t="shared" si="1"/>
        <v>59.25</v>
      </c>
      <c r="AG14" s="20">
        <f t="shared" si="2"/>
        <v>81.600000000000009</v>
      </c>
      <c r="AH14" s="20">
        <f t="shared" si="3"/>
        <v>21.45</v>
      </c>
      <c r="AI14" s="20">
        <f t="shared" si="4"/>
        <v>8.75</v>
      </c>
      <c r="AJ14" s="20">
        <f t="shared" si="5"/>
        <v>22.55</v>
      </c>
      <c r="AK14" s="20">
        <f t="shared" si="6"/>
        <v>20.75</v>
      </c>
      <c r="AL14" s="20">
        <f t="shared" si="7"/>
        <v>17.05</v>
      </c>
      <c r="AM14" s="20">
        <f t="shared" si="8"/>
        <v>24.150000000000002</v>
      </c>
      <c r="AN14" s="20">
        <f t="shared" si="9"/>
        <v>28.85</v>
      </c>
      <c r="AO14" s="20">
        <f t="shared" si="10"/>
        <v>11.85</v>
      </c>
      <c r="AP14" s="20">
        <f t="shared" si="11"/>
        <v>13.9</v>
      </c>
      <c r="AQ14" s="20">
        <f t="shared" si="12"/>
        <v>35.65</v>
      </c>
      <c r="AR14" s="20">
        <f t="shared" si="13"/>
        <v>43.4</v>
      </c>
      <c r="AS14" s="35">
        <f t="shared" si="30"/>
        <v>389.2</v>
      </c>
      <c r="AU14" s="58">
        <v>193489</v>
      </c>
      <c r="AV14" s="37">
        <f t="shared" si="31"/>
        <v>2267</v>
      </c>
      <c r="AW14" s="37">
        <f>AV14*100*AV44</f>
        <v>858.15244699999994</v>
      </c>
      <c r="AX14" s="35">
        <f t="shared" si="14"/>
        <v>4.5339999999999998</v>
      </c>
    </row>
    <row r="15" spans="1:50" x14ac:dyDescent="0.25">
      <c r="A15" s="23">
        <v>44813</v>
      </c>
      <c r="B15" s="40">
        <v>111</v>
      </c>
      <c r="C15" s="54">
        <v>8450390</v>
      </c>
      <c r="D15" s="54">
        <v>20309650</v>
      </c>
      <c r="E15" s="54">
        <v>3563820</v>
      </c>
      <c r="F15" s="54">
        <v>4245650</v>
      </c>
      <c r="G15" s="54">
        <v>12515070</v>
      </c>
      <c r="H15" s="54">
        <v>7324320</v>
      </c>
      <c r="I15" s="54">
        <v>6360580</v>
      </c>
      <c r="J15" s="54">
        <v>7901300</v>
      </c>
      <c r="K15" s="54">
        <v>11551870</v>
      </c>
      <c r="L15" s="54">
        <v>5027630</v>
      </c>
      <c r="M15" s="54">
        <v>9320110</v>
      </c>
      <c r="N15" s="54">
        <v>15304680</v>
      </c>
      <c r="O15" s="54">
        <v>21394040</v>
      </c>
      <c r="Q15" s="37">
        <f t="shared" si="17"/>
        <v>9530</v>
      </c>
      <c r="R15" s="37">
        <f t="shared" si="18"/>
        <v>14910</v>
      </c>
      <c r="S15" s="37">
        <f t="shared" si="16"/>
        <v>3860</v>
      </c>
      <c r="T15" s="37">
        <f t="shared" si="19"/>
        <v>1650</v>
      </c>
      <c r="U15" s="37">
        <f t="shared" si="20"/>
        <v>4280</v>
      </c>
      <c r="V15" s="37">
        <f t="shared" si="21"/>
        <v>3990</v>
      </c>
      <c r="W15" s="37">
        <f t="shared" si="22"/>
        <v>3250</v>
      </c>
      <c r="X15" s="37">
        <f t="shared" si="23"/>
        <v>4140</v>
      </c>
      <c r="Y15" s="37">
        <f t="shared" si="24"/>
        <v>5220</v>
      </c>
      <c r="Z15" s="37">
        <f t="shared" si="25"/>
        <v>2300</v>
      </c>
      <c r="AA15" s="37">
        <f t="shared" si="26"/>
        <v>2750</v>
      </c>
      <c r="AB15" s="37">
        <f t="shared" si="27"/>
        <v>6780</v>
      </c>
      <c r="AC15" s="37">
        <f t="shared" si="28"/>
        <v>8220</v>
      </c>
      <c r="AD15" s="35">
        <f t="shared" si="29"/>
        <v>70880</v>
      </c>
      <c r="AF15" s="20">
        <f t="shared" si="1"/>
        <v>47.65</v>
      </c>
      <c r="AG15" s="20">
        <f t="shared" si="2"/>
        <v>74.55</v>
      </c>
      <c r="AH15" s="20">
        <f t="shared" si="3"/>
        <v>19.3</v>
      </c>
      <c r="AI15" s="20">
        <f t="shared" si="4"/>
        <v>8.25</v>
      </c>
      <c r="AJ15" s="20">
        <f t="shared" si="5"/>
        <v>21.400000000000002</v>
      </c>
      <c r="AK15" s="20">
        <f t="shared" si="6"/>
        <v>19.95</v>
      </c>
      <c r="AL15" s="20">
        <f t="shared" si="7"/>
        <v>16.25</v>
      </c>
      <c r="AM15" s="20">
        <f t="shared" si="8"/>
        <v>20.7</v>
      </c>
      <c r="AN15" s="20">
        <f t="shared" si="9"/>
        <v>26.1</v>
      </c>
      <c r="AO15" s="20">
        <f t="shared" si="10"/>
        <v>11.5</v>
      </c>
      <c r="AP15" s="20">
        <f t="shared" si="11"/>
        <v>13.75</v>
      </c>
      <c r="AQ15" s="20">
        <f t="shared" si="12"/>
        <v>33.9</v>
      </c>
      <c r="AR15" s="20">
        <f t="shared" si="13"/>
        <v>41.1</v>
      </c>
      <c r="AS15" s="35">
        <f t="shared" si="30"/>
        <v>354.4</v>
      </c>
      <c r="AU15" s="57">
        <v>195710</v>
      </c>
      <c r="AV15" s="37">
        <f t="shared" si="31"/>
        <v>2221</v>
      </c>
      <c r="AW15" s="37">
        <f>AV15*100*AV44</f>
        <v>840.73956099999998</v>
      </c>
      <c r="AX15" s="35">
        <f t="shared" si="14"/>
        <v>4.4420000000000002</v>
      </c>
    </row>
    <row r="16" spans="1:50" x14ac:dyDescent="0.25">
      <c r="A16" s="23">
        <v>44814</v>
      </c>
      <c r="B16" s="40">
        <v>91</v>
      </c>
      <c r="C16" s="55">
        <v>8451370</v>
      </c>
      <c r="D16" s="55">
        <v>20323970</v>
      </c>
      <c r="E16" s="55">
        <v>3567690</v>
      </c>
      <c r="F16" s="55">
        <v>4247360</v>
      </c>
      <c r="G16" s="55">
        <v>12519560</v>
      </c>
      <c r="H16" s="55">
        <v>7328400</v>
      </c>
      <c r="I16" s="55">
        <v>6363700</v>
      </c>
      <c r="J16" s="55">
        <v>7905670</v>
      </c>
      <c r="K16" s="55">
        <v>11557450</v>
      </c>
      <c r="L16" s="55">
        <v>5030150</v>
      </c>
      <c r="M16" s="55">
        <v>9323020</v>
      </c>
      <c r="N16" s="55">
        <v>15311770</v>
      </c>
      <c r="O16" s="55">
        <v>21402710</v>
      </c>
      <c r="Q16" s="37">
        <f t="shared" si="17"/>
        <v>980</v>
      </c>
      <c r="R16" s="37">
        <f t="shared" si="18"/>
        <v>14320</v>
      </c>
      <c r="S16" s="37">
        <f t="shared" si="16"/>
        <v>3870</v>
      </c>
      <c r="T16" s="37">
        <f t="shared" si="19"/>
        <v>1710</v>
      </c>
      <c r="U16" s="37">
        <f>IF((G16-G15&lt;0), "0",G16-G15)</f>
        <v>4490</v>
      </c>
      <c r="V16" s="37">
        <f>IF((H16-H15&lt;0), "0",H16-H15)</f>
        <v>4080</v>
      </c>
      <c r="W16" s="37">
        <f t="shared" si="22"/>
        <v>3120</v>
      </c>
      <c r="X16" s="37">
        <f t="shared" si="23"/>
        <v>4370</v>
      </c>
      <c r="Y16" s="37">
        <f t="shared" si="24"/>
        <v>5580</v>
      </c>
      <c r="Z16" s="37">
        <f t="shared" si="25"/>
        <v>2520</v>
      </c>
      <c r="AA16" s="37">
        <f t="shared" si="26"/>
        <v>2910</v>
      </c>
      <c r="AB16" s="37">
        <f t="shared" si="27"/>
        <v>7090</v>
      </c>
      <c r="AC16" s="37">
        <f t="shared" si="28"/>
        <v>8670</v>
      </c>
      <c r="AD16" s="35">
        <f t="shared" si="29"/>
        <v>63710</v>
      </c>
      <c r="AF16" s="20">
        <f t="shared" si="1"/>
        <v>4.9000000000000004</v>
      </c>
      <c r="AG16" s="20">
        <f t="shared" si="2"/>
        <v>71.600000000000009</v>
      </c>
      <c r="AH16" s="20">
        <f t="shared" si="3"/>
        <v>19.350000000000001</v>
      </c>
      <c r="AI16" s="20">
        <f t="shared" si="4"/>
        <v>8.5500000000000007</v>
      </c>
      <c r="AJ16" s="20">
        <f t="shared" si="5"/>
        <v>22.45</v>
      </c>
      <c r="AK16" s="20">
        <f t="shared" si="6"/>
        <v>20.400000000000002</v>
      </c>
      <c r="AL16" s="20">
        <f t="shared" si="7"/>
        <v>15.6</v>
      </c>
      <c r="AM16" s="20">
        <f t="shared" si="8"/>
        <v>21.85</v>
      </c>
      <c r="AN16" s="20">
        <f t="shared" si="9"/>
        <v>27.900000000000002</v>
      </c>
      <c r="AO16" s="20">
        <f t="shared" si="10"/>
        <v>12.6</v>
      </c>
      <c r="AP16" s="20">
        <f t="shared" si="11"/>
        <v>14.55</v>
      </c>
      <c r="AQ16" s="20">
        <f t="shared" si="12"/>
        <v>35.450000000000003</v>
      </c>
      <c r="AR16" s="20">
        <f t="shared" si="13"/>
        <v>43.35</v>
      </c>
      <c r="AS16" s="35">
        <f t="shared" si="30"/>
        <v>318.55000000000007</v>
      </c>
      <c r="AU16" s="58">
        <v>197607</v>
      </c>
      <c r="AV16" s="37">
        <f t="shared" si="31"/>
        <v>1897</v>
      </c>
      <c r="AW16" s="37">
        <f>AV16*100*AV44</f>
        <v>718.09227699999997</v>
      </c>
      <c r="AX16" s="35">
        <f t="shared" si="14"/>
        <v>3.794</v>
      </c>
    </row>
    <row r="17" spans="1:50" x14ac:dyDescent="0.25">
      <c r="A17" s="23">
        <v>44815</v>
      </c>
      <c r="B17" s="40">
        <v>110</v>
      </c>
      <c r="C17" s="54">
        <v>8452340</v>
      </c>
      <c r="D17" s="54">
        <v>20337590</v>
      </c>
      <c r="E17" s="54">
        <v>3571330</v>
      </c>
      <c r="F17" s="54">
        <v>4249050</v>
      </c>
      <c r="G17" s="54">
        <v>12523770</v>
      </c>
      <c r="H17" s="54">
        <v>7332400</v>
      </c>
      <c r="I17" s="54">
        <v>6366840</v>
      </c>
      <c r="J17" s="54">
        <v>7909800</v>
      </c>
      <c r="K17" s="54">
        <v>11562870</v>
      </c>
      <c r="L17" s="54">
        <v>5032570</v>
      </c>
      <c r="M17" s="54">
        <v>9325800</v>
      </c>
      <c r="N17" s="54">
        <v>15318680</v>
      </c>
      <c r="O17" s="54">
        <v>21411850</v>
      </c>
      <c r="Q17" s="37">
        <f t="shared" si="17"/>
        <v>970</v>
      </c>
      <c r="R17" s="37">
        <f t="shared" si="18"/>
        <v>13620</v>
      </c>
      <c r="S17" s="37">
        <f t="shared" si="16"/>
        <v>3640</v>
      </c>
      <c r="T17" s="37">
        <f t="shared" si="19"/>
        <v>1690</v>
      </c>
      <c r="U17" s="37">
        <f>IF((G17-G16&lt;0), "0",G17-G16)</f>
        <v>4210</v>
      </c>
      <c r="V17" s="37">
        <f>IF((H17-H16&lt;0), "0",H17-H16)</f>
        <v>4000</v>
      </c>
      <c r="W17" s="37">
        <f t="shared" si="22"/>
        <v>3140</v>
      </c>
      <c r="X17" s="37">
        <f t="shared" si="23"/>
        <v>4130</v>
      </c>
      <c r="Y17" s="37">
        <f t="shared" si="24"/>
        <v>5420</v>
      </c>
      <c r="Z17" s="37">
        <f t="shared" si="25"/>
        <v>2420</v>
      </c>
      <c r="AA17" s="37">
        <f t="shared" si="26"/>
        <v>2780</v>
      </c>
      <c r="AB17" s="37">
        <f t="shared" si="27"/>
        <v>6910</v>
      </c>
      <c r="AC17" s="37">
        <f t="shared" si="28"/>
        <v>9140</v>
      </c>
      <c r="AD17" s="35">
        <f t="shared" si="29"/>
        <v>62070</v>
      </c>
      <c r="AF17" s="20">
        <f t="shared" si="1"/>
        <v>4.8500000000000005</v>
      </c>
      <c r="AG17" s="20">
        <f t="shared" si="2"/>
        <v>68.099999999999994</v>
      </c>
      <c r="AH17" s="20">
        <f t="shared" si="3"/>
        <v>18.2</v>
      </c>
      <c r="AI17" s="20">
        <f t="shared" si="4"/>
        <v>8.4499999999999993</v>
      </c>
      <c r="AJ17" s="20">
        <f t="shared" si="5"/>
        <v>21.05</v>
      </c>
      <c r="AK17" s="20">
        <f t="shared" si="6"/>
        <v>20</v>
      </c>
      <c r="AL17" s="20">
        <f t="shared" si="7"/>
        <v>15.700000000000001</v>
      </c>
      <c r="AM17" s="20">
        <f t="shared" si="8"/>
        <v>20.650000000000002</v>
      </c>
      <c r="AN17" s="20">
        <f t="shared" si="9"/>
        <v>27.1</v>
      </c>
      <c r="AO17" s="20">
        <f t="shared" si="10"/>
        <v>12.1</v>
      </c>
      <c r="AP17" s="20">
        <f t="shared" si="11"/>
        <v>13.9</v>
      </c>
      <c r="AQ17" s="20">
        <f t="shared" si="12"/>
        <v>34.550000000000004</v>
      </c>
      <c r="AR17" s="20">
        <f t="shared" si="13"/>
        <v>45.7</v>
      </c>
      <c r="AS17" s="35">
        <f t="shared" si="30"/>
        <v>310.34999999999997</v>
      </c>
      <c r="AU17" s="61">
        <v>200040</v>
      </c>
      <c r="AV17" s="37">
        <f t="shared" si="31"/>
        <v>2433</v>
      </c>
      <c r="AW17" s="37">
        <f>AV17*100*AV44</f>
        <v>920.99025299999994</v>
      </c>
      <c r="AX17" s="35">
        <f t="shared" si="14"/>
        <v>4.8659999999999997</v>
      </c>
    </row>
    <row r="18" spans="1:50" x14ac:dyDescent="0.25">
      <c r="A18" s="23">
        <v>44816</v>
      </c>
      <c r="B18" s="40">
        <v>116</v>
      </c>
      <c r="C18" s="55">
        <v>8453310</v>
      </c>
      <c r="D18" s="55">
        <v>20351080</v>
      </c>
      <c r="E18" s="55">
        <v>3574920</v>
      </c>
      <c r="F18" s="55">
        <v>4250720</v>
      </c>
      <c r="G18" s="55">
        <v>12528140</v>
      </c>
      <c r="H18" s="55">
        <v>7336540</v>
      </c>
      <c r="I18" s="55">
        <v>6370330</v>
      </c>
      <c r="J18" s="55">
        <v>7914240</v>
      </c>
      <c r="K18" s="55">
        <v>11568390</v>
      </c>
      <c r="L18" s="55">
        <v>5035020</v>
      </c>
      <c r="M18" s="55">
        <v>9328530</v>
      </c>
      <c r="N18" s="55">
        <v>15325440</v>
      </c>
      <c r="O18" s="55">
        <v>21421810</v>
      </c>
      <c r="Q18" s="37">
        <f t="shared" si="17"/>
        <v>970</v>
      </c>
      <c r="R18" s="37">
        <f t="shared" si="18"/>
        <v>13490</v>
      </c>
      <c r="S18" s="37">
        <f t="shared" si="16"/>
        <v>3590</v>
      </c>
      <c r="T18" s="37">
        <f t="shared" si="19"/>
        <v>1670</v>
      </c>
      <c r="U18" s="37">
        <f t="shared" si="20"/>
        <v>4370</v>
      </c>
      <c r="V18" s="37">
        <f t="shared" si="21"/>
        <v>4140</v>
      </c>
      <c r="W18" s="37">
        <f t="shared" si="22"/>
        <v>3490</v>
      </c>
      <c r="X18" s="37">
        <f t="shared" si="23"/>
        <v>4440</v>
      </c>
      <c r="Y18" s="37">
        <f t="shared" si="24"/>
        <v>5520</v>
      </c>
      <c r="Z18" s="37">
        <f t="shared" si="25"/>
        <v>2450</v>
      </c>
      <c r="AA18" s="37">
        <f t="shared" si="26"/>
        <v>2730</v>
      </c>
      <c r="AB18" s="37">
        <f t="shared" si="27"/>
        <v>6760</v>
      </c>
      <c r="AC18" s="37">
        <f t="shared" si="28"/>
        <v>9960</v>
      </c>
      <c r="AD18" s="35">
        <f t="shared" si="29"/>
        <v>63580</v>
      </c>
      <c r="AF18" s="20">
        <f t="shared" si="1"/>
        <v>4.8500000000000005</v>
      </c>
      <c r="AG18" s="20">
        <f t="shared" si="2"/>
        <v>67.45</v>
      </c>
      <c r="AH18" s="20">
        <f t="shared" si="3"/>
        <v>17.95</v>
      </c>
      <c r="AI18" s="20">
        <f t="shared" si="4"/>
        <v>8.35</v>
      </c>
      <c r="AJ18" s="20">
        <f t="shared" si="5"/>
        <v>21.85</v>
      </c>
      <c r="AK18" s="20">
        <f t="shared" si="6"/>
        <v>20.7</v>
      </c>
      <c r="AL18" s="20">
        <f t="shared" si="7"/>
        <v>17.45</v>
      </c>
      <c r="AM18" s="20">
        <f t="shared" si="8"/>
        <v>22.2</v>
      </c>
      <c r="AN18" s="20">
        <f t="shared" si="9"/>
        <v>27.6</v>
      </c>
      <c r="AO18" s="20">
        <f t="shared" si="10"/>
        <v>12.25</v>
      </c>
      <c r="AP18" s="20">
        <f t="shared" si="11"/>
        <v>13.65</v>
      </c>
      <c r="AQ18" s="20">
        <f t="shared" si="12"/>
        <v>33.799999999999997</v>
      </c>
      <c r="AR18" s="20">
        <f t="shared" si="13"/>
        <v>49.800000000000004</v>
      </c>
      <c r="AS18" s="35">
        <f t="shared" si="30"/>
        <v>317.89999999999998</v>
      </c>
      <c r="AU18" s="58">
        <v>202771</v>
      </c>
      <c r="AV18" s="37">
        <f t="shared" si="31"/>
        <v>2731</v>
      </c>
      <c r="AW18" s="37">
        <f>AV18*100*AV44</f>
        <v>1033.7954709999999</v>
      </c>
      <c r="AX18" s="35">
        <f t="shared" si="14"/>
        <v>5.4619999999999997</v>
      </c>
    </row>
    <row r="19" spans="1:50" x14ac:dyDescent="0.25">
      <c r="A19" s="23">
        <v>44817</v>
      </c>
      <c r="B19" s="40">
        <v>71</v>
      </c>
      <c r="C19" s="54">
        <v>8454380</v>
      </c>
      <c r="D19" s="54">
        <v>20366620</v>
      </c>
      <c r="E19" s="54">
        <v>3579120</v>
      </c>
      <c r="F19" s="54">
        <v>4252570</v>
      </c>
      <c r="G19" s="54">
        <v>12532850</v>
      </c>
      <c r="H19" s="54">
        <v>7340870</v>
      </c>
      <c r="I19" s="54">
        <v>6374030</v>
      </c>
      <c r="J19" s="54">
        <v>7918910</v>
      </c>
      <c r="K19" s="54">
        <v>11574280</v>
      </c>
      <c r="L19" s="54">
        <v>5037670</v>
      </c>
      <c r="M19" s="54">
        <v>9331470</v>
      </c>
      <c r="N19" s="54">
        <v>15332890</v>
      </c>
      <c r="O19" s="54">
        <v>21432670</v>
      </c>
      <c r="Q19" s="37">
        <f t="shared" si="17"/>
        <v>1070</v>
      </c>
      <c r="R19" s="37">
        <f t="shared" si="18"/>
        <v>15540</v>
      </c>
      <c r="S19" s="37">
        <f t="shared" si="16"/>
        <v>4200</v>
      </c>
      <c r="T19" s="37">
        <f t="shared" si="19"/>
        <v>1850</v>
      </c>
      <c r="U19" s="37">
        <f t="shared" si="20"/>
        <v>4710</v>
      </c>
      <c r="V19" s="37">
        <f t="shared" si="21"/>
        <v>4330</v>
      </c>
      <c r="W19" s="37">
        <f t="shared" si="22"/>
        <v>3700</v>
      </c>
      <c r="X19" s="37">
        <f t="shared" si="23"/>
        <v>4670</v>
      </c>
      <c r="Y19" s="37">
        <f t="shared" si="24"/>
        <v>5890</v>
      </c>
      <c r="Z19" s="37">
        <f t="shared" si="25"/>
        <v>2650</v>
      </c>
      <c r="AA19" s="37">
        <f t="shared" si="26"/>
        <v>2940</v>
      </c>
      <c r="AB19" s="37">
        <f t="shared" si="27"/>
        <v>7450</v>
      </c>
      <c r="AC19" s="37">
        <f t="shared" si="28"/>
        <v>10860</v>
      </c>
      <c r="AD19" s="35">
        <f t="shared" si="29"/>
        <v>69860</v>
      </c>
      <c r="AF19" s="20">
        <f t="shared" si="1"/>
        <v>5.3500000000000005</v>
      </c>
      <c r="AG19" s="20">
        <f t="shared" si="2"/>
        <v>77.7</v>
      </c>
      <c r="AH19" s="20">
        <f t="shared" si="3"/>
        <v>21</v>
      </c>
      <c r="AI19" s="20">
        <f t="shared" si="4"/>
        <v>9.25</v>
      </c>
      <c r="AJ19" s="20">
        <f t="shared" si="5"/>
        <v>23.55</v>
      </c>
      <c r="AK19" s="20">
        <f t="shared" si="6"/>
        <v>21.650000000000002</v>
      </c>
      <c r="AL19" s="20">
        <f t="shared" si="7"/>
        <v>18.5</v>
      </c>
      <c r="AM19" s="20">
        <f t="shared" si="8"/>
        <v>23.35</v>
      </c>
      <c r="AN19" s="20">
        <f t="shared" si="9"/>
        <v>29.45</v>
      </c>
      <c r="AO19" s="20">
        <f t="shared" si="10"/>
        <v>13.25</v>
      </c>
      <c r="AP19" s="20">
        <f t="shared" si="11"/>
        <v>14.700000000000001</v>
      </c>
      <c r="AQ19" s="20">
        <f t="shared" si="12"/>
        <v>37.25</v>
      </c>
      <c r="AR19" s="20">
        <f t="shared" si="13"/>
        <v>54.300000000000004</v>
      </c>
      <c r="AS19" s="35">
        <f t="shared" si="30"/>
        <v>349.3</v>
      </c>
      <c r="AU19" s="57">
        <v>204884</v>
      </c>
      <c r="AV19" s="37">
        <f t="shared" si="31"/>
        <v>2113</v>
      </c>
      <c r="AW19" s="37">
        <f>AV19*100*AV44</f>
        <v>799.85713299999998</v>
      </c>
      <c r="AX19" s="35">
        <f t="shared" si="14"/>
        <v>4.226</v>
      </c>
    </row>
    <row r="20" spans="1:50" x14ac:dyDescent="0.25">
      <c r="A20" s="23">
        <v>44818</v>
      </c>
      <c r="B20" s="40">
        <v>76</v>
      </c>
      <c r="C20" s="55">
        <v>8456370</v>
      </c>
      <c r="D20" s="55">
        <v>20381300</v>
      </c>
      <c r="E20" s="55">
        <v>3583130</v>
      </c>
      <c r="F20" s="55">
        <v>4254250</v>
      </c>
      <c r="G20" s="55">
        <v>12537020</v>
      </c>
      <c r="H20" s="55">
        <v>7344930</v>
      </c>
      <c r="I20" s="55">
        <v>6377240</v>
      </c>
      <c r="J20" s="55">
        <v>7923120</v>
      </c>
      <c r="K20" s="55">
        <v>11579690</v>
      </c>
      <c r="L20" s="55">
        <v>5040040</v>
      </c>
      <c r="M20" s="55">
        <v>9334190</v>
      </c>
      <c r="N20" s="55">
        <v>15339530</v>
      </c>
      <c r="O20" s="55">
        <v>21441610</v>
      </c>
      <c r="Q20" s="37">
        <f t="shared" si="17"/>
        <v>1990</v>
      </c>
      <c r="R20" s="37">
        <f t="shared" si="18"/>
        <v>14680</v>
      </c>
      <c r="S20" s="37">
        <f t="shared" si="16"/>
        <v>4010</v>
      </c>
      <c r="T20" s="37">
        <f t="shared" si="19"/>
        <v>1680</v>
      </c>
      <c r="U20" s="37">
        <f t="shared" si="20"/>
        <v>4170</v>
      </c>
      <c r="V20" s="37">
        <f t="shared" si="21"/>
        <v>4060</v>
      </c>
      <c r="W20" s="37">
        <f t="shared" si="22"/>
        <v>3210</v>
      </c>
      <c r="X20" s="37">
        <f t="shared" si="23"/>
        <v>4210</v>
      </c>
      <c r="Y20" s="37">
        <f t="shared" si="24"/>
        <v>5410</v>
      </c>
      <c r="Z20" s="37">
        <f t="shared" si="25"/>
        <v>2370</v>
      </c>
      <c r="AA20" s="37">
        <f t="shared" si="26"/>
        <v>2720</v>
      </c>
      <c r="AB20" s="37">
        <f t="shared" si="27"/>
        <v>6640</v>
      </c>
      <c r="AC20" s="37">
        <f t="shared" si="28"/>
        <v>8940</v>
      </c>
      <c r="AD20" s="35">
        <f t="shared" si="29"/>
        <v>64090</v>
      </c>
      <c r="AF20" s="20">
        <f t="shared" si="1"/>
        <v>9.9500000000000011</v>
      </c>
      <c r="AG20" s="20">
        <f t="shared" si="2"/>
        <v>73.400000000000006</v>
      </c>
      <c r="AH20" s="20">
        <f t="shared" si="3"/>
        <v>20.05</v>
      </c>
      <c r="AI20" s="20">
        <f t="shared" si="4"/>
        <v>8.4</v>
      </c>
      <c r="AJ20" s="20">
        <f t="shared" si="5"/>
        <v>20.85</v>
      </c>
      <c r="AK20" s="20">
        <f t="shared" si="6"/>
        <v>20.3</v>
      </c>
      <c r="AL20" s="20">
        <f t="shared" si="7"/>
        <v>16.05</v>
      </c>
      <c r="AM20" s="20">
        <f t="shared" si="8"/>
        <v>21.05</v>
      </c>
      <c r="AN20" s="20">
        <f t="shared" si="9"/>
        <v>27.05</v>
      </c>
      <c r="AO20" s="20">
        <f t="shared" si="10"/>
        <v>11.85</v>
      </c>
      <c r="AP20" s="20">
        <f t="shared" si="11"/>
        <v>13.6</v>
      </c>
      <c r="AQ20" s="20">
        <f t="shared" si="12"/>
        <v>33.200000000000003</v>
      </c>
      <c r="AR20" s="20">
        <f t="shared" si="13"/>
        <v>44.7</v>
      </c>
      <c r="AS20" s="35">
        <f t="shared" si="30"/>
        <v>320.45000000000005</v>
      </c>
      <c r="AU20" s="58">
        <v>207461</v>
      </c>
      <c r="AV20" s="37">
        <f t="shared" si="31"/>
        <v>2577</v>
      </c>
      <c r="AW20" s="37">
        <f>AV20*100*AV44</f>
        <v>975.50015699999994</v>
      </c>
      <c r="AX20" s="35">
        <f t="shared" si="14"/>
        <v>5.1539999999999999</v>
      </c>
    </row>
    <row r="21" spans="1:50" x14ac:dyDescent="0.25">
      <c r="A21" s="23">
        <v>44819</v>
      </c>
      <c r="B21" s="40">
        <v>101</v>
      </c>
      <c r="C21" s="72">
        <v>8457440</v>
      </c>
      <c r="D21" s="72">
        <v>20396250</v>
      </c>
      <c r="E21" s="72">
        <v>3587080</v>
      </c>
      <c r="F21" s="72">
        <v>4256080</v>
      </c>
      <c r="G21" s="72">
        <v>12541740</v>
      </c>
      <c r="H21" s="72">
        <v>7349340</v>
      </c>
      <c r="I21" s="72">
        <v>6380970</v>
      </c>
      <c r="J21" s="72">
        <v>7927830</v>
      </c>
      <c r="K21" s="72">
        <v>11585880</v>
      </c>
      <c r="L21" s="72">
        <v>5042770</v>
      </c>
      <c r="M21" s="72">
        <v>9337220</v>
      </c>
      <c r="N21" s="72">
        <v>15346980</v>
      </c>
      <c r="O21" s="72">
        <v>21452900</v>
      </c>
      <c r="Q21" s="37">
        <f t="shared" si="17"/>
        <v>1070</v>
      </c>
      <c r="R21" s="37">
        <f t="shared" si="18"/>
        <v>14950</v>
      </c>
      <c r="S21" s="37">
        <f t="shared" si="16"/>
        <v>3950</v>
      </c>
      <c r="T21" s="37">
        <f t="shared" si="19"/>
        <v>1830</v>
      </c>
      <c r="U21" s="37">
        <f t="shared" si="20"/>
        <v>4720</v>
      </c>
      <c r="V21" s="37">
        <f t="shared" si="21"/>
        <v>4410</v>
      </c>
      <c r="W21" s="37">
        <f t="shared" si="22"/>
        <v>3730</v>
      </c>
      <c r="X21" s="37">
        <f t="shared" si="23"/>
        <v>4710</v>
      </c>
      <c r="Y21" s="37">
        <f t="shared" si="24"/>
        <v>6190</v>
      </c>
      <c r="Z21" s="37">
        <f t="shared" si="25"/>
        <v>2730</v>
      </c>
      <c r="AA21" s="37">
        <f t="shared" si="26"/>
        <v>3030</v>
      </c>
      <c r="AB21" s="37">
        <f t="shared" si="27"/>
        <v>7450</v>
      </c>
      <c r="AC21" s="37">
        <f t="shared" si="28"/>
        <v>11290</v>
      </c>
      <c r="AD21" s="35">
        <f t="shared" si="29"/>
        <v>70060</v>
      </c>
      <c r="AF21" s="20">
        <f t="shared" si="1"/>
        <v>5.3500000000000005</v>
      </c>
      <c r="AG21" s="20">
        <f t="shared" si="2"/>
        <v>74.75</v>
      </c>
      <c r="AH21" s="20">
        <f t="shared" si="3"/>
        <v>19.75</v>
      </c>
      <c r="AI21" s="20">
        <f t="shared" si="4"/>
        <v>9.15</v>
      </c>
      <c r="AJ21" s="20">
        <f t="shared" si="5"/>
        <v>23.6</v>
      </c>
      <c r="AK21" s="20">
        <f t="shared" si="6"/>
        <v>22.05</v>
      </c>
      <c r="AL21" s="20">
        <f t="shared" si="7"/>
        <v>18.650000000000002</v>
      </c>
      <c r="AM21" s="20">
        <f t="shared" si="8"/>
        <v>23.55</v>
      </c>
      <c r="AN21" s="20">
        <f t="shared" si="9"/>
        <v>30.95</v>
      </c>
      <c r="AO21" s="20">
        <f t="shared" si="10"/>
        <v>13.65</v>
      </c>
      <c r="AP21" s="20">
        <f t="shared" si="11"/>
        <v>15.15</v>
      </c>
      <c r="AQ21" s="20">
        <f t="shared" si="12"/>
        <v>37.25</v>
      </c>
      <c r="AR21" s="20">
        <f t="shared" si="13"/>
        <v>56.45</v>
      </c>
      <c r="AS21" s="35">
        <f t="shared" si="30"/>
        <v>350.3</v>
      </c>
      <c r="AU21" s="73" t="s">
        <v>64</v>
      </c>
      <c r="AV21" s="37">
        <f>IF((AU21-AU20&lt;0),"0",AU21-AU20)</f>
        <v>2433</v>
      </c>
      <c r="AW21" s="37">
        <f>AV21*100*AV44</f>
        <v>920.99025299999994</v>
      </c>
      <c r="AX21" s="35">
        <f t="shared" si="14"/>
        <v>4.8659999999999997</v>
      </c>
    </row>
    <row r="22" spans="1:50" x14ac:dyDescent="0.25">
      <c r="A22" s="23">
        <v>44820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 t="str">
        <f t="shared" si="17"/>
        <v>0</v>
      </c>
      <c r="R22" s="37" t="str">
        <f t="shared" si="18"/>
        <v>0</v>
      </c>
      <c r="S22" s="37" t="str">
        <f t="shared" si="16"/>
        <v>0</v>
      </c>
      <c r="T22" s="37" t="str">
        <f t="shared" si="19"/>
        <v>0</v>
      </c>
      <c r="U22" s="37" t="str">
        <f t="shared" si="20"/>
        <v>0</v>
      </c>
      <c r="V22" s="37" t="str">
        <f t="shared" si="21"/>
        <v>0</v>
      </c>
      <c r="W22" s="37" t="str">
        <f t="shared" si="22"/>
        <v>0</v>
      </c>
      <c r="X22" s="37" t="str">
        <f t="shared" si="23"/>
        <v>0</v>
      </c>
      <c r="Y22" s="37" t="str">
        <f t="shared" si="24"/>
        <v>0</v>
      </c>
      <c r="Z22" s="37" t="str">
        <f t="shared" si="25"/>
        <v>0</v>
      </c>
      <c r="AA22" s="37" t="str">
        <f t="shared" si="26"/>
        <v>0</v>
      </c>
      <c r="AB22" s="37" t="str">
        <f t="shared" si="27"/>
        <v>0</v>
      </c>
      <c r="AC22" s="37" t="str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56"/>
      <c r="AV22" s="37" t="str">
        <f>IF((AU22-AU21&lt;0),"0",AU22-AU21)</f>
        <v>0</v>
      </c>
      <c r="AW22" s="37">
        <f>AV22*100*AV44</f>
        <v>0</v>
      </c>
      <c r="AX22" s="35">
        <f t="shared" si="14"/>
        <v>0</v>
      </c>
    </row>
    <row r="23" spans="1:50" x14ac:dyDescent="0.25">
      <c r="A23" s="23">
        <v>44821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56"/>
      <c r="AV23" s="37">
        <f t="shared" si="31"/>
        <v>0</v>
      </c>
      <c r="AW23" s="37">
        <f>AV23*100*AV44</f>
        <v>0</v>
      </c>
      <c r="AX23" s="35">
        <f t="shared" si="14"/>
        <v>0</v>
      </c>
    </row>
    <row r="24" spans="1:50" x14ac:dyDescent="0.25">
      <c r="A24" s="23">
        <v>44822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56"/>
      <c r="AV24" s="37">
        <f t="shared" si="31"/>
        <v>0</v>
      </c>
      <c r="AW24" s="37">
        <f>AV24*100*AV44</f>
        <v>0</v>
      </c>
      <c r="AX24" s="35">
        <f t="shared" si="14"/>
        <v>0</v>
      </c>
    </row>
    <row r="25" spans="1:50" x14ac:dyDescent="0.25">
      <c r="A25" s="23">
        <v>44823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18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56"/>
      <c r="AV25" s="37">
        <f t="shared" si="31"/>
        <v>0</v>
      </c>
      <c r="AW25" s="37">
        <f>AV25*100*AV44</f>
        <v>0</v>
      </c>
      <c r="AX25" s="35">
        <f t="shared" si="14"/>
        <v>0</v>
      </c>
    </row>
    <row r="26" spans="1:50" x14ac:dyDescent="0.25">
      <c r="A26" s="23">
        <v>44824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18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56"/>
      <c r="AV26" s="37">
        <f t="shared" si="31"/>
        <v>0</v>
      </c>
      <c r="AW26" s="37">
        <f>AV26*100*AV44</f>
        <v>0</v>
      </c>
      <c r="AX26" s="35">
        <f t="shared" si="14"/>
        <v>0</v>
      </c>
    </row>
    <row r="27" spans="1:50" x14ac:dyDescent="0.25">
      <c r="A27" s="23">
        <v>44825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18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56"/>
      <c r="AV27" s="37">
        <f>IF((AU27-AU26&lt;0),"0",AU27-AU26)</f>
        <v>0</v>
      </c>
      <c r="AW27" s="37">
        <f>AV27*100*AV44</f>
        <v>0</v>
      </c>
      <c r="AX27" s="35">
        <f t="shared" si="14"/>
        <v>0</v>
      </c>
    </row>
    <row r="28" spans="1:50" x14ac:dyDescent="0.25">
      <c r="A28" s="23">
        <v>44826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6"/>
      <c r="AV28" s="37">
        <f>IF((AU28-AU27&lt;0),"0",AU28-AU27)</f>
        <v>0</v>
      </c>
      <c r="AW28" s="37">
        <f>AV28*100*AV44</f>
        <v>0</v>
      </c>
      <c r="AX28" s="35">
        <f t="shared" si="14"/>
        <v>0</v>
      </c>
    </row>
    <row r="29" spans="1:50" x14ac:dyDescent="0.25">
      <c r="A29" s="23">
        <v>44827</v>
      </c>
      <c r="B29" s="40"/>
      <c r="C29" s="2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57"/>
      <c r="AV29" s="37">
        <f>IF((AU29-AU28&lt;0),"0",AU29-AU28)</f>
        <v>0</v>
      </c>
      <c r="AW29" s="37">
        <f>AV29*100*AV44</f>
        <v>0</v>
      </c>
      <c r="AX29" s="35">
        <f t="shared" si="14"/>
        <v>0</v>
      </c>
    </row>
    <row r="30" spans="1:50" x14ac:dyDescent="0.25">
      <c r="A30" s="23">
        <v>44828</v>
      </c>
      <c r="B30" s="40"/>
      <c r="C30" s="24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8"/>
      <c r="AV30" s="37">
        <f t="shared" ref="AV30:AV36" si="34">IF((AU30-AU29&lt;0),"0",AU30-AU29)</f>
        <v>0</v>
      </c>
      <c r="AW30" s="37">
        <f>AV30*100*AV44</f>
        <v>0</v>
      </c>
      <c r="AX30" s="35">
        <f t="shared" si="14"/>
        <v>0</v>
      </c>
    </row>
    <row r="31" spans="1:50" x14ac:dyDescent="0.25">
      <c r="A31" s="23">
        <v>44829</v>
      </c>
      <c r="B31" s="40"/>
      <c r="C31" s="2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7"/>
      <c r="AV31" s="37">
        <f t="shared" si="34"/>
        <v>0</v>
      </c>
      <c r="AW31" s="37">
        <f>AV31*100*AV44</f>
        <v>0</v>
      </c>
      <c r="AX31" s="35">
        <f t="shared" si="14"/>
        <v>0</v>
      </c>
    </row>
    <row r="32" spans="1:50" x14ac:dyDescent="0.25">
      <c r="A32" s="23">
        <v>44830</v>
      </c>
      <c r="B32" s="40"/>
      <c r="C32" s="24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8"/>
      <c r="AV32" s="37">
        <f t="shared" si="34"/>
        <v>0</v>
      </c>
      <c r="AW32" s="37">
        <f>AV32*100*AV44</f>
        <v>0</v>
      </c>
      <c r="AX32" s="35">
        <f t="shared" si="14"/>
        <v>0</v>
      </c>
    </row>
    <row r="33" spans="1:50" x14ac:dyDescent="0.25">
      <c r="A33" s="23">
        <v>44831</v>
      </c>
      <c r="B33" s="40"/>
      <c r="C33" s="2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7"/>
      <c r="AV33" s="37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44832</v>
      </c>
      <c r="B34" s="50"/>
      <c r="C34" s="49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8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44833</v>
      </c>
      <c r="B35" s="40"/>
      <c r="C35" s="2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57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44834</v>
      </c>
      <c r="B36" s="40"/>
      <c r="C36" s="24"/>
      <c r="D36" s="24"/>
      <c r="E36" s="24"/>
      <c r="F36" s="24"/>
      <c r="G36" s="24"/>
      <c r="H36" s="24"/>
      <c r="I36" s="24"/>
      <c r="J36" s="51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47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48470</v>
      </c>
      <c r="R38" s="38">
        <f t="shared" ref="R38:AD38" si="60">SUM(R7:R37)</f>
        <v>217700</v>
      </c>
      <c r="S38" s="38">
        <f t="shared" si="60"/>
        <v>57910</v>
      </c>
      <c r="T38" s="38">
        <f t="shared" si="60"/>
        <v>25530</v>
      </c>
      <c r="U38" s="38">
        <f t="shared" si="60"/>
        <v>66210</v>
      </c>
      <c r="V38" s="38">
        <f t="shared" si="60"/>
        <v>62710</v>
      </c>
      <c r="W38" s="38">
        <f t="shared" si="60"/>
        <v>49030</v>
      </c>
      <c r="X38" s="38">
        <f t="shared" si="60"/>
        <v>65150</v>
      </c>
      <c r="Y38" s="38">
        <f t="shared" si="60"/>
        <v>84000</v>
      </c>
      <c r="Z38" s="38">
        <f t="shared" si="60"/>
        <v>37110</v>
      </c>
      <c r="AA38" s="38">
        <f t="shared" si="60"/>
        <v>42770</v>
      </c>
      <c r="AB38" s="38">
        <f t="shared" si="60"/>
        <v>105530</v>
      </c>
      <c r="AC38" s="38">
        <f t="shared" si="60"/>
        <v>142150</v>
      </c>
      <c r="AD38" s="38">
        <f t="shared" si="60"/>
        <v>1004270</v>
      </c>
      <c r="AF38" s="35">
        <f>SUM(AF7:AF37)</f>
        <v>242.35</v>
      </c>
      <c r="AG38" s="35">
        <f t="shared" ref="AG38:AS38" si="61">SUM(AG7:AG37)</f>
        <v>1088.5</v>
      </c>
      <c r="AH38" s="35">
        <f t="shared" si="61"/>
        <v>289.54999999999995</v>
      </c>
      <c r="AI38" s="35">
        <f t="shared" si="61"/>
        <v>127.65</v>
      </c>
      <c r="AJ38" s="35">
        <f t="shared" si="61"/>
        <v>331.05000000000007</v>
      </c>
      <c r="AK38" s="35">
        <f t="shared" si="61"/>
        <v>313.55</v>
      </c>
      <c r="AL38" s="35">
        <f t="shared" si="61"/>
        <v>245.14999999999998</v>
      </c>
      <c r="AM38" s="35">
        <f t="shared" si="61"/>
        <v>325.75000000000006</v>
      </c>
      <c r="AN38" s="35">
        <f t="shared" si="61"/>
        <v>420.00000000000006</v>
      </c>
      <c r="AO38" s="35">
        <f t="shared" si="61"/>
        <v>185.54999999999998</v>
      </c>
      <c r="AP38" s="35">
        <f t="shared" si="61"/>
        <v>213.85000000000002</v>
      </c>
      <c r="AQ38" s="35">
        <f t="shared" si="61"/>
        <v>527.65</v>
      </c>
      <c r="AR38" s="35">
        <f t="shared" si="61"/>
        <v>710.75</v>
      </c>
      <c r="AS38" s="35">
        <f t="shared" si="61"/>
        <v>5021.3500000000004</v>
      </c>
      <c r="AU38" s="48"/>
      <c r="AV38" s="34">
        <f>SUM(AV7:AV37)</f>
        <v>34499</v>
      </c>
      <c r="AW38" s="34">
        <f>SUM(AW7:AW37)</f>
        <v>13059.285958999999</v>
      </c>
      <c r="AX38" s="35">
        <f>SUM(AX7:AX37)</f>
        <v>68.99799999999999</v>
      </c>
    </row>
    <row r="39" spans="1:50" x14ac:dyDescent="0.25">
      <c r="B39" s="39">
        <f>SUM(B7:B36)</f>
        <v>1414</v>
      </c>
      <c r="D39">
        <v>5.0000000000000001E-3</v>
      </c>
      <c r="AV39" s="36"/>
      <c r="AW39" s="53">
        <f>AW38/31</f>
        <v>421.26728899999995</v>
      </c>
    </row>
    <row r="40" spans="1:50" x14ac:dyDescent="0.25">
      <c r="D40">
        <v>2E-3</v>
      </c>
    </row>
    <row r="44" spans="1:50" x14ac:dyDescent="0.25">
      <c r="AU44" s="46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  <ignoredErrors>
    <ignoredError sqref="C8:O8 AU8 AU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Garlando Malapad</cp:lastModifiedBy>
  <cp:lastPrinted>2019-07-02T08:10:14Z</cp:lastPrinted>
  <dcterms:created xsi:type="dcterms:W3CDTF">2017-05-22T13:08:25Z</dcterms:created>
  <dcterms:modified xsi:type="dcterms:W3CDTF">2022-09-16T05:55:41Z</dcterms:modified>
</cp:coreProperties>
</file>