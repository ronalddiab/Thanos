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8740" windowHeight="12330" activeTab="3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K38" i="5" s="1"/>
  <c r="L38" i="5" s="1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K27" i="5" s="1"/>
  <c r="L27" i="5" s="1"/>
  <c r="H27" i="5"/>
  <c r="F27" i="5"/>
  <c r="J26" i="5"/>
  <c r="H26" i="5"/>
  <c r="F26" i="5"/>
  <c r="J25" i="5"/>
  <c r="H25" i="5"/>
  <c r="K25" i="5" s="1"/>
  <c r="L25" i="5" s="1"/>
  <c r="F25" i="5"/>
  <c r="J24" i="5"/>
  <c r="H24" i="5"/>
  <c r="F24" i="5"/>
  <c r="K24" i="5" s="1"/>
  <c r="L24" i="5" s="1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K18" i="5" s="1"/>
  <c r="L18" i="5" s="1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K11" i="5" s="1"/>
  <c r="H11" i="5"/>
  <c r="F11" i="5"/>
  <c r="J10" i="5"/>
  <c r="K10" i="5" s="1"/>
  <c r="L10" i="5" s="1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O41" i="3" s="1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Q28" i="3" s="1"/>
  <c r="R28" i="3" s="1"/>
  <c r="G28" i="3"/>
  <c r="J27" i="3"/>
  <c r="G27" i="3"/>
  <c r="G26" i="3"/>
  <c r="G25" i="3"/>
  <c r="J24" i="3"/>
  <c r="Q24" i="3" s="1"/>
  <c r="R24" i="3" s="1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I37" i="2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G22" i="2"/>
  <c r="I21" i="2"/>
  <c r="J21" i="2"/>
  <c r="F21" i="2"/>
  <c r="E15" i="1" s="1"/>
  <c r="I20" i="2"/>
  <c r="J20" i="2" s="1"/>
  <c r="F20" i="2"/>
  <c r="G20" i="2" s="1"/>
  <c r="I19" i="2"/>
  <c r="J19" i="2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26" i="5"/>
  <c r="L26" i="5" s="1"/>
  <c r="K15" i="5"/>
  <c r="L8" i="1" s="1"/>
  <c r="K9" i="5"/>
  <c r="L9" i="5" s="1"/>
  <c r="J7" i="1"/>
  <c r="G29" i="4"/>
  <c r="J22" i="1" s="1"/>
  <c r="E11" i="1"/>
  <c r="E25" i="1"/>
  <c r="E8" i="1"/>
  <c r="E29" i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Q29" i="3"/>
  <c r="R29" i="3" s="1"/>
  <c r="M21" i="3"/>
  <c r="M18" i="3"/>
  <c r="M11" i="3"/>
  <c r="P11" i="3"/>
  <c r="M36" i="3"/>
  <c r="M28" i="3"/>
  <c r="P28" i="3"/>
  <c r="M20" i="3"/>
  <c r="P20" i="3"/>
  <c r="M34" i="3"/>
  <c r="Q34" i="3" s="1"/>
  <c r="R34" i="3" s="1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Q26" i="3"/>
  <c r="P18" i="3"/>
  <c r="P9" i="3"/>
  <c r="Q9" i="3"/>
  <c r="R9" i="3" s="1"/>
  <c r="P32" i="3"/>
  <c r="Q36" i="3"/>
  <c r="R36" i="3" s="1"/>
  <c r="Q23" i="3" l="1"/>
  <c r="Q15" i="3"/>
  <c r="R15" i="3" s="1"/>
  <c r="Q13" i="3"/>
  <c r="R13" i="3" s="1"/>
  <c r="Q38" i="3"/>
  <c r="R38" i="3" s="1"/>
  <c r="Q11" i="3"/>
  <c r="R11" i="3" s="1"/>
  <c r="K34" i="5"/>
  <c r="K14" i="5"/>
  <c r="L14" i="5" s="1"/>
  <c r="K22" i="5"/>
  <c r="K30" i="5"/>
  <c r="L30" i="5" s="1"/>
  <c r="K33" i="5"/>
  <c r="L33" i="5" s="1"/>
  <c r="K28" i="5"/>
  <c r="L28" i="5" s="1"/>
  <c r="K36" i="5"/>
  <c r="L29" i="1" s="1"/>
  <c r="K31" i="5"/>
  <c r="L31" i="5" s="1"/>
  <c r="K35" i="5"/>
  <c r="L35" i="5" s="1"/>
  <c r="H9" i="4"/>
  <c r="Q20" i="3"/>
  <c r="R20" i="3" s="1"/>
  <c r="Q35" i="3"/>
  <c r="H28" i="1" s="1"/>
  <c r="Q12" i="3"/>
  <c r="R12" i="3" s="1"/>
  <c r="Q33" i="3"/>
  <c r="R33" i="3" s="1"/>
  <c r="Q18" i="3"/>
  <c r="R18" i="3" s="1"/>
  <c r="Q21" i="3"/>
  <c r="R21" i="3" s="1"/>
  <c r="Q10" i="3"/>
  <c r="R10" i="3" s="1"/>
  <c r="Q17" i="3"/>
  <c r="H10" i="1" s="1"/>
  <c r="Q19" i="3"/>
  <c r="H12" i="1" s="1"/>
  <c r="D40" i="3"/>
  <c r="G16" i="2"/>
  <c r="E31" i="1"/>
  <c r="G21" i="2"/>
  <c r="L11" i="5"/>
  <c r="L4" i="1"/>
  <c r="L2" i="1"/>
  <c r="K17" i="5"/>
  <c r="L10" i="1" s="1"/>
  <c r="K13" i="5"/>
  <c r="L13" i="5" s="1"/>
  <c r="K32" i="5"/>
  <c r="L25" i="1" s="1"/>
  <c r="K19" i="5"/>
  <c r="L19" i="5" s="1"/>
  <c r="L22" i="5"/>
  <c r="L15" i="1"/>
  <c r="L31" i="1"/>
  <c r="L23" i="1"/>
  <c r="K20" i="5"/>
  <c r="L20" i="5" s="1"/>
  <c r="L11" i="1"/>
  <c r="K21" i="5"/>
  <c r="L14" i="1" s="1"/>
  <c r="K29" i="5"/>
  <c r="L22" i="1" s="1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R14" i="3" s="1"/>
  <c r="Q25" i="3"/>
  <c r="R25" i="3" s="1"/>
  <c r="Q30" i="3"/>
  <c r="R30" i="3" s="1"/>
  <c r="Q31" i="3"/>
  <c r="H24" i="1" s="1"/>
  <c r="H19" i="1"/>
  <c r="J37" i="3"/>
  <c r="Q37" i="3" s="1"/>
  <c r="R35" i="3"/>
  <c r="H16" i="1"/>
  <c r="H29" i="1"/>
  <c r="H25" i="1"/>
  <c r="H21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7" i="1"/>
  <c r="L19" i="1"/>
  <c r="K12" i="5"/>
  <c r="L12" i="5" s="1"/>
  <c r="K23" i="5"/>
  <c r="L23" i="5" s="1"/>
  <c r="K39" i="5"/>
  <c r="L32" i="1" s="1"/>
  <c r="L26" i="1"/>
  <c r="L18" i="1"/>
  <c r="L20" i="1"/>
  <c r="I41" i="5"/>
  <c r="L36" i="5"/>
  <c r="L34" i="5"/>
  <c r="L27" i="1"/>
  <c r="L17" i="1"/>
  <c r="J40" i="5"/>
  <c r="L15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R26" i="3"/>
  <c r="H17" i="1"/>
  <c r="H31" i="1"/>
  <c r="H27" i="1"/>
  <c r="H15" i="1"/>
  <c r="H4" i="1"/>
  <c r="R23" i="3"/>
  <c r="R27" i="3"/>
  <c r="H22" i="1"/>
  <c r="G33" i="1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F30" i="1" s="1"/>
  <c r="E30" i="1"/>
  <c r="E20" i="1"/>
  <c r="K31" i="2"/>
  <c r="L31" i="2" s="1"/>
  <c r="M31" i="2" s="1"/>
  <c r="M29" i="2"/>
  <c r="M38" i="2"/>
  <c r="F32" i="1"/>
  <c r="E9" i="1"/>
  <c r="E26" i="1"/>
  <c r="F29" i="1"/>
  <c r="E28" i="1"/>
  <c r="E24" i="1"/>
  <c r="N33" i="1"/>
  <c r="D14" i="4"/>
  <c r="D14" i="5" s="1"/>
  <c r="C40" i="3"/>
  <c r="M33" i="1"/>
  <c r="D40" i="4"/>
  <c r="C10" i="4"/>
  <c r="C10" i="5" s="1"/>
  <c r="C40" i="5" s="1"/>
  <c r="D9" i="5"/>
  <c r="D40" i="5" s="1"/>
  <c r="R17" i="3" l="1"/>
  <c r="H23" i="1"/>
  <c r="R31" i="3"/>
  <c r="H6" i="1"/>
  <c r="H5" i="1"/>
  <c r="H11" i="1"/>
  <c r="H32" i="1"/>
  <c r="L29" i="5"/>
  <c r="L21" i="5"/>
  <c r="L28" i="1"/>
  <c r="L24" i="1"/>
  <c r="L6" i="1"/>
  <c r="L17" i="5"/>
  <c r="L40" i="5" s="1"/>
  <c r="L32" i="5"/>
  <c r="L21" i="1"/>
  <c r="L12" i="1"/>
  <c r="L30" i="1"/>
  <c r="L5" i="1"/>
  <c r="H13" i="1"/>
  <c r="H26" i="1"/>
  <c r="H14" i="1"/>
  <c r="R19" i="3"/>
  <c r="H7" i="1"/>
  <c r="M16" i="2"/>
  <c r="L16" i="5"/>
  <c r="L16" i="1"/>
  <c r="L1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L33" i="1" l="1"/>
  <c r="H33" i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<sst xmlns="http://schemas.openxmlformats.org/spreadsheetml/2006/main" count="116" uniqueCount="59">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</sst>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43" fontId="11" fillId="0" borderId="7" xfId="1" applyFont="1" applyFill="1" applyBorder="1" applyAlignment="1">
      <alignment horizontal="center" shrinkToFit="1"/>
    </xf>
    <xf numFmtId="167" fontId="11" fillId="0" borderId="7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2020</v>
      </c>
      <c r="E2" s="9">
        <f>Electricity!F8+Electricity!I8</f>
        <v>10119.999999998981</v>
      </c>
      <c r="F2" s="10">
        <f>Electricity!L8/TOTAL!E2</f>
        <v>1236.9722826086934</v>
      </c>
      <c r="G2" s="9">
        <f>Gas!F9+Gas!I9+Gas!L9+Gas!O9</f>
        <v>194.49692961738307</v>
      </c>
      <c r="H2" s="10">
        <f>Gas!Q9/TOTAL!G2</f>
        <v>15840.000000000004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276</v>
      </c>
      <c r="L2" s="10">
        <f>Water!K9/TOTAL!K2</f>
        <v>6221.913043478261</v>
      </c>
      <c r="M2" s="9">
        <f>Electricity!C8</f>
        <v>48</v>
      </c>
      <c r="N2" s="9">
        <f>Electricity!D8</f>
        <v>366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2020</v>
      </c>
      <c r="E3" s="9">
        <f>Electricity!F9+Electricity!I9</f>
        <v>10499.999999999545</v>
      </c>
      <c r="F3" s="10">
        <f>Electricity!L9/TOTAL!E3</f>
        <v>1244.2765238095315</v>
      </c>
      <c r="G3" s="9">
        <f>Gas!F10+Gas!I10+Gas!L10+Gas!O10</f>
        <v>211.50212564950399</v>
      </c>
      <c r="H3" s="10">
        <f>Gas!Q10/TOTAL!G3</f>
        <v>15840.000000000002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294</v>
      </c>
      <c r="L3" s="10">
        <f>Water!K10/TOTAL!K3</f>
        <v>6053.2857142857147</v>
      </c>
      <c r="M3" s="9">
        <f>Electricity!C9</f>
        <v>55</v>
      </c>
      <c r="N3" s="9">
        <f>Electricity!D9</f>
        <v>398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2020</v>
      </c>
      <c r="E4" s="9">
        <f>Electricity!F10+Electricity!I10</f>
        <v>10780.000000000655</v>
      </c>
      <c r="F4" s="10">
        <f>Electricity!L10/TOTAL!E4</f>
        <v>1240.4867346938754</v>
      </c>
      <c r="G4" s="9">
        <f>Gas!F11+Gas!I11+Gas!L11+Gas!O11</f>
        <v>182.80585734529996</v>
      </c>
      <c r="H4" s="10">
        <f>Gas!Q11/TOTAL!G4</f>
        <v>15840.000000000002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324</v>
      </c>
      <c r="L4" s="10">
        <f>Water!K11/TOTAL!K4</f>
        <v>5804.0185185185182</v>
      </c>
      <c r="M4" s="9">
        <f>Electricity!C10</f>
        <v>56</v>
      </c>
      <c r="N4" s="9">
        <f>Electricity!D10</f>
        <v>344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2020</v>
      </c>
      <c r="E5" s="9">
        <f>Electricity!F11+Electricity!I11</f>
        <v>10300.000000000637</v>
      </c>
      <c r="F5" s="10">
        <f>Electricity!L11/TOTAL!E5</f>
        <v>1241.8962621359231</v>
      </c>
      <c r="G5" s="9">
        <f>Gas!F12+Gas!I12+Gas!L12+Gas!O12</f>
        <v>159.95512517713746</v>
      </c>
      <c r="H5" s="10">
        <f>Gas!Q12/TOTAL!G5</f>
        <v>15840.000000000004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315</v>
      </c>
      <c r="L5" s="10">
        <f>Water!K12/TOTAL!K5</f>
        <v>5733.8857142857141</v>
      </c>
      <c r="M5" s="9">
        <f>Electricity!C11</f>
        <v>57</v>
      </c>
      <c r="N5" s="9">
        <f>Electricity!D11</f>
        <v>301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2020</v>
      </c>
      <c r="E6" s="9">
        <f>Electricity!F12+Electricity!I12</f>
        <v>10639.999999998963</v>
      </c>
      <c r="F6" s="10">
        <f>Electricity!L12/TOTAL!E6</f>
        <v>1241.8214285714182</v>
      </c>
      <c r="G6" s="9">
        <f>Gas!F13+Gas!I13+Gas!L13+Gas!O13</f>
        <v>201.40529050543222</v>
      </c>
      <c r="H6" s="10">
        <f>Gas!Q13/TOTAL!G6</f>
        <v>15840.000000000004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307</v>
      </c>
      <c r="L6" s="10">
        <f>Water!K13/TOTAL!K6</f>
        <v>5935.1270358306192</v>
      </c>
      <c r="M6" s="9">
        <f>Electricity!C12</f>
        <v>57</v>
      </c>
      <c r="N6" s="9">
        <f>Electricity!D12</f>
        <v>379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2020</v>
      </c>
      <c r="E7" s="9">
        <f>Electricity!F13+Electricity!I13</f>
        <v>10920.000000000528</v>
      </c>
      <c r="F7" s="10">
        <f>Electricity!L13/TOTAL!E7</f>
        <v>1242.3155219780178</v>
      </c>
      <c r="G7" s="9">
        <f>Gas!F14+Gas!I14+Gas!L14+Gas!O14</f>
        <v>162.08077468115258</v>
      </c>
      <c r="H7" s="10">
        <f>Gas!Q14/TOTAL!G7</f>
        <v>15840.000000000002</v>
      </c>
      <c r="I7" s="9">
        <f>'Fuel Diesel'!F14</f>
        <v>227</v>
      </c>
      <c r="J7" s="11">
        <f>'Fuel Diesel'!G14/'Fuel Diesel'!F14</f>
        <v>10700</v>
      </c>
      <c r="K7" s="9">
        <f>Water!E14+Water!G14+Water!I14</f>
        <v>324</v>
      </c>
      <c r="L7" s="10">
        <f>Water!K14/TOTAL!K7</f>
        <v>5951.8888888888887</v>
      </c>
      <c r="M7" s="9">
        <f>Electricity!C13</f>
        <v>54</v>
      </c>
      <c r="N7" s="9">
        <f>Electricity!D13</f>
        <v>305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2020</v>
      </c>
      <c r="E8" s="9">
        <f>Electricity!F14+Electricity!I14</f>
        <v>10680.000000000291</v>
      </c>
      <c r="F8" s="10">
        <f>Electricity!L14/TOTAL!E8</f>
        <v>1245.7026217228438</v>
      </c>
      <c r="G8" s="9">
        <f>Gas!F15+Gas!I15+Gas!L15+Gas!O15</f>
        <v>170.05196032120926</v>
      </c>
      <c r="H8" s="10">
        <f>Gas!Q15/TOTAL!G8</f>
        <v>15840.000000000004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365</v>
      </c>
      <c r="L8" s="10">
        <f>Water!K15/TOTAL!K8</f>
        <v>5575.1232876712329</v>
      </c>
      <c r="M8" s="9">
        <f>Electricity!C14</f>
        <v>58</v>
      </c>
      <c r="N8" s="9">
        <f>Electricity!D14</f>
        <v>320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2020</v>
      </c>
      <c r="E9" s="9">
        <f>Electricity!F15+Electricity!I15</f>
        <v>10959.999999998672</v>
      </c>
      <c r="F9" s="10">
        <f>Electricity!L15/TOTAL!E9</f>
        <v>1239.8600821168034</v>
      </c>
      <c r="G9" s="9">
        <f>Gas!F16+Gas!I16+Gas!L16+Gas!O16</f>
        <v>161.5493623051488</v>
      </c>
      <c r="H9" s="10">
        <f>Gas!Q16/TOTAL!G9</f>
        <v>15840.000000000004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322</v>
      </c>
      <c r="L9" s="10">
        <f>Water!K16/TOTAL!K9</f>
        <v>5755.7080745341618</v>
      </c>
      <c r="M9" s="9">
        <f>Electricity!C15</f>
        <v>54</v>
      </c>
      <c r="N9" s="9">
        <f>Electricity!D15</f>
        <v>304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2020</v>
      </c>
      <c r="E10" s="9">
        <f>Electricity!F16+Electricity!I16</f>
        <v>10460.000000000036</v>
      </c>
      <c r="F10" s="10">
        <f>Electricity!L16/TOTAL!E10</f>
        <v>1245.7678776290647</v>
      </c>
      <c r="G10" s="9">
        <f>Gas!F17+Gas!I17+Gas!L17+Gas!O17</f>
        <v>164.73783656117146</v>
      </c>
      <c r="H10" s="10">
        <f>Gas!Q17/TOTAL!G10</f>
        <v>15840.000000000002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292</v>
      </c>
      <c r="L10" s="10">
        <f>Water!K17/TOTAL!K10</f>
        <v>5870.4589041095887</v>
      </c>
      <c r="M10" s="9">
        <f>Electricity!C16</f>
        <v>49</v>
      </c>
      <c r="N10" s="9">
        <f>Electricity!D16</f>
        <v>310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2020</v>
      </c>
      <c r="E11" s="9">
        <f>Electricity!F17+Electricity!I17</f>
        <v>11400.000000001455</v>
      </c>
      <c r="F11" s="10">
        <f>Electricity!L17/TOTAL!E11</f>
        <v>1238.9666666666542</v>
      </c>
      <c r="G11" s="9">
        <f>Gas!F18+Gas!I18+Gas!L18+Gas!O18</f>
        <v>170.05196032120926</v>
      </c>
      <c r="H11" s="10">
        <f>Gas!Q18/TOTAL!G11</f>
        <v>15840.000000000004</v>
      </c>
      <c r="I11" s="9">
        <f>'Fuel Diesel'!F18</f>
        <v>52</v>
      </c>
      <c r="J11" s="11">
        <f>'Fuel Diesel'!G18/'Fuel Diesel'!F18</f>
        <v>10700</v>
      </c>
      <c r="K11" s="9">
        <f>Water!E18+Water!G18+Water!I18</f>
        <v>319</v>
      </c>
      <c r="L11" s="10">
        <f>Water!K18/TOTAL!K11</f>
        <v>5622.0313479623828</v>
      </c>
      <c r="M11" s="9">
        <f>Electricity!C17</f>
        <v>52</v>
      </c>
      <c r="N11" s="9">
        <f>Electricity!D17</f>
        <v>320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2020</v>
      </c>
      <c r="E12" s="9">
        <f>Electricity!F18+Electricity!I18</f>
        <v>10879.99999999829</v>
      </c>
      <c r="F12" s="10">
        <f>Electricity!L18/TOTAL!E12</f>
        <v>1241.6482536764886</v>
      </c>
      <c r="G12" s="9">
        <f>Gas!F19+Gas!I19+Gas!L19+Gas!O19</f>
        <v>155.17241379310346</v>
      </c>
      <c r="H12" s="10">
        <f>Gas!Q19/TOTAL!G12</f>
        <v>15840.000000000002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353</v>
      </c>
      <c r="L12" s="10">
        <f>Water!K19/TOTAL!K12</f>
        <v>5710.1019830028326</v>
      </c>
      <c r="M12" s="9">
        <f>Electricity!C18</f>
        <v>51</v>
      </c>
      <c r="N12" s="9">
        <f>Electricity!D18</f>
        <v>292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2020</v>
      </c>
      <c r="E13" s="9">
        <f>Electricity!F19+Electricity!I19</f>
        <v>10500.000000001364</v>
      </c>
      <c r="F13" s="10">
        <f>Electricity!L19/TOTAL!E13</f>
        <v>1239.9372857142796</v>
      </c>
      <c r="G13" s="9">
        <f>Gas!F20+Gas!I20+Gas!L20+Gas!O20</f>
        <v>123.2876712328767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363</v>
      </c>
      <c r="L13" s="10">
        <f>Water!K20/TOTAL!K13</f>
        <v>5346.2314049586776</v>
      </c>
      <c r="M13" s="9">
        <f>Electricity!C19</f>
        <v>45</v>
      </c>
      <c r="N13" s="9">
        <f>Electricity!D19</f>
        <v>232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2020</v>
      </c>
      <c r="E14" s="9">
        <f>Electricity!F20+Electricity!I20</f>
        <v>10939.999999999145</v>
      </c>
      <c r="F14" s="10">
        <f>Electricity!L20/TOTAL!E14</f>
        <v>1242.1267367458959</v>
      </c>
      <c r="G14" s="9">
        <f>Gas!F21+Gas!I21+Gas!L21+Gas!O21</f>
        <v>119.03637222484647</v>
      </c>
      <c r="H14" s="10">
        <f>Gas!Q21/TOTAL!G14</f>
        <v>15840.000000000002</v>
      </c>
      <c r="I14" s="9">
        <f>'Fuel Diesel'!F21</f>
        <v>51</v>
      </c>
      <c r="J14" s="11">
        <f>'Fuel Diesel'!G21/'Fuel Diesel'!F21</f>
        <v>10700</v>
      </c>
      <c r="K14" s="9">
        <f>Water!E21+Water!G21+Water!I21</f>
        <v>376</v>
      </c>
      <c r="L14" s="10">
        <f>Water!K21/TOTAL!K14</f>
        <v>5605.494680851064</v>
      </c>
      <c r="M14" s="9">
        <f>Electricity!C20</f>
        <v>47</v>
      </c>
      <c r="N14" s="9">
        <f>Electricity!D20</f>
        <v>224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2020</v>
      </c>
      <c r="E15" s="9">
        <f>Electricity!F21+Electricity!I21</f>
        <v>10960.000000000036</v>
      </c>
      <c r="F15" s="10">
        <f>Electricity!L21/TOTAL!E15</f>
        <v>1240.8993613138703</v>
      </c>
      <c r="G15" s="9">
        <f>Gas!F22+Gas!I22+Gas!L22+Gas!O22</f>
        <v>150.38970240906943</v>
      </c>
      <c r="H15" s="10">
        <f>Gas!Q22/TOTAL!G15</f>
        <v>15840.000000000004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361</v>
      </c>
      <c r="L15" s="10">
        <f>Water!K22/TOTAL!K15</f>
        <v>5512.9473684210525</v>
      </c>
      <c r="M15" s="9">
        <f>Electricity!C21</f>
        <v>39</v>
      </c>
      <c r="N15" s="9">
        <f>Electricity!D21</f>
        <v>283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2020</v>
      </c>
      <c r="E16" s="9">
        <f>Electricity!F22+Electricity!I22</f>
        <v>11480.000000000473</v>
      </c>
      <c r="F16" s="10">
        <f>Electricity!L22/TOTAL!E16</f>
        <v>1232.3171602787472</v>
      </c>
      <c r="G16" s="9">
        <f>Gas!F23+Gas!I23+Gas!L23+Gas!O23</f>
        <v>109.47094945677847</v>
      </c>
      <c r="H16" s="10">
        <f>Gas!Q23/TOTAL!G16</f>
        <v>15840.000000000002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418</v>
      </c>
      <c r="L16" s="10">
        <f>Water!K23/TOTAL!K16</f>
        <v>5444.1770334928233</v>
      </c>
      <c r="M16" s="9">
        <f>Electricity!C22</f>
        <v>48</v>
      </c>
      <c r="N16" s="9">
        <f>Electricity!D22</f>
        <v>206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2020</v>
      </c>
      <c r="E17" s="9">
        <f>Electricity!F23+Electricity!I23</f>
        <v>11099.999999999454</v>
      </c>
      <c r="F17" s="10">
        <f>Electricity!L23/TOTAL!E17</f>
        <v>1243.7194594594628</v>
      </c>
      <c r="G17" s="9">
        <f>Gas!F24+Gas!I24+Gas!L24+Gas!O24</f>
        <v>168.45772319319795</v>
      </c>
      <c r="H17" s="10">
        <f>Gas!Q24/TOTAL!G17</f>
        <v>15840.000000000004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405</v>
      </c>
      <c r="L17" s="10">
        <f>Water!K24/TOTAL!K17</f>
        <v>5537.8518518518522</v>
      </c>
      <c r="M17" s="9">
        <f>Electricity!C23</f>
        <v>42</v>
      </c>
      <c r="N17" s="9">
        <f>Electricity!D23</f>
        <v>317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2020</v>
      </c>
      <c r="E18" s="9">
        <f>Electricity!F24+Electricity!I24</f>
        <v>11000.000000000455</v>
      </c>
      <c r="F18" s="10">
        <f>Electricity!L24/TOTAL!E18</f>
        <v>1241.5644999999968</v>
      </c>
      <c r="G18" s="9">
        <f>Gas!F25+Gas!I25+Gas!L25+Gas!O25</f>
        <v>121.69343410486537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440</v>
      </c>
      <c r="L18" s="10">
        <f>Water!K25/TOTAL!K18</f>
        <v>5393.7454545454548</v>
      </c>
      <c r="M18" s="9">
        <f>Electricity!C24</f>
        <v>53</v>
      </c>
      <c r="N18" s="9">
        <f>Electricity!D24</f>
        <v>229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2020</v>
      </c>
      <c r="E19" s="9">
        <f>Electricity!F25+Electricity!I25</f>
        <v>10699.999999999363</v>
      </c>
      <c r="F19" s="10">
        <f>Electricity!L25/TOTAL!E19</f>
        <v>1244.4387383177643</v>
      </c>
      <c r="G19" s="9">
        <f>Gas!F26+Gas!I26+Gas!L26+Gas!O26</f>
        <v>145.60699102503543</v>
      </c>
      <c r="H19" s="10">
        <f>Gas!Q26/TOTAL!G19</f>
        <v>15840.000000000004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391</v>
      </c>
      <c r="L19" s="10">
        <f>Water!K26/TOTAL!K19</f>
        <v>5372.3580562659845</v>
      </c>
      <c r="M19" s="9">
        <f>Electricity!C25</f>
        <v>51</v>
      </c>
      <c r="N19" s="9">
        <f>Electricity!D25</f>
        <v>274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2020</v>
      </c>
      <c r="E20" s="9">
        <f>Electricity!F26+Electricity!I26</f>
        <v>10760.000000000218</v>
      </c>
      <c r="F20" s="10">
        <f>Electricity!L26/TOTAL!E20</f>
        <v>1239.6166821561128</v>
      </c>
      <c r="G20" s="9">
        <f>Gas!F27+Gas!I27+Gas!L27+Gas!O27</f>
        <v>120.09919697685405</v>
      </c>
      <c r="H20" s="10">
        <f>Gas!Q27/TOTAL!G20</f>
        <v>15840.000000000002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418</v>
      </c>
      <c r="L20" s="10">
        <f>Water!K27/TOTAL!K20</f>
        <v>5421.2535885167463</v>
      </c>
      <c r="M20" s="9">
        <f>Electricity!C26</f>
        <v>45</v>
      </c>
      <c r="N20" s="9">
        <f>Electricity!D26</f>
        <v>226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2020</v>
      </c>
      <c r="E21" s="9">
        <f>Electricity!F27+Electricity!I27</f>
        <v>10780.000000000655</v>
      </c>
      <c r="F21" s="10">
        <f>Electricity!L27/TOTAL!E21</f>
        <v>1244.7132653061162</v>
      </c>
      <c r="G21" s="9">
        <f>Gas!F28+Gas!I28+Gas!L28+Gas!O28</f>
        <v>117.97354747283892</v>
      </c>
      <c r="H21" s="10">
        <f>Gas!Q28/TOTAL!G21</f>
        <v>15840</v>
      </c>
      <c r="I21" s="9">
        <f>'Fuel Diesel'!F28</f>
        <v>51</v>
      </c>
      <c r="J21" s="11">
        <f>'Fuel Diesel'!G28/'Fuel Diesel'!F28</f>
        <v>10700</v>
      </c>
      <c r="K21" s="9">
        <f>Water!E28+Water!G28+Water!I28</f>
        <v>415</v>
      </c>
      <c r="L21" s="10">
        <f>Water!K28/TOTAL!K21</f>
        <v>5431.5277108433738</v>
      </c>
      <c r="M21" s="9">
        <f>Electricity!C27</f>
        <v>45</v>
      </c>
      <c r="N21" s="9">
        <f>Electricity!D27</f>
        <v>222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2020</v>
      </c>
      <c r="E22" s="9">
        <f>Electricity!F28+Electricity!I28</f>
        <v>10160.000000000309</v>
      </c>
      <c r="F22" s="10">
        <f>Electricity!L28/TOTAL!E22</f>
        <v>1232.1023129921405</v>
      </c>
      <c r="G22" s="9">
        <f>Gas!F29+Gas!I29+Gas!L29+Gas!O29</f>
        <v>89.808691544638634</v>
      </c>
      <c r="H22" s="10">
        <f>Gas!Q29/TOTAL!G22</f>
        <v>15840.000000000002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408</v>
      </c>
      <c r="L22" s="10">
        <f>Water!K29/TOTAL!K22</f>
        <v>5268.2058823529414</v>
      </c>
      <c r="M22" s="9">
        <f>Electricity!C28</f>
        <v>48</v>
      </c>
      <c r="N22" s="9">
        <f>Electricity!D28</f>
        <v>169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2020</v>
      </c>
      <c r="E23" s="9">
        <f>Electricity!F29+Electricity!I29</f>
        <v>10579.999999998563</v>
      </c>
      <c r="F23" s="10">
        <f>Electricity!L29/TOTAL!E23</f>
        <v>1240.2510396975379</v>
      </c>
      <c r="G23" s="9">
        <f>Gas!F30+Gas!I30+Gas!L30+Gas!O30</f>
        <v>129.66461974492205</v>
      </c>
      <c r="H23" s="10">
        <f>Gas!Q30/TOTAL!G23</f>
        <v>15840.000000000004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382</v>
      </c>
      <c r="L23" s="10">
        <f>Water!K30/TOTAL!K23</f>
        <v>5580.2774869109944</v>
      </c>
      <c r="M23" s="9">
        <f>Electricity!C29</f>
        <v>52</v>
      </c>
      <c r="N23" s="9">
        <f>Electricity!D29</f>
        <v>244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2020</v>
      </c>
      <c r="E24" s="9">
        <f>Electricity!F30+Electricity!I30</f>
        <v>10840.000000001055</v>
      </c>
      <c r="F24" s="10">
        <f>Electricity!L30/TOTAL!E24</f>
        <v>1242.0268450184419</v>
      </c>
      <c r="G24" s="9">
        <f>Gas!F31+Gas!I31+Gas!L31+Gas!O31</f>
        <v>120.09919697685405</v>
      </c>
      <c r="H24" s="10">
        <f>Gas!Q31/TOTAL!G24</f>
        <v>15840.000000000002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379</v>
      </c>
      <c r="L24" s="10">
        <f>Water!K31/TOTAL!K24</f>
        <v>5516.9393139841686</v>
      </c>
      <c r="M24" s="9">
        <f>Electricity!C30</f>
        <v>41</v>
      </c>
      <c r="N24" s="9">
        <f>Electricity!D30</f>
        <v>226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2020</v>
      </c>
      <c r="E25" s="9">
        <f>Electricity!F31+Electricity!I31</f>
        <v>11000</v>
      </c>
      <c r="F25" s="10">
        <f>Electricity!L31/TOTAL!E25</f>
        <v>1242.6000000000001</v>
      </c>
      <c r="G25" s="9">
        <f>Gas!F32+Gas!I32+Gas!L32+Gas!O32</f>
        <v>116.91072272083139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437</v>
      </c>
      <c r="L25" s="10">
        <f>Water!K32/TOTAL!K25</f>
        <v>5184.0457665903887</v>
      </c>
      <c r="M25" s="9">
        <f>Electricity!C31</f>
        <v>48</v>
      </c>
      <c r="N25" s="9">
        <f>Electricity!D31</f>
        <v>220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2020</v>
      </c>
      <c r="E26" s="9">
        <f>Electricity!F32+Electricity!I32</f>
        <v>11019.999999999072</v>
      </c>
      <c r="F26" s="10">
        <f>Electricity!L32/TOTAL!E26</f>
        <v>1241.3784482758715</v>
      </c>
      <c r="G26" s="9">
        <f>Gas!F33+Gas!I33+Gas!L33+Gas!O33</f>
        <v>126.47614548889939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343</v>
      </c>
      <c r="L26" s="10">
        <f>Water!K33/TOTAL!K26</f>
        <v>5257.1137026239066</v>
      </c>
      <c r="M26" s="9">
        <f>Electricity!C32</f>
        <v>40</v>
      </c>
      <c r="N26" s="9">
        <f>Electricity!D32</f>
        <v>238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2020</v>
      </c>
      <c r="E27" s="9">
        <f>Electricity!F33+Electricity!I33</f>
        <v>11000.000000000455</v>
      </c>
      <c r="F27" s="10">
        <f>Electricity!L33/TOTAL!E27</f>
        <v>1241.5644999999968</v>
      </c>
      <c r="G27" s="9">
        <f>Gas!F34+Gas!I34+Gas!L34+Gas!O34</f>
        <v>144.54416627302786</v>
      </c>
      <c r="H27" s="10">
        <f>Gas!Q34/TOTAL!G27</f>
        <v>15840.000000000005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337</v>
      </c>
      <c r="L27" s="10">
        <f>Water!K34/TOTAL!K27</f>
        <v>5677.5608308605342</v>
      </c>
      <c r="M27" s="9">
        <f>Electricity!C33</f>
        <v>48</v>
      </c>
      <c r="N27" s="9">
        <f>Electricity!D33</f>
        <v>272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2020</v>
      </c>
      <c r="E28" s="9">
        <f>Electricity!F34+Electricity!I34</f>
        <v>10960.000000000491</v>
      </c>
      <c r="F28" s="10">
        <f>Electricity!L34/TOTAL!E28</f>
        <v>1239.8600821167865</v>
      </c>
      <c r="G28" s="9">
        <f>Gas!F35+Gas!I35+Gas!L35+Gas!O35</f>
        <v>156.7666509211148</v>
      </c>
      <c r="H28" s="10">
        <f>Gas!Q35/TOTAL!G28</f>
        <v>15840.000000000004</v>
      </c>
      <c r="I28" s="9">
        <f>'Fuel Diesel'!F35</f>
        <v>48</v>
      </c>
      <c r="J28" s="11">
        <f>'Fuel Diesel'!G35/'Fuel Diesel'!F35</f>
        <v>10700</v>
      </c>
      <c r="K28" s="9">
        <f>Water!E35+Water!G35+Water!I35</f>
        <v>370</v>
      </c>
      <c r="L28" s="10">
        <f>Water!K35/TOTAL!K28</f>
        <v>5605.6324324324323</v>
      </c>
      <c r="M28" s="9">
        <f>Electricity!C34</f>
        <v>49</v>
      </c>
      <c r="N28" s="9">
        <f>Electricity!D34</f>
        <v>295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2020</v>
      </c>
      <c r="E29" s="9">
        <f>Electricity!F35+Electricity!I35</f>
        <v>10799.999999999272</v>
      </c>
      <c r="F29" s="10">
        <f>Electricity!L35/TOTAL!E29</f>
        <v>1240.2988888888997</v>
      </c>
      <c r="G29" s="9">
        <f>Gas!F36+Gas!I36+Gas!L36+Gas!O36</f>
        <v>128.07038261691073</v>
      </c>
      <c r="H29" s="10">
        <f>Gas!Q36/TOTAL!G29</f>
        <v>15840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361</v>
      </c>
      <c r="L29" s="10">
        <f>Water!K36/TOTAL!K29</f>
        <v>5141.3462603878115</v>
      </c>
      <c r="M29" s="9">
        <f>Electricity!C35</f>
        <v>44</v>
      </c>
      <c r="N29" s="9">
        <f>Electricity!D35</f>
        <v>241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2020</v>
      </c>
      <c r="E30" s="9">
        <f>Electricity!F36+Electricity!I36</f>
        <v>11440.000000000509</v>
      </c>
      <c r="F30" s="10">
        <f>Electricity!L36/TOTAL!E30</f>
        <v>1242.599999999992</v>
      </c>
      <c r="G30" s="9">
        <f>Gas!F37+Gas!I37+Gas!L37+Gas!O37</f>
        <v>139.23004251299008</v>
      </c>
      <c r="H30" s="10">
        <f>Gas!Q37/TOTAL!G30</f>
        <v>15840.000000000004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355</v>
      </c>
      <c r="L30" s="10">
        <f>Water!K37/TOTAL!K30</f>
        <v>5457.5436619718312</v>
      </c>
      <c r="M30" s="9">
        <f>Electricity!C36</f>
        <v>42</v>
      </c>
      <c r="N30" s="9">
        <f>Electricity!D36</f>
        <v>262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2020</v>
      </c>
      <c r="E31" s="9">
        <f>Electricity!F37+Electricity!I37</f>
        <v>10679.999999999836</v>
      </c>
      <c r="F31" s="10">
        <f>Electricity!L37/TOTAL!E31</f>
        <v>1233.9708333333456</v>
      </c>
      <c r="G31" s="9">
        <f>Gas!F38+Gas!I38+Gas!L38+Gas!O38</f>
        <v>117.97354747283892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344</v>
      </c>
      <c r="L31" s="10">
        <f>Water!K38/TOTAL!K31</f>
        <v>5448.4418604651164</v>
      </c>
      <c r="M31" s="9">
        <f>Electricity!C37</f>
        <v>46</v>
      </c>
      <c r="N31" s="9">
        <f>Electricity!D37</f>
        <v>222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2020</v>
      </c>
      <c r="E32" s="9">
        <f>Electricity!F38+Electricity!I38</f>
        <v>10979.999999999563</v>
      </c>
      <c r="F32" s="10">
        <f>Electricity!L38/TOTAL!E32</f>
        <v>1242.7886156648492</v>
      </c>
      <c r="G32" s="9">
        <f>Gas!F39+Gas!I39+Gas!L39+Gas!O39</f>
        <v>120.63060935285782</v>
      </c>
      <c r="H32" s="10">
        <f>Gas!Q39/TOTAL!G32</f>
        <v>15839.999999999998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305</v>
      </c>
      <c r="L32" s="10">
        <f>Water!K39/TOTAL!K32</f>
        <v>5884.9836065573772</v>
      </c>
      <c r="M32" s="9">
        <f>Electricity!C38</f>
        <v>45</v>
      </c>
      <c r="N32" s="9">
        <f>Electricity!D38</f>
        <v>227</v>
      </c>
    </row>
    <row r="33" spans="5:14" x14ac:dyDescent="0.25">
      <c r="E33" s="85">
        <f>SUM(E2:E32)</f>
        <v>335319.99999999825</v>
      </c>
      <c r="F33" s="85">
        <f>SUM(F2:F32)/31</f>
        <v>1240.9190003512715</v>
      </c>
      <c r="G33" s="85">
        <f>SUM(G2:G32)</f>
        <v>4500</v>
      </c>
      <c r="H33" s="95">
        <f>SUM(H2:H32)/31</f>
        <v>15840</v>
      </c>
      <c r="I33" s="85">
        <f>SUM(I2:I32)</f>
        <v>429</v>
      </c>
      <c r="J33" s="95" t="e">
        <f>J26</f>
        <v>#DIV/0!</v>
      </c>
      <c r="K33" s="85">
        <f>SUM(K2:K32)</f>
        <v>11099</v>
      </c>
      <c r="L33" s="95">
        <f>SUM(L2:L32)/31</f>
        <v>5591.007111853306</v>
      </c>
      <c r="M33" s="85">
        <f t="shared" ref="M33:N33" si="1">SUM(M2:M32)</f>
        <v>1509</v>
      </c>
      <c r="N33" s="85">
        <f t="shared" si="1"/>
        <v>8468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5" workbookViewId="0">
      <selection activeCell="D40" sqref="D40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43831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48</v>
      </c>
      <c r="D8" s="25">
        <v>366</v>
      </c>
      <c r="E8" s="26">
        <v>4.1899999999995998</v>
      </c>
      <c r="F8" s="27">
        <f t="shared" ref="F8:F38" si="0">E8*2000</f>
        <v>8379.9999999991996</v>
      </c>
      <c r="G8" s="28">
        <f t="shared" ref="G8:G38" si="1">F8*1035.5</f>
        <v>8677489.9999991711</v>
      </c>
      <c r="H8" s="26">
        <v>0.86999999999989086</v>
      </c>
      <c r="I8" s="27">
        <f t="shared" ref="I8:I38" si="2">H8*2000</f>
        <v>1739.9999999997817</v>
      </c>
      <c r="J8" s="28">
        <f t="shared" ref="J8:J38" si="3">I8*1553.25</f>
        <v>2702654.999999661</v>
      </c>
      <c r="K8" s="26">
        <f t="shared" ref="K8:K38" si="4">G8+J8</f>
        <v>11380144.999998832</v>
      </c>
      <c r="L8" s="29">
        <f t="shared" ref="L8:L38" si="5">K8*1.1</f>
        <v>12518159.499998717</v>
      </c>
      <c r="M8" s="30">
        <f>L8/14381</f>
        <v>870.46516236692275</v>
      </c>
      <c r="N8" s="31"/>
    </row>
    <row r="9" spans="1:14" x14ac:dyDescent="0.25">
      <c r="A9" s="22"/>
      <c r="B9" s="24">
        <v>2</v>
      </c>
      <c r="C9" s="25">
        <v>55</v>
      </c>
      <c r="D9" s="25">
        <v>398</v>
      </c>
      <c r="E9" s="26">
        <v>4.2799999999997453</v>
      </c>
      <c r="F9" s="27">
        <f t="shared" si="0"/>
        <v>8559.9999999994907</v>
      </c>
      <c r="G9" s="28">
        <f t="shared" si="1"/>
        <v>8863879.9999994729</v>
      </c>
      <c r="H9" s="26">
        <v>0.97000000000002728</v>
      </c>
      <c r="I9" s="27">
        <f t="shared" si="2"/>
        <v>1940.0000000000546</v>
      </c>
      <c r="J9" s="28">
        <f t="shared" si="3"/>
        <v>3013305.0000000848</v>
      </c>
      <c r="K9" s="26">
        <f t="shared" si="4"/>
        <v>11877184.999999557</v>
      </c>
      <c r="L9" s="29">
        <f t="shared" si="5"/>
        <v>13064903.499999514</v>
      </c>
      <c r="M9" s="30">
        <f t="shared" ref="M9:M38" si="6">L9/14381</f>
        <v>908.48365899447288</v>
      </c>
      <c r="N9" s="31"/>
    </row>
    <row r="10" spans="1:14" x14ac:dyDescent="0.25">
      <c r="A10" s="22"/>
      <c r="B10" s="24">
        <v>3</v>
      </c>
      <c r="C10" s="25">
        <v>56</v>
      </c>
      <c r="D10" s="25">
        <v>344</v>
      </c>
      <c r="E10" s="26">
        <v>4.430000000000291</v>
      </c>
      <c r="F10" s="27">
        <f t="shared" si="0"/>
        <v>8860.0000000005821</v>
      </c>
      <c r="G10" s="28">
        <f t="shared" si="1"/>
        <v>9174530.0000006035</v>
      </c>
      <c r="H10" s="26">
        <v>0.96000000000003638</v>
      </c>
      <c r="I10" s="27">
        <f t="shared" si="2"/>
        <v>1920.0000000000728</v>
      </c>
      <c r="J10" s="28">
        <f t="shared" si="3"/>
        <v>2982240.0000001132</v>
      </c>
      <c r="K10" s="26">
        <f t="shared" si="4"/>
        <v>12156770.000000717</v>
      </c>
      <c r="L10" s="29">
        <f t="shared" si="5"/>
        <v>13372447.00000079</v>
      </c>
      <c r="M10" s="30">
        <f t="shared" si="6"/>
        <v>929.86906334752723</v>
      </c>
      <c r="N10" s="31"/>
    </row>
    <row r="11" spans="1:14" x14ac:dyDescent="0.25">
      <c r="A11" s="22"/>
      <c r="B11" s="24">
        <v>4</v>
      </c>
      <c r="C11" s="25">
        <v>57</v>
      </c>
      <c r="D11" s="25">
        <v>301</v>
      </c>
      <c r="E11" s="26">
        <v>4.2200000000002547</v>
      </c>
      <c r="F11" s="27">
        <f t="shared" si="0"/>
        <v>8440.0000000005093</v>
      </c>
      <c r="G11" s="28">
        <f t="shared" si="1"/>
        <v>8739620.0000005271</v>
      </c>
      <c r="H11" s="26">
        <v>0.93000000000006366</v>
      </c>
      <c r="I11" s="27">
        <f t="shared" si="2"/>
        <v>1860.0000000001273</v>
      </c>
      <c r="J11" s="28">
        <f t="shared" si="3"/>
        <v>2889045.0000001979</v>
      </c>
      <c r="K11" s="26">
        <f t="shared" si="4"/>
        <v>11628665.000000725</v>
      </c>
      <c r="L11" s="29">
        <f t="shared" si="5"/>
        <v>12791531.500000797</v>
      </c>
      <c r="M11" s="30">
        <f t="shared" si="6"/>
        <v>889.4744106808148</v>
      </c>
      <c r="N11" s="31"/>
    </row>
    <row r="12" spans="1:14" x14ac:dyDescent="0.25">
      <c r="A12" s="22"/>
      <c r="B12" s="24">
        <v>5</v>
      </c>
      <c r="C12" s="25">
        <v>57</v>
      </c>
      <c r="D12" s="25">
        <v>379</v>
      </c>
      <c r="E12" s="26">
        <v>4.3599999999996726</v>
      </c>
      <c r="F12" s="27">
        <f t="shared" si="0"/>
        <v>8719.9999999993452</v>
      </c>
      <c r="G12" s="28">
        <f t="shared" si="1"/>
        <v>9029559.999999322</v>
      </c>
      <c r="H12" s="26">
        <v>0.95999999999980901</v>
      </c>
      <c r="I12" s="27">
        <f t="shared" si="2"/>
        <v>1919.999999999618</v>
      </c>
      <c r="J12" s="28">
        <f t="shared" si="3"/>
        <v>2982239.9999994067</v>
      </c>
      <c r="K12" s="26">
        <f t="shared" si="4"/>
        <v>12011799.99999873</v>
      </c>
      <c r="L12" s="29">
        <f t="shared" si="5"/>
        <v>13212979.999998603</v>
      </c>
      <c r="M12" s="30">
        <f t="shared" si="6"/>
        <v>918.78033516435596</v>
      </c>
      <c r="N12" s="31"/>
    </row>
    <row r="13" spans="1:14" x14ac:dyDescent="0.25">
      <c r="A13" s="22"/>
      <c r="B13" s="24">
        <v>6</v>
      </c>
      <c r="C13" s="25">
        <v>54</v>
      </c>
      <c r="D13" s="25">
        <v>305</v>
      </c>
      <c r="E13" s="26">
        <v>4.4700000000002547</v>
      </c>
      <c r="F13" s="27">
        <f t="shared" si="0"/>
        <v>8940.0000000005093</v>
      </c>
      <c r="G13" s="28">
        <f t="shared" si="1"/>
        <v>9257370.0000005271</v>
      </c>
      <c r="H13" s="26">
        <v>0.99000000000000909</v>
      </c>
      <c r="I13" s="27">
        <f t="shared" si="2"/>
        <v>1980.0000000000182</v>
      </c>
      <c r="J13" s="28">
        <f t="shared" si="3"/>
        <v>3075435.0000000284</v>
      </c>
      <c r="K13" s="26">
        <f t="shared" si="4"/>
        <v>12332805.000000555</v>
      </c>
      <c r="L13" s="29">
        <f t="shared" si="5"/>
        <v>13566085.500000611</v>
      </c>
      <c r="M13" s="30">
        <f t="shared" si="6"/>
        <v>943.33394756975247</v>
      </c>
      <c r="N13" s="31"/>
    </row>
    <row r="14" spans="1:14" x14ac:dyDescent="0.25">
      <c r="A14" s="22"/>
      <c r="B14" s="24">
        <v>7</v>
      </c>
      <c r="C14" s="25">
        <v>58</v>
      </c>
      <c r="D14" s="25">
        <v>320</v>
      </c>
      <c r="E14" s="26">
        <v>4.3400000000001455</v>
      </c>
      <c r="F14" s="27">
        <f t="shared" si="0"/>
        <v>8680.000000000291</v>
      </c>
      <c r="G14" s="28">
        <f t="shared" si="1"/>
        <v>8988140.0000003017</v>
      </c>
      <c r="H14" s="26">
        <v>1</v>
      </c>
      <c r="I14" s="27">
        <f t="shared" si="2"/>
        <v>2000</v>
      </c>
      <c r="J14" s="28">
        <f t="shared" si="3"/>
        <v>3106500</v>
      </c>
      <c r="K14" s="26">
        <f t="shared" si="4"/>
        <v>12094640.000000302</v>
      </c>
      <c r="L14" s="29">
        <f t="shared" si="5"/>
        <v>13304104.000000333</v>
      </c>
      <c r="M14" s="30">
        <f t="shared" si="6"/>
        <v>925.11675126905868</v>
      </c>
      <c r="N14" s="31"/>
    </row>
    <row r="15" spans="1:14" x14ac:dyDescent="0.25">
      <c r="A15" s="22"/>
      <c r="B15" s="24">
        <v>8</v>
      </c>
      <c r="C15" s="25">
        <v>54</v>
      </c>
      <c r="D15" s="25">
        <v>304</v>
      </c>
      <c r="E15" s="26">
        <v>4.5099999999993088</v>
      </c>
      <c r="F15" s="27">
        <f t="shared" si="0"/>
        <v>9019.9999999986176</v>
      </c>
      <c r="G15" s="28">
        <f t="shared" si="1"/>
        <v>9340209.9999985676</v>
      </c>
      <c r="H15" s="26">
        <v>0.97000000000002728</v>
      </c>
      <c r="I15" s="27">
        <f t="shared" si="2"/>
        <v>1940.0000000000546</v>
      </c>
      <c r="J15" s="28">
        <f t="shared" si="3"/>
        <v>3013305.0000000848</v>
      </c>
      <c r="K15" s="26">
        <f t="shared" si="4"/>
        <v>12353514.999998651</v>
      </c>
      <c r="L15" s="29">
        <f t="shared" si="5"/>
        <v>13588866.499998517</v>
      </c>
      <c r="M15" s="30">
        <f t="shared" si="6"/>
        <v>944.91805159575256</v>
      </c>
      <c r="N15" s="31"/>
    </row>
    <row r="16" spans="1:14" x14ac:dyDescent="0.25">
      <c r="A16" s="22"/>
      <c r="B16" s="24">
        <v>9</v>
      </c>
      <c r="C16" s="25">
        <v>49</v>
      </c>
      <c r="D16" s="25">
        <v>310</v>
      </c>
      <c r="E16" s="26">
        <v>4.25</v>
      </c>
      <c r="F16" s="27">
        <f t="shared" si="0"/>
        <v>8500</v>
      </c>
      <c r="G16" s="28">
        <f t="shared" si="1"/>
        <v>8801750</v>
      </c>
      <c r="H16" s="26">
        <v>0.98000000000001819</v>
      </c>
      <c r="I16" s="27">
        <f t="shared" si="2"/>
        <v>1960.0000000000364</v>
      </c>
      <c r="J16" s="28">
        <f t="shared" si="3"/>
        <v>3044370.0000000563</v>
      </c>
      <c r="K16" s="26">
        <f t="shared" si="4"/>
        <v>11846120.000000056</v>
      </c>
      <c r="L16" s="29">
        <f t="shared" si="5"/>
        <v>13030732.000000063</v>
      </c>
      <c r="M16" s="30">
        <f t="shared" si="6"/>
        <v>906.1075029552926</v>
      </c>
      <c r="N16" s="31"/>
    </row>
    <row r="17" spans="1:14" x14ac:dyDescent="0.25">
      <c r="A17" s="22"/>
      <c r="B17" s="24">
        <v>10</v>
      </c>
      <c r="C17" s="25">
        <v>52</v>
      </c>
      <c r="D17" s="25">
        <v>320</v>
      </c>
      <c r="E17" s="26">
        <v>4.7000000000007276</v>
      </c>
      <c r="F17" s="27">
        <f t="shared" si="0"/>
        <v>9400.0000000014552</v>
      </c>
      <c r="G17" s="28">
        <f t="shared" si="1"/>
        <v>9733700.0000015069</v>
      </c>
      <c r="H17" s="26">
        <v>1</v>
      </c>
      <c r="I17" s="27">
        <f t="shared" si="2"/>
        <v>2000</v>
      </c>
      <c r="J17" s="28">
        <f t="shared" si="3"/>
        <v>3106500</v>
      </c>
      <c r="K17" s="26">
        <f t="shared" si="4"/>
        <v>12840200.000001507</v>
      </c>
      <c r="L17" s="29">
        <f t="shared" si="5"/>
        <v>14124220.00000166</v>
      </c>
      <c r="M17" s="30">
        <f t="shared" si="6"/>
        <v>982.14449621039284</v>
      </c>
      <c r="N17" s="31"/>
    </row>
    <row r="18" spans="1:14" x14ac:dyDescent="0.25">
      <c r="A18" s="22"/>
      <c r="B18" s="24">
        <v>11</v>
      </c>
      <c r="C18" s="25">
        <v>51</v>
      </c>
      <c r="D18" s="25">
        <v>292</v>
      </c>
      <c r="E18" s="26">
        <v>4.4599999999991269</v>
      </c>
      <c r="F18" s="27">
        <f t="shared" si="0"/>
        <v>8919.9999999982538</v>
      </c>
      <c r="G18" s="28">
        <f t="shared" si="1"/>
        <v>9236659.9999981914</v>
      </c>
      <c r="H18" s="26">
        <v>0.98000000000001819</v>
      </c>
      <c r="I18" s="27">
        <f t="shared" si="2"/>
        <v>1960.0000000000364</v>
      </c>
      <c r="J18" s="28">
        <f t="shared" si="3"/>
        <v>3044370.0000000563</v>
      </c>
      <c r="K18" s="26">
        <f t="shared" si="4"/>
        <v>12281029.999998247</v>
      </c>
      <c r="L18" s="29">
        <f t="shared" si="5"/>
        <v>13509132.999998072</v>
      </c>
      <c r="M18" s="30">
        <f t="shared" si="6"/>
        <v>939.37368750421194</v>
      </c>
      <c r="N18" s="31"/>
    </row>
    <row r="19" spans="1:14" x14ac:dyDescent="0.25">
      <c r="A19" s="22"/>
      <c r="B19" s="24">
        <v>12</v>
      </c>
      <c r="C19" s="25">
        <v>45</v>
      </c>
      <c r="D19" s="25">
        <v>232</v>
      </c>
      <c r="E19" s="26">
        <v>4.3200000000006185</v>
      </c>
      <c r="F19" s="27">
        <f t="shared" si="0"/>
        <v>8640.0000000012369</v>
      </c>
      <c r="G19" s="28">
        <f t="shared" si="1"/>
        <v>8946720.0000012815</v>
      </c>
      <c r="H19" s="26">
        <v>0.93000000000006366</v>
      </c>
      <c r="I19" s="27">
        <f t="shared" si="2"/>
        <v>1860.0000000001273</v>
      </c>
      <c r="J19" s="28">
        <f t="shared" si="3"/>
        <v>2889045.0000001979</v>
      </c>
      <c r="K19" s="26">
        <f t="shared" si="4"/>
        <v>11835765.000001479</v>
      </c>
      <c r="L19" s="29">
        <f t="shared" si="5"/>
        <v>13019341.500001628</v>
      </c>
      <c r="M19" s="30">
        <f t="shared" si="6"/>
        <v>905.31545094232865</v>
      </c>
      <c r="N19" s="31"/>
    </row>
    <row r="20" spans="1:14" x14ac:dyDescent="0.25">
      <c r="A20" s="22"/>
      <c r="B20" s="24">
        <v>13</v>
      </c>
      <c r="C20" s="25">
        <v>47</v>
      </c>
      <c r="D20" s="25">
        <v>224</v>
      </c>
      <c r="E20" s="26">
        <v>4.4799999999995634</v>
      </c>
      <c r="F20" s="27">
        <f t="shared" si="0"/>
        <v>8959.9999999991269</v>
      </c>
      <c r="G20" s="28">
        <f t="shared" si="1"/>
        <v>9278079.9999990966</v>
      </c>
      <c r="H20" s="26">
        <v>0.99000000000000909</v>
      </c>
      <c r="I20" s="27">
        <f t="shared" si="2"/>
        <v>1980.0000000000182</v>
      </c>
      <c r="J20" s="28">
        <f t="shared" si="3"/>
        <v>3075435.0000000284</v>
      </c>
      <c r="K20" s="26">
        <f t="shared" si="4"/>
        <v>12353514.999999125</v>
      </c>
      <c r="L20" s="29">
        <f t="shared" si="5"/>
        <v>13588866.499999039</v>
      </c>
      <c r="M20" s="30">
        <f t="shared" si="6"/>
        <v>944.91805159578882</v>
      </c>
      <c r="N20" s="31"/>
    </row>
    <row r="21" spans="1:14" x14ac:dyDescent="0.25">
      <c r="A21" s="22"/>
      <c r="B21" s="24">
        <v>14</v>
      </c>
      <c r="C21" s="25">
        <v>39</v>
      </c>
      <c r="D21" s="25">
        <v>283</v>
      </c>
      <c r="E21" s="26">
        <v>4.5</v>
      </c>
      <c r="F21" s="27">
        <f t="shared" si="0"/>
        <v>9000</v>
      </c>
      <c r="G21" s="28">
        <f t="shared" si="1"/>
        <v>9319500</v>
      </c>
      <c r="H21" s="26">
        <v>0.98000000000001819</v>
      </c>
      <c r="I21" s="27">
        <f t="shared" si="2"/>
        <v>1960.0000000000364</v>
      </c>
      <c r="J21" s="28">
        <f t="shared" si="3"/>
        <v>3044370.0000000563</v>
      </c>
      <c r="K21" s="26">
        <f t="shared" si="4"/>
        <v>12363870.000000056</v>
      </c>
      <c r="L21" s="29">
        <f t="shared" si="5"/>
        <v>13600257.000000063</v>
      </c>
      <c r="M21" s="30">
        <f t="shared" si="6"/>
        <v>945.71010360893285</v>
      </c>
      <c r="N21" s="31"/>
    </row>
    <row r="22" spans="1:14" x14ac:dyDescent="0.25">
      <c r="A22" s="22"/>
      <c r="B22" s="24">
        <v>15</v>
      </c>
      <c r="C22" s="25">
        <v>48</v>
      </c>
      <c r="D22" s="25">
        <v>206</v>
      </c>
      <c r="E22" s="26">
        <v>4.8000000000001819</v>
      </c>
      <c r="F22" s="27">
        <f t="shared" si="0"/>
        <v>9600.0000000003638</v>
      </c>
      <c r="G22" s="28">
        <f t="shared" si="1"/>
        <v>9940800.0000003763</v>
      </c>
      <c r="H22" s="26">
        <v>0.94000000000005457</v>
      </c>
      <c r="I22" s="27">
        <f t="shared" si="2"/>
        <v>1880.0000000001091</v>
      </c>
      <c r="J22" s="28">
        <f t="shared" si="3"/>
        <v>2920110.0000001695</v>
      </c>
      <c r="K22" s="26">
        <f t="shared" si="4"/>
        <v>12860910.000000546</v>
      </c>
      <c r="L22" s="29">
        <f t="shared" si="5"/>
        <v>14147001.000000602</v>
      </c>
      <c r="M22" s="30">
        <f t="shared" si="6"/>
        <v>983.7286002364649</v>
      </c>
      <c r="N22" s="31"/>
    </row>
    <row r="23" spans="1:14" x14ac:dyDescent="0.25">
      <c r="A23" s="22"/>
      <c r="B23" s="24">
        <v>16</v>
      </c>
      <c r="C23" s="25">
        <v>42</v>
      </c>
      <c r="D23" s="25">
        <v>317</v>
      </c>
      <c r="E23" s="26">
        <v>4.5299999999997453</v>
      </c>
      <c r="F23" s="27">
        <f t="shared" si="0"/>
        <v>9059.9999999994907</v>
      </c>
      <c r="G23" s="28">
        <f t="shared" si="1"/>
        <v>9381629.9999994729</v>
      </c>
      <c r="H23" s="26">
        <v>1.0199999999999818</v>
      </c>
      <c r="I23" s="27">
        <f t="shared" si="2"/>
        <v>2039.9999999999636</v>
      </c>
      <c r="J23" s="28">
        <f t="shared" si="3"/>
        <v>3168629.9999999437</v>
      </c>
      <c r="K23" s="26">
        <f t="shared" si="4"/>
        <v>12550259.999999417</v>
      </c>
      <c r="L23" s="29">
        <f t="shared" si="5"/>
        <v>13805285.999999359</v>
      </c>
      <c r="M23" s="30">
        <f t="shared" si="6"/>
        <v>959.96703984419435</v>
      </c>
      <c r="N23" s="31"/>
    </row>
    <row r="24" spans="1:14" x14ac:dyDescent="0.25">
      <c r="A24" s="22"/>
      <c r="B24" s="24">
        <v>17</v>
      </c>
      <c r="C24" s="25">
        <v>53</v>
      </c>
      <c r="D24" s="25">
        <v>229</v>
      </c>
      <c r="E24" s="26">
        <v>4.5100000000002183</v>
      </c>
      <c r="F24" s="27">
        <f t="shared" si="0"/>
        <v>9020.0000000004366</v>
      </c>
      <c r="G24" s="28">
        <f t="shared" si="1"/>
        <v>9340210.0000004526</v>
      </c>
      <c r="H24" s="26">
        <v>0.99000000000000909</v>
      </c>
      <c r="I24" s="27">
        <f t="shared" si="2"/>
        <v>1980.0000000000182</v>
      </c>
      <c r="J24" s="28">
        <f t="shared" si="3"/>
        <v>3075435.0000000284</v>
      </c>
      <c r="K24" s="26">
        <f t="shared" si="4"/>
        <v>12415645.000000481</v>
      </c>
      <c r="L24" s="29">
        <f t="shared" si="5"/>
        <v>13657209.500000529</v>
      </c>
      <c r="M24" s="30">
        <f t="shared" si="6"/>
        <v>949.67036367432922</v>
      </c>
      <c r="N24" s="31"/>
    </row>
    <row r="25" spans="1:14" x14ac:dyDescent="0.25">
      <c r="A25" s="22"/>
      <c r="B25" s="24">
        <v>18</v>
      </c>
      <c r="C25" s="25">
        <v>51</v>
      </c>
      <c r="D25" s="25">
        <v>274</v>
      </c>
      <c r="E25" s="26">
        <v>4.3599999999996726</v>
      </c>
      <c r="F25" s="27">
        <f t="shared" si="0"/>
        <v>8719.9999999993452</v>
      </c>
      <c r="G25" s="28">
        <f t="shared" si="1"/>
        <v>9029559.999999322</v>
      </c>
      <c r="H25" s="26">
        <v>0.99000000000000909</v>
      </c>
      <c r="I25" s="27">
        <f t="shared" si="2"/>
        <v>1980.0000000000182</v>
      </c>
      <c r="J25" s="28">
        <f t="shared" si="3"/>
        <v>3075435.0000000284</v>
      </c>
      <c r="K25" s="26">
        <f t="shared" si="4"/>
        <v>12104994.99999935</v>
      </c>
      <c r="L25" s="29">
        <f t="shared" si="5"/>
        <v>13315494.499999287</v>
      </c>
      <c r="M25" s="30">
        <f t="shared" si="6"/>
        <v>925.90880328205878</v>
      </c>
      <c r="N25" s="31"/>
    </row>
    <row r="26" spans="1:14" x14ac:dyDescent="0.25">
      <c r="A26" s="22"/>
      <c r="B26" s="24">
        <v>19</v>
      </c>
      <c r="C26" s="25">
        <v>45</v>
      </c>
      <c r="D26" s="25">
        <v>226</v>
      </c>
      <c r="E26" s="26">
        <v>4.430000000000291</v>
      </c>
      <c r="F26" s="27">
        <f t="shared" si="0"/>
        <v>8860.0000000005821</v>
      </c>
      <c r="G26" s="28">
        <f t="shared" si="1"/>
        <v>9174530.0000006035</v>
      </c>
      <c r="H26" s="26">
        <v>0.9499999999998181</v>
      </c>
      <c r="I26" s="27">
        <f t="shared" si="2"/>
        <v>1899.9999999996362</v>
      </c>
      <c r="J26" s="28">
        <f t="shared" si="3"/>
        <v>2951174.9999994352</v>
      </c>
      <c r="K26" s="26">
        <f t="shared" si="4"/>
        <v>12125705.000000039</v>
      </c>
      <c r="L26" s="29">
        <f t="shared" si="5"/>
        <v>13338275.500000045</v>
      </c>
      <c r="M26" s="30">
        <f t="shared" si="6"/>
        <v>927.49290730825703</v>
      </c>
      <c r="N26" s="31"/>
    </row>
    <row r="27" spans="1:14" x14ac:dyDescent="0.25">
      <c r="A27" s="22"/>
      <c r="B27" s="24">
        <v>20</v>
      </c>
      <c r="C27" s="25">
        <v>45</v>
      </c>
      <c r="D27" s="25">
        <v>222</v>
      </c>
      <c r="E27" s="26">
        <v>4.3900000000003274</v>
      </c>
      <c r="F27" s="27">
        <f t="shared" si="0"/>
        <v>8780.0000000006548</v>
      </c>
      <c r="G27" s="28">
        <f t="shared" si="1"/>
        <v>9091690.000000678</v>
      </c>
      <c r="H27" s="26">
        <v>1</v>
      </c>
      <c r="I27" s="27">
        <f t="shared" si="2"/>
        <v>2000</v>
      </c>
      <c r="J27" s="28">
        <f t="shared" si="3"/>
        <v>3106500</v>
      </c>
      <c r="K27" s="26">
        <f t="shared" si="4"/>
        <v>12198190.000000678</v>
      </c>
      <c r="L27" s="29">
        <f t="shared" si="5"/>
        <v>13418009.000000747</v>
      </c>
      <c r="M27" s="30">
        <f t="shared" si="6"/>
        <v>933.03727139981549</v>
      </c>
      <c r="N27" s="31"/>
    </row>
    <row r="28" spans="1:14" x14ac:dyDescent="0.25">
      <c r="A28" s="22"/>
      <c r="B28" s="24">
        <v>21</v>
      </c>
      <c r="C28" s="25">
        <v>48</v>
      </c>
      <c r="D28" s="25">
        <v>169</v>
      </c>
      <c r="E28" s="26">
        <v>4.25</v>
      </c>
      <c r="F28" s="27">
        <f t="shared" si="0"/>
        <v>8500</v>
      </c>
      <c r="G28" s="28">
        <f t="shared" si="1"/>
        <v>8801750</v>
      </c>
      <c r="H28" s="26">
        <v>0.83000000000015461</v>
      </c>
      <c r="I28" s="27">
        <f t="shared" si="2"/>
        <v>1660.0000000003092</v>
      </c>
      <c r="J28" s="28">
        <f t="shared" si="3"/>
        <v>2578395.0000004801</v>
      </c>
      <c r="K28" s="26">
        <f t="shared" si="4"/>
        <v>11380145.000000481</v>
      </c>
      <c r="L28" s="29">
        <f t="shared" si="5"/>
        <v>12518159.500000529</v>
      </c>
      <c r="M28" s="30">
        <f t="shared" si="6"/>
        <v>870.46516236704883</v>
      </c>
      <c r="N28" s="31"/>
    </row>
    <row r="29" spans="1:14" x14ac:dyDescent="0.25">
      <c r="A29" s="22"/>
      <c r="B29" s="24">
        <v>22</v>
      </c>
      <c r="C29" s="25">
        <v>52</v>
      </c>
      <c r="D29" s="25">
        <v>244</v>
      </c>
      <c r="E29" s="26">
        <v>4.3499999999994543</v>
      </c>
      <c r="F29" s="27">
        <f t="shared" si="0"/>
        <v>8699.9999999989086</v>
      </c>
      <c r="G29" s="28">
        <f t="shared" si="1"/>
        <v>9008849.9999988694</v>
      </c>
      <c r="H29" s="26">
        <v>0.9399999999998272</v>
      </c>
      <c r="I29" s="27">
        <f t="shared" si="2"/>
        <v>1879.9999999996544</v>
      </c>
      <c r="J29" s="28">
        <f t="shared" si="3"/>
        <v>2920109.9999994631</v>
      </c>
      <c r="K29" s="26">
        <f t="shared" si="4"/>
        <v>11928959.999998333</v>
      </c>
      <c r="L29" s="29">
        <f t="shared" si="5"/>
        <v>13121855.999998167</v>
      </c>
      <c r="M29" s="30">
        <f t="shared" si="6"/>
        <v>912.44391905974317</v>
      </c>
      <c r="N29" s="31"/>
    </row>
    <row r="30" spans="1:14" x14ac:dyDescent="0.25">
      <c r="A30" s="22"/>
      <c r="B30" s="24">
        <v>23</v>
      </c>
      <c r="C30" s="25">
        <v>41</v>
      </c>
      <c r="D30" s="25">
        <v>226</v>
      </c>
      <c r="E30" s="26">
        <v>4.4400000000005093</v>
      </c>
      <c r="F30" s="27">
        <f t="shared" si="0"/>
        <v>8880.0000000010186</v>
      </c>
      <c r="G30" s="28">
        <f t="shared" si="1"/>
        <v>9195240.0000010543</v>
      </c>
      <c r="H30" s="26">
        <v>0.98000000000001819</v>
      </c>
      <c r="I30" s="27">
        <f t="shared" si="2"/>
        <v>1960.0000000000364</v>
      </c>
      <c r="J30" s="28">
        <f t="shared" si="3"/>
        <v>3044370.0000000563</v>
      </c>
      <c r="K30" s="26">
        <f t="shared" si="4"/>
        <v>12239610.00000111</v>
      </c>
      <c r="L30" s="29">
        <f t="shared" si="5"/>
        <v>13463571.000001222</v>
      </c>
      <c r="M30" s="30">
        <f t="shared" si="6"/>
        <v>936.2054794521398</v>
      </c>
      <c r="N30" s="31"/>
    </row>
    <row r="31" spans="1:14" x14ac:dyDescent="0.25">
      <c r="A31" s="22"/>
      <c r="B31" s="24">
        <v>24</v>
      </c>
      <c r="C31" s="25">
        <v>48</v>
      </c>
      <c r="D31" s="25">
        <v>220</v>
      </c>
      <c r="E31" s="26">
        <v>4.5</v>
      </c>
      <c r="F31" s="27">
        <f t="shared" si="0"/>
        <v>9000</v>
      </c>
      <c r="G31" s="28">
        <f t="shared" si="1"/>
        <v>9319500</v>
      </c>
      <c r="H31" s="26">
        <v>1</v>
      </c>
      <c r="I31" s="27">
        <f t="shared" si="2"/>
        <v>2000</v>
      </c>
      <c r="J31" s="28">
        <f t="shared" si="3"/>
        <v>3106500</v>
      </c>
      <c r="K31" s="26">
        <f t="shared" si="4"/>
        <v>12426000</v>
      </c>
      <c r="L31" s="29">
        <f t="shared" si="5"/>
        <v>13668600.000000002</v>
      </c>
      <c r="M31" s="30">
        <f t="shared" si="6"/>
        <v>950.46241568736536</v>
      </c>
      <c r="N31" s="31"/>
    </row>
    <row r="32" spans="1:14" x14ac:dyDescent="0.25">
      <c r="A32" s="22"/>
      <c r="B32" s="24">
        <v>25</v>
      </c>
      <c r="C32" s="25">
        <v>40</v>
      </c>
      <c r="D32" s="25">
        <v>238</v>
      </c>
      <c r="E32" s="26">
        <v>4.5199999999995271</v>
      </c>
      <c r="F32" s="27">
        <f t="shared" si="0"/>
        <v>9039.9999999990541</v>
      </c>
      <c r="G32" s="28">
        <f t="shared" si="1"/>
        <v>9360919.9999990202</v>
      </c>
      <c r="H32" s="26">
        <v>0.99000000000000909</v>
      </c>
      <c r="I32" s="27">
        <f t="shared" si="2"/>
        <v>1980.0000000000182</v>
      </c>
      <c r="J32" s="28">
        <f t="shared" si="3"/>
        <v>3075435.0000000284</v>
      </c>
      <c r="K32" s="26">
        <f t="shared" si="4"/>
        <v>12436354.999999048</v>
      </c>
      <c r="L32" s="29">
        <f t="shared" si="5"/>
        <v>13679990.499998953</v>
      </c>
      <c r="M32" s="30">
        <f t="shared" si="6"/>
        <v>951.25446770036524</v>
      </c>
      <c r="N32" s="31"/>
    </row>
    <row r="33" spans="1:16" x14ac:dyDescent="0.25">
      <c r="A33" s="22"/>
      <c r="B33" s="24">
        <v>26</v>
      </c>
      <c r="C33" s="25">
        <v>48</v>
      </c>
      <c r="D33" s="25">
        <v>272</v>
      </c>
      <c r="E33" s="26">
        <v>4.5100000000002183</v>
      </c>
      <c r="F33" s="27">
        <f t="shared" si="0"/>
        <v>9020.0000000004366</v>
      </c>
      <c r="G33" s="28">
        <f t="shared" si="1"/>
        <v>9340210.0000004526</v>
      </c>
      <c r="H33" s="26">
        <v>0.99000000000000909</v>
      </c>
      <c r="I33" s="27">
        <f t="shared" si="2"/>
        <v>1980.0000000000182</v>
      </c>
      <c r="J33" s="28">
        <f t="shared" si="3"/>
        <v>3075435.0000000284</v>
      </c>
      <c r="K33" s="26">
        <f t="shared" si="4"/>
        <v>12415645.000000481</v>
      </c>
      <c r="L33" s="29">
        <f t="shared" si="5"/>
        <v>13657209.500000529</v>
      </c>
      <c r="M33" s="30">
        <f t="shared" si="6"/>
        <v>949.67036367432922</v>
      </c>
      <c r="N33" s="31"/>
    </row>
    <row r="34" spans="1:16" x14ac:dyDescent="0.25">
      <c r="A34" s="22"/>
      <c r="B34" s="24">
        <v>27</v>
      </c>
      <c r="C34" s="25">
        <v>49</v>
      </c>
      <c r="D34" s="25">
        <v>295</v>
      </c>
      <c r="E34" s="26">
        <v>4.5100000000002183</v>
      </c>
      <c r="F34" s="27">
        <f t="shared" si="0"/>
        <v>9020.0000000004366</v>
      </c>
      <c r="G34" s="28">
        <f t="shared" si="1"/>
        <v>9340210.0000004526</v>
      </c>
      <c r="H34" s="26">
        <v>0.97000000000002728</v>
      </c>
      <c r="I34" s="27">
        <f t="shared" si="2"/>
        <v>1940.0000000000546</v>
      </c>
      <c r="J34" s="28">
        <f t="shared" si="3"/>
        <v>3013305.0000000848</v>
      </c>
      <c r="K34" s="26">
        <f t="shared" si="4"/>
        <v>12353515.000000536</v>
      </c>
      <c r="L34" s="29">
        <f t="shared" si="5"/>
        <v>13588866.50000059</v>
      </c>
      <c r="M34" s="30">
        <f t="shared" si="6"/>
        <v>944.91805159589671</v>
      </c>
      <c r="N34" s="31"/>
    </row>
    <row r="35" spans="1:16" x14ac:dyDescent="0.25">
      <c r="A35" s="22"/>
      <c r="B35" s="24">
        <v>28</v>
      </c>
      <c r="C35" s="25">
        <v>44</v>
      </c>
      <c r="D35" s="25">
        <v>241</v>
      </c>
      <c r="E35" s="26">
        <v>4.4399999999995998</v>
      </c>
      <c r="F35" s="27">
        <f t="shared" si="0"/>
        <v>8879.9999999991996</v>
      </c>
      <c r="G35" s="28">
        <f t="shared" si="1"/>
        <v>9195239.9999991711</v>
      </c>
      <c r="H35" s="26">
        <v>0.96000000000003638</v>
      </c>
      <c r="I35" s="27">
        <f t="shared" si="2"/>
        <v>1920.0000000000728</v>
      </c>
      <c r="J35" s="28">
        <f t="shared" si="3"/>
        <v>2982240.0000001132</v>
      </c>
      <c r="K35" s="26">
        <f t="shared" si="4"/>
        <v>12177479.999999285</v>
      </c>
      <c r="L35" s="29">
        <f t="shared" si="5"/>
        <v>13395227.999999214</v>
      </c>
      <c r="M35" s="30">
        <f t="shared" si="6"/>
        <v>931.45316737356336</v>
      </c>
      <c r="N35" s="31"/>
    </row>
    <row r="36" spans="1:16" x14ac:dyDescent="0.25">
      <c r="A36" s="22"/>
      <c r="B36" s="24">
        <v>29</v>
      </c>
      <c r="C36" s="25">
        <v>42</v>
      </c>
      <c r="D36" s="25">
        <v>262</v>
      </c>
      <c r="E36" s="26">
        <v>4.680000000000291</v>
      </c>
      <c r="F36" s="27">
        <f t="shared" si="0"/>
        <v>9360.0000000005821</v>
      </c>
      <c r="G36" s="28">
        <f t="shared" si="1"/>
        <v>9692280.0000006035</v>
      </c>
      <c r="H36" s="26">
        <v>1.0399999999999636</v>
      </c>
      <c r="I36" s="27">
        <f t="shared" si="2"/>
        <v>2079.9999999999272</v>
      </c>
      <c r="J36" s="28">
        <f t="shared" si="3"/>
        <v>3230759.9999998868</v>
      </c>
      <c r="K36" s="26">
        <f t="shared" si="4"/>
        <v>12923040.00000049</v>
      </c>
      <c r="L36" s="29">
        <f t="shared" si="5"/>
        <v>14215344.00000054</v>
      </c>
      <c r="M36" s="30">
        <f t="shared" si="6"/>
        <v>988.48091231489741</v>
      </c>
      <c r="N36" s="31"/>
    </row>
    <row r="37" spans="1:16" x14ac:dyDescent="0.25">
      <c r="A37" s="22"/>
      <c r="B37" s="24">
        <v>30</v>
      </c>
      <c r="C37" s="25">
        <v>46</v>
      </c>
      <c r="D37" s="25">
        <v>222</v>
      </c>
      <c r="E37" s="26">
        <v>4.4499999999998181</v>
      </c>
      <c r="F37" s="27">
        <f t="shared" si="0"/>
        <v>8899.9999999996362</v>
      </c>
      <c r="G37" s="28">
        <f>F37*1035.5</f>
        <v>9215949.9999996237</v>
      </c>
      <c r="H37" s="26">
        <v>0.89000000000010004</v>
      </c>
      <c r="I37" s="27">
        <f t="shared" si="2"/>
        <v>1780.0000000002001</v>
      </c>
      <c r="J37" s="28">
        <f t="shared" si="3"/>
        <v>2764785.0000003106</v>
      </c>
      <c r="K37" s="26">
        <f t="shared" si="4"/>
        <v>11980734.999999935</v>
      </c>
      <c r="L37" s="29">
        <f t="shared" si="5"/>
        <v>13178808.499999929</v>
      </c>
      <c r="M37" s="30">
        <f t="shared" si="6"/>
        <v>916.4041791252298</v>
      </c>
      <c r="N37" s="31"/>
    </row>
    <row r="38" spans="1:16" x14ac:dyDescent="0.25">
      <c r="A38" s="22"/>
      <c r="B38" s="24">
        <v>31</v>
      </c>
      <c r="C38" s="25">
        <v>45</v>
      </c>
      <c r="D38" s="25">
        <v>227</v>
      </c>
      <c r="E38" s="26">
        <v>4.4899999999997817</v>
      </c>
      <c r="F38" s="27">
        <f t="shared" si="0"/>
        <v>8979.9999999995634</v>
      </c>
      <c r="G38" s="28">
        <f t="shared" si="1"/>
        <v>9298789.9999995474</v>
      </c>
      <c r="H38" s="26">
        <v>1</v>
      </c>
      <c r="I38" s="27">
        <f t="shared" si="2"/>
        <v>2000</v>
      </c>
      <c r="J38" s="28">
        <f t="shared" si="3"/>
        <v>3106500</v>
      </c>
      <c r="K38" s="26">
        <f t="shared" si="4"/>
        <v>12405289.999999547</v>
      </c>
      <c r="L38" s="29">
        <f t="shared" si="5"/>
        <v>13645818.999999503</v>
      </c>
      <c r="M38" s="30">
        <f t="shared" si="6"/>
        <v>948.87831166118508</v>
      </c>
      <c r="N38" s="31"/>
    </row>
    <row r="39" spans="1:16" x14ac:dyDescent="0.25">
      <c r="C39" s="32">
        <f>SUM(C8:C38)</f>
        <v>1509</v>
      </c>
      <c r="D39" s="32">
        <f>SUM(D8:D38)</f>
        <v>8468</v>
      </c>
      <c r="E39" s="33">
        <v>3.2799999999999727</v>
      </c>
      <c r="F39" s="32">
        <f>SUM(F8:F38)</f>
        <v>275339.99999999825</v>
      </c>
      <c r="I39" s="32">
        <f>SUM(I8:I38)</f>
        <v>59980.000000000015</v>
      </c>
      <c r="L39" s="34">
        <f>SUM(L8:L38)</f>
        <v>416106355.49999821</v>
      </c>
      <c r="M39" s="35">
        <f>SUM(M8:M38)</f>
        <v>28934.452089562492</v>
      </c>
      <c r="N39" s="36"/>
      <c r="P39" s="37"/>
    </row>
    <row r="41" spans="1:16" x14ac:dyDescent="0.25">
      <c r="G41" s="88" t="s">
        <v>28</v>
      </c>
      <c r="H41" s="89"/>
      <c r="I41" s="90">
        <f>F39+I39</f>
        <v>335319.99999999825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D5" workbookViewId="0">
      <selection activeCell="J37" sqref="J37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43831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ht="15.75" thickBot="1" x14ac:dyDescent="0.3">
      <c r="A8" s="22"/>
      <c r="B8" s="99"/>
      <c r="C8" s="99"/>
      <c r="D8" s="99"/>
      <c r="E8" s="99"/>
      <c r="F8" s="109"/>
      <c r="G8" s="46">
        <v>15840</v>
      </c>
      <c r="H8" s="99"/>
      <c r="I8" s="99"/>
      <c r="J8" s="46">
        <f>G8</f>
        <v>15840</v>
      </c>
      <c r="K8" s="99"/>
      <c r="L8" s="99"/>
      <c r="M8" s="46">
        <f>J8</f>
        <v>15840</v>
      </c>
      <c r="N8" s="99"/>
      <c r="O8" s="99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48</v>
      </c>
      <c r="D9" s="49">
        <f>Electricity!D8</f>
        <v>366</v>
      </c>
      <c r="E9" s="96"/>
      <c r="F9" s="97">
        <v>119.07150425129902</v>
      </c>
      <c r="G9" s="51">
        <f>F9*$G$8</f>
        <v>1886092.6273405764</v>
      </c>
      <c r="H9" s="50"/>
      <c r="I9" s="98">
        <v>64.115425366084082</v>
      </c>
      <c r="J9" s="51">
        <f>I9*$J$8</f>
        <v>1015588.3377987719</v>
      </c>
      <c r="K9" s="50"/>
      <c r="L9" s="26">
        <v>4.17</v>
      </c>
      <c r="M9" s="27">
        <f>L9*$M$8</f>
        <v>66052.800000000003</v>
      </c>
      <c r="N9" s="50"/>
      <c r="O9" s="26">
        <v>7.14</v>
      </c>
      <c r="P9" s="52">
        <f>O9*$P$8</f>
        <v>113097.59999999999</v>
      </c>
      <c r="Q9" s="53">
        <f>P9+G9+J9+M9</f>
        <v>3080831.3651393484</v>
      </c>
      <c r="R9" s="54">
        <f>Q9/14381</f>
        <v>214.22928622066257</v>
      </c>
      <c r="S9" s="23"/>
    </row>
    <row r="10" spans="1:21" x14ac:dyDescent="0.25">
      <c r="A10" s="22"/>
      <c r="B10" s="24">
        <v>2</v>
      </c>
      <c r="C10" s="48">
        <f>Electricity!C9</f>
        <v>55</v>
      </c>
      <c r="D10" s="49">
        <f>Electricity!D9</f>
        <v>398</v>
      </c>
      <c r="E10" s="96"/>
      <c r="F10" s="26">
        <v>130.12488167217762</v>
      </c>
      <c r="G10" s="51">
        <f>F10*$G$8</f>
        <v>2061178.1256872935</v>
      </c>
      <c r="H10" s="50"/>
      <c r="I10" s="52">
        <v>70.067243977326399</v>
      </c>
      <c r="J10" s="51">
        <f>I10*$J$8</f>
        <v>1109865.1446008501</v>
      </c>
      <c r="K10" s="50"/>
      <c r="L10" s="26">
        <v>4.17</v>
      </c>
      <c r="M10" s="27">
        <f t="shared" ref="M10:M39" si="0">L10*$M$8</f>
        <v>66052.800000000003</v>
      </c>
      <c r="N10" s="50"/>
      <c r="O10" s="26">
        <v>7.14</v>
      </c>
      <c r="P10" s="52">
        <f>O10*$P$8</f>
        <v>113097.59999999999</v>
      </c>
      <c r="Q10" s="53">
        <f>J10+M10+G10+P10</f>
        <v>3350193.6702881437</v>
      </c>
      <c r="R10" s="54">
        <f t="shared" ref="R10:R39" si="1">Q10/14381</f>
        <v>232.95971561700463</v>
      </c>
      <c r="S10" s="23"/>
    </row>
    <row r="11" spans="1:21" x14ac:dyDescent="0.25">
      <c r="A11" s="22"/>
      <c r="B11" s="24">
        <v>3</v>
      </c>
      <c r="C11" s="48">
        <f>Electricity!C10</f>
        <v>56</v>
      </c>
      <c r="D11" s="49">
        <f>Electricity!D10</f>
        <v>344</v>
      </c>
      <c r="E11" s="96"/>
      <c r="F11" s="26">
        <v>111.47230727444499</v>
      </c>
      <c r="G11" s="51">
        <f t="shared" ref="G11:G39" si="2">F11*$G$8</f>
        <v>1765721.3472272085</v>
      </c>
      <c r="H11" s="50"/>
      <c r="I11" s="52">
        <v>60.023550070854988</v>
      </c>
      <c r="J11" s="51">
        <f t="shared" ref="J11:J39" si="3">I11*$J$8</f>
        <v>950773.03312234301</v>
      </c>
      <c r="K11" s="50"/>
      <c r="L11" s="26">
        <v>4.17</v>
      </c>
      <c r="M11" s="27">
        <f t="shared" si="0"/>
        <v>66052.800000000003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2895644.7803495517</v>
      </c>
      <c r="R11" s="54">
        <f t="shared" si="1"/>
        <v>201.35211601067741</v>
      </c>
      <c r="S11" s="23"/>
    </row>
    <row r="12" spans="1:21" x14ac:dyDescent="0.25">
      <c r="A12" s="22"/>
      <c r="B12" s="24">
        <v>4</v>
      </c>
      <c r="C12" s="48">
        <f>Electricity!C11</f>
        <v>57</v>
      </c>
      <c r="D12" s="49">
        <f>Electricity!D11</f>
        <v>301</v>
      </c>
      <c r="E12" s="96"/>
      <c r="F12" s="26">
        <v>96.619331365139374</v>
      </c>
      <c r="G12" s="51">
        <f t="shared" si="2"/>
        <v>1530450.2088238078</v>
      </c>
      <c r="H12" s="50"/>
      <c r="I12" s="52">
        <v>52.02579381199812</v>
      </c>
      <c r="J12" s="51">
        <f t="shared" si="3"/>
        <v>824088.57398205018</v>
      </c>
      <c r="K12" s="50"/>
      <c r="L12" s="26">
        <v>4.17</v>
      </c>
      <c r="M12" s="27">
        <f t="shared" si="0"/>
        <v>66052.800000000003</v>
      </c>
      <c r="N12" s="50"/>
      <c r="O12" s="26">
        <v>7.14</v>
      </c>
      <c r="P12" s="52">
        <f t="shared" si="4"/>
        <v>113097.59999999999</v>
      </c>
      <c r="Q12" s="53">
        <f t="shared" si="5"/>
        <v>2533689.1828058581</v>
      </c>
      <c r="R12" s="54">
        <f t="shared" si="1"/>
        <v>176.18310150934275</v>
      </c>
      <c r="S12" s="23"/>
    </row>
    <row r="13" spans="1:21" x14ac:dyDescent="0.25">
      <c r="A13" s="22"/>
      <c r="B13" s="24">
        <v>5</v>
      </c>
      <c r="C13" s="48">
        <f>Electricity!C12</f>
        <v>57</v>
      </c>
      <c r="D13" s="49">
        <f>Electricity!D12</f>
        <v>379</v>
      </c>
      <c r="E13" s="96"/>
      <c r="F13" s="26">
        <v>123.56193882853097</v>
      </c>
      <c r="G13" s="51">
        <f t="shared" si="2"/>
        <v>1957221.1110439305</v>
      </c>
      <c r="H13" s="50"/>
      <c r="I13" s="52">
        <v>66.533351676901276</v>
      </c>
      <c r="J13" s="51">
        <f t="shared" si="3"/>
        <v>1053888.2905621163</v>
      </c>
      <c r="K13" s="50"/>
      <c r="L13" s="26">
        <v>4.17</v>
      </c>
      <c r="M13" s="27">
        <f t="shared" si="0"/>
        <v>66052.800000000003</v>
      </c>
      <c r="N13" s="50"/>
      <c r="O13" s="26">
        <v>7.14</v>
      </c>
      <c r="P13" s="52">
        <f t="shared" si="4"/>
        <v>113097.59999999999</v>
      </c>
      <c r="Q13" s="53">
        <f t="shared" si="5"/>
        <v>3190259.801606047</v>
      </c>
      <c r="R13" s="54">
        <f t="shared" si="1"/>
        <v>221.83852316292658</v>
      </c>
      <c r="S13" s="23"/>
    </row>
    <row r="14" spans="1:21" x14ac:dyDescent="0.25">
      <c r="A14" s="22"/>
      <c r="B14" s="24">
        <v>6</v>
      </c>
      <c r="C14" s="48">
        <f>Electricity!C13</f>
        <v>54</v>
      </c>
      <c r="D14" s="49">
        <f>Electricity!D13</f>
        <v>305</v>
      </c>
      <c r="E14" s="96"/>
      <c r="F14" s="26">
        <v>98.001003542749189</v>
      </c>
      <c r="G14" s="51">
        <f t="shared" si="2"/>
        <v>1552335.8961171471</v>
      </c>
      <c r="H14" s="50"/>
      <c r="I14" s="52">
        <v>52.769771138403406</v>
      </c>
      <c r="J14" s="51">
        <f t="shared" si="3"/>
        <v>835873.17483230995</v>
      </c>
      <c r="K14" s="50"/>
      <c r="L14" s="26">
        <v>4.17</v>
      </c>
      <c r="M14" s="27">
        <f t="shared" si="0"/>
        <v>66052.800000000003</v>
      </c>
      <c r="N14" s="50"/>
      <c r="O14" s="26">
        <v>7.14</v>
      </c>
      <c r="P14" s="52">
        <f t="shared" si="4"/>
        <v>113097.59999999999</v>
      </c>
      <c r="Q14" s="53">
        <f t="shared" si="5"/>
        <v>2567359.470949457</v>
      </c>
      <c r="R14" s="54">
        <f t="shared" si="1"/>
        <v>178.52440518388548</v>
      </c>
      <c r="S14" s="23"/>
    </row>
    <row r="15" spans="1:21" x14ac:dyDescent="0.25">
      <c r="A15" s="22"/>
      <c r="B15" s="24">
        <v>7</v>
      </c>
      <c r="C15" s="48">
        <f>Electricity!C14</f>
        <v>58</v>
      </c>
      <c r="D15" s="49">
        <f>Electricity!D14</f>
        <v>320</v>
      </c>
      <c r="E15" s="96"/>
      <c r="F15" s="26">
        <v>103.18227420878604</v>
      </c>
      <c r="G15" s="51">
        <f t="shared" si="2"/>
        <v>1634407.223467171</v>
      </c>
      <c r="H15" s="50"/>
      <c r="I15" s="52">
        <v>55.55968611242325</v>
      </c>
      <c r="J15" s="51">
        <f t="shared" si="3"/>
        <v>880065.42802078428</v>
      </c>
      <c r="K15" s="50"/>
      <c r="L15" s="26">
        <v>4.17</v>
      </c>
      <c r="M15" s="27">
        <f t="shared" si="0"/>
        <v>66052.800000000003</v>
      </c>
      <c r="N15" s="50"/>
      <c r="O15" s="26">
        <v>7.14</v>
      </c>
      <c r="P15" s="52">
        <f t="shared" si="4"/>
        <v>113097.59999999999</v>
      </c>
      <c r="Q15" s="53">
        <f t="shared" si="5"/>
        <v>2693623.0514879553</v>
      </c>
      <c r="R15" s="54">
        <f t="shared" si="1"/>
        <v>187.30429396342086</v>
      </c>
      <c r="S15" s="23"/>
    </row>
    <row r="16" spans="1:21" x14ac:dyDescent="0.25">
      <c r="A16" s="22"/>
      <c r="B16" s="24">
        <v>8</v>
      </c>
      <c r="C16" s="48">
        <f>Electricity!C15</f>
        <v>54</v>
      </c>
      <c r="D16" s="49">
        <f>Electricity!D15</f>
        <v>304</v>
      </c>
      <c r="E16" s="96"/>
      <c r="F16" s="26">
        <v>97.655585498346738</v>
      </c>
      <c r="G16" s="51">
        <f t="shared" si="2"/>
        <v>1546864.4742938124</v>
      </c>
      <c r="H16" s="50"/>
      <c r="I16" s="52">
        <v>52.583776806802085</v>
      </c>
      <c r="J16" s="51">
        <f t="shared" si="3"/>
        <v>832927.02461974497</v>
      </c>
      <c r="K16" s="50"/>
      <c r="L16" s="26">
        <v>4.17</v>
      </c>
      <c r="M16" s="27">
        <f t="shared" si="0"/>
        <v>66052.800000000003</v>
      </c>
      <c r="N16" s="50"/>
      <c r="O16" s="26">
        <v>7.14</v>
      </c>
      <c r="P16" s="52">
        <f t="shared" si="4"/>
        <v>113097.59999999999</v>
      </c>
      <c r="Q16" s="53">
        <f t="shared" si="5"/>
        <v>2558941.8989135576</v>
      </c>
      <c r="R16" s="54">
        <f t="shared" si="1"/>
        <v>177.93907926524983</v>
      </c>
      <c r="S16" s="23"/>
    </row>
    <row r="17" spans="1:19" x14ac:dyDescent="0.25">
      <c r="A17" s="22"/>
      <c r="B17" s="24">
        <v>9</v>
      </c>
      <c r="C17" s="48">
        <f>Electricity!C16</f>
        <v>49</v>
      </c>
      <c r="D17" s="49">
        <f>Electricity!D16</f>
        <v>310</v>
      </c>
      <c r="E17" s="84"/>
      <c r="F17" s="26">
        <v>99.728093764761468</v>
      </c>
      <c r="G17" s="51">
        <f t="shared" si="2"/>
        <v>1579693.0052338217</v>
      </c>
      <c r="H17" s="50"/>
      <c r="I17" s="52">
        <v>53.699742796410021</v>
      </c>
      <c r="J17" s="51">
        <f t="shared" si="3"/>
        <v>850603.92589513469</v>
      </c>
      <c r="K17" s="50"/>
      <c r="L17" s="26">
        <v>4.17</v>
      </c>
      <c r="M17" s="27">
        <f t="shared" si="0"/>
        <v>66052.800000000003</v>
      </c>
      <c r="N17" s="50"/>
      <c r="O17" s="26">
        <v>7.14</v>
      </c>
      <c r="P17" s="52">
        <f t="shared" si="4"/>
        <v>113097.59999999999</v>
      </c>
      <c r="Q17" s="53">
        <f t="shared" si="5"/>
        <v>2609447.3311289563</v>
      </c>
      <c r="R17" s="54">
        <f t="shared" si="1"/>
        <v>181.45103477706391</v>
      </c>
      <c r="S17" s="23"/>
    </row>
    <row r="18" spans="1:19" x14ac:dyDescent="0.25">
      <c r="A18" s="22"/>
      <c r="B18" s="24">
        <v>10</v>
      </c>
      <c r="C18" s="48">
        <f>Electricity!C17</f>
        <v>52</v>
      </c>
      <c r="D18" s="49">
        <f>Electricity!D17</f>
        <v>320</v>
      </c>
      <c r="E18" s="96"/>
      <c r="F18" s="26">
        <v>103.18227420878604</v>
      </c>
      <c r="G18" s="51">
        <f t="shared" si="2"/>
        <v>1634407.223467171</v>
      </c>
      <c r="H18" s="50"/>
      <c r="I18" s="52">
        <v>55.55968611242325</v>
      </c>
      <c r="J18" s="51">
        <f t="shared" si="3"/>
        <v>880065.42802078428</v>
      </c>
      <c r="K18" s="50"/>
      <c r="L18" s="26">
        <v>4.17</v>
      </c>
      <c r="M18" s="27">
        <f t="shared" si="0"/>
        <v>66052.800000000003</v>
      </c>
      <c r="N18" s="50"/>
      <c r="O18" s="26">
        <v>7.14</v>
      </c>
      <c r="P18" s="52">
        <f t="shared" si="4"/>
        <v>113097.59999999999</v>
      </c>
      <c r="Q18" s="53">
        <f t="shared" si="5"/>
        <v>2693623.0514879553</v>
      </c>
      <c r="R18" s="54">
        <f t="shared" si="1"/>
        <v>187.30429396342086</v>
      </c>
      <c r="S18" s="23"/>
    </row>
    <row r="19" spans="1:19" x14ac:dyDescent="0.25">
      <c r="A19" s="22"/>
      <c r="B19" s="24">
        <v>11</v>
      </c>
      <c r="C19" s="48">
        <f>Electricity!C18</f>
        <v>51</v>
      </c>
      <c r="D19" s="49">
        <f>Electricity!D18</f>
        <v>292</v>
      </c>
      <c r="E19" s="96"/>
      <c r="F19" s="26">
        <v>93.510568965517265</v>
      </c>
      <c r="G19" s="51">
        <f t="shared" si="2"/>
        <v>1481207.4124137934</v>
      </c>
      <c r="H19" s="50"/>
      <c r="I19" s="52">
        <v>50.35184482758622</v>
      </c>
      <c r="J19" s="51">
        <f t="shared" si="3"/>
        <v>797573.22206896567</v>
      </c>
      <c r="K19" s="50"/>
      <c r="L19" s="26">
        <v>4.17</v>
      </c>
      <c r="M19" s="27">
        <f t="shared" si="0"/>
        <v>66052.800000000003</v>
      </c>
      <c r="N19" s="50"/>
      <c r="O19" s="26">
        <v>7.14</v>
      </c>
      <c r="P19" s="52">
        <f t="shared" si="4"/>
        <v>113097.59999999999</v>
      </c>
      <c r="Q19" s="53">
        <f t="shared" si="5"/>
        <v>2457931.034482759</v>
      </c>
      <c r="R19" s="54">
        <f t="shared" si="1"/>
        <v>170.9151682416215</v>
      </c>
      <c r="S19" s="23"/>
    </row>
    <row r="20" spans="1:19" x14ac:dyDescent="0.25">
      <c r="A20" s="22"/>
      <c r="B20" s="24">
        <v>12</v>
      </c>
      <c r="C20" s="48">
        <f>Electricity!C19</f>
        <v>45</v>
      </c>
      <c r="D20" s="49">
        <f>Electricity!D19</f>
        <v>232</v>
      </c>
      <c r="E20" s="96"/>
      <c r="F20" s="26">
        <v>72.785486301369858</v>
      </c>
      <c r="G20" s="51">
        <f t="shared" si="2"/>
        <v>1152922.1030136985</v>
      </c>
      <c r="H20" s="50"/>
      <c r="I20" s="52">
        <v>39.192184931506844</v>
      </c>
      <c r="J20" s="51">
        <f t="shared" si="3"/>
        <v>620804.20931506844</v>
      </c>
      <c r="K20" s="50"/>
      <c r="L20" s="26">
        <v>4.17</v>
      </c>
      <c r="M20" s="27">
        <f t="shared" si="0"/>
        <v>66052.800000000003</v>
      </c>
      <c r="N20" s="50"/>
      <c r="O20" s="26">
        <v>7.14</v>
      </c>
      <c r="P20" s="52">
        <f t="shared" si="4"/>
        <v>113097.59999999999</v>
      </c>
      <c r="Q20" s="53">
        <f t="shared" si="5"/>
        <v>1952876.7123287669</v>
      </c>
      <c r="R20" s="54">
        <f t="shared" si="1"/>
        <v>135.79561312348008</v>
      </c>
      <c r="S20" s="23"/>
    </row>
    <row r="21" spans="1:19" x14ac:dyDescent="0.25">
      <c r="A21" s="22"/>
      <c r="B21" s="24">
        <v>13</v>
      </c>
      <c r="C21" s="48">
        <f>Electricity!C20</f>
        <v>47</v>
      </c>
      <c r="D21" s="49">
        <f>Electricity!D20</f>
        <v>224</v>
      </c>
      <c r="E21" s="96"/>
      <c r="F21" s="26">
        <v>70.022141946150214</v>
      </c>
      <c r="G21" s="51">
        <f t="shared" si="2"/>
        <v>1109150.7284270194</v>
      </c>
      <c r="H21" s="50"/>
      <c r="I21" s="52">
        <v>37.704230278696265</v>
      </c>
      <c r="J21" s="51">
        <f t="shared" si="3"/>
        <v>597235.00761454878</v>
      </c>
      <c r="K21" s="50"/>
      <c r="L21" s="26">
        <v>4.17</v>
      </c>
      <c r="M21" s="27">
        <f t="shared" si="0"/>
        <v>66052.800000000003</v>
      </c>
      <c r="N21" s="50"/>
      <c r="O21" s="26">
        <v>7.14</v>
      </c>
      <c r="P21" s="52">
        <f t="shared" si="4"/>
        <v>113097.59999999999</v>
      </c>
      <c r="Q21" s="53">
        <f t="shared" si="5"/>
        <v>1885536.1360415684</v>
      </c>
      <c r="R21" s="54">
        <f t="shared" si="1"/>
        <v>131.11300577439457</v>
      </c>
      <c r="S21" s="23"/>
    </row>
    <row r="22" spans="1:19" x14ac:dyDescent="0.25">
      <c r="A22" s="22"/>
      <c r="B22" s="24">
        <v>14</v>
      </c>
      <c r="C22" s="48">
        <f>Electricity!C21</f>
        <v>39</v>
      </c>
      <c r="D22" s="49">
        <f>Electricity!D21</f>
        <v>283</v>
      </c>
      <c r="E22" s="96"/>
      <c r="F22" s="26">
        <v>90.401806565895143</v>
      </c>
      <c r="G22" s="51">
        <f t="shared" si="2"/>
        <v>1431964.616003779</v>
      </c>
      <c r="H22" s="50"/>
      <c r="I22" s="52">
        <v>48.677895843174305</v>
      </c>
      <c r="J22" s="51">
        <f t="shared" si="3"/>
        <v>771057.87015588104</v>
      </c>
      <c r="K22" s="50"/>
      <c r="L22" s="26">
        <v>4.17</v>
      </c>
      <c r="M22" s="27">
        <f t="shared" si="0"/>
        <v>66052.800000000003</v>
      </c>
      <c r="N22" s="50"/>
      <c r="O22" s="26">
        <v>7.14</v>
      </c>
      <c r="P22" s="52">
        <f t="shared" si="4"/>
        <v>113097.59999999999</v>
      </c>
      <c r="Q22" s="53">
        <f t="shared" si="5"/>
        <v>2382172.8861596603</v>
      </c>
      <c r="R22" s="54">
        <f t="shared" si="1"/>
        <v>165.64723497390031</v>
      </c>
      <c r="S22" s="23"/>
    </row>
    <row r="23" spans="1:19" x14ac:dyDescent="0.25">
      <c r="A23" s="22"/>
      <c r="B23" s="24">
        <v>15</v>
      </c>
      <c r="C23" s="48">
        <f>Electricity!C22</f>
        <v>48</v>
      </c>
      <c r="D23" s="49">
        <f>Electricity!D22</f>
        <v>206</v>
      </c>
      <c r="E23" s="96"/>
      <c r="F23" s="26">
        <v>63.804617146906004</v>
      </c>
      <c r="G23" s="51">
        <f t="shared" si="2"/>
        <v>1010665.1356069911</v>
      </c>
      <c r="H23" s="50"/>
      <c r="I23" s="52">
        <v>34.356332309872464</v>
      </c>
      <c r="J23" s="51">
        <f t="shared" si="3"/>
        <v>544204.30378837988</v>
      </c>
      <c r="K23" s="50"/>
      <c r="L23" s="26">
        <v>4.17</v>
      </c>
      <c r="M23" s="27">
        <f t="shared" si="0"/>
        <v>66052.800000000003</v>
      </c>
      <c r="N23" s="50"/>
      <c r="O23" s="26">
        <v>7.14</v>
      </c>
      <c r="P23" s="52">
        <f t="shared" si="4"/>
        <v>113097.59999999999</v>
      </c>
      <c r="Q23" s="53">
        <f t="shared" si="5"/>
        <v>1734019.8393953713</v>
      </c>
      <c r="R23" s="54">
        <f t="shared" si="1"/>
        <v>120.57713923895217</v>
      </c>
      <c r="S23" s="23"/>
    </row>
    <row r="24" spans="1:19" x14ac:dyDescent="0.25">
      <c r="A24" s="22"/>
      <c r="B24" s="24">
        <v>16</v>
      </c>
      <c r="C24" s="48">
        <f>Electricity!C23</f>
        <v>42</v>
      </c>
      <c r="D24" s="49">
        <f>Electricity!D23</f>
        <v>317</v>
      </c>
      <c r="E24" s="96"/>
      <c r="F24" s="26">
        <v>102.14602007557869</v>
      </c>
      <c r="G24" s="51">
        <f t="shared" si="2"/>
        <v>1617992.9579971666</v>
      </c>
      <c r="H24" s="50"/>
      <c r="I24" s="52">
        <v>55.001703117619286</v>
      </c>
      <c r="J24" s="51">
        <f t="shared" si="3"/>
        <v>871226.97738308948</v>
      </c>
      <c r="K24" s="50"/>
      <c r="L24" s="26">
        <v>4.17</v>
      </c>
      <c r="M24" s="27">
        <f t="shared" si="0"/>
        <v>66052.800000000003</v>
      </c>
      <c r="N24" s="50"/>
      <c r="O24" s="26">
        <v>7.14</v>
      </c>
      <c r="P24" s="52">
        <f t="shared" si="4"/>
        <v>113097.59999999999</v>
      </c>
      <c r="Q24" s="53">
        <f t="shared" si="5"/>
        <v>2668370.3353802562</v>
      </c>
      <c r="R24" s="54">
        <f t="shared" si="1"/>
        <v>185.54831620751381</v>
      </c>
      <c r="S24" s="23"/>
    </row>
    <row r="25" spans="1:19" x14ac:dyDescent="0.25">
      <c r="A25" s="22"/>
      <c r="B25" s="24">
        <v>17</v>
      </c>
      <c r="C25" s="48">
        <f>Electricity!C24</f>
        <v>53</v>
      </c>
      <c r="D25" s="49">
        <f>Electricity!D24</f>
        <v>229</v>
      </c>
      <c r="E25" s="96"/>
      <c r="F25" s="26">
        <v>71.749232168162493</v>
      </c>
      <c r="G25" s="51">
        <f t="shared" si="2"/>
        <v>1136507.8375436938</v>
      </c>
      <c r="H25" s="50"/>
      <c r="I25" s="52">
        <v>38.63420193670288</v>
      </c>
      <c r="J25" s="51">
        <f t="shared" si="3"/>
        <v>611965.75867737364</v>
      </c>
      <c r="K25" s="50"/>
      <c r="L25" s="26">
        <v>4.17</v>
      </c>
      <c r="M25" s="27">
        <f t="shared" si="0"/>
        <v>66052.800000000003</v>
      </c>
      <c r="N25" s="50"/>
      <c r="O25" s="26">
        <v>7.14</v>
      </c>
      <c r="P25" s="52">
        <f t="shared" si="4"/>
        <v>113097.59999999999</v>
      </c>
      <c r="Q25" s="53">
        <f t="shared" si="5"/>
        <v>1927623.9962210676</v>
      </c>
      <c r="R25" s="54">
        <f t="shared" si="1"/>
        <v>134.03963536757303</v>
      </c>
      <c r="S25" s="23"/>
    </row>
    <row r="26" spans="1:19" x14ac:dyDescent="0.25">
      <c r="A26" s="22"/>
      <c r="B26" s="24">
        <v>18</v>
      </c>
      <c r="C26" s="48">
        <f>Electricity!C25</f>
        <v>51</v>
      </c>
      <c r="D26" s="49">
        <f>Electricity!D25</f>
        <v>274</v>
      </c>
      <c r="E26" s="96"/>
      <c r="F26" s="26">
        <v>87.293044166273049</v>
      </c>
      <c r="G26" s="51">
        <f t="shared" si="2"/>
        <v>1382721.8195937651</v>
      </c>
      <c r="H26" s="50"/>
      <c r="I26" s="52">
        <v>47.003946858762404</v>
      </c>
      <c r="J26" s="51">
        <f t="shared" si="3"/>
        <v>744542.51824279653</v>
      </c>
      <c r="K26" s="50"/>
      <c r="L26" s="26">
        <v>4.17</v>
      </c>
      <c r="M26" s="27">
        <f t="shared" si="0"/>
        <v>66052.800000000003</v>
      </c>
      <c r="N26" s="50"/>
      <c r="O26" s="26">
        <v>7.14</v>
      </c>
      <c r="P26" s="52">
        <f t="shared" si="4"/>
        <v>113097.59999999999</v>
      </c>
      <c r="Q26" s="53">
        <f t="shared" si="5"/>
        <v>2306414.7378365616</v>
      </c>
      <c r="R26" s="54">
        <f t="shared" si="1"/>
        <v>160.37930170617909</v>
      </c>
      <c r="S26" s="23"/>
    </row>
    <row r="27" spans="1:19" x14ac:dyDescent="0.25">
      <c r="A27" s="22"/>
      <c r="B27" s="24">
        <v>19</v>
      </c>
      <c r="C27" s="48">
        <f>Electricity!C26</f>
        <v>45</v>
      </c>
      <c r="D27" s="49">
        <f>Electricity!D26</f>
        <v>226</v>
      </c>
      <c r="E27" s="83"/>
      <c r="F27" s="26">
        <v>70.712978034955128</v>
      </c>
      <c r="G27" s="51">
        <f t="shared" si="2"/>
        <v>1120093.5720736892</v>
      </c>
      <c r="H27" s="50"/>
      <c r="I27" s="52">
        <v>38.076218941898915</v>
      </c>
      <c r="J27" s="51">
        <f t="shared" si="3"/>
        <v>603127.30803967884</v>
      </c>
      <c r="K27" s="50"/>
      <c r="L27" s="26">
        <v>4.17</v>
      </c>
      <c r="M27" s="27">
        <f t="shared" si="0"/>
        <v>66052.800000000003</v>
      </c>
      <c r="N27" s="50"/>
      <c r="O27" s="26">
        <v>7.14</v>
      </c>
      <c r="P27" s="52">
        <f t="shared" si="4"/>
        <v>113097.59999999999</v>
      </c>
      <c r="Q27" s="53">
        <f t="shared" si="5"/>
        <v>1902371.2801133683</v>
      </c>
      <c r="R27" s="54">
        <f t="shared" si="1"/>
        <v>132.28365761166597</v>
      </c>
      <c r="S27" s="23"/>
    </row>
    <row r="28" spans="1:19" x14ac:dyDescent="0.25">
      <c r="A28" s="22"/>
      <c r="B28" s="24">
        <v>20</v>
      </c>
      <c r="C28" s="48">
        <f>Electricity!C27</f>
        <v>45</v>
      </c>
      <c r="D28" s="49">
        <f>Electricity!D27</f>
        <v>222</v>
      </c>
      <c r="E28" s="83"/>
      <c r="F28" s="26">
        <v>69.331305857345299</v>
      </c>
      <c r="G28" s="51">
        <f t="shared" si="2"/>
        <v>1098207.8847803494</v>
      </c>
      <c r="H28" s="50"/>
      <c r="I28" s="52">
        <v>37.332241615493615</v>
      </c>
      <c r="J28" s="51">
        <f t="shared" si="3"/>
        <v>591342.70718941884</v>
      </c>
      <c r="K28" s="50"/>
      <c r="L28" s="26">
        <v>4.17</v>
      </c>
      <c r="M28" s="27">
        <f t="shared" si="0"/>
        <v>66052.800000000003</v>
      </c>
      <c r="N28" s="50"/>
      <c r="O28" s="26">
        <v>7.14</v>
      </c>
      <c r="P28" s="52">
        <f t="shared" si="4"/>
        <v>113097.59999999999</v>
      </c>
      <c r="Q28" s="53">
        <f t="shared" si="5"/>
        <v>1868700.9919697684</v>
      </c>
      <c r="R28" s="54">
        <f t="shared" si="1"/>
        <v>129.94235393712319</v>
      </c>
      <c r="S28" s="23"/>
    </row>
    <row r="29" spans="1:19" x14ac:dyDescent="0.25">
      <c r="A29" s="22"/>
      <c r="B29" s="24">
        <v>21</v>
      </c>
      <c r="C29" s="48">
        <f>Electricity!C28</f>
        <v>48</v>
      </c>
      <c r="D29" s="49">
        <f>Electricity!D28</f>
        <v>169</v>
      </c>
      <c r="E29" s="83"/>
      <c r="F29" s="26">
        <v>51.024149504015114</v>
      </c>
      <c r="G29" s="51">
        <f t="shared" si="2"/>
        <v>808222.5281435994</v>
      </c>
      <c r="H29" s="50"/>
      <c r="I29" s="52">
        <v>27.474542040623518</v>
      </c>
      <c r="J29" s="51">
        <f t="shared" si="3"/>
        <v>435196.74592347653</v>
      </c>
      <c r="K29" s="50"/>
      <c r="L29" s="26">
        <v>4.17</v>
      </c>
      <c r="M29" s="27">
        <f t="shared" si="0"/>
        <v>66052.800000000003</v>
      </c>
      <c r="N29" s="50"/>
      <c r="O29" s="26">
        <v>7.14</v>
      </c>
      <c r="P29" s="52">
        <f t="shared" si="4"/>
        <v>113097.59999999999</v>
      </c>
      <c r="Q29" s="53">
        <f t="shared" si="5"/>
        <v>1422569.6740670761</v>
      </c>
      <c r="R29" s="54">
        <f t="shared" si="1"/>
        <v>98.920080249431621</v>
      </c>
      <c r="S29" s="23"/>
    </row>
    <row r="30" spans="1:19" x14ac:dyDescent="0.25">
      <c r="A30" s="22"/>
      <c r="B30" s="24">
        <v>22</v>
      </c>
      <c r="C30" s="48">
        <f>Electricity!C29</f>
        <v>52</v>
      </c>
      <c r="D30" s="49">
        <f>Electricity!D29</f>
        <v>244</v>
      </c>
      <c r="E30" s="83"/>
      <c r="F30" s="26">
        <v>76.930502834199331</v>
      </c>
      <c r="G30" s="51">
        <f t="shared" si="2"/>
        <v>1218579.1648937175</v>
      </c>
      <c r="H30" s="50"/>
      <c r="I30" s="52">
        <v>41.424116910722717</v>
      </c>
      <c r="J30" s="51">
        <f t="shared" si="3"/>
        <v>656158.01186584786</v>
      </c>
      <c r="K30" s="50"/>
      <c r="L30" s="26">
        <v>4.17</v>
      </c>
      <c r="M30" s="27">
        <f t="shared" si="0"/>
        <v>66052.800000000003</v>
      </c>
      <c r="N30" s="50"/>
      <c r="O30" s="26">
        <v>7.14</v>
      </c>
      <c r="P30" s="52">
        <f t="shared" si="4"/>
        <v>113097.59999999999</v>
      </c>
      <c r="Q30" s="53">
        <f t="shared" si="5"/>
        <v>2053887.5767595656</v>
      </c>
      <c r="R30" s="54">
        <f t="shared" si="1"/>
        <v>142.81952414710838</v>
      </c>
      <c r="S30" s="23"/>
    </row>
    <row r="31" spans="1:19" x14ac:dyDescent="0.25">
      <c r="A31" s="22"/>
      <c r="B31" s="24">
        <v>23</v>
      </c>
      <c r="C31" s="48">
        <f>Electricity!C30</f>
        <v>41</v>
      </c>
      <c r="D31" s="49">
        <f>Electricity!D30</f>
        <v>226</v>
      </c>
      <c r="E31" s="83"/>
      <c r="F31" s="26">
        <v>70.712978034955128</v>
      </c>
      <c r="G31" s="51">
        <f t="shared" si="2"/>
        <v>1120093.5720736892</v>
      </c>
      <c r="H31" s="50"/>
      <c r="I31" s="52">
        <v>38.076218941898915</v>
      </c>
      <c r="J31" s="51">
        <f t="shared" si="3"/>
        <v>603127.30803967884</v>
      </c>
      <c r="K31" s="50"/>
      <c r="L31" s="26">
        <v>4.17</v>
      </c>
      <c r="M31" s="27">
        <f t="shared" si="0"/>
        <v>66052.800000000003</v>
      </c>
      <c r="N31" s="50"/>
      <c r="O31" s="26">
        <v>7.14</v>
      </c>
      <c r="P31" s="52">
        <f t="shared" si="4"/>
        <v>113097.59999999999</v>
      </c>
      <c r="Q31" s="53">
        <f t="shared" si="5"/>
        <v>1902371.2801133683</v>
      </c>
      <c r="R31" s="54">
        <f t="shared" si="1"/>
        <v>132.28365761166597</v>
      </c>
      <c r="S31" s="23"/>
    </row>
    <row r="32" spans="1:19" x14ac:dyDescent="0.25">
      <c r="A32" s="22"/>
      <c r="B32" s="24">
        <v>24</v>
      </c>
      <c r="C32" s="48">
        <f>Electricity!C31</f>
        <v>48</v>
      </c>
      <c r="D32" s="49">
        <f>Electricity!D31</f>
        <v>220</v>
      </c>
      <c r="E32" s="83"/>
      <c r="F32" s="26">
        <v>68.640469768540399</v>
      </c>
      <c r="G32" s="51">
        <f t="shared" si="2"/>
        <v>1087265.0411336799</v>
      </c>
      <c r="H32" s="50"/>
      <c r="I32" s="52">
        <v>36.960252952290979</v>
      </c>
      <c r="J32" s="51">
        <f t="shared" si="3"/>
        <v>585450.40676428913</v>
      </c>
      <c r="K32" s="50"/>
      <c r="L32" s="26">
        <v>4.17</v>
      </c>
      <c r="M32" s="27">
        <f t="shared" si="0"/>
        <v>66052.800000000003</v>
      </c>
      <c r="N32" s="50"/>
      <c r="O32" s="26">
        <v>7.14</v>
      </c>
      <c r="P32" s="52">
        <f t="shared" si="4"/>
        <v>113097.59999999999</v>
      </c>
      <c r="Q32" s="53">
        <f t="shared" si="5"/>
        <v>1851865.8478979692</v>
      </c>
      <c r="R32" s="54">
        <f t="shared" si="1"/>
        <v>128.77170209985184</v>
      </c>
      <c r="S32" s="23"/>
    </row>
    <row r="33" spans="1:21" x14ac:dyDescent="0.25">
      <c r="A33" s="22"/>
      <c r="B33" s="24">
        <v>25</v>
      </c>
      <c r="C33" s="48">
        <f>Electricity!C32</f>
        <v>40</v>
      </c>
      <c r="D33" s="49">
        <f>Electricity!D32</f>
        <v>238</v>
      </c>
      <c r="E33" s="83"/>
      <c r="F33" s="26">
        <v>74.857994567784601</v>
      </c>
      <c r="G33" s="51">
        <f t="shared" si="2"/>
        <v>1185750.633953708</v>
      </c>
      <c r="H33" s="50"/>
      <c r="I33" s="52">
        <v>40.30815092111478</v>
      </c>
      <c r="J33" s="51">
        <f t="shared" si="3"/>
        <v>638481.11059045815</v>
      </c>
      <c r="K33" s="50"/>
      <c r="L33" s="26">
        <v>4.17</v>
      </c>
      <c r="M33" s="27">
        <f t="shared" si="0"/>
        <v>66052.800000000003</v>
      </c>
      <c r="N33" s="50"/>
      <c r="O33" s="26">
        <v>7.14</v>
      </c>
      <c r="P33" s="52">
        <f t="shared" si="4"/>
        <v>113097.59999999999</v>
      </c>
      <c r="Q33" s="53">
        <f t="shared" si="5"/>
        <v>2003382.1445441663</v>
      </c>
      <c r="R33" s="54">
        <f t="shared" si="1"/>
        <v>139.30756863529422</v>
      </c>
      <c r="S33" s="23"/>
    </row>
    <row r="34" spans="1:21" x14ac:dyDescent="0.25">
      <c r="A34" s="22"/>
      <c r="B34" s="24">
        <v>26</v>
      </c>
      <c r="C34" s="48">
        <f>Electricity!C33</f>
        <v>48</v>
      </c>
      <c r="D34" s="49">
        <f>Electricity!D33</f>
        <v>272</v>
      </c>
      <c r="E34" s="83"/>
      <c r="F34" s="26">
        <v>86.60220807746812</v>
      </c>
      <c r="G34" s="51">
        <f t="shared" si="2"/>
        <v>1371778.9759470951</v>
      </c>
      <c r="H34" s="50"/>
      <c r="I34" s="52">
        <v>46.631958195559754</v>
      </c>
      <c r="J34" s="51">
        <f t="shared" si="3"/>
        <v>738650.21781766647</v>
      </c>
      <c r="K34" s="50"/>
      <c r="L34" s="26">
        <v>4.17</v>
      </c>
      <c r="M34" s="27">
        <f t="shared" si="0"/>
        <v>66052.800000000003</v>
      </c>
      <c r="N34" s="50"/>
      <c r="O34" s="26">
        <v>7.14</v>
      </c>
      <c r="P34" s="52">
        <f t="shared" si="4"/>
        <v>113097.59999999999</v>
      </c>
      <c r="Q34" s="53">
        <f t="shared" si="5"/>
        <v>2289579.5937647619</v>
      </c>
      <c r="R34" s="54">
        <f t="shared" si="1"/>
        <v>159.20864986890771</v>
      </c>
      <c r="S34" s="23"/>
    </row>
    <row r="35" spans="1:21" x14ac:dyDescent="0.25">
      <c r="A35" s="22"/>
      <c r="B35" s="24">
        <v>27</v>
      </c>
      <c r="C35" s="48">
        <f>Electricity!C34</f>
        <v>49</v>
      </c>
      <c r="D35" s="49">
        <f>Electricity!D34</f>
        <v>295</v>
      </c>
      <c r="E35" s="83"/>
      <c r="F35" s="26">
        <v>94.546823098724644</v>
      </c>
      <c r="G35" s="51">
        <f t="shared" si="2"/>
        <v>1497621.6778837983</v>
      </c>
      <c r="H35" s="50"/>
      <c r="I35" s="52">
        <v>50.909827822390184</v>
      </c>
      <c r="J35" s="51">
        <f t="shared" si="3"/>
        <v>806411.67270666047</v>
      </c>
      <c r="K35" s="50"/>
      <c r="L35" s="26">
        <v>4.17</v>
      </c>
      <c r="M35" s="27">
        <f t="shared" si="0"/>
        <v>66052.800000000003</v>
      </c>
      <c r="N35" s="50"/>
      <c r="O35" s="26">
        <v>7.14</v>
      </c>
      <c r="P35" s="52">
        <f t="shared" si="4"/>
        <v>113097.59999999999</v>
      </c>
      <c r="Q35" s="53">
        <f t="shared" si="5"/>
        <v>2483183.750590459</v>
      </c>
      <c r="R35" s="54">
        <f t="shared" si="1"/>
        <v>172.67114599752861</v>
      </c>
      <c r="S35" s="23"/>
    </row>
    <row r="36" spans="1:21" x14ac:dyDescent="0.25">
      <c r="A36" s="22"/>
      <c r="B36" s="24">
        <v>28</v>
      </c>
      <c r="C36" s="48">
        <f>Electricity!C35</f>
        <v>44</v>
      </c>
      <c r="D36" s="49">
        <f>Electricity!D35</f>
        <v>241</v>
      </c>
      <c r="E36" s="83"/>
      <c r="F36" s="26">
        <v>75.89424870099198</v>
      </c>
      <c r="G36" s="51">
        <f t="shared" si="2"/>
        <v>1202164.8994237129</v>
      </c>
      <c r="H36" s="50"/>
      <c r="I36" s="52">
        <v>40.866133915918752</v>
      </c>
      <c r="J36" s="51">
        <f t="shared" si="3"/>
        <v>647319.56122815306</v>
      </c>
      <c r="K36" s="50"/>
      <c r="L36" s="26">
        <v>4.17</v>
      </c>
      <c r="M36" s="27">
        <f t="shared" si="0"/>
        <v>66052.800000000003</v>
      </c>
      <c r="N36" s="50"/>
      <c r="O36" s="26">
        <v>7.14</v>
      </c>
      <c r="P36" s="52">
        <f t="shared" si="4"/>
        <v>113097.59999999999</v>
      </c>
      <c r="Q36" s="53">
        <f t="shared" si="5"/>
        <v>2028634.8606518661</v>
      </c>
      <c r="R36" s="54">
        <f t="shared" si="1"/>
        <v>141.0635463912013</v>
      </c>
      <c r="S36" s="23"/>
    </row>
    <row r="37" spans="1:21" x14ac:dyDescent="0.25">
      <c r="A37" s="22"/>
      <c r="B37" s="24">
        <v>29</v>
      </c>
      <c r="C37" s="48">
        <f>Electricity!C36</f>
        <v>42</v>
      </c>
      <c r="D37" s="49">
        <f>Electricity!D36</f>
        <v>262</v>
      </c>
      <c r="E37" s="82"/>
      <c r="F37" s="26">
        <v>83.148027633443562</v>
      </c>
      <c r="G37" s="51">
        <f t="shared" si="2"/>
        <v>1317064.757713746</v>
      </c>
      <c r="H37" s="50"/>
      <c r="I37" s="52">
        <v>44.772014879546532</v>
      </c>
      <c r="J37" s="51">
        <f t="shared" si="3"/>
        <v>709188.71569201711</v>
      </c>
      <c r="K37" s="50"/>
      <c r="L37" s="26">
        <v>4.17</v>
      </c>
      <c r="M37" s="27">
        <f t="shared" si="0"/>
        <v>66052.800000000003</v>
      </c>
      <c r="N37" s="50"/>
      <c r="O37" s="26">
        <v>7.14</v>
      </c>
      <c r="P37" s="52">
        <f t="shared" si="4"/>
        <v>113097.59999999999</v>
      </c>
      <c r="Q37" s="53">
        <f t="shared" si="5"/>
        <v>2205403.8734057634</v>
      </c>
      <c r="R37" s="54">
        <f t="shared" si="1"/>
        <v>153.35539068255082</v>
      </c>
      <c r="S37" s="23"/>
    </row>
    <row r="38" spans="1:21" x14ac:dyDescent="0.25">
      <c r="A38" s="22"/>
      <c r="B38" s="24">
        <v>30</v>
      </c>
      <c r="C38" s="48">
        <f>Electricity!C37</f>
        <v>46</v>
      </c>
      <c r="D38" s="49">
        <f>Electricity!D37</f>
        <v>222</v>
      </c>
      <c r="E38" s="82"/>
      <c r="F38" s="26">
        <v>69.331305857345299</v>
      </c>
      <c r="G38" s="51">
        <f t="shared" si="2"/>
        <v>1098207.8847803494</v>
      </c>
      <c r="H38" s="50"/>
      <c r="I38" s="52">
        <v>37.332241615493615</v>
      </c>
      <c r="J38" s="51">
        <f t="shared" si="3"/>
        <v>591342.70718941884</v>
      </c>
      <c r="K38" s="50"/>
      <c r="L38" s="26">
        <v>4.17</v>
      </c>
      <c r="M38" s="27">
        <f t="shared" si="0"/>
        <v>66052.800000000003</v>
      </c>
      <c r="N38" s="50"/>
      <c r="O38" s="26">
        <v>7.14</v>
      </c>
      <c r="P38" s="52">
        <f t="shared" si="4"/>
        <v>113097.59999999999</v>
      </c>
      <c r="Q38" s="53">
        <f t="shared" si="5"/>
        <v>1868700.9919697684</v>
      </c>
      <c r="R38" s="54">
        <f t="shared" si="1"/>
        <v>129.94235393712319</v>
      </c>
      <c r="S38" s="23"/>
    </row>
    <row r="39" spans="1:21" x14ac:dyDescent="0.25">
      <c r="A39" s="22"/>
      <c r="B39" s="24">
        <v>31</v>
      </c>
      <c r="C39" s="48">
        <f>Electricity!C38</f>
        <v>45</v>
      </c>
      <c r="D39" s="49">
        <f>Electricity!D38</f>
        <v>227</v>
      </c>
      <c r="E39" s="82"/>
      <c r="F39" s="26">
        <v>71.058396079357578</v>
      </c>
      <c r="G39" s="51">
        <f t="shared" si="2"/>
        <v>1125564.9938970241</v>
      </c>
      <c r="H39" s="50"/>
      <c r="I39" s="52">
        <v>38.26221327350023</v>
      </c>
      <c r="J39" s="51">
        <f t="shared" si="3"/>
        <v>606073.45825224358</v>
      </c>
      <c r="K39" s="50"/>
      <c r="L39" s="26">
        <v>4.17</v>
      </c>
      <c r="M39" s="27">
        <f t="shared" si="0"/>
        <v>66052.800000000003</v>
      </c>
      <c r="N39" s="50"/>
      <c r="O39" s="26">
        <v>7.14</v>
      </c>
      <c r="P39" s="52">
        <f t="shared" si="4"/>
        <v>113097.59999999999</v>
      </c>
      <c r="Q39" s="53">
        <f t="shared" si="5"/>
        <v>1910788.8521492677</v>
      </c>
      <c r="R39" s="54">
        <f t="shared" si="1"/>
        <v>132.86898353030162</v>
      </c>
      <c r="S39" s="23"/>
    </row>
    <row r="40" spans="1:21" s="12" customFormat="1" x14ac:dyDescent="0.25">
      <c r="C40" s="55">
        <f>SUM(C9:C39)</f>
        <v>1509</v>
      </c>
      <c r="D40" s="55">
        <f>SUM(D9:D39)</f>
        <v>8468</v>
      </c>
      <c r="E40" s="32"/>
      <c r="F40" s="32">
        <f>SUM(F9:F39)</f>
        <v>2697.1035000000015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4">
        <f>SUM(R9:R39)</f>
        <v>4956.5398790070221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2918.4435000000012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4" workbookViewId="0">
      <selection activeCell="K27" sqref="K27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43831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48</v>
      </c>
      <c r="D9" s="25">
        <f>Gas!D9</f>
        <v>366</v>
      </c>
      <c r="E9" s="72"/>
      <c r="F9" s="73">
        <v>0</v>
      </c>
      <c r="G9" s="73">
        <f t="shared" ref="G9:G39" si="0">F9*$G$8</f>
        <v>0</v>
      </c>
      <c r="H9" s="86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55</v>
      </c>
      <c r="D10" s="25">
        <f>Gas!D10</f>
        <v>398</v>
      </c>
      <c r="E10" s="72"/>
      <c r="F10" s="74">
        <v>0</v>
      </c>
      <c r="G10" s="73">
        <f>F10*$G$8</f>
        <v>0</v>
      </c>
      <c r="H10" s="86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56</v>
      </c>
      <c r="D11" s="25">
        <f>Gas!D11</f>
        <v>344</v>
      </c>
      <c r="E11" s="72"/>
      <c r="F11" s="74">
        <v>0</v>
      </c>
      <c r="G11" s="73">
        <f t="shared" si="0"/>
        <v>0</v>
      </c>
      <c r="H11" s="86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57</v>
      </c>
      <c r="D12" s="25">
        <f>Gas!D12</f>
        <v>301</v>
      </c>
      <c r="E12" s="72"/>
      <c r="F12" s="74">
        <v>0</v>
      </c>
      <c r="G12" s="73">
        <f t="shared" si="0"/>
        <v>0</v>
      </c>
      <c r="H12" s="86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57</v>
      </c>
      <c r="D13" s="25">
        <f>Gas!D13</f>
        <v>379</v>
      </c>
      <c r="E13" s="72"/>
      <c r="F13" s="74">
        <v>0</v>
      </c>
      <c r="G13" s="73">
        <f t="shared" si="0"/>
        <v>0</v>
      </c>
      <c r="H13" s="86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54</v>
      </c>
      <c r="D14" s="25">
        <f>Gas!D14</f>
        <v>305</v>
      </c>
      <c r="E14" s="72"/>
      <c r="F14" s="74">
        <v>227</v>
      </c>
      <c r="G14" s="73">
        <f t="shared" si="0"/>
        <v>2428900</v>
      </c>
      <c r="H14" s="86">
        <f t="shared" si="1"/>
        <v>168.89646060774632</v>
      </c>
      <c r="I14" s="23"/>
    </row>
    <row r="15" spans="1:9" x14ac:dyDescent="0.25">
      <c r="A15" s="71"/>
      <c r="B15" s="24">
        <v>7</v>
      </c>
      <c r="C15" s="25">
        <f>Gas!C15</f>
        <v>58</v>
      </c>
      <c r="D15" s="25">
        <f>Gas!D15</f>
        <v>320</v>
      </c>
      <c r="E15" s="72"/>
      <c r="F15" s="74">
        <v>0</v>
      </c>
      <c r="G15" s="73">
        <f t="shared" si="0"/>
        <v>0</v>
      </c>
      <c r="H15" s="86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54</v>
      </c>
      <c r="D16" s="25">
        <f>Gas!D16</f>
        <v>304</v>
      </c>
      <c r="E16" s="72"/>
      <c r="F16" s="74">
        <v>0</v>
      </c>
      <c r="G16" s="73">
        <f t="shared" si="0"/>
        <v>0</v>
      </c>
      <c r="H16" s="86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49</v>
      </c>
      <c r="D17" s="25">
        <f>Gas!D17</f>
        <v>310</v>
      </c>
      <c r="E17" s="72"/>
      <c r="F17" s="74">
        <v>0</v>
      </c>
      <c r="G17" s="73">
        <f t="shared" si="0"/>
        <v>0</v>
      </c>
      <c r="H17" s="86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52</v>
      </c>
      <c r="D18" s="25">
        <f>Gas!D18</f>
        <v>320</v>
      </c>
      <c r="E18" s="72"/>
      <c r="F18" s="74">
        <v>52</v>
      </c>
      <c r="G18" s="73">
        <f t="shared" si="0"/>
        <v>556400</v>
      </c>
      <c r="H18" s="86">
        <f t="shared" si="1"/>
        <v>38.689938112787708</v>
      </c>
      <c r="I18" s="23"/>
    </row>
    <row r="19" spans="1:9" x14ac:dyDescent="0.25">
      <c r="A19" s="71"/>
      <c r="B19" s="24">
        <v>11</v>
      </c>
      <c r="C19" s="25">
        <f>Gas!C19</f>
        <v>51</v>
      </c>
      <c r="D19" s="25">
        <f>Gas!D19</f>
        <v>292</v>
      </c>
      <c r="E19" s="72"/>
      <c r="F19" s="74">
        <v>0</v>
      </c>
      <c r="G19" s="73">
        <f t="shared" si="0"/>
        <v>0</v>
      </c>
      <c r="H19" s="86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45</v>
      </c>
      <c r="D20" s="25">
        <f>Gas!D20</f>
        <v>232</v>
      </c>
      <c r="E20" s="72"/>
      <c r="F20" s="74">
        <v>0</v>
      </c>
      <c r="G20" s="73">
        <f t="shared" si="0"/>
        <v>0</v>
      </c>
      <c r="H20" s="86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47</v>
      </c>
      <c r="D21" s="25">
        <f>Gas!D21</f>
        <v>224</v>
      </c>
      <c r="E21" s="72"/>
      <c r="F21" s="74">
        <v>51</v>
      </c>
      <c r="G21" s="73">
        <f t="shared" si="0"/>
        <v>545700</v>
      </c>
      <c r="H21" s="86">
        <f t="shared" si="1"/>
        <v>37.945900841387946</v>
      </c>
      <c r="I21" s="23"/>
    </row>
    <row r="22" spans="1:9" x14ac:dyDescent="0.25">
      <c r="A22" s="71"/>
      <c r="B22" s="24">
        <v>14</v>
      </c>
      <c r="C22" s="25">
        <f>Gas!C22</f>
        <v>39</v>
      </c>
      <c r="D22" s="25">
        <f>Gas!D22</f>
        <v>283</v>
      </c>
      <c r="E22" s="72"/>
      <c r="F22" s="74">
        <v>0</v>
      </c>
      <c r="G22" s="73">
        <f t="shared" si="0"/>
        <v>0</v>
      </c>
      <c r="H22" s="86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48</v>
      </c>
      <c r="D23" s="25">
        <f>Gas!D23</f>
        <v>206</v>
      </c>
      <c r="E23" s="72"/>
      <c r="F23" s="74">
        <v>0</v>
      </c>
      <c r="G23" s="73">
        <f t="shared" si="0"/>
        <v>0</v>
      </c>
      <c r="H23" s="86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42</v>
      </c>
      <c r="D24" s="25">
        <f>Gas!D24</f>
        <v>317</v>
      </c>
      <c r="E24" s="72"/>
      <c r="F24" s="74">
        <v>0</v>
      </c>
      <c r="G24" s="73">
        <f t="shared" si="0"/>
        <v>0</v>
      </c>
      <c r="H24" s="86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53</v>
      </c>
      <c r="D25" s="25">
        <f>Gas!D25</f>
        <v>229</v>
      </c>
      <c r="E25" s="72"/>
      <c r="F25" s="74">
        <v>0</v>
      </c>
      <c r="G25" s="73">
        <f t="shared" si="0"/>
        <v>0</v>
      </c>
      <c r="H25" s="86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51</v>
      </c>
      <c r="D26" s="25">
        <f>Gas!D26</f>
        <v>274</v>
      </c>
      <c r="E26" s="72"/>
      <c r="F26" s="74">
        <v>0</v>
      </c>
      <c r="G26" s="73">
        <f t="shared" si="0"/>
        <v>0</v>
      </c>
      <c r="H26" s="86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45</v>
      </c>
      <c r="D27" s="25">
        <f>Gas!D27</f>
        <v>226</v>
      </c>
      <c r="E27" s="72"/>
      <c r="F27" s="74">
        <v>0</v>
      </c>
      <c r="G27" s="73">
        <f t="shared" si="0"/>
        <v>0</v>
      </c>
      <c r="H27" s="86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45</v>
      </c>
      <c r="D28" s="25">
        <f>Gas!D28</f>
        <v>222</v>
      </c>
      <c r="E28" s="72"/>
      <c r="F28" s="74">
        <v>51</v>
      </c>
      <c r="G28" s="73">
        <f t="shared" si="0"/>
        <v>545700</v>
      </c>
      <c r="H28" s="86">
        <f t="shared" si="1"/>
        <v>37.945900841387946</v>
      </c>
      <c r="I28" s="23"/>
    </row>
    <row r="29" spans="1:9" x14ac:dyDescent="0.25">
      <c r="A29" s="71"/>
      <c r="B29" s="24">
        <v>21</v>
      </c>
      <c r="C29" s="25">
        <f>Gas!C29</f>
        <v>48</v>
      </c>
      <c r="D29" s="25">
        <f>Gas!D29</f>
        <v>169</v>
      </c>
      <c r="E29" s="72"/>
      <c r="F29" s="74">
        <v>0</v>
      </c>
      <c r="G29" s="73">
        <f t="shared" si="0"/>
        <v>0</v>
      </c>
      <c r="H29" s="86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52</v>
      </c>
      <c r="D30" s="25">
        <f>Gas!D30</f>
        <v>244</v>
      </c>
      <c r="E30" s="72"/>
      <c r="F30" s="74">
        <v>0</v>
      </c>
      <c r="G30" s="73">
        <f t="shared" si="0"/>
        <v>0</v>
      </c>
      <c r="H30" s="86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41</v>
      </c>
      <c r="D31" s="25">
        <f>Gas!D31</f>
        <v>226</v>
      </c>
      <c r="E31" s="72"/>
      <c r="F31" s="74">
        <v>0</v>
      </c>
      <c r="G31" s="73">
        <f t="shared" si="0"/>
        <v>0</v>
      </c>
      <c r="H31" s="86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48</v>
      </c>
      <c r="D32" s="25">
        <f>Gas!D32</f>
        <v>220</v>
      </c>
      <c r="E32" s="72"/>
      <c r="F32" s="74">
        <v>0</v>
      </c>
      <c r="G32" s="73"/>
      <c r="H32" s="86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40</v>
      </c>
      <c r="D33" s="25">
        <f>Gas!D33</f>
        <v>238</v>
      </c>
      <c r="E33" s="72"/>
      <c r="F33" s="74">
        <v>0</v>
      </c>
      <c r="G33" s="73">
        <f t="shared" si="0"/>
        <v>0</v>
      </c>
      <c r="H33" s="86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48</v>
      </c>
      <c r="D34" s="25">
        <f>Gas!D34</f>
        <v>272</v>
      </c>
      <c r="E34" s="72"/>
      <c r="F34" s="74">
        <v>0</v>
      </c>
      <c r="G34" s="73">
        <f t="shared" si="0"/>
        <v>0</v>
      </c>
      <c r="H34" s="86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49</v>
      </c>
      <c r="D35" s="25">
        <f>Gas!D35</f>
        <v>295</v>
      </c>
      <c r="E35" s="72"/>
      <c r="F35" s="74">
        <v>48</v>
      </c>
      <c r="G35" s="73">
        <f t="shared" si="0"/>
        <v>513600</v>
      </c>
      <c r="H35" s="86">
        <f t="shared" si="1"/>
        <v>35.713789027188653</v>
      </c>
      <c r="I35" s="23"/>
    </row>
    <row r="36" spans="1:11" x14ac:dyDescent="0.25">
      <c r="A36" s="71"/>
      <c r="B36" s="24">
        <v>28</v>
      </c>
      <c r="C36" s="25">
        <f>Gas!C36</f>
        <v>44</v>
      </c>
      <c r="D36" s="25">
        <f>Gas!D36</f>
        <v>241</v>
      </c>
      <c r="E36" s="72"/>
      <c r="F36" s="74">
        <v>0</v>
      </c>
      <c r="G36" s="73">
        <f t="shared" si="0"/>
        <v>0</v>
      </c>
      <c r="H36" s="86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42</v>
      </c>
      <c r="D37" s="25">
        <f>Gas!D37</f>
        <v>262</v>
      </c>
      <c r="E37" s="72"/>
      <c r="F37" s="74">
        <v>0</v>
      </c>
      <c r="G37" s="73">
        <f t="shared" si="0"/>
        <v>0</v>
      </c>
      <c r="H37" s="86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46</v>
      </c>
      <c r="D38" s="25">
        <f>Gas!D38</f>
        <v>222</v>
      </c>
      <c r="E38" s="72"/>
      <c r="F38" s="74">
        <v>0</v>
      </c>
      <c r="G38" s="73">
        <f t="shared" si="0"/>
        <v>0</v>
      </c>
      <c r="H38" s="86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45</v>
      </c>
      <c r="D39" s="25">
        <f>Gas!D39</f>
        <v>227</v>
      </c>
      <c r="E39" s="72"/>
      <c r="F39" s="74">
        <v>0</v>
      </c>
      <c r="G39" s="73">
        <f t="shared" si="0"/>
        <v>0</v>
      </c>
      <c r="H39" s="86">
        <f t="shared" si="1"/>
        <v>0</v>
      </c>
      <c r="I39" s="23"/>
    </row>
    <row r="40" spans="1:11" s="12" customFormat="1" x14ac:dyDescent="0.25">
      <c r="C40" s="32">
        <f>SUM(C9:C39)</f>
        <v>1509</v>
      </c>
      <c r="D40" s="32">
        <f>SUM(D9:D39)</f>
        <v>8468</v>
      </c>
      <c r="E40" s="32"/>
      <c r="F40" s="32">
        <f>SUM(F9:F39)</f>
        <v>429</v>
      </c>
      <c r="G40" s="32"/>
      <c r="H40" s="75">
        <f>SUM(H9:H39)</f>
        <v>319.19198943049855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opLeftCell="A5" workbookViewId="0">
      <selection activeCell="Q12" sqref="Q12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43831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48</v>
      </c>
      <c r="D9" s="25">
        <f>'Fuel Diesel'!D9</f>
        <v>366</v>
      </c>
      <c r="E9" s="26">
        <v>64</v>
      </c>
      <c r="F9" s="28">
        <f>E9*13582</f>
        <v>869248</v>
      </c>
      <c r="G9" s="26">
        <v>99</v>
      </c>
      <c r="H9" s="28">
        <f>G9*4000</f>
        <v>396000</v>
      </c>
      <c r="I9" s="26">
        <v>113</v>
      </c>
      <c r="J9" s="28">
        <f>I9*4000</f>
        <v>452000</v>
      </c>
      <c r="K9" s="26">
        <f t="shared" ref="K9:K39" si="0">F9+H9+J9</f>
        <v>1717248</v>
      </c>
      <c r="L9" s="79">
        <f>K9/14381</f>
        <v>119.410889367916</v>
      </c>
      <c r="M9" s="23"/>
    </row>
    <row r="10" spans="1:13" x14ac:dyDescent="0.25">
      <c r="A10" s="22"/>
      <c r="B10" s="24">
        <v>2</v>
      </c>
      <c r="C10" s="25">
        <f>'Fuel Diesel'!C10</f>
        <v>55</v>
      </c>
      <c r="D10" s="25">
        <f>'Fuel Diesel'!D10</f>
        <v>398</v>
      </c>
      <c r="E10" s="26">
        <v>63</v>
      </c>
      <c r="F10" s="28">
        <f>E10*13582</f>
        <v>855666</v>
      </c>
      <c r="G10" s="26">
        <v>109</v>
      </c>
      <c r="H10" s="28">
        <f>G10*4000</f>
        <v>436000</v>
      </c>
      <c r="I10" s="26">
        <v>122</v>
      </c>
      <c r="J10" s="28">
        <f>I10*4000</f>
        <v>488000</v>
      </c>
      <c r="K10" s="26">
        <f t="shared" si="0"/>
        <v>1779666</v>
      </c>
      <c r="L10" s="79">
        <f t="shared" ref="L10:L39" si="1">K10/14381</f>
        <v>123.75119949933941</v>
      </c>
      <c r="M10" s="23"/>
    </row>
    <row r="11" spans="1:13" x14ac:dyDescent="0.25">
      <c r="A11" s="22"/>
      <c r="B11" s="24">
        <v>3</v>
      </c>
      <c r="C11" s="25">
        <f>'Fuel Diesel'!C11</f>
        <v>56</v>
      </c>
      <c r="D11" s="25">
        <f>'Fuel Diesel'!D11</f>
        <v>344</v>
      </c>
      <c r="E11" s="26">
        <v>61</v>
      </c>
      <c r="F11" s="28">
        <f t="shared" ref="F11:F39" si="2">E11*13582</f>
        <v>828502</v>
      </c>
      <c r="G11" s="26">
        <v>124</v>
      </c>
      <c r="H11" s="28">
        <f t="shared" ref="H11:H39" si="3">G11*4000</f>
        <v>496000</v>
      </c>
      <c r="I11" s="26">
        <v>139</v>
      </c>
      <c r="J11" s="28">
        <f t="shared" ref="J11:J39" si="4">I11*4000</f>
        <v>556000</v>
      </c>
      <c r="K11" s="26">
        <f t="shared" si="0"/>
        <v>1880502</v>
      </c>
      <c r="L11" s="79">
        <f t="shared" si="1"/>
        <v>130.76295111605592</v>
      </c>
      <c r="M11" s="23"/>
    </row>
    <row r="12" spans="1:13" x14ac:dyDescent="0.25">
      <c r="A12" s="22"/>
      <c r="B12" s="24">
        <v>4</v>
      </c>
      <c r="C12" s="25">
        <f>'Fuel Diesel'!C12</f>
        <v>57</v>
      </c>
      <c r="D12" s="25">
        <f>'Fuel Diesel'!D12</f>
        <v>301</v>
      </c>
      <c r="E12" s="26">
        <v>57</v>
      </c>
      <c r="F12" s="28">
        <f t="shared" si="2"/>
        <v>774174</v>
      </c>
      <c r="G12" s="26">
        <v>121</v>
      </c>
      <c r="H12" s="28">
        <f t="shared" si="3"/>
        <v>484000</v>
      </c>
      <c r="I12" s="26">
        <v>137</v>
      </c>
      <c r="J12" s="28">
        <f t="shared" si="4"/>
        <v>548000</v>
      </c>
      <c r="K12" s="26">
        <f t="shared" si="0"/>
        <v>1806174</v>
      </c>
      <c r="L12" s="79">
        <f t="shared" si="1"/>
        <v>125.59446491899034</v>
      </c>
      <c r="M12" s="23"/>
    </row>
    <row r="13" spans="1:13" x14ac:dyDescent="0.25">
      <c r="A13" s="22"/>
      <c r="B13" s="24">
        <v>5</v>
      </c>
      <c r="C13" s="25">
        <f>'Fuel Diesel'!C13</f>
        <v>57</v>
      </c>
      <c r="D13" s="25">
        <f>'Fuel Diesel'!D13</f>
        <v>379</v>
      </c>
      <c r="E13" s="26">
        <v>62</v>
      </c>
      <c r="F13" s="28">
        <f t="shared" si="2"/>
        <v>842084</v>
      </c>
      <c r="G13" s="26">
        <v>115</v>
      </c>
      <c r="H13" s="28">
        <f t="shared" si="3"/>
        <v>460000</v>
      </c>
      <c r="I13" s="26">
        <v>130</v>
      </c>
      <c r="J13" s="28">
        <f t="shared" si="4"/>
        <v>520000</v>
      </c>
      <c r="K13" s="26">
        <f t="shared" si="0"/>
        <v>1822084</v>
      </c>
      <c r="L13" s="79">
        <f t="shared" si="1"/>
        <v>126.70078575898755</v>
      </c>
      <c r="M13" s="23"/>
    </row>
    <row r="14" spans="1:13" x14ac:dyDescent="0.25">
      <c r="A14" s="22"/>
      <c r="B14" s="24">
        <v>6</v>
      </c>
      <c r="C14" s="25">
        <f>'Fuel Diesel'!C14</f>
        <v>54</v>
      </c>
      <c r="D14" s="25">
        <f>'Fuel Diesel'!D14</f>
        <v>305</v>
      </c>
      <c r="E14" s="26">
        <v>66</v>
      </c>
      <c r="F14" s="28">
        <f t="shared" si="2"/>
        <v>896412</v>
      </c>
      <c r="G14" s="26">
        <v>122</v>
      </c>
      <c r="H14" s="28">
        <f t="shared" si="3"/>
        <v>488000</v>
      </c>
      <c r="I14" s="26">
        <v>136</v>
      </c>
      <c r="J14" s="28">
        <f t="shared" si="4"/>
        <v>544000</v>
      </c>
      <c r="K14" s="26">
        <f t="shared" si="0"/>
        <v>1928412</v>
      </c>
      <c r="L14" s="79">
        <f t="shared" si="1"/>
        <v>134.09443015089354</v>
      </c>
      <c r="M14" s="23"/>
    </row>
    <row r="15" spans="1:13" x14ac:dyDescent="0.25">
      <c r="A15" s="22"/>
      <c r="B15" s="24">
        <v>7</v>
      </c>
      <c r="C15" s="25">
        <f>'Fuel Diesel'!C15</f>
        <v>58</v>
      </c>
      <c r="D15" s="25">
        <f>'Fuel Diesel'!D15</f>
        <v>320</v>
      </c>
      <c r="E15" s="26">
        <v>60</v>
      </c>
      <c r="F15" s="28">
        <f t="shared" si="2"/>
        <v>814920</v>
      </c>
      <c r="G15" s="26">
        <v>197</v>
      </c>
      <c r="H15" s="28">
        <f t="shared" si="3"/>
        <v>788000</v>
      </c>
      <c r="I15" s="26">
        <v>108</v>
      </c>
      <c r="J15" s="28">
        <f t="shared" si="4"/>
        <v>432000</v>
      </c>
      <c r="K15" s="26">
        <f t="shared" si="0"/>
        <v>2034920</v>
      </c>
      <c r="L15" s="79">
        <f t="shared" si="1"/>
        <v>141.50059105764549</v>
      </c>
      <c r="M15" s="23"/>
    </row>
    <row r="16" spans="1:13" x14ac:dyDescent="0.25">
      <c r="A16" s="22"/>
      <c r="B16" s="24">
        <v>8</v>
      </c>
      <c r="C16" s="25">
        <f>'Fuel Diesel'!C16</f>
        <v>54</v>
      </c>
      <c r="D16" s="25">
        <f>'Fuel Diesel'!D16</f>
        <v>304</v>
      </c>
      <c r="E16" s="26">
        <v>59</v>
      </c>
      <c r="F16" s="28">
        <f t="shared" si="2"/>
        <v>801338</v>
      </c>
      <c r="G16" s="26">
        <v>123</v>
      </c>
      <c r="H16" s="28">
        <f t="shared" si="3"/>
        <v>492000</v>
      </c>
      <c r="I16" s="26">
        <v>140</v>
      </c>
      <c r="J16" s="28">
        <f t="shared" si="4"/>
        <v>560000</v>
      </c>
      <c r="K16" s="26">
        <f t="shared" si="0"/>
        <v>1853338</v>
      </c>
      <c r="L16" s="79">
        <f t="shared" si="1"/>
        <v>128.87406995341075</v>
      </c>
      <c r="M16" s="23"/>
    </row>
    <row r="17" spans="1:13" x14ac:dyDescent="0.25">
      <c r="A17" s="22"/>
      <c r="B17" s="24">
        <v>9</v>
      </c>
      <c r="C17" s="25">
        <f>'Fuel Diesel'!C17</f>
        <v>49</v>
      </c>
      <c r="D17" s="25">
        <f>'Fuel Diesel'!D17</f>
        <v>310</v>
      </c>
      <c r="E17" s="26">
        <v>57</v>
      </c>
      <c r="F17" s="28">
        <f t="shared" si="2"/>
        <v>774174</v>
      </c>
      <c r="G17" s="26">
        <v>110</v>
      </c>
      <c r="H17" s="28">
        <f t="shared" si="3"/>
        <v>440000</v>
      </c>
      <c r="I17" s="26">
        <v>125</v>
      </c>
      <c r="J17" s="28">
        <f t="shared" si="4"/>
        <v>500000</v>
      </c>
      <c r="K17" s="26">
        <f t="shared" si="0"/>
        <v>1714174</v>
      </c>
      <c r="L17" s="79">
        <f t="shared" si="1"/>
        <v>119.19713510882414</v>
      </c>
      <c r="M17" s="23"/>
    </row>
    <row r="18" spans="1:13" x14ac:dyDescent="0.25">
      <c r="A18" s="22"/>
      <c r="B18" s="24">
        <v>10</v>
      </c>
      <c r="C18" s="25">
        <f>'Fuel Diesel'!C18</f>
        <v>52</v>
      </c>
      <c r="D18" s="25">
        <f>'Fuel Diesel'!D18</f>
        <v>320</v>
      </c>
      <c r="E18" s="26">
        <v>54</v>
      </c>
      <c r="F18" s="28">
        <f t="shared" si="2"/>
        <v>733428</v>
      </c>
      <c r="G18" s="26">
        <v>124</v>
      </c>
      <c r="H18" s="28">
        <f t="shared" si="3"/>
        <v>496000</v>
      </c>
      <c r="I18" s="26">
        <v>141</v>
      </c>
      <c r="J18" s="28">
        <f t="shared" si="4"/>
        <v>564000</v>
      </c>
      <c r="K18" s="26">
        <f t="shared" si="0"/>
        <v>1793428</v>
      </c>
      <c r="L18" s="79">
        <f t="shared" si="1"/>
        <v>124.70815659550796</v>
      </c>
      <c r="M18" s="23"/>
    </row>
    <row r="19" spans="1:13" x14ac:dyDescent="0.25">
      <c r="A19" s="22"/>
      <c r="B19" s="24">
        <v>11</v>
      </c>
      <c r="C19" s="25">
        <f>'Fuel Diesel'!C19</f>
        <v>51</v>
      </c>
      <c r="D19" s="25">
        <f>'Fuel Diesel'!D19</f>
        <v>292</v>
      </c>
      <c r="E19" s="26">
        <v>63</v>
      </c>
      <c r="F19" s="28">
        <f t="shared" si="2"/>
        <v>855666</v>
      </c>
      <c r="G19" s="26">
        <v>136</v>
      </c>
      <c r="H19" s="28">
        <f t="shared" si="3"/>
        <v>544000</v>
      </c>
      <c r="I19" s="26">
        <v>154</v>
      </c>
      <c r="J19" s="28">
        <f t="shared" si="4"/>
        <v>616000</v>
      </c>
      <c r="K19" s="26">
        <f t="shared" si="0"/>
        <v>2015666</v>
      </c>
      <c r="L19" s="79">
        <f t="shared" si="1"/>
        <v>140.16174118628746</v>
      </c>
      <c r="M19" s="23"/>
    </row>
    <row r="20" spans="1:13" x14ac:dyDescent="0.25">
      <c r="A20" s="22"/>
      <c r="B20" s="24">
        <v>12</v>
      </c>
      <c r="C20" s="25">
        <f>'Fuel Diesel'!C20</f>
        <v>45</v>
      </c>
      <c r="D20" s="25">
        <f>'Fuel Diesel'!D20</f>
        <v>232</v>
      </c>
      <c r="E20" s="26">
        <v>51</v>
      </c>
      <c r="F20" s="28">
        <f t="shared" si="2"/>
        <v>692682</v>
      </c>
      <c r="G20" s="26">
        <v>198</v>
      </c>
      <c r="H20" s="28">
        <f>G20*4000</f>
        <v>792000</v>
      </c>
      <c r="I20" s="26">
        <v>114</v>
      </c>
      <c r="J20" s="28">
        <f t="shared" si="4"/>
        <v>456000</v>
      </c>
      <c r="K20" s="26">
        <f t="shared" si="0"/>
        <v>1940682</v>
      </c>
      <c r="L20" s="79">
        <f t="shared" si="1"/>
        <v>134.94763924622765</v>
      </c>
      <c r="M20" s="23"/>
    </row>
    <row r="21" spans="1:13" x14ac:dyDescent="0.25">
      <c r="A21" s="22"/>
      <c r="B21" s="24">
        <v>13</v>
      </c>
      <c r="C21" s="25">
        <f>'Fuel Diesel'!C21</f>
        <v>47</v>
      </c>
      <c r="D21" s="25">
        <f>'Fuel Diesel'!D21</f>
        <v>224</v>
      </c>
      <c r="E21" s="26">
        <v>63</v>
      </c>
      <c r="F21" s="28">
        <f t="shared" si="2"/>
        <v>855666</v>
      </c>
      <c r="G21" s="26">
        <v>199</v>
      </c>
      <c r="H21" s="28">
        <f t="shared" si="3"/>
        <v>796000</v>
      </c>
      <c r="I21" s="26">
        <v>114</v>
      </c>
      <c r="J21" s="28">
        <f t="shared" si="4"/>
        <v>456000</v>
      </c>
      <c r="K21" s="26">
        <f t="shared" si="0"/>
        <v>2107666</v>
      </c>
      <c r="L21" s="79">
        <f t="shared" si="1"/>
        <v>146.55907099645364</v>
      </c>
      <c r="M21" s="23"/>
    </row>
    <row r="22" spans="1:13" x14ac:dyDescent="0.25">
      <c r="A22" s="22"/>
      <c r="B22" s="24">
        <v>14</v>
      </c>
      <c r="C22" s="25">
        <f>'Fuel Diesel'!C22</f>
        <v>39</v>
      </c>
      <c r="D22" s="25">
        <f>'Fuel Diesel'!D22</f>
        <v>283</v>
      </c>
      <c r="E22" s="26">
        <v>57</v>
      </c>
      <c r="F22" s="28">
        <f t="shared" si="2"/>
        <v>774174</v>
      </c>
      <c r="G22" s="26">
        <v>144</v>
      </c>
      <c r="H22" s="28">
        <f t="shared" si="3"/>
        <v>576000</v>
      </c>
      <c r="I22" s="26">
        <v>160</v>
      </c>
      <c r="J22" s="28">
        <f t="shared" si="4"/>
        <v>640000</v>
      </c>
      <c r="K22" s="26">
        <f t="shared" si="0"/>
        <v>1990174</v>
      </c>
      <c r="L22" s="79">
        <f t="shared" si="1"/>
        <v>138.38912453932272</v>
      </c>
      <c r="M22" s="23"/>
    </row>
    <row r="23" spans="1:13" x14ac:dyDescent="0.25">
      <c r="A23" s="22"/>
      <c r="B23" s="24">
        <v>15</v>
      </c>
      <c r="C23" s="25">
        <f>'Fuel Diesel'!C23</f>
        <v>48</v>
      </c>
      <c r="D23" s="25">
        <f>'Fuel Diesel'!D23</f>
        <v>206</v>
      </c>
      <c r="E23" s="26">
        <v>63</v>
      </c>
      <c r="F23" s="28">
        <f t="shared" si="2"/>
        <v>855666</v>
      </c>
      <c r="G23" s="26">
        <v>166</v>
      </c>
      <c r="H23" s="28">
        <f t="shared" si="3"/>
        <v>664000</v>
      </c>
      <c r="I23" s="26">
        <v>189</v>
      </c>
      <c r="J23" s="28">
        <f t="shared" si="4"/>
        <v>756000</v>
      </c>
      <c r="K23" s="26">
        <f t="shared" si="0"/>
        <v>2275666</v>
      </c>
      <c r="L23" s="79">
        <f t="shared" si="1"/>
        <v>158.24115151936584</v>
      </c>
      <c r="M23" s="23"/>
    </row>
    <row r="24" spans="1:13" x14ac:dyDescent="0.25">
      <c r="A24" s="22"/>
      <c r="B24" s="24">
        <v>16</v>
      </c>
      <c r="C24" s="25">
        <f>'Fuel Diesel'!C24</f>
        <v>42</v>
      </c>
      <c r="D24" s="25">
        <f>'Fuel Diesel'!D24</f>
        <v>317</v>
      </c>
      <c r="E24" s="26">
        <v>65</v>
      </c>
      <c r="F24" s="28">
        <f t="shared" si="2"/>
        <v>882830</v>
      </c>
      <c r="G24" s="26">
        <v>205</v>
      </c>
      <c r="H24" s="28">
        <f t="shared" si="3"/>
        <v>820000</v>
      </c>
      <c r="I24" s="26">
        <v>135</v>
      </c>
      <c r="J24" s="28">
        <f t="shared" si="4"/>
        <v>540000</v>
      </c>
      <c r="K24" s="26">
        <f t="shared" si="0"/>
        <v>2242830</v>
      </c>
      <c r="L24" s="79">
        <f t="shared" si="1"/>
        <v>155.95786106668521</v>
      </c>
      <c r="M24" s="23"/>
    </row>
    <row r="25" spans="1:13" x14ac:dyDescent="0.25">
      <c r="A25" s="22"/>
      <c r="B25" s="24">
        <v>17</v>
      </c>
      <c r="C25" s="25">
        <f>'Fuel Diesel'!C25</f>
        <v>53</v>
      </c>
      <c r="D25" s="25">
        <f>'Fuel Diesel'!D25</f>
        <v>229</v>
      </c>
      <c r="E25" s="26">
        <v>64</v>
      </c>
      <c r="F25" s="28">
        <f t="shared" si="2"/>
        <v>869248</v>
      </c>
      <c r="G25" s="26">
        <v>210</v>
      </c>
      <c r="H25" s="28">
        <f t="shared" si="3"/>
        <v>840000</v>
      </c>
      <c r="I25" s="26">
        <v>166</v>
      </c>
      <c r="J25" s="28">
        <f t="shared" si="4"/>
        <v>664000</v>
      </c>
      <c r="K25" s="26">
        <f t="shared" si="0"/>
        <v>2373248</v>
      </c>
      <c r="L25" s="79">
        <f t="shared" si="1"/>
        <v>165.02663236214448</v>
      </c>
      <c r="M25" s="23"/>
    </row>
    <row r="26" spans="1:13" x14ac:dyDescent="0.25">
      <c r="A26" s="22"/>
      <c r="B26" s="24">
        <v>18</v>
      </c>
      <c r="C26" s="25">
        <f>'Fuel Diesel'!C26</f>
        <v>51</v>
      </c>
      <c r="D26" s="25">
        <f>'Fuel Diesel'!D26</f>
        <v>274</v>
      </c>
      <c r="E26" s="26">
        <v>56</v>
      </c>
      <c r="F26" s="28">
        <f t="shared" si="2"/>
        <v>760592</v>
      </c>
      <c r="G26" s="26">
        <v>190</v>
      </c>
      <c r="H26" s="28">
        <f t="shared" si="3"/>
        <v>760000</v>
      </c>
      <c r="I26" s="26">
        <v>145</v>
      </c>
      <c r="J26" s="28">
        <f t="shared" si="4"/>
        <v>580000</v>
      </c>
      <c r="K26" s="26">
        <f t="shared" si="0"/>
        <v>2100592</v>
      </c>
      <c r="L26" s="79">
        <f t="shared" si="1"/>
        <v>146.06717196300676</v>
      </c>
      <c r="M26" s="23"/>
    </row>
    <row r="27" spans="1:13" x14ac:dyDescent="0.25">
      <c r="A27" s="22"/>
      <c r="B27" s="24">
        <v>19</v>
      </c>
      <c r="C27" s="25">
        <f>'Fuel Diesel'!C27</f>
        <v>45</v>
      </c>
      <c r="D27" s="25">
        <f>'Fuel Diesel'!D27</f>
        <v>226</v>
      </c>
      <c r="E27" s="26">
        <v>62</v>
      </c>
      <c r="F27" s="28">
        <f t="shared" si="2"/>
        <v>842084</v>
      </c>
      <c r="G27" s="26">
        <v>191</v>
      </c>
      <c r="H27" s="28">
        <f t="shared" si="3"/>
        <v>764000</v>
      </c>
      <c r="I27" s="26">
        <v>165</v>
      </c>
      <c r="J27" s="28">
        <f t="shared" si="4"/>
        <v>660000</v>
      </c>
      <c r="K27" s="26">
        <f t="shared" si="0"/>
        <v>2266084</v>
      </c>
      <c r="L27" s="79">
        <f t="shared" si="1"/>
        <v>157.57485571239829</v>
      </c>
      <c r="M27" s="23"/>
    </row>
    <row r="28" spans="1:13" x14ac:dyDescent="0.25">
      <c r="A28" s="22"/>
      <c r="B28" s="24">
        <v>20</v>
      </c>
      <c r="C28" s="25">
        <f>'Fuel Diesel'!C28</f>
        <v>45</v>
      </c>
      <c r="D28" s="25">
        <f>'Fuel Diesel'!D28</f>
        <v>222</v>
      </c>
      <c r="E28" s="26">
        <v>62</v>
      </c>
      <c r="F28" s="28">
        <f t="shared" si="2"/>
        <v>842084</v>
      </c>
      <c r="G28" s="26">
        <v>198</v>
      </c>
      <c r="H28" s="28">
        <f t="shared" si="3"/>
        <v>792000</v>
      </c>
      <c r="I28" s="26">
        <v>155</v>
      </c>
      <c r="J28" s="28">
        <f t="shared" si="4"/>
        <v>620000</v>
      </c>
      <c r="K28" s="26">
        <f t="shared" si="0"/>
        <v>2254084</v>
      </c>
      <c r="L28" s="79">
        <f t="shared" si="1"/>
        <v>156.74042138933314</v>
      </c>
      <c r="M28" s="23"/>
    </row>
    <row r="29" spans="1:13" x14ac:dyDescent="0.25">
      <c r="A29" s="22"/>
      <c r="B29" s="24">
        <v>21</v>
      </c>
      <c r="C29" s="25">
        <f>'Fuel Diesel'!C29</f>
        <v>48</v>
      </c>
      <c r="D29" s="25">
        <f>'Fuel Diesel'!D29</f>
        <v>169</v>
      </c>
      <c r="E29" s="26">
        <v>54</v>
      </c>
      <c r="F29" s="28">
        <f t="shared" si="2"/>
        <v>733428</v>
      </c>
      <c r="G29" s="26">
        <v>195</v>
      </c>
      <c r="H29" s="28">
        <f t="shared" si="3"/>
        <v>780000</v>
      </c>
      <c r="I29" s="26">
        <v>159</v>
      </c>
      <c r="J29" s="28">
        <f t="shared" si="4"/>
        <v>636000</v>
      </c>
      <c r="K29" s="26">
        <f t="shared" si="0"/>
        <v>2149428</v>
      </c>
      <c r="L29" s="79">
        <f t="shared" si="1"/>
        <v>149.46304151310758</v>
      </c>
      <c r="M29" s="23"/>
    </row>
    <row r="30" spans="1:13" x14ac:dyDescent="0.25">
      <c r="A30" s="22"/>
      <c r="B30" s="24">
        <v>22</v>
      </c>
      <c r="C30" s="25">
        <f>'Fuel Diesel'!C30</f>
        <v>52</v>
      </c>
      <c r="D30" s="25">
        <f>'Fuel Diesel'!D30</f>
        <v>244</v>
      </c>
      <c r="E30" s="26">
        <v>63</v>
      </c>
      <c r="F30" s="28">
        <f t="shared" si="2"/>
        <v>855666</v>
      </c>
      <c r="G30" s="26">
        <v>190</v>
      </c>
      <c r="H30" s="28">
        <f t="shared" si="3"/>
        <v>760000</v>
      </c>
      <c r="I30" s="26">
        <v>129</v>
      </c>
      <c r="J30" s="28">
        <f t="shared" si="4"/>
        <v>516000</v>
      </c>
      <c r="K30" s="26">
        <f t="shared" si="0"/>
        <v>2131666</v>
      </c>
      <c r="L30" s="79">
        <f t="shared" si="1"/>
        <v>148.22793964258398</v>
      </c>
      <c r="M30" s="23"/>
    </row>
    <row r="31" spans="1:13" x14ac:dyDescent="0.25">
      <c r="A31" s="22"/>
      <c r="B31" s="24">
        <v>23</v>
      </c>
      <c r="C31" s="25">
        <f>'Fuel Diesel'!C31</f>
        <v>41</v>
      </c>
      <c r="D31" s="25">
        <f>'Fuel Diesel'!D31</f>
        <v>226</v>
      </c>
      <c r="E31" s="26">
        <v>60</v>
      </c>
      <c r="F31" s="28">
        <f t="shared" si="2"/>
        <v>814920</v>
      </c>
      <c r="G31" s="26">
        <v>198</v>
      </c>
      <c r="H31" s="28">
        <f t="shared" si="3"/>
        <v>792000</v>
      </c>
      <c r="I31" s="26">
        <v>121</v>
      </c>
      <c r="J31" s="28">
        <f t="shared" si="4"/>
        <v>484000</v>
      </c>
      <c r="K31" s="26">
        <f t="shared" si="0"/>
        <v>2090920</v>
      </c>
      <c r="L31" s="79">
        <f t="shared" si="1"/>
        <v>145.39461789861622</v>
      </c>
      <c r="M31" s="23"/>
    </row>
    <row r="32" spans="1:13" x14ac:dyDescent="0.25">
      <c r="A32" s="22"/>
      <c r="B32" s="24">
        <v>24</v>
      </c>
      <c r="C32" s="25">
        <f>'Fuel Diesel'!C32</f>
        <v>48</v>
      </c>
      <c r="D32" s="25">
        <f>'Fuel Diesel'!D32</f>
        <v>220</v>
      </c>
      <c r="E32" s="26">
        <v>54</v>
      </c>
      <c r="F32" s="28">
        <f t="shared" si="2"/>
        <v>733428</v>
      </c>
      <c r="G32" s="26">
        <v>187</v>
      </c>
      <c r="H32" s="28">
        <f t="shared" si="3"/>
        <v>748000</v>
      </c>
      <c r="I32" s="26">
        <v>196</v>
      </c>
      <c r="J32" s="28">
        <f t="shared" si="4"/>
        <v>784000</v>
      </c>
      <c r="K32" s="26">
        <f t="shared" si="0"/>
        <v>2265428</v>
      </c>
      <c r="L32" s="79">
        <f t="shared" si="1"/>
        <v>157.52923996940407</v>
      </c>
      <c r="M32" s="23"/>
    </row>
    <row r="33" spans="1:15" x14ac:dyDescent="0.25">
      <c r="A33" s="22"/>
      <c r="B33" s="24">
        <v>25</v>
      </c>
      <c r="C33" s="25">
        <f>'Fuel Diesel'!C33</f>
        <v>40</v>
      </c>
      <c r="D33" s="25">
        <f>'Fuel Diesel'!D33</f>
        <v>238</v>
      </c>
      <c r="E33" s="26">
        <v>45</v>
      </c>
      <c r="F33" s="28">
        <f t="shared" si="2"/>
        <v>611190</v>
      </c>
      <c r="G33" s="26">
        <v>190</v>
      </c>
      <c r="H33" s="28">
        <f t="shared" si="3"/>
        <v>760000</v>
      </c>
      <c r="I33" s="26">
        <v>108</v>
      </c>
      <c r="J33" s="28">
        <f t="shared" si="4"/>
        <v>432000</v>
      </c>
      <c r="K33" s="26">
        <f t="shared" si="0"/>
        <v>1803190</v>
      </c>
      <c r="L33" s="79">
        <f t="shared" si="1"/>
        <v>125.38696891732147</v>
      </c>
      <c r="M33" s="23"/>
    </row>
    <row r="34" spans="1:15" x14ac:dyDescent="0.25">
      <c r="A34" s="22"/>
      <c r="B34" s="24">
        <v>26</v>
      </c>
      <c r="C34" s="25">
        <f>'Fuel Diesel'!C34</f>
        <v>48</v>
      </c>
      <c r="D34" s="25">
        <f>'Fuel Diesel'!D34</f>
        <v>272</v>
      </c>
      <c r="E34" s="26">
        <v>59</v>
      </c>
      <c r="F34" s="28">
        <f t="shared" si="2"/>
        <v>801338</v>
      </c>
      <c r="G34" s="26">
        <v>160</v>
      </c>
      <c r="H34" s="28">
        <f t="shared" si="3"/>
        <v>640000</v>
      </c>
      <c r="I34" s="26">
        <v>118</v>
      </c>
      <c r="J34" s="28">
        <f t="shared" si="4"/>
        <v>472000</v>
      </c>
      <c r="K34" s="26">
        <f t="shared" si="0"/>
        <v>1913338</v>
      </c>
      <c r="L34" s="79">
        <f t="shared" si="1"/>
        <v>133.04624156873652</v>
      </c>
      <c r="M34" s="23"/>
    </row>
    <row r="35" spans="1:15" x14ac:dyDescent="0.25">
      <c r="A35" s="22"/>
      <c r="B35" s="24">
        <v>27</v>
      </c>
      <c r="C35" s="25">
        <f>'Fuel Diesel'!C35</f>
        <v>49</v>
      </c>
      <c r="D35" s="25">
        <f>'Fuel Diesel'!D35</f>
        <v>295</v>
      </c>
      <c r="E35" s="26">
        <v>62</v>
      </c>
      <c r="F35" s="28">
        <f t="shared" si="2"/>
        <v>842084</v>
      </c>
      <c r="G35" s="26">
        <v>175</v>
      </c>
      <c r="H35" s="28">
        <f t="shared" si="3"/>
        <v>700000</v>
      </c>
      <c r="I35" s="26">
        <v>133</v>
      </c>
      <c r="J35" s="28">
        <f t="shared" si="4"/>
        <v>532000</v>
      </c>
      <c r="K35" s="26">
        <f t="shared" si="0"/>
        <v>2074084</v>
      </c>
      <c r="L35" s="79">
        <f t="shared" si="1"/>
        <v>144.22390654335581</v>
      </c>
      <c r="M35" s="23"/>
    </row>
    <row r="36" spans="1:15" x14ac:dyDescent="0.25">
      <c r="A36" s="22"/>
      <c r="B36" s="24">
        <v>28</v>
      </c>
      <c r="C36" s="25">
        <f>'Fuel Diesel'!C36</f>
        <v>44</v>
      </c>
      <c r="D36" s="25">
        <f>'Fuel Diesel'!D36</f>
        <v>241</v>
      </c>
      <c r="E36" s="26">
        <v>43</v>
      </c>
      <c r="F36" s="28">
        <f t="shared" si="2"/>
        <v>584026</v>
      </c>
      <c r="G36" s="26">
        <v>185</v>
      </c>
      <c r="H36" s="28">
        <f t="shared" si="3"/>
        <v>740000</v>
      </c>
      <c r="I36" s="26">
        <v>133</v>
      </c>
      <c r="J36" s="28">
        <f t="shared" si="4"/>
        <v>532000</v>
      </c>
      <c r="K36" s="26">
        <f t="shared" si="0"/>
        <v>1856026</v>
      </c>
      <c r="L36" s="79">
        <f t="shared" si="1"/>
        <v>129.06098324177734</v>
      </c>
      <c r="M36" s="23"/>
    </row>
    <row r="37" spans="1:15" x14ac:dyDescent="0.25">
      <c r="A37" s="22"/>
      <c r="B37" s="24">
        <v>29</v>
      </c>
      <c r="C37" s="25">
        <f>'Fuel Diesel'!C37</f>
        <v>42</v>
      </c>
      <c r="D37" s="25">
        <f>'Fuel Diesel'!D37</f>
        <v>262</v>
      </c>
      <c r="E37" s="26">
        <v>54</v>
      </c>
      <c r="F37" s="28">
        <f t="shared" si="2"/>
        <v>733428</v>
      </c>
      <c r="G37" s="26">
        <v>165</v>
      </c>
      <c r="H37" s="28">
        <f t="shared" si="3"/>
        <v>660000</v>
      </c>
      <c r="I37" s="26">
        <v>136</v>
      </c>
      <c r="J37" s="28">
        <f t="shared" si="4"/>
        <v>544000</v>
      </c>
      <c r="K37" s="26">
        <f t="shared" si="0"/>
        <v>1937428</v>
      </c>
      <c r="L37" s="79">
        <f t="shared" si="1"/>
        <v>134.72136847228984</v>
      </c>
      <c r="M37" s="23"/>
    </row>
    <row r="38" spans="1:15" x14ac:dyDescent="0.25">
      <c r="A38" s="22"/>
      <c r="B38" s="24">
        <v>30</v>
      </c>
      <c r="C38" s="25">
        <f>'Fuel Diesel'!C38</f>
        <v>46</v>
      </c>
      <c r="D38" s="25">
        <f>'Fuel Diesel'!D38</f>
        <v>222</v>
      </c>
      <c r="E38" s="26">
        <v>52</v>
      </c>
      <c r="F38" s="28">
        <f t="shared" si="2"/>
        <v>706264</v>
      </c>
      <c r="G38" s="26">
        <v>188</v>
      </c>
      <c r="H38" s="28">
        <f t="shared" si="3"/>
        <v>752000</v>
      </c>
      <c r="I38" s="26">
        <v>104</v>
      </c>
      <c r="J38" s="28">
        <f t="shared" si="4"/>
        <v>416000</v>
      </c>
      <c r="K38" s="26">
        <f t="shared" si="0"/>
        <v>1874264</v>
      </c>
      <c r="L38" s="79">
        <f t="shared" si="1"/>
        <v>130.32918434044922</v>
      </c>
      <c r="M38" s="23"/>
    </row>
    <row r="39" spans="1:15" x14ac:dyDescent="0.25">
      <c r="A39" s="22"/>
      <c r="B39" s="24">
        <v>31</v>
      </c>
      <c r="C39" s="25">
        <f>'Fuel Diesel'!C39</f>
        <v>45</v>
      </c>
      <c r="D39" s="25">
        <f>'Fuel Diesel'!D39</f>
        <v>227</v>
      </c>
      <c r="E39" s="26">
        <v>60</v>
      </c>
      <c r="F39" s="28">
        <f t="shared" si="2"/>
        <v>814920</v>
      </c>
      <c r="G39" s="26">
        <v>121</v>
      </c>
      <c r="H39" s="28">
        <f t="shared" si="3"/>
        <v>484000</v>
      </c>
      <c r="I39" s="26">
        <v>124</v>
      </c>
      <c r="J39" s="28">
        <f t="shared" si="4"/>
        <v>496000</v>
      </c>
      <c r="K39" s="26">
        <f t="shared" si="0"/>
        <v>1794920</v>
      </c>
      <c r="L39" s="79">
        <f t="shared" si="1"/>
        <v>124.8119045963424</v>
      </c>
      <c r="M39" s="23"/>
    </row>
    <row r="40" spans="1:15" x14ac:dyDescent="0.25">
      <c r="C40" s="32">
        <f>SUM(C9:C39)</f>
        <v>1509</v>
      </c>
      <c r="D40" s="32">
        <f>SUM(D9:D39)</f>
        <v>8468</v>
      </c>
      <c r="E40" s="32">
        <v>0</v>
      </c>
      <c r="G40" s="32">
        <f>SUM(G9:G39)</f>
        <v>5035</v>
      </c>
      <c r="I40" s="32">
        <f>SUM(I9:I39)</f>
        <v>4249</v>
      </c>
      <c r="J40" s="93">
        <f>G40+I40</f>
        <v>9284</v>
      </c>
      <c r="K40" s="80"/>
      <c r="L40" s="87">
        <f>SUM(L9:L39)</f>
        <v>4296.4557402127803</v>
      </c>
      <c r="O40" s="37"/>
    </row>
    <row r="41" spans="1:15" x14ac:dyDescent="0.25">
      <c r="H41" s="92" t="s">
        <v>58</v>
      </c>
      <c r="I41" s="91">
        <f>G40+I40</f>
        <v>9284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2022-06-05T06:06:43Z</dcterms:modified>
</cp:coreProperties>
</file>