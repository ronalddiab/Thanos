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<sst xmlns="http://schemas.openxmlformats.org/spreadsheetml/2006/main" count="108" uniqueCount="33">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</sst>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2021</v>
      </c>
      <c r="E2" s="20">
        <f>Submetering!E3</f>
        <v>6774.5249999999996</v>
      </c>
      <c r="F2" s="16">
        <v>0.12</v>
      </c>
      <c r="G2" s="20">
        <f>Submetering!F3+Submetering!G3</f>
        <v>250.04140682233646</v>
      </c>
      <c r="H2" s="16">
        <v>0.71</v>
      </c>
      <c r="I2" s="20">
        <f>Submetering!J3+Submetering!I3+Submetering!H3</f>
        <v>59.504725964199999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2021</v>
      </c>
      <c r="E3" s="20">
        <f>Submetering!E4</f>
        <v>6715.875</v>
      </c>
      <c r="F3" s="16">
        <v>0.12</v>
      </c>
      <c r="G3" s="20">
        <f>Submetering!F4+Submetering!G4</f>
        <v>257.93951024158878</v>
      </c>
      <c r="H3" s="16">
        <v>0.71</v>
      </c>
      <c r="I3" s="20">
        <f>Submetering!J4+Submetering!I4+Submetering!H4</f>
        <v>76.098318592650003</v>
      </c>
      <c r="J3" s="16">
        <v>2.3196172978505634</v>
      </c>
      <c r="K3" s="20">
        <f>Submetering!K3</f>
        <v>53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5</v>
      </c>
      <c r="D4" s="9">
        <v>2021</v>
      </c>
      <c r="E4" s="20">
        <f>Submetering!E5</f>
        <v>6740.0249999999996</v>
      </c>
      <c r="F4" s="16">
        <v>0.12</v>
      </c>
      <c r="G4" s="20">
        <f>Submetering!F5+Submetering!G5</f>
        <v>199.96524169841123</v>
      </c>
      <c r="H4" s="16">
        <v>0.71</v>
      </c>
      <c r="I4" s="20">
        <f>Submetering!J5+Submetering!I5+Submetering!H5</f>
        <v>61.156763072000004</v>
      </c>
      <c r="J4" s="16">
        <v>2.3196172978505634</v>
      </c>
      <c r="K4" s="20">
        <f>Submetering!K4</f>
        <v>43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2021</v>
      </c>
      <c r="E5" s="20">
        <f>Submetering!E6</f>
        <v>6908.25</v>
      </c>
      <c r="F5" s="16">
        <v>0.12</v>
      </c>
      <c r="G5" s="20">
        <f>Submetering!F6+Submetering!G6</f>
        <v>169.88466168607476</v>
      </c>
      <c r="H5" s="16">
        <v>0.71</v>
      </c>
      <c r="I5" s="20">
        <f>Submetering!J6+Submetering!I6+Submetering!H6</f>
        <v>53.956965171930001</v>
      </c>
      <c r="J5" s="16">
        <v>2.3196172978505634</v>
      </c>
      <c r="K5" s="20">
        <f>Submetering!K5</f>
        <v>40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2021</v>
      </c>
      <c r="E6" s="20">
        <f>Submetering!E7</f>
        <v>7120.2749999999996</v>
      </c>
      <c r="F6" s="16">
        <v>0.12</v>
      </c>
      <c r="G6" s="20">
        <f>Submetering!F7+Submetering!G7</f>
        <v>250.1865684111215</v>
      </c>
      <c r="H6" s="16">
        <v>0.71</v>
      </c>
      <c r="I6" s="20">
        <f>Submetering!J7+Submetering!I7+Submetering!H7</f>
        <v>52.919628550140004</v>
      </c>
      <c r="J6" s="16">
        <v>2.3196172978505634</v>
      </c>
      <c r="K6" s="20">
        <f>Submetering!K6</f>
        <v>49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2021</v>
      </c>
      <c r="E7" s="20">
        <f>Submetering!E8</f>
        <v>7616.625</v>
      </c>
      <c r="F7" s="16">
        <v>0.12</v>
      </c>
      <c r="G7" s="20">
        <f>Submetering!F8+Submetering!G8</f>
        <v>200.90593733102804</v>
      </c>
      <c r="H7" s="16">
        <v>0.71</v>
      </c>
      <c r="I7" s="20">
        <f>Submetering!J8+Submetering!I8+Submetering!H8</f>
        <v>72.274712228089996</v>
      </c>
      <c r="J7" s="16">
        <v>2.3196172978505634</v>
      </c>
      <c r="K7" s="20">
        <f>Submetering!K7</f>
        <v>58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2021</v>
      </c>
      <c r="E8" s="20">
        <f>Submetering!E9</f>
        <v>7743.8249999999998</v>
      </c>
      <c r="F8" s="16">
        <v>0.12</v>
      </c>
      <c r="G8" s="20">
        <f>Submetering!F9+Submetering!G9</f>
        <v>158.70316051411214</v>
      </c>
      <c r="H8" s="16">
        <v>0.71</v>
      </c>
      <c r="I8" s="20">
        <f>Submetering!J9+Submetering!I9+Submetering!H9</f>
        <v>80.215452492020006</v>
      </c>
      <c r="J8" s="16">
        <v>2.3196172978505634</v>
      </c>
      <c r="K8" s="20">
        <f>Submetering!K8</f>
        <v>88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2021</v>
      </c>
      <c r="E9" s="20">
        <f>Submetering!E9</f>
        <v>7743.8249999999998</v>
      </c>
      <c r="F9" s="16">
        <v>0.12</v>
      </c>
      <c r="G9" s="20">
        <f>Submetering!F10+Submetering!G10</f>
        <v>103.92475645700935</v>
      </c>
      <c r="H9" s="16">
        <v>0.71</v>
      </c>
      <c r="I9" s="20">
        <f>Submetering!J10+Submetering!I10+Submetering!H10</f>
        <v>67.639756144089986</v>
      </c>
      <c r="J9" s="16">
        <v>2.3196172978505634</v>
      </c>
      <c r="K9" s="20">
        <f>Submetering!K9</f>
        <v>87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2021</v>
      </c>
      <c r="E10" s="20">
        <f>Submetering!E10</f>
        <v>7513.35</v>
      </c>
      <c r="F10" s="16">
        <v>0.12</v>
      </c>
      <c r="G10" s="20">
        <f>Submetering!F11+Submetering!G11</f>
        <v>132.84180897504672</v>
      </c>
      <c r="H10" s="16">
        <v>0.71</v>
      </c>
      <c r="I10" s="20">
        <f>Submetering!J10+Submetering!I10+Submetering!H10</f>
        <v>67.639756144089986</v>
      </c>
      <c r="J10" s="16">
        <v>2.3196172978505634</v>
      </c>
      <c r="K10" s="20">
        <f>Submetering!K10</f>
        <v>71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2021</v>
      </c>
      <c r="E11" s="20">
        <f>Submetering!E11</f>
        <v>7019.4</v>
      </c>
      <c r="F11" s="16">
        <v>0.12</v>
      </c>
      <c r="G11" s="20">
        <f>Submetering!F11+Submetering!G11</f>
        <v>132.84180897504672</v>
      </c>
      <c r="H11" s="16">
        <v>0.71</v>
      </c>
      <c r="I11" s="20">
        <f>Submetering!J11+Submetering!I11+Submetering!H11</f>
        <v>72.946964572319999</v>
      </c>
      <c r="J11" s="16">
        <v>2.3196172978505634</v>
      </c>
      <c r="K11" s="20">
        <f>Submetering!K11</f>
        <v>58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2021</v>
      </c>
      <c r="E12" s="20">
        <f>Submetering!E12</f>
        <v>7423.125</v>
      </c>
      <c r="F12" s="16">
        <v>0.12</v>
      </c>
      <c r="G12" s="20">
        <f>Submetering!F12+Submetering!G12</f>
        <v>161.22898661168227</v>
      </c>
      <c r="H12" s="16">
        <v>0.71</v>
      </c>
      <c r="I12" s="20">
        <f>Submetering!J12+Submetering!I12+Submetering!H12</f>
        <v>72.758000216669998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2021</v>
      </c>
      <c r="E13" s="20">
        <f>Submetering!E13</f>
        <v>7508.0249999999996</v>
      </c>
      <c r="F13" s="16">
        <v>0.12</v>
      </c>
      <c r="G13" s="20">
        <f>Submetering!F13+Submetering!G13</f>
        <v>149.0779938237383</v>
      </c>
      <c r="H13" s="16">
        <v>0.71</v>
      </c>
      <c r="I13" s="20">
        <f>Submetering!J13+Submetering!I13+Submetering!H13</f>
        <v>72.52805604209</v>
      </c>
      <c r="J13" s="16">
        <v>2.3196172978505634</v>
      </c>
      <c r="K13" s="20">
        <f>Submetering!K13</f>
        <v>65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2021</v>
      </c>
      <c r="E14" s="20">
        <f>Submetering!E14</f>
        <v>7692.8249999999998</v>
      </c>
      <c r="F14" s="16">
        <v>0.12</v>
      </c>
      <c r="G14" s="20">
        <f>Submetering!F14+Submetering!G14</f>
        <v>200.39848529682243</v>
      </c>
      <c r="H14" s="16">
        <v>0.71</v>
      </c>
      <c r="I14" s="20">
        <f>Submetering!H12+Submetering!J12+Submetering!I12</f>
        <v>72.758000216669998</v>
      </c>
      <c r="J14" s="16">
        <v>2.3196172978505634</v>
      </c>
      <c r="K14" s="20">
        <f>Submetering!K14</f>
        <v>76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2021</v>
      </c>
      <c r="E15" s="20">
        <f>Submetering!E15</f>
        <v>7654.875</v>
      </c>
      <c r="F15" s="16">
        <v>0.12</v>
      </c>
      <c r="G15" s="20">
        <f>Submetering!F15+Submetering!G15</f>
        <v>221.80457237093461</v>
      </c>
      <c r="H15" s="16">
        <v>0.71</v>
      </c>
      <c r="I15" s="20">
        <f>Submetering!J15+Submetering!I15+Submetering!H15</f>
        <v>76.695239420250005</v>
      </c>
      <c r="J15" s="16">
        <v>2.3196172978505634</v>
      </c>
      <c r="K15" s="20">
        <f>Submetering!K15</f>
        <v>84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2021</v>
      </c>
      <c r="E16" s="20">
        <f>Submetering!E16</f>
        <v>6956.625</v>
      </c>
      <c r="F16" s="16">
        <v>0.12</v>
      </c>
      <c r="G16" s="20">
        <f>Submetering!F16+Submetering!G16</f>
        <v>217.86137990242992</v>
      </c>
      <c r="H16" s="16">
        <v>0.71</v>
      </c>
      <c r="I16" s="20">
        <f>Submetering!J16+Submetering!I16+Submetering!H16</f>
        <v>81.594687717370007</v>
      </c>
      <c r="J16" s="16">
        <v>2.3196172978505634</v>
      </c>
      <c r="K16" s="20">
        <f>Submetering!K16</f>
        <v>75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2021</v>
      </c>
      <c r="E17" s="20">
        <f>Submetering!E17</f>
        <v>6723.9750000000004</v>
      </c>
      <c r="F17" s="16">
        <v>0.12</v>
      </c>
      <c r="G17" s="20">
        <f>Submetering!F17+Submetering!G17</f>
        <v>168.23880384149535</v>
      </c>
      <c r="H17" s="16">
        <v>0.71</v>
      </c>
      <c r="I17" s="20">
        <f>Submetering!J17+Submetering!I17+Submetering!H17</f>
        <v>60.219937525539997</v>
      </c>
      <c r="J17" s="16">
        <v>2.3196172978505634</v>
      </c>
      <c r="K17" s="20">
        <f>Submetering!K17</f>
        <v>42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2021</v>
      </c>
      <c r="E18" s="20">
        <f>Submetering!E18</f>
        <v>6678.9750000000004</v>
      </c>
      <c r="F18" s="16">
        <v>0.12</v>
      </c>
      <c r="G18" s="20">
        <f>Submetering!F18+Submetering!G18</f>
        <v>192.77310538299068</v>
      </c>
      <c r="H18" s="16">
        <v>0.71</v>
      </c>
      <c r="I18" s="20">
        <f>Submetering!J18+Submetering!I18+Submetering!H18</f>
        <v>56.094398755449994</v>
      </c>
      <c r="J18" s="16">
        <v>2.3196172978505634</v>
      </c>
      <c r="K18" s="20">
        <f>Submetering!K18</f>
        <v>45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2021</v>
      </c>
      <c r="E19" s="20">
        <f>Submetering!E19</f>
        <v>6738</v>
      </c>
      <c r="F19" s="16">
        <v>0.12</v>
      </c>
      <c r="G19" s="20">
        <f>Submetering!F19+Submetering!G19</f>
        <v>180.93177023859815</v>
      </c>
      <c r="H19" s="16">
        <v>0.71</v>
      </c>
      <c r="I19" s="20">
        <f>Submetering!J19+Submetering!I19+Submetering!H19</f>
        <v>56.643460813290005</v>
      </c>
      <c r="J19" s="16">
        <v>2.3196172978505634</v>
      </c>
      <c r="K19" s="20">
        <f>Submetering!K19</f>
        <v>53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2021</v>
      </c>
      <c r="E20" s="20">
        <f>Submetering!E20</f>
        <v>6333.9</v>
      </c>
      <c r="F20" s="16">
        <v>0.12</v>
      </c>
      <c r="G20" s="20">
        <f>Submetering!F20+Submetering!G20</f>
        <v>324.89074363177571</v>
      </c>
      <c r="H20" s="16">
        <v>0.71</v>
      </c>
      <c r="I20" s="20">
        <f>Submetering!J20+Submetering!I20+Submetering!H20</f>
        <v>60.887483269649998</v>
      </c>
      <c r="J20" s="16">
        <v>2.3196172978505634</v>
      </c>
      <c r="K20" s="20">
        <f>Submetering!K20</f>
        <v>45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2021</v>
      </c>
      <c r="E21" s="20">
        <f>Submetering!E21</f>
        <v>6574.35</v>
      </c>
      <c r="F21" s="16">
        <v>0.12</v>
      </c>
      <c r="G21" s="20">
        <f>Submetering!F21+Submetering!G21</f>
        <v>336.86040487168225</v>
      </c>
      <c r="H21" s="16">
        <v>0.71</v>
      </c>
      <c r="I21" s="20">
        <f>Submetering!J21+Submetering!I21+Submetering!H21</f>
        <v>58.390921579189992</v>
      </c>
      <c r="J21" s="16">
        <v>2.3196172978505634</v>
      </c>
      <c r="K21" s="20">
        <f>Submetering!K21</f>
        <v>55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2021</v>
      </c>
      <c r="E22" s="20">
        <f>Submetering!E22</f>
        <v>6725.1750000000002</v>
      </c>
      <c r="F22" s="16">
        <v>0.12</v>
      </c>
      <c r="G22" s="20">
        <f>Submetering!F22+Submetering!G22</f>
        <v>199.23305377149532</v>
      </c>
      <c r="H22" s="16">
        <v>0.71</v>
      </c>
      <c r="I22" s="20">
        <f>Submetering!J22+Submetering!I22+Submetering!H22</f>
        <v>66.466338550490008</v>
      </c>
      <c r="J22" s="16">
        <v>2.3196172978505634</v>
      </c>
      <c r="K22" s="20">
        <f>Submetering!K23</f>
        <v>61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2021</v>
      </c>
      <c r="E23" s="20">
        <f>Submetering!E23</f>
        <v>6941.4750000000004</v>
      </c>
      <c r="F23" s="16">
        <v>0.12</v>
      </c>
      <c r="G23" s="20">
        <f>Submetering!F23+Submetering!G23</f>
        <v>138.16574577579442</v>
      </c>
      <c r="H23" s="16">
        <v>0.71</v>
      </c>
      <c r="I23" s="20">
        <f>Submetering!J23+Submetering!I23+Submetering!H23</f>
        <v>75.378441124770006</v>
      </c>
      <c r="J23" s="16">
        <v>2.3196172978505634</v>
      </c>
      <c r="K23" s="20">
        <f>Submetering!K24</f>
        <v>47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2021</v>
      </c>
      <c r="E24" s="20">
        <f>Submetering!E24</f>
        <v>6776.625</v>
      </c>
      <c r="F24" s="16">
        <v>0.12</v>
      </c>
      <c r="G24" s="20">
        <f>Submetering!F24+Submetering!G24</f>
        <v>130.61290643514019</v>
      </c>
      <c r="H24" s="16">
        <v>0.71</v>
      </c>
      <c r="I24" s="20">
        <f>Submetering!J24+Submetering!I24+Submetering!H24</f>
        <v>64.382812710229999</v>
      </c>
      <c r="J24" s="16">
        <v>2.3196172978505634</v>
      </c>
      <c r="K24" s="20">
        <f>Submetering!K25</f>
        <v>40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2021</v>
      </c>
      <c r="E25" s="20">
        <f>Submetering!E25</f>
        <v>6834.3</v>
      </c>
      <c r="F25" s="16">
        <v>0.12</v>
      </c>
      <c r="G25" s="20">
        <f>Submetering!F25+Submetering!G25</f>
        <v>156.8115902133645</v>
      </c>
      <c r="H25" s="16">
        <v>0.71</v>
      </c>
      <c r="I25" s="20">
        <f>Submetering!J25+Submetering!I25+Submetering!H25</f>
        <v>68.184042148450004</v>
      </c>
      <c r="J25" s="16">
        <v>2.3196172978505634</v>
      </c>
      <c r="K25" s="20">
        <f>Submetering!K26</f>
        <v>41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2021</v>
      </c>
      <c r="E26" s="20">
        <f>Submetering!E26</f>
        <v>6589.125</v>
      </c>
      <c r="F26" s="16">
        <v>0.12</v>
      </c>
      <c r="G26" s="20">
        <f>Submetering!F26+Submetering!G26</f>
        <v>265.64926566373833</v>
      </c>
      <c r="H26" s="16">
        <v>0.71</v>
      </c>
      <c r="I26" s="20">
        <f>Submetering!J26+Submetering!I26+Submetering!H26</f>
        <v>62.047002853499997</v>
      </c>
      <c r="J26" s="16">
        <v>2.3196172978505634</v>
      </c>
      <c r="K26" s="20">
        <f>Submetering!K27</f>
        <v>51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2021</v>
      </c>
      <c r="E27" s="20">
        <f>Submetering!E27</f>
        <v>6989.65</v>
      </c>
      <c r="F27" s="16">
        <v>0.12</v>
      </c>
      <c r="G27" s="20">
        <f>Submetering!F27+Submetering!G27</f>
        <v>108.88962810934581</v>
      </c>
      <c r="H27" s="16">
        <v>0.71</v>
      </c>
      <c r="I27" s="20">
        <f>Submetering!J27+Submetering!I27+Submetering!H27</f>
        <v>65.553947866749994</v>
      </c>
      <c r="J27" s="16">
        <v>2.3196172978505634</v>
      </c>
      <c r="K27" s="20">
        <f>Submetering!K28</f>
        <v>46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2021</v>
      </c>
      <c r="E28" s="20">
        <f>Submetering!E28</f>
        <v>7003.05</v>
      </c>
      <c r="F28" s="16">
        <v>0.12</v>
      </c>
      <c r="G28" s="20">
        <f>Submetering!F28+Submetering!G28</f>
        <v>104.20172426214953</v>
      </c>
      <c r="H28" s="16">
        <v>0.71</v>
      </c>
      <c r="I28" s="20">
        <f>Submetering!J28+Submetering!I28+Submetering!H28</f>
        <v>63.634629184799998</v>
      </c>
      <c r="J28" s="16">
        <v>2.3196172978505634</v>
      </c>
      <c r="K28" s="20">
        <f>Submetering!K29</f>
        <v>84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2021</v>
      </c>
      <c r="E29" s="20">
        <f>Submetering!E29</f>
        <v>7505.3249999999998</v>
      </c>
      <c r="F29" s="16">
        <v>0.12</v>
      </c>
      <c r="G29" s="20">
        <f>Submetering!F29+Submetering!G29</f>
        <v>87.803527984579446</v>
      </c>
      <c r="H29" s="16">
        <v>0.71</v>
      </c>
      <c r="I29" s="20">
        <f>Submetering!J29+Submetering!I29+Submetering!H29</f>
        <v>69.628991855229998</v>
      </c>
      <c r="J29" s="16">
        <v>2.3196172978505634</v>
      </c>
      <c r="K29" s="20">
        <f>Submetering!K29</f>
        <v>84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2021</v>
      </c>
      <c r="E30" s="20">
        <f>Submetering!E30</f>
        <v>7633.05</v>
      </c>
      <c r="F30" s="16">
        <v>0.12</v>
      </c>
      <c r="G30" s="20">
        <f>Submetering!F30+Submetering!G30</f>
        <v>119.22501181700935</v>
      </c>
      <c r="H30" s="16">
        <v>0.71</v>
      </c>
      <c r="I30" s="20">
        <f>Submetering!J30+Submetering!I30+Submetering!H30</f>
        <v>87.883018587400002</v>
      </c>
      <c r="J30" s="16">
        <v>2.3196172978505634</v>
      </c>
      <c r="K30" s="20">
        <f>Submetering!K30</f>
        <v>94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2021</v>
      </c>
      <c r="E31" s="20">
        <f>Submetering!E31</f>
        <v>7495.5</v>
      </c>
      <c r="F31" s="16">
        <v>0.12</v>
      </c>
      <c r="G31" s="20">
        <f>Submetering!F31+Submetering!G31</f>
        <v>98.101804244859821</v>
      </c>
      <c r="H31" s="16">
        <v>0.71</v>
      </c>
      <c r="I31" s="20">
        <f>Submetering!J31+Submetering!I31+Submetering!H31</f>
        <v>76.978676488259993</v>
      </c>
      <c r="J31" s="16">
        <v>2.3196172978505634</v>
      </c>
      <c r="K31" s="20">
        <f>Submetering!K31</f>
        <v>59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5</v>
      </c>
      <c r="D32" s="9">
        <v>2021</v>
      </c>
      <c r="E32" s="20">
        <f>Submetering!E32</f>
        <v>7625.9250000000002</v>
      </c>
      <c r="F32" s="16">
        <v>0.12</v>
      </c>
      <c r="G32" s="20">
        <f>Submetering!F32+Submetering!G32</f>
        <v>116.64049359570093</v>
      </c>
      <c r="H32" s="16">
        <v>0.71</v>
      </c>
      <c r="I32" s="20">
        <f>Submetering!J32+Submetering!I32+Submetering!H32</f>
        <v>85.385943065060005</v>
      </c>
      <c r="J32" s="16">
        <v>2.3196172978505634</v>
      </c>
      <c r="K32" s="20">
        <f>Submetering!K32</f>
        <v>44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H2" sqref="H2:H3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2021</v>
      </c>
      <c r="E2" s="32">
        <v>6743.4</v>
      </c>
      <c r="F2" s="32">
        <v>213.53666819252336</v>
      </c>
      <c r="G2" s="32">
        <v>18.874106753925236</v>
      </c>
      <c r="H2" s="32">
        <v>1.21371906497</v>
      </c>
      <c r="I2" s="32">
        <v>39</v>
      </c>
      <c r="J2" s="32">
        <v>26.001274195299999</v>
      </c>
      <c r="K2" s="6">
        <v>66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2021</v>
      </c>
      <c r="E3" s="32">
        <v>6774.5249999999996</v>
      </c>
      <c r="F3" s="32">
        <v>228.4157049411215</v>
      </c>
      <c r="G3" s="32">
        <v>21.625701881214955</v>
      </c>
      <c r="H3" s="32">
        <v>1.5176554609999999</v>
      </c>
      <c r="I3" s="32">
        <v>33</v>
      </c>
      <c r="J3" s="32">
        <v>24.987070503199998</v>
      </c>
      <c r="K3" s="6">
        <v>53</v>
      </c>
    </row>
    <row r="4" spans="1:12" x14ac:dyDescent="0.25">
      <c r="A4" s="17" t="s">
        <v>32</v>
      </c>
      <c r="B4" s="6">
        <f t="shared" ref="B4:B32" si="0">B3+1</f>
        <v>3</v>
      </c>
      <c r="C4" s="6">
        <v>5</v>
      </c>
      <c r="D4" s="6">
        <v>2021</v>
      </c>
      <c r="E4" s="32">
        <v>6715.875</v>
      </c>
      <c r="F4" s="32">
        <v>237.22003741962615</v>
      </c>
      <c r="G4" s="32">
        <v>20.719472821962619</v>
      </c>
      <c r="H4" s="32">
        <v>5.1023754929500003</v>
      </c>
      <c r="I4" s="32">
        <v>42</v>
      </c>
      <c r="J4" s="32">
        <v>28.9959430997</v>
      </c>
      <c r="K4" s="6">
        <v>43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2021</v>
      </c>
      <c r="E5" s="32">
        <v>6740.0249999999996</v>
      </c>
      <c r="F5" s="32">
        <v>183.27369094859816</v>
      </c>
      <c r="G5" s="32">
        <v>16.691550749813086</v>
      </c>
      <c r="H5" s="32">
        <v>3.6887799972000002</v>
      </c>
      <c r="I5" s="32">
        <v>31</v>
      </c>
      <c r="J5" s="32">
        <v>26.467983074799999</v>
      </c>
      <c r="K5" s="6">
        <v>40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2021</v>
      </c>
      <c r="E6" s="32">
        <v>6908.25</v>
      </c>
      <c r="F6" s="32">
        <v>153.63486508691588</v>
      </c>
      <c r="G6" s="32">
        <v>16.249796599158881</v>
      </c>
      <c r="H6" s="32">
        <v>1.3975633442299999</v>
      </c>
      <c r="I6" s="32">
        <v>29</v>
      </c>
      <c r="J6" s="32">
        <v>23.5594018277</v>
      </c>
      <c r="K6" s="6">
        <v>49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2021</v>
      </c>
      <c r="E7" s="32">
        <v>7120.2749999999996</v>
      </c>
      <c r="F7" s="32">
        <v>228.38422418971962</v>
      </c>
      <c r="G7" s="32">
        <v>21.802344221401871</v>
      </c>
      <c r="H7" s="32">
        <v>1.9241757426399999</v>
      </c>
      <c r="I7" s="32">
        <v>27</v>
      </c>
      <c r="J7" s="32">
        <v>23.995452807500001</v>
      </c>
      <c r="K7" s="6">
        <v>58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2021</v>
      </c>
      <c r="E8" s="32">
        <v>7616.625</v>
      </c>
      <c r="F8" s="32">
        <v>182.05650188598131</v>
      </c>
      <c r="G8" s="32">
        <v>18.84943544504673</v>
      </c>
      <c r="H8" s="32">
        <v>1.3102931202899999</v>
      </c>
      <c r="I8" s="32">
        <v>39</v>
      </c>
      <c r="J8" s="32">
        <v>31.964419107800001</v>
      </c>
      <c r="K8" s="6">
        <v>88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2021</v>
      </c>
      <c r="E9" s="32">
        <v>7743.8249999999998</v>
      </c>
      <c r="F9" s="32">
        <v>138.49529653177569</v>
      </c>
      <c r="G9" s="32">
        <v>20.207863982336452</v>
      </c>
      <c r="H9" s="32">
        <v>2.19499305642</v>
      </c>
      <c r="I9" s="32">
        <v>48</v>
      </c>
      <c r="J9" s="32">
        <v>30.020459435599999</v>
      </c>
      <c r="K9" s="6">
        <v>87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2021</v>
      </c>
      <c r="E10" s="32">
        <v>7513.35</v>
      </c>
      <c r="F10" s="32">
        <v>86.493955268598143</v>
      </c>
      <c r="G10" s="32">
        <v>17.430801188411216</v>
      </c>
      <c r="H10" s="32">
        <v>1.62759339139</v>
      </c>
      <c r="I10" s="32">
        <v>39</v>
      </c>
      <c r="J10" s="32">
        <v>27.0121627527</v>
      </c>
      <c r="K10" s="6">
        <v>71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2021</v>
      </c>
      <c r="E11" s="32">
        <v>7019.4</v>
      </c>
      <c r="F11" s="32">
        <v>108.93421427850467</v>
      </c>
      <c r="G11" s="32">
        <v>23.907594696542056</v>
      </c>
      <c r="H11" s="32">
        <v>4.9582572554200004</v>
      </c>
      <c r="I11" s="32">
        <v>40</v>
      </c>
      <c r="J11" s="32">
        <v>27.988707316900001</v>
      </c>
      <c r="K11" s="6">
        <v>58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2021</v>
      </c>
      <c r="E12" s="32">
        <v>7423.125</v>
      </c>
      <c r="F12" s="32">
        <v>142.06889434392525</v>
      </c>
      <c r="G12" s="32">
        <v>19.160092267757008</v>
      </c>
      <c r="H12" s="32">
        <v>4.2008381017699996</v>
      </c>
      <c r="I12" s="32">
        <v>40</v>
      </c>
      <c r="J12" s="32">
        <v>28.557162114899999</v>
      </c>
      <c r="K12" s="6">
        <v>67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2021</v>
      </c>
      <c r="E13" s="32">
        <v>7508.0249999999996</v>
      </c>
      <c r="F13" s="32">
        <v>133.17497022056074</v>
      </c>
      <c r="G13" s="32">
        <v>15.903023603177571</v>
      </c>
      <c r="H13" s="32">
        <v>2.0686197590900002</v>
      </c>
      <c r="I13" s="32">
        <v>41</v>
      </c>
      <c r="J13" s="32">
        <v>29.459436282999999</v>
      </c>
      <c r="K13" s="6">
        <v>65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2021</v>
      </c>
      <c r="E14" s="32">
        <v>7692.8249999999998</v>
      </c>
      <c r="F14" s="32">
        <v>182.98281200093459</v>
      </c>
      <c r="G14" s="32">
        <v>17.415673295887849</v>
      </c>
      <c r="H14" s="32">
        <v>1.79906496639</v>
      </c>
      <c r="I14" s="32">
        <v>40</v>
      </c>
      <c r="J14" s="32">
        <v>29.9955731091</v>
      </c>
      <c r="K14" s="6">
        <v>76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2021</v>
      </c>
      <c r="E15" s="32">
        <v>7654.875</v>
      </c>
      <c r="F15" s="32">
        <v>196.63404607289723</v>
      </c>
      <c r="G15" s="32">
        <v>25.170526298037384</v>
      </c>
      <c r="H15" s="32">
        <v>1.7026099672499999</v>
      </c>
      <c r="I15" s="32">
        <v>41</v>
      </c>
      <c r="J15" s="32">
        <v>33.992629452999999</v>
      </c>
      <c r="K15" s="6">
        <v>84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2021</v>
      </c>
      <c r="E16" s="32">
        <v>6956.625</v>
      </c>
      <c r="F16" s="32">
        <v>197.63580090654207</v>
      </c>
      <c r="G16" s="32">
        <v>20.225578995887854</v>
      </c>
      <c r="H16" s="32">
        <v>1.5899662623699999</v>
      </c>
      <c r="I16" s="32">
        <v>48</v>
      </c>
      <c r="J16" s="32">
        <v>32.004721455000002</v>
      </c>
      <c r="K16" s="6">
        <v>75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5</v>
      </c>
      <c r="D17" s="6">
        <v>2021</v>
      </c>
      <c r="E17" s="32">
        <v>6723.9750000000004</v>
      </c>
      <c r="F17" s="32">
        <v>147.08241709345796</v>
      </c>
      <c r="G17" s="32">
        <v>21.156386748037384</v>
      </c>
      <c r="H17" s="32">
        <v>1.2150922665399999</v>
      </c>
      <c r="I17" s="32">
        <v>31</v>
      </c>
      <c r="J17" s="32">
        <v>28.004845259</v>
      </c>
      <c r="K17" s="6">
        <v>42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5</v>
      </c>
      <c r="D18" s="6">
        <v>2021</v>
      </c>
      <c r="E18" s="32">
        <v>6678.9750000000004</v>
      </c>
      <c r="F18" s="32">
        <v>174.2858835962617</v>
      </c>
      <c r="G18" s="32">
        <v>18.487221786728973</v>
      </c>
      <c r="H18" s="32">
        <v>1.10615622055</v>
      </c>
      <c r="I18" s="32">
        <v>28</v>
      </c>
      <c r="J18" s="32">
        <v>26.988242534899999</v>
      </c>
      <c r="K18" s="6">
        <v>45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5</v>
      </c>
      <c r="D19" s="6">
        <v>2021</v>
      </c>
      <c r="E19" s="32">
        <v>6738</v>
      </c>
      <c r="F19" s="32">
        <v>161.86540487102806</v>
      </c>
      <c r="G19" s="32">
        <v>19.066365367570093</v>
      </c>
      <c r="H19" s="32">
        <v>1.18667427039</v>
      </c>
      <c r="I19" s="32">
        <v>30</v>
      </c>
      <c r="J19" s="32">
        <v>25.456786542900002</v>
      </c>
      <c r="K19" s="6">
        <v>53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v>5</v>
      </c>
      <c r="D20" s="6">
        <v>2021</v>
      </c>
      <c r="E20" s="32">
        <v>6333.9</v>
      </c>
      <c r="F20" s="32">
        <v>306.00894487476637</v>
      </c>
      <c r="G20" s="32">
        <v>18.881798757009346</v>
      </c>
      <c r="H20" s="32">
        <v>1.33552796235</v>
      </c>
      <c r="I20" s="32">
        <v>32</v>
      </c>
      <c r="J20" s="32">
        <v>27.551955307299998</v>
      </c>
      <c r="K20" s="6">
        <v>45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v>5</v>
      </c>
      <c r="D21" s="6">
        <v>2021</v>
      </c>
      <c r="E21" s="32">
        <v>6574.35</v>
      </c>
      <c r="F21" s="32">
        <v>319.69903513364488</v>
      </c>
      <c r="G21" s="32">
        <v>17.161369738037383</v>
      </c>
      <c r="H21" s="32">
        <v>1.3955346937899999</v>
      </c>
      <c r="I21" s="32">
        <v>31</v>
      </c>
      <c r="J21" s="32">
        <v>25.995386885399999</v>
      </c>
      <c r="K21" s="6">
        <v>55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v>5</v>
      </c>
      <c r="D22" s="6">
        <v>2021</v>
      </c>
      <c r="E22" s="32">
        <v>6725.1750000000002</v>
      </c>
      <c r="F22" s="32">
        <v>177.29636776261682</v>
      </c>
      <c r="G22" s="32">
        <v>21.936686008878507</v>
      </c>
      <c r="H22" s="32">
        <v>1.46196606559</v>
      </c>
      <c r="I22" s="32">
        <v>36</v>
      </c>
      <c r="J22" s="32">
        <v>29.004372484899999</v>
      </c>
      <c r="K22" s="6">
        <v>78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v>5</v>
      </c>
      <c r="D23" s="6">
        <v>2021</v>
      </c>
      <c r="E23" s="32">
        <v>6941.4750000000004</v>
      </c>
      <c r="F23" s="32">
        <v>117.75706258130843</v>
      </c>
      <c r="G23" s="32">
        <v>20.408683194485985</v>
      </c>
      <c r="H23" s="32">
        <v>1.3681446292699999</v>
      </c>
      <c r="I23" s="32">
        <v>45</v>
      </c>
      <c r="J23" s="32">
        <v>29.0102964955</v>
      </c>
      <c r="K23" s="6">
        <v>61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v>5</v>
      </c>
      <c r="D24" s="6">
        <v>2021</v>
      </c>
      <c r="E24" s="32">
        <v>6776.625</v>
      </c>
      <c r="F24" s="32">
        <v>114.21184231775702</v>
      </c>
      <c r="G24" s="32">
        <v>16.401064117383179</v>
      </c>
      <c r="H24" s="32">
        <v>1.3784987657300001</v>
      </c>
      <c r="I24" s="32">
        <v>35</v>
      </c>
      <c r="J24" s="32">
        <v>28.004313944500002</v>
      </c>
      <c r="K24" s="6">
        <v>47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5</v>
      </c>
      <c r="D25" s="6">
        <v>2021</v>
      </c>
      <c r="E25" s="32">
        <v>6834.3</v>
      </c>
      <c r="F25" s="32">
        <v>137.93542720186917</v>
      </c>
      <c r="G25" s="32">
        <v>18.876163011495329</v>
      </c>
      <c r="H25" s="32">
        <v>5.1936634314500001</v>
      </c>
      <c r="I25" s="32">
        <v>35</v>
      </c>
      <c r="J25" s="32">
        <v>27.990378716999999</v>
      </c>
      <c r="K25" s="6">
        <v>40</v>
      </c>
      <c r="L25" s="32"/>
    </row>
    <row r="26" spans="1:12" x14ac:dyDescent="0.25">
      <c r="A26" s="17" t="s">
        <v>32</v>
      </c>
      <c r="B26" s="6">
        <f>B25+1</f>
        <v>25</v>
      </c>
      <c r="C26" s="6">
        <v>5</v>
      </c>
      <c r="D26" s="6">
        <v>2021</v>
      </c>
      <c r="E26" s="32">
        <v>6589.125</v>
      </c>
      <c r="F26" s="32">
        <v>248.72662589532715</v>
      </c>
      <c r="G26" s="32">
        <v>16.922639768411216</v>
      </c>
      <c r="H26" s="32">
        <v>5.0445184130999996</v>
      </c>
      <c r="I26" s="32">
        <v>32</v>
      </c>
      <c r="J26" s="32">
        <v>25.0024844404</v>
      </c>
      <c r="K26" s="6">
        <v>41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2021</v>
      </c>
      <c r="E27" s="32">
        <v>6989.65</v>
      </c>
      <c r="F27" s="32">
        <v>92.448683931214958</v>
      </c>
      <c r="G27" s="32">
        <v>16.440944178130845</v>
      </c>
      <c r="H27" s="32">
        <v>1.55546475985</v>
      </c>
      <c r="I27" s="32">
        <v>37</v>
      </c>
      <c r="J27" s="32">
        <v>26.9984831069</v>
      </c>
      <c r="K27" s="33">
        <v>51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v>5</v>
      </c>
      <c r="D28" s="6">
        <v>2021</v>
      </c>
      <c r="E28" s="32">
        <v>7003.05</v>
      </c>
      <c r="F28" s="32">
        <v>88.636911355700931</v>
      </c>
      <c r="G28" s="32">
        <v>15.5648129064486</v>
      </c>
      <c r="H28" s="32">
        <v>1.6246282722000001</v>
      </c>
      <c r="I28" s="32">
        <v>36</v>
      </c>
      <c r="J28" s="32">
        <v>26.010000912599999</v>
      </c>
      <c r="K28" s="33">
        <v>46</v>
      </c>
      <c r="L28" s="32"/>
    </row>
    <row r="29" spans="1:12" x14ac:dyDescent="0.25">
      <c r="A29" s="17" t="s">
        <v>32</v>
      </c>
      <c r="B29" s="6">
        <f t="shared" si="0"/>
        <v>28</v>
      </c>
      <c r="C29" s="6">
        <v>5</v>
      </c>
      <c r="D29" s="6">
        <v>2021</v>
      </c>
      <c r="E29" s="32">
        <v>7505.3249999999998</v>
      </c>
      <c r="F29" s="32">
        <v>71.645347431775704</v>
      </c>
      <c r="G29" s="32">
        <v>16.158180552803739</v>
      </c>
      <c r="H29" s="32">
        <v>1.6582026112299999</v>
      </c>
      <c r="I29" s="32">
        <v>37</v>
      </c>
      <c r="J29" s="32">
        <v>30.970789243999999</v>
      </c>
      <c r="K29" s="33">
        <v>84</v>
      </c>
      <c r="L29" s="32"/>
    </row>
    <row r="30" spans="1:12" x14ac:dyDescent="0.25">
      <c r="A30" s="17" t="s">
        <v>32</v>
      </c>
      <c r="B30" s="6">
        <f t="shared" si="0"/>
        <v>29</v>
      </c>
      <c r="C30" s="6">
        <v>5</v>
      </c>
      <c r="D30" s="6">
        <v>2021</v>
      </c>
      <c r="E30" s="32">
        <v>7633.05</v>
      </c>
      <c r="F30" s="32">
        <v>102.84355816355141</v>
      </c>
      <c r="G30" s="32">
        <v>16.381453653457946</v>
      </c>
      <c r="H30" s="32">
        <v>1.8616794614000001</v>
      </c>
      <c r="I30" s="32">
        <v>57</v>
      </c>
      <c r="J30" s="32">
        <v>29.021339126000001</v>
      </c>
      <c r="K30" s="33">
        <v>94</v>
      </c>
      <c r="L30" s="32"/>
    </row>
    <row r="31" spans="1:12" x14ac:dyDescent="0.25">
      <c r="A31" s="17" t="s">
        <v>32</v>
      </c>
      <c r="B31" s="6">
        <f t="shared" si="0"/>
        <v>30</v>
      </c>
      <c r="C31" s="6">
        <v>5</v>
      </c>
      <c r="D31" s="6">
        <v>2021</v>
      </c>
      <c r="E31" s="32">
        <v>7495.5</v>
      </c>
      <c r="F31" s="32">
        <v>81.72726514261683</v>
      </c>
      <c r="G31" s="32">
        <v>16.374539102242991</v>
      </c>
      <c r="H31" s="32">
        <v>1.9746911444599999</v>
      </c>
      <c r="I31" s="32">
        <v>44</v>
      </c>
      <c r="J31" s="32">
        <v>31.0039853438</v>
      </c>
      <c r="K31" s="33">
        <v>59</v>
      </c>
      <c r="L31" s="32"/>
    </row>
    <row r="32" spans="1:12" x14ac:dyDescent="0.25">
      <c r="A32" s="17" t="s">
        <v>32</v>
      </c>
      <c r="B32" s="6">
        <f t="shared" si="0"/>
        <v>31</v>
      </c>
      <c r="C32" s="6">
        <v>5</v>
      </c>
      <c r="D32" s="6">
        <v>2021</v>
      </c>
      <c r="E32" s="32">
        <v>7625.9250000000002</v>
      </c>
      <c r="F32" s="32">
        <v>98.975925603738318</v>
      </c>
      <c r="G32" s="32">
        <v>17.664567991962617</v>
      </c>
      <c r="H32" s="32">
        <v>6.3802384863599997</v>
      </c>
      <c r="I32" s="32">
        <v>50</v>
      </c>
      <c r="J32" s="32">
        <v>29.005704578700001</v>
      </c>
      <c r="K32" s="33">
        <v>44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5"/>
      <c r="C1" s="1"/>
      <c r="D1" s="11"/>
      <c r="E1" s="1"/>
      <c r="F1" s="14"/>
      <c r="G1" s="1"/>
      <c r="H1" s="1"/>
      <c r="I1" s="46"/>
      <c r="J1" s="35"/>
      <c r="K1" s="36"/>
      <c r="L1" s="36"/>
      <c r="M1" s="36"/>
      <c r="N1" s="36"/>
      <c r="O1" s="36"/>
      <c r="P1" s="21"/>
      <c r="Q1" s="21"/>
    </row>
    <row r="2" spans="1:17" ht="35.25" customHeight="1" thickBot="1" x14ac:dyDescent="0.3">
      <c r="A2" s="19" t="s">
        <v>15</v>
      </c>
      <c r="B2" s="45"/>
      <c r="C2" s="39" t="s">
        <v>22</v>
      </c>
      <c r="D2" s="40"/>
      <c r="E2" s="49" t="s">
        <v>23</v>
      </c>
      <c r="F2" s="49"/>
      <c r="G2" s="49" t="s">
        <v>24</v>
      </c>
      <c r="H2" s="49"/>
      <c r="I2" s="47"/>
      <c r="J2" s="37" t="s">
        <v>27</v>
      </c>
      <c r="K2" s="38"/>
      <c r="L2" s="41" t="s">
        <v>28</v>
      </c>
      <c r="M2" s="41"/>
      <c r="N2" s="41" t="s">
        <v>29</v>
      </c>
      <c r="O2" s="41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42">
        <f>IF((C5-C4&lt;0), "",C5-C4)</f>
        <v>7975</v>
      </c>
      <c r="E4" s="18">
        <v>23837512</v>
      </c>
      <c r="F4" s="43">
        <f>IF((E5-E4&lt;0), "",E5-E4)</f>
        <v>5799</v>
      </c>
      <c r="G4" s="18">
        <v>9975816</v>
      </c>
      <c r="H4" s="42">
        <f>IF((G5-G4&lt;0), "",G5-G4)</f>
        <v>3477</v>
      </c>
      <c r="I4" s="47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42"/>
      <c r="E5" s="18">
        <v>23843311</v>
      </c>
      <c r="F5" s="44"/>
      <c r="G5" s="18">
        <v>9979293</v>
      </c>
      <c r="H5" s="42"/>
      <c r="I5" s="47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2021-06-11T11:17:28Z</dcterms:modified>
</cp:coreProperties>
</file>