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HEP\HEP Uploads\"/>
    </mc:Choice>
  </mc:AlternateContent>
  <bookViews>
    <workbookView xWindow="0" yWindow="0" windowWidth="21600" windowHeight="9135" firstSheet="2"/>
  </bookViews>
  <sheets>
    <sheet name="TOTAL" sheetId="4" r:id="rId1"/>
    <sheet name="Gas" sheetId="3" r:id="rId2"/>
    <sheet name="Electric" sheetId="2" r:id="rId3"/>
    <sheet name="Water" sheetId="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Q11" i="2" l="1"/>
  <c r="X36" i="3"/>
  <c r="U35" i="1"/>
  <c r="R30" i="3"/>
  <c r="R13" i="3"/>
  <c r="R13" i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R11" i="2"/>
  <c r="K61" i="4"/>
  <c r="AB11" i="2"/>
  <c r="K122" i="4"/>
  <c r="L8" i="1"/>
  <c r="N61" i="4"/>
  <c r="L8" i="3"/>
  <c r="L61" i="4"/>
  <c r="AM10" i="3"/>
  <c r="L338" i="4"/>
  <c r="AM11" i="3"/>
  <c r="L339" i="4"/>
  <c r="AM12" i="3"/>
  <c r="L340" i="4"/>
  <c r="AM13" i="3"/>
  <c r="L341" i="4"/>
  <c r="AM14" i="3"/>
  <c r="L342" i="4"/>
  <c r="AM15" i="3"/>
  <c r="L343" i="4"/>
  <c r="AM16" i="3"/>
  <c r="L344" i="4"/>
  <c r="AM17" i="3"/>
  <c r="L345" i="4"/>
  <c r="AM18" i="3"/>
  <c r="L346" i="4"/>
  <c r="AM19" i="3"/>
  <c r="L347" i="4"/>
  <c r="AM20" i="3"/>
  <c r="L348" i="4"/>
  <c r="AM21" i="3"/>
  <c r="L349" i="4"/>
  <c r="AM22" i="3"/>
  <c r="L350" i="4"/>
  <c r="AM23" i="3"/>
  <c r="L351" i="4"/>
  <c r="AM24" i="3"/>
  <c r="L352" i="4"/>
  <c r="AM25" i="3"/>
  <c r="L353" i="4"/>
  <c r="AM26" i="3"/>
  <c r="L354" i="4"/>
  <c r="AM27" i="3"/>
  <c r="L355" i="4"/>
  <c r="AM28" i="3"/>
  <c r="L356" i="4"/>
  <c r="AM29" i="3"/>
  <c r="L357" i="4"/>
  <c r="AM30" i="3"/>
  <c r="L358" i="4"/>
  <c r="AM31" i="3"/>
  <c r="L359" i="4"/>
  <c r="AM32" i="3"/>
  <c r="L360" i="4"/>
  <c r="AM33" i="3"/>
  <c r="L361" i="4"/>
  <c r="AM34" i="3"/>
  <c r="L362" i="4"/>
  <c r="AM35" i="3"/>
  <c r="L363" i="4"/>
  <c r="AM36" i="3"/>
  <c r="L364" i="4"/>
  <c r="AM37" i="3"/>
  <c r="L365" i="4"/>
  <c r="AM38" i="3"/>
  <c r="L366" i="4"/>
  <c r="AJ10" i="3"/>
  <c r="L308" i="4"/>
  <c r="AJ11" i="3"/>
  <c r="L309" i="4"/>
  <c r="AJ12" i="3"/>
  <c r="L310" i="4"/>
  <c r="AJ13" i="3"/>
  <c r="L311" i="4"/>
  <c r="AJ14" i="3"/>
  <c r="L312" i="4"/>
  <c r="AJ15" i="3"/>
  <c r="L313" i="4"/>
  <c r="AJ16" i="3"/>
  <c r="L314" i="4"/>
  <c r="AJ17" i="3"/>
  <c r="L315" i="4"/>
  <c r="AJ18" i="3"/>
  <c r="L316" i="4"/>
  <c r="AJ19" i="3"/>
  <c r="L317" i="4"/>
  <c r="AJ20" i="3"/>
  <c r="L318" i="4"/>
  <c r="AJ21" i="3"/>
  <c r="L319" i="4"/>
  <c r="AJ22" i="3"/>
  <c r="L320" i="4"/>
  <c r="AJ23" i="3"/>
  <c r="L321" i="4"/>
  <c r="AJ24" i="3"/>
  <c r="L322" i="4"/>
  <c r="AJ25" i="3"/>
  <c r="L323" i="4"/>
  <c r="AJ26" i="3"/>
  <c r="L324" i="4"/>
  <c r="AJ27" i="3"/>
  <c r="L325" i="4"/>
  <c r="AJ28" i="3"/>
  <c r="L326" i="4"/>
  <c r="AJ29" i="3"/>
  <c r="L327" i="4"/>
  <c r="AJ30" i="3"/>
  <c r="L328" i="4"/>
  <c r="AJ31" i="3"/>
  <c r="L329" i="4"/>
  <c r="AJ32" i="3"/>
  <c r="L330" i="4"/>
  <c r="AJ33" i="3"/>
  <c r="L331" i="4"/>
  <c r="AJ34" i="3"/>
  <c r="L332" i="4"/>
  <c r="AJ35" i="3"/>
  <c r="L333" i="4"/>
  <c r="AJ36" i="3"/>
  <c r="L334" i="4"/>
  <c r="AJ37" i="3"/>
  <c r="L335" i="4"/>
  <c r="AG10" i="3"/>
  <c r="L277" i="4"/>
  <c r="AG11" i="3"/>
  <c r="L278" i="4"/>
  <c r="AG12" i="3"/>
  <c r="L279" i="4"/>
  <c r="AG13" i="3"/>
  <c r="L280" i="4"/>
  <c r="AG14" i="3"/>
  <c r="L281" i="4"/>
  <c r="AG15" i="3"/>
  <c r="L282" i="4"/>
  <c r="AG16" i="3"/>
  <c r="L283" i="4"/>
  <c r="AG17" i="3"/>
  <c r="L284" i="4"/>
  <c r="AG18" i="3"/>
  <c r="L285" i="4"/>
  <c r="AG19" i="3"/>
  <c r="L286" i="4"/>
  <c r="AG20" i="3"/>
  <c r="L287" i="4"/>
  <c r="AG21" i="3"/>
  <c r="L288" i="4"/>
  <c r="AG22" i="3"/>
  <c r="L289" i="4"/>
  <c r="AG23" i="3"/>
  <c r="L290" i="4"/>
  <c r="AG24" i="3"/>
  <c r="L291" i="4"/>
  <c r="AG25" i="3"/>
  <c r="L292" i="4"/>
  <c r="AG26" i="3"/>
  <c r="L293" i="4"/>
  <c r="AG27" i="3"/>
  <c r="L294" i="4"/>
  <c r="AG28" i="3"/>
  <c r="L295" i="4"/>
  <c r="AG29" i="3"/>
  <c r="L296" i="4"/>
  <c r="AG30" i="3"/>
  <c r="L297" i="4"/>
  <c r="AG31" i="3"/>
  <c r="L298" i="4"/>
  <c r="AG32" i="3"/>
  <c r="L299" i="4"/>
  <c r="AG33" i="3"/>
  <c r="L300" i="4"/>
  <c r="AG34" i="3"/>
  <c r="L301" i="4"/>
  <c r="AG35" i="3"/>
  <c r="L302" i="4"/>
  <c r="AG36" i="3"/>
  <c r="L303" i="4"/>
  <c r="AG37" i="3"/>
  <c r="L304" i="4"/>
  <c r="AG38" i="3"/>
  <c r="L305" i="4"/>
  <c r="AD10" i="3"/>
  <c r="L247" i="4"/>
  <c r="AD11" i="3"/>
  <c r="L248" i="4"/>
  <c r="AD12" i="3"/>
  <c r="L249" i="4"/>
  <c r="AD13" i="3"/>
  <c r="L250" i="4"/>
  <c r="AD14" i="3"/>
  <c r="L251" i="4"/>
  <c r="AD15" i="3"/>
  <c r="L252" i="4"/>
  <c r="AD16" i="3"/>
  <c r="L253" i="4"/>
  <c r="AD17" i="3"/>
  <c r="L254" i="4"/>
  <c r="AD18" i="3"/>
  <c r="L255" i="4"/>
  <c r="AD19" i="3"/>
  <c r="L256" i="4"/>
  <c r="AD20" i="3"/>
  <c r="L257" i="4"/>
  <c r="AD21" i="3"/>
  <c r="L258" i="4"/>
  <c r="AD22" i="3"/>
  <c r="L259" i="4"/>
  <c r="AD23" i="3"/>
  <c r="L260" i="4"/>
  <c r="AD24" i="3"/>
  <c r="L261" i="4"/>
  <c r="AD25" i="3"/>
  <c r="L262" i="4"/>
  <c r="AD26" i="3"/>
  <c r="L263" i="4"/>
  <c r="AD27" i="3"/>
  <c r="L264" i="4"/>
  <c r="AD28" i="3"/>
  <c r="L265" i="4"/>
  <c r="AD29" i="3"/>
  <c r="L266" i="4"/>
  <c r="AD30" i="3"/>
  <c r="L267" i="4"/>
  <c r="AD31" i="3"/>
  <c r="L268" i="4"/>
  <c r="AD32" i="3"/>
  <c r="L269" i="4"/>
  <c r="AD33" i="3"/>
  <c r="L270" i="4"/>
  <c r="AD34" i="3"/>
  <c r="L271" i="4"/>
  <c r="AD35" i="3"/>
  <c r="L272" i="4"/>
  <c r="AD36" i="3"/>
  <c r="L273" i="4"/>
  <c r="AD37" i="3"/>
  <c r="L274" i="4"/>
  <c r="AA10" i="3"/>
  <c r="L216" i="4"/>
  <c r="AA11" i="3"/>
  <c r="L217" i="4"/>
  <c r="AA12" i="3"/>
  <c r="L218" i="4"/>
  <c r="AA13" i="3"/>
  <c r="L219" i="4"/>
  <c r="AA14" i="3"/>
  <c r="L220" i="4"/>
  <c r="AA15" i="3"/>
  <c r="L221" i="4"/>
  <c r="AA16" i="3"/>
  <c r="L222" i="4"/>
  <c r="AA17" i="3"/>
  <c r="L223" i="4"/>
  <c r="AA18" i="3"/>
  <c r="L224" i="4"/>
  <c r="AA19" i="3"/>
  <c r="L225" i="4"/>
  <c r="AA20" i="3"/>
  <c r="L226" i="4"/>
  <c r="AA21" i="3"/>
  <c r="L227" i="4"/>
  <c r="AA22" i="3"/>
  <c r="L228" i="4"/>
  <c r="AA23" i="3"/>
  <c r="L229" i="4"/>
  <c r="AA24" i="3"/>
  <c r="L230" i="4"/>
  <c r="AA25" i="3"/>
  <c r="L231" i="4"/>
  <c r="AA26" i="3"/>
  <c r="L232" i="4"/>
  <c r="AA27" i="3"/>
  <c r="L233" i="4"/>
  <c r="AA28" i="3"/>
  <c r="L234" i="4"/>
  <c r="AA29" i="3"/>
  <c r="L235" i="4"/>
  <c r="AA30" i="3"/>
  <c r="L236" i="4"/>
  <c r="AA31" i="3"/>
  <c r="L237" i="4"/>
  <c r="AA32" i="3"/>
  <c r="L238" i="4"/>
  <c r="AA33" i="3"/>
  <c r="L239" i="4"/>
  <c r="AA34" i="3"/>
  <c r="L240" i="4"/>
  <c r="AA35" i="3"/>
  <c r="L241" i="4"/>
  <c r="AA36" i="3"/>
  <c r="L242" i="4"/>
  <c r="AA37" i="3"/>
  <c r="L243" i="4"/>
  <c r="AA38" i="3"/>
  <c r="L244" i="4"/>
  <c r="X10" i="3"/>
  <c r="L185" i="4"/>
  <c r="X11" i="3"/>
  <c r="L186" i="4"/>
  <c r="X12" i="3"/>
  <c r="L187" i="4"/>
  <c r="X13" i="3"/>
  <c r="L188" i="4"/>
  <c r="X14" i="3"/>
  <c r="L189" i="4"/>
  <c r="X15" i="3"/>
  <c r="L190" i="4"/>
  <c r="X16" i="3"/>
  <c r="L191" i="4"/>
  <c r="X17" i="3"/>
  <c r="L192" i="4"/>
  <c r="X18" i="3"/>
  <c r="L193" i="4"/>
  <c r="X19" i="3"/>
  <c r="L194" i="4"/>
  <c r="X20" i="3"/>
  <c r="L195" i="4"/>
  <c r="X21" i="3"/>
  <c r="L196" i="4"/>
  <c r="X22" i="3"/>
  <c r="L197" i="4"/>
  <c r="X23" i="3"/>
  <c r="L198" i="4"/>
  <c r="X24" i="3"/>
  <c r="L199" i="4"/>
  <c r="X25" i="3"/>
  <c r="L200" i="4"/>
  <c r="X26" i="3"/>
  <c r="L201" i="4"/>
  <c r="X27" i="3"/>
  <c r="L202" i="4"/>
  <c r="X28" i="3"/>
  <c r="L203" i="4"/>
  <c r="X29" i="3"/>
  <c r="L204" i="4"/>
  <c r="X30" i="3"/>
  <c r="L205" i="4"/>
  <c r="X31" i="3"/>
  <c r="L206" i="4"/>
  <c r="X32" i="3"/>
  <c r="L207" i="4"/>
  <c r="X33" i="3"/>
  <c r="L208" i="4"/>
  <c r="X34" i="3"/>
  <c r="L209" i="4"/>
  <c r="X35" i="3"/>
  <c r="L210" i="4"/>
  <c r="L211" i="4"/>
  <c r="X37" i="3"/>
  <c r="L212" i="4"/>
  <c r="X38" i="3"/>
  <c r="L213" i="4"/>
  <c r="U10" i="3"/>
  <c r="L155" i="4"/>
  <c r="U11" i="3"/>
  <c r="L156" i="4"/>
  <c r="U12" i="3"/>
  <c r="L157" i="4"/>
  <c r="U13" i="3"/>
  <c r="L158" i="4"/>
  <c r="U14" i="3"/>
  <c r="L159" i="4"/>
  <c r="U15" i="3"/>
  <c r="L160" i="4"/>
  <c r="U16" i="3"/>
  <c r="L161" i="4"/>
  <c r="U17" i="3"/>
  <c r="L162" i="4"/>
  <c r="U18" i="3"/>
  <c r="L163" i="4"/>
  <c r="U19" i="3"/>
  <c r="L164" i="4"/>
  <c r="U20" i="3"/>
  <c r="L165" i="4"/>
  <c r="U21" i="3"/>
  <c r="L166" i="4"/>
  <c r="U22" i="3"/>
  <c r="L167" i="4"/>
  <c r="U23" i="3"/>
  <c r="L168" i="4"/>
  <c r="U24" i="3"/>
  <c r="L169" i="4"/>
  <c r="U25" i="3"/>
  <c r="L170" i="4"/>
  <c r="U26" i="3"/>
  <c r="L171" i="4"/>
  <c r="U27" i="3"/>
  <c r="L172" i="4"/>
  <c r="U28" i="3"/>
  <c r="L173" i="4"/>
  <c r="U29" i="3"/>
  <c r="L174" i="4"/>
  <c r="U30" i="3"/>
  <c r="L175" i="4"/>
  <c r="U31" i="3"/>
  <c r="L176" i="4"/>
  <c r="U32" i="3"/>
  <c r="L177" i="4"/>
  <c r="U33" i="3"/>
  <c r="L178" i="4"/>
  <c r="U34" i="3"/>
  <c r="L179" i="4"/>
  <c r="U35" i="3"/>
  <c r="L180" i="4"/>
  <c r="U36" i="3"/>
  <c r="L181" i="4"/>
  <c r="U37" i="3"/>
  <c r="L182" i="4"/>
  <c r="R10" i="3"/>
  <c r="L124" i="4"/>
  <c r="R11" i="3"/>
  <c r="L125" i="4"/>
  <c r="R12" i="3"/>
  <c r="L126" i="4"/>
  <c r="L127" i="4"/>
  <c r="R14" i="3"/>
  <c r="L128" i="4"/>
  <c r="R15" i="3"/>
  <c r="L129" i="4"/>
  <c r="R16" i="3"/>
  <c r="L130" i="4"/>
  <c r="R17" i="3"/>
  <c r="L131" i="4"/>
  <c r="R18" i="3"/>
  <c r="L132" i="4"/>
  <c r="R19" i="3"/>
  <c r="L133" i="4"/>
  <c r="R20" i="3"/>
  <c r="L134" i="4"/>
  <c r="R21" i="3"/>
  <c r="L135" i="4"/>
  <c r="R22" i="3"/>
  <c r="L136" i="4"/>
  <c r="R23" i="3"/>
  <c r="L137" i="4"/>
  <c r="R24" i="3"/>
  <c r="L138" i="4"/>
  <c r="R25" i="3"/>
  <c r="L139" i="4"/>
  <c r="R26" i="3"/>
  <c r="L140" i="4"/>
  <c r="R27" i="3"/>
  <c r="L141" i="4"/>
  <c r="R28" i="3"/>
  <c r="L142" i="4"/>
  <c r="R29" i="3"/>
  <c r="L143" i="4"/>
  <c r="L144" i="4"/>
  <c r="R31" i="3"/>
  <c r="L145" i="4"/>
  <c r="R32" i="3"/>
  <c r="L146" i="4"/>
  <c r="R33" i="3"/>
  <c r="L147" i="4"/>
  <c r="R34" i="3"/>
  <c r="L148" i="4"/>
  <c r="R35" i="3"/>
  <c r="L149" i="4"/>
  <c r="R36" i="3"/>
  <c r="L150" i="4"/>
  <c r="R37" i="3"/>
  <c r="L151" i="4"/>
  <c r="R38" i="3"/>
  <c r="L152" i="4"/>
  <c r="O10" i="3"/>
  <c r="L94" i="4"/>
  <c r="O11" i="3"/>
  <c r="L95" i="4"/>
  <c r="O12" i="3"/>
  <c r="L96" i="4"/>
  <c r="O13" i="3"/>
  <c r="L97" i="4"/>
  <c r="O14" i="3"/>
  <c r="L98" i="4"/>
  <c r="O15" i="3"/>
  <c r="L99" i="4"/>
  <c r="O16" i="3"/>
  <c r="L100" i="4"/>
  <c r="L101" i="4"/>
  <c r="L102" i="4"/>
  <c r="O19" i="3"/>
  <c r="L103" i="4"/>
  <c r="O20" i="3"/>
  <c r="L104" i="4"/>
  <c r="O21" i="3"/>
  <c r="L105" i="4"/>
  <c r="O22" i="3"/>
  <c r="L106" i="4"/>
  <c r="O23" i="3"/>
  <c r="L107" i="4"/>
  <c r="O24" i="3"/>
  <c r="L108" i="4"/>
  <c r="O25" i="3"/>
  <c r="L109" i="4"/>
  <c r="O26" i="3"/>
  <c r="L110" i="4"/>
  <c r="O27" i="3"/>
  <c r="L111" i="4"/>
  <c r="O28" i="3"/>
  <c r="L112" i="4"/>
  <c r="O29" i="3"/>
  <c r="L113" i="4"/>
  <c r="O30" i="3"/>
  <c r="L114" i="4"/>
  <c r="O31" i="3"/>
  <c r="L115" i="4"/>
  <c r="O32" i="3"/>
  <c r="L116" i="4"/>
  <c r="O33" i="3"/>
  <c r="L117" i="4"/>
  <c r="O34" i="3"/>
  <c r="L118" i="4"/>
  <c r="O35" i="3"/>
  <c r="L119" i="4"/>
  <c r="O36" i="3"/>
  <c r="L120" i="4"/>
  <c r="O37" i="3"/>
  <c r="L121" i="4"/>
  <c r="AM9" i="3"/>
  <c r="L337" i="4"/>
  <c r="AJ9" i="3"/>
  <c r="L307" i="4"/>
  <c r="AG9" i="3"/>
  <c r="L276" i="4"/>
  <c r="AD9" i="3"/>
  <c r="L246" i="4"/>
  <c r="AA9" i="3"/>
  <c r="L215" i="4"/>
  <c r="X9" i="3"/>
  <c r="L184" i="4"/>
  <c r="U9" i="3"/>
  <c r="L154" i="4"/>
  <c r="R9" i="3"/>
  <c r="L123" i="4"/>
  <c r="O9" i="3"/>
  <c r="L93" i="4"/>
  <c r="L10" i="3"/>
  <c r="L63" i="4"/>
  <c r="L11" i="3"/>
  <c r="L64" i="4"/>
  <c r="L12" i="3"/>
  <c r="L65" i="4"/>
  <c r="L13" i="3"/>
  <c r="L66" i="4"/>
  <c r="L14" i="3"/>
  <c r="L67" i="4"/>
  <c r="L15" i="3"/>
  <c r="L68" i="4"/>
  <c r="L16" i="3"/>
  <c r="L69" i="4"/>
  <c r="L17" i="3"/>
  <c r="L70" i="4"/>
  <c r="L18" i="3"/>
  <c r="L71" i="4"/>
  <c r="L19" i="3"/>
  <c r="L72" i="4"/>
  <c r="L20" i="3"/>
  <c r="L73" i="4"/>
  <c r="L21" i="3"/>
  <c r="L74" i="4"/>
  <c r="L22" i="3"/>
  <c r="L75" i="4"/>
  <c r="L23" i="3"/>
  <c r="L76" i="4"/>
  <c r="L24" i="3"/>
  <c r="L77" i="4"/>
  <c r="L25" i="3"/>
  <c r="L78" i="4"/>
  <c r="L26" i="3"/>
  <c r="L79" i="4"/>
  <c r="L27" i="3"/>
  <c r="L80" i="4"/>
  <c r="L28" i="3"/>
  <c r="L81" i="4"/>
  <c r="L29" i="3"/>
  <c r="L82" i="4"/>
  <c r="L30" i="3"/>
  <c r="L83" i="4"/>
  <c r="L31" i="3"/>
  <c r="L84" i="4"/>
  <c r="L32" i="3"/>
  <c r="L85" i="4"/>
  <c r="L33" i="3"/>
  <c r="L86" i="4"/>
  <c r="L34" i="3"/>
  <c r="L87" i="4"/>
  <c r="L35" i="3"/>
  <c r="L88" i="4"/>
  <c r="L36" i="3"/>
  <c r="L89" i="4"/>
  <c r="L37" i="3"/>
  <c r="L90" i="4"/>
  <c r="L38" i="3"/>
  <c r="L91" i="4"/>
  <c r="L9" i="3"/>
  <c r="L62" i="4"/>
  <c r="I9" i="3"/>
  <c r="L34" i="4"/>
  <c r="AM8" i="3"/>
  <c r="L336" i="4"/>
  <c r="AJ8" i="3"/>
  <c r="L306" i="4"/>
  <c r="AG8" i="3"/>
  <c r="L275" i="4"/>
  <c r="AD8" i="3"/>
  <c r="L245" i="4"/>
  <c r="AA8" i="3"/>
  <c r="L214" i="4"/>
  <c r="X8" i="3"/>
  <c r="L183" i="4"/>
  <c r="U8" i="3"/>
  <c r="L153" i="4"/>
  <c r="R8" i="3"/>
  <c r="L122" i="4"/>
  <c r="O8" i="3"/>
  <c r="L92" i="4"/>
  <c r="I8" i="3"/>
  <c r="L33" i="4"/>
  <c r="I10" i="3"/>
  <c r="L35" i="4"/>
  <c r="I11" i="3"/>
  <c r="L36" i="4"/>
  <c r="I12" i="3"/>
  <c r="L37" i="4"/>
  <c r="I13" i="3"/>
  <c r="L38" i="4"/>
  <c r="I14" i="3"/>
  <c r="L39" i="4"/>
  <c r="I15" i="3"/>
  <c r="L40" i="4"/>
  <c r="I16" i="3"/>
  <c r="L41" i="4"/>
  <c r="I17" i="3"/>
  <c r="L42" i="4"/>
  <c r="I18" i="3"/>
  <c r="L43" i="4"/>
  <c r="I19" i="3"/>
  <c r="L44" i="4"/>
  <c r="I20" i="3"/>
  <c r="L45" i="4"/>
  <c r="I21" i="3"/>
  <c r="L46" i="4"/>
  <c r="I22" i="3"/>
  <c r="L47" i="4"/>
  <c r="I23" i="3"/>
  <c r="L48" i="4"/>
  <c r="I24" i="3"/>
  <c r="L49" i="4"/>
  <c r="I25" i="3"/>
  <c r="L50" i="4"/>
  <c r="I26" i="3"/>
  <c r="L51" i="4"/>
  <c r="I27" i="3"/>
  <c r="L52" i="4"/>
  <c r="I28" i="3"/>
  <c r="L53" i="4"/>
  <c r="I29" i="3"/>
  <c r="L54" i="4"/>
  <c r="I30" i="3"/>
  <c r="L55" i="4"/>
  <c r="I31" i="3"/>
  <c r="L56" i="4"/>
  <c r="I32" i="3"/>
  <c r="L57" i="4"/>
  <c r="I33" i="3"/>
  <c r="L58" i="4"/>
  <c r="I34" i="3"/>
  <c r="L59" i="4"/>
  <c r="I35" i="3"/>
  <c r="L60" i="4"/>
  <c r="I36" i="3"/>
  <c r="F9" i="3"/>
  <c r="L3" i="4"/>
  <c r="F8" i="3"/>
  <c r="L2" i="4"/>
  <c r="AA39" i="3"/>
  <c r="U39" i="3"/>
  <c r="R39" i="3"/>
  <c r="O39" i="3"/>
  <c r="AM39" i="3"/>
  <c r="AJ39" i="3"/>
  <c r="AG39" i="3"/>
  <c r="AD39" i="3"/>
  <c r="X39" i="3"/>
  <c r="L39" i="3"/>
  <c r="I39" i="3"/>
  <c r="BF11" i="2"/>
  <c r="K306" i="4"/>
  <c r="AL11" i="2"/>
  <c r="K183" i="4"/>
  <c r="BK13" i="2"/>
  <c r="K338" i="4"/>
  <c r="BK14" i="2"/>
  <c r="K339" i="4"/>
  <c r="BK15" i="2"/>
  <c r="K340" i="4"/>
  <c r="BK16" i="2"/>
  <c r="K341" i="4"/>
  <c r="BK17" i="2"/>
  <c r="K342" i="4"/>
  <c r="BK18" i="2"/>
  <c r="K343" i="4"/>
  <c r="BK19" i="2"/>
  <c r="K344" i="4"/>
  <c r="BK20" i="2"/>
  <c r="K345" i="4"/>
  <c r="BK21" i="2"/>
  <c r="K346" i="4"/>
  <c r="BK22" i="2"/>
  <c r="K347" i="4"/>
  <c r="BK23" i="2"/>
  <c r="K348" i="4"/>
  <c r="BK24" i="2"/>
  <c r="K349" i="4"/>
  <c r="BK25" i="2"/>
  <c r="K350" i="4"/>
  <c r="BK26" i="2"/>
  <c r="K351" i="4"/>
  <c r="BK27" i="2"/>
  <c r="K352" i="4"/>
  <c r="BK28" i="2"/>
  <c r="K353" i="4"/>
  <c r="BK29" i="2"/>
  <c r="K354" i="4"/>
  <c r="BK30" i="2"/>
  <c r="K355" i="4"/>
  <c r="BK31" i="2"/>
  <c r="K356" i="4"/>
  <c r="BK32" i="2"/>
  <c r="K357" i="4"/>
  <c r="BK33" i="2"/>
  <c r="K358" i="4"/>
  <c r="BK34" i="2"/>
  <c r="K359" i="4"/>
  <c r="BK35" i="2"/>
  <c r="K360" i="4"/>
  <c r="BK36" i="2"/>
  <c r="K361" i="4"/>
  <c r="BK37" i="2"/>
  <c r="K362" i="4"/>
  <c r="BK38" i="2"/>
  <c r="K363" i="4"/>
  <c r="BK39" i="2"/>
  <c r="K364" i="4"/>
  <c r="BK40" i="2"/>
  <c r="K365" i="4"/>
  <c r="BK41" i="2"/>
  <c r="K366" i="4"/>
  <c r="BK12" i="2"/>
  <c r="K337" i="4"/>
  <c r="BF12" i="2"/>
  <c r="K307" i="4"/>
  <c r="BK11" i="2"/>
  <c r="K336" i="4"/>
  <c r="BF13" i="2"/>
  <c r="K308" i="4"/>
  <c r="BF14" i="2"/>
  <c r="K309" i="4"/>
  <c r="BF15" i="2"/>
  <c r="K310" i="4"/>
  <c r="BF16" i="2"/>
  <c r="K311" i="4"/>
  <c r="BF17" i="2"/>
  <c r="K312" i="4"/>
  <c r="BF18" i="2"/>
  <c r="K313" i="4"/>
  <c r="BF19" i="2"/>
  <c r="K314" i="4"/>
  <c r="BF20" i="2"/>
  <c r="K315" i="4"/>
  <c r="BF21" i="2"/>
  <c r="K316" i="4"/>
  <c r="BF22" i="2"/>
  <c r="K317" i="4"/>
  <c r="BF23" i="2"/>
  <c r="K318" i="4"/>
  <c r="BF24" i="2"/>
  <c r="K319" i="4"/>
  <c r="BF25" i="2"/>
  <c r="K320" i="4"/>
  <c r="BF26" i="2"/>
  <c r="K321" i="4"/>
  <c r="BF27" i="2"/>
  <c r="K322" i="4"/>
  <c r="BF28" i="2"/>
  <c r="K323" i="4"/>
  <c r="BF29" i="2"/>
  <c r="K324" i="4"/>
  <c r="BF30" i="2"/>
  <c r="K325" i="4"/>
  <c r="BF31" i="2"/>
  <c r="K326" i="4"/>
  <c r="BF32" i="2"/>
  <c r="K327" i="4"/>
  <c r="BF33" i="2"/>
  <c r="K328" i="4"/>
  <c r="BF34" i="2"/>
  <c r="K329" i="4"/>
  <c r="BF35" i="2"/>
  <c r="K330" i="4"/>
  <c r="BF36" i="2"/>
  <c r="K331" i="4"/>
  <c r="BF37" i="2"/>
  <c r="K332" i="4"/>
  <c r="BF38" i="2"/>
  <c r="K333" i="4"/>
  <c r="BF39" i="2"/>
  <c r="K334" i="4"/>
  <c r="BF40" i="2"/>
  <c r="K335" i="4"/>
  <c r="BA12" i="2"/>
  <c r="K276" i="4"/>
  <c r="BA11" i="2"/>
  <c r="K275" i="4"/>
  <c r="BA13" i="2"/>
  <c r="K277" i="4"/>
  <c r="BA14" i="2"/>
  <c r="K278" i="4"/>
  <c r="BA15" i="2"/>
  <c r="K279" i="4"/>
  <c r="BA16" i="2"/>
  <c r="K280" i="4"/>
  <c r="BA17" i="2"/>
  <c r="K281" i="4"/>
  <c r="BA18" i="2"/>
  <c r="K282" i="4"/>
  <c r="BA19" i="2"/>
  <c r="K283" i="4"/>
  <c r="BA20" i="2"/>
  <c r="K284" i="4"/>
  <c r="BA21" i="2"/>
  <c r="K285" i="4"/>
  <c r="BA22" i="2"/>
  <c r="K286" i="4"/>
  <c r="BA23" i="2"/>
  <c r="K287" i="4"/>
  <c r="BA24" i="2"/>
  <c r="K288" i="4"/>
  <c r="BA25" i="2"/>
  <c r="K289" i="4"/>
  <c r="BA26" i="2"/>
  <c r="K290" i="4"/>
  <c r="BA27" i="2"/>
  <c r="K291" i="4"/>
  <c r="BA28" i="2"/>
  <c r="K292" i="4"/>
  <c r="BA29" i="2"/>
  <c r="K293" i="4"/>
  <c r="BA30" i="2"/>
  <c r="K294" i="4"/>
  <c r="BA31" i="2"/>
  <c r="K295" i="4"/>
  <c r="BA32" i="2"/>
  <c r="K296" i="4"/>
  <c r="BA33" i="2"/>
  <c r="K297" i="4"/>
  <c r="BA34" i="2"/>
  <c r="K298" i="4"/>
  <c r="BA35" i="2"/>
  <c r="K299" i="4"/>
  <c r="BA36" i="2"/>
  <c r="K300" i="4"/>
  <c r="BA37" i="2"/>
  <c r="K301" i="4"/>
  <c r="BA38" i="2"/>
  <c r="K302" i="4"/>
  <c r="BA39" i="2"/>
  <c r="K303" i="4"/>
  <c r="BA40" i="2"/>
  <c r="K304" i="4"/>
  <c r="BA41" i="2"/>
  <c r="K305" i="4"/>
  <c r="AV12" i="2"/>
  <c r="K246" i="4"/>
  <c r="AV11" i="2"/>
  <c r="K245" i="4"/>
  <c r="AV13" i="2"/>
  <c r="K247" i="4"/>
  <c r="AV14" i="2"/>
  <c r="K248" i="4"/>
  <c r="AV15" i="2"/>
  <c r="K249" i="4"/>
  <c r="AV16" i="2"/>
  <c r="K250" i="4"/>
  <c r="AV17" i="2"/>
  <c r="K251" i="4"/>
  <c r="AV18" i="2"/>
  <c r="K252" i="4"/>
  <c r="AV19" i="2"/>
  <c r="K253" i="4"/>
  <c r="AV20" i="2"/>
  <c r="K254" i="4"/>
  <c r="AV21" i="2"/>
  <c r="K255" i="4"/>
  <c r="AV22" i="2"/>
  <c r="K256" i="4"/>
  <c r="AV23" i="2"/>
  <c r="K257" i="4"/>
  <c r="AV24" i="2"/>
  <c r="K258" i="4"/>
  <c r="AV25" i="2"/>
  <c r="K259" i="4"/>
  <c r="AV26" i="2"/>
  <c r="K260" i="4"/>
  <c r="AV27" i="2"/>
  <c r="K261" i="4"/>
  <c r="AV28" i="2"/>
  <c r="K262" i="4"/>
  <c r="AV29" i="2"/>
  <c r="K263" i="4"/>
  <c r="AV30" i="2"/>
  <c r="K264" i="4"/>
  <c r="AV31" i="2"/>
  <c r="K265" i="4"/>
  <c r="AV32" i="2"/>
  <c r="K266" i="4"/>
  <c r="AV33" i="2"/>
  <c r="K267" i="4"/>
  <c r="AV34" i="2"/>
  <c r="K268" i="4"/>
  <c r="AV35" i="2"/>
  <c r="K269" i="4"/>
  <c r="AV36" i="2"/>
  <c r="K270" i="4"/>
  <c r="AV37" i="2"/>
  <c r="K271" i="4"/>
  <c r="AV38" i="2"/>
  <c r="K272" i="4"/>
  <c r="AV39" i="2"/>
  <c r="K273" i="4"/>
  <c r="AV40" i="2"/>
  <c r="K274" i="4"/>
  <c r="AQ12" i="2"/>
  <c r="K215" i="4"/>
  <c r="K214" i="4"/>
  <c r="AQ13" i="2"/>
  <c r="K216" i="4"/>
  <c r="AQ14" i="2"/>
  <c r="K217" i="4"/>
  <c r="AQ15" i="2"/>
  <c r="K218" i="4"/>
  <c r="AQ16" i="2"/>
  <c r="K219" i="4"/>
  <c r="AQ17" i="2"/>
  <c r="K220" i="4"/>
  <c r="AQ18" i="2"/>
  <c r="K221" i="4"/>
  <c r="AQ19" i="2"/>
  <c r="K222" i="4"/>
  <c r="AQ20" i="2"/>
  <c r="K223" i="4"/>
  <c r="AQ21" i="2"/>
  <c r="K224" i="4"/>
  <c r="AQ22" i="2"/>
  <c r="K225" i="4"/>
  <c r="AQ23" i="2"/>
  <c r="K226" i="4"/>
  <c r="AQ24" i="2"/>
  <c r="K227" i="4"/>
  <c r="AQ25" i="2"/>
  <c r="K228" i="4"/>
  <c r="AQ26" i="2"/>
  <c r="K229" i="4"/>
  <c r="AQ27" i="2"/>
  <c r="K230" i="4"/>
  <c r="AQ28" i="2"/>
  <c r="K231" i="4"/>
  <c r="AQ29" i="2"/>
  <c r="K232" i="4"/>
  <c r="AQ30" i="2"/>
  <c r="K233" i="4"/>
  <c r="AQ31" i="2"/>
  <c r="K234" i="4"/>
  <c r="AQ32" i="2"/>
  <c r="K235" i="4"/>
  <c r="AQ33" i="2"/>
  <c r="K236" i="4"/>
  <c r="AQ34" i="2"/>
  <c r="K237" i="4"/>
  <c r="AQ35" i="2"/>
  <c r="K238" i="4"/>
  <c r="AQ36" i="2"/>
  <c r="K239" i="4"/>
  <c r="AQ37" i="2"/>
  <c r="K240" i="4"/>
  <c r="AQ38" i="2"/>
  <c r="K241" i="4"/>
  <c r="AQ39" i="2"/>
  <c r="K242" i="4"/>
  <c r="AQ40" i="2"/>
  <c r="K243" i="4"/>
  <c r="AQ41" i="2"/>
  <c r="K244" i="4"/>
  <c r="AL12" i="2"/>
  <c r="K184" i="4"/>
  <c r="AL13" i="2"/>
  <c r="K185" i="4"/>
  <c r="AL14" i="2"/>
  <c r="K186" i="4"/>
  <c r="AL15" i="2"/>
  <c r="K187" i="4"/>
  <c r="AL16" i="2"/>
  <c r="K188" i="4"/>
  <c r="AL17" i="2"/>
  <c r="K189" i="4"/>
  <c r="AL18" i="2"/>
  <c r="K190" i="4"/>
  <c r="AL19" i="2"/>
  <c r="K191" i="4"/>
  <c r="AL20" i="2"/>
  <c r="K192" i="4"/>
  <c r="AL21" i="2"/>
  <c r="K193" i="4"/>
  <c r="AL22" i="2"/>
  <c r="K194" i="4"/>
  <c r="AL23" i="2"/>
  <c r="K195" i="4"/>
  <c r="AL24" i="2"/>
  <c r="K196" i="4"/>
  <c r="AL25" i="2"/>
  <c r="K197" i="4"/>
  <c r="AL26" i="2"/>
  <c r="K198" i="4"/>
  <c r="AL27" i="2"/>
  <c r="K199" i="4"/>
  <c r="AL28" i="2"/>
  <c r="K200" i="4"/>
  <c r="AL29" i="2"/>
  <c r="K201" i="4"/>
  <c r="AL30" i="2"/>
  <c r="K202" i="4"/>
  <c r="AL31" i="2"/>
  <c r="K203" i="4"/>
  <c r="AL32" i="2"/>
  <c r="K204" i="4"/>
  <c r="AL33" i="2"/>
  <c r="K205" i="4"/>
  <c r="AL34" i="2"/>
  <c r="K206" i="4"/>
  <c r="AL35" i="2"/>
  <c r="K207" i="4"/>
  <c r="AL36" i="2"/>
  <c r="K208" i="4"/>
  <c r="AL37" i="2"/>
  <c r="K209" i="4"/>
  <c r="AL38" i="2"/>
  <c r="K210" i="4"/>
  <c r="AL39" i="2"/>
  <c r="K211" i="4"/>
  <c r="AL40" i="2"/>
  <c r="K212" i="4"/>
  <c r="AL41" i="2"/>
  <c r="K213" i="4"/>
  <c r="AG12" i="2"/>
  <c r="K154" i="4"/>
  <c r="AG11" i="2"/>
  <c r="K153" i="4"/>
  <c r="AG13" i="2"/>
  <c r="K155" i="4"/>
  <c r="AG14" i="2"/>
  <c r="K156" i="4"/>
  <c r="AG15" i="2"/>
  <c r="K157" i="4"/>
  <c r="AG16" i="2"/>
  <c r="K158" i="4"/>
  <c r="AG17" i="2"/>
  <c r="K159" i="4"/>
  <c r="AG18" i="2"/>
  <c r="K160" i="4"/>
  <c r="AG19" i="2"/>
  <c r="K161" i="4"/>
  <c r="AG20" i="2"/>
  <c r="K162" i="4"/>
  <c r="AG21" i="2"/>
  <c r="K163" i="4"/>
  <c r="AG22" i="2"/>
  <c r="K164" i="4"/>
  <c r="AG23" i="2"/>
  <c r="K165" i="4"/>
  <c r="AG24" i="2"/>
  <c r="K166" i="4"/>
  <c r="AG25" i="2"/>
  <c r="K167" i="4"/>
  <c r="AG26" i="2"/>
  <c r="K168" i="4"/>
  <c r="AG27" i="2"/>
  <c r="K169" i="4"/>
  <c r="AG28" i="2"/>
  <c r="K170" i="4"/>
  <c r="AG29" i="2"/>
  <c r="K171" i="4"/>
  <c r="AG30" i="2"/>
  <c r="K172" i="4"/>
  <c r="AG31" i="2"/>
  <c r="K173" i="4"/>
  <c r="AG32" i="2"/>
  <c r="K174" i="4"/>
  <c r="AG33" i="2"/>
  <c r="K175" i="4"/>
  <c r="AG34" i="2"/>
  <c r="K176" i="4"/>
  <c r="AG35" i="2"/>
  <c r="K177" i="4"/>
  <c r="AG36" i="2"/>
  <c r="K178" i="4"/>
  <c r="AG37" i="2"/>
  <c r="K179" i="4"/>
  <c r="AG38" i="2"/>
  <c r="K180" i="4"/>
  <c r="AG39" i="2"/>
  <c r="K181" i="4"/>
  <c r="AG40" i="2"/>
  <c r="K182" i="4"/>
  <c r="AB12" i="2"/>
  <c r="K123" i="4"/>
  <c r="AB13" i="2"/>
  <c r="K124" i="4"/>
  <c r="AB14" i="2"/>
  <c r="K125" i="4"/>
  <c r="AB15" i="2"/>
  <c r="K126" i="4"/>
  <c r="AB16" i="2"/>
  <c r="K127" i="4"/>
  <c r="AB17" i="2"/>
  <c r="K128" i="4"/>
  <c r="AB18" i="2"/>
  <c r="K129" i="4"/>
  <c r="AB19" i="2"/>
  <c r="K130" i="4"/>
  <c r="AB20" i="2"/>
  <c r="K131" i="4"/>
  <c r="AB21" i="2"/>
  <c r="K132" i="4"/>
  <c r="AB22" i="2"/>
  <c r="K133" i="4"/>
  <c r="AB23" i="2"/>
  <c r="K134" i="4"/>
  <c r="AB24" i="2"/>
  <c r="K135" i="4"/>
  <c r="AB25" i="2"/>
  <c r="K136" i="4"/>
  <c r="AB26" i="2"/>
  <c r="K137" i="4"/>
  <c r="AB27" i="2"/>
  <c r="K138" i="4"/>
  <c r="AB28" i="2"/>
  <c r="K139" i="4"/>
  <c r="AB29" i="2"/>
  <c r="K140" i="4"/>
  <c r="AB30" i="2"/>
  <c r="K141" i="4"/>
  <c r="AB31" i="2"/>
  <c r="K142" i="4"/>
  <c r="AB32" i="2"/>
  <c r="K143" i="4"/>
  <c r="AB33" i="2"/>
  <c r="K144" i="4"/>
  <c r="AB34" i="2"/>
  <c r="K145" i="4"/>
  <c r="AB35" i="2"/>
  <c r="K146" i="4"/>
  <c r="AB36" i="2"/>
  <c r="K147" i="4"/>
  <c r="AB37" i="2"/>
  <c r="K148" i="4"/>
  <c r="AB38" i="2"/>
  <c r="K149" i="4"/>
  <c r="AB39" i="2"/>
  <c r="K150" i="4"/>
  <c r="AB40" i="2"/>
  <c r="K151" i="4"/>
  <c r="AB41" i="2"/>
  <c r="K152" i="4"/>
  <c r="W12" i="2"/>
  <c r="K93" i="4"/>
  <c r="W11" i="2"/>
  <c r="K92" i="4"/>
  <c r="W13" i="2"/>
  <c r="K94" i="4"/>
  <c r="W14" i="2"/>
  <c r="K95" i="4"/>
  <c r="W15" i="2"/>
  <c r="K96" i="4"/>
  <c r="W16" i="2"/>
  <c r="K97" i="4"/>
  <c r="W17" i="2"/>
  <c r="K98" i="4"/>
  <c r="W18" i="2"/>
  <c r="K99" i="4"/>
  <c r="W19" i="2"/>
  <c r="K100" i="4"/>
  <c r="W20" i="2"/>
  <c r="K101" i="4"/>
  <c r="W21" i="2"/>
  <c r="K102" i="4"/>
  <c r="W22" i="2"/>
  <c r="K103" i="4"/>
  <c r="W23" i="2"/>
  <c r="K104" i="4"/>
  <c r="W24" i="2"/>
  <c r="K105" i="4"/>
  <c r="W25" i="2"/>
  <c r="K106" i="4"/>
  <c r="W26" i="2"/>
  <c r="K107" i="4"/>
  <c r="W27" i="2"/>
  <c r="K108" i="4"/>
  <c r="W28" i="2"/>
  <c r="K109" i="4"/>
  <c r="W29" i="2"/>
  <c r="K110" i="4"/>
  <c r="W30" i="2"/>
  <c r="K111" i="4"/>
  <c r="W31" i="2"/>
  <c r="K112" i="4"/>
  <c r="W32" i="2"/>
  <c r="K113" i="4"/>
  <c r="W33" i="2"/>
  <c r="K114" i="4"/>
  <c r="W34" i="2"/>
  <c r="K115" i="4"/>
  <c r="W35" i="2"/>
  <c r="K116" i="4"/>
  <c r="W36" i="2"/>
  <c r="K117" i="4"/>
  <c r="W37" i="2"/>
  <c r="K118" i="4"/>
  <c r="W38" i="2"/>
  <c r="K119" i="4"/>
  <c r="W39" i="2"/>
  <c r="K120" i="4"/>
  <c r="W40" i="2"/>
  <c r="K121" i="4"/>
  <c r="R13" i="2"/>
  <c r="K63" i="4"/>
  <c r="R14" i="2"/>
  <c r="K64" i="4"/>
  <c r="R15" i="2"/>
  <c r="K65" i="4"/>
  <c r="R16" i="2"/>
  <c r="K66" i="4"/>
  <c r="R17" i="2"/>
  <c r="K67" i="4"/>
  <c r="R18" i="2"/>
  <c r="K68" i="4"/>
  <c r="R19" i="2"/>
  <c r="K69" i="4"/>
  <c r="R20" i="2"/>
  <c r="K70" i="4"/>
  <c r="R21" i="2"/>
  <c r="K71" i="4"/>
  <c r="R22" i="2"/>
  <c r="K72" i="4"/>
  <c r="R23" i="2"/>
  <c r="K73" i="4"/>
  <c r="R24" i="2"/>
  <c r="K74" i="4"/>
  <c r="R25" i="2"/>
  <c r="K75" i="4"/>
  <c r="R26" i="2"/>
  <c r="K76" i="4"/>
  <c r="R27" i="2"/>
  <c r="K77" i="4"/>
  <c r="R28" i="2"/>
  <c r="K78" i="4"/>
  <c r="R29" i="2"/>
  <c r="K79" i="4"/>
  <c r="R30" i="2"/>
  <c r="K80" i="4"/>
  <c r="R31" i="2"/>
  <c r="K81" i="4"/>
  <c r="R32" i="2"/>
  <c r="K82" i="4"/>
  <c r="R33" i="2"/>
  <c r="K83" i="4"/>
  <c r="R34" i="2"/>
  <c r="K84" i="4"/>
  <c r="R35" i="2"/>
  <c r="K85" i="4"/>
  <c r="R36" i="2"/>
  <c r="K86" i="4"/>
  <c r="R37" i="2"/>
  <c r="K87" i="4"/>
  <c r="R38" i="2"/>
  <c r="K88" i="4"/>
  <c r="R39" i="2"/>
  <c r="K89" i="4"/>
  <c r="R40" i="2"/>
  <c r="K90" i="4"/>
  <c r="R41" i="2"/>
  <c r="K91" i="4"/>
  <c r="R12" i="2"/>
  <c r="K62" i="4"/>
  <c r="M12" i="2"/>
  <c r="K34" i="4"/>
  <c r="M11" i="2"/>
  <c r="K33" i="4"/>
  <c r="M13" i="2"/>
  <c r="K35" i="4"/>
  <c r="M14" i="2"/>
  <c r="K36" i="4"/>
  <c r="M15" i="2"/>
  <c r="K37" i="4"/>
  <c r="M16" i="2"/>
  <c r="K38" i="4"/>
  <c r="M17" i="2"/>
  <c r="K39" i="4"/>
  <c r="M18" i="2"/>
  <c r="K40" i="4"/>
  <c r="M19" i="2"/>
  <c r="K41" i="4"/>
  <c r="M20" i="2"/>
  <c r="K42" i="4"/>
  <c r="M21" i="2"/>
  <c r="K43" i="4"/>
  <c r="M22" i="2"/>
  <c r="K44" i="4"/>
  <c r="M23" i="2"/>
  <c r="K45" i="4"/>
  <c r="M24" i="2"/>
  <c r="K46" i="4"/>
  <c r="M25" i="2"/>
  <c r="K47" i="4"/>
  <c r="M26" i="2"/>
  <c r="K48" i="4"/>
  <c r="M27" i="2"/>
  <c r="K49" i="4"/>
  <c r="M28" i="2"/>
  <c r="K50" i="4"/>
  <c r="M29" i="2"/>
  <c r="K51" i="4"/>
  <c r="M30" i="2"/>
  <c r="K52" i="4"/>
  <c r="M31" i="2"/>
  <c r="K53" i="4"/>
  <c r="M32" i="2"/>
  <c r="K54" i="4"/>
  <c r="M33" i="2"/>
  <c r="K55" i="4"/>
  <c r="M34" i="2"/>
  <c r="K56" i="4"/>
  <c r="M35" i="2"/>
  <c r="K57" i="4"/>
  <c r="M36" i="2"/>
  <c r="K58" i="4"/>
  <c r="M37" i="2"/>
  <c r="K59" i="4"/>
  <c r="M38" i="2"/>
  <c r="K60" i="4"/>
  <c r="M39" i="2"/>
  <c r="H11" i="2"/>
  <c r="K2" i="4"/>
  <c r="BK42" i="2"/>
  <c r="BF42" i="2"/>
  <c r="BA42" i="2"/>
  <c r="AV42" i="2"/>
  <c r="AQ42" i="2"/>
  <c r="AL42" i="2"/>
  <c r="AG42" i="2"/>
  <c r="AB42" i="2"/>
  <c r="W42" i="2"/>
  <c r="R42" i="2"/>
  <c r="H13" i="2"/>
  <c r="K4" i="4"/>
  <c r="H14" i="2"/>
  <c r="K5" i="4"/>
  <c r="H15" i="2"/>
  <c r="K6" i="4"/>
  <c r="H16" i="2"/>
  <c r="K7" i="4"/>
  <c r="H17" i="2"/>
  <c r="K8" i="4"/>
  <c r="H18" i="2"/>
  <c r="K9" i="4"/>
  <c r="H19" i="2"/>
  <c r="K10" i="4"/>
  <c r="H20" i="2"/>
  <c r="K11" i="4"/>
  <c r="H21" i="2"/>
  <c r="K12" i="4"/>
  <c r="H22" i="2"/>
  <c r="K13" i="4"/>
  <c r="H23" i="2"/>
  <c r="K14" i="4"/>
  <c r="H24" i="2"/>
  <c r="K15" i="4"/>
  <c r="H25" i="2"/>
  <c r="K16" i="4"/>
  <c r="H26" i="2"/>
  <c r="K17" i="4"/>
  <c r="H27" i="2"/>
  <c r="K18" i="4"/>
  <c r="H28" i="2"/>
  <c r="K19" i="4"/>
  <c r="H29" i="2"/>
  <c r="K20" i="4"/>
  <c r="H30" i="2"/>
  <c r="K21" i="4"/>
  <c r="H31" i="2"/>
  <c r="K22" i="4"/>
  <c r="H32" i="2"/>
  <c r="K23" i="4"/>
  <c r="H33" i="2"/>
  <c r="K24" i="4"/>
  <c r="H34" i="2"/>
  <c r="K25" i="4"/>
  <c r="H35" i="2"/>
  <c r="K26" i="4"/>
  <c r="H36" i="2"/>
  <c r="K27" i="4"/>
  <c r="H37" i="2"/>
  <c r="K28" i="4"/>
  <c r="H38" i="2"/>
  <c r="K29" i="4"/>
  <c r="H39" i="2"/>
  <c r="K30" i="4"/>
  <c r="H40" i="2"/>
  <c r="K31" i="4"/>
  <c r="H41" i="2"/>
  <c r="K32" i="4"/>
  <c r="H12" i="2"/>
  <c r="K3" i="4"/>
  <c r="H42" i="2"/>
  <c r="F38" i="3"/>
  <c r="L32" i="4"/>
  <c r="F37" i="3"/>
  <c r="L31" i="4"/>
  <c r="F36" i="3"/>
  <c r="L30" i="4"/>
  <c r="F35" i="3"/>
  <c r="L29" i="4"/>
  <c r="F34" i="3"/>
  <c r="L28" i="4"/>
  <c r="F33" i="3"/>
  <c r="L27" i="4"/>
  <c r="F32" i="3"/>
  <c r="L26" i="4"/>
  <c r="F31" i="3"/>
  <c r="L25" i="4"/>
  <c r="F30" i="3"/>
  <c r="L24" i="4"/>
  <c r="F29" i="3"/>
  <c r="L23" i="4"/>
  <c r="F28" i="3"/>
  <c r="L22" i="4"/>
  <c r="F27" i="3"/>
  <c r="L21" i="4"/>
  <c r="F26" i="3"/>
  <c r="L20" i="4"/>
  <c r="F25" i="3"/>
  <c r="L19" i="4"/>
  <c r="F24" i="3"/>
  <c r="L18" i="4"/>
  <c r="F23" i="3"/>
  <c r="L17" i="4"/>
  <c r="F22" i="3"/>
  <c r="L16" i="4"/>
  <c r="F21" i="3"/>
  <c r="L15" i="4"/>
  <c r="F20" i="3"/>
  <c r="L14" i="4"/>
  <c r="F19" i="3"/>
  <c r="L13" i="4"/>
  <c r="F18" i="3"/>
  <c r="L12" i="4"/>
  <c r="F17" i="3"/>
  <c r="L11" i="4"/>
  <c r="F16" i="3"/>
  <c r="L10" i="4"/>
  <c r="F15" i="3"/>
  <c r="L9" i="4"/>
  <c r="F14" i="3"/>
  <c r="L8" i="4"/>
  <c r="F13" i="3"/>
  <c r="L7" i="4"/>
  <c r="F12" i="3"/>
  <c r="L6" i="4"/>
  <c r="F11" i="3"/>
  <c r="L5" i="4"/>
  <c r="F10" i="3"/>
  <c r="L4" i="4"/>
  <c r="M41" i="2"/>
  <c r="M40" i="2"/>
  <c r="M42" i="2"/>
  <c r="AM10" i="1"/>
  <c r="N338" i="4"/>
  <c r="AM11" i="1"/>
  <c r="N339" i="4"/>
  <c r="AM12" i="1"/>
  <c r="N340" i="4"/>
  <c r="AM13" i="1"/>
  <c r="N341" i="4"/>
  <c r="AM14" i="1"/>
  <c r="N342" i="4"/>
  <c r="AM15" i="1"/>
  <c r="N343" i="4"/>
  <c r="AM16" i="1"/>
  <c r="N344" i="4"/>
  <c r="AM17" i="1"/>
  <c r="N345" i="4"/>
  <c r="AM18" i="1"/>
  <c r="N346" i="4"/>
  <c r="AM19" i="1"/>
  <c r="N347" i="4"/>
  <c r="AM20" i="1"/>
  <c r="N348" i="4"/>
  <c r="AM21" i="1"/>
  <c r="N349" i="4"/>
  <c r="AM22" i="1"/>
  <c r="N350" i="4"/>
  <c r="AM23" i="1"/>
  <c r="N351" i="4"/>
  <c r="AM24" i="1"/>
  <c r="N352" i="4"/>
  <c r="AM25" i="1"/>
  <c r="N353" i="4"/>
  <c r="AM26" i="1"/>
  <c r="N354" i="4"/>
  <c r="AM27" i="1"/>
  <c r="N355" i="4"/>
  <c r="AM28" i="1"/>
  <c r="N356" i="4"/>
  <c r="AM29" i="1"/>
  <c r="N357" i="4"/>
  <c r="AM30" i="1"/>
  <c r="N358" i="4"/>
  <c r="AM31" i="1"/>
  <c r="N359" i="4"/>
  <c r="AM32" i="1"/>
  <c r="N360" i="4"/>
  <c r="AM33" i="1"/>
  <c r="N361" i="4"/>
  <c r="AM34" i="1"/>
  <c r="N362" i="4"/>
  <c r="AM35" i="1"/>
  <c r="N363" i="4"/>
  <c r="AM36" i="1"/>
  <c r="N364" i="4"/>
  <c r="AM37" i="1"/>
  <c r="N365" i="4"/>
  <c r="AM38" i="1"/>
  <c r="N366" i="4"/>
  <c r="AM9" i="1"/>
  <c r="N337" i="4"/>
  <c r="AJ10" i="1"/>
  <c r="N308" i="4"/>
  <c r="AJ11" i="1"/>
  <c r="N309" i="4"/>
  <c r="AJ12" i="1"/>
  <c r="N310" i="4"/>
  <c r="AJ13" i="1"/>
  <c r="N311" i="4"/>
  <c r="AJ14" i="1"/>
  <c r="N312" i="4"/>
  <c r="AJ15" i="1"/>
  <c r="N313" i="4"/>
  <c r="AJ16" i="1"/>
  <c r="N314" i="4"/>
  <c r="AJ17" i="1"/>
  <c r="N315" i="4"/>
  <c r="AJ18" i="1"/>
  <c r="N316" i="4"/>
  <c r="AJ19" i="1"/>
  <c r="N317" i="4"/>
  <c r="AJ20" i="1"/>
  <c r="N318" i="4"/>
  <c r="AJ21" i="1"/>
  <c r="N319" i="4"/>
  <c r="AJ22" i="1"/>
  <c r="N320" i="4"/>
  <c r="AJ23" i="1"/>
  <c r="N321" i="4"/>
  <c r="AJ24" i="1"/>
  <c r="N322" i="4"/>
  <c r="AJ25" i="1"/>
  <c r="N323" i="4"/>
  <c r="AJ26" i="1"/>
  <c r="N324" i="4"/>
  <c r="AJ27" i="1"/>
  <c r="N325" i="4"/>
  <c r="AJ28" i="1"/>
  <c r="N326" i="4"/>
  <c r="AJ29" i="1"/>
  <c r="N327" i="4"/>
  <c r="AJ30" i="1"/>
  <c r="N328" i="4"/>
  <c r="AJ31" i="1"/>
  <c r="N329" i="4"/>
  <c r="AJ32" i="1"/>
  <c r="N330" i="4"/>
  <c r="AJ33" i="1"/>
  <c r="N331" i="4"/>
  <c r="AJ34" i="1"/>
  <c r="N332" i="4"/>
  <c r="AJ35" i="1"/>
  <c r="N333" i="4"/>
  <c r="AJ36" i="1"/>
  <c r="N334" i="4"/>
  <c r="AJ37" i="1"/>
  <c r="N335" i="4"/>
  <c r="AJ9" i="1"/>
  <c r="N307" i="4"/>
  <c r="AG10" i="1"/>
  <c r="N277" i="4"/>
  <c r="AG11" i="1"/>
  <c r="N278" i="4"/>
  <c r="AG12" i="1"/>
  <c r="N279" i="4"/>
  <c r="AG13" i="1"/>
  <c r="N280" i="4"/>
  <c r="AG14" i="1"/>
  <c r="N281" i="4"/>
  <c r="AG15" i="1"/>
  <c r="N282" i="4"/>
  <c r="AG16" i="1"/>
  <c r="N283" i="4"/>
  <c r="AG17" i="1"/>
  <c r="N284" i="4"/>
  <c r="AG18" i="1"/>
  <c r="N285" i="4"/>
  <c r="AG19" i="1"/>
  <c r="N286" i="4"/>
  <c r="AG20" i="1"/>
  <c r="N287" i="4"/>
  <c r="AG21" i="1"/>
  <c r="N288" i="4"/>
  <c r="AG22" i="1"/>
  <c r="N289" i="4"/>
  <c r="AG23" i="1"/>
  <c r="N290" i="4"/>
  <c r="AG24" i="1"/>
  <c r="N291" i="4"/>
  <c r="AG25" i="1"/>
  <c r="N292" i="4"/>
  <c r="AG26" i="1"/>
  <c r="N293" i="4"/>
  <c r="AG27" i="1"/>
  <c r="N294" i="4"/>
  <c r="AG28" i="1"/>
  <c r="N295" i="4"/>
  <c r="AG29" i="1"/>
  <c r="N296" i="4"/>
  <c r="AG30" i="1"/>
  <c r="N297" i="4"/>
  <c r="AG31" i="1"/>
  <c r="N298" i="4"/>
  <c r="AG32" i="1"/>
  <c r="N299" i="4"/>
  <c r="AG33" i="1"/>
  <c r="N300" i="4"/>
  <c r="AG34" i="1"/>
  <c r="N301" i="4"/>
  <c r="AG35" i="1"/>
  <c r="N302" i="4"/>
  <c r="AG36" i="1"/>
  <c r="N303" i="4"/>
  <c r="AG37" i="1"/>
  <c r="N304" i="4"/>
  <c r="AG38" i="1"/>
  <c r="N305" i="4"/>
  <c r="AG9" i="1"/>
  <c r="N276" i="4"/>
  <c r="AD10" i="1"/>
  <c r="N247" i="4"/>
  <c r="AD11" i="1"/>
  <c r="N248" i="4"/>
  <c r="AD12" i="1"/>
  <c r="N249" i="4"/>
  <c r="AD13" i="1"/>
  <c r="N250" i="4"/>
  <c r="AD14" i="1"/>
  <c r="N251" i="4"/>
  <c r="AD15" i="1"/>
  <c r="N252" i="4"/>
  <c r="AD16" i="1"/>
  <c r="N253" i="4"/>
  <c r="AD17" i="1"/>
  <c r="N254" i="4"/>
  <c r="AD18" i="1"/>
  <c r="N255" i="4"/>
  <c r="AD19" i="1"/>
  <c r="N256" i="4"/>
  <c r="AD20" i="1"/>
  <c r="N257" i="4"/>
  <c r="AD21" i="1"/>
  <c r="N258" i="4"/>
  <c r="AD22" i="1"/>
  <c r="N259" i="4"/>
  <c r="AD23" i="1"/>
  <c r="N260" i="4"/>
  <c r="AD24" i="1"/>
  <c r="N261" i="4"/>
  <c r="AD25" i="1"/>
  <c r="N262" i="4"/>
  <c r="AD26" i="1"/>
  <c r="N263" i="4"/>
  <c r="AD27" i="1"/>
  <c r="N264" i="4"/>
  <c r="AD28" i="1"/>
  <c r="N265" i="4"/>
  <c r="AD29" i="1"/>
  <c r="N266" i="4"/>
  <c r="AD30" i="1"/>
  <c r="N267" i="4"/>
  <c r="AD31" i="1"/>
  <c r="N268" i="4"/>
  <c r="AD32" i="1"/>
  <c r="N269" i="4"/>
  <c r="AD33" i="1"/>
  <c r="N270" i="4"/>
  <c r="AD34" i="1"/>
  <c r="N271" i="4"/>
  <c r="AD35" i="1"/>
  <c r="N272" i="4"/>
  <c r="AD36" i="1"/>
  <c r="N273" i="4"/>
  <c r="AD37" i="1"/>
  <c r="N274" i="4"/>
  <c r="AD9" i="1"/>
  <c r="N246" i="4"/>
  <c r="AA10" i="1"/>
  <c r="N216" i="4"/>
  <c r="AA11" i="1"/>
  <c r="N217" i="4"/>
  <c r="AA12" i="1"/>
  <c r="N218" i="4"/>
  <c r="AA13" i="1"/>
  <c r="N219" i="4"/>
  <c r="AA14" i="1"/>
  <c r="N220" i="4"/>
  <c r="AA15" i="1"/>
  <c r="N221" i="4"/>
  <c r="AA16" i="1"/>
  <c r="N222" i="4"/>
  <c r="AA17" i="1"/>
  <c r="N223" i="4"/>
  <c r="AA18" i="1"/>
  <c r="N224" i="4"/>
  <c r="AA19" i="1"/>
  <c r="N225" i="4"/>
  <c r="AA20" i="1"/>
  <c r="N226" i="4"/>
  <c r="AA21" i="1"/>
  <c r="N227" i="4"/>
  <c r="AA22" i="1"/>
  <c r="N228" i="4"/>
  <c r="AA23" i="1"/>
  <c r="N229" i="4"/>
  <c r="AA24" i="1"/>
  <c r="N230" i="4"/>
  <c r="AA25" i="1"/>
  <c r="N231" i="4"/>
  <c r="AA26" i="1"/>
  <c r="N232" i="4"/>
  <c r="AA27" i="1"/>
  <c r="N233" i="4"/>
  <c r="AA28" i="1"/>
  <c r="N234" i="4"/>
  <c r="AA29" i="1"/>
  <c r="N235" i="4"/>
  <c r="AA30" i="1"/>
  <c r="N236" i="4"/>
  <c r="AA31" i="1"/>
  <c r="N237" i="4"/>
  <c r="AA32" i="1"/>
  <c r="N238" i="4"/>
  <c r="AA33" i="1"/>
  <c r="N239" i="4"/>
  <c r="AA34" i="1"/>
  <c r="N240" i="4"/>
  <c r="AA35" i="1"/>
  <c r="N241" i="4"/>
  <c r="AA36" i="1"/>
  <c r="N242" i="4"/>
  <c r="AA37" i="1"/>
  <c r="N243" i="4"/>
  <c r="AA38" i="1"/>
  <c r="N244" i="4"/>
  <c r="AA9" i="1"/>
  <c r="N215" i="4"/>
  <c r="X38" i="1"/>
  <c r="N213" i="4"/>
  <c r="X10" i="1"/>
  <c r="N185" i="4"/>
  <c r="X11" i="1"/>
  <c r="N186" i="4"/>
  <c r="X12" i="1"/>
  <c r="N187" i="4"/>
  <c r="X13" i="1"/>
  <c r="N188" i="4"/>
  <c r="X14" i="1"/>
  <c r="N189" i="4"/>
  <c r="X15" i="1"/>
  <c r="N190" i="4"/>
  <c r="X16" i="1"/>
  <c r="N191" i="4"/>
  <c r="X17" i="1"/>
  <c r="N192" i="4"/>
  <c r="X18" i="1"/>
  <c r="N193" i="4"/>
  <c r="X19" i="1"/>
  <c r="N194" i="4"/>
  <c r="X20" i="1"/>
  <c r="N195" i="4"/>
  <c r="X21" i="1"/>
  <c r="N196" i="4"/>
  <c r="X22" i="1"/>
  <c r="N197" i="4"/>
  <c r="X23" i="1"/>
  <c r="N198" i="4"/>
  <c r="X24" i="1"/>
  <c r="N199" i="4"/>
  <c r="X25" i="1"/>
  <c r="N200" i="4"/>
  <c r="X26" i="1"/>
  <c r="N201" i="4"/>
  <c r="X27" i="1"/>
  <c r="N202" i="4"/>
  <c r="X28" i="1"/>
  <c r="N203" i="4"/>
  <c r="X29" i="1"/>
  <c r="N204" i="4"/>
  <c r="X30" i="1"/>
  <c r="N205" i="4"/>
  <c r="X31" i="1"/>
  <c r="N206" i="4"/>
  <c r="X32" i="1"/>
  <c r="N207" i="4"/>
  <c r="X33" i="1"/>
  <c r="N208" i="4"/>
  <c r="X34" i="1"/>
  <c r="N209" i="4"/>
  <c r="X35" i="1"/>
  <c r="N210" i="4"/>
  <c r="X36" i="1"/>
  <c r="N211" i="4"/>
  <c r="X37" i="1"/>
  <c r="N212" i="4"/>
  <c r="X9" i="1"/>
  <c r="N184" i="4"/>
  <c r="U10" i="1"/>
  <c r="N155" i="4"/>
  <c r="U11" i="1"/>
  <c r="N156" i="4"/>
  <c r="U12" i="1"/>
  <c r="N157" i="4"/>
  <c r="U13" i="1"/>
  <c r="N158" i="4"/>
  <c r="U14" i="1"/>
  <c r="N159" i="4"/>
  <c r="U15" i="1"/>
  <c r="N160" i="4"/>
  <c r="U16" i="1"/>
  <c r="N161" i="4"/>
  <c r="U17" i="1"/>
  <c r="N162" i="4"/>
  <c r="U18" i="1"/>
  <c r="N163" i="4"/>
  <c r="U19" i="1"/>
  <c r="N164" i="4"/>
  <c r="U20" i="1"/>
  <c r="N165" i="4"/>
  <c r="U21" i="1"/>
  <c r="N166" i="4"/>
  <c r="U22" i="1"/>
  <c r="N167" i="4"/>
  <c r="U23" i="1"/>
  <c r="N168" i="4"/>
  <c r="U24" i="1"/>
  <c r="N169" i="4"/>
  <c r="U25" i="1"/>
  <c r="N170" i="4"/>
  <c r="U26" i="1"/>
  <c r="N171" i="4"/>
  <c r="U27" i="1"/>
  <c r="N172" i="4"/>
  <c r="U28" i="1"/>
  <c r="N173" i="4"/>
  <c r="U29" i="1"/>
  <c r="N174" i="4"/>
  <c r="U30" i="1"/>
  <c r="N175" i="4"/>
  <c r="U31" i="1"/>
  <c r="N176" i="4"/>
  <c r="U32" i="1"/>
  <c r="N177" i="4"/>
  <c r="U33" i="1"/>
  <c r="N178" i="4"/>
  <c r="U34" i="1"/>
  <c r="N179" i="4"/>
  <c r="N180" i="4"/>
  <c r="U36" i="1"/>
  <c r="N181" i="4"/>
  <c r="U37" i="1"/>
  <c r="N182" i="4"/>
  <c r="R10" i="1"/>
  <c r="N124" i="4"/>
  <c r="R11" i="1"/>
  <c r="N125" i="4"/>
  <c r="R12" i="1"/>
  <c r="N126" i="4"/>
  <c r="N127" i="4"/>
  <c r="R14" i="1"/>
  <c r="N128" i="4"/>
  <c r="R15" i="1"/>
  <c r="N129" i="4"/>
  <c r="R16" i="1"/>
  <c r="N130" i="4"/>
  <c r="R17" i="1"/>
  <c r="N131" i="4"/>
  <c r="R18" i="1"/>
  <c r="N132" i="4"/>
  <c r="R19" i="1"/>
  <c r="N133" i="4"/>
  <c r="R20" i="1"/>
  <c r="N134" i="4"/>
  <c r="R21" i="1"/>
  <c r="N135" i="4"/>
  <c r="R22" i="1"/>
  <c r="N136" i="4"/>
  <c r="R23" i="1"/>
  <c r="N137" i="4"/>
  <c r="R24" i="1"/>
  <c r="N138" i="4"/>
  <c r="R25" i="1"/>
  <c r="N139" i="4"/>
  <c r="R26" i="1"/>
  <c r="N140" i="4"/>
  <c r="R27" i="1"/>
  <c r="N141" i="4"/>
  <c r="R28" i="1"/>
  <c r="N142" i="4"/>
  <c r="R29" i="1"/>
  <c r="N143" i="4"/>
  <c r="R30" i="1"/>
  <c r="N144" i="4"/>
  <c r="R31" i="1"/>
  <c r="N145" i="4"/>
  <c r="R32" i="1"/>
  <c r="N146" i="4"/>
  <c r="R33" i="1"/>
  <c r="N147" i="4"/>
  <c r="R34" i="1"/>
  <c r="N148" i="4"/>
  <c r="R35" i="1"/>
  <c r="N149" i="4"/>
  <c r="R36" i="1"/>
  <c r="N150" i="4"/>
  <c r="R37" i="1"/>
  <c r="N151" i="4"/>
  <c r="R38" i="1"/>
  <c r="N152" i="4"/>
  <c r="O10" i="1"/>
  <c r="N94" i="4"/>
  <c r="O11" i="1"/>
  <c r="N95" i="4"/>
  <c r="N96" i="4"/>
  <c r="O13" i="1"/>
  <c r="N97" i="4"/>
  <c r="O14" i="1"/>
  <c r="N98" i="4"/>
  <c r="O15" i="1"/>
  <c r="N99" i="4"/>
  <c r="O16" i="1"/>
  <c r="N100" i="4"/>
  <c r="O17" i="1"/>
  <c r="N101" i="4"/>
  <c r="O18" i="1"/>
  <c r="N102" i="4"/>
  <c r="O19" i="1"/>
  <c r="N103" i="4"/>
  <c r="O20" i="1"/>
  <c r="N104" i="4"/>
  <c r="O21" i="1"/>
  <c r="N105" i="4"/>
  <c r="O22" i="1"/>
  <c r="N106" i="4"/>
  <c r="O23" i="1"/>
  <c r="N107" i="4"/>
  <c r="O24" i="1"/>
  <c r="N108" i="4"/>
  <c r="O25" i="1"/>
  <c r="N109" i="4"/>
  <c r="O26" i="1"/>
  <c r="N110" i="4"/>
  <c r="O27" i="1"/>
  <c r="N111" i="4"/>
  <c r="O28" i="1"/>
  <c r="N112" i="4"/>
  <c r="O29" i="1"/>
  <c r="N113" i="4"/>
  <c r="O30" i="1"/>
  <c r="N114" i="4"/>
  <c r="O31" i="1"/>
  <c r="N115" i="4"/>
  <c r="O32" i="1"/>
  <c r="N116" i="4"/>
  <c r="O33" i="1"/>
  <c r="N117" i="4"/>
  <c r="O34" i="1"/>
  <c r="N118" i="4"/>
  <c r="O35" i="1"/>
  <c r="N119" i="4"/>
  <c r="O36" i="1"/>
  <c r="N120" i="4"/>
  <c r="O37" i="1"/>
  <c r="N121" i="4"/>
  <c r="U9" i="1"/>
  <c r="N154" i="4"/>
  <c r="R9" i="1"/>
  <c r="N123" i="4"/>
  <c r="O9" i="1"/>
  <c r="N93" i="4"/>
  <c r="L9" i="1"/>
  <c r="N62" i="4"/>
  <c r="L10" i="1"/>
  <c r="N63" i="4"/>
  <c r="L11" i="1"/>
  <c r="N64" i="4"/>
  <c r="L12" i="1"/>
  <c r="N65" i="4"/>
  <c r="L13" i="1"/>
  <c r="N66" i="4"/>
  <c r="L14" i="1"/>
  <c r="N67" i="4"/>
  <c r="L15" i="1"/>
  <c r="N68" i="4"/>
  <c r="L16" i="1"/>
  <c r="N69" i="4"/>
  <c r="L17" i="1"/>
  <c r="N70" i="4"/>
  <c r="L18" i="1"/>
  <c r="N71" i="4"/>
  <c r="L19" i="1"/>
  <c r="N72" i="4"/>
  <c r="L20" i="1"/>
  <c r="N73" i="4"/>
  <c r="L21" i="1"/>
  <c r="N74" i="4"/>
  <c r="L22" i="1"/>
  <c r="N75" i="4"/>
  <c r="L23" i="1"/>
  <c r="N76" i="4"/>
  <c r="L24" i="1"/>
  <c r="N77" i="4"/>
  <c r="L25" i="1"/>
  <c r="N78" i="4"/>
  <c r="L26" i="1"/>
  <c r="N79" i="4"/>
  <c r="L27" i="1"/>
  <c r="N80" i="4"/>
  <c r="L28" i="1"/>
  <c r="N81" i="4"/>
  <c r="L29" i="1"/>
  <c r="N82" i="4"/>
  <c r="L30" i="1"/>
  <c r="N83" i="4"/>
  <c r="L31" i="1"/>
  <c r="N84" i="4"/>
  <c r="L32" i="1"/>
  <c r="N85" i="4"/>
  <c r="L33" i="1"/>
  <c r="N86" i="4"/>
  <c r="L34" i="1"/>
  <c r="N87" i="4"/>
  <c r="L35" i="1"/>
  <c r="N88" i="4"/>
  <c r="L36" i="1"/>
  <c r="N89" i="4"/>
  <c r="L37" i="1"/>
  <c r="N90" i="4"/>
  <c r="L38" i="1"/>
  <c r="N91" i="4"/>
  <c r="O8" i="1"/>
  <c r="N92" i="4"/>
  <c r="I9" i="1"/>
  <c r="N34" i="4"/>
  <c r="AM8" i="1"/>
  <c r="N336" i="4"/>
  <c r="AJ8" i="1"/>
  <c r="N306" i="4"/>
  <c r="AG8" i="1"/>
  <c r="N275" i="4"/>
  <c r="AD8" i="1"/>
  <c r="N245" i="4"/>
  <c r="AA8" i="1"/>
  <c r="N214" i="4"/>
  <c r="X8" i="1"/>
  <c r="N183" i="4"/>
  <c r="U8" i="1"/>
  <c r="N153" i="4"/>
  <c r="R8" i="1"/>
  <c r="N122" i="4"/>
  <c r="I8" i="1"/>
  <c r="N33" i="4"/>
  <c r="I10" i="1"/>
  <c r="N35" i="4"/>
  <c r="I11" i="1"/>
  <c r="N36" i="4"/>
  <c r="I12" i="1"/>
  <c r="N37" i="4"/>
  <c r="I13" i="1"/>
  <c r="N38" i="4"/>
  <c r="I14" i="1"/>
  <c r="N39" i="4"/>
  <c r="I15" i="1"/>
  <c r="N40" i="4"/>
  <c r="I16" i="1"/>
  <c r="N41" i="4"/>
  <c r="I17" i="1"/>
  <c r="N42" i="4"/>
  <c r="I18" i="1"/>
  <c r="N43" i="4"/>
  <c r="I19" i="1"/>
  <c r="N44" i="4"/>
  <c r="I20" i="1"/>
  <c r="N45" i="4"/>
  <c r="I21" i="1"/>
  <c r="N46" i="4"/>
  <c r="I22" i="1"/>
  <c r="N47" i="4"/>
  <c r="I23" i="1"/>
  <c r="N48" i="4"/>
  <c r="I24" i="1"/>
  <c r="N49" i="4"/>
  <c r="I25" i="1"/>
  <c r="N50" i="4"/>
  <c r="I26" i="1"/>
  <c r="N51" i="4"/>
  <c r="I27" i="1"/>
  <c r="N52" i="4"/>
  <c r="I28" i="1"/>
  <c r="N53" i="4"/>
  <c r="I29" i="1"/>
  <c r="N54" i="4"/>
  <c r="I30" i="1"/>
  <c r="N55" i="4"/>
  <c r="I31" i="1"/>
  <c r="N56" i="4"/>
  <c r="I32" i="1"/>
  <c r="N57" i="4"/>
  <c r="I33" i="1"/>
  <c r="N58" i="4"/>
  <c r="I34" i="1"/>
  <c r="N59" i="4"/>
  <c r="I35" i="1"/>
  <c r="N60" i="4"/>
  <c r="I36" i="1"/>
  <c r="I37" i="1"/>
  <c r="I38" i="1"/>
  <c r="F10" i="1"/>
  <c r="N4" i="4"/>
  <c r="F11" i="1"/>
  <c r="N5" i="4"/>
  <c r="F12" i="1"/>
  <c r="N6" i="4"/>
  <c r="F13" i="1"/>
  <c r="N7" i="4"/>
  <c r="F14" i="1"/>
  <c r="N8" i="4"/>
  <c r="F15" i="1"/>
  <c r="N9" i="4"/>
  <c r="F16" i="1"/>
  <c r="N10" i="4"/>
  <c r="F17" i="1"/>
  <c r="N11" i="4"/>
  <c r="F18" i="1"/>
  <c r="N12" i="4"/>
  <c r="F19" i="1"/>
  <c r="N13" i="4"/>
  <c r="F20" i="1"/>
  <c r="N14" i="4"/>
  <c r="F21" i="1"/>
  <c r="N15" i="4"/>
  <c r="F22" i="1"/>
  <c r="N16" i="4"/>
  <c r="F23" i="1"/>
  <c r="N17" i="4"/>
  <c r="F24" i="1"/>
  <c r="N18" i="4"/>
  <c r="F25" i="1"/>
  <c r="N19" i="4"/>
  <c r="F26" i="1"/>
  <c r="N20" i="4"/>
  <c r="F27" i="1"/>
  <c r="N21" i="4"/>
  <c r="F28" i="1"/>
  <c r="N22" i="4"/>
  <c r="F29" i="1"/>
  <c r="N23" i="4"/>
  <c r="F30" i="1"/>
  <c r="N24" i="4"/>
  <c r="F31" i="1"/>
  <c r="N25" i="4"/>
  <c r="F32" i="1"/>
  <c r="N26" i="4"/>
  <c r="F33" i="1"/>
  <c r="N27" i="4"/>
  <c r="F34" i="1"/>
  <c r="N28" i="4"/>
  <c r="F35" i="1"/>
  <c r="N29" i="4"/>
  <c r="F36" i="1"/>
  <c r="N30" i="4"/>
  <c r="F37" i="1"/>
  <c r="N31" i="4"/>
  <c r="F38" i="1"/>
  <c r="N32" i="4"/>
  <c r="F9" i="1"/>
  <c r="N3" i="4"/>
  <c r="F8" i="1"/>
  <c r="N2" i="4"/>
  <c r="F39" i="3"/>
  <c r="AA39" i="1"/>
  <c r="AG39" i="1"/>
  <c r="AD39" i="1"/>
  <c r="U39" i="1"/>
  <c r="AM39" i="1"/>
  <c r="X39" i="1"/>
  <c r="AJ39" i="1"/>
  <c r="R39" i="1"/>
  <c r="O39" i="1"/>
  <c r="L39" i="1"/>
  <c r="I39" i="1"/>
  <c r="F39" i="1"/>
  <c r="I3" i="4" l="1"/>
  <c r="G3" i="4"/>
  <c r="E3" i="4"/>
  <c r="I32" i="4"/>
  <c r="G32" i="4"/>
  <c r="E32" i="4"/>
  <c r="I31" i="4"/>
  <c r="G31" i="4"/>
  <c r="E31" i="4"/>
  <c r="I30" i="4"/>
  <c r="G30" i="4"/>
  <c r="E30" i="4"/>
  <c r="I29" i="4"/>
  <c r="G29" i="4"/>
  <c r="E29" i="4"/>
  <c r="I28" i="4"/>
  <c r="G28" i="4"/>
  <c r="E28" i="4"/>
  <c r="I27" i="4"/>
  <c r="G27" i="4"/>
  <c r="E27" i="4"/>
  <c r="I26" i="4"/>
  <c r="G26" i="4"/>
  <c r="E26" i="4"/>
  <c r="I25" i="4"/>
  <c r="G25" i="4"/>
  <c r="E25" i="4"/>
  <c r="I24" i="4"/>
  <c r="G24" i="4"/>
  <c r="E24" i="4"/>
  <c r="I23" i="4"/>
  <c r="G23" i="4"/>
  <c r="E23" i="4"/>
  <c r="I22" i="4"/>
  <c r="G22" i="4"/>
  <c r="E22" i="4"/>
  <c r="I21" i="4"/>
  <c r="G21" i="4"/>
  <c r="E21" i="4"/>
  <c r="I20" i="4"/>
  <c r="G20" i="4"/>
  <c r="E20" i="4"/>
  <c r="I19" i="4"/>
  <c r="G19" i="4"/>
  <c r="E19" i="4"/>
  <c r="I18" i="4"/>
  <c r="G18" i="4"/>
  <c r="E18" i="4"/>
  <c r="I17" i="4"/>
  <c r="G17" i="4"/>
  <c r="E17" i="4"/>
  <c r="I16" i="4"/>
  <c r="G16" i="4"/>
  <c r="E16" i="4"/>
  <c r="I15" i="4"/>
  <c r="G15" i="4"/>
  <c r="E15" i="4"/>
  <c r="I14" i="4"/>
  <c r="G14" i="4"/>
  <c r="E14" i="4"/>
  <c r="I13" i="4"/>
  <c r="G13" i="4"/>
  <c r="E13" i="4"/>
  <c r="I12" i="4"/>
  <c r="G12" i="4"/>
  <c r="E12" i="4"/>
  <c r="I11" i="4"/>
  <c r="G11" i="4"/>
  <c r="E11" i="4"/>
  <c r="I10" i="4"/>
  <c r="G10" i="4"/>
  <c r="E10" i="4"/>
  <c r="I9" i="4"/>
  <c r="G9" i="4"/>
  <c r="E9" i="4"/>
  <c r="I8" i="4"/>
  <c r="G8" i="4"/>
  <c r="E8" i="4"/>
  <c r="I7" i="4"/>
  <c r="G7" i="4"/>
  <c r="E7" i="4"/>
  <c r="I6" i="4"/>
  <c r="G6" i="4"/>
  <c r="E6" i="4"/>
  <c r="I5" i="4"/>
  <c r="G5" i="4"/>
  <c r="E5" i="4"/>
  <c r="I4" i="4"/>
  <c r="G4" i="4"/>
  <c r="E4" i="4"/>
  <c r="I2" i="4"/>
  <c r="G2" i="4"/>
  <c r="E2" i="4"/>
  <c r="I60" i="4"/>
  <c r="G60" i="4"/>
  <c r="E60" i="4"/>
  <c r="I59" i="4"/>
  <c r="G59" i="4"/>
  <c r="E59" i="4"/>
  <c r="I58" i="4"/>
  <c r="G58" i="4"/>
  <c r="E58" i="4"/>
  <c r="I57" i="4"/>
  <c r="G57" i="4"/>
  <c r="E57" i="4"/>
  <c r="I56" i="4"/>
  <c r="G56" i="4"/>
  <c r="E56" i="4"/>
  <c r="I55" i="4"/>
  <c r="G55" i="4"/>
  <c r="E55" i="4"/>
  <c r="I54" i="4"/>
  <c r="G54" i="4"/>
  <c r="E54" i="4"/>
  <c r="I53" i="4"/>
  <c r="G53" i="4"/>
  <c r="E53" i="4"/>
  <c r="I52" i="4"/>
  <c r="G52" i="4"/>
  <c r="E52" i="4"/>
  <c r="I51" i="4"/>
  <c r="G51" i="4"/>
  <c r="E51" i="4"/>
  <c r="I50" i="4"/>
  <c r="G50" i="4"/>
  <c r="E50" i="4"/>
  <c r="I49" i="4"/>
  <c r="G49" i="4"/>
  <c r="E49" i="4"/>
  <c r="I48" i="4"/>
  <c r="G48" i="4"/>
  <c r="E48" i="4"/>
  <c r="I47" i="4"/>
  <c r="G47" i="4"/>
  <c r="E47" i="4"/>
  <c r="I46" i="4"/>
  <c r="G46" i="4"/>
  <c r="E46" i="4"/>
  <c r="I45" i="4"/>
  <c r="G45" i="4"/>
  <c r="E45" i="4"/>
  <c r="I44" i="4"/>
  <c r="G44" i="4"/>
  <c r="E44" i="4"/>
  <c r="I43" i="4"/>
  <c r="G43" i="4"/>
  <c r="E43" i="4"/>
  <c r="I42" i="4"/>
  <c r="G42" i="4"/>
  <c r="E42" i="4"/>
  <c r="I41" i="4"/>
  <c r="G41" i="4"/>
  <c r="E41" i="4"/>
  <c r="I40" i="4"/>
  <c r="G40" i="4"/>
  <c r="E40" i="4"/>
  <c r="I39" i="4"/>
  <c r="G39" i="4"/>
  <c r="E39" i="4"/>
  <c r="I38" i="4"/>
  <c r="G38" i="4"/>
  <c r="E38" i="4"/>
  <c r="I37" i="4"/>
  <c r="G37" i="4"/>
  <c r="E37" i="4"/>
  <c r="I36" i="4"/>
  <c r="G36" i="4"/>
  <c r="E36" i="4"/>
  <c r="I35" i="4"/>
  <c r="G35" i="4"/>
  <c r="E35" i="4"/>
  <c r="I33" i="4"/>
  <c r="G33" i="4"/>
  <c r="E33" i="4"/>
  <c r="I34" i="4"/>
  <c r="G34" i="4"/>
  <c r="E34" i="4"/>
  <c r="I62" i="4"/>
  <c r="G62" i="4"/>
  <c r="E62" i="4"/>
  <c r="I91" i="4"/>
  <c r="G91" i="4"/>
  <c r="E91" i="4"/>
  <c r="I90" i="4"/>
  <c r="G90" i="4"/>
  <c r="E90" i="4"/>
  <c r="I89" i="4"/>
  <c r="G89" i="4"/>
  <c r="E89" i="4"/>
  <c r="I88" i="4"/>
  <c r="G88" i="4"/>
  <c r="E88" i="4"/>
  <c r="I87" i="4"/>
  <c r="G87" i="4"/>
  <c r="E87" i="4"/>
  <c r="I86" i="4"/>
  <c r="G86" i="4"/>
  <c r="E86" i="4"/>
  <c r="I85" i="4"/>
  <c r="G85" i="4"/>
  <c r="E85" i="4"/>
  <c r="I84" i="4"/>
  <c r="G84" i="4"/>
  <c r="E84" i="4"/>
  <c r="I83" i="4"/>
  <c r="G83" i="4"/>
  <c r="E83" i="4"/>
  <c r="I82" i="4"/>
  <c r="G82" i="4"/>
  <c r="E82" i="4"/>
  <c r="I81" i="4"/>
  <c r="G81" i="4"/>
  <c r="E81" i="4"/>
  <c r="I80" i="4"/>
  <c r="G80" i="4"/>
  <c r="E80" i="4"/>
  <c r="I79" i="4"/>
  <c r="G79" i="4"/>
  <c r="E79" i="4"/>
  <c r="I78" i="4"/>
  <c r="G78" i="4"/>
  <c r="E78" i="4"/>
  <c r="I77" i="4"/>
  <c r="G77" i="4"/>
  <c r="E77" i="4"/>
  <c r="I76" i="4"/>
  <c r="G76" i="4"/>
  <c r="E76" i="4"/>
  <c r="I75" i="4"/>
  <c r="G75" i="4"/>
  <c r="E75" i="4"/>
  <c r="I74" i="4"/>
  <c r="G74" i="4"/>
  <c r="E74" i="4"/>
  <c r="I73" i="4"/>
  <c r="G73" i="4"/>
  <c r="E73" i="4"/>
  <c r="I72" i="4"/>
  <c r="G72" i="4"/>
  <c r="E72" i="4"/>
  <c r="I71" i="4"/>
  <c r="G71" i="4"/>
  <c r="E71" i="4"/>
  <c r="I70" i="4"/>
  <c r="G70" i="4"/>
  <c r="E70" i="4"/>
  <c r="I69" i="4"/>
  <c r="G69" i="4"/>
  <c r="E69" i="4"/>
  <c r="I68" i="4"/>
  <c r="G68" i="4"/>
  <c r="E68" i="4"/>
  <c r="I67" i="4"/>
  <c r="G67" i="4"/>
  <c r="E67" i="4"/>
  <c r="I66" i="4"/>
  <c r="G66" i="4"/>
  <c r="E66" i="4"/>
  <c r="I65" i="4"/>
  <c r="G65" i="4"/>
  <c r="E65" i="4"/>
  <c r="I64" i="4"/>
  <c r="G64" i="4"/>
  <c r="E64" i="4"/>
  <c r="I63" i="4"/>
  <c r="G63" i="4"/>
  <c r="E63" i="4"/>
  <c r="I121" i="4"/>
  <c r="G121" i="4"/>
  <c r="E121" i="4"/>
  <c r="I120" i="4"/>
  <c r="G120" i="4"/>
  <c r="E120" i="4"/>
  <c r="I119" i="4"/>
  <c r="G119" i="4"/>
  <c r="E119" i="4"/>
  <c r="I118" i="4"/>
  <c r="G118" i="4"/>
  <c r="E118" i="4"/>
  <c r="I117" i="4"/>
  <c r="G117" i="4"/>
  <c r="E117" i="4"/>
  <c r="I116" i="4"/>
  <c r="G116" i="4"/>
  <c r="E116" i="4"/>
  <c r="I115" i="4"/>
  <c r="G115" i="4"/>
  <c r="E115" i="4"/>
  <c r="I114" i="4"/>
  <c r="G114" i="4"/>
  <c r="E114" i="4"/>
  <c r="I113" i="4"/>
  <c r="G113" i="4"/>
  <c r="E113" i="4"/>
  <c r="I112" i="4"/>
  <c r="G112" i="4"/>
  <c r="E112" i="4"/>
  <c r="I111" i="4"/>
  <c r="G111" i="4"/>
  <c r="E111" i="4"/>
  <c r="I110" i="4"/>
  <c r="G110" i="4"/>
  <c r="E110" i="4"/>
  <c r="I109" i="4"/>
  <c r="G109" i="4"/>
  <c r="E109" i="4"/>
  <c r="I108" i="4"/>
  <c r="G108" i="4"/>
  <c r="E108" i="4"/>
  <c r="I107" i="4"/>
  <c r="G107" i="4"/>
  <c r="E107" i="4"/>
  <c r="I106" i="4"/>
  <c r="G106" i="4"/>
  <c r="E106" i="4"/>
  <c r="I105" i="4"/>
  <c r="G105" i="4"/>
  <c r="E105" i="4"/>
  <c r="I104" i="4"/>
  <c r="G104" i="4"/>
  <c r="E104" i="4"/>
  <c r="I103" i="4"/>
  <c r="G103" i="4"/>
  <c r="E103" i="4"/>
  <c r="I102" i="4"/>
  <c r="G102" i="4"/>
  <c r="E102" i="4"/>
  <c r="I101" i="4"/>
  <c r="G101" i="4"/>
  <c r="E101" i="4"/>
  <c r="I100" i="4"/>
  <c r="G100" i="4"/>
  <c r="E100" i="4"/>
  <c r="I99" i="4"/>
  <c r="G99" i="4"/>
  <c r="E99" i="4"/>
  <c r="I98" i="4"/>
  <c r="G98" i="4"/>
  <c r="E98" i="4"/>
  <c r="I97" i="4"/>
  <c r="G97" i="4"/>
  <c r="E97" i="4"/>
  <c r="I96" i="4"/>
  <c r="G96" i="4"/>
  <c r="E96" i="4"/>
  <c r="I95" i="4"/>
  <c r="G95" i="4"/>
  <c r="E95" i="4"/>
  <c r="I94" i="4"/>
  <c r="G94" i="4"/>
  <c r="E94" i="4"/>
  <c r="I92" i="4"/>
  <c r="G92" i="4"/>
  <c r="E92" i="4"/>
  <c r="I93" i="4"/>
  <c r="G93" i="4"/>
  <c r="E93" i="4"/>
  <c r="I152" i="4"/>
  <c r="G152" i="4"/>
  <c r="E152" i="4"/>
  <c r="I151" i="4"/>
  <c r="G151" i="4"/>
  <c r="E151" i="4"/>
  <c r="I150" i="4"/>
  <c r="G150" i="4"/>
  <c r="E150" i="4"/>
  <c r="I149" i="4"/>
  <c r="G149" i="4"/>
  <c r="E149" i="4"/>
  <c r="I148" i="4"/>
  <c r="G148" i="4"/>
  <c r="E148" i="4"/>
  <c r="I147" i="4"/>
  <c r="G147" i="4"/>
  <c r="E147" i="4"/>
  <c r="I146" i="4"/>
  <c r="G146" i="4"/>
  <c r="E146" i="4"/>
  <c r="I145" i="4"/>
  <c r="G145" i="4"/>
  <c r="E145" i="4"/>
  <c r="I144" i="4"/>
  <c r="G144" i="4"/>
  <c r="E144" i="4"/>
  <c r="I143" i="4"/>
  <c r="G143" i="4"/>
  <c r="E143" i="4"/>
  <c r="I142" i="4"/>
  <c r="G142" i="4"/>
  <c r="E142" i="4"/>
  <c r="I141" i="4"/>
  <c r="G141" i="4"/>
  <c r="E141" i="4"/>
  <c r="I140" i="4"/>
  <c r="G140" i="4"/>
  <c r="E140" i="4"/>
  <c r="I139" i="4"/>
  <c r="G139" i="4"/>
  <c r="E139" i="4"/>
  <c r="I138" i="4"/>
  <c r="G138" i="4"/>
  <c r="E138" i="4"/>
  <c r="I137" i="4"/>
  <c r="G137" i="4"/>
  <c r="E137" i="4"/>
  <c r="I136" i="4"/>
  <c r="G136" i="4"/>
  <c r="E136" i="4"/>
  <c r="I135" i="4"/>
  <c r="G135" i="4"/>
  <c r="E135" i="4"/>
  <c r="I134" i="4"/>
  <c r="G134" i="4"/>
  <c r="E134" i="4"/>
  <c r="I133" i="4"/>
  <c r="G133" i="4"/>
  <c r="E133" i="4"/>
  <c r="I132" i="4"/>
  <c r="G132" i="4"/>
  <c r="E132" i="4"/>
  <c r="I131" i="4"/>
  <c r="G131" i="4"/>
  <c r="E131" i="4"/>
  <c r="I130" i="4"/>
  <c r="G130" i="4"/>
  <c r="E130" i="4"/>
  <c r="I129" i="4"/>
  <c r="G129" i="4"/>
  <c r="E129" i="4"/>
  <c r="I128" i="4"/>
  <c r="G128" i="4"/>
  <c r="E128" i="4"/>
  <c r="I127" i="4"/>
  <c r="G127" i="4"/>
  <c r="E127" i="4"/>
  <c r="I126" i="4"/>
  <c r="G126" i="4"/>
  <c r="E126" i="4"/>
  <c r="I125" i="4"/>
  <c r="G125" i="4"/>
  <c r="E125" i="4"/>
  <c r="I124" i="4"/>
  <c r="G124" i="4"/>
  <c r="E124" i="4"/>
  <c r="I123" i="4"/>
  <c r="G123" i="4"/>
  <c r="E123" i="4"/>
  <c r="I182" i="4"/>
  <c r="G182" i="4"/>
  <c r="E182" i="4"/>
  <c r="I181" i="4"/>
  <c r="G181" i="4"/>
  <c r="E181" i="4"/>
  <c r="I180" i="4"/>
  <c r="G180" i="4"/>
  <c r="E180" i="4"/>
  <c r="I179" i="4"/>
  <c r="G179" i="4"/>
  <c r="E179" i="4"/>
  <c r="I178" i="4"/>
  <c r="G178" i="4"/>
  <c r="E178" i="4"/>
  <c r="I177" i="4"/>
  <c r="G177" i="4"/>
  <c r="E177" i="4"/>
  <c r="I176" i="4"/>
  <c r="G176" i="4"/>
  <c r="E176" i="4"/>
  <c r="I175" i="4"/>
  <c r="G175" i="4"/>
  <c r="E175" i="4"/>
  <c r="I174" i="4"/>
  <c r="G174" i="4"/>
  <c r="E174" i="4"/>
  <c r="I173" i="4"/>
  <c r="G173" i="4"/>
  <c r="E173" i="4"/>
  <c r="I172" i="4"/>
  <c r="G172" i="4"/>
  <c r="E172" i="4"/>
  <c r="I171" i="4"/>
  <c r="G171" i="4"/>
  <c r="E171" i="4"/>
  <c r="I170" i="4"/>
  <c r="G170" i="4"/>
  <c r="E170" i="4"/>
  <c r="I169" i="4"/>
  <c r="G169" i="4"/>
  <c r="E169" i="4"/>
  <c r="I168" i="4"/>
  <c r="G168" i="4"/>
  <c r="E168" i="4"/>
  <c r="I167" i="4"/>
  <c r="G167" i="4"/>
  <c r="E167" i="4"/>
  <c r="I166" i="4"/>
  <c r="G166" i="4"/>
  <c r="E166" i="4"/>
  <c r="I165" i="4"/>
  <c r="G165" i="4"/>
  <c r="E165" i="4"/>
  <c r="I164" i="4"/>
  <c r="G164" i="4"/>
  <c r="E164" i="4"/>
  <c r="I163" i="4"/>
  <c r="G163" i="4"/>
  <c r="E163" i="4"/>
  <c r="I162" i="4"/>
  <c r="G162" i="4"/>
  <c r="E162" i="4"/>
  <c r="I161" i="4"/>
  <c r="G161" i="4"/>
  <c r="E161" i="4"/>
  <c r="I160" i="4"/>
  <c r="G160" i="4"/>
  <c r="E160" i="4"/>
  <c r="I159" i="4"/>
  <c r="G159" i="4"/>
  <c r="E159" i="4"/>
  <c r="I158" i="4"/>
  <c r="G158" i="4"/>
  <c r="E158" i="4"/>
  <c r="I157" i="4"/>
  <c r="G157" i="4"/>
  <c r="E157" i="4"/>
  <c r="I156" i="4"/>
  <c r="G156" i="4"/>
  <c r="E156" i="4"/>
  <c r="I155" i="4"/>
  <c r="G155" i="4"/>
  <c r="E155" i="4"/>
  <c r="I153" i="4"/>
  <c r="G153" i="4"/>
  <c r="E153" i="4"/>
  <c r="I154" i="4"/>
  <c r="G154" i="4"/>
  <c r="E154" i="4"/>
  <c r="I213" i="4"/>
  <c r="G213" i="4"/>
  <c r="E213" i="4"/>
  <c r="I212" i="4"/>
  <c r="G212" i="4"/>
  <c r="E212" i="4"/>
  <c r="I211" i="4"/>
  <c r="G211" i="4"/>
  <c r="E211" i="4"/>
  <c r="I210" i="4"/>
  <c r="G210" i="4"/>
  <c r="E210" i="4"/>
  <c r="I209" i="4"/>
  <c r="G209" i="4"/>
  <c r="E209" i="4"/>
  <c r="I208" i="4"/>
  <c r="G208" i="4"/>
  <c r="E208" i="4"/>
  <c r="I207" i="4"/>
  <c r="G207" i="4"/>
  <c r="E207" i="4"/>
  <c r="I206" i="4"/>
  <c r="G206" i="4"/>
  <c r="E206" i="4"/>
  <c r="I205" i="4"/>
  <c r="G205" i="4"/>
  <c r="E205" i="4"/>
  <c r="I204" i="4"/>
  <c r="G204" i="4"/>
  <c r="E204" i="4"/>
  <c r="I203" i="4"/>
  <c r="G203" i="4"/>
  <c r="E203" i="4"/>
  <c r="I202" i="4"/>
  <c r="G202" i="4"/>
  <c r="E202" i="4"/>
  <c r="I201" i="4"/>
  <c r="G201" i="4"/>
  <c r="E201" i="4"/>
  <c r="I200" i="4"/>
  <c r="G200" i="4"/>
  <c r="E200" i="4"/>
  <c r="I199" i="4"/>
  <c r="G199" i="4"/>
  <c r="E199" i="4"/>
  <c r="I198" i="4"/>
  <c r="G198" i="4"/>
  <c r="E198" i="4"/>
  <c r="I197" i="4"/>
  <c r="G197" i="4"/>
  <c r="E197" i="4"/>
  <c r="I196" i="4"/>
  <c r="G196" i="4"/>
  <c r="E196" i="4"/>
  <c r="I195" i="4"/>
  <c r="G195" i="4"/>
  <c r="E195" i="4"/>
  <c r="I194" i="4"/>
  <c r="G194" i="4"/>
  <c r="E194" i="4"/>
  <c r="I193" i="4"/>
  <c r="G193" i="4"/>
  <c r="E193" i="4"/>
  <c r="I192" i="4"/>
  <c r="G192" i="4"/>
  <c r="E192" i="4"/>
  <c r="I191" i="4"/>
  <c r="G191" i="4"/>
  <c r="E191" i="4"/>
  <c r="I190" i="4"/>
  <c r="G190" i="4"/>
  <c r="E190" i="4"/>
  <c r="I189" i="4"/>
  <c r="G189" i="4"/>
  <c r="E189" i="4"/>
  <c r="I188" i="4"/>
  <c r="G188" i="4"/>
  <c r="E188" i="4"/>
  <c r="I187" i="4"/>
  <c r="G187" i="4"/>
  <c r="E187" i="4"/>
  <c r="I186" i="4"/>
  <c r="G186" i="4"/>
  <c r="E186" i="4"/>
  <c r="I185" i="4"/>
  <c r="G185" i="4"/>
  <c r="E185" i="4"/>
  <c r="I184" i="4"/>
  <c r="G184" i="4"/>
  <c r="E184" i="4"/>
  <c r="I244" i="4"/>
  <c r="G244" i="4"/>
  <c r="E244" i="4"/>
  <c r="I243" i="4"/>
  <c r="G243" i="4"/>
  <c r="E243" i="4"/>
  <c r="I242" i="4"/>
  <c r="G242" i="4"/>
  <c r="E242" i="4"/>
  <c r="I241" i="4"/>
  <c r="G241" i="4"/>
  <c r="E241" i="4"/>
  <c r="I240" i="4"/>
  <c r="G240" i="4"/>
  <c r="E240" i="4"/>
  <c r="I239" i="4"/>
  <c r="G239" i="4"/>
  <c r="E239" i="4"/>
  <c r="I238" i="4"/>
  <c r="G238" i="4"/>
  <c r="E238" i="4"/>
  <c r="I237" i="4"/>
  <c r="G237" i="4"/>
  <c r="E237" i="4"/>
  <c r="I236" i="4"/>
  <c r="G236" i="4"/>
  <c r="E236" i="4"/>
  <c r="I235" i="4"/>
  <c r="G235" i="4"/>
  <c r="E235" i="4"/>
  <c r="I234" i="4"/>
  <c r="G234" i="4"/>
  <c r="E234" i="4"/>
  <c r="I233" i="4"/>
  <c r="G233" i="4"/>
  <c r="E233" i="4"/>
  <c r="I232" i="4"/>
  <c r="G232" i="4"/>
  <c r="E232" i="4"/>
  <c r="I231" i="4"/>
  <c r="G231" i="4"/>
  <c r="E231" i="4"/>
  <c r="I230" i="4"/>
  <c r="G230" i="4"/>
  <c r="E230" i="4"/>
  <c r="I229" i="4"/>
  <c r="G229" i="4"/>
  <c r="E229" i="4"/>
  <c r="I228" i="4"/>
  <c r="G228" i="4"/>
  <c r="E228" i="4"/>
  <c r="I227" i="4"/>
  <c r="G227" i="4"/>
  <c r="E227" i="4"/>
  <c r="I226" i="4"/>
  <c r="G226" i="4"/>
  <c r="E226" i="4"/>
  <c r="I225" i="4"/>
  <c r="G225" i="4"/>
  <c r="E225" i="4"/>
  <c r="I224" i="4"/>
  <c r="G224" i="4"/>
  <c r="E224" i="4"/>
  <c r="I223" i="4"/>
  <c r="G223" i="4"/>
  <c r="E223" i="4"/>
  <c r="I222" i="4"/>
  <c r="G222" i="4"/>
  <c r="E222" i="4"/>
  <c r="I221" i="4"/>
  <c r="G221" i="4"/>
  <c r="E221" i="4"/>
  <c r="I220" i="4"/>
  <c r="G220" i="4"/>
  <c r="E220" i="4"/>
  <c r="I219" i="4"/>
  <c r="G219" i="4"/>
  <c r="E219" i="4"/>
  <c r="I218" i="4"/>
  <c r="G218" i="4"/>
  <c r="E218" i="4"/>
  <c r="I217" i="4"/>
  <c r="G217" i="4"/>
  <c r="E217" i="4"/>
  <c r="I216" i="4"/>
  <c r="G216" i="4"/>
  <c r="E216" i="4"/>
  <c r="I214" i="4"/>
  <c r="G214" i="4"/>
  <c r="E214" i="4"/>
  <c r="I215" i="4"/>
  <c r="G215" i="4"/>
  <c r="E215" i="4"/>
  <c r="I274" i="4"/>
  <c r="G274" i="4"/>
  <c r="E274" i="4"/>
  <c r="I273" i="4"/>
  <c r="G273" i="4"/>
  <c r="E273" i="4"/>
  <c r="I272" i="4"/>
  <c r="G272" i="4"/>
  <c r="E272" i="4"/>
  <c r="I271" i="4"/>
  <c r="G271" i="4"/>
  <c r="E271" i="4"/>
  <c r="I270" i="4"/>
  <c r="G270" i="4"/>
  <c r="E270" i="4"/>
  <c r="I269" i="4"/>
  <c r="G269" i="4"/>
  <c r="E269" i="4"/>
  <c r="I268" i="4"/>
  <c r="G268" i="4"/>
  <c r="E268" i="4"/>
  <c r="I267" i="4"/>
  <c r="G267" i="4"/>
  <c r="E267" i="4"/>
  <c r="I266" i="4"/>
  <c r="G266" i="4"/>
  <c r="E266" i="4"/>
  <c r="I265" i="4"/>
  <c r="G265" i="4"/>
  <c r="E265" i="4"/>
  <c r="I264" i="4"/>
  <c r="G264" i="4"/>
  <c r="E264" i="4"/>
  <c r="I263" i="4"/>
  <c r="G263" i="4"/>
  <c r="E263" i="4"/>
  <c r="I262" i="4"/>
  <c r="G262" i="4"/>
  <c r="E262" i="4"/>
  <c r="I261" i="4"/>
  <c r="G261" i="4"/>
  <c r="E261" i="4"/>
  <c r="I260" i="4"/>
  <c r="G260" i="4"/>
  <c r="E260" i="4"/>
  <c r="I259" i="4"/>
  <c r="G259" i="4"/>
  <c r="E259" i="4"/>
  <c r="I258" i="4"/>
  <c r="G258" i="4"/>
  <c r="E258" i="4"/>
  <c r="I257" i="4"/>
  <c r="G257" i="4"/>
  <c r="E257" i="4"/>
  <c r="I256" i="4"/>
  <c r="G256" i="4"/>
  <c r="E256" i="4"/>
  <c r="I255" i="4"/>
  <c r="G255" i="4"/>
  <c r="E255" i="4"/>
  <c r="I254" i="4"/>
  <c r="G254" i="4"/>
  <c r="E254" i="4"/>
  <c r="I253" i="4"/>
  <c r="G253" i="4"/>
  <c r="E253" i="4"/>
  <c r="I252" i="4"/>
  <c r="G252" i="4"/>
  <c r="E252" i="4"/>
  <c r="I251" i="4"/>
  <c r="G251" i="4"/>
  <c r="E251" i="4"/>
  <c r="I250" i="4"/>
  <c r="G250" i="4"/>
  <c r="E250" i="4"/>
  <c r="I249" i="4"/>
  <c r="G249" i="4"/>
  <c r="E249" i="4"/>
  <c r="I248" i="4"/>
  <c r="G248" i="4"/>
  <c r="E248" i="4"/>
  <c r="I247" i="4"/>
  <c r="G247" i="4"/>
  <c r="E247" i="4"/>
  <c r="I245" i="4"/>
  <c r="G245" i="4"/>
  <c r="E245" i="4"/>
  <c r="I246" i="4"/>
  <c r="G246" i="4"/>
  <c r="E246" i="4"/>
  <c r="I305" i="4"/>
  <c r="G305" i="4"/>
  <c r="E305" i="4"/>
  <c r="I304" i="4"/>
  <c r="G304" i="4"/>
  <c r="E304" i="4"/>
  <c r="I303" i="4"/>
  <c r="G303" i="4"/>
  <c r="E303" i="4"/>
  <c r="I302" i="4"/>
  <c r="G302" i="4"/>
  <c r="E302" i="4"/>
  <c r="I301" i="4"/>
  <c r="G301" i="4"/>
  <c r="E301" i="4"/>
  <c r="I300" i="4"/>
  <c r="G300" i="4"/>
  <c r="E300" i="4"/>
  <c r="I299" i="4"/>
  <c r="G299" i="4"/>
  <c r="E299" i="4"/>
  <c r="I298" i="4"/>
  <c r="G298" i="4"/>
  <c r="E298" i="4"/>
  <c r="I297" i="4"/>
  <c r="G297" i="4"/>
  <c r="E297" i="4"/>
  <c r="I296" i="4"/>
  <c r="G296" i="4"/>
  <c r="E296" i="4"/>
  <c r="I295" i="4"/>
  <c r="G295" i="4"/>
  <c r="E295" i="4"/>
  <c r="I294" i="4"/>
  <c r="G294" i="4"/>
  <c r="E294" i="4"/>
  <c r="I293" i="4"/>
  <c r="G293" i="4"/>
  <c r="E293" i="4"/>
  <c r="I292" i="4"/>
  <c r="G292" i="4"/>
  <c r="E292" i="4"/>
  <c r="I291" i="4"/>
  <c r="G291" i="4"/>
  <c r="E291" i="4"/>
  <c r="I290" i="4"/>
  <c r="G290" i="4"/>
  <c r="E290" i="4"/>
  <c r="I289" i="4"/>
  <c r="G289" i="4"/>
  <c r="E289" i="4"/>
  <c r="I288" i="4"/>
  <c r="G288" i="4"/>
  <c r="E288" i="4"/>
  <c r="I287" i="4"/>
  <c r="G287" i="4"/>
  <c r="E287" i="4"/>
  <c r="I286" i="4"/>
  <c r="G286" i="4"/>
  <c r="E286" i="4"/>
  <c r="I285" i="4"/>
  <c r="G285" i="4"/>
  <c r="E285" i="4"/>
  <c r="I284" i="4"/>
  <c r="G284" i="4"/>
  <c r="E284" i="4"/>
  <c r="I283" i="4"/>
  <c r="G283" i="4"/>
  <c r="E283" i="4"/>
  <c r="I282" i="4"/>
  <c r="G282" i="4"/>
  <c r="E282" i="4"/>
  <c r="I281" i="4"/>
  <c r="G281" i="4"/>
  <c r="E281" i="4"/>
  <c r="I280" i="4"/>
  <c r="G280" i="4"/>
  <c r="E280" i="4"/>
  <c r="I279" i="4"/>
  <c r="G279" i="4"/>
  <c r="E279" i="4"/>
  <c r="I278" i="4"/>
  <c r="G278" i="4"/>
  <c r="E278" i="4"/>
  <c r="I277" i="4"/>
  <c r="G277" i="4"/>
  <c r="E277" i="4"/>
  <c r="I275" i="4"/>
  <c r="G275" i="4"/>
  <c r="E275" i="4"/>
  <c r="I276" i="4"/>
  <c r="G276" i="4"/>
  <c r="E276" i="4"/>
  <c r="I335" i="4"/>
  <c r="G335" i="4"/>
  <c r="E335" i="4"/>
  <c r="I334" i="4"/>
  <c r="G334" i="4"/>
  <c r="E334" i="4"/>
  <c r="I333" i="4"/>
  <c r="G333" i="4"/>
  <c r="E333" i="4"/>
  <c r="I332" i="4"/>
  <c r="G332" i="4"/>
  <c r="E332" i="4"/>
  <c r="I331" i="4"/>
  <c r="G331" i="4"/>
  <c r="E331" i="4"/>
  <c r="I330" i="4"/>
  <c r="G330" i="4"/>
  <c r="E330" i="4"/>
  <c r="I329" i="4"/>
  <c r="G329" i="4"/>
  <c r="E329" i="4"/>
  <c r="I328" i="4"/>
  <c r="G328" i="4"/>
  <c r="E328" i="4"/>
  <c r="I327" i="4"/>
  <c r="G327" i="4"/>
  <c r="E327" i="4"/>
  <c r="I326" i="4"/>
  <c r="G326" i="4"/>
  <c r="E326" i="4"/>
  <c r="I325" i="4"/>
  <c r="G325" i="4"/>
  <c r="E325" i="4"/>
  <c r="I324" i="4"/>
  <c r="G324" i="4"/>
  <c r="E324" i="4"/>
  <c r="I323" i="4"/>
  <c r="G323" i="4"/>
  <c r="E323" i="4"/>
  <c r="I322" i="4"/>
  <c r="G322" i="4"/>
  <c r="E322" i="4"/>
  <c r="I321" i="4"/>
  <c r="G321" i="4"/>
  <c r="E321" i="4"/>
  <c r="I320" i="4"/>
  <c r="G320" i="4"/>
  <c r="E320" i="4"/>
  <c r="I319" i="4"/>
  <c r="G319" i="4"/>
  <c r="E319" i="4"/>
  <c r="I318" i="4"/>
  <c r="G318" i="4"/>
  <c r="E318" i="4"/>
  <c r="I317" i="4"/>
  <c r="G317" i="4"/>
  <c r="E317" i="4"/>
  <c r="I316" i="4"/>
  <c r="G316" i="4"/>
  <c r="E316" i="4"/>
  <c r="I315" i="4"/>
  <c r="G315" i="4"/>
  <c r="E315" i="4"/>
  <c r="I314" i="4"/>
  <c r="G314" i="4"/>
  <c r="E314" i="4"/>
  <c r="I313" i="4"/>
  <c r="G313" i="4"/>
  <c r="E313" i="4"/>
  <c r="I312" i="4"/>
  <c r="G312" i="4"/>
  <c r="E312" i="4"/>
  <c r="I311" i="4"/>
  <c r="G311" i="4"/>
  <c r="E311" i="4"/>
  <c r="I310" i="4"/>
  <c r="G310" i="4"/>
  <c r="E310" i="4"/>
  <c r="I309" i="4"/>
  <c r="G309" i="4"/>
  <c r="E309" i="4"/>
  <c r="I308" i="4"/>
  <c r="G308" i="4"/>
  <c r="E308" i="4"/>
  <c r="I336" i="4"/>
  <c r="G336" i="4"/>
  <c r="E336" i="4"/>
  <c r="I307" i="4"/>
  <c r="G307" i="4"/>
  <c r="E307" i="4"/>
  <c r="I337" i="4"/>
  <c r="G337" i="4"/>
  <c r="E337" i="4"/>
  <c r="I366" i="4"/>
  <c r="G366" i="4"/>
  <c r="E366" i="4"/>
  <c r="I365" i="4"/>
  <c r="G365" i="4"/>
  <c r="E365" i="4"/>
  <c r="I364" i="4"/>
  <c r="G364" i="4"/>
  <c r="E364" i="4"/>
  <c r="I363" i="4"/>
  <c r="G363" i="4"/>
  <c r="E363" i="4"/>
  <c r="I362" i="4"/>
  <c r="G362" i="4"/>
  <c r="E362" i="4"/>
  <c r="I361" i="4"/>
  <c r="G361" i="4"/>
  <c r="E361" i="4"/>
  <c r="I360" i="4"/>
  <c r="G360" i="4"/>
  <c r="E360" i="4"/>
  <c r="I359" i="4"/>
  <c r="G359" i="4"/>
  <c r="E359" i="4"/>
  <c r="I358" i="4"/>
  <c r="G358" i="4"/>
  <c r="E358" i="4"/>
  <c r="I357" i="4"/>
  <c r="G357" i="4"/>
  <c r="E357" i="4"/>
  <c r="I356" i="4"/>
  <c r="G356" i="4"/>
  <c r="E356" i="4"/>
  <c r="I355" i="4"/>
  <c r="G355" i="4"/>
  <c r="E355" i="4"/>
  <c r="I354" i="4"/>
  <c r="G354" i="4"/>
  <c r="E354" i="4"/>
  <c r="I353" i="4"/>
  <c r="G353" i="4"/>
  <c r="E353" i="4"/>
  <c r="I352" i="4"/>
  <c r="G352" i="4"/>
  <c r="E352" i="4"/>
  <c r="I351" i="4"/>
  <c r="G351" i="4"/>
  <c r="E351" i="4"/>
  <c r="I350" i="4"/>
  <c r="G350" i="4"/>
  <c r="E350" i="4"/>
  <c r="I349" i="4"/>
  <c r="G349" i="4"/>
  <c r="E349" i="4"/>
  <c r="I348" i="4"/>
  <c r="G348" i="4"/>
  <c r="E348" i="4"/>
  <c r="I347" i="4"/>
  <c r="G347" i="4"/>
  <c r="E347" i="4"/>
  <c r="I346" i="4"/>
  <c r="G346" i="4"/>
  <c r="E346" i="4"/>
  <c r="I345" i="4"/>
  <c r="G345" i="4"/>
  <c r="E345" i="4"/>
  <c r="I344" i="4"/>
  <c r="G344" i="4"/>
  <c r="E344" i="4"/>
  <c r="I343" i="4"/>
  <c r="G343" i="4"/>
  <c r="E343" i="4"/>
  <c r="I342" i="4"/>
  <c r="G342" i="4"/>
  <c r="E342" i="4"/>
  <c r="I341" i="4"/>
  <c r="G341" i="4"/>
  <c r="E341" i="4"/>
  <c r="I340" i="4"/>
  <c r="G340" i="4"/>
  <c r="E340" i="4"/>
  <c r="I339" i="4"/>
  <c r="G339" i="4"/>
  <c r="E339" i="4"/>
  <c r="I338" i="4"/>
  <c r="G338" i="4"/>
  <c r="E338" i="4"/>
  <c r="I183" i="4"/>
  <c r="G183" i="4"/>
  <c r="E183" i="4"/>
  <c r="I306" i="4"/>
  <c r="G306" i="4"/>
  <c r="E306" i="4"/>
  <c r="I122" i="4"/>
  <c r="G122" i="4"/>
  <c r="E122" i="4"/>
  <c r="I61" i="4"/>
  <c r="G61" i="4"/>
  <c r="E61" i="4"/>
</calcChain>
</file>

<file path=xl/sharedStrings.xml><?xml version="1.0" encoding="utf-8"?>
<sst xmlns="http://schemas.openxmlformats.org/spreadsheetml/2006/main" count="583" uniqueCount="73">
  <si>
    <t>Site Name</t>
  </si>
  <si>
    <t>Day</t>
  </si>
  <si>
    <t>Month</t>
  </si>
  <si>
    <t>Year</t>
  </si>
  <si>
    <t>Electricty 1
(Peak)</t>
  </si>
  <si>
    <t>Peak Tariff
($/Kwh)</t>
  </si>
  <si>
    <t>Electricity 2
(Shoulder)</t>
  </si>
  <si>
    <t>Shoulder Tariff
($/Kwh)</t>
  </si>
  <si>
    <t>Electricty 3
(Off-Peak)</t>
  </si>
  <si>
    <t>Off-Peak Tariff
($/Kwh)</t>
  </si>
  <si>
    <t>Total Electricity Kwh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</si>
  <si>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</si>
  <si>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</si>
  <si>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</si>
  <si>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</si>
  <si>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</si>
  <si>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</si>
  <si>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Sydney</t>
  </si>
  <si>
    <t>December 31st</t>
  </si>
  <si>
    <t>Meter Readings</t>
  </si>
  <si>
    <t>Jan</t>
  </si>
  <si>
    <t>m3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</si>
  <si>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</si>
  <si>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</si>
  <si>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</si>
  <si>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</si>
  <si>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</si>
  <si>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</si>
  <si>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</si>
  <si>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</si>
  <si>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</si>
  <si>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</si>
  <si>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</si>
  <si>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</si>
  <si>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</si>
  <si>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</si>
  <si>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</si>
  <si>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</si>
  <si>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</si>
  <si>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</si>
  <si>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</si>
  <si>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</si>
  <si>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</si>
  <si>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</si>
  <si>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</si>
  <si>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</si>
  <si>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</si>
  <si>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</si>
  <si>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</si>
  <si>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</si>
  <si>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</si>
  <si>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</si>
  <si>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</si>
  <si>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</si>
  <si>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</si>
  <si>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</si>
  <si>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</si>
  <si>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</si>
  <si>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</si>
  <si>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</si>
  <si>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</si>
  <si>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</si>
  <si>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</si>
  <si>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</si>
  <si>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Total for Month (m3)</t>
  </si>
  <si>
    <t>Meter 1</t>
  </si>
  <si>
    <t>Meter 2</t>
  </si>
  <si>
    <t>Date</t>
  </si>
  <si>
    <t>kwh</t>
  </si>
  <si>
    <t xml:space="preserve">Meter 1 </t>
  </si>
  <si>
    <t>Total for Month (kwh)</t>
  </si>
  <si>
    <t>kL</t>
  </si>
  <si>
    <t>Total for Month (kL)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</si>
</sst>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thin">
        <color indexed="64"/>
      </top>
      <bottom style="thick">
        <color auto="1"/>
      </bottom>
      <diagonal/>
    </border>
    <border>
      <left/>
      <right style="thick">
        <color auto="1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Border="1"/>
    <xf numFmtId="0" fontId="0" fillId="4" borderId="4" xfId="0" applyFill="1" applyBorder="1"/>
    <xf numFmtId="0" fontId="0" fillId="4" borderId="0" xfId="0" applyFill="1" applyBorder="1"/>
    <xf numFmtId="0" fontId="0" fillId="0" borderId="11" xfId="0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0" borderId="0" xfId="0" applyBorder="1" applyAlignment="1"/>
    <xf numFmtId="0" fontId="0" fillId="0" borderId="0" xfId="0" applyFill="1" applyBorder="1"/>
    <xf numFmtId="0" fontId="0" fillId="0" borderId="0" xfId="0" applyFill="1" applyBorder="1" applyAlignme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10" xfId="0" applyFont="1" applyBorder="1"/>
    <xf numFmtId="0" fontId="5" fillId="0" borderId="10" xfId="0" applyFont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1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0" xfId="0" applyFont="1" applyBorder="1"/>
    <xf numFmtId="0" fontId="1" fillId="0" borderId="19" xfId="0" applyFont="1" applyBorder="1"/>
    <xf numFmtId="0" fontId="5" fillId="0" borderId="20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2" fontId="4" fillId="0" borderId="20" xfId="0" applyNumberFormat="1" applyFont="1" applyBorder="1" applyAlignment="1">
      <alignment horizontal="center" wrapText="1"/>
    </xf>
    <xf numFmtId="164" fontId="2" fillId="0" borderId="19" xfId="0" applyNumberFormat="1" applyFont="1" applyBorder="1" applyAlignment="1">
      <alignment horizontal="center"/>
    </xf>
    <xf numFmtId="2" fontId="2" fillId="0" borderId="19" xfId="0" applyNumberFormat="1" applyFont="1" applyBorder="1" applyAlignment="1">
      <alignment horizontal="center"/>
    </xf>
    <xf numFmtId="0" fontId="4" fillId="0" borderId="20" xfId="0" applyFont="1" applyBorder="1" applyAlignment="1">
      <alignment horizontal="center" wrapText="1"/>
    </xf>
    <xf numFmtId="0" fontId="2" fillId="0" borderId="19" xfId="0" applyFont="1" applyBorder="1" applyAlignment="1">
      <alignment horizontal="center"/>
    </xf>
    <xf numFmtId="0" fontId="1" fillId="0" borderId="22" xfId="0" applyFont="1" applyBorder="1" applyAlignment="1">
      <alignment horizontal="center" wrapText="1"/>
    </xf>
    <xf numFmtId="1" fontId="0" fillId="0" borderId="21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1" fillId="0" borderId="24" xfId="0" applyFont="1" applyBorder="1" applyAlignment="1">
      <alignment horizontal="center" wrapText="1"/>
    </xf>
    <xf numFmtId="1" fontId="0" fillId="0" borderId="23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17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66"/>
  <sheetViews>
    <sheetView tabSelected="1" topLeftCell="A218" workbookViewId="0">
      <selection activeCell="Q245" sqref="Q245"/>
    </sheetView>
  </sheetViews>
  <sheetFormatPr defaultColWidth="11.5703125" defaultRowHeight="15" x14ac:dyDescent="0.25"/>
  <cols>
    <col min="1" max="1" width="18.140625" style="24" customWidth="1"/>
    <col min="2" max="2" width="11.5703125" style="22"/>
    <col min="3" max="3" width="11.5703125" style="11"/>
    <col min="4" max="4" width="13.42578125" style="27" customWidth="1"/>
    <col min="5" max="5" width="13.42578125" style="40" customWidth="1"/>
    <col min="6" max="6" width="13.42578125" style="41" customWidth="1"/>
    <col min="7" max="8" width="13.42578125" style="11" customWidth="1"/>
    <col min="9" max="10" width="13.42578125" style="42" customWidth="1"/>
    <col min="11" max="11" width="12.5703125" style="39" customWidth="1"/>
    <col min="12" max="12" width="11.5703125" style="13"/>
    <col min="13" max="13" width="11.5703125" style="31"/>
    <col min="14" max="14" width="11.5703125" style="13"/>
    <col min="15" max="15" width="11.5703125" style="33"/>
    <col min="16" max="17" width="11.5703125" style="36"/>
    <col min="18" max="29" width="11.5703125" style="12"/>
  </cols>
  <sheetData>
    <row r="1" spans="1:29" s="15" customFormat="1" ht="60.75" thickBot="1" x14ac:dyDescent="0.3">
      <c r="A1" s="23" t="s">
        <v>0</v>
      </c>
      <c r="B1" s="21" t="s">
        <v>1</v>
      </c>
      <c r="C1" s="16" t="s">
        <v>2</v>
      </c>
      <c r="D1" s="25" t="s">
        <v>3</v>
      </c>
      <c r="E1" s="17" t="s">
        <v>4</v>
      </c>
      <c r="F1" s="17" t="s">
        <v>5</v>
      </c>
      <c r="G1" s="18" t="s">
        <v>6</v>
      </c>
      <c r="H1" s="18" t="s">
        <v>7</v>
      </c>
      <c r="I1" s="19" t="s">
        <v>8</v>
      </c>
      <c r="J1" s="19" t="s">
        <v>9</v>
      </c>
      <c r="K1" s="37" t="s">
        <v>10</v>
      </c>
      <c r="L1" s="20" t="s">
        <v>11</v>
      </c>
      <c r="M1" s="29" t="s">
        <v>12</v>
      </c>
      <c r="N1" s="20" t="s">
        <v>13</v>
      </c>
      <c r="O1" s="32" t="s">
        <v>14</v>
      </c>
      <c r="P1" s="34" t="s">
        <v>15</v>
      </c>
      <c r="Q1" s="34" t="s">
        <v>16</v>
      </c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</row>
    <row r="2" spans="1:29" x14ac:dyDescent="0.25">
      <c r="A2" s="24" t="s">
        <v>17</v>
      </c>
      <c r="B2" s="22">
        <v>1</v>
      </c>
      <c r="C2" s="14">
        <v>1</v>
      </c>
      <c r="D2" s="26">
        <v>2021</v>
      </c>
      <c r="E2" s="40">
        <f>(K2/100)*15</f>
        <v>2580</v>
      </c>
      <c r="F2" s="41">
        <v>0.106418</v>
      </c>
      <c r="G2" s="11">
        <f>(K2/100)*31</f>
        <v>5332</v>
      </c>
      <c r="H2" s="11">
        <v>0.106418</v>
      </c>
      <c r="I2" s="42">
        <f>(K2/100)*54</f>
        <v>9288</v>
      </c>
      <c r="J2" s="42">
        <v>7.1932999999999997E-2</v>
      </c>
      <c r="K2" s="38">
        <f>Electric!H11*400</f>
        <v>17200</v>
      </c>
      <c r="L2" s="28">
        <f>Gas!F8</f>
        <v>515</v>
      </c>
      <c r="M2" s="30">
        <v>0.99</v>
      </c>
      <c r="N2" s="28">
        <f>Water!F8</f>
        <v>142</v>
      </c>
      <c r="O2" s="31">
        <v>2.35</v>
      </c>
      <c r="P2" s="35">
        <v>145</v>
      </c>
      <c r="Q2" s="35">
        <v>286</v>
      </c>
    </row>
    <row r="3" spans="1:29" x14ac:dyDescent="0.25">
      <c r="A3" s="24" t="s">
        <v>17</v>
      </c>
      <c r="B3" s="22">
        <f>B2+1</f>
        <v>2</v>
      </c>
      <c r="C3" s="14">
        <v>1</v>
      </c>
      <c r="D3" s="26">
        <v>2021</v>
      </c>
      <c r="E3" s="40">
        <f t="shared" ref="E3:E66" si="0">(K3/100)*15</f>
        <v>1895.9999999999127</v>
      </c>
      <c r="F3" s="41">
        <v>0.106418</v>
      </c>
      <c r="G3" s="11">
        <f t="shared" ref="G3:G66" si="1">(K3/100)*31</f>
        <v>3918.3999999998196</v>
      </c>
      <c r="H3" s="11">
        <v>0.106418</v>
      </c>
      <c r="I3" s="42">
        <f t="shared" ref="I3:I66" si="2">(K3/100)*54</f>
        <v>6825.5999999996857</v>
      </c>
      <c r="J3" s="42">
        <v>7.1932999999999997E-2</v>
      </c>
      <c r="K3" s="38">
        <f>Electric!H12*400</f>
        <v>12639.999999999418</v>
      </c>
      <c r="L3" s="28">
        <f>Gas!F9</f>
        <v>387</v>
      </c>
      <c r="M3" s="30">
        <v>0.99</v>
      </c>
      <c r="N3" s="28">
        <f>Water!F9</f>
        <v>129</v>
      </c>
      <c r="O3" s="31">
        <v>2.35</v>
      </c>
      <c r="P3" s="35">
        <v>150</v>
      </c>
      <c r="Q3" s="35">
        <v>296</v>
      </c>
    </row>
    <row r="4" spans="1:29" x14ac:dyDescent="0.25">
      <c r="A4" s="24" t="s">
        <v>17</v>
      </c>
      <c r="B4" s="22">
        <f t="shared" ref="B4:B32" si="3">B3+1</f>
        <v>3</v>
      </c>
      <c r="C4" s="14">
        <v>1</v>
      </c>
      <c r="D4" s="26">
        <v>2021</v>
      </c>
      <c r="E4" s="40">
        <f t="shared" si="0"/>
        <v>2340</v>
      </c>
      <c r="F4" s="41">
        <v>0.106418</v>
      </c>
      <c r="G4" s="11">
        <f t="shared" si="1"/>
        <v>4836</v>
      </c>
      <c r="H4" s="11">
        <v>0.106418</v>
      </c>
      <c r="I4" s="42">
        <f t="shared" si="2"/>
        <v>8424</v>
      </c>
      <c r="J4" s="42">
        <v>7.1932999999999997E-2</v>
      </c>
      <c r="K4" s="38">
        <f>Electric!H13*400</f>
        <v>15600</v>
      </c>
      <c r="L4" s="28">
        <f>Gas!F10</f>
        <v>430</v>
      </c>
      <c r="M4" s="30">
        <v>0.99</v>
      </c>
      <c r="N4" s="28">
        <f>Water!F10</f>
        <v>105</v>
      </c>
      <c r="O4" s="31">
        <v>2.35</v>
      </c>
      <c r="P4" s="35">
        <v>155</v>
      </c>
      <c r="Q4" s="35">
        <v>333</v>
      </c>
    </row>
    <row r="5" spans="1:29" x14ac:dyDescent="0.25">
      <c r="A5" s="24" t="s">
        <v>17</v>
      </c>
      <c r="B5" s="22">
        <f t="shared" si="3"/>
        <v>4</v>
      </c>
      <c r="C5" s="14">
        <v>1</v>
      </c>
      <c r="D5" s="26">
        <v>2021</v>
      </c>
      <c r="E5" s="40">
        <f t="shared" si="0"/>
        <v>2742.0000000000437</v>
      </c>
      <c r="F5" s="41">
        <v>0.106418</v>
      </c>
      <c r="G5" s="11">
        <f t="shared" si="1"/>
        <v>5666.8000000000902</v>
      </c>
      <c r="H5" s="11">
        <v>0.106418</v>
      </c>
      <c r="I5" s="42">
        <f t="shared" si="2"/>
        <v>9871.2000000001572</v>
      </c>
      <c r="J5" s="42">
        <v>7.1932999999999997E-2</v>
      </c>
      <c r="K5" s="38">
        <f>Electric!H14*400</f>
        <v>18280.000000000291</v>
      </c>
      <c r="L5" s="28">
        <f>Gas!F11</f>
        <v>478</v>
      </c>
      <c r="M5" s="30">
        <v>0.99</v>
      </c>
      <c r="N5" s="28">
        <f>Water!F11</f>
        <v>170</v>
      </c>
      <c r="O5" s="31">
        <v>2.35</v>
      </c>
      <c r="P5" s="35">
        <v>151</v>
      </c>
      <c r="Q5" s="35">
        <v>323</v>
      </c>
    </row>
    <row r="6" spans="1:29" x14ac:dyDescent="0.25">
      <c r="A6" s="24" t="s">
        <v>17</v>
      </c>
      <c r="B6" s="22">
        <f t="shared" si="3"/>
        <v>5</v>
      </c>
      <c r="C6" s="14">
        <v>1</v>
      </c>
      <c r="D6" s="26">
        <v>2021</v>
      </c>
      <c r="E6" s="40">
        <f t="shared" si="0"/>
        <v>2580</v>
      </c>
      <c r="F6" s="41">
        <v>0.106418</v>
      </c>
      <c r="G6" s="11">
        <f t="shared" si="1"/>
        <v>5332</v>
      </c>
      <c r="H6" s="11">
        <v>0.106418</v>
      </c>
      <c r="I6" s="42">
        <f t="shared" si="2"/>
        <v>9288</v>
      </c>
      <c r="J6" s="42">
        <v>7.1932999999999997E-2</v>
      </c>
      <c r="K6" s="38">
        <f>Electric!H15*400</f>
        <v>17200</v>
      </c>
      <c r="L6" s="28">
        <f>Gas!F12</f>
        <v>416</v>
      </c>
      <c r="M6" s="30">
        <v>0.99</v>
      </c>
      <c r="N6" s="28">
        <f>Water!F12</f>
        <v>147</v>
      </c>
      <c r="O6" s="31">
        <v>2.35</v>
      </c>
      <c r="P6" s="35">
        <v>167</v>
      </c>
      <c r="Q6" s="35">
        <v>353</v>
      </c>
    </row>
    <row r="7" spans="1:29" x14ac:dyDescent="0.25">
      <c r="A7" s="24" t="s">
        <v>17</v>
      </c>
      <c r="B7" s="22">
        <f t="shared" si="3"/>
        <v>6</v>
      </c>
      <c r="C7" s="14">
        <v>1</v>
      </c>
      <c r="D7" s="26">
        <v>2021</v>
      </c>
      <c r="E7" s="40">
        <f t="shared" si="0"/>
        <v>2417.9999999999563</v>
      </c>
      <c r="F7" s="41">
        <v>0.106418</v>
      </c>
      <c r="G7" s="11">
        <f t="shared" si="1"/>
        <v>4997.1999999999098</v>
      </c>
      <c r="H7" s="11">
        <v>0.106418</v>
      </c>
      <c r="I7" s="42">
        <f t="shared" si="2"/>
        <v>8704.7999999998428</v>
      </c>
      <c r="J7" s="42">
        <v>7.1932999999999997E-2</v>
      </c>
      <c r="K7" s="38">
        <f>Electric!H16*400</f>
        <v>16119.999999999709</v>
      </c>
      <c r="L7" s="28">
        <f>Gas!F13</f>
        <v>446</v>
      </c>
      <c r="M7" s="30">
        <v>0.99</v>
      </c>
      <c r="N7" s="28">
        <f>Water!F13</f>
        <v>123</v>
      </c>
      <c r="O7" s="31">
        <v>2.35</v>
      </c>
      <c r="P7" s="35">
        <v>166</v>
      </c>
      <c r="Q7" s="35">
        <v>340</v>
      </c>
    </row>
    <row r="8" spans="1:29" x14ac:dyDescent="0.25">
      <c r="A8" s="24" t="s">
        <v>17</v>
      </c>
      <c r="B8" s="22">
        <f t="shared" si="3"/>
        <v>7</v>
      </c>
      <c r="C8" s="14">
        <v>1</v>
      </c>
      <c r="D8" s="26">
        <v>2021</v>
      </c>
      <c r="E8" s="40">
        <f t="shared" si="0"/>
        <v>2046.0000000000218</v>
      </c>
      <c r="F8" s="41">
        <v>0.106418</v>
      </c>
      <c r="G8" s="11">
        <f t="shared" si="1"/>
        <v>4228.4000000000451</v>
      </c>
      <c r="H8" s="11">
        <v>0.106418</v>
      </c>
      <c r="I8" s="42">
        <f t="shared" si="2"/>
        <v>7365.6000000000786</v>
      </c>
      <c r="J8" s="42">
        <v>7.1932999999999997E-2</v>
      </c>
      <c r="K8" s="38">
        <f>Electric!H17*400</f>
        <v>13640.000000000146</v>
      </c>
      <c r="L8" s="28">
        <f>Gas!F14</f>
        <v>394</v>
      </c>
      <c r="M8" s="30">
        <v>0.99</v>
      </c>
      <c r="N8" s="28">
        <f>Water!F14</f>
        <v>128</v>
      </c>
      <c r="O8" s="31">
        <v>2.35</v>
      </c>
      <c r="P8" s="35">
        <v>154</v>
      </c>
      <c r="Q8" s="35">
        <v>306</v>
      </c>
    </row>
    <row r="9" spans="1:29" x14ac:dyDescent="0.25">
      <c r="A9" s="24" t="s">
        <v>17</v>
      </c>
      <c r="B9" s="22">
        <f t="shared" si="3"/>
        <v>8</v>
      </c>
      <c r="C9" s="14">
        <v>1</v>
      </c>
      <c r="D9" s="26">
        <v>2021</v>
      </c>
      <c r="E9" s="40">
        <f t="shared" si="0"/>
        <v>2226.0000000000218</v>
      </c>
      <c r="F9" s="41">
        <v>0.106418</v>
      </c>
      <c r="G9" s="11">
        <f t="shared" si="1"/>
        <v>4600.4000000000451</v>
      </c>
      <c r="H9" s="11">
        <v>0.106418</v>
      </c>
      <c r="I9" s="42">
        <f t="shared" si="2"/>
        <v>8013.6000000000786</v>
      </c>
      <c r="J9" s="42">
        <v>7.1932999999999997E-2</v>
      </c>
      <c r="K9" s="38">
        <f>Electric!H18*400</f>
        <v>14840.000000000146</v>
      </c>
      <c r="L9" s="28">
        <f>Gas!F15</f>
        <v>443</v>
      </c>
      <c r="M9" s="30">
        <v>0.99</v>
      </c>
      <c r="N9" s="28">
        <f>Water!F15</f>
        <v>149</v>
      </c>
      <c r="O9" s="31">
        <v>2.35</v>
      </c>
      <c r="P9" s="35">
        <v>239</v>
      </c>
      <c r="Q9" s="35">
        <v>482</v>
      </c>
    </row>
    <row r="10" spans="1:29" x14ac:dyDescent="0.25">
      <c r="A10" s="24" t="s">
        <v>17</v>
      </c>
      <c r="B10" s="22">
        <f t="shared" si="3"/>
        <v>9</v>
      </c>
      <c r="C10" s="14">
        <v>1</v>
      </c>
      <c r="D10" s="26">
        <v>2021</v>
      </c>
      <c r="E10" s="40">
        <f t="shared" si="0"/>
        <v>2687.9999999999563</v>
      </c>
      <c r="F10" s="41">
        <v>0.106418</v>
      </c>
      <c r="G10" s="11">
        <f t="shared" si="1"/>
        <v>5555.1999999999098</v>
      </c>
      <c r="H10" s="11">
        <v>0.106418</v>
      </c>
      <c r="I10" s="42">
        <f t="shared" si="2"/>
        <v>9676.7999999998428</v>
      </c>
      <c r="J10" s="42">
        <v>7.1932999999999997E-2</v>
      </c>
      <c r="K10" s="38">
        <f>Electric!H19*400</f>
        <v>17919.999999999709</v>
      </c>
      <c r="L10" s="28">
        <f>Gas!F16</f>
        <v>500</v>
      </c>
      <c r="M10" s="30">
        <v>0.99</v>
      </c>
      <c r="N10" s="28">
        <f>Water!F16</f>
        <v>147</v>
      </c>
      <c r="O10" s="31">
        <v>2.35</v>
      </c>
      <c r="P10" s="35">
        <v>318</v>
      </c>
      <c r="Q10" s="35">
        <v>647</v>
      </c>
    </row>
    <row r="11" spans="1:29" x14ac:dyDescent="0.25">
      <c r="A11" s="24" t="s">
        <v>17</v>
      </c>
      <c r="B11" s="22">
        <f t="shared" si="3"/>
        <v>10</v>
      </c>
      <c r="C11" s="14">
        <v>1</v>
      </c>
      <c r="D11" s="26">
        <v>2021</v>
      </c>
      <c r="E11" s="40">
        <f t="shared" si="0"/>
        <v>2556.0000000000218</v>
      </c>
      <c r="F11" s="41">
        <v>0.106418</v>
      </c>
      <c r="G11" s="11">
        <f t="shared" si="1"/>
        <v>5282.4000000000451</v>
      </c>
      <c r="H11" s="11">
        <v>0.106418</v>
      </c>
      <c r="I11" s="42">
        <f t="shared" si="2"/>
        <v>9201.6000000000786</v>
      </c>
      <c r="J11" s="42">
        <v>7.1932999999999997E-2</v>
      </c>
      <c r="K11" s="38">
        <f>Electric!H20*400</f>
        <v>17040.000000000146</v>
      </c>
      <c r="L11" s="28">
        <f>Gas!F17</f>
        <v>463</v>
      </c>
      <c r="M11" s="30">
        <v>0.99</v>
      </c>
      <c r="N11" s="28">
        <f>Water!F17</f>
        <v>138</v>
      </c>
      <c r="O11" s="31">
        <v>2.35</v>
      </c>
      <c r="P11" s="35">
        <v>110</v>
      </c>
      <c r="Q11" s="35">
        <v>223</v>
      </c>
    </row>
    <row r="12" spans="1:29" x14ac:dyDescent="0.25">
      <c r="A12" s="24" t="s">
        <v>17</v>
      </c>
      <c r="B12" s="22">
        <f t="shared" si="3"/>
        <v>11</v>
      </c>
      <c r="C12" s="14">
        <v>1</v>
      </c>
      <c r="D12" s="26">
        <v>2021</v>
      </c>
      <c r="E12" s="40">
        <f t="shared" si="0"/>
        <v>2010</v>
      </c>
      <c r="F12" s="41">
        <v>0.106418</v>
      </c>
      <c r="G12" s="11">
        <f t="shared" si="1"/>
        <v>4154</v>
      </c>
      <c r="H12" s="11">
        <v>0.106418</v>
      </c>
      <c r="I12" s="42">
        <f t="shared" si="2"/>
        <v>7236</v>
      </c>
      <c r="J12" s="42">
        <v>7.1932999999999997E-2</v>
      </c>
      <c r="K12" s="38">
        <f>Electric!H21*400</f>
        <v>13400</v>
      </c>
      <c r="L12" s="28">
        <f>Gas!F18</f>
        <v>356</v>
      </c>
      <c r="M12" s="30">
        <v>0.99</v>
      </c>
      <c r="N12" s="28">
        <f>Water!F18</f>
        <v>98</v>
      </c>
      <c r="O12" s="31">
        <v>2.35</v>
      </c>
      <c r="P12" s="35">
        <v>83</v>
      </c>
      <c r="Q12" s="35">
        <v>167</v>
      </c>
    </row>
    <row r="13" spans="1:29" x14ac:dyDescent="0.25">
      <c r="A13" s="24" t="s">
        <v>17</v>
      </c>
      <c r="B13" s="22">
        <f t="shared" si="3"/>
        <v>12</v>
      </c>
      <c r="C13" s="14">
        <v>1</v>
      </c>
      <c r="D13" s="26">
        <v>2021</v>
      </c>
      <c r="E13" s="40">
        <f t="shared" si="0"/>
        <v>2232.0000000000437</v>
      </c>
      <c r="F13" s="41">
        <v>0.106418</v>
      </c>
      <c r="G13" s="11">
        <f t="shared" si="1"/>
        <v>4612.8000000000902</v>
      </c>
      <c r="H13" s="11">
        <v>0.106418</v>
      </c>
      <c r="I13" s="42">
        <f t="shared" si="2"/>
        <v>8035.2000000001572</v>
      </c>
      <c r="J13" s="42">
        <v>7.1932999999999997E-2</v>
      </c>
      <c r="K13" s="38">
        <f>Electric!H22*400</f>
        <v>14880.000000000291</v>
      </c>
      <c r="L13" s="28">
        <f>Gas!F19</f>
        <v>376</v>
      </c>
      <c r="M13" s="30">
        <v>0.99</v>
      </c>
      <c r="N13" s="28">
        <f>Water!F19</f>
        <v>117</v>
      </c>
      <c r="O13" s="31">
        <v>2.35</v>
      </c>
      <c r="P13" s="35">
        <v>80</v>
      </c>
      <c r="Q13" s="35">
        <v>155</v>
      </c>
    </row>
    <row r="14" spans="1:29" x14ac:dyDescent="0.25">
      <c r="A14" s="24" t="s">
        <v>17</v>
      </c>
      <c r="B14" s="22">
        <f t="shared" si="3"/>
        <v>13</v>
      </c>
      <c r="C14" s="14">
        <v>1</v>
      </c>
      <c r="D14" s="26">
        <v>2021</v>
      </c>
      <c r="E14" s="40">
        <f t="shared" si="0"/>
        <v>2711.9999999999345</v>
      </c>
      <c r="F14" s="41">
        <v>0.106418</v>
      </c>
      <c r="G14" s="11">
        <f t="shared" si="1"/>
        <v>5604.7999999998647</v>
      </c>
      <c r="H14" s="11">
        <v>0.106418</v>
      </c>
      <c r="I14" s="42">
        <f t="shared" si="2"/>
        <v>9763.1999999997643</v>
      </c>
      <c r="J14" s="42">
        <v>7.1932999999999997E-2</v>
      </c>
      <c r="K14" s="38">
        <f>Electric!H23*400</f>
        <v>18079.999999999563</v>
      </c>
      <c r="L14" s="28">
        <f>Gas!F20</f>
        <v>427</v>
      </c>
      <c r="M14" s="30">
        <v>0.99</v>
      </c>
      <c r="N14" s="28">
        <f>Water!F20</f>
        <v>124</v>
      </c>
      <c r="O14" s="31">
        <v>2.35</v>
      </c>
      <c r="P14" s="35">
        <v>110</v>
      </c>
      <c r="Q14" s="35">
        <v>217</v>
      </c>
    </row>
    <row r="15" spans="1:29" x14ac:dyDescent="0.25">
      <c r="A15" s="24" t="s">
        <v>17</v>
      </c>
      <c r="B15" s="22">
        <f t="shared" si="3"/>
        <v>14</v>
      </c>
      <c r="C15" s="14">
        <v>1</v>
      </c>
      <c r="D15" s="26">
        <v>2021</v>
      </c>
      <c r="E15" s="40">
        <f t="shared" si="0"/>
        <v>2454.0000000000873</v>
      </c>
      <c r="F15" s="41">
        <v>0.106418</v>
      </c>
      <c r="G15" s="11">
        <f t="shared" si="1"/>
        <v>5071.6000000001804</v>
      </c>
      <c r="H15" s="11">
        <v>0.106418</v>
      </c>
      <c r="I15" s="42">
        <f t="shared" si="2"/>
        <v>8834.4000000003143</v>
      </c>
      <c r="J15" s="42">
        <v>7.1932999999999997E-2</v>
      </c>
      <c r="K15" s="38">
        <f>Electric!H24*400</f>
        <v>16360.000000000582</v>
      </c>
      <c r="L15" s="28">
        <f>Gas!F21</f>
        <v>376</v>
      </c>
      <c r="M15" s="30">
        <v>0.99</v>
      </c>
      <c r="N15" s="28">
        <f>Water!F21</f>
        <v>126</v>
      </c>
      <c r="O15" s="31">
        <v>2.35</v>
      </c>
      <c r="P15" s="35">
        <v>99</v>
      </c>
      <c r="Q15" s="35">
        <v>199</v>
      </c>
    </row>
    <row r="16" spans="1:29" x14ac:dyDescent="0.25">
      <c r="A16" s="24" t="s">
        <v>17</v>
      </c>
      <c r="B16" s="22">
        <f t="shared" si="3"/>
        <v>15</v>
      </c>
      <c r="C16" s="14">
        <v>1</v>
      </c>
      <c r="D16" s="26">
        <v>2021</v>
      </c>
      <c r="E16" s="40">
        <f t="shared" si="0"/>
        <v>2465.9999999999127</v>
      </c>
      <c r="F16" s="41">
        <v>0.106418</v>
      </c>
      <c r="G16" s="11">
        <f t="shared" si="1"/>
        <v>5096.3999999998196</v>
      </c>
      <c r="H16" s="11">
        <v>0.106418</v>
      </c>
      <c r="I16" s="42">
        <f t="shared" si="2"/>
        <v>8877.5999999996857</v>
      </c>
      <c r="J16" s="42">
        <v>7.1932999999999997E-2</v>
      </c>
      <c r="K16" s="38">
        <f>Electric!H25*400</f>
        <v>16439.999999999418</v>
      </c>
      <c r="L16" s="28">
        <f>Gas!F22</f>
        <v>395</v>
      </c>
      <c r="M16" s="30">
        <v>0.99</v>
      </c>
      <c r="N16" s="28">
        <f>Water!F22</f>
        <v>125</v>
      </c>
      <c r="O16" s="31">
        <v>2.35</v>
      </c>
      <c r="P16" s="35">
        <v>179</v>
      </c>
      <c r="Q16" s="35">
        <v>357</v>
      </c>
    </row>
    <row r="17" spans="1:17" x14ac:dyDescent="0.25">
      <c r="A17" s="24" t="s">
        <v>17</v>
      </c>
      <c r="B17" s="22">
        <f t="shared" si="3"/>
        <v>16</v>
      </c>
      <c r="C17" s="14">
        <v>1</v>
      </c>
      <c r="D17" s="26">
        <v>2021</v>
      </c>
      <c r="E17" s="40">
        <f t="shared" si="0"/>
        <v>2910</v>
      </c>
      <c r="F17" s="41">
        <v>0.106418</v>
      </c>
      <c r="G17" s="11">
        <f t="shared" si="1"/>
        <v>6014</v>
      </c>
      <c r="H17" s="11">
        <v>0.106418</v>
      </c>
      <c r="I17" s="42">
        <f t="shared" si="2"/>
        <v>10476</v>
      </c>
      <c r="J17" s="42">
        <v>7.1932999999999997E-2</v>
      </c>
      <c r="K17" s="38">
        <f>Electric!H26*400</f>
        <v>19400</v>
      </c>
      <c r="L17" s="28">
        <f>Gas!F23</f>
        <v>542</v>
      </c>
      <c r="M17" s="30">
        <v>0.99</v>
      </c>
      <c r="N17" s="28">
        <f>Water!F23</f>
        <v>161</v>
      </c>
      <c r="O17" s="31">
        <v>2.35</v>
      </c>
      <c r="P17" s="35">
        <v>319</v>
      </c>
      <c r="Q17" s="35">
        <v>644</v>
      </c>
    </row>
    <row r="18" spans="1:17" x14ac:dyDescent="0.25">
      <c r="A18" s="24" t="s">
        <v>17</v>
      </c>
      <c r="B18" s="22">
        <f t="shared" si="3"/>
        <v>17</v>
      </c>
      <c r="C18" s="14">
        <v>1</v>
      </c>
      <c r="D18" s="26">
        <v>2021</v>
      </c>
      <c r="E18" s="40">
        <f t="shared" si="0"/>
        <v>1877.9999999999563</v>
      </c>
      <c r="F18" s="41">
        <v>0.106418</v>
      </c>
      <c r="G18" s="11">
        <f t="shared" si="1"/>
        <v>3881.1999999999098</v>
      </c>
      <c r="H18" s="11">
        <v>0.106418</v>
      </c>
      <c r="I18" s="42">
        <f t="shared" si="2"/>
        <v>6760.7999999998428</v>
      </c>
      <c r="J18" s="42">
        <v>7.1932999999999997E-2</v>
      </c>
      <c r="K18" s="38">
        <f>Electric!H27*400</f>
        <v>12519.999999999709</v>
      </c>
      <c r="L18" s="28">
        <f>Gas!F24</f>
        <v>352</v>
      </c>
      <c r="M18" s="30">
        <v>0.99</v>
      </c>
      <c r="N18" s="28">
        <f>Water!F24</f>
        <v>153</v>
      </c>
      <c r="O18" s="31">
        <v>2.35</v>
      </c>
      <c r="P18" s="35">
        <v>84</v>
      </c>
      <c r="Q18" s="35">
        <v>160</v>
      </c>
    </row>
    <row r="19" spans="1:17" x14ac:dyDescent="0.25">
      <c r="A19" s="24" t="s">
        <v>17</v>
      </c>
      <c r="B19" s="22">
        <f t="shared" si="3"/>
        <v>18</v>
      </c>
      <c r="C19" s="14">
        <v>1</v>
      </c>
      <c r="D19" s="26">
        <v>2021</v>
      </c>
      <c r="E19" s="40">
        <f t="shared" si="0"/>
        <v>2334.0000000000873</v>
      </c>
      <c r="F19" s="41">
        <v>0.106418</v>
      </c>
      <c r="G19" s="11">
        <f t="shared" si="1"/>
        <v>4823.6000000001804</v>
      </c>
      <c r="H19" s="11">
        <v>0.106418</v>
      </c>
      <c r="I19" s="42">
        <f t="shared" si="2"/>
        <v>8402.4000000003143</v>
      </c>
      <c r="J19" s="42">
        <v>7.1932999999999997E-2</v>
      </c>
      <c r="K19" s="38">
        <f>Electric!H28*400</f>
        <v>15560.000000000582</v>
      </c>
      <c r="L19" s="28">
        <f>Gas!F25</f>
        <v>391</v>
      </c>
      <c r="M19" s="30">
        <v>0.99</v>
      </c>
      <c r="N19" s="28">
        <f>Water!F25</f>
        <v>89</v>
      </c>
      <c r="O19" s="31">
        <v>2.35</v>
      </c>
      <c r="P19" s="35">
        <v>62</v>
      </c>
      <c r="Q19" s="35">
        <v>109</v>
      </c>
    </row>
    <row r="20" spans="1:17" x14ac:dyDescent="0.25">
      <c r="A20" s="24" t="s">
        <v>17</v>
      </c>
      <c r="B20" s="22">
        <f t="shared" si="3"/>
        <v>19</v>
      </c>
      <c r="C20" s="14">
        <v>1</v>
      </c>
      <c r="D20" s="26">
        <v>2021</v>
      </c>
      <c r="E20" s="40">
        <f t="shared" si="0"/>
        <v>2286.0000000000218</v>
      </c>
      <c r="F20" s="41">
        <v>0.106418</v>
      </c>
      <c r="G20" s="11">
        <f t="shared" si="1"/>
        <v>4724.4000000000451</v>
      </c>
      <c r="H20" s="11">
        <v>0.106418</v>
      </c>
      <c r="I20" s="42">
        <f t="shared" si="2"/>
        <v>8229.6000000000786</v>
      </c>
      <c r="J20" s="42">
        <v>7.1932999999999997E-2</v>
      </c>
      <c r="K20" s="38">
        <f>Electric!H29*400</f>
        <v>15240.000000000146</v>
      </c>
      <c r="L20" s="28">
        <f>Gas!F26</f>
        <v>393</v>
      </c>
      <c r="M20" s="30">
        <v>0.99</v>
      </c>
      <c r="N20" s="28">
        <f>Water!F26</f>
        <v>105</v>
      </c>
      <c r="O20" s="31">
        <v>2.35</v>
      </c>
      <c r="P20" s="35">
        <v>58</v>
      </c>
      <c r="Q20" s="35">
        <v>103</v>
      </c>
    </row>
    <row r="21" spans="1:17" x14ac:dyDescent="0.25">
      <c r="A21" s="24" t="s">
        <v>17</v>
      </c>
      <c r="B21" s="22">
        <f t="shared" si="3"/>
        <v>20</v>
      </c>
      <c r="C21" s="14">
        <v>1</v>
      </c>
      <c r="D21" s="26">
        <v>2021</v>
      </c>
      <c r="E21" s="40">
        <f t="shared" si="0"/>
        <v>2136.0000000000218</v>
      </c>
      <c r="F21" s="41">
        <v>0.106418</v>
      </c>
      <c r="G21" s="11">
        <f t="shared" si="1"/>
        <v>4414.4000000000451</v>
      </c>
      <c r="H21" s="11">
        <v>0.106418</v>
      </c>
      <c r="I21" s="42">
        <f t="shared" si="2"/>
        <v>7689.6000000000786</v>
      </c>
      <c r="J21" s="42">
        <v>7.1932999999999997E-2</v>
      </c>
      <c r="K21" s="38">
        <f>Electric!H30*400</f>
        <v>14240.000000000146</v>
      </c>
      <c r="L21" s="28">
        <f>Gas!F27</f>
        <v>399</v>
      </c>
      <c r="M21" s="30">
        <v>0.99</v>
      </c>
      <c r="N21" s="28">
        <f>Water!F27</f>
        <v>83</v>
      </c>
      <c r="O21" s="31">
        <v>2.35</v>
      </c>
      <c r="P21" s="35">
        <v>76</v>
      </c>
      <c r="Q21" s="35">
        <v>144</v>
      </c>
    </row>
    <row r="22" spans="1:17" x14ac:dyDescent="0.25">
      <c r="A22" s="24" t="s">
        <v>17</v>
      </c>
      <c r="B22" s="22">
        <f t="shared" si="3"/>
        <v>21</v>
      </c>
      <c r="C22" s="14">
        <v>1</v>
      </c>
      <c r="D22" s="26">
        <v>2021</v>
      </c>
      <c r="E22" s="40">
        <f t="shared" si="0"/>
        <v>2160</v>
      </c>
      <c r="F22" s="41">
        <v>0.106418</v>
      </c>
      <c r="G22" s="11">
        <f t="shared" si="1"/>
        <v>4464</v>
      </c>
      <c r="H22" s="11">
        <v>0.106418</v>
      </c>
      <c r="I22" s="42">
        <f t="shared" si="2"/>
        <v>7776</v>
      </c>
      <c r="J22" s="42">
        <v>7.1932999999999997E-2</v>
      </c>
      <c r="K22" s="38">
        <f>Electric!H31*400</f>
        <v>14400</v>
      </c>
      <c r="L22" s="28">
        <f>Gas!F28</f>
        <v>396</v>
      </c>
      <c r="M22" s="30">
        <v>0.99</v>
      </c>
      <c r="N22" s="28">
        <f>Water!F28</f>
        <v>96</v>
      </c>
      <c r="O22" s="31">
        <v>2.35</v>
      </c>
      <c r="P22" s="35">
        <v>86</v>
      </c>
      <c r="Q22" s="35">
        <v>171</v>
      </c>
    </row>
    <row r="23" spans="1:17" x14ac:dyDescent="0.25">
      <c r="A23" s="24" t="s">
        <v>17</v>
      </c>
      <c r="B23" s="22">
        <f t="shared" si="3"/>
        <v>22</v>
      </c>
      <c r="C23" s="14">
        <v>1</v>
      </c>
      <c r="D23" s="26">
        <v>2021</v>
      </c>
      <c r="E23" s="40">
        <f t="shared" si="0"/>
        <v>2561.9999999999345</v>
      </c>
      <c r="F23" s="41">
        <v>0.106418</v>
      </c>
      <c r="G23" s="11">
        <f t="shared" si="1"/>
        <v>5294.7999999998647</v>
      </c>
      <c r="H23" s="11">
        <v>0.106418</v>
      </c>
      <c r="I23" s="42">
        <f t="shared" si="2"/>
        <v>9223.1999999997643</v>
      </c>
      <c r="J23" s="42">
        <v>7.1932999999999997E-2</v>
      </c>
      <c r="K23" s="38">
        <f>Electric!H32*400</f>
        <v>17079.999999999563</v>
      </c>
      <c r="L23" s="28">
        <f>Gas!F29</f>
        <v>415</v>
      </c>
      <c r="M23" s="30">
        <v>0.99</v>
      </c>
      <c r="N23" s="28">
        <f>Water!F29</f>
        <v>135</v>
      </c>
      <c r="O23" s="31">
        <v>2.35</v>
      </c>
      <c r="P23" s="35">
        <v>225</v>
      </c>
      <c r="Q23" s="35">
        <v>451</v>
      </c>
    </row>
    <row r="24" spans="1:17" x14ac:dyDescent="0.25">
      <c r="A24" s="24" t="s">
        <v>17</v>
      </c>
      <c r="B24" s="22">
        <f t="shared" si="3"/>
        <v>23</v>
      </c>
      <c r="C24" s="14">
        <v>1</v>
      </c>
      <c r="D24" s="26">
        <v>2021</v>
      </c>
      <c r="E24" s="40">
        <f t="shared" si="0"/>
        <v>3060</v>
      </c>
      <c r="F24" s="41">
        <v>0.106418</v>
      </c>
      <c r="G24" s="11">
        <f t="shared" si="1"/>
        <v>6324</v>
      </c>
      <c r="H24" s="11">
        <v>0.106418</v>
      </c>
      <c r="I24" s="42">
        <f t="shared" si="2"/>
        <v>11016</v>
      </c>
      <c r="J24" s="42">
        <v>7.1932999999999997E-2</v>
      </c>
      <c r="K24" s="38">
        <f>Electric!H33*400</f>
        <v>20400</v>
      </c>
      <c r="L24" s="28">
        <f>Gas!F30</f>
        <v>481</v>
      </c>
      <c r="M24" s="30">
        <v>0.99</v>
      </c>
      <c r="N24" s="28">
        <f>Water!F30</f>
        <v>205</v>
      </c>
      <c r="O24" s="31">
        <v>2.35</v>
      </c>
      <c r="P24" s="35">
        <v>495</v>
      </c>
      <c r="Q24" s="35">
        <v>999</v>
      </c>
    </row>
    <row r="25" spans="1:17" x14ac:dyDescent="0.25">
      <c r="A25" s="24" t="s">
        <v>17</v>
      </c>
      <c r="B25" s="22">
        <f t="shared" si="3"/>
        <v>24</v>
      </c>
      <c r="C25" s="14">
        <v>1</v>
      </c>
      <c r="D25" s="26">
        <v>2021</v>
      </c>
      <c r="E25" s="40">
        <f t="shared" si="0"/>
        <v>2748.0000000000655</v>
      </c>
      <c r="F25" s="41">
        <v>0.106418</v>
      </c>
      <c r="G25" s="11">
        <f t="shared" si="1"/>
        <v>5679.2000000001353</v>
      </c>
      <c r="H25" s="11">
        <v>0.106418</v>
      </c>
      <c r="I25" s="42">
        <f t="shared" si="2"/>
        <v>9892.8000000002357</v>
      </c>
      <c r="J25" s="42">
        <v>7.1932999999999997E-2</v>
      </c>
      <c r="K25" s="38">
        <f>Electric!H34*400</f>
        <v>18320.000000000437</v>
      </c>
      <c r="L25" s="28">
        <f>Gas!F31</f>
        <v>441</v>
      </c>
      <c r="M25" s="30">
        <v>0.99</v>
      </c>
      <c r="N25" s="28">
        <f>Water!F31</f>
        <v>223</v>
      </c>
      <c r="O25" s="31">
        <v>2.35</v>
      </c>
      <c r="P25" s="35">
        <v>284</v>
      </c>
      <c r="Q25" s="35">
        <v>567</v>
      </c>
    </row>
    <row r="26" spans="1:17" x14ac:dyDescent="0.25">
      <c r="A26" s="24" t="s">
        <v>17</v>
      </c>
      <c r="B26" s="22">
        <f>B25+1</f>
        <v>25</v>
      </c>
      <c r="C26" s="14">
        <v>1</v>
      </c>
      <c r="D26" s="26">
        <v>2021</v>
      </c>
      <c r="E26" s="40">
        <f t="shared" si="0"/>
        <v>2861.9999999999345</v>
      </c>
      <c r="F26" s="41">
        <v>0.106418</v>
      </c>
      <c r="G26" s="11">
        <f t="shared" si="1"/>
        <v>5914.7999999998647</v>
      </c>
      <c r="H26" s="11">
        <v>0.106418</v>
      </c>
      <c r="I26" s="42">
        <f t="shared" si="2"/>
        <v>10303.199999999764</v>
      </c>
      <c r="J26" s="42">
        <v>7.1932999999999997E-2</v>
      </c>
      <c r="K26" s="38">
        <f>Electric!H35*400</f>
        <v>19079.999999999563</v>
      </c>
      <c r="L26" s="28">
        <f>Gas!F32</f>
        <v>435</v>
      </c>
      <c r="M26" s="30">
        <v>0.99</v>
      </c>
      <c r="N26" s="28">
        <f>Water!F32</f>
        <v>201</v>
      </c>
      <c r="O26" s="31">
        <v>2.35</v>
      </c>
      <c r="P26" s="35">
        <v>245</v>
      </c>
      <c r="Q26" s="35">
        <v>501</v>
      </c>
    </row>
    <row r="27" spans="1:17" x14ac:dyDescent="0.25">
      <c r="A27" s="24" t="s">
        <v>17</v>
      </c>
      <c r="B27" s="22">
        <f t="shared" si="3"/>
        <v>26</v>
      </c>
      <c r="C27" s="14">
        <v>1</v>
      </c>
      <c r="D27" s="26">
        <v>2021</v>
      </c>
      <c r="E27" s="40">
        <f t="shared" si="0"/>
        <v>2693.9999999999782</v>
      </c>
      <c r="F27" s="41">
        <v>0.106418</v>
      </c>
      <c r="G27" s="11">
        <f t="shared" si="1"/>
        <v>5567.5999999999549</v>
      </c>
      <c r="H27" s="11">
        <v>0.106418</v>
      </c>
      <c r="I27" s="42">
        <f t="shared" si="2"/>
        <v>9698.3999999999214</v>
      </c>
      <c r="J27" s="42">
        <v>7.1932999999999997E-2</v>
      </c>
      <c r="K27" s="38">
        <f>Electric!H36*400</f>
        <v>17959.999999999854</v>
      </c>
      <c r="L27" s="28">
        <f>Gas!F33</f>
        <v>452</v>
      </c>
      <c r="M27" s="30">
        <v>0.99</v>
      </c>
      <c r="N27" s="28">
        <f>Water!F33</f>
        <v>166</v>
      </c>
      <c r="O27" s="31">
        <v>2.35</v>
      </c>
      <c r="P27" s="35">
        <v>122</v>
      </c>
      <c r="Q27" s="35">
        <v>245</v>
      </c>
    </row>
    <row r="28" spans="1:17" x14ac:dyDescent="0.25">
      <c r="A28" s="24" t="s">
        <v>17</v>
      </c>
      <c r="B28" s="22">
        <f t="shared" si="3"/>
        <v>27</v>
      </c>
      <c r="C28" s="14">
        <v>1</v>
      </c>
      <c r="D28" s="26">
        <v>2021</v>
      </c>
      <c r="E28" s="40">
        <f t="shared" si="0"/>
        <v>3060</v>
      </c>
      <c r="F28" s="41">
        <v>0.106418</v>
      </c>
      <c r="G28" s="11">
        <f t="shared" si="1"/>
        <v>6324</v>
      </c>
      <c r="H28" s="11">
        <v>0.106418</v>
      </c>
      <c r="I28" s="42">
        <f t="shared" si="2"/>
        <v>11016</v>
      </c>
      <c r="J28" s="42">
        <v>7.1932999999999997E-2</v>
      </c>
      <c r="K28" s="38">
        <f>Electric!H37*400</f>
        <v>20400</v>
      </c>
      <c r="L28" s="28">
        <f>Gas!F34</f>
        <v>459</v>
      </c>
      <c r="M28" s="30">
        <v>0.99</v>
      </c>
      <c r="N28" s="28">
        <f>Water!F34</f>
        <v>154</v>
      </c>
      <c r="O28" s="31">
        <v>2.35</v>
      </c>
      <c r="P28" s="35">
        <v>59</v>
      </c>
      <c r="Q28" s="35">
        <v>107</v>
      </c>
    </row>
    <row r="29" spans="1:17" x14ac:dyDescent="0.25">
      <c r="A29" s="24" t="s">
        <v>17</v>
      </c>
      <c r="B29" s="22">
        <f t="shared" si="3"/>
        <v>28</v>
      </c>
      <c r="C29" s="14">
        <v>1</v>
      </c>
      <c r="D29" s="26">
        <v>2021</v>
      </c>
      <c r="E29" s="40">
        <f t="shared" si="0"/>
        <v>1932.0000000000437</v>
      </c>
      <c r="F29" s="41">
        <v>0.106418</v>
      </c>
      <c r="G29" s="11">
        <f t="shared" si="1"/>
        <v>3992.8000000000902</v>
      </c>
      <c r="H29" s="11">
        <v>0.106418</v>
      </c>
      <c r="I29" s="42">
        <f t="shared" si="2"/>
        <v>6955.2000000001572</v>
      </c>
      <c r="J29" s="42">
        <v>7.1932999999999997E-2</v>
      </c>
      <c r="K29" s="38">
        <f>Electric!H38*400</f>
        <v>12880.000000000291</v>
      </c>
      <c r="L29" s="28">
        <f>Gas!F35</f>
        <v>324</v>
      </c>
      <c r="M29" s="30">
        <v>0.99</v>
      </c>
      <c r="N29" s="28">
        <f>Water!F35</f>
        <v>91</v>
      </c>
      <c r="O29" s="31">
        <v>2.35</v>
      </c>
      <c r="P29" s="35">
        <v>61</v>
      </c>
      <c r="Q29" s="35">
        <v>115</v>
      </c>
    </row>
    <row r="30" spans="1:17" x14ac:dyDescent="0.25">
      <c r="A30" s="24" t="s">
        <v>17</v>
      </c>
      <c r="B30" s="22">
        <f t="shared" si="3"/>
        <v>29</v>
      </c>
      <c r="C30" s="14">
        <v>1</v>
      </c>
      <c r="D30" s="26">
        <v>2021</v>
      </c>
      <c r="E30" s="40">
        <f t="shared" si="0"/>
        <v>2850</v>
      </c>
      <c r="F30" s="41">
        <v>0.106418</v>
      </c>
      <c r="G30" s="11">
        <f t="shared" si="1"/>
        <v>5890</v>
      </c>
      <c r="H30" s="11">
        <v>0.106418</v>
      </c>
      <c r="I30" s="42">
        <f t="shared" si="2"/>
        <v>10260</v>
      </c>
      <c r="J30" s="42">
        <v>7.1932999999999997E-2</v>
      </c>
      <c r="K30" s="38">
        <f>Electric!H39*400</f>
        <v>19000</v>
      </c>
      <c r="L30" s="28">
        <f>Gas!F36</f>
        <v>480</v>
      </c>
      <c r="M30" s="30">
        <v>0.99</v>
      </c>
      <c r="N30" s="28">
        <f>Water!F36</f>
        <v>146</v>
      </c>
      <c r="O30" s="31">
        <v>2.35</v>
      </c>
      <c r="P30" s="35">
        <v>154</v>
      </c>
      <c r="Q30" s="35">
        <v>296</v>
      </c>
    </row>
    <row r="31" spans="1:17" x14ac:dyDescent="0.25">
      <c r="A31" s="24" t="s">
        <v>17</v>
      </c>
      <c r="B31" s="22">
        <f t="shared" si="3"/>
        <v>30</v>
      </c>
      <c r="C31" s="14">
        <v>1</v>
      </c>
      <c r="D31" s="26">
        <v>2021</v>
      </c>
      <c r="E31" s="40">
        <f t="shared" si="0"/>
        <v>2280</v>
      </c>
      <c r="F31" s="41">
        <v>0.106418</v>
      </c>
      <c r="G31" s="11">
        <f t="shared" si="1"/>
        <v>4712</v>
      </c>
      <c r="H31" s="11">
        <v>0.106418</v>
      </c>
      <c r="I31" s="42">
        <f t="shared" si="2"/>
        <v>8208</v>
      </c>
      <c r="J31" s="42">
        <v>7.1932999999999997E-2</v>
      </c>
      <c r="K31" s="38">
        <f>Electric!H40*400</f>
        <v>15200</v>
      </c>
      <c r="L31" s="28">
        <f>Gas!F37</f>
        <v>385</v>
      </c>
      <c r="M31" s="30">
        <v>0.99</v>
      </c>
      <c r="N31" s="28">
        <f>Water!F37</f>
        <v>152</v>
      </c>
      <c r="O31" s="31">
        <v>2.35</v>
      </c>
      <c r="P31" s="35">
        <v>335</v>
      </c>
      <c r="Q31" s="35">
        <v>655</v>
      </c>
    </row>
    <row r="32" spans="1:17" x14ac:dyDescent="0.25">
      <c r="A32" s="24" t="s">
        <v>17</v>
      </c>
      <c r="B32" s="22">
        <f t="shared" si="3"/>
        <v>31</v>
      </c>
      <c r="C32" s="14">
        <v>1</v>
      </c>
      <c r="D32" s="26">
        <v>2021</v>
      </c>
      <c r="E32" s="40">
        <f t="shared" si="0"/>
        <v>2453.9999999999782</v>
      </c>
      <c r="F32" s="41">
        <v>0.106418</v>
      </c>
      <c r="G32" s="11">
        <f t="shared" si="1"/>
        <v>5071.5999999999549</v>
      </c>
      <c r="H32" s="11">
        <v>0.106418</v>
      </c>
      <c r="I32" s="42">
        <f t="shared" si="2"/>
        <v>8834.3999999999214</v>
      </c>
      <c r="J32" s="42">
        <v>7.1932999999999997E-2</v>
      </c>
      <c r="K32" s="38">
        <f>Electric!H41*400</f>
        <v>16359.999999999854</v>
      </c>
      <c r="L32" s="28">
        <f>Gas!F38</f>
        <v>429</v>
      </c>
      <c r="M32" s="30">
        <v>0.99</v>
      </c>
      <c r="N32" s="28">
        <f>Water!F38</f>
        <v>101</v>
      </c>
      <c r="O32" s="31">
        <v>2.35</v>
      </c>
      <c r="P32" s="35">
        <v>71</v>
      </c>
      <c r="Q32" s="35">
        <v>131</v>
      </c>
    </row>
    <row r="33" spans="1:17" x14ac:dyDescent="0.25">
      <c r="A33" s="24" t="s">
        <v>17</v>
      </c>
      <c r="B33" s="22">
        <v>1</v>
      </c>
      <c r="C33" s="14">
        <v>2</v>
      </c>
      <c r="D33" s="26">
        <v>2021</v>
      </c>
      <c r="E33" s="40">
        <f t="shared" si="0"/>
        <v>2856.0000000000218</v>
      </c>
      <c r="F33" s="41">
        <v>0.106418</v>
      </c>
      <c r="G33" s="11">
        <f t="shared" si="1"/>
        <v>5902.4000000000451</v>
      </c>
      <c r="H33" s="11">
        <v>0.106418</v>
      </c>
      <c r="I33" s="42">
        <f t="shared" si="2"/>
        <v>10281.600000000079</v>
      </c>
      <c r="J33" s="42">
        <v>7.1932999999999997E-2</v>
      </c>
      <c r="K33" s="39">
        <f>Electric!M11*400</f>
        <v>19040.000000000146</v>
      </c>
      <c r="L33" s="46">
        <f>Gas!I8</f>
        <v>482</v>
      </c>
      <c r="M33" s="30">
        <v>0.99</v>
      </c>
      <c r="N33" s="46">
        <f>Water!I8</f>
        <v>178</v>
      </c>
      <c r="O33" s="31">
        <v>2.35</v>
      </c>
      <c r="P33" s="36">
        <v>63</v>
      </c>
      <c r="Q33" s="36">
        <v>105</v>
      </c>
    </row>
    <row r="34" spans="1:17" x14ac:dyDescent="0.25">
      <c r="A34" s="24" t="s">
        <v>17</v>
      </c>
      <c r="B34" s="22">
        <v>2</v>
      </c>
      <c r="C34" s="14">
        <v>2</v>
      </c>
      <c r="D34" s="26">
        <v>2021</v>
      </c>
      <c r="E34" s="40">
        <f t="shared" si="0"/>
        <v>2160</v>
      </c>
      <c r="F34" s="41">
        <v>0.106418</v>
      </c>
      <c r="G34" s="11">
        <f t="shared" si="1"/>
        <v>4464</v>
      </c>
      <c r="H34" s="11">
        <v>0.106418</v>
      </c>
      <c r="I34" s="42">
        <f t="shared" si="2"/>
        <v>7776</v>
      </c>
      <c r="J34" s="42">
        <v>7.1932999999999997E-2</v>
      </c>
      <c r="K34" s="39">
        <f>Electric!M12*400</f>
        <v>14400</v>
      </c>
      <c r="L34" s="46">
        <f>Gas!I9</f>
        <v>401</v>
      </c>
      <c r="M34" s="30">
        <v>0.99</v>
      </c>
      <c r="N34" s="46">
        <f>Water!I9</f>
        <v>105</v>
      </c>
      <c r="O34" s="31">
        <v>2.35</v>
      </c>
      <c r="P34" s="36">
        <v>90</v>
      </c>
      <c r="Q34" s="36">
        <v>128</v>
      </c>
    </row>
    <row r="35" spans="1:17" x14ac:dyDescent="0.25">
      <c r="A35" s="24" t="s">
        <v>17</v>
      </c>
      <c r="B35" s="22">
        <v>3</v>
      </c>
      <c r="C35" s="14">
        <v>2</v>
      </c>
      <c r="D35" s="26">
        <v>2021</v>
      </c>
      <c r="E35" s="40">
        <f t="shared" si="0"/>
        <v>2033.9999999999782</v>
      </c>
      <c r="F35" s="41">
        <v>0.106418</v>
      </c>
      <c r="G35" s="11">
        <f t="shared" si="1"/>
        <v>4203.5999999999549</v>
      </c>
      <c r="H35" s="11">
        <v>0.106418</v>
      </c>
      <c r="I35" s="42">
        <f t="shared" si="2"/>
        <v>7322.3999999999214</v>
      </c>
      <c r="J35" s="42">
        <v>7.1932999999999997E-2</v>
      </c>
      <c r="K35" s="39">
        <f>Electric!M13*400</f>
        <v>13559.999999999854</v>
      </c>
      <c r="L35" s="46">
        <f>Gas!I10</f>
        <v>378</v>
      </c>
      <c r="M35" s="30">
        <v>0.99</v>
      </c>
      <c r="N35" s="46">
        <f>Water!I10</f>
        <v>109</v>
      </c>
      <c r="O35" s="31">
        <v>2.35</v>
      </c>
      <c r="P35" s="36">
        <v>118</v>
      </c>
      <c r="Q35" s="36">
        <v>171</v>
      </c>
    </row>
    <row r="36" spans="1:17" x14ac:dyDescent="0.25">
      <c r="A36" s="24" t="s">
        <v>17</v>
      </c>
      <c r="B36" s="22">
        <v>4</v>
      </c>
      <c r="C36" s="14">
        <v>2</v>
      </c>
      <c r="D36" s="26">
        <v>2021</v>
      </c>
      <c r="E36" s="40">
        <f t="shared" si="0"/>
        <v>2202.0000000000437</v>
      </c>
      <c r="F36" s="41">
        <v>0.106418</v>
      </c>
      <c r="G36" s="11">
        <f t="shared" si="1"/>
        <v>4550.8000000000902</v>
      </c>
      <c r="H36" s="11">
        <v>0.106418</v>
      </c>
      <c r="I36" s="42">
        <f t="shared" si="2"/>
        <v>7927.2000000001572</v>
      </c>
      <c r="J36" s="42">
        <v>7.1932999999999997E-2</v>
      </c>
      <c r="K36" s="39">
        <f>Electric!M14*400</f>
        <v>14680.000000000291</v>
      </c>
      <c r="L36" s="46">
        <f>Gas!I11</f>
        <v>356</v>
      </c>
      <c r="M36" s="30">
        <v>0.99</v>
      </c>
      <c r="N36" s="46">
        <f>Water!I11</f>
        <v>117</v>
      </c>
      <c r="O36" s="31">
        <v>2.35</v>
      </c>
      <c r="P36" s="36">
        <v>94</v>
      </c>
      <c r="Q36" s="36">
        <v>138</v>
      </c>
    </row>
    <row r="37" spans="1:17" x14ac:dyDescent="0.25">
      <c r="A37" s="24" t="s">
        <v>17</v>
      </c>
      <c r="B37" s="22">
        <v>5</v>
      </c>
      <c r="C37" s="14">
        <v>2</v>
      </c>
      <c r="D37" s="26">
        <v>2021</v>
      </c>
      <c r="E37" s="40">
        <f t="shared" si="0"/>
        <v>2951.9999999999345</v>
      </c>
      <c r="F37" s="41">
        <v>0.106418</v>
      </c>
      <c r="G37" s="11">
        <f t="shared" si="1"/>
        <v>6100.7999999998647</v>
      </c>
      <c r="H37" s="11">
        <v>0.106418</v>
      </c>
      <c r="I37" s="42">
        <f t="shared" si="2"/>
        <v>10627.199999999764</v>
      </c>
      <c r="J37" s="42">
        <v>7.1932999999999997E-2</v>
      </c>
      <c r="K37" s="39">
        <f>Electric!M15*400</f>
        <v>19679.999999999563</v>
      </c>
      <c r="L37" s="46">
        <f>Gas!I12</f>
        <v>499</v>
      </c>
      <c r="M37" s="30">
        <v>0.99</v>
      </c>
      <c r="N37" s="46">
        <f>Water!I12</f>
        <v>144</v>
      </c>
      <c r="O37" s="31">
        <v>2.35</v>
      </c>
      <c r="P37" s="36">
        <v>173</v>
      </c>
      <c r="Q37" s="36">
        <v>311</v>
      </c>
    </row>
    <row r="38" spans="1:17" x14ac:dyDescent="0.25">
      <c r="A38" s="24" t="s">
        <v>17</v>
      </c>
      <c r="B38" s="22">
        <v>6</v>
      </c>
      <c r="C38" s="14">
        <v>2</v>
      </c>
      <c r="D38" s="26">
        <v>2021</v>
      </c>
      <c r="E38" s="40">
        <f t="shared" si="0"/>
        <v>2292.0000000000437</v>
      </c>
      <c r="F38" s="41">
        <v>0.106418</v>
      </c>
      <c r="G38" s="11">
        <f t="shared" si="1"/>
        <v>4736.8000000000902</v>
      </c>
      <c r="H38" s="11">
        <v>0.106418</v>
      </c>
      <c r="I38" s="42">
        <f t="shared" si="2"/>
        <v>8251.2000000001572</v>
      </c>
      <c r="J38" s="42">
        <v>7.1932999999999997E-2</v>
      </c>
      <c r="K38" s="39">
        <f>Electric!M16*400</f>
        <v>15280.000000000291</v>
      </c>
      <c r="L38" s="46">
        <f>Gas!I13</f>
        <v>392</v>
      </c>
      <c r="M38" s="30">
        <v>0.99</v>
      </c>
      <c r="N38" s="46">
        <f>Water!I13</f>
        <v>160</v>
      </c>
      <c r="O38" s="31">
        <v>2.35</v>
      </c>
      <c r="P38" s="36">
        <v>390</v>
      </c>
      <c r="Q38" s="36">
        <v>758</v>
      </c>
    </row>
    <row r="39" spans="1:17" x14ac:dyDescent="0.25">
      <c r="A39" s="24" t="s">
        <v>17</v>
      </c>
      <c r="B39" s="22">
        <v>7</v>
      </c>
      <c r="C39" s="14">
        <v>2</v>
      </c>
      <c r="D39" s="26">
        <v>2021</v>
      </c>
      <c r="E39" s="40">
        <f t="shared" si="0"/>
        <v>2610</v>
      </c>
      <c r="F39" s="41">
        <v>0.106418</v>
      </c>
      <c r="G39" s="11">
        <f t="shared" si="1"/>
        <v>5394</v>
      </c>
      <c r="H39" s="11">
        <v>0.106418</v>
      </c>
      <c r="I39" s="42">
        <f t="shared" si="2"/>
        <v>9396</v>
      </c>
      <c r="J39" s="42">
        <v>7.1932999999999997E-2</v>
      </c>
      <c r="K39" s="39">
        <f>Electric!M17*400</f>
        <v>17400</v>
      </c>
      <c r="L39" s="46">
        <f>Gas!I14</f>
        <v>458</v>
      </c>
      <c r="M39" s="30">
        <v>0.99</v>
      </c>
      <c r="N39" s="46">
        <f>Water!I14</f>
        <v>147</v>
      </c>
      <c r="O39" s="31">
        <v>2.35</v>
      </c>
      <c r="P39" s="36">
        <v>89</v>
      </c>
      <c r="Q39" s="36">
        <v>157</v>
      </c>
    </row>
    <row r="40" spans="1:17" x14ac:dyDescent="0.25">
      <c r="A40" s="24" t="s">
        <v>17</v>
      </c>
      <c r="B40" s="22">
        <v>8</v>
      </c>
      <c r="C40" s="14">
        <v>2</v>
      </c>
      <c r="D40" s="26">
        <v>2021</v>
      </c>
      <c r="E40" s="40">
        <f t="shared" si="0"/>
        <v>2460</v>
      </c>
      <c r="F40" s="41">
        <v>0.106418</v>
      </c>
      <c r="G40" s="11">
        <f t="shared" si="1"/>
        <v>5084</v>
      </c>
      <c r="H40" s="11">
        <v>0.106418</v>
      </c>
      <c r="I40" s="42">
        <f t="shared" si="2"/>
        <v>8856</v>
      </c>
      <c r="J40" s="42">
        <v>7.1932999999999997E-2</v>
      </c>
      <c r="K40" s="39">
        <f>Electric!M18*400</f>
        <v>16400</v>
      </c>
      <c r="L40" s="46">
        <f>Gas!I15</f>
        <v>454</v>
      </c>
      <c r="M40" s="30">
        <v>0.99</v>
      </c>
      <c r="N40" s="46">
        <f>Water!I15</f>
        <v>143</v>
      </c>
      <c r="O40" s="31">
        <v>2.35</v>
      </c>
      <c r="P40" s="36">
        <v>63</v>
      </c>
      <c r="Q40" s="36">
        <v>94</v>
      </c>
    </row>
    <row r="41" spans="1:17" x14ac:dyDescent="0.25">
      <c r="A41" s="24" t="s">
        <v>17</v>
      </c>
      <c r="B41" s="22">
        <v>9</v>
      </c>
      <c r="C41" s="14">
        <v>2</v>
      </c>
      <c r="D41" s="26">
        <v>2021</v>
      </c>
      <c r="E41" s="40">
        <f t="shared" si="0"/>
        <v>1956.0000000000218</v>
      </c>
      <c r="F41" s="41">
        <v>0.106418</v>
      </c>
      <c r="G41" s="11">
        <f t="shared" si="1"/>
        <v>4042.4000000000451</v>
      </c>
      <c r="H41" s="11">
        <v>0.106418</v>
      </c>
      <c r="I41" s="42">
        <f t="shared" si="2"/>
        <v>7041.6000000000786</v>
      </c>
      <c r="J41" s="42">
        <v>7.1932999999999997E-2</v>
      </c>
      <c r="K41" s="39">
        <f>Electric!M19*400</f>
        <v>13040.000000000146</v>
      </c>
      <c r="L41" s="46">
        <f>Gas!I16</f>
        <v>371</v>
      </c>
      <c r="M41" s="30">
        <v>0.99</v>
      </c>
      <c r="N41" s="46">
        <f>Water!I16</f>
        <v>108</v>
      </c>
      <c r="O41" s="31">
        <v>2.35</v>
      </c>
      <c r="P41" s="36">
        <v>109</v>
      </c>
      <c r="Q41" s="36">
        <v>162</v>
      </c>
    </row>
    <row r="42" spans="1:17" x14ac:dyDescent="0.25">
      <c r="A42" s="24" t="s">
        <v>17</v>
      </c>
      <c r="B42" s="22">
        <v>10</v>
      </c>
      <c r="C42" s="14">
        <v>2</v>
      </c>
      <c r="D42" s="26">
        <v>2021</v>
      </c>
      <c r="E42" s="40">
        <f t="shared" si="0"/>
        <v>2700</v>
      </c>
      <c r="F42" s="41">
        <v>0.106418</v>
      </c>
      <c r="G42" s="11">
        <f t="shared" si="1"/>
        <v>5580</v>
      </c>
      <c r="H42" s="11">
        <v>0.106418</v>
      </c>
      <c r="I42" s="42">
        <f t="shared" si="2"/>
        <v>9720</v>
      </c>
      <c r="J42" s="42">
        <v>7.1932999999999997E-2</v>
      </c>
      <c r="K42" s="39">
        <f>Electric!M20*400</f>
        <v>18000</v>
      </c>
      <c r="L42" s="46">
        <f>Gas!I17</f>
        <v>489</v>
      </c>
      <c r="M42" s="30">
        <v>0.99</v>
      </c>
      <c r="N42" s="46">
        <f>Water!I17</f>
        <v>154</v>
      </c>
      <c r="O42" s="31">
        <v>2.35</v>
      </c>
      <c r="P42" s="36">
        <v>123</v>
      </c>
      <c r="Q42" s="36">
        <v>167</v>
      </c>
    </row>
    <row r="43" spans="1:17" x14ac:dyDescent="0.25">
      <c r="A43" s="24" t="s">
        <v>17</v>
      </c>
      <c r="B43" s="22">
        <v>11</v>
      </c>
      <c r="C43" s="14">
        <v>2</v>
      </c>
      <c r="D43" s="26">
        <v>2021</v>
      </c>
      <c r="E43" s="40">
        <f t="shared" si="0"/>
        <v>2717.9999999999563</v>
      </c>
      <c r="F43" s="41">
        <v>0.106418</v>
      </c>
      <c r="G43" s="11">
        <f t="shared" si="1"/>
        <v>5617.1999999999098</v>
      </c>
      <c r="H43" s="11">
        <v>0.106418</v>
      </c>
      <c r="I43" s="42">
        <f t="shared" si="2"/>
        <v>9784.7999999998428</v>
      </c>
      <c r="J43" s="42">
        <v>7.1932999999999997E-2</v>
      </c>
      <c r="K43" s="39">
        <f>Electric!M21*400</f>
        <v>18119.999999999709</v>
      </c>
      <c r="L43" s="46">
        <f>Gas!I18</f>
        <v>476</v>
      </c>
      <c r="M43" s="30">
        <v>0.99</v>
      </c>
      <c r="N43" s="46">
        <f>Water!I18</f>
        <v>88</v>
      </c>
      <c r="O43" s="31">
        <v>2.35</v>
      </c>
      <c r="P43" s="36">
        <v>139</v>
      </c>
      <c r="Q43" s="36">
        <v>233</v>
      </c>
    </row>
    <row r="44" spans="1:17" x14ac:dyDescent="0.25">
      <c r="A44" s="24" t="s">
        <v>17</v>
      </c>
      <c r="B44" s="22">
        <v>12</v>
      </c>
      <c r="C44" s="14">
        <v>2</v>
      </c>
      <c r="D44" s="26">
        <v>2021</v>
      </c>
      <c r="E44" s="40">
        <f t="shared" si="0"/>
        <v>2208.0000000000655</v>
      </c>
      <c r="F44" s="41">
        <v>0.106418</v>
      </c>
      <c r="G44" s="11">
        <f t="shared" si="1"/>
        <v>4563.2000000001353</v>
      </c>
      <c r="H44" s="11">
        <v>0.106418</v>
      </c>
      <c r="I44" s="42">
        <f t="shared" si="2"/>
        <v>7948.8000000002357</v>
      </c>
      <c r="J44" s="42">
        <v>7.1932999999999997E-2</v>
      </c>
      <c r="K44" s="39">
        <f>Electric!M22*400</f>
        <v>14720.000000000437</v>
      </c>
      <c r="L44" s="46">
        <f>Gas!I19</f>
        <v>367</v>
      </c>
      <c r="M44" s="30">
        <v>0.99</v>
      </c>
      <c r="N44" s="46">
        <f>Water!I19</f>
        <v>154</v>
      </c>
      <c r="O44" s="31">
        <v>2.35</v>
      </c>
      <c r="P44" s="36">
        <v>293</v>
      </c>
      <c r="Q44" s="36">
        <v>566</v>
      </c>
    </row>
    <row r="45" spans="1:17" x14ac:dyDescent="0.25">
      <c r="A45" s="24" t="s">
        <v>17</v>
      </c>
      <c r="B45" s="22">
        <v>13</v>
      </c>
      <c r="C45" s="14">
        <v>2</v>
      </c>
      <c r="D45" s="26">
        <v>2021</v>
      </c>
      <c r="E45" s="40">
        <f t="shared" si="0"/>
        <v>2987.9999999999563</v>
      </c>
      <c r="F45" s="41">
        <v>0.106418</v>
      </c>
      <c r="G45" s="11">
        <f t="shared" si="1"/>
        <v>6175.1999999999098</v>
      </c>
      <c r="H45" s="11">
        <v>0.106418</v>
      </c>
      <c r="I45" s="42">
        <f t="shared" si="2"/>
        <v>10756.799999999843</v>
      </c>
      <c r="J45" s="42">
        <v>7.1932999999999997E-2</v>
      </c>
      <c r="K45" s="39">
        <f>Electric!M23*400</f>
        <v>19919.999999999709</v>
      </c>
      <c r="L45" s="46">
        <f>Gas!I20</f>
        <v>495</v>
      </c>
      <c r="M45" s="30">
        <v>0.99</v>
      </c>
      <c r="N45" s="46">
        <f>Water!I20</f>
        <v>230</v>
      </c>
      <c r="O45" s="31">
        <v>2.35</v>
      </c>
      <c r="P45" s="36">
        <v>483</v>
      </c>
      <c r="Q45" s="36">
        <v>944</v>
      </c>
    </row>
    <row r="46" spans="1:17" x14ac:dyDescent="0.25">
      <c r="A46" s="24" t="s">
        <v>17</v>
      </c>
      <c r="B46" s="22">
        <v>14</v>
      </c>
      <c r="C46" s="14">
        <v>2</v>
      </c>
      <c r="D46" s="26">
        <v>2021</v>
      </c>
      <c r="E46" s="40">
        <f t="shared" si="0"/>
        <v>2645.9999999999127</v>
      </c>
      <c r="F46" s="41">
        <v>0.106418</v>
      </c>
      <c r="G46" s="11">
        <f t="shared" si="1"/>
        <v>5468.3999999998196</v>
      </c>
      <c r="H46" s="11">
        <v>0.106418</v>
      </c>
      <c r="I46" s="42">
        <f t="shared" si="2"/>
        <v>9525.5999999996857</v>
      </c>
      <c r="J46" s="42">
        <v>7.1932999999999997E-2</v>
      </c>
      <c r="K46" s="39">
        <f>Electric!M24*400</f>
        <v>17639.999999999418</v>
      </c>
      <c r="L46" s="46">
        <f>Gas!I21</f>
        <v>492</v>
      </c>
      <c r="M46" s="30">
        <v>0.99</v>
      </c>
      <c r="N46" s="46">
        <f>Water!I21</f>
        <v>212</v>
      </c>
      <c r="O46" s="31">
        <v>2.35</v>
      </c>
      <c r="P46" s="36">
        <v>311</v>
      </c>
      <c r="Q46" s="36">
        <v>597</v>
      </c>
    </row>
    <row r="47" spans="1:17" x14ac:dyDescent="0.25">
      <c r="A47" s="24" t="s">
        <v>17</v>
      </c>
      <c r="B47" s="22">
        <v>15</v>
      </c>
      <c r="C47" s="14">
        <v>2</v>
      </c>
      <c r="D47" s="26">
        <v>2021</v>
      </c>
      <c r="E47" s="40">
        <f t="shared" si="0"/>
        <v>2754.0000000000873</v>
      </c>
      <c r="F47" s="41">
        <v>0.106418</v>
      </c>
      <c r="G47" s="11">
        <f t="shared" si="1"/>
        <v>5691.6000000001804</v>
      </c>
      <c r="H47" s="11">
        <v>0.106418</v>
      </c>
      <c r="I47" s="42">
        <f t="shared" si="2"/>
        <v>9914.4000000003143</v>
      </c>
      <c r="J47" s="42">
        <v>7.1932999999999997E-2</v>
      </c>
      <c r="K47" s="39">
        <f>Electric!M25*400</f>
        <v>18360.000000000582</v>
      </c>
      <c r="L47" s="46">
        <f>Gas!I22</f>
        <v>482</v>
      </c>
      <c r="M47" s="30">
        <v>0.99</v>
      </c>
      <c r="N47" s="46">
        <f>Water!I22</f>
        <v>188</v>
      </c>
      <c r="O47" s="31">
        <v>2.35</v>
      </c>
      <c r="P47" s="36">
        <v>129</v>
      </c>
      <c r="Q47" s="36">
        <v>221</v>
      </c>
    </row>
    <row r="48" spans="1:17" x14ac:dyDescent="0.25">
      <c r="A48" s="24" t="s">
        <v>17</v>
      </c>
      <c r="B48" s="22">
        <v>16</v>
      </c>
      <c r="C48" s="14">
        <v>2</v>
      </c>
      <c r="D48" s="26">
        <v>2021</v>
      </c>
      <c r="E48" s="40">
        <f t="shared" si="0"/>
        <v>2087.9999999999563</v>
      </c>
      <c r="F48" s="41">
        <v>0.106418</v>
      </c>
      <c r="G48" s="11">
        <f t="shared" si="1"/>
        <v>4315.1999999999098</v>
      </c>
      <c r="H48" s="11">
        <v>0.106418</v>
      </c>
      <c r="I48" s="42">
        <f t="shared" si="2"/>
        <v>7516.7999999998428</v>
      </c>
      <c r="J48" s="42">
        <v>7.1932999999999997E-2</v>
      </c>
      <c r="K48" s="39">
        <f>Electric!M26*400</f>
        <v>13919.999999999709</v>
      </c>
      <c r="L48" s="46">
        <f>Gas!I23</f>
        <v>343</v>
      </c>
      <c r="M48" s="30">
        <v>0.99</v>
      </c>
      <c r="N48" s="46">
        <f>Water!I23</f>
        <v>118</v>
      </c>
      <c r="O48" s="31">
        <v>2.35</v>
      </c>
      <c r="P48" s="36">
        <v>132</v>
      </c>
      <c r="Q48" s="36">
        <v>210</v>
      </c>
    </row>
    <row r="49" spans="1:17" x14ac:dyDescent="0.25">
      <c r="A49" s="24" t="s">
        <v>17</v>
      </c>
      <c r="B49" s="22">
        <v>17</v>
      </c>
      <c r="C49" s="14">
        <v>2</v>
      </c>
      <c r="D49" s="26">
        <v>2021</v>
      </c>
      <c r="E49" s="40">
        <f t="shared" si="0"/>
        <v>2436.0000000000218</v>
      </c>
      <c r="F49" s="41">
        <v>0.106418</v>
      </c>
      <c r="G49" s="11">
        <f t="shared" si="1"/>
        <v>5034.4000000000451</v>
      </c>
      <c r="H49" s="11">
        <v>0.106418</v>
      </c>
      <c r="I49" s="42">
        <f t="shared" si="2"/>
        <v>8769.6000000000786</v>
      </c>
      <c r="J49" s="42">
        <v>7.1932999999999997E-2</v>
      </c>
      <c r="K49" s="39">
        <f>Electric!M27*400</f>
        <v>16240.000000000146</v>
      </c>
      <c r="L49" s="46">
        <f>Gas!I24</f>
        <v>404</v>
      </c>
      <c r="M49" s="30">
        <v>0.99</v>
      </c>
      <c r="N49" s="46">
        <f>Water!I24</f>
        <v>134</v>
      </c>
      <c r="O49" s="31">
        <v>2.35</v>
      </c>
      <c r="P49" s="36">
        <v>127</v>
      </c>
      <c r="Q49" s="36">
        <v>193</v>
      </c>
    </row>
    <row r="50" spans="1:17" x14ac:dyDescent="0.25">
      <c r="A50" s="24" t="s">
        <v>17</v>
      </c>
      <c r="B50" s="22">
        <v>18</v>
      </c>
      <c r="C50" s="14">
        <v>2</v>
      </c>
      <c r="D50" s="26">
        <v>2021</v>
      </c>
      <c r="E50" s="40">
        <f t="shared" si="0"/>
        <v>2850</v>
      </c>
      <c r="F50" s="41">
        <v>0.106418</v>
      </c>
      <c r="G50" s="11">
        <f t="shared" si="1"/>
        <v>5890</v>
      </c>
      <c r="H50" s="11">
        <v>0.106418</v>
      </c>
      <c r="I50" s="42">
        <f t="shared" si="2"/>
        <v>10260</v>
      </c>
      <c r="J50" s="42">
        <v>7.1932999999999997E-2</v>
      </c>
      <c r="K50" s="39">
        <f>Electric!M28*400</f>
        <v>19000</v>
      </c>
      <c r="L50" s="46">
        <f>Gas!I25</f>
        <v>465</v>
      </c>
      <c r="M50" s="30">
        <v>0.99</v>
      </c>
      <c r="N50" s="46">
        <f>Water!I25</f>
        <v>170</v>
      </c>
      <c r="O50" s="31">
        <v>2.35</v>
      </c>
      <c r="P50" s="36">
        <v>163</v>
      </c>
      <c r="Q50" s="36">
        <v>249</v>
      </c>
    </row>
    <row r="51" spans="1:17" x14ac:dyDescent="0.25">
      <c r="A51" s="24" t="s">
        <v>17</v>
      </c>
      <c r="B51" s="22">
        <v>19</v>
      </c>
      <c r="C51" s="14">
        <v>2</v>
      </c>
      <c r="D51" s="26">
        <v>2021</v>
      </c>
      <c r="E51" s="40">
        <f t="shared" si="0"/>
        <v>2573.9999999999782</v>
      </c>
      <c r="F51" s="41">
        <v>0.106418</v>
      </c>
      <c r="G51" s="11">
        <f t="shared" si="1"/>
        <v>5319.5999999999549</v>
      </c>
      <c r="H51" s="11">
        <v>0.106418</v>
      </c>
      <c r="I51" s="42">
        <f t="shared" si="2"/>
        <v>9266.3999999999214</v>
      </c>
      <c r="J51" s="42">
        <v>7.1932999999999997E-2</v>
      </c>
      <c r="K51" s="39">
        <f>Electric!M29*400</f>
        <v>17159.999999999854</v>
      </c>
      <c r="L51" s="46">
        <f>Gas!I26</f>
        <v>409</v>
      </c>
      <c r="M51" s="30">
        <v>0.99</v>
      </c>
      <c r="N51" s="46">
        <f>Water!I26</f>
        <v>167</v>
      </c>
      <c r="O51" s="31">
        <v>2.35</v>
      </c>
      <c r="P51" s="36">
        <v>317</v>
      </c>
      <c r="Q51" s="36">
        <v>588</v>
      </c>
    </row>
    <row r="52" spans="1:17" x14ac:dyDescent="0.25">
      <c r="A52" s="24" t="s">
        <v>17</v>
      </c>
      <c r="B52" s="22">
        <v>20</v>
      </c>
      <c r="C52" s="14">
        <v>2</v>
      </c>
      <c r="D52" s="26">
        <v>2021</v>
      </c>
      <c r="E52" s="40">
        <f t="shared" si="0"/>
        <v>2952.0000000000437</v>
      </c>
      <c r="F52" s="41">
        <v>0.106418</v>
      </c>
      <c r="G52" s="11">
        <f t="shared" si="1"/>
        <v>6100.8000000000902</v>
      </c>
      <c r="H52" s="11">
        <v>0.106418</v>
      </c>
      <c r="I52" s="42">
        <f t="shared" si="2"/>
        <v>10627.200000000157</v>
      </c>
      <c r="J52" s="42">
        <v>7.1932999999999997E-2</v>
      </c>
      <c r="K52" s="39">
        <f>Electric!M30*400</f>
        <v>19680.000000000291</v>
      </c>
      <c r="L52" s="46">
        <f>Gas!I27</f>
        <v>482</v>
      </c>
      <c r="M52" s="30">
        <v>0.99</v>
      </c>
      <c r="N52" s="46">
        <f>Water!I27</f>
        <v>215</v>
      </c>
      <c r="O52" s="31">
        <v>2.35</v>
      </c>
      <c r="P52" s="36">
        <v>507</v>
      </c>
      <c r="Q52" s="36">
        <v>981</v>
      </c>
    </row>
    <row r="53" spans="1:17" x14ac:dyDescent="0.25">
      <c r="A53" s="24" t="s">
        <v>17</v>
      </c>
      <c r="B53" s="22">
        <v>21</v>
      </c>
      <c r="C53" s="14">
        <v>2</v>
      </c>
      <c r="D53" s="26">
        <v>2021</v>
      </c>
      <c r="E53" s="40">
        <f t="shared" si="0"/>
        <v>2712.0000000000437</v>
      </c>
      <c r="F53" s="41">
        <v>0.106418</v>
      </c>
      <c r="G53" s="11">
        <f t="shared" si="1"/>
        <v>5604.8000000000902</v>
      </c>
      <c r="H53" s="11">
        <v>0.106418</v>
      </c>
      <c r="I53" s="42">
        <f t="shared" si="2"/>
        <v>9763.2000000001572</v>
      </c>
      <c r="J53" s="42">
        <v>7.1932999999999997E-2</v>
      </c>
      <c r="K53" s="39">
        <f>Electric!M31*400</f>
        <v>18080.000000000291</v>
      </c>
      <c r="L53" s="46">
        <f>Gas!I28</f>
        <v>450</v>
      </c>
      <c r="M53" s="30">
        <v>0.99</v>
      </c>
      <c r="N53" s="46">
        <f>Water!I28</f>
        <v>199</v>
      </c>
      <c r="O53" s="31">
        <v>2.35</v>
      </c>
      <c r="P53" s="36">
        <v>156</v>
      </c>
      <c r="Q53" s="36">
        <v>267</v>
      </c>
    </row>
    <row r="54" spans="1:17" x14ac:dyDescent="0.25">
      <c r="A54" s="24" t="s">
        <v>17</v>
      </c>
      <c r="B54" s="22">
        <v>22</v>
      </c>
      <c r="C54" s="14">
        <v>2</v>
      </c>
      <c r="D54" s="26">
        <v>2021</v>
      </c>
      <c r="E54" s="40">
        <f t="shared" si="0"/>
        <v>2375.9999999999127</v>
      </c>
      <c r="F54" s="41">
        <v>0.106418</v>
      </c>
      <c r="G54" s="11">
        <f t="shared" si="1"/>
        <v>4910.3999999998196</v>
      </c>
      <c r="H54" s="11">
        <v>0.106418</v>
      </c>
      <c r="I54" s="42">
        <f t="shared" si="2"/>
        <v>8553.5999999996857</v>
      </c>
      <c r="J54" s="42">
        <v>7.1932999999999997E-2</v>
      </c>
      <c r="K54" s="39">
        <f>Electric!M32*400</f>
        <v>15839.999999999418</v>
      </c>
      <c r="L54" s="46">
        <f>Gas!I29</f>
        <v>351</v>
      </c>
      <c r="M54" s="30">
        <v>0.99</v>
      </c>
      <c r="N54" s="46">
        <f>Water!I29</f>
        <v>145</v>
      </c>
      <c r="O54" s="31">
        <v>2.35</v>
      </c>
      <c r="P54" s="36">
        <v>134</v>
      </c>
      <c r="Q54" s="36">
        <v>201</v>
      </c>
    </row>
    <row r="55" spans="1:17" x14ac:dyDescent="0.25">
      <c r="A55" s="24" t="s">
        <v>17</v>
      </c>
      <c r="B55" s="22">
        <v>23</v>
      </c>
      <c r="C55" s="14">
        <v>2</v>
      </c>
      <c r="D55" s="26">
        <v>2021</v>
      </c>
      <c r="E55" s="40">
        <f t="shared" si="0"/>
        <v>1272.0000000000437</v>
      </c>
      <c r="F55" s="41">
        <v>0.106418</v>
      </c>
      <c r="G55" s="11">
        <f t="shared" si="1"/>
        <v>2628.8000000000902</v>
      </c>
      <c r="H55" s="11">
        <v>0.106418</v>
      </c>
      <c r="I55" s="42">
        <f t="shared" si="2"/>
        <v>4579.2000000001572</v>
      </c>
      <c r="J55" s="42">
        <v>7.1932999999999997E-2</v>
      </c>
      <c r="K55" s="39">
        <f>Electric!M33*400</f>
        <v>8480.000000000291</v>
      </c>
      <c r="L55" s="46">
        <f>Gas!I30</f>
        <v>414</v>
      </c>
      <c r="M55" s="30">
        <v>0.99</v>
      </c>
      <c r="N55" s="46">
        <f>Water!I30</f>
        <v>125</v>
      </c>
      <c r="O55" s="31">
        <v>2.35</v>
      </c>
      <c r="P55" s="36">
        <v>190</v>
      </c>
      <c r="Q55" s="36">
        <v>267</v>
      </c>
    </row>
    <row r="56" spans="1:17" x14ac:dyDescent="0.25">
      <c r="A56" s="24" t="s">
        <v>17</v>
      </c>
      <c r="B56" s="22">
        <v>24</v>
      </c>
      <c r="C56" s="14">
        <v>2</v>
      </c>
      <c r="D56" s="26">
        <v>2021</v>
      </c>
      <c r="E56" s="40">
        <f t="shared" si="0"/>
        <v>3647.9999999999563</v>
      </c>
      <c r="F56" s="41">
        <v>0.106418</v>
      </c>
      <c r="G56" s="11">
        <f t="shared" si="1"/>
        <v>7539.1999999999098</v>
      </c>
      <c r="H56" s="11">
        <v>0.106418</v>
      </c>
      <c r="I56" s="42">
        <f t="shared" si="2"/>
        <v>13132.799999999843</v>
      </c>
      <c r="J56" s="42">
        <v>7.1932999999999997E-2</v>
      </c>
      <c r="K56" s="39">
        <f>Electric!M34*400</f>
        <v>24319.999999999709</v>
      </c>
      <c r="L56" s="46">
        <f>Gas!I31</f>
        <v>423</v>
      </c>
      <c r="M56" s="30">
        <v>0.99</v>
      </c>
      <c r="N56" s="46">
        <f>Water!I31</f>
        <v>132</v>
      </c>
      <c r="O56" s="31">
        <v>2.35</v>
      </c>
      <c r="P56" s="36">
        <v>216</v>
      </c>
      <c r="Q56" s="36">
        <v>312</v>
      </c>
    </row>
    <row r="57" spans="1:17" x14ac:dyDescent="0.25">
      <c r="A57" s="24" t="s">
        <v>17</v>
      </c>
      <c r="B57" s="22">
        <v>25</v>
      </c>
      <c r="C57" s="14">
        <v>2</v>
      </c>
      <c r="D57" s="26">
        <v>2021</v>
      </c>
      <c r="E57" s="40">
        <f t="shared" si="0"/>
        <v>2562.0000000000437</v>
      </c>
      <c r="F57" s="41">
        <v>0.106418</v>
      </c>
      <c r="G57" s="11">
        <f t="shared" si="1"/>
        <v>5294.8000000000902</v>
      </c>
      <c r="H57" s="11">
        <v>0.106418</v>
      </c>
      <c r="I57" s="42">
        <f t="shared" si="2"/>
        <v>9223.2000000001572</v>
      </c>
      <c r="J57" s="42">
        <v>7.1932999999999997E-2</v>
      </c>
      <c r="K57" s="39">
        <f>Electric!M35*400</f>
        <v>17080.000000000291</v>
      </c>
      <c r="L57" s="46">
        <f>Gas!I32</f>
        <v>409</v>
      </c>
      <c r="M57" s="30">
        <v>0.99</v>
      </c>
      <c r="N57" s="46">
        <f>Water!I32</f>
        <v>153</v>
      </c>
      <c r="O57" s="31">
        <v>2.35</v>
      </c>
      <c r="P57" s="36">
        <v>209</v>
      </c>
      <c r="Q57" s="36">
        <v>329</v>
      </c>
    </row>
    <row r="58" spans="1:17" x14ac:dyDescent="0.25">
      <c r="A58" s="24" t="s">
        <v>17</v>
      </c>
      <c r="B58" s="22">
        <v>26</v>
      </c>
      <c r="C58" s="14">
        <v>2</v>
      </c>
      <c r="D58" s="26">
        <v>2021</v>
      </c>
      <c r="E58" s="40">
        <f t="shared" si="0"/>
        <v>3150</v>
      </c>
      <c r="F58" s="41">
        <v>0.106418</v>
      </c>
      <c r="G58" s="11">
        <f t="shared" si="1"/>
        <v>6510</v>
      </c>
      <c r="H58" s="11">
        <v>0.106418</v>
      </c>
      <c r="I58" s="42">
        <f t="shared" si="2"/>
        <v>11340</v>
      </c>
      <c r="J58" s="42">
        <v>7.1932999999999997E-2</v>
      </c>
      <c r="K58" s="39">
        <f>Electric!M36*400</f>
        <v>21000</v>
      </c>
      <c r="L58" s="46">
        <f>Gas!I33</f>
        <v>542</v>
      </c>
      <c r="M58" s="30">
        <v>0.99</v>
      </c>
      <c r="N58" s="46">
        <f>Water!I33</f>
        <v>159</v>
      </c>
      <c r="O58" s="31">
        <v>2.35</v>
      </c>
      <c r="P58" s="36">
        <v>340</v>
      </c>
      <c r="Q58" s="36">
        <v>631</v>
      </c>
    </row>
    <row r="59" spans="1:17" x14ac:dyDescent="0.25">
      <c r="A59" s="24" t="s">
        <v>17</v>
      </c>
      <c r="B59" s="22">
        <v>27</v>
      </c>
      <c r="C59" s="14">
        <v>2</v>
      </c>
      <c r="D59" s="26">
        <v>2021</v>
      </c>
      <c r="E59" s="40">
        <f t="shared" si="0"/>
        <v>2232.0000000000437</v>
      </c>
      <c r="F59" s="41">
        <v>0.106418</v>
      </c>
      <c r="G59" s="11">
        <f t="shared" si="1"/>
        <v>4612.8000000000902</v>
      </c>
      <c r="H59" s="11">
        <v>0.106418</v>
      </c>
      <c r="I59" s="42">
        <f t="shared" si="2"/>
        <v>8035.2000000001572</v>
      </c>
      <c r="J59" s="42">
        <v>7.1932999999999997E-2</v>
      </c>
      <c r="K59" s="39">
        <f>Electric!M37*400</f>
        <v>14880.000000000291</v>
      </c>
      <c r="L59" s="46">
        <f>Gas!I34</f>
        <v>414</v>
      </c>
      <c r="M59" s="30">
        <v>0.99</v>
      </c>
      <c r="N59" s="46">
        <f>Water!I34</f>
        <v>177</v>
      </c>
      <c r="O59" s="31">
        <v>2.35</v>
      </c>
      <c r="P59" s="36">
        <v>495</v>
      </c>
      <c r="Q59" s="36">
        <v>952</v>
      </c>
    </row>
    <row r="60" spans="1:17" x14ac:dyDescent="0.25">
      <c r="A60" s="24" t="s">
        <v>17</v>
      </c>
      <c r="B60" s="22">
        <v>28</v>
      </c>
      <c r="C60" s="14">
        <v>2</v>
      </c>
      <c r="D60" s="26">
        <v>2021</v>
      </c>
      <c r="E60" s="40">
        <f t="shared" si="0"/>
        <v>2537.9999999999563</v>
      </c>
      <c r="F60" s="41">
        <v>0.106418</v>
      </c>
      <c r="G60" s="11">
        <f t="shared" si="1"/>
        <v>5245.1999999999098</v>
      </c>
      <c r="H60" s="11">
        <v>0.106418</v>
      </c>
      <c r="I60" s="42">
        <f t="shared" si="2"/>
        <v>9136.7999999998428</v>
      </c>
      <c r="J60" s="42">
        <v>7.1932999999999997E-2</v>
      </c>
      <c r="K60" s="39">
        <f>Electric!M38*400</f>
        <v>16919.999999999709</v>
      </c>
      <c r="L60" s="46">
        <f>Gas!I35</f>
        <v>432</v>
      </c>
      <c r="M60" s="30">
        <v>0.99</v>
      </c>
      <c r="N60" s="46">
        <f>Water!I35</f>
        <v>191</v>
      </c>
      <c r="O60" s="31">
        <v>2.35</v>
      </c>
      <c r="P60" s="36">
        <v>146</v>
      </c>
      <c r="Q60" s="36">
        <v>256</v>
      </c>
    </row>
    <row r="61" spans="1:17" x14ac:dyDescent="0.25">
      <c r="A61" s="24" t="s">
        <v>17</v>
      </c>
      <c r="B61" s="22">
        <v>1</v>
      </c>
      <c r="C61" s="14">
        <v>3</v>
      </c>
      <c r="D61" s="26">
        <v>2021</v>
      </c>
      <c r="E61" s="40">
        <f t="shared" si="0"/>
        <v>2927.9999999999563</v>
      </c>
      <c r="F61" s="41">
        <v>0.106418</v>
      </c>
      <c r="G61" s="11">
        <f t="shared" si="1"/>
        <v>6051.1999999999098</v>
      </c>
      <c r="H61" s="11">
        <v>0.106418</v>
      </c>
      <c r="I61" s="42">
        <f t="shared" si="2"/>
        <v>10540.799999999843</v>
      </c>
      <c r="J61" s="42">
        <v>7.1932999999999997E-2</v>
      </c>
      <c r="K61" s="39">
        <f>Electric!R11*400</f>
        <v>19519.999999999709</v>
      </c>
      <c r="L61" s="46">
        <f>Gas!L8</f>
        <v>443</v>
      </c>
      <c r="M61" s="30">
        <v>0.99</v>
      </c>
      <c r="N61" s="46">
        <f>Water!L8</f>
        <v>177</v>
      </c>
      <c r="O61" s="31">
        <v>2.35</v>
      </c>
      <c r="P61" s="36">
        <v>181</v>
      </c>
      <c r="Q61" s="36">
        <v>263</v>
      </c>
    </row>
    <row r="62" spans="1:17" x14ac:dyDescent="0.25">
      <c r="A62" s="24" t="s">
        <v>17</v>
      </c>
      <c r="B62" s="22">
        <v>2</v>
      </c>
      <c r="C62" s="14">
        <v>3</v>
      </c>
      <c r="D62" s="26">
        <v>2021</v>
      </c>
      <c r="E62" s="40">
        <f t="shared" si="0"/>
        <v>2382.0000000000437</v>
      </c>
      <c r="F62" s="41">
        <v>0.106418</v>
      </c>
      <c r="G62" s="11">
        <f t="shared" si="1"/>
        <v>4922.8000000000902</v>
      </c>
      <c r="H62" s="11">
        <v>0.106418</v>
      </c>
      <c r="I62" s="42">
        <f t="shared" si="2"/>
        <v>8575.2000000001572</v>
      </c>
      <c r="J62" s="42">
        <v>7.1932999999999997E-2</v>
      </c>
      <c r="K62" s="39">
        <f>Electric!R12*400</f>
        <v>15880.000000000291</v>
      </c>
      <c r="L62" s="46">
        <f>Gas!L9</f>
        <v>416</v>
      </c>
      <c r="M62" s="30">
        <v>0.99</v>
      </c>
      <c r="N62" s="46">
        <f>Water!L9</f>
        <v>112</v>
      </c>
      <c r="O62" s="31">
        <v>2.35</v>
      </c>
      <c r="P62" s="36">
        <v>200</v>
      </c>
      <c r="Q62" s="36">
        <v>278</v>
      </c>
    </row>
    <row r="63" spans="1:17" x14ac:dyDescent="0.25">
      <c r="A63" s="24" t="s">
        <v>17</v>
      </c>
      <c r="B63" s="22">
        <v>3</v>
      </c>
      <c r="C63" s="14">
        <v>3</v>
      </c>
      <c r="D63" s="26">
        <v>2021</v>
      </c>
      <c r="E63" s="40">
        <f t="shared" si="0"/>
        <v>2663.9999999999782</v>
      </c>
      <c r="F63" s="41">
        <v>0.106418</v>
      </c>
      <c r="G63" s="11">
        <f t="shared" si="1"/>
        <v>5505.5999999999549</v>
      </c>
      <c r="H63" s="11">
        <v>0.106418</v>
      </c>
      <c r="I63" s="42">
        <f t="shared" si="2"/>
        <v>9590.3999999999214</v>
      </c>
      <c r="J63" s="42">
        <v>7.1932999999999997E-2</v>
      </c>
      <c r="K63" s="39">
        <f>Electric!R13*400</f>
        <v>17759.999999999854</v>
      </c>
      <c r="L63" s="46">
        <f>Gas!L10</f>
        <v>473</v>
      </c>
      <c r="M63" s="30">
        <v>0.99</v>
      </c>
      <c r="N63" s="46">
        <f>Water!L10</f>
        <v>161</v>
      </c>
      <c r="O63" s="31">
        <v>2.35</v>
      </c>
      <c r="P63" s="36">
        <v>238</v>
      </c>
      <c r="Q63" s="36">
        <v>336</v>
      </c>
    </row>
    <row r="64" spans="1:17" x14ac:dyDescent="0.25">
      <c r="A64" s="24" t="s">
        <v>17</v>
      </c>
      <c r="B64" s="22">
        <v>4</v>
      </c>
      <c r="C64" s="14">
        <v>3</v>
      </c>
      <c r="D64" s="26">
        <v>2021</v>
      </c>
      <c r="E64" s="40">
        <f t="shared" si="0"/>
        <v>1932.0000000000437</v>
      </c>
      <c r="F64" s="41">
        <v>0.106418</v>
      </c>
      <c r="G64" s="11">
        <f t="shared" si="1"/>
        <v>3992.8000000000902</v>
      </c>
      <c r="H64" s="11">
        <v>0.106418</v>
      </c>
      <c r="I64" s="42">
        <f t="shared" si="2"/>
        <v>6955.2000000001572</v>
      </c>
      <c r="J64" s="42">
        <v>7.1932999999999997E-2</v>
      </c>
      <c r="K64" s="39">
        <f>Electric!R14*400</f>
        <v>12880.000000000291</v>
      </c>
      <c r="L64" s="46">
        <f>Gas!L11</f>
        <v>339</v>
      </c>
      <c r="M64" s="30">
        <v>0.99</v>
      </c>
      <c r="N64" s="46">
        <f>Water!L11</f>
        <v>158</v>
      </c>
      <c r="O64" s="31">
        <v>2.35</v>
      </c>
      <c r="P64" s="36">
        <v>249</v>
      </c>
      <c r="Q64" s="36">
        <v>371</v>
      </c>
    </row>
    <row r="65" spans="1:17" x14ac:dyDescent="0.25">
      <c r="A65" s="24" t="s">
        <v>17</v>
      </c>
      <c r="B65" s="22">
        <v>5</v>
      </c>
      <c r="C65" s="14">
        <v>3</v>
      </c>
      <c r="D65" s="26">
        <v>2021</v>
      </c>
      <c r="E65" s="40">
        <f t="shared" si="0"/>
        <v>2436.0000000000218</v>
      </c>
      <c r="F65" s="41">
        <v>0.106418</v>
      </c>
      <c r="G65" s="11">
        <f t="shared" si="1"/>
        <v>5034.4000000000451</v>
      </c>
      <c r="H65" s="11">
        <v>0.106418</v>
      </c>
      <c r="I65" s="42">
        <f t="shared" si="2"/>
        <v>8769.6000000000786</v>
      </c>
      <c r="J65" s="42">
        <v>7.1932999999999997E-2</v>
      </c>
      <c r="K65" s="39">
        <f>Electric!R15*400</f>
        <v>16240.000000000146</v>
      </c>
      <c r="L65" s="46">
        <f>Gas!L12</f>
        <v>432</v>
      </c>
      <c r="M65" s="30">
        <v>0.99</v>
      </c>
      <c r="N65" s="46">
        <f>Water!L12</f>
        <v>154</v>
      </c>
      <c r="O65" s="31">
        <v>2.35</v>
      </c>
      <c r="P65" s="36">
        <v>349</v>
      </c>
      <c r="Q65" s="36">
        <v>660</v>
      </c>
    </row>
    <row r="66" spans="1:17" x14ac:dyDescent="0.25">
      <c r="A66" s="24" t="s">
        <v>17</v>
      </c>
      <c r="B66" s="22">
        <v>6</v>
      </c>
      <c r="C66" s="14">
        <v>3</v>
      </c>
      <c r="D66" s="26">
        <v>2021</v>
      </c>
      <c r="E66" s="40">
        <f t="shared" si="0"/>
        <v>2520</v>
      </c>
      <c r="F66" s="41">
        <v>0.106418</v>
      </c>
      <c r="G66" s="11">
        <f t="shared" si="1"/>
        <v>5208</v>
      </c>
      <c r="H66" s="11">
        <v>0.106418</v>
      </c>
      <c r="I66" s="42">
        <f t="shared" si="2"/>
        <v>9072</v>
      </c>
      <c r="J66" s="42">
        <v>7.1932999999999997E-2</v>
      </c>
      <c r="K66" s="39">
        <f>Electric!R16*400</f>
        <v>16800</v>
      </c>
      <c r="L66" s="46">
        <f>Gas!L13</f>
        <v>464</v>
      </c>
      <c r="M66" s="30">
        <v>0.99</v>
      </c>
      <c r="N66" s="46">
        <f>Water!L13</f>
        <v>163</v>
      </c>
      <c r="O66" s="31">
        <v>2.35</v>
      </c>
      <c r="P66" s="36">
        <v>498</v>
      </c>
      <c r="Q66" s="36">
        <v>991</v>
      </c>
    </row>
    <row r="67" spans="1:17" x14ac:dyDescent="0.25">
      <c r="A67" s="24" t="s">
        <v>17</v>
      </c>
      <c r="B67" s="22">
        <v>7</v>
      </c>
      <c r="C67" s="14">
        <v>3</v>
      </c>
      <c r="D67" s="26">
        <v>2021</v>
      </c>
      <c r="E67" s="40">
        <f t="shared" ref="E67:E130" si="4">(K67/100)*15</f>
        <v>2483.9999999999782</v>
      </c>
      <c r="F67" s="41">
        <v>0.106418</v>
      </c>
      <c r="G67" s="11">
        <f t="shared" ref="G67:G130" si="5">(K67/100)*31</f>
        <v>5133.5999999999549</v>
      </c>
      <c r="H67" s="11">
        <v>0.106418</v>
      </c>
      <c r="I67" s="42">
        <f t="shared" ref="I67:I130" si="6">(K67/100)*54</f>
        <v>8942.3999999999214</v>
      </c>
      <c r="J67" s="42">
        <v>7.1932999999999997E-2</v>
      </c>
      <c r="K67" s="39">
        <f>Electric!R17*400</f>
        <v>16559.999999999854</v>
      </c>
      <c r="L67" s="46">
        <f>Gas!L14</f>
        <v>454</v>
      </c>
      <c r="M67" s="30">
        <v>0.99</v>
      </c>
      <c r="N67" s="46">
        <f>Water!L14</f>
        <v>185</v>
      </c>
      <c r="O67" s="31">
        <v>2.35</v>
      </c>
      <c r="P67" s="36">
        <v>258</v>
      </c>
      <c r="Q67" s="36">
        <v>478</v>
      </c>
    </row>
    <row r="68" spans="1:17" x14ac:dyDescent="0.25">
      <c r="A68" s="24" t="s">
        <v>17</v>
      </c>
      <c r="B68" s="22">
        <v>8</v>
      </c>
      <c r="C68" s="14">
        <v>3</v>
      </c>
      <c r="D68" s="26">
        <v>2021</v>
      </c>
      <c r="E68" s="40">
        <f t="shared" si="4"/>
        <v>2580</v>
      </c>
      <c r="F68" s="41">
        <v>0.106418</v>
      </c>
      <c r="G68" s="11">
        <f t="shared" si="5"/>
        <v>5332</v>
      </c>
      <c r="H68" s="11">
        <v>0.106418</v>
      </c>
      <c r="I68" s="42">
        <f t="shared" si="6"/>
        <v>9288</v>
      </c>
      <c r="J68" s="42">
        <v>7.1932999999999997E-2</v>
      </c>
      <c r="K68" s="39">
        <f>Electric!R18*400</f>
        <v>17200</v>
      </c>
      <c r="L68" s="46">
        <f>Gas!L15</f>
        <v>426</v>
      </c>
      <c r="M68" s="30">
        <v>0.99</v>
      </c>
      <c r="N68" s="46">
        <f>Water!L15</f>
        <v>182</v>
      </c>
      <c r="O68" s="31">
        <v>2.35</v>
      </c>
      <c r="P68" s="36">
        <v>182</v>
      </c>
      <c r="Q68" s="36">
        <v>287</v>
      </c>
    </row>
    <row r="69" spans="1:17" x14ac:dyDescent="0.25">
      <c r="A69" s="24" t="s">
        <v>17</v>
      </c>
      <c r="B69" s="22">
        <v>9</v>
      </c>
      <c r="C69" s="14">
        <v>3</v>
      </c>
      <c r="D69" s="26">
        <v>2021</v>
      </c>
      <c r="E69" s="40">
        <f t="shared" si="4"/>
        <v>2651.9999999999345</v>
      </c>
      <c r="F69" s="41">
        <v>0.106418</v>
      </c>
      <c r="G69" s="11">
        <f t="shared" si="5"/>
        <v>5480.7999999998647</v>
      </c>
      <c r="H69" s="11">
        <v>0.106418</v>
      </c>
      <c r="I69" s="42">
        <f t="shared" si="6"/>
        <v>9547.1999999997643</v>
      </c>
      <c r="J69" s="42">
        <v>7.1932999999999997E-2</v>
      </c>
      <c r="K69" s="39">
        <f>Electric!R19*400</f>
        <v>17679.999999999563</v>
      </c>
      <c r="L69" s="46">
        <f>Gas!L16</f>
        <v>424</v>
      </c>
      <c r="M69" s="30">
        <v>0.99</v>
      </c>
      <c r="N69" s="46">
        <f>Water!L16</f>
        <v>138</v>
      </c>
      <c r="O69" s="31">
        <v>2.35</v>
      </c>
      <c r="P69" s="36">
        <v>209</v>
      </c>
      <c r="Q69" s="36">
        <v>290</v>
      </c>
    </row>
    <row r="70" spans="1:17" x14ac:dyDescent="0.25">
      <c r="A70" s="24" t="s">
        <v>17</v>
      </c>
      <c r="B70" s="22">
        <v>10</v>
      </c>
      <c r="C70" s="14">
        <v>3</v>
      </c>
      <c r="D70" s="26">
        <v>2021</v>
      </c>
      <c r="E70" s="40">
        <f t="shared" si="4"/>
        <v>2496.0000000000218</v>
      </c>
      <c r="F70" s="41">
        <v>0.106418</v>
      </c>
      <c r="G70" s="11">
        <f t="shared" si="5"/>
        <v>5158.4000000000451</v>
      </c>
      <c r="H70" s="11">
        <v>0.106418</v>
      </c>
      <c r="I70" s="42">
        <f t="shared" si="6"/>
        <v>8985.6000000000786</v>
      </c>
      <c r="J70" s="42">
        <v>7.1932999999999997E-2</v>
      </c>
      <c r="K70" s="39">
        <f>Electric!R20*400</f>
        <v>16640.000000000146</v>
      </c>
      <c r="L70" s="46">
        <f>Gas!L17</f>
        <v>411</v>
      </c>
      <c r="M70" s="30">
        <v>0.99</v>
      </c>
      <c r="N70" s="46">
        <f>Water!L17</f>
        <v>150</v>
      </c>
      <c r="O70" s="31">
        <v>2.35</v>
      </c>
      <c r="P70" s="36">
        <v>251</v>
      </c>
      <c r="Q70" s="36">
        <v>338</v>
      </c>
    </row>
    <row r="71" spans="1:17" x14ac:dyDescent="0.25">
      <c r="A71" s="24" t="s">
        <v>17</v>
      </c>
      <c r="B71" s="22">
        <v>11</v>
      </c>
      <c r="C71" s="14">
        <v>3</v>
      </c>
      <c r="D71" s="26">
        <v>2021</v>
      </c>
      <c r="E71" s="40">
        <f t="shared" si="4"/>
        <v>2723.9999999999782</v>
      </c>
      <c r="F71" s="41">
        <v>0.106418</v>
      </c>
      <c r="G71" s="11">
        <f t="shared" si="5"/>
        <v>5629.5999999999549</v>
      </c>
      <c r="H71" s="11">
        <v>0.106418</v>
      </c>
      <c r="I71" s="42">
        <f t="shared" si="6"/>
        <v>9806.3999999999214</v>
      </c>
      <c r="J71" s="42">
        <v>7.1932999999999997E-2</v>
      </c>
      <c r="K71" s="39">
        <f>Electric!R21*400</f>
        <v>18159.999999999854</v>
      </c>
      <c r="L71" s="46">
        <f>Gas!L18</f>
        <v>460</v>
      </c>
      <c r="M71" s="30">
        <v>0.99</v>
      </c>
      <c r="N71" s="46">
        <f>Water!L18</f>
        <v>157</v>
      </c>
      <c r="O71" s="31">
        <v>2.35</v>
      </c>
      <c r="P71" s="36">
        <v>205</v>
      </c>
      <c r="Q71" s="36">
        <v>323</v>
      </c>
    </row>
    <row r="72" spans="1:17" x14ac:dyDescent="0.25">
      <c r="A72" s="24" t="s">
        <v>17</v>
      </c>
      <c r="B72" s="22">
        <v>12</v>
      </c>
      <c r="C72" s="14">
        <v>3</v>
      </c>
      <c r="D72" s="26">
        <v>2021</v>
      </c>
      <c r="E72" s="40">
        <f t="shared" si="4"/>
        <v>2754.0000000000873</v>
      </c>
      <c r="F72" s="41">
        <v>0.106418</v>
      </c>
      <c r="G72" s="11">
        <f t="shared" si="5"/>
        <v>5691.6000000001804</v>
      </c>
      <c r="H72" s="11">
        <v>0.106418</v>
      </c>
      <c r="I72" s="42">
        <f t="shared" si="6"/>
        <v>9914.4000000003143</v>
      </c>
      <c r="J72" s="42">
        <v>7.1932999999999997E-2</v>
      </c>
      <c r="K72" s="39">
        <f>Electric!R22*400</f>
        <v>18360.000000000582</v>
      </c>
      <c r="L72" s="46">
        <f>Gas!L19</f>
        <v>466</v>
      </c>
      <c r="M72" s="30">
        <v>0.99</v>
      </c>
      <c r="N72" s="46">
        <f>Water!L19</f>
        <v>166</v>
      </c>
      <c r="O72" s="31">
        <v>2.35</v>
      </c>
      <c r="P72" s="36">
        <v>324</v>
      </c>
      <c r="Q72" s="36">
        <v>618</v>
      </c>
    </row>
    <row r="73" spans="1:17" x14ac:dyDescent="0.25">
      <c r="A73" s="24" t="s">
        <v>17</v>
      </c>
      <c r="B73" s="22">
        <v>13</v>
      </c>
      <c r="C73" s="14">
        <v>3</v>
      </c>
      <c r="D73" s="26">
        <v>2021</v>
      </c>
      <c r="E73" s="40">
        <f t="shared" si="4"/>
        <v>2675.9999999999127</v>
      </c>
      <c r="F73" s="41">
        <v>0.106418</v>
      </c>
      <c r="G73" s="11">
        <f t="shared" si="5"/>
        <v>5530.3999999998196</v>
      </c>
      <c r="H73" s="11">
        <v>0.106418</v>
      </c>
      <c r="I73" s="42">
        <f t="shared" si="6"/>
        <v>9633.5999999996857</v>
      </c>
      <c r="J73" s="42">
        <v>7.1932999999999997E-2</v>
      </c>
      <c r="K73" s="39">
        <f>Electric!R23*400</f>
        <v>17839.999999999418</v>
      </c>
      <c r="L73" s="46">
        <f>Gas!L20</f>
        <v>444</v>
      </c>
      <c r="M73" s="30">
        <v>0.99</v>
      </c>
      <c r="N73" s="46">
        <f>Water!L20</f>
        <v>209</v>
      </c>
      <c r="O73" s="31">
        <v>2.35</v>
      </c>
      <c r="P73" s="36">
        <v>506</v>
      </c>
      <c r="Q73" s="36">
        <v>997</v>
      </c>
    </row>
    <row r="74" spans="1:17" x14ac:dyDescent="0.25">
      <c r="A74" s="24" t="s">
        <v>17</v>
      </c>
      <c r="B74" s="22">
        <v>14</v>
      </c>
      <c r="C74" s="14">
        <v>3</v>
      </c>
      <c r="D74" s="26">
        <v>2021</v>
      </c>
      <c r="E74" s="40">
        <f t="shared" si="4"/>
        <v>2736.0000000000218</v>
      </c>
      <c r="F74" s="41">
        <v>0.106418</v>
      </c>
      <c r="G74" s="11">
        <f t="shared" si="5"/>
        <v>5654.4000000000451</v>
      </c>
      <c r="H74" s="11">
        <v>0.106418</v>
      </c>
      <c r="I74" s="42">
        <f t="shared" si="6"/>
        <v>9849.6000000000786</v>
      </c>
      <c r="J74" s="42">
        <v>7.1932999999999997E-2</v>
      </c>
      <c r="K74" s="39">
        <f>Electric!R24*400</f>
        <v>18240.000000000146</v>
      </c>
      <c r="L74" s="46">
        <f>Gas!L21</f>
        <v>527</v>
      </c>
      <c r="M74" s="30">
        <v>0.99</v>
      </c>
      <c r="N74" s="46">
        <f>Water!L21</f>
        <v>189</v>
      </c>
      <c r="O74" s="31">
        <v>2.35</v>
      </c>
      <c r="P74" s="36">
        <v>148</v>
      </c>
      <c r="Q74" s="36">
        <v>250</v>
      </c>
    </row>
    <row r="75" spans="1:17" x14ac:dyDescent="0.25">
      <c r="A75" s="24" t="s">
        <v>17</v>
      </c>
      <c r="B75" s="22">
        <v>15</v>
      </c>
      <c r="C75" s="14">
        <v>3</v>
      </c>
      <c r="D75" s="26">
        <v>2021</v>
      </c>
      <c r="E75" s="40">
        <f t="shared" si="4"/>
        <v>2273.9999999999782</v>
      </c>
      <c r="F75" s="41">
        <v>0.106418</v>
      </c>
      <c r="G75" s="11">
        <f t="shared" si="5"/>
        <v>4699.5999999999549</v>
      </c>
      <c r="H75" s="11">
        <v>0.106418</v>
      </c>
      <c r="I75" s="42">
        <f t="shared" si="6"/>
        <v>8186.3999999999214</v>
      </c>
      <c r="J75" s="42">
        <v>7.1932999999999997E-2</v>
      </c>
      <c r="K75" s="39">
        <f>Electric!R25*400</f>
        <v>15159.999999999854</v>
      </c>
      <c r="L75" s="46">
        <f>Gas!L22</f>
        <v>514</v>
      </c>
      <c r="M75" s="30">
        <v>0.99</v>
      </c>
      <c r="N75" s="46">
        <f>Water!L22</f>
        <v>129</v>
      </c>
      <c r="O75" s="31">
        <v>2.35</v>
      </c>
      <c r="P75" s="36">
        <v>131</v>
      </c>
      <c r="Q75" s="36">
        <v>199</v>
      </c>
    </row>
    <row r="76" spans="1:17" x14ac:dyDescent="0.25">
      <c r="A76" s="24" t="s">
        <v>17</v>
      </c>
      <c r="B76" s="22">
        <v>16</v>
      </c>
      <c r="C76" s="14">
        <v>3</v>
      </c>
      <c r="D76" s="26">
        <v>2021</v>
      </c>
      <c r="E76" s="40">
        <f t="shared" si="4"/>
        <v>2208.0000000000655</v>
      </c>
      <c r="F76" s="41">
        <v>0.106418</v>
      </c>
      <c r="G76" s="11">
        <f t="shared" si="5"/>
        <v>4563.2000000001353</v>
      </c>
      <c r="H76" s="11">
        <v>0.106418</v>
      </c>
      <c r="I76" s="42">
        <f t="shared" si="6"/>
        <v>7948.8000000002357</v>
      </c>
      <c r="J76" s="42">
        <v>7.1932999999999997E-2</v>
      </c>
      <c r="K76" s="39">
        <f>Electric!R26*400</f>
        <v>14720.000000000437</v>
      </c>
      <c r="L76" s="46">
        <f>Gas!L23</f>
        <v>427</v>
      </c>
      <c r="M76" s="30">
        <v>0.99</v>
      </c>
      <c r="N76" s="46">
        <f>Water!L23</f>
        <v>118</v>
      </c>
      <c r="O76" s="31">
        <v>2.35</v>
      </c>
      <c r="P76" s="36">
        <v>1692</v>
      </c>
      <c r="Q76" s="36">
        <v>226</v>
      </c>
    </row>
    <row r="77" spans="1:17" x14ac:dyDescent="0.25">
      <c r="A77" s="24" t="s">
        <v>17</v>
      </c>
      <c r="B77" s="22">
        <v>17</v>
      </c>
      <c r="C77" s="14">
        <v>3</v>
      </c>
      <c r="D77" s="26">
        <v>2021</v>
      </c>
      <c r="E77" s="40">
        <f t="shared" si="4"/>
        <v>2268.0000000000655</v>
      </c>
      <c r="F77" s="41">
        <v>0.106418</v>
      </c>
      <c r="G77" s="11">
        <f t="shared" si="5"/>
        <v>4687.2000000001353</v>
      </c>
      <c r="H77" s="11">
        <v>0.106418</v>
      </c>
      <c r="I77" s="42">
        <f t="shared" si="6"/>
        <v>8164.8000000002357</v>
      </c>
      <c r="J77" s="42">
        <v>7.1932999999999997E-2</v>
      </c>
      <c r="K77" s="39">
        <f>Electric!R27*400</f>
        <v>15120.000000000437</v>
      </c>
      <c r="L77" s="46">
        <f>Gas!L24</f>
        <v>419</v>
      </c>
      <c r="M77" s="30">
        <v>0.99</v>
      </c>
      <c r="N77" s="46">
        <f>Water!L24</f>
        <v>115</v>
      </c>
      <c r="O77" s="31">
        <v>2.35</v>
      </c>
      <c r="P77" s="36">
        <v>188</v>
      </c>
      <c r="Q77" s="36">
        <v>265</v>
      </c>
    </row>
    <row r="78" spans="1:17" x14ac:dyDescent="0.25">
      <c r="A78" s="24" t="s">
        <v>17</v>
      </c>
      <c r="B78" s="22">
        <v>18</v>
      </c>
      <c r="C78" s="14">
        <v>3</v>
      </c>
      <c r="D78" s="26">
        <v>2021</v>
      </c>
      <c r="E78" s="40">
        <f t="shared" si="4"/>
        <v>2429.9999999998909</v>
      </c>
      <c r="F78" s="41">
        <v>0.106418</v>
      </c>
      <c r="G78" s="11">
        <f t="shared" si="5"/>
        <v>5021.9999999997744</v>
      </c>
      <c r="H78" s="11">
        <v>0.106418</v>
      </c>
      <c r="I78" s="42">
        <f t="shared" si="6"/>
        <v>8747.9999999996071</v>
      </c>
      <c r="J78" s="42">
        <v>7.1932999999999997E-2</v>
      </c>
      <c r="K78" s="39">
        <f>Electric!R28*400</f>
        <v>16199.999999999272</v>
      </c>
      <c r="L78" s="46">
        <f>Gas!L25</f>
        <v>445</v>
      </c>
      <c r="M78" s="30">
        <v>0.99</v>
      </c>
      <c r="N78" s="46">
        <f>Water!L25</f>
        <v>124</v>
      </c>
      <c r="O78" s="31">
        <v>2.35</v>
      </c>
      <c r="P78" s="36">
        <v>223</v>
      </c>
      <c r="Q78" s="36">
        <v>339</v>
      </c>
    </row>
    <row r="79" spans="1:17" x14ac:dyDescent="0.25">
      <c r="A79" s="24" t="s">
        <v>17</v>
      </c>
      <c r="B79" s="22">
        <v>19</v>
      </c>
      <c r="C79" s="14">
        <v>3</v>
      </c>
      <c r="D79" s="26">
        <v>2021</v>
      </c>
      <c r="E79" s="40">
        <f t="shared" si="4"/>
        <v>2580</v>
      </c>
      <c r="F79" s="41">
        <v>0.106418</v>
      </c>
      <c r="G79" s="11">
        <f t="shared" si="5"/>
        <v>5332</v>
      </c>
      <c r="H79" s="11">
        <v>0.106418</v>
      </c>
      <c r="I79" s="42">
        <f t="shared" si="6"/>
        <v>9288</v>
      </c>
      <c r="J79" s="42">
        <v>7.1932999999999997E-2</v>
      </c>
      <c r="K79" s="39">
        <f>Electric!R29*400</f>
        <v>17200</v>
      </c>
      <c r="L79" s="46">
        <f>Gas!L26</f>
        <v>481</v>
      </c>
      <c r="M79" s="30">
        <v>0.99</v>
      </c>
      <c r="N79" s="46">
        <f>Water!L26</f>
        <v>175</v>
      </c>
      <c r="O79" s="31">
        <v>2.35</v>
      </c>
      <c r="P79" s="36">
        <v>401</v>
      </c>
      <c r="Q79" s="36">
        <v>739</v>
      </c>
    </row>
    <row r="80" spans="1:17" x14ac:dyDescent="0.25">
      <c r="A80" s="24" t="s">
        <v>17</v>
      </c>
      <c r="B80" s="22">
        <v>20</v>
      </c>
      <c r="C80" s="14">
        <v>3</v>
      </c>
      <c r="D80" s="26">
        <v>2021</v>
      </c>
      <c r="E80" s="40">
        <f t="shared" si="4"/>
        <v>2178.0000000000655</v>
      </c>
      <c r="F80" s="41">
        <v>0.106418</v>
      </c>
      <c r="G80" s="11">
        <f t="shared" si="5"/>
        <v>4501.2000000001353</v>
      </c>
      <c r="H80" s="11">
        <v>0.106418</v>
      </c>
      <c r="I80" s="42">
        <f t="shared" si="6"/>
        <v>7840.8000000002357</v>
      </c>
      <c r="J80" s="42">
        <v>7.1932999999999997E-2</v>
      </c>
      <c r="K80" s="39">
        <f>Electric!R30*400</f>
        <v>14520.000000000437</v>
      </c>
      <c r="L80" s="46">
        <f>Gas!L27</f>
        <v>446</v>
      </c>
      <c r="M80" s="30">
        <v>0.99</v>
      </c>
      <c r="N80" s="46">
        <f>Water!L27</f>
        <v>183</v>
      </c>
      <c r="O80" s="31">
        <v>2.35</v>
      </c>
      <c r="P80" s="36">
        <v>501</v>
      </c>
      <c r="Q80" s="36">
        <v>967</v>
      </c>
    </row>
    <row r="81" spans="1:17" x14ac:dyDescent="0.25">
      <c r="A81" s="24" t="s">
        <v>17</v>
      </c>
      <c r="B81" s="22">
        <v>21</v>
      </c>
      <c r="C81" s="14">
        <v>3</v>
      </c>
      <c r="D81" s="26">
        <v>2021</v>
      </c>
      <c r="E81" s="40">
        <f t="shared" si="4"/>
        <v>2711.9999999999345</v>
      </c>
      <c r="F81" s="41">
        <v>0.106418</v>
      </c>
      <c r="G81" s="11">
        <f t="shared" si="5"/>
        <v>5604.7999999998647</v>
      </c>
      <c r="H81" s="11">
        <v>0.106418</v>
      </c>
      <c r="I81" s="42">
        <f t="shared" si="6"/>
        <v>9763.1999999997643</v>
      </c>
      <c r="J81" s="42">
        <v>7.1932999999999997E-2</v>
      </c>
      <c r="K81" s="39">
        <f>Electric!R31*400</f>
        <v>18079.999999999563</v>
      </c>
      <c r="L81" s="46">
        <f>Gas!L28</f>
        <v>488</v>
      </c>
      <c r="M81" s="30">
        <v>0.99</v>
      </c>
      <c r="N81" s="46">
        <f>Water!L28</f>
        <v>181</v>
      </c>
      <c r="O81" s="31">
        <v>2.35</v>
      </c>
      <c r="P81" s="36">
        <v>198</v>
      </c>
      <c r="Q81" s="36">
        <v>347</v>
      </c>
    </row>
    <row r="82" spans="1:17" x14ac:dyDescent="0.25">
      <c r="A82" s="24" t="s">
        <v>17</v>
      </c>
      <c r="B82" s="22">
        <v>22</v>
      </c>
      <c r="C82" s="14">
        <v>3</v>
      </c>
      <c r="D82" s="26">
        <v>2021</v>
      </c>
      <c r="E82" s="40">
        <f t="shared" si="4"/>
        <v>2586.0000000000218</v>
      </c>
      <c r="F82" s="41">
        <v>0.106418</v>
      </c>
      <c r="G82" s="11">
        <f t="shared" si="5"/>
        <v>5344.4000000000451</v>
      </c>
      <c r="H82" s="11">
        <v>0.106418</v>
      </c>
      <c r="I82" s="42">
        <f t="shared" si="6"/>
        <v>9309.6000000000786</v>
      </c>
      <c r="J82" s="42">
        <v>7.1932999999999997E-2</v>
      </c>
      <c r="K82" s="39">
        <f>Electric!R32*400</f>
        <v>17240.000000000146</v>
      </c>
      <c r="L82" s="46">
        <f>Gas!L29</f>
        <v>500</v>
      </c>
      <c r="M82" s="30">
        <v>0.99</v>
      </c>
      <c r="N82" s="46">
        <f>Water!L29</f>
        <v>138</v>
      </c>
      <c r="O82" s="31">
        <v>2.35</v>
      </c>
      <c r="P82" s="36">
        <v>170</v>
      </c>
      <c r="Q82" s="36">
        <v>250</v>
      </c>
    </row>
    <row r="83" spans="1:17" x14ac:dyDescent="0.25">
      <c r="A83" s="24" t="s">
        <v>17</v>
      </c>
      <c r="B83" s="22">
        <v>23</v>
      </c>
      <c r="C83" s="14">
        <v>3</v>
      </c>
      <c r="D83" s="26">
        <v>2021</v>
      </c>
      <c r="E83" s="40">
        <f t="shared" si="4"/>
        <v>2453.9999999999782</v>
      </c>
      <c r="F83" s="41">
        <v>0.106418</v>
      </c>
      <c r="G83" s="11">
        <f t="shared" si="5"/>
        <v>5071.5999999999549</v>
      </c>
      <c r="H83" s="11">
        <v>0.106418</v>
      </c>
      <c r="I83" s="42">
        <f t="shared" si="6"/>
        <v>8834.3999999999214</v>
      </c>
      <c r="J83" s="42">
        <v>7.1932999999999997E-2</v>
      </c>
      <c r="K83" s="39">
        <f>Electric!R33*400</f>
        <v>16359.999999999854</v>
      </c>
      <c r="L83" s="46">
        <f>Gas!L30</f>
        <v>491</v>
      </c>
      <c r="M83" s="30">
        <v>0.99</v>
      </c>
      <c r="N83" s="46">
        <f>Water!L30</f>
        <v>125</v>
      </c>
      <c r="O83" s="31">
        <v>2.35</v>
      </c>
      <c r="P83" s="36">
        <v>241</v>
      </c>
      <c r="Q83" s="36">
        <v>337</v>
      </c>
    </row>
    <row r="84" spans="1:17" x14ac:dyDescent="0.25">
      <c r="A84" s="24" t="s">
        <v>17</v>
      </c>
      <c r="B84" s="22">
        <v>24</v>
      </c>
      <c r="C84" s="14">
        <v>3</v>
      </c>
      <c r="D84" s="26">
        <v>2021</v>
      </c>
      <c r="E84" s="40">
        <f t="shared" si="4"/>
        <v>2580.0000000001091</v>
      </c>
      <c r="F84" s="41">
        <v>0.106418</v>
      </c>
      <c r="G84" s="11">
        <f t="shared" si="5"/>
        <v>5332.0000000002256</v>
      </c>
      <c r="H84" s="11">
        <v>0.106418</v>
      </c>
      <c r="I84" s="42">
        <f t="shared" si="6"/>
        <v>9288.0000000003929</v>
      </c>
      <c r="J84" s="42">
        <v>7.1932999999999997E-2</v>
      </c>
      <c r="K84" s="39">
        <f>Electric!R34*400</f>
        <v>17200.000000000728</v>
      </c>
      <c r="L84" s="46">
        <f>Gas!L31</f>
        <v>477</v>
      </c>
      <c r="M84" s="30">
        <v>0.99</v>
      </c>
      <c r="N84" s="46">
        <f>Water!L31</f>
        <v>151</v>
      </c>
      <c r="O84" s="31">
        <v>2.35</v>
      </c>
      <c r="P84" s="36">
        <v>253</v>
      </c>
      <c r="Q84" s="36">
        <v>369</v>
      </c>
    </row>
    <row r="85" spans="1:17" x14ac:dyDescent="0.25">
      <c r="A85" s="24" t="s">
        <v>17</v>
      </c>
      <c r="B85" s="22">
        <v>25</v>
      </c>
      <c r="C85" s="14">
        <v>3</v>
      </c>
      <c r="D85" s="26">
        <v>2021</v>
      </c>
      <c r="E85" s="40">
        <f t="shared" si="4"/>
        <v>2573.999999999869</v>
      </c>
      <c r="F85" s="41">
        <v>0.106418</v>
      </c>
      <c r="G85" s="11">
        <f t="shared" si="5"/>
        <v>5319.5999999997293</v>
      </c>
      <c r="H85" s="11">
        <v>0.106418</v>
      </c>
      <c r="I85" s="42">
        <f t="shared" si="6"/>
        <v>9266.3999999995285</v>
      </c>
      <c r="J85" s="42">
        <v>7.1932999999999997E-2</v>
      </c>
      <c r="K85" s="39">
        <f>Electric!R35*400</f>
        <v>17159.999999999127</v>
      </c>
      <c r="L85" s="46">
        <f>Gas!L32</f>
        <v>482</v>
      </c>
      <c r="M85" s="30">
        <v>0.99</v>
      </c>
      <c r="N85" s="46">
        <f>Water!L32</f>
        <v>152</v>
      </c>
      <c r="O85" s="31">
        <v>2.35</v>
      </c>
      <c r="P85" s="36">
        <v>252</v>
      </c>
      <c r="Q85" s="36">
        <v>403</v>
      </c>
    </row>
    <row r="86" spans="1:17" x14ac:dyDescent="0.25">
      <c r="A86" s="24" t="s">
        <v>17</v>
      </c>
      <c r="B86" s="22">
        <v>26</v>
      </c>
      <c r="C86" s="14">
        <v>3</v>
      </c>
      <c r="D86" s="26">
        <v>2021</v>
      </c>
      <c r="E86" s="40">
        <f t="shared" si="4"/>
        <v>2550</v>
      </c>
      <c r="F86" s="41">
        <v>0.106418</v>
      </c>
      <c r="G86" s="11">
        <f t="shared" si="5"/>
        <v>5270</v>
      </c>
      <c r="H86" s="11">
        <v>0.106418</v>
      </c>
      <c r="I86" s="42">
        <f t="shared" si="6"/>
        <v>9180</v>
      </c>
      <c r="J86" s="42">
        <v>7.1932999999999997E-2</v>
      </c>
      <c r="K86" s="39">
        <f>Electric!R36*400</f>
        <v>17000</v>
      </c>
      <c r="L86" s="46">
        <f>Gas!L33</f>
        <v>479</v>
      </c>
      <c r="M86" s="30">
        <v>0.99</v>
      </c>
      <c r="N86" s="46">
        <f>Water!L33</f>
        <v>169</v>
      </c>
      <c r="O86" s="31">
        <v>2.35</v>
      </c>
      <c r="P86" s="36">
        <v>423</v>
      </c>
      <c r="Q86" s="36">
        <v>797</v>
      </c>
    </row>
    <row r="87" spans="1:17" x14ac:dyDescent="0.25">
      <c r="A87" s="24" t="s">
        <v>17</v>
      </c>
      <c r="B87" s="22">
        <v>27</v>
      </c>
      <c r="C87" s="14">
        <v>3</v>
      </c>
      <c r="D87" s="26">
        <v>2021</v>
      </c>
      <c r="E87" s="40">
        <f t="shared" si="4"/>
        <v>2616.0000000000218</v>
      </c>
      <c r="F87" s="41">
        <v>0.106418</v>
      </c>
      <c r="G87" s="11">
        <f t="shared" si="5"/>
        <v>5406.4000000000451</v>
      </c>
      <c r="H87" s="11">
        <v>0.106418</v>
      </c>
      <c r="I87" s="42">
        <f t="shared" si="6"/>
        <v>9417.6000000000786</v>
      </c>
      <c r="J87" s="42">
        <v>7.1932999999999997E-2</v>
      </c>
      <c r="K87" s="39">
        <f>Electric!R37*400</f>
        <v>17440.000000000146</v>
      </c>
      <c r="L87" s="46">
        <f>Gas!L34</f>
        <v>514</v>
      </c>
      <c r="M87" s="30">
        <v>0.99</v>
      </c>
      <c r="N87" s="46">
        <f>Water!L34</f>
        <v>193</v>
      </c>
      <c r="O87" s="31">
        <v>2.35</v>
      </c>
      <c r="P87" s="36">
        <v>406</v>
      </c>
      <c r="Q87" s="36">
        <v>994</v>
      </c>
    </row>
    <row r="88" spans="1:17" x14ac:dyDescent="0.25">
      <c r="A88" s="24" t="s">
        <v>17</v>
      </c>
      <c r="B88" s="22">
        <v>28</v>
      </c>
      <c r="C88" s="14">
        <v>3</v>
      </c>
      <c r="D88" s="26">
        <v>2021</v>
      </c>
      <c r="E88" s="40">
        <f t="shared" si="4"/>
        <v>2412.0000000000437</v>
      </c>
      <c r="F88" s="41">
        <v>0.106418</v>
      </c>
      <c r="G88" s="11">
        <f t="shared" si="5"/>
        <v>4984.8000000000902</v>
      </c>
      <c r="H88" s="11">
        <v>0.106418</v>
      </c>
      <c r="I88" s="42">
        <f t="shared" si="6"/>
        <v>8683.2000000001572</v>
      </c>
      <c r="J88" s="42">
        <v>7.1932999999999997E-2</v>
      </c>
      <c r="K88" s="39">
        <f>Electric!R38*400</f>
        <v>16080.000000000291</v>
      </c>
      <c r="L88" s="46">
        <f>Gas!L35</f>
        <v>462</v>
      </c>
      <c r="M88" s="30">
        <v>0.99</v>
      </c>
      <c r="N88" s="46">
        <f>Water!L35</f>
        <v>212</v>
      </c>
      <c r="O88" s="31">
        <v>2.35</v>
      </c>
      <c r="P88" s="36">
        <v>163</v>
      </c>
      <c r="Q88" s="36">
        <v>292</v>
      </c>
    </row>
    <row r="89" spans="1:17" x14ac:dyDescent="0.25">
      <c r="A89" s="24" t="s">
        <v>17</v>
      </c>
      <c r="B89" s="22">
        <v>29</v>
      </c>
      <c r="C89" s="14">
        <v>3</v>
      </c>
      <c r="D89" s="26">
        <v>2021</v>
      </c>
      <c r="E89" s="40">
        <f t="shared" si="4"/>
        <v>2430</v>
      </c>
      <c r="F89" s="41">
        <v>0.106418</v>
      </c>
      <c r="G89" s="11">
        <f t="shared" si="5"/>
        <v>5022</v>
      </c>
      <c r="H89" s="11">
        <v>0.106418</v>
      </c>
      <c r="I89" s="42">
        <f t="shared" si="6"/>
        <v>8748</v>
      </c>
      <c r="J89" s="42">
        <v>7.1932999999999997E-2</v>
      </c>
      <c r="K89" s="39">
        <f>Electric!R39*400</f>
        <v>16200</v>
      </c>
      <c r="L89" s="46">
        <f>Gas!L36</f>
        <v>461</v>
      </c>
      <c r="M89" s="30">
        <v>0.99</v>
      </c>
      <c r="N89" s="46">
        <f>Water!L36</f>
        <v>126</v>
      </c>
      <c r="O89" s="31">
        <v>2.35</v>
      </c>
      <c r="P89" s="36">
        <v>169</v>
      </c>
      <c r="Q89" s="36">
        <v>256</v>
      </c>
    </row>
    <row r="90" spans="1:17" x14ac:dyDescent="0.25">
      <c r="A90" s="24" t="s">
        <v>17</v>
      </c>
      <c r="B90" s="22">
        <v>30</v>
      </c>
      <c r="C90" s="14">
        <v>3</v>
      </c>
      <c r="D90" s="26">
        <v>2021</v>
      </c>
      <c r="E90" s="40">
        <f t="shared" si="4"/>
        <v>2159.9999999998909</v>
      </c>
      <c r="F90" s="41">
        <v>0.106418</v>
      </c>
      <c r="G90" s="11">
        <f t="shared" si="5"/>
        <v>4463.9999999997744</v>
      </c>
      <c r="H90" s="11">
        <v>0.106418</v>
      </c>
      <c r="I90" s="42">
        <f t="shared" si="6"/>
        <v>7775.9999999996071</v>
      </c>
      <c r="J90" s="42">
        <v>7.1932999999999997E-2</v>
      </c>
      <c r="K90" s="39">
        <f>Electric!R40*400</f>
        <v>14399.999999999272</v>
      </c>
      <c r="L90" s="46">
        <f>Gas!L37</f>
        <v>445</v>
      </c>
      <c r="M90" s="30">
        <v>0.99</v>
      </c>
      <c r="N90" s="46">
        <f>Water!L37</f>
        <v>110</v>
      </c>
      <c r="O90" s="31">
        <v>2.35</v>
      </c>
      <c r="P90" s="36">
        <v>199</v>
      </c>
      <c r="Q90" s="36">
        <v>302</v>
      </c>
    </row>
    <row r="91" spans="1:17" x14ac:dyDescent="0.25">
      <c r="A91" s="24" t="s">
        <v>17</v>
      </c>
      <c r="B91" s="22">
        <v>31</v>
      </c>
      <c r="C91" s="14">
        <v>3</v>
      </c>
      <c r="D91" s="26">
        <v>2021</v>
      </c>
      <c r="E91" s="40">
        <f t="shared" si="4"/>
        <v>2298.0000000000655</v>
      </c>
      <c r="F91" s="41">
        <v>0.106418</v>
      </c>
      <c r="G91" s="11">
        <f t="shared" si="5"/>
        <v>4749.2000000001353</v>
      </c>
      <c r="H91" s="11">
        <v>0.106418</v>
      </c>
      <c r="I91" s="42">
        <f t="shared" si="6"/>
        <v>8272.8000000002357</v>
      </c>
      <c r="J91" s="42">
        <v>7.1932999999999997E-2</v>
      </c>
      <c r="K91" s="39">
        <f>Electric!R41*400</f>
        <v>15320.000000000437</v>
      </c>
      <c r="L91" s="46">
        <f>Gas!L38</f>
        <v>458</v>
      </c>
      <c r="M91" s="30">
        <v>0.99</v>
      </c>
      <c r="N91" s="46">
        <f>Water!L38</f>
        <v>116</v>
      </c>
      <c r="O91" s="31">
        <v>2.35</v>
      </c>
      <c r="P91" s="36">
        <v>191</v>
      </c>
      <c r="Q91" s="36">
        <v>321</v>
      </c>
    </row>
    <row r="92" spans="1:17" x14ac:dyDescent="0.25">
      <c r="A92" s="24" t="s">
        <v>17</v>
      </c>
      <c r="B92" s="22">
        <v>1</v>
      </c>
      <c r="C92" s="14">
        <v>4</v>
      </c>
      <c r="D92" s="26">
        <v>2021</v>
      </c>
      <c r="E92" s="40">
        <f t="shared" si="4"/>
        <v>2418.0000000000655</v>
      </c>
      <c r="F92" s="41">
        <v>0.106418</v>
      </c>
      <c r="G92" s="11">
        <f t="shared" si="5"/>
        <v>4997.2000000001353</v>
      </c>
      <c r="H92" s="11">
        <v>0.106418</v>
      </c>
      <c r="I92" s="42">
        <f t="shared" si="6"/>
        <v>8704.8000000002357</v>
      </c>
      <c r="J92" s="42">
        <v>7.1932999999999997E-2</v>
      </c>
      <c r="K92" s="39">
        <f>Electric!W11*400</f>
        <v>16120.000000000437</v>
      </c>
      <c r="L92" s="46">
        <f>Gas!O8</f>
        <v>473</v>
      </c>
      <c r="M92" s="30">
        <v>0.99</v>
      </c>
      <c r="N92" s="46">
        <f>Water!O8</f>
        <v>136</v>
      </c>
      <c r="O92" s="31">
        <v>2.35</v>
      </c>
      <c r="P92" s="36">
        <v>306</v>
      </c>
      <c r="Q92" s="36">
        <v>570</v>
      </c>
    </row>
    <row r="93" spans="1:17" x14ac:dyDescent="0.25">
      <c r="A93" s="24" t="s">
        <v>17</v>
      </c>
      <c r="B93" s="22">
        <v>2</v>
      </c>
      <c r="C93" s="14">
        <v>4</v>
      </c>
      <c r="D93" s="26">
        <v>2021</v>
      </c>
      <c r="E93" s="40">
        <f t="shared" si="4"/>
        <v>2441.9999999999345</v>
      </c>
      <c r="F93" s="41">
        <v>0.106418</v>
      </c>
      <c r="G93" s="11">
        <f t="shared" si="5"/>
        <v>5046.7999999998647</v>
      </c>
      <c r="H93" s="11">
        <v>0.106418</v>
      </c>
      <c r="I93" s="42">
        <f t="shared" si="6"/>
        <v>8791.1999999997643</v>
      </c>
      <c r="J93" s="42">
        <v>7.1932999999999997E-2</v>
      </c>
      <c r="K93" s="39">
        <f>Electric!W12*400</f>
        <v>16279.999999999563</v>
      </c>
      <c r="L93" s="46">
        <f>Gas!O9</f>
        <v>481</v>
      </c>
      <c r="M93" s="30">
        <v>0.99</v>
      </c>
      <c r="N93" s="46">
        <f>Water!O9</f>
        <v>192</v>
      </c>
      <c r="O93" s="31">
        <v>2.35</v>
      </c>
      <c r="P93" s="36">
        <v>508</v>
      </c>
      <c r="Q93" s="36">
        <v>1025</v>
      </c>
    </row>
    <row r="94" spans="1:17" x14ac:dyDescent="0.25">
      <c r="A94" s="24" t="s">
        <v>17</v>
      </c>
      <c r="B94" s="22">
        <v>3</v>
      </c>
      <c r="C94" s="14">
        <v>4</v>
      </c>
      <c r="D94" s="26">
        <v>2021</v>
      </c>
      <c r="E94" s="40">
        <f t="shared" si="4"/>
        <v>2568.0000000000655</v>
      </c>
      <c r="F94" s="41">
        <v>0.106418</v>
      </c>
      <c r="G94" s="11">
        <f t="shared" si="5"/>
        <v>5307.2000000001353</v>
      </c>
      <c r="H94" s="11">
        <v>0.106418</v>
      </c>
      <c r="I94" s="42">
        <f t="shared" si="6"/>
        <v>9244.8000000002357</v>
      </c>
      <c r="J94" s="42">
        <v>7.1932999999999997E-2</v>
      </c>
      <c r="K94" s="39">
        <f>Electric!W13*400</f>
        <v>17120.000000000437</v>
      </c>
      <c r="L94" s="46">
        <f>Gas!O10</f>
        <v>528</v>
      </c>
      <c r="M94" s="30">
        <v>0.99</v>
      </c>
      <c r="N94" s="46">
        <f>Water!O10</f>
        <v>225</v>
      </c>
      <c r="O94" s="31">
        <v>2.35</v>
      </c>
      <c r="P94" s="36">
        <v>523</v>
      </c>
      <c r="Q94" s="36">
        <v>1058</v>
      </c>
    </row>
    <row r="95" spans="1:17" x14ac:dyDescent="0.25">
      <c r="A95" s="24" t="s">
        <v>17</v>
      </c>
      <c r="B95" s="22">
        <v>4</v>
      </c>
      <c r="C95" s="14">
        <v>4</v>
      </c>
      <c r="D95" s="26">
        <v>2021</v>
      </c>
      <c r="E95" s="40">
        <f t="shared" si="4"/>
        <v>2795.9999999999127</v>
      </c>
      <c r="F95" s="41">
        <v>0.106418</v>
      </c>
      <c r="G95" s="11">
        <f t="shared" si="5"/>
        <v>5778.3999999998196</v>
      </c>
      <c r="H95" s="11">
        <v>0.106418</v>
      </c>
      <c r="I95" s="42">
        <f t="shared" si="6"/>
        <v>10065.599999999686</v>
      </c>
      <c r="J95" s="42">
        <v>7.1932999999999997E-2</v>
      </c>
      <c r="K95" s="39">
        <f>Electric!W14*400</f>
        <v>18639.999999999418</v>
      </c>
      <c r="L95" s="46">
        <f>Gas!O11</f>
        <v>529</v>
      </c>
      <c r="M95" s="30">
        <v>0.99</v>
      </c>
      <c r="N95" s="46">
        <f>Water!O11</f>
        <v>240</v>
      </c>
      <c r="O95" s="31">
        <v>2.35</v>
      </c>
      <c r="P95" s="36">
        <v>444</v>
      </c>
      <c r="Q95" s="36">
        <v>897</v>
      </c>
    </row>
    <row r="96" spans="1:17" x14ac:dyDescent="0.25">
      <c r="A96" s="24" t="s">
        <v>17</v>
      </c>
      <c r="B96" s="22">
        <v>5</v>
      </c>
      <c r="C96" s="14">
        <v>4</v>
      </c>
      <c r="D96" s="26">
        <v>2021</v>
      </c>
      <c r="E96" s="40">
        <f t="shared" si="4"/>
        <v>2370</v>
      </c>
      <c r="F96" s="41">
        <v>0.106418</v>
      </c>
      <c r="G96" s="11">
        <f t="shared" si="5"/>
        <v>4898</v>
      </c>
      <c r="H96" s="11">
        <v>0.106418</v>
      </c>
      <c r="I96" s="42">
        <f t="shared" si="6"/>
        <v>8532</v>
      </c>
      <c r="J96" s="42">
        <v>7.1932999999999997E-2</v>
      </c>
      <c r="K96" s="39">
        <f>Electric!W15*400</f>
        <v>15800</v>
      </c>
      <c r="L96" s="46">
        <f>Gas!O12</f>
        <v>438</v>
      </c>
      <c r="M96" s="30">
        <v>0.99</v>
      </c>
      <c r="N96" s="46">
        <f>Water!O12</f>
        <v>162</v>
      </c>
      <c r="O96" s="31">
        <v>2.35</v>
      </c>
      <c r="P96" s="36">
        <v>300</v>
      </c>
      <c r="Q96" s="36">
        <v>603</v>
      </c>
    </row>
    <row r="97" spans="1:17" x14ac:dyDescent="0.25">
      <c r="A97" s="24" t="s">
        <v>17</v>
      </c>
      <c r="B97" s="22">
        <v>6</v>
      </c>
      <c r="C97" s="14">
        <v>4</v>
      </c>
      <c r="D97" s="26">
        <v>2021</v>
      </c>
      <c r="E97" s="40">
        <f t="shared" si="4"/>
        <v>3126.0000000000218</v>
      </c>
      <c r="F97" s="41">
        <v>0.106418</v>
      </c>
      <c r="G97" s="11">
        <f t="shared" si="5"/>
        <v>6460.4000000000451</v>
      </c>
      <c r="H97" s="11">
        <v>0.106418</v>
      </c>
      <c r="I97" s="42">
        <f t="shared" si="6"/>
        <v>11253.600000000079</v>
      </c>
      <c r="J97" s="42">
        <v>7.1932999999999997E-2</v>
      </c>
      <c r="K97" s="39">
        <f>Electric!W16*400</f>
        <v>20840.000000000146</v>
      </c>
      <c r="L97" s="46">
        <f>Gas!O13</f>
        <v>576</v>
      </c>
      <c r="M97" s="30">
        <v>0.99</v>
      </c>
      <c r="N97" s="46">
        <f>Water!O13</f>
        <v>167</v>
      </c>
      <c r="O97" s="31">
        <v>2.35</v>
      </c>
      <c r="P97" s="36">
        <v>345</v>
      </c>
      <c r="Q97" s="36">
        <v>649</v>
      </c>
    </row>
    <row r="98" spans="1:17" x14ac:dyDescent="0.25">
      <c r="A98" s="24" t="s">
        <v>17</v>
      </c>
      <c r="B98" s="22">
        <v>7</v>
      </c>
      <c r="C98" s="14">
        <v>4</v>
      </c>
      <c r="D98" s="26">
        <v>2021</v>
      </c>
      <c r="E98" s="40">
        <f t="shared" si="4"/>
        <v>2568.0000000000655</v>
      </c>
      <c r="F98" s="41">
        <v>0.106418</v>
      </c>
      <c r="G98" s="11">
        <f t="shared" si="5"/>
        <v>5307.2000000001353</v>
      </c>
      <c r="H98" s="11">
        <v>0.106418</v>
      </c>
      <c r="I98" s="42">
        <f t="shared" si="6"/>
        <v>9244.8000000002357</v>
      </c>
      <c r="J98" s="42">
        <v>7.1932999999999997E-2</v>
      </c>
      <c r="K98" s="39">
        <f>Electric!W17*400</f>
        <v>17120.000000000437</v>
      </c>
      <c r="L98" s="46">
        <f>Gas!O14</f>
        <v>461</v>
      </c>
      <c r="M98" s="30">
        <v>0.99</v>
      </c>
      <c r="N98" s="46">
        <f>Water!O14</f>
        <v>231</v>
      </c>
      <c r="O98" s="31">
        <v>2.35</v>
      </c>
      <c r="P98" s="36">
        <v>404</v>
      </c>
      <c r="Q98" s="36">
        <v>748</v>
      </c>
    </row>
    <row r="99" spans="1:17" x14ac:dyDescent="0.25">
      <c r="A99" s="24" t="s">
        <v>17</v>
      </c>
      <c r="B99" s="22">
        <v>8</v>
      </c>
      <c r="C99" s="14">
        <v>4</v>
      </c>
      <c r="D99" s="26">
        <v>2021</v>
      </c>
      <c r="E99" s="40">
        <f t="shared" si="4"/>
        <v>2741.9999999999345</v>
      </c>
      <c r="F99" s="41">
        <v>0.106418</v>
      </c>
      <c r="G99" s="11">
        <f t="shared" si="5"/>
        <v>5666.7999999998647</v>
      </c>
      <c r="H99" s="11">
        <v>0.106418</v>
      </c>
      <c r="I99" s="42">
        <f t="shared" si="6"/>
        <v>9871.1999999997643</v>
      </c>
      <c r="J99" s="42">
        <v>7.1932999999999997E-2</v>
      </c>
      <c r="K99" s="39">
        <f>Electric!W18*400</f>
        <v>18279.999999999563</v>
      </c>
      <c r="L99" s="46">
        <f>Gas!O15</f>
        <v>491</v>
      </c>
      <c r="M99" s="30">
        <v>0.99</v>
      </c>
      <c r="N99" s="46">
        <f>Water!O15</f>
        <v>174</v>
      </c>
      <c r="O99" s="31">
        <v>2.35</v>
      </c>
      <c r="P99" s="36">
        <v>425</v>
      </c>
      <c r="Q99" s="36">
        <v>801</v>
      </c>
    </row>
    <row r="100" spans="1:17" x14ac:dyDescent="0.25">
      <c r="A100" s="24" t="s">
        <v>17</v>
      </c>
      <c r="B100" s="22">
        <v>9</v>
      </c>
      <c r="C100" s="14">
        <v>4</v>
      </c>
      <c r="D100" s="26">
        <v>2021</v>
      </c>
      <c r="E100" s="40">
        <f t="shared" si="4"/>
        <v>2603.9999999999782</v>
      </c>
      <c r="F100" s="41">
        <v>0.106418</v>
      </c>
      <c r="G100" s="11">
        <f t="shared" si="5"/>
        <v>5381.5999999999549</v>
      </c>
      <c r="H100" s="11">
        <v>0.106418</v>
      </c>
      <c r="I100" s="42">
        <f t="shared" si="6"/>
        <v>9374.3999999999214</v>
      </c>
      <c r="J100" s="42">
        <v>7.1932999999999997E-2</v>
      </c>
      <c r="K100" s="39">
        <f>Electric!W19*400</f>
        <v>17359.999999999854</v>
      </c>
      <c r="L100" s="46">
        <f>Gas!O16</f>
        <v>490</v>
      </c>
      <c r="M100" s="30">
        <v>0.99</v>
      </c>
      <c r="N100" s="46">
        <f>Water!O16</f>
        <v>206</v>
      </c>
      <c r="O100" s="31">
        <v>2.35</v>
      </c>
      <c r="P100" s="36">
        <v>485</v>
      </c>
      <c r="Q100" s="36">
        <v>953</v>
      </c>
    </row>
    <row r="101" spans="1:17" x14ac:dyDescent="0.25">
      <c r="A101" s="24" t="s">
        <v>17</v>
      </c>
      <c r="B101" s="22">
        <v>10</v>
      </c>
      <c r="C101" s="14">
        <v>4</v>
      </c>
      <c r="D101" s="26">
        <v>2021</v>
      </c>
      <c r="E101" s="40">
        <f t="shared" si="4"/>
        <v>2220</v>
      </c>
      <c r="F101" s="41">
        <v>0.106418</v>
      </c>
      <c r="G101" s="11">
        <f t="shared" si="5"/>
        <v>4588</v>
      </c>
      <c r="H101" s="11">
        <v>0.106418</v>
      </c>
      <c r="I101" s="42">
        <f t="shared" si="6"/>
        <v>7992</v>
      </c>
      <c r="J101" s="42">
        <v>7.1932999999999997E-2</v>
      </c>
      <c r="K101" s="39">
        <f>Electric!W20*400</f>
        <v>14800</v>
      </c>
      <c r="L101" s="46">
        <f>Gas!O17</f>
        <v>490</v>
      </c>
      <c r="M101" s="30">
        <v>0.99</v>
      </c>
      <c r="N101" s="46">
        <f>Water!O17</f>
        <v>182</v>
      </c>
      <c r="O101" s="31">
        <v>2.35</v>
      </c>
      <c r="P101" s="36">
        <v>511</v>
      </c>
      <c r="Q101" s="36">
        <v>1003</v>
      </c>
    </row>
    <row r="102" spans="1:17" x14ac:dyDescent="0.25">
      <c r="A102" s="24" t="s">
        <v>17</v>
      </c>
      <c r="B102" s="22">
        <v>11</v>
      </c>
      <c r="C102" s="14">
        <v>4</v>
      </c>
      <c r="D102" s="26">
        <v>2021</v>
      </c>
      <c r="E102" s="40">
        <f t="shared" si="4"/>
        <v>2478.0000000000655</v>
      </c>
      <c r="F102" s="41">
        <v>0.106418</v>
      </c>
      <c r="G102" s="11">
        <f t="shared" si="5"/>
        <v>5121.2000000001353</v>
      </c>
      <c r="H102" s="11">
        <v>0.106418</v>
      </c>
      <c r="I102" s="42">
        <f t="shared" si="6"/>
        <v>8920.8000000002357</v>
      </c>
      <c r="J102" s="42">
        <v>7.1932999999999997E-2</v>
      </c>
      <c r="K102" s="39">
        <f>Electric!W21*400</f>
        <v>16520.000000000437</v>
      </c>
      <c r="L102" s="46">
        <f>Gas!O18</f>
        <v>491</v>
      </c>
      <c r="M102" s="30">
        <v>0.99</v>
      </c>
      <c r="N102" s="46">
        <f>Water!O18</f>
        <v>208</v>
      </c>
      <c r="O102" s="31">
        <v>2.35</v>
      </c>
      <c r="P102" s="36">
        <v>310</v>
      </c>
      <c r="Q102" s="36">
        <v>591</v>
      </c>
    </row>
    <row r="103" spans="1:17" x14ac:dyDescent="0.25">
      <c r="A103" s="24" t="s">
        <v>17</v>
      </c>
      <c r="B103" s="22">
        <v>12</v>
      </c>
      <c r="C103" s="14">
        <v>4</v>
      </c>
      <c r="D103" s="26">
        <v>2021</v>
      </c>
      <c r="E103" s="40">
        <f t="shared" si="4"/>
        <v>2238.0000000000655</v>
      </c>
      <c r="F103" s="41">
        <v>0.106418</v>
      </c>
      <c r="G103" s="11">
        <f t="shared" si="5"/>
        <v>4625.2000000001353</v>
      </c>
      <c r="H103" s="11">
        <v>0.106418</v>
      </c>
      <c r="I103" s="42">
        <f t="shared" si="6"/>
        <v>8056.8000000002357</v>
      </c>
      <c r="J103" s="42">
        <v>7.1932999999999997E-2</v>
      </c>
      <c r="K103" s="39">
        <f>Electric!W22*400</f>
        <v>14920.000000000437</v>
      </c>
      <c r="L103" s="46">
        <f>Gas!O19</f>
        <v>633</v>
      </c>
      <c r="M103" s="30">
        <v>0.99</v>
      </c>
      <c r="N103" s="46">
        <f>Water!O19</f>
        <v>171</v>
      </c>
      <c r="O103" s="31">
        <v>2.35</v>
      </c>
      <c r="P103" s="36">
        <v>241</v>
      </c>
      <c r="Q103" s="36">
        <v>427</v>
      </c>
    </row>
    <row r="104" spans="1:17" x14ac:dyDescent="0.25">
      <c r="A104" s="24" t="s">
        <v>17</v>
      </c>
      <c r="B104" s="22">
        <v>13</v>
      </c>
      <c r="C104" s="14">
        <v>4</v>
      </c>
      <c r="D104" s="26">
        <v>2021</v>
      </c>
      <c r="E104" s="40">
        <f t="shared" si="4"/>
        <v>2339.9999999998909</v>
      </c>
      <c r="F104" s="41">
        <v>0.106418</v>
      </c>
      <c r="G104" s="11">
        <f t="shared" si="5"/>
        <v>4835.9999999997744</v>
      </c>
      <c r="H104" s="11">
        <v>0.106418</v>
      </c>
      <c r="I104" s="42">
        <f t="shared" si="6"/>
        <v>8423.9999999996071</v>
      </c>
      <c r="J104" s="42">
        <v>7.1932999999999997E-2</v>
      </c>
      <c r="K104" s="39">
        <f>Electric!W23*400</f>
        <v>15599.999999999272</v>
      </c>
      <c r="L104" s="46">
        <f>Gas!O20</f>
        <v>598</v>
      </c>
      <c r="M104" s="30">
        <v>0.99</v>
      </c>
      <c r="N104" s="46">
        <f>Water!O20</f>
        <v>129</v>
      </c>
      <c r="O104" s="31">
        <v>2.35</v>
      </c>
      <c r="P104" s="36">
        <v>338</v>
      </c>
      <c r="Q104" s="36">
        <v>561</v>
      </c>
    </row>
    <row r="105" spans="1:17" x14ac:dyDescent="0.25">
      <c r="A105" s="24" t="s">
        <v>17</v>
      </c>
      <c r="B105" s="22">
        <v>14</v>
      </c>
      <c r="C105" s="14">
        <v>4</v>
      </c>
      <c r="D105" s="26">
        <v>2021</v>
      </c>
      <c r="E105" s="40">
        <f t="shared" si="4"/>
        <v>2418.0000000000655</v>
      </c>
      <c r="F105" s="41">
        <v>0.106418</v>
      </c>
      <c r="G105" s="11">
        <f t="shared" si="5"/>
        <v>4997.2000000001353</v>
      </c>
      <c r="H105" s="11">
        <v>0.106418</v>
      </c>
      <c r="I105" s="42">
        <f t="shared" si="6"/>
        <v>8704.8000000002357</v>
      </c>
      <c r="J105" s="42">
        <v>7.1932999999999997E-2</v>
      </c>
      <c r="K105" s="39">
        <f>Electric!W24*400</f>
        <v>16120.000000000437</v>
      </c>
      <c r="L105" s="46">
        <f>Gas!O21</f>
        <v>471</v>
      </c>
      <c r="M105" s="30">
        <v>0.99</v>
      </c>
      <c r="N105" s="46">
        <f>Water!O21</f>
        <v>169</v>
      </c>
      <c r="O105" s="31">
        <v>2.35</v>
      </c>
      <c r="P105" s="36">
        <v>365</v>
      </c>
      <c r="Q105" s="36">
        <v>599</v>
      </c>
    </row>
    <row r="106" spans="1:17" x14ac:dyDescent="0.25">
      <c r="A106" s="24" t="s">
        <v>17</v>
      </c>
      <c r="B106" s="22">
        <v>15</v>
      </c>
      <c r="C106" s="14">
        <v>4</v>
      </c>
      <c r="D106" s="26">
        <v>2021</v>
      </c>
      <c r="E106" s="40">
        <f t="shared" si="4"/>
        <v>2261.9999999999345</v>
      </c>
      <c r="F106" s="41">
        <v>0.106418</v>
      </c>
      <c r="G106" s="11">
        <f t="shared" si="5"/>
        <v>4674.7999999998647</v>
      </c>
      <c r="H106" s="11">
        <v>0.106418</v>
      </c>
      <c r="I106" s="42">
        <f t="shared" si="6"/>
        <v>8143.1999999997643</v>
      </c>
      <c r="J106" s="42">
        <v>7.1932999999999997E-2</v>
      </c>
      <c r="K106" s="39">
        <f>Electric!W25*400</f>
        <v>15079.999999999563</v>
      </c>
      <c r="L106" s="46">
        <f>Gas!O22</f>
        <v>439</v>
      </c>
      <c r="M106" s="30">
        <v>0.99</v>
      </c>
      <c r="N106" s="46">
        <f>Water!O22</f>
        <v>169</v>
      </c>
      <c r="O106" s="31">
        <v>2.35</v>
      </c>
      <c r="P106" s="36">
        <v>420</v>
      </c>
      <c r="Q106" s="36">
        <v>693</v>
      </c>
    </row>
    <row r="107" spans="1:17" x14ac:dyDescent="0.25">
      <c r="A107" s="24" t="s">
        <v>17</v>
      </c>
      <c r="B107" s="22">
        <v>16</v>
      </c>
      <c r="C107" s="14">
        <v>4</v>
      </c>
      <c r="D107" s="26">
        <v>2021</v>
      </c>
      <c r="E107" s="40">
        <f t="shared" si="4"/>
        <v>2328.0000000000655</v>
      </c>
      <c r="F107" s="41">
        <v>0.106418</v>
      </c>
      <c r="G107" s="11">
        <f t="shared" si="5"/>
        <v>4811.2000000001353</v>
      </c>
      <c r="H107" s="11">
        <v>0.106418</v>
      </c>
      <c r="I107" s="42">
        <f t="shared" si="6"/>
        <v>8380.8000000002357</v>
      </c>
      <c r="J107" s="42">
        <v>7.1932999999999997E-2</v>
      </c>
      <c r="K107" s="39">
        <f>Electric!W26*400</f>
        <v>15520.000000000437</v>
      </c>
      <c r="L107" s="46">
        <f>Gas!O23</f>
        <v>492</v>
      </c>
      <c r="M107" s="30">
        <v>0.99</v>
      </c>
      <c r="N107" s="46">
        <f>Water!O23</f>
        <v>169</v>
      </c>
      <c r="O107" s="31">
        <v>2.35</v>
      </c>
      <c r="P107" s="36">
        <v>456</v>
      </c>
      <c r="Q107" s="36">
        <v>868</v>
      </c>
    </row>
    <row r="108" spans="1:17" x14ac:dyDescent="0.25">
      <c r="A108" s="24" t="s">
        <v>17</v>
      </c>
      <c r="B108" s="22">
        <v>17</v>
      </c>
      <c r="C108" s="14">
        <v>4</v>
      </c>
      <c r="D108" s="26">
        <v>2021</v>
      </c>
      <c r="E108" s="40">
        <f t="shared" si="4"/>
        <v>2231.9999999999345</v>
      </c>
      <c r="F108" s="41">
        <v>0.106418</v>
      </c>
      <c r="G108" s="11">
        <f t="shared" si="5"/>
        <v>4612.7999999998647</v>
      </c>
      <c r="H108" s="11">
        <v>0.106418</v>
      </c>
      <c r="I108" s="42">
        <f t="shared" si="6"/>
        <v>8035.1999999997643</v>
      </c>
      <c r="J108" s="42">
        <v>7.1932999999999997E-2</v>
      </c>
      <c r="K108" s="39">
        <f>Electric!W27*400</f>
        <v>14879.999999999563</v>
      </c>
      <c r="L108" s="46">
        <f>Gas!O24</f>
        <v>493</v>
      </c>
      <c r="M108" s="30">
        <v>0.99</v>
      </c>
      <c r="N108" s="46">
        <f>Water!O24</f>
        <v>178</v>
      </c>
      <c r="O108" s="31">
        <v>2.35</v>
      </c>
      <c r="P108" s="36">
        <v>484</v>
      </c>
      <c r="Q108" s="36">
        <v>935</v>
      </c>
    </row>
    <row r="109" spans="1:17" x14ac:dyDescent="0.25">
      <c r="A109" s="24" t="s">
        <v>17</v>
      </c>
      <c r="B109" s="22">
        <v>18</v>
      </c>
      <c r="C109" s="14">
        <v>4</v>
      </c>
      <c r="D109" s="26">
        <v>2021</v>
      </c>
      <c r="E109" s="40">
        <f t="shared" si="4"/>
        <v>2334.0000000000873</v>
      </c>
      <c r="F109" s="41">
        <v>0.106418</v>
      </c>
      <c r="G109" s="11">
        <f t="shared" si="5"/>
        <v>4823.6000000001804</v>
      </c>
      <c r="H109" s="11">
        <v>0.106418</v>
      </c>
      <c r="I109" s="42">
        <f t="shared" si="6"/>
        <v>8402.4000000003143</v>
      </c>
      <c r="J109" s="42">
        <v>7.1932999999999997E-2</v>
      </c>
      <c r="K109" s="39">
        <f>Electric!W28*400</f>
        <v>15560.000000000582</v>
      </c>
      <c r="L109" s="46">
        <f>Gas!O25</f>
        <v>617</v>
      </c>
      <c r="M109" s="30">
        <v>0.99</v>
      </c>
      <c r="N109" s="46">
        <f>Water!O25</f>
        <v>165</v>
      </c>
      <c r="O109" s="31">
        <v>2.35</v>
      </c>
      <c r="P109" s="36">
        <v>231</v>
      </c>
      <c r="Q109" s="36">
        <v>405</v>
      </c>
    </row>
    <row r="110" spans="1:17" x14ac:dyDescent="0.25">
      <c r="A110" s="24" t="s">
        <v>17</v>
      </c>
      <c r="B110" s="22">
        <v>19</v>
      </c>
      <c r="C110" s="14">
        <v>4</v>
      </c>
      <c r="D110" s="26">
        <v>2021</v>
      </c>
      <c r="E110" s="40">
        <f t="shared" si="4"/>
        <v>2183.9999999999782</v>
      </c>
      <c r="F110" s="41">
        <v>0.106418</v>
      </c>
      <c r="G110" s="11">
        <f t="shared" si="5"/>
        <v>4513.5999999999549</v>
      </c>
      <c r="H110" s="11">
        <v>0.106418</v>
      </c>
      <c r="I110" s="42">
        <f t="shared" si="6"/>
        <v>7862.3999999999214</v>
      </c>
      <c r="J110" s="42">
        <v>7.1932999999999997E-2</v>
      </c>
      <c r="K110" s="39">
        <f>Electric!W29*400</f>
        <v>14559.999999999854</v>
      </c>
      <c r="L110" s="46">
        <f>Gas!O26</f>
        <v>498</v>
      </c>
      <c r="M110" s="30">
        <v>0.99</v>
      </c>
      <c r="N110" s="46">
        <f>Water!O26</f>
        <v>127</v>
      </c>
      <c r="O110" s="31">
        <v>2.35</v>
      </c>
      <c r="P110" s="36">
        <v>273</v>
      </c>
      <c r="Q110" s="36">
        <v>389</v>
      </c>
    </row>
    <row r="111" spans="1:17" x14ac:dyDescent="0.25">
      <c r="A111" s="24" t="s">
        <v>17</v>
      </c>
      <c r="B111" s="22">
        <v>20</v>
      </c>
      <c r="C111" s="14">
        <v>4</v>
      </c>
      <c r="D111" s="26">
        <v>2021</v>
      </c>
      <c r="E111" s="40">
        <f t="shared" si="4"/>
        <v>2213.9999999999782</v>
      </c>
      <c r="F111" s="41">
        <v>0.106418</v>
      </c>
      <c r="G111" s="11">
        <f t="shared" si="5"/>
        <v>4575.5999999999549</v>
      </c>
      <c r="H111" s="11">
        <v>0.106418</v>
      </c>
      <c r="I111" s="42">
        <f t="shared" si="6"/>
        <v>7970.3999999999214</v>
      </c>
      <c r="J111" s="42">
        <v>7.1932999999999997E-2</v>
      </c>
      <c r="K111" s="39">
        <f>Electric!W30*400</f>
        <v>14759.999999999854</v>
      </c>
      <c r="L111" s="46">
        <f>Gas!O27</f>
        <v>452</v>
      </c>
      <c r="M111" s="30">
        <v>0.99</v>
      </c>
      <c r="N111" s="46">
        <f>Water!O27</f>
        <v>127</v>
      </c>
      <c r="O111" s="31">
        <v>2.35</v>
      </c>
      <c r="P111" s="36">
        <v>328</v>
      </c>
      <c r="Q111" s="36">
        <v>441</v>
      </c>
    </row>
    <row r="112" spans="1:17" x14ac:dyDescent="0.25">
      <c r="A112" s="24" t="s">
        <v>17</v>
      </c>
      <c r="B112" s="22">
        <v>21</v>
      </c>
      <c r="C112" s="14">
        <v>4</v>
      </c>
      <c r="D112" s="26">
        <v>2021</v>
      </c>
      <c r="E112" s="40">
        <f t="shared" si="4"/>
        <v>2268.0000000000655</v>
      </c>
      <c r="F112" s="41">
        <v>0.106418</v>
      </c>
      <c r="G112" s="11">
        <f t="shared" si="5"/>
        <v>4687.2000000001353</v>
      </c>
      <c r="H112" s="11">
        <v>0.106418</v>
      </c>
      <c r="I112" s="42">
        <f t="shared" si="6"/>
        <v>8164.8000000002357</v>
      </c>
      <c r="J112" s="42">
        <v>7.1932999999999997E-2</v>
      </c>
      <c r="K112" s="39">
        <f>Electric!W31*400</f>
        <v>15120.000000000437</v>
      </c>
      <c r="L112" s="46">
        <f>Gas!O28</f>
        <v>524</v>
      </c>
      <c r="M112" s="30">
        <v>0.99</v>
      </c>
      <c r="N112" s="46">
        <f>Water!O28</f>
        <v>146</v>
      </c>
      <c r="O112" s="31">
        <v>2.35</v>
      </c>
      <c r="P112" s="36">
        <v>386</v>
      </c>
      <c r="Q112" s="36">
        <v>516</v>
      </c>
    </row>
    <row r="113" spans="1:17" x14ac:dyDescent="0.25">
      <c r="A113" s="24" t="s">
        <v>17</v>
      </c>
      <c r="B113" s="22">
        <v>22</v>
      </c>
      <c r="C113" s="14">
        <v>4</v>
      </c>
      <c r="D113" s="26">
        <v>2021</v>
      </c>
      <c r="E113" s="40">
        <f t="shared" si="4"/>
        <v>2279.9999999998909</v>
      </c>
      <c r="F113" s="41">
        <v>0.106418</v>
      </c>
      <c r="G113" s="11">
        <f t="shared" si="5"/>
        <v>4711.9999999997744</v>
      </c>
      <c r="H113" s="11">
        <v>0.106418</v>
      </c>
      <c r="I113" s="42">
        <f t="shared" si="6"/>
        <v>8207.9999999996071</v>
      </c>
      <c r="J113" s="42">
        <v>7.1932999999999997E-2</v>
      </c>
      <c r="K113" s="39">
        <f>Electric!W32*400</f>
        <v>15199.999999999272</v>
      </c>
      <c r="L113" s="46">
        <f>Gas!O29</f>
        <v>670</v>
      </c>
      <c r="M113" s="30">
        <v>0.99</v>
      </c>
      <c r="N113" s="46">
        <f>Water!O29</f>
        <v>164</v>
      </c>
      <c r="O113" s="31">
        <v>2.35</v>
      </c>
      <c r="P113" s="36">
        <v>408</v>
      </c>
      <c r="Q113" s="36">
        <v>609</v>
      </c>
    </row>
    <row r="114" spans="1:17" x14ac:dyDescent="0.25">
      <c r="A114" s="24" t="s">
        <v>17</v>
      </c>
      <c r="B114" s="22">
        <v>23</v>
      </c>
      <c r="C114" s="14">
        <v>4</v>
      </c>
      <c r="D114" s="26">
        <v>2021</v>
      </c>
      <c r="E114" s="40">
        <f t="shared" si="4"/>
        <v>2273.9999999999782</v>
      </c>
      <c r="F114" s="41">
        <v>0.106418</v>
      </c>
      <c r="G114" s="11">
        <f t="shared" si="5"/>
        <v>4699.5999999999549</v>
      </c>
      <c r="H114" s="11">
        <v>0.106418</v>
      </c>
      <c r="I114" s="42">
        <f t="shared" si="6"/>
        <v>8186.3999999999214</v>
      </c>
      <c r="J114" s="42">
        <v>7.1932999999999997E-2</v>
      </c>
      <c r="K114" s="39">
        <f>Electric!W33*400</f>
        <v>15159.999999999854</v>
      </c>
      <c r="L114" s="46">
        <f>Gas!O30</f>
        <v>626</v>
      </c>
      <c r="M114" s="30">
        <v>0.99</v>
      </c>
      <c r="N114" s="46">
        <f>Water!O30</f>
        <v>166</v>
      </c>
      <c r="O114" s="31">
        <v>2.35</v>
      </c>
      <c r="P114" s="36">
        <v>478</v>
      </c>
      <c r="Q114" s="36">
        <v>871</v>
      </c>
    </row>
    <row r="115" spans="1:17" x14ac:dyDescent="0.25">
      <c r="A115" s="24" t="s">
        <v>17</v>
      </c>
      <c r="B115" s="22">
        <v>24</v>
      </c>
      <c r="C115" s="14">
        <v>4</v>
      </c>
      <c r="D115" s="26">
        <v>2021</v>
      </c>
      <c r="E115" s="40">
        <f t="shared" si="4"/>
        <v>2376.0000000000218</v>
      </c>
      <c r="F115" s="41">
        <v>0.106418</v>
      </c>
      <c r="G115" s="11">
        <f t="shared" si="5"/>
        <v>4910.4000000000451</v>
      </c>
      <c r="H115" s="11">
        <v>0.106418</v>
      </c>
      <c r="I115" s="42">
        <f t="shared" si="6"/>
        <v>8553.6000000000786</v>
      </c>
      <c r="J115" s="42">
        <v>7.1932999999999997E-2</v>
      </c>
      <c r="K115" s="39">
        <f>Electric!W34*400</f>
        <v>15840.000000000146</v>
      </c>
      <c r="L115" s="46">
        <f>Gas!O31</f>
        <v>633</v>
      </c>
      <c r="M115" s="30">
        <v>0.99</v>
      </c>
      <c r="N115" s="46">
        <f>Water!O31</f>
        <v>206</v>
      </c>
      <c r="O115" s="31">
        <v>2.35</v>
      </c>
      <c r="P115" s="36">
        <v>489</v>
      </c>
      <c r="Q115" s="36">
        <v>951</v>
      </c>
    </row>
    <row r="116" spans="1:17" x14ac:dyDescent="0.25">
      <c r="A116" s="24" t="s">
        <v>17</v>
      </c>
      <c r="B116" s="22">
        <v>25</v>
      </c>
      <c r="C116" s="14">
        <v>4</v>
      </c>
      <c r="D116" s="26">
        <v>2021</v>
      </c>
      <c r="E116" s="40">
        <f t="shared" si="4"/>
        <v>1872.0000000000437</v>
      </c>
      <c r="F116" s="41">
        <v>0.106418</v>
      </c>
      <c r="G116" s="11">
        <f t="shared" si="5"/>
        <v>3868.8000000000902</v>
      </c>
      <c r="H116" s="11">
        <v>0.106418</v>
      </c>
      <c r="I116" s="42">
        <f t="shared" si="6"/>
        <v>6739.2000000001572</v>
      </c>
      <c r="J116" s="42">
        <v>7.1932999999999997E-2</v>
      </c>
      <c r="K116" s="39">
        <f>Electric!W35*400</f>
        <v>12480.000000000291</v>
      </c>
      <c r="L116" s="46">
        <f>Gas!O32</f>
        <v>562</v>
      </c>
      <c r="M116" s="30">
        <v>0.99</v>
      </c>
      <c r="N116" s="46">
        <f>Water!O32</f>
        <v>175</v>
      </c>
      <c r="O116" s="31">
        <v>2.35</v>
      </c>
      <c r="P116" s="36">
        <v>280</v>
      </c>
      <c r="Q116" s="36">
        <v>515</v>
      </c>
    </row>
    <row r="117" spans="1:17" x14ac:dyDescent="0.25">
      <c r="A117" s="24" t="s">
        <v>17</v>
      </c>
      <c r="B117" s="22">
        <v>26</v>
      </c>
      <c r="C117" s="14">
        <v>4</v>
      </c>
      <c r="D117" s="26">
        <v>2021</v>
      </c>
      <c r="E117" s="40">
        <f t="shared" si="4"/>
        <v>2555.9999999999127</v>
      </c>
      <c r="F117" s="41">
        <v>0.106418</v>
      </c>
      <c r="G117" s="11">
        <f t="shared" si="5"/>
        <v>5282.3999999998196</v>
      </c>
      <c r="H117" s="11">
        <v>0.106418</v>
      </c>
      <c r="I117" s="42">
        <f t="shared" si="6"/>
        <v>9201.5999999996857</v>
      </c>
      <c r="J117" s="42">
        <v>7.1932999999999997E-2</v>
      </c>
      <c r="K117" s="39">
        <f>Electric!W36*400</f>
        <v>17039.999999999418</v>
      </c>
      <c r="L117" s="46">
        <f>Gas!O33</f>
        <v>522</v>
      </c>
      <c r="M117" s="30">
        <v>0.99</v>
      </c>
      <c r="N117" s="46">
        <f>Water!O33</f>
        <v>137</v>
      </c>
      <c r="O117" s="31">
        <v>2.35</v>
      </c>
      <c r="P117" s="36">
        <v>189</v>
      </c>
      <c r="Q117" s="36">
        <v>289</v>
      </c>
    </row>
    <row r="118" spans="1:17" x14ac:dyDescent="0.25">
      <c r="A118" s="24" t="s">
        <v>17</v>
      </c>
      <c r="B118" s="22">
        <v>27</v>
      </c>
      <c r="C118" s="14">
        <v>4</v>
      </c>
      <c r="D118" s="26">
        <v>2021</v>
      </c>
      <c r="E118" s="40">
        <f t="shared" si="4"/>
        <v>2183.9999999999782</v>
      </c>
      <c r="F118" s="41">
        <v>0.106418</v>
      </c>
      <c r="G118" s="11">
        <f t="shared" si="5"/>
        <v>4513.5999999999549</v>
      </c>
      <c r="H118" s="11">
        <v>0.106418</v>
      </c>
      <c r="I118" s="42">
        <f t="shared" si="6"/>
        <v>7862.3999999999214</v>
      </c>
      <c r="J118" s="42">
        <v>7.1932999999999997E-2</v>
      </c>
      <c r="K118" s="39">
        <f>Electric!W37*400</f>
        <v>14559.999999999854</v>
      </c>
      <c r="L118" s="46">
        <f>Gas!O34</f>
        <v>513</v>
      </c>
      <c r="M118" s="30">
        <v>0.99</v>
      </c>
      <c r="N118" s="46">
        <f>Water!O34</f>
        <v>131</v>
      </c>
      <c r="O118" s="31">
        <v>2.35</v>
      </c>
      <c r="P118" s="36">
        <v>235</v>
      </c>
      <c r="Q118" s="36">
        <v>334</v>
      </c>
    </row>
    <row r="119" spans="1:17" x14ac:dyDescent="0.25">
      <c r="A119" s="24" t="s">
        <v>17</v>
      </c>
      <c r="B119" s="22">
        <v>28</v>
      </c>
      <c r="C119" s="14">
        <v>4</v>
      </c>
      <c r="D119" s="26">
        <v>2021</v>
      </c>
      <c r="E119" s="40">
        <f t="shared" si="4"/>
        <v>2394.0000000000873</v>
      </c>
      <c r="F119" s="41">
        <v>0.106418</v>
      </c>
      <c r="G119" s="11">
        <f t="shared" si="5"/>
        <v>4947.6000000001804</v>
      </c>
      <c r="H119" s="11">
        <v>0.106418</v>
      </c>
      <c r="I119" s="42">
        <f t="shared" si="6"/>
        <v>8618.4000000003143</v>
      </c>
      <c r="J119" s="42">
        <v>7.1932999999999997E-2</v>
      </c>
      <c r="K119" s="39">
        <f>Electric!W38*400</f>
        <v>15960.000000000582</v>
      </c>
      <c r="L119" s="46">
        <f>Gas!O35</f>
        <v>478</v>
      </c>
      <c r="M119" s="30">
        <v>0.99</v>
      </c>
      <c r="N119" s="46">
        <f>Water!O35</f>
        <v>153</v>
      </c>
      <c r="O119" s="31">
        <v>2.35</v>
      </c>
      <c r="P119" s="36">
        <v>312</v>
      </c>
      <c r="Q119" s="36">
        <v>434</v>
      </c>
    </row>
    <row r="120" spans="1:17" x14ac:dyDescent="0.25">
      <c r="A120" s="24" t="s">
        <v>17</v>
      </c>
      <c r="B120" s="22">
        <v>29</v>
      </c>
      <c r="C120" s="14">
        <v>4</v>
      </c>
      <c r="D120" s="26">
        <v>2021</v>
      </c>
      <c r="E120" s="40">
        <f t="shared" si="4"/>
        <v>2321.9999999999345</v>
      </c>
      <c r="F120" s="41">
        <v>0.106418</v>
      </c>
      <c r="G120" s="11">
        <f t="shared" si="5"/>
        <v>4798.7999999998647</v>
      </c>
      <c r="H120" s="11">
        <v>0.106418</v>
      </c>
      <c r="I120" s="42">
        <f t="shared" si="6"/>
        <v>8359.1999999997643</v>
      </c>
      <c r="J120" s="42">
        <v>7.1932999999999997E-2</v>
      </c>
      <c r="K120" s="39">
        <f>Electric!W39*400</f>
        <v>15479.999999999563</v>
      </c>
      <c r="L120" s="46">
        <f>Gas!O36</f>
        <v>535</v>
      </c>
      <c r="M120" s="30">
        <v>0.99</v>
      </c>
      <c r="N120" s="46">
        <f>Water!O36</f>
        <v>128</v>
      </c>
      <c r="O120" s="31">
        <v>2.35</v>
      </c>
      <c r="P120" s="36">
        <v>344</v>
      </c>
      <c r="Q120" s="36">
        <v>498</v>
      </c>
    </row>
    <row r="121" spans="1:17" x14ac:dyDescent="0.25">
      <c r="A121" s="24" t="s">
        <v>17</v>
      </c>
      <c r="B121" s="22">
        <v>30</v>
      </c>
      <c r="C121" s="14">
        <v>4</v>
      </c>
      <c r="D121" s="26">
        <v>2021</v>
      </c>
      <c r="E121" s="40">
        <f t="shared" si="4"/>
        <v>2436.000000000131</v>
      </c>
      <c r="F121" s="41">
        <v>0.106418</v>
      </c>
      <c r="G121" s="11">
        <f t="shared" si="5"/>
        <v>5034.4000000002707</v>
      </c>
      <c r="H121" s="11">
        <v>0.106418</v>
      </c>
      <c r="I121" s="42">
        <f t="shared" si="6"/>
        <v>8769.6000000004715</v>
      </c>
      <c r="J121" s="42">
        <v>7.1932999999999997E-2</v>
      </c>
      <c r="K121" s="39">
        <f>Electric!W40*400</f>
        <v>16240.000000000873</v>
      </c>
      <c r="L121" s="46">
        <f>Gas!O37</f>
        <v>530</v>
      </c>
      <c r="M121" s="30">
        <v>0.99</v>
      </c>
      <c r="N121" s="46">
        <f>Water!O37</f>
        <v>182</v>
      </c>
      <c r="O121" s="31">
        <v>2.35</v>
      </c>
      <c r="P121" s="36">
        <v>444</v>
      </c>
      <c r="Q121" s="36">
        <v>810</v>
      </c>
    </row>
    <row r="122" spans="1:17" x14ac:dyDescent="0.25">
      <c r="A122" s="24" t="s">
        <v>17</v>
      </c>
      <c r="B122" s="22">
        <v>1</v>
      </c>
      <c r="C122" s="14">
        <v>5</v>
      </c>
      <c r="D122" s="26">
        <v>2021</v>
      </c>
      <c r="E122" s="40">
        <f t="shared" si="4"/>
        <v>2291.9999999999345</v>
      </c>
      <c r="F122" s="41">
        <v>0.106418</v>
      </c>
      <c r="G122" s="11">
        <f t="shared" si="5"/>
        <v>4736.7999999998647</v>
      </c>
      <c r="H122" s="11">
        <v>0.106418</v>
      </c>
      <c r="I122" s="42">
        <f t="shared" si="6"/>
        <v>8251.1999999997643</v>
      </c>
      <c r="J122" s="42">
        <v>7.1932999999999997E-2</v>
      </c>
      <c r="K122" s="39">
        <f>Electric!AB11*400</f>
        <v>15279.999999999563</v>
      </c>
      <c r="L122" s="46">
        <f>Gas!R8</f>
        <v>513</v>
      </c>
      <c r="M122" s="30">
        <v>0.99</v>
      </c>
      <c r="N122" s="46">
        <f>Water!R8</f>
        <v>200</v>
      </c>
      <c r="O122" s="31">
        <v>2.35</v>
      </c>
      <c r="P122" s="36">
        <v>498</v>
      </c>
      <c r="Q122" s="36">
        <v>959</v>
      </c>
    </row>
    <row r="123" spans="1:17" x14ac:dyDescent="0.25">
      <c r="A123" s="24" t="s">
        <v>17</v>
      </c>
      <c r="B123" s="22">
        <v>2</v>
      </c>
      <c r="C123" s="14">
        <v>5</v>
      </c>
      <c r="D123" s="26">
        <v>2021</v>
      </c>
      <c r="E123" s="40">
        <f t="shared" si="4"/>
        <v>2417.9999999999563</v>
      </c>
      <c r="F123" s="41">
        <v>0.106418</v>
      </c>
      <c r="G123" s="11">
        <f t="shared" si="5"/>
        <v>4997.1999999999098</v>
      </c>
      <c r="H123" s="11">
        <v>0.106418</v>
      </c>
      <c r="I123" s="42">
        <f t="shared" si="6"/>
        <v>8704.7999999998428</v>
      </c>
      <c r="J123" s="42">
        <v>7.1932999999999997E-2</v>
      </c>
      <c r="K123" s="39">
        <f>Electric!AB12*400</f>
        <v>16119.999999999709</v>
      </c>
      <c r="L123" s="46">
        <f>Gas!R9</f>
        <v>515</v>
      </c>
      <c r="M123" s="30">
        <v>0.99</v>
      </c>
      <c r="N123" s="46">
        <f>Water!R9</f>
        <v>180</v>
      </c>
      <c r="O123" s="31">
        <v>2.35</v>
      </c>
      <c r="P123" s="36">
        <v>218</v>
      </c>
      <c r="Q123" s="36">
        <v>399</v>
      </c>
    </row>
    <row r="124" spans="1:17" x14ac:dyDescent="0.25">
      <c r="A124" s="24" t="s">
        <v>17</v>
      </c>
      <c r="B124" s="22">
        <v>3</v>
      </c>
      <c r="C124" s="14">
        <v>5</v>
      </c>
      <c r="D124" s="26">
        <v>2021</v>
      </c>
      <c r="E124" s="40">
        <f t="shared" si="4"/>
        <v>2333.9999999999782</v>
      </c>
      <c r="F124" s="41">
        <v>0.106418</v>
      </c>
      <c r="G124" s="11">
        <f t="shared" si="5"/>
        <v>4823.5999999999549</v>
      </c>
      <c r="H124" s="11">
        <v>0.106418</v>
      </c>
      <c r="I124" s="42">
        <f t="shared" si="6"/>
        <v>8402.3999999999214</v>
      </c>
      <c r="J124" s="42">
        <v>7.1932999999999997E-2</v>
      </c>
      <c r="K124" s="39">
        <f>Electric!AB13*400</f>
        <v>15559.999999999854</v>
      </c>
      <c r="L124" s="46">
        <f>Gas!R10</f>
        <v>488</v>
      </c>
      <c r="M124" s="30">
        <v>0.99</v>
      </c>
      <c r="N124" s="46">
        <f>Water!R10</f>
        <v>132</v>
      </c>
      <c r="O124" s="31">
        <v>2.35</v>
      </c>
      <c r="P124" s="36">
        <v>205</v>
      </c>
      <c r="Q124" s="36">
        <v>299</v>
      </c>
    </row>
    <row r="125" spans="1:17" x14ac:dyDescent="0.25">
      <c r="A125" s="24" t="s">
        <v>17</v>
      </c>
      <c r="B125" s="22">
        <v>4</v>
      </c>
      <c r="C125" s="14">
        <v>5</v>
      </c>
      <c r="D125" s="26">
        <v>2021</v>
      </c>
      <c r="E125" s="40">
        <f t="shared" si="4"/>
        <v>2334.0000000000873</v>
      </c>
      <c r="F125" s="41">
        <v>0.106418</v>
      </c>
      <c r="G125" s="11">
        <f t="shared" si="5"/>
        <v>4823.6000000001804</v>
      </c>
      <c r="H125" s="11">
        <v>0.106418</v>
      </c>
      <c r="I125" s="42">
        <f t="shared" si="6"/>
        <v>8402.4000000003143</v>
      </c>
      <c r="J125" s="42">
        <v>7.1932999999999997E-2</v>
      </c>
      <c r="K125" s="39">
        <f>Electric!AB14*400</f>
        <v>15560.000000000582</v>
      </c>
      <c r="L125" s="46">
        <f>Gas!R11</f>
        <v>536</v>
      </c>
      <c r="M125" s="30">
        <v>0.99</v>
      </c>
      <c r="N125" s="46">
        <f>Water!R11</f>
        <v>149</v>
      </c>
      <c r="O125" s="31">
        <v>2.35</v>
      </c>
      <c r="P125" s="36">
        <v>270</v>
      </c>
      <c r="Q125" s="36">
        <v>362</v>
      </c>
    </row>
    <row r="126" spans="1:17" x14ac:dyDescent="0.25">
      <c r="A126" s="24" t="s">
        <v>17</v>
      </c>
      <c r="B126" s="22">
        <v>5</v>
      </c>
      <c r="C126" s="14">
        <v>5</v>
      </c>
      <c r="D126" s="26">
        <v>2021</v>
      </c>
      <c r="E126" s="40">
        <f t="shared" si="4"/>
        <v>2340</v>
      </c>
      <c r="F126" s="41">
        <v>0.106418</v>
      </c>
      <c r="G126" s="11">
        <f t="shared" si="5"/>
        <v>4836</v>
      </c>
      <c r="H126" s="11">
        <v>0.106418</v>
      </c>
      <c r="I126" s="42">
        <f t="shared" si="6"/>
        <v>8424</v>
      </c>
      <c r="J126" s="42">
        <v>7.1932999999999997E-2</v>
      </c>
      <c r="K126" s="39">
        <f>Electric!AB15*400</f>
        <v>15600</v>
      </c>
      <c r="L126" s="46">
        <f>Gas!R12</f>
        <v>597</v>
      </c>
      <c r="M126" s="30">
        <v>0.99</v>
      </c>
      <c r="N126" s="46">
        <f>Water!R12</f>
        <v>137</v>
      </c>
      <c r="O126" s="31">
        <v>2.35</v>
      </c>
      <c r="P126" s="36">
        <v>241</v>
      </c>
      <c r="Q126" s="36">
        <v>345</v>
      </c>
    </row>
    <row r="127" spans="1:17" x14ac:dyDescent="0.25">
      <c r="A127" s="24" t="s">
        <v>17</v>
      </c>
      <c r="B127" s="22">
        <v>6</v>
      </c>
      <c r="C127" s="14">
        <v>5</v>
      </c>
      <c r="D127" s="26">
        <v>2021</v>
      </c>
      <c r="E127" s="40">
        <f t="shared" si="4"/>
        <v>2466.0000000000218</v>
      </c>
      <c r="F127" s="41">
        <v>0.106418</v>
      </c>
      <c r="G127" s="11">
        <f t="shared" si="5"/>
        <v>5096.4000000000451</v>
      </c>
      <c r="H127" s="11">
        <v>0.106418</v>
      </c>
      <c r="I127" s="42">
        <f t="shared" si="6"/>
        <v>8877.6000000000786</v>
      </c>
      <c r="J127" s="42">
        <v>7.1932999999999997E-2</v>
      </c>
      <c r="K127" s="39">
        <f>Electric!AB16*400</f>
        <v>16440.000000000146</v>
      </c>
      <c r="L127" s="46">
        <f>Gas!R13</f>
        <v>536</v>
      </c>
      <c r="M127" s="30">
        <v>0.99</v>
      </c>
      <c r="N127" s="46">
        <f>Water!R13</f>
        <v>164</v>
      </c>
      <c r="O127" s="31">
        <v>2.35</v>
      </c>
      <c r="P127" s="36">
        <v>212</v>
      </c>
      <c r="Q127" s="36">
        <v>338</v>
      </c>
    </row>
    <row r="128" spans="1:17" x14ac:dyDescent="0.25">
      <c r="A128" s="24" t="s">
        <v>17</v>
      </c>
      <c r="B128" s="22">
        <v>7</v>
      </c>
      <c r="C128" s="14">
        <v>5</v>
      </c>
      <c r="D128" s="26">
        <v>2021</v>
      </c>
      <c r="E128" s="40">
        <f t="shared" si="4"/>
        <v>2286.0000000000218</v>
      </c>
      <c r="F128" s="41">
        <v>0.106418</v>
      </c>
      <c r="G128" s="11">
        <f t="shared" si="5"/>
        <v>4724.4000000000451</v>
      </c>
      <c r="H128" s="11">
        <v>0.106418</v>
      </c>
      <c r="I128" s="42">
        <f t="shared" si="6"/>
        <v>8229.6000000000786</v>
      </c>
      <c r="J128" s="42">
        <v>7.1932999999999997E-2</v>
      </c>
      <c r="K128" s="39">
        <f>Electric!AB17*400</f>
        <v>15240.000000000146</v>
      </c>
      <c r="L128" s="46">
        <f>Gas!R14</f>
        <v>471</v>
      </c>
      <c r="M128" s="30">
        <v>0.99</v>
      </c>
      <c r="N128" s="46">
        <f>Water!R14</f>
        <v>141</v>
      </c>
      <c r="O128" s="31">
        <v>2.35</v>
      </c>
      <c r="P128" s="36">
        <v>249</v>
      </c>
      <c r="Q128" s="36">
        <v>474</v>
      </c>
    </row>
    <row r="129" spans="1:17" x14ac:dyDescent="0.25">
      <c r="A129" s="24" t="s">
        <v>17</v>
      </c>
      <c r="B129" s="22">
        <v>8</v>
      </c>
      <c r="C129" s="14">
        <v>5</v>
      </c>
      <c r="D129" s="26">
        <v>2021</v>
      </c>
      <c r="E129" s="40">
        <f t="shared" si="4"/>
        <v>2417.9999999999563</v>
      </c>
      <c r="F129" s="41">
        <v>0.106418</v>
      </c>
      <c r="G129" s="11">
        <f t="shared" si="5"/>
        <v>4997.1999999999098</v>
      </c>
      <c r="H129" s="11">
        <v>0.106418</v>
      </c>
      <c r="I129" s="42">
        <f t="shared" si="6"/>
        <v>8704.7999999998428</v>
      </c>
      <c r="J129" s="42">
        <v>7.1932999999999997E-2</v>
      </c>
      <c r="K129" s="39">
        <f>Electric!AB18*400</f>
        <v>16119.999999999709</v>
      </c>
      <c r="L129" s="46">
        <f>Gas!R15</f>
        <v>524</v>
      </c>
      <c r="M129" s="30">
        <v>0.99</v>
      </c>
      <c r="N129" s="46">
        <f>Water!R15</f>
        <v>175</v>
      </c>
      <c r="O129" s="31">
        <v>2.35</v>
      </c>
      <c r="P129" s="36">
        <v>335</v>
      </c>
      <c r="Q129" s="36">
        <v>660</v>
      </c>
    </row>
    <row r="130" spans="1:17" x14ac:dyDescent="0.25">
      <c r="A130" s="24" t="s">
        <v>17</v>
      </c>
      <c r="B130" s="22">
        <v>9</v>
      </c>
      <c r="C130" s="14">
        <v>5</v>
      </c>
      <c r="D130" s="26">
        <v>2021</v>
      </c>
      <c r="E130" s="40">
        <f t="shared" si="4"/>
        <v>2201.9999999999345</v>
      </c>
      <c r="F130" s="41">
        <v>0.106418</v>
      </c>
      <c r="G130" s="11">
        <f t="shared" si="5"/>
        <v>4550.7999999998647</v>
      </c>
      <c r="H130" s="11">
        <v>0.106418</v>
      </c>
      <c r="I130" s="42">
        <f t="shared" si="6"/>
        <v>7927.1999999997643</v>
      </c>
      <c r="J130" s="42">
        <v>7.1932999999999997E-2</v>
      </c>
      <c r="K130" s="39">
        <f>Electric!AB19*400</f>
        <v>14679.999999999563</v>
      </c>
      <c r="L130" s="46">
        <f>Gas!R16</f>
        <v>502</v>
      </c>
      <c r="M130" s="30">
        <v>0.99</v>
      </c>
      <c r="N130" s="46">
        <f>Water!R16</f>
        <v>145</v>
      </c>
      <c r="O130" s="31">
        <v>2.35</v>
      </c>
      <c r="P130" s="36">
        <v>119</v>
      </c>
      <c r="Q130" s="36">
        <v>205</v>
      </c>
    </row>
    <row r="131" spans="1:17" x14ac:dyDescent="0.25">
      <c r="A131" s="24" t="s">
        <v>17</v>
      </c>
      <c r="B131" s="22">
        <v>10</v>
      </c>
      <c r="C131" s="14">
        <v>5</v>
      </c>
      <c r="D131" s="26">
        <v>2021</v>
      </c>
      <c r="E131" s="40">
        <f t="shared" ref="E131:E194" si="7">(K131/100)*15</f>
        <v>2220</v>
      </c>
      <c r="F131" s="41">
        <v>0.106418</v>
      </c>
      <c r="G131" s="11">
        <f t="shared" ref="G131:G194" si="8">(K131/100)*31</f>
        <v>4588</v>
      </c>
      <c r="H131" s="11">
        <v>0.106418</v>
      </c>
      <c r="I131" s="42">
        <f t="shared" ref="I131:I194" si="9">(K131/100)*54</f>
        <v>7992</v>
      </c>
      <c r="J131" s="42">
        <v>7.1932999999999997E-2</v>
      </c>
      <c r="K131" s="39">
        <f>Electric!AB20*400</f>
        <v>14800</v>
      </c>
      <c r="L131" s="46">
        <f>Gas!R17</f>
        <v>488</v>
      </c>
      <c r="M131" s="30">
        <v>0.99</v>
      </c>
      <c r="N131" s="46">
        <f>Water!R17</f>
        <v>158</v>
      </c>
      <c r="O131" s="31">
        <v>2.35</v>
      </c>
      <c r="P131" s="36">
        <v>160</v>
      </c>
      <c r="Q131" s="36">
        <v>218</v>
      </c>
    </row>
    <row r="132" spans="1:17" x14ac:dyDescent="0.25">
      <c r="A132" s="24" t="s">
        <v>17</v>
      </c>
      <c r="B132" s="22">
        <v>11</v>
      </c>
      <c r="C132" s="14">
        <v>5</v>
      </c>
      <c r="D132" s="26">
        <v>2021</v>
      </c>
      <c r="E132" s="40">
        <f t="shared" si="7"/>
        <v>2262.0000000000437</v>
      </c>
      <c r="F132" s="41">
        <v>0.106418</v>
      </c>
      <c r="G132" s="11">
        <f t="shared" si="8"/>
        <v>4674.8000000000902</v>
      </c>
      <c r="H132" s="11">
        <v>0.106418</v>
      </c>
      <c r="I132" s="42">
        <f t="shared" si="9"/>
        <v>8143.2000000001572</v>
      </c>
      <c r="J132" s="42">
        <v>7.1932999999999997E-2</v>
      </c>
      <c r="K132" s="39">
        <f>Electric!AB21*400</f>
        <v>15080.000000000291</v>
      </c>
      <c r="L132" s="46">
        <f>Gas!R18</f>
        <v>501</v>
      </c>
      <c r="M132" s="30">
        <v>0.99</v>
      </c>
      <c r="N132" s="46">
        <f>Water!R18</f>
        <v>108</v>
      </c>
      <c r="O132" s="31">
        <v>2.35</v>
      </c>
      <c r="P132" s="36">
        <v>174</v>
      </c>
      <c r="Q132" s="36">
        <v>241</v>
      </c>
    </row>
    <row r="133" spans="1:17" x14ac:dyDescent="0.25">
      <c r="A133" s="24" t="s">
        <v>17</v>
      </c>
      <c r="B133" s="22">
        <v>12</v>
      </c>
      <c r="C133" s="14">
        <v>5</v>
      </c>
      <c r="D133" s="26">
        <v>2021</v>
      </c>
      <c r="E133" s="40">
        <f t="shared" si="7"/>
        <v>2148.0000000000655</v>
      </c>
      <c r="F133" s="41">
        <v>0.106418</v>
      </c>
      <c r="G133" s="11">
        <f t="shared" si="8"/>
        <v>4439.2000000001353</v>
      </c>
      <c r="H133" s="11">
        <v>0.106418</v>
      </c>
      <c r="I133" s="42">
        <f t="shared" si="9"/>
        <v>7732.8000000002357</v>
      </c>
      <c r="J133" s="42">
        <v>7.1932999999999997E-2</v>
      </c>
      <c r="K133" s="39">
        <f>Electric!AB22*400</f>
        <v>14320.000000000437</v>
      </c>
      <c r="L133" s="46">
        <f>Gas!R19</f>
        <v>537</v>
      </c>
      <c r="M133" s="30">
        <v>0.99</v>
      </c>
      <c r="N133" s="46">
        <f>Water!R19</f>
        <v>122</v>
      </c>
      <c r="O133" s="31">
        <v>2.35</v>
      </c>
      <c r="P133" s="36">
        <v>201</v>
      </c>
      <c r="Q133" s="36">
        <v>285</v>
      </c>
    </row>
    <row r="134" spans="1:17" x14ac:dyDescent="0.25">
      <c r="A134" s="24" t="s">
        <v>17</v>
      </c>
      <c r="B134" s="22">
        <v>13</v>
      </c>
      <c r="C134" s="14">
        <v>5</v>
      </c>
      <c r="D134" s="26">
        <v>2021</v>
      </c>
      <c r="E134" s="40">
        <f t="shared" si="7"/>
        <v>2141.9999999999345</v>
      </c>
      <c r="F134" s="41">
        <v>0.106418</v>
      </c>
      <c r="G134" s="11">
        <f t="shared" si="8"/>
        <v>4426.7999999998647</v>
      </c>
      <c r="H134" s="11">
        <v>0.106418</v>
      </c>
      <c r="I134" s="42">
        <f t="shared" si="9"/>
        <v>7711.1999999997643</v>
      </c>
      <c r="J134" s="42">
        <v>7.1932999999999997E-2</v>
      </c>
      <c r="K134" s="39">
        <f>Electric!AB23*400</f>
        <v>14279.999999999563</v>
      </c>
      <c r="L134" s="46">
        <f>Gas!R20</f>
        <v>505</v>
      </c>
      <c r="M134" s="30">
        <v>0.99</v>
      </c>
      <c r="N134" s="46">
        <f>Water!R20</f>
        <v>111</v>
      </c>
      <c r="O134" s="31">
        <v>2.35</v>
      </c>
      <c r="P134" s="36">
        <v>201</v>
      </c>
      <c r="Q134" s="36">
        <v>320</v>
      </c>
    </row>
    <row r="135" spans="1:17" x14ac:dyDescent="0.25">
      <c r="A135" s="24" t="s">
        <v>17</v>
      </c>
      <c r="B135" s="22">
        <v>14</v>
      </c>
      <c r="C135" s="14">
        <v>5</v>
      </c>
      <c r="D135" s="26">
        <v>2021</v>
      </c>
      <c r="E135" s="40">
        <f t="shared" si="7"/>
        <v>2297.9999999999563</v>
      </c>
      <c r="F135" s="41">
        <v>0.106418</v>
      </c>
      <c r="G135" s="11">
        <f t="shared" si="8"/>
        <v>4749.1999999999098</v>
      </c>
      <c r="H135" s="11">
        <v>0.106418</v>
      </c>
      <c r="I135" s="42">
        <f t="shared" si="9"/>
        <v>8272.7999999998428</v>
      </c>
      <c r="J135" s="42">
        <v>7.1932999999999997E-2</v>
      </c>
      <c r="K135" s="39">
        <f>Electric!AB24*400</f>
        <v>15319.999999999709</v>
      </c>
      <c r="L135" s="46">
        <f>Gas!R21</f>
        <v>593</v>
      </c>
      <c r="M135" s="30">
        <v>0.99</v>
      </c>
      <c r="N135" s="46">
        <f>Water!R21</f>
        <v>153</v>
      </c>
      <c r="O135" s="31">
        <v>2.35</v>
      </c>
      <c r="P135" s="36">
        <v>323</v>
      </c>
      <c r="Q135" s="36">
        <v>598</v>
      </c>
    </row>
    <row r="136" spans="1:17" x14ac:dyDescent="0.25">
      <c r="A136" s="24" t="s">
        <v>17</v>
      </c>
      <c r="B136" s="22">
        <v>15</v>
      </c>
      <c r="C136" s="14">
        <v>5</v>
      </c>
      <c r="D136" s="26">
        <v>2021</v>
      </c>
      <c r="E136" s="40">
        <f t="shared" si="7"/>
        <v>2400</v>
      </c>
      <c r="F136" s="41">
        <v>0.106418</v>
      </c>
      <c r="G136" s="11">
        <f t="shared" si="8"/>
        <v>4960</v>
      </c>
      <c r="H136" s="11">
        <v>0.106418</v>
      </c>
      <c r="I136" s="42">
        <f t="shared" si="9"/>
        <v>8640</v>
      </c>
      <c r="J136" s="42">
        <v>7.1932999999999997E-2</v>
      </c>
      <c r="K136" s="39">
        <f>Electric!AB25*400</f>
        <v>16000</v>
      </c>
      <c r="L136" s="46">
        <f>Gas!R22</f>
        <v>729</v>
      </c>
      <c r="M136" s="30">
        <v>0.99</v>
      </c>
      <c r="N136" s="46">
        <f>Water!R22</f>
        <v>175</v>
      </c>
      <c r="O136" s="31">
        <v>2.35</v>
      </c>
      <c r="P136" s="36">
        <v>510</v>
      </c>
      <c r="Q136" s="36">
        <v>978</v>
      </c>
    </row>
    <row r="137" spans="1:17" x14ac:dyDescent="0.25">
      <c r="A137" s="24" t="s">
        <v>17</v>
      </c>
      <c r="B137" s="22">
        <v>16</v>
      </c>
      <c r="C137" s="14">
        <v>5</v>
      </c>
      <c r="D137" s="26">
        <v>2021</v>
      </c>
      <c r="E137" s="40">
        <f t="shared" si="7"/>
        <v>2196.000000000131</v>
      </c>
      <c r="F137" s="41">
        <v>0.106418</v>
      </c>
      <c r="G137" s="11">
        <f t="shared" si="8"/>
        <v>4538.4000000002707</v>
      </c>
      <c r="H137" s="11">
        <v>0.106418</v>
      </c>
      <c r="I137" s="42">
        <f t="shared" si="9"/>
        <v>7905.6000000004715</v>
      </c>
      <c r="J137" s="42">
        <v>7.1932999999999997E-2</v>
      </c>
      <c r="K137" s="39">
        <f>Electric!AB26*400</f>
        <v>14640.000000000873</v>
      </c>
      <c r="L137" s="46">
        <f>Gas!R23</f>
        <v>813</v>
      </c>
      <c r="M137" s="30">
        <v>0.99</v>
      </c>
      <c r="N137" s="46">
        <f>Water!R23</f>
        <v>163</v>
      </c>
      <c r="O137" s="31">
        <v>2.35</v>
      </c>
      <c r="P137" s="36">
        <v>182</v>
      </c>
      <c r="Q137" s="36">
        <v>312</v>
      </c>
    </row>
    <row r="138" spans="1:17" x14ac:dyDescent="0.25">
      <c r="A138" s="24" t="s">
        <v>17</v>
      </c>
      <c r="B138" s="22">
        <v>17</v>
      </c>
      <c r="C138" s="14">
        <v>5</v>
      </c>
      <c r="D138" s="26">
        <v>2021</v>
      </c>
      <c r="E138" s="40">
        <f t="shared" si="7"/>
        <v>2195.9999999999127</v>
      </c>
      <c r="F138" s="41">
        <v>0.106418</v>
      </c>
      <c r="G138" s="11">
        <f t="shared" si="8"/>
        <v>4538.3999999998196</v>
      </c>
      <c r="H138" s="11">
        <v>0.106418</v>
      </c>
      <c r="I138" s="42">
        <f t="shared" si="9"/>
        <v>7905.5999999996857</v>
      </c>
      <c r="J138" s="42">
        <v>7.1932999999999997E-2</v>
      </c>
      <c r="K138" s="39">
        <f>Electric!AB27*400</f>
        <v>14639.999999999418</v>
      </c>
      <c r="L138" s="46">
        <f>Gas!R24</f>
        <v>749</v>
      </c>
      <c r="M138" s="30">
        <v>0.99</v>
      </c>
      <c r="N138" s="46">
        <f>Water!R24</f>
        <v>115</v>
      </c>
      <c r="O138" s="31">
        <v>2.35</v>
      </c>
      <c r="P138" s="36">
        <v>177</v>
      </c>
      <c r="Q138" s="36">
        <v>267</v>
      </c>
    </row>
    <row r="139" spans="1:17" x14ac:dyDescent="0.25">
      <c r="A139" s="24" t="s">
        <v>17</v>
      </c>
      <c r="B139" s="22">
        <v>18</v>
      </c>
      <c r="C139" s="14">
        <v>5</v>
      </c>
      <c r="D139" s="26">
        <v>2021</v>
      </c>
      <c r="E139" s="40">
        <f t="shared" si="7"/>
        <v>2112.0000000000437</v>
      </c>
      <c r="F139" s="41">
        <v>0.106418</v>
      </c>
      <c r="G139" s="11">
        <f t="shared" si="8"/>
        <v>4364.8000000000902</v>
      </c>
      <c r="H139" s="11">
        <v>0.106418</v>
      </c>
      <c r="I139" s="42">
        <f t="shared" si="9"/>
        <v>7603.2000000001572</v>
      </c>
      <c r="J139" s="42">
        <v>7.1932999999999997E-2</v>
      </c>
      <c r="K139" s="39">
        <f>Electric!AB28*400</f>
        <v>14080.000000000291</v>
      </c>
      <c r="L139" s="46">
        <f>Gas!R25</f>
        <v>671</v>
      </c>
      <c r="M139" s="30">
        <v>0.99</v>
      </c>
      <c r="N139" s="46">
        <f>Water!R25</f>
        <v>119</v>
      </c>
      <c r="O139" s="31">
        <v>2.35</v>
      </c>
      <c r="P139" s="36">
        <v>217</v>
      </c>
      <c r="Q139" s="36">
        <v>314</v>
      </c>
    </row>
    <row r="140" spans="1:17" x14ac:dyDescent="0.25">
      <c r="A140" s="24" t="s">
        <v>17</v>
      </c>
      <c r="B140" s="22">
        <v>19</v>
      </c>
      <c r="C140" s="14">
        <v>5</v>
      </c>
      <c r="D140" s="26">
        <v>2021</v>
      </c>
      <c r="E140" s="40">
        <f t="shared" si="7"/>
        <v>2345.9999999999127</v>
      </c>
      <c r="F140" s="41">
        <v>0.106418</v>
      </c>
      <c r="G140" s="11">
        <f t="shared" si="8"/>
        <v>4848.3999999998196</v>
      </c>
      <c r="H140" s="11">
        <v>0.106418</v>
      </c>
      <c r="I140" s="42">
        <f t="shared" si="9"/>
        <v>8445.5999999996857</v>
      </c>
      <c r="J140" s="42">
        <v>7.1932999999999997E-2</v>
      </c>
      <c r="K140" s="39">
        <f>Electric!AB29*400</f>
        <v>15639.999999999418</v>
      </c>
      <c r="L140" s="46">
        <f>Gas!R26</f>
        <v>751</v>
      </c>
      <c r="M140" s="30">
        <v>0.99</v>
      </c>
      <c r="N140" s="46">
        <f>Water!R26</f>
        <v>134</v>
      </c>
      <c r="O140" s="31">
        <v>2.35</v>
      </c>
      <c r="P140" s="36">
        <v>314</v>
      </c>
      <c r="Q140" s="36">
        <v>428</v>
      </c>
    </row>
    <row r="141" spans="1:17" x14ac:dyDescent="0.25">
      <c r="A141" s="24" t="s">
        <v>17</v>
      </c>
      <c r="B141" s="22">
        <v>20</v>
      </c>
      <c r="C141" s="14">
        <v>5</v>
      </c>
      <c r="D141" s="26">
        <v>2021</v>
      </c>
      <c r="E141" s="40">
        <f t="shared" si="7"/>
        <v>2412.0000000000437</v>
      </c>
      <c r="F141" s="41">
        <v>0.106418</v>
      </c>
      <c r="G141" s="11">
        <f t="shared" si="8"/>
        <v>4984.8000000000902</v>
      </c>
      <c r="H141" s="11">
        <v>0.106418</v>
      </c>
      <c r="I141" s="42">
        <f t="shared" si="9"/>
        <v>8683.2000000001572</v>
      </c>
      <c r="J141" s="42">
        <v>7.1932999999999997E-2</v>
      </c>
      <c r="K141" s="39">
        <f>Electric!AB30*400</f>
        <v>16080.000000000291</v>
      </c>
      <c r="L141" s="46">
        <f>Gas!R27</f>
        <v>731</v>
      </c>
      <c r="M141" s="30">
        <v>0.99</v>
      </c>
      <c r="N141" s="46">
        <f>Water!R27</f>
        <v>148</v>
      </c>
      <c r="O141" s="31">
        <v>2.35</v>
      </c>
      <c r="P141" s="36">
        <v>352</v>
      </c>
      <c r="Q141" s="36">
        <v>525</v>
      </c>
    </row>
    <row r="142" spans="1:17" x14ac:dyDescent="0.25">
      <c r="A142" s="24" t="s">
        <v>17</v>
      </c>
      <c r="B142" s="22">
        <v>21</v>
      </c>
      <c r="C142" s="14">
        <v>5</v>
      </c>
      <c r="D142" s="26">
        <v>2021</v>
      </c>
      <c r="E142" s="40">
        <f t="shared" si="7"/>
        <v>2340</v>
      </c>
      <c r="F142" s="41">
        <v>0.106418</v>
      </c>
      <c r="G142" s="11">
        <f t="shared" si="8"/>
        <v>4836</v>
      </c>
      <c r="H142" s="11">
        <v>0.106418</v>
      </c>
      <c r="I142" s="42">
        <f t="shared" si="9"/>
        <v>8424</v>
      </c>
      <c r="J142" s="42">
        <v>7.1932999999999997E-2</v>
      </c>
      <c r="K142" s="39">
        <f>Electric!AB31*400</f>
        <v>15600</v>
      </c>
      <c r="L142" s="46">
        <f>Gas!R28</f>
        <v>798</v>
      </c>
      <c r="M142" s="30">
        <v>0.99</v>
      </c>
      <c r="N142" s="46">
        <f>Water!R28</f>
        <v>173</v>
      </c>
      <c r="O142" s="31">
        <v>2.35</v>
      </c>
      <c r="P142" s="36">
        <v>378</v>
      </c>
      <c r="Q142" s="36">
        <v>724</v>
      </c>
    </row>
    <row r="143" spans="1:17" x14ac:dyDescent="0.25">
      <c r="A143" s="24" t="s">
        <v>17</v>
      </c>
      <c r="B143" s="22">
        <v>22</v>
      </c>
      <c r="C143" s="14">
        <v>5</v>
      </c>
      <c r="D143" s="26">
        <v>2021</v>
      </c>
      <c r="E143" s="40">
        <f t="shared" si="7"/>
        <v>2370</v>
      </c>
      <c r="F143" s="41">
        <v>0.106418</v>
      </c>
      <c r="G143" s="11">
        <f t="shared" si="8"/>
        <v>4898</v>
      </c>
      <c r="H143" s="11">
        <v>0.106418</v>
      </c>
      <c r="I143" s="42">
        <f t="shared" si="9"/>
        <v>8532</v>
      </c>
      <c r="J143" s="42">
        <v>7.1932999999999997E-2</v>
      </c>
      <c r="K143" s="39">
        <f>Electric!AB32*400</f>
        <v>15800</v>
      </c>
      <c r="L143" s="46">
        <f>Gas!R29</f>
        <v>703</v>
      </c>
      <c r="M143" s="30">
        <v>0.99</v>
      </c>
      <c r="N143" s="46">
        <f>Water!R29</f>
        <v>183</v>
      </c>
      <c r="O143" s="31">
        <v>2.35</v>
      </c>
      <c r="P143" s="36">
        <v>517</v>
      </c>
      <c r="Q143" s="36">
        <v>1011</v>
      </c>
    </row>
    <row r="144" spans="1:17" x14ac:dyDescent="0.25">
      <c r="A144" s="24" t="s">
        <v>17</v>
      </c>
      <c r="B144" s="22">
        <v>23</v>
      </c>
      <c r="C144" s="14">
        <v>5</v>
      </c>
      <c r="D144" s="26">
        <v>2021</v>
      </c>
      <c r="E144" s="40">
        <f t="shared" si="7"/>
        <v>2453.9999999999782</v>
      </c>
      <c r="F144" s="41">
        <v>0.106418</v>
      </c>
      <c r="G144" s="11">
        <f t="shared" si="8"/>
        <v>5071.5999999999549</v>
      </c>
      <c r="H144" s="11">
        <v>0.106418</v>
      </c>
      <c r="I144" s="42">
        <f t="shared" si="9"/>
        <v>8834.3999999999214</v>
      </c>
      <c r="J144" s="42">
        <v>7.1932999999999997E-2</v>
      </c>
      <c r="K144" s="39">
        <f>Electric!AB33*400</f>
        <v>16359.999999999854</v>
      </c>
      <c r="L144" s="46">
        <f>Gas!R30</f>
        <v>716</v>
      </c>
      <c r="M144" s="30">
        <v>0.99</v>
      </c>
      <c r="N144" s="46">
        <f>Water!R30</f>
        <v>178</v>
      </c>
      <c r="O144" s="31">
        <v>2.35</v>
      </c>
      <c r="P144" s="36">
        <v>255</v>
      </c>
      <c r="Q144" s="36">
        <v>442</v>
      </c>
    </row>
    <row r="145" spans="1:17" x14ac:dyDescent="0.25">
      <c r="A145" s="24" t="s">
        <v>17</v>
      </c>
      <c r="B145" s="22">
        <v>24</v>
      </c>
      <c r="C145" s="14">
        <v>5</v>
      </c>
      <c r="D145" s="26">
        <v>2021</v>
      </c>
      <c r="E145" s="40">
        <f t="shared" si="7"/>
        <v>2316.0000000000218</v>
      </c>
      <c r="F145" s="41">
        <v>0.106418</v>
      </c>
      <c r="G145" s="11">
        <f t="shared" si="8"/>
        <v>4786.4000000000451</v>
      </c>
      <c r="H145" s="11">
        <v>0.106418</v>
      </c>
      <c r="I145" s="42">
        <f t="shared" si="9"/>
        <v>8337.6000000000786</v>
      </c>
      <c r="J145" s="42">
        <v>7.1932999999999997E-2</v>
      </c>
      <c r="K145" s="39">
        <f>Electric!AB34*400</f>
        <v>15440.000000000146</v>
      </c>
      <c r="L145" s="46">
        <f>Gas!R31</f>
        <v>664</v>
      </c>
      <c r="M145" s="30">
        <v>0.99</v>
      </c>
      <c r="N145" s="46">
        <f>Water!R31</f>
        <v>140</v>
      </c>
      <c r="O145" s="31">
        <v>2.35</v>
      </c>
      <c r="P145" s="36">
        <v>227</v>
      </c>
      <c r="Q145" s="36">
        <v>314</v>
      </c>
    </row>
    <row r="146" spans="1:17" x14ac:dyDescent="0.25">
      <c r="A146" s="24" t="s">
        <v>17</v>
      </c>
      <c r="B146" s="22">
        <v>25</v>
      </c>
      <c r="C146" s="14">
        <v>5</v>
      </c>
      <c r="D146" s="26">
        <v>2021</v>
      </c>
      <c r="E146" s="40">
        <f t="shared" si="7"/>
        <v>2400</v>
      </c>
      <c r="F146" s="41">
        <v>0.106418</v>
      </c>
      <c r="G146" s="11">
        <f t="shared" si="8"/>
        <v>4960</v>
      </c>
      <c r="H146" s="11">
        <v>0.106418</v>
      </c>
      <c r="I146" s="42">
        <f t="shared" si="9"/>
        <v>8640</v>
      </c>
      <c r="J146" s="42">
        <v>7.1932999999999997E-2</v>
      </c>
      <c r="K146" s="39">
        <f>Electric!AB35*400</f>
        <v>16000</v>
      </c>
      <c r="L146" s="46">
        <f>Gas!R32</f>
        <v>584</v>
      </c>
      <c r="M146" s="30">
        <v>0.99</v>
      </c>
      <c r="N146" s="46">
        <f>Water!R32</f>
        <v>132</v>
      </c>
      <c r="O146" s="31">
        <v>2.35</v>
      </c>
      <c r="P146" s="36">
        <v>347</v>
      </c>
      <c r="Q146" s="36">
        <v>438</v>
      </c>
    </row>
    <row r="147" spans="1:17" x14ac:dyDescent="0.25">
      <c r="A147" s="24" t="s">
        <v>17</v>
      </c>
      <c r="B147" s="22">
        <v>26</v>
      </c>
      <c r="C147" s="14">
        <v>5</v>
      </c>
      <c r="D147" s="26">
        <v>2021</v>
      </c>
      <c r="E147" s="40">
        <f t="shared" si="7"/>
        <v>2268.0000000000655</v>
      </c>
      <c r="F147" s="41">
        <v>0.106418</v>
      </c>
      <c r="G147" s="11">
        <f t="shared" si="8"/>
        <v>4687.2000000001353</v>
      </c>
      <c r="H147" s="11">
        <v>0.106418</v>
      </c>
      <c r="I147" s="42">
        <f t="shared" si="9"/>
        <v>8164.8000000002357</v>
      </c>
      <c r="J147" s="42">
        <v>7.1932999999999997E-2</v>
      </c>
      <c r="K147" s="39">
        <f>Electric!AB36*400</f>
        <v>15120.000000000437</v>
      </c>
      <c r="L147" s="46">
        <f>Gas!R33</f>
        <v>573</v>
      </c>
      <c r="M147" s="30">
        <v>0.99</v>
      </c>
      <c r="N147" s="46">
        <f>Water!R33</f>
        <v>156</v>
      </c>
      <c r="O147" s="31">
        <v>2.35</v>
      </c>
      <c r="P147" s="36">
        <v>398</v>
      </c>
      <c r="Q147" s="36">
        <v>496</v>
      </c>
    </row>
    <row r="148" spans="1:17" x14ac:dyDescent="0.25">
      <c r="A148" s="24" t="s">
        <v>17</v>
      </c>
      <c r="B148" s="22">
        <v>27</v>
      </c>
      <c r="C148" s="14">
        <v>5</v>
      </c>
      <c r="D148" s="26">
        <v>2021</v>
      </c>
      <c r="E148" s="40">
        <f t="shared" si="7"/>
        <v>2231.9999999999345</v>
      </c>
      <c r="F148" s="41">
        <v>0.106418</v>
      </c>
      <c r="G148" s="11">
        <f t="shared" si="8"/>
        <v>4612.7999999998647</v>
      </c>
      <c r="H148" s="11">
        <v>0.106418</v>
      </c>
      <c r="I148" s="42">
        <f t="shared" si="9"/>
        <v>8035.1999999997643</v>
      </c>
      <c r="J148" s="42">
        <v>7.1932999999999997E-2</v>
      </c>
      <c r="K148" s="39">
        <f>Electric!AB37*400</f>
        <v>14879.999999999563</v>
      </c>
      <c r="L148" s="46">
        <f>Gas!R34</f>
        <v>750</v>
      </c>
      <c r="M148" s="30">
        <v>0.99</v>
      </c>
      <c r="N148" s="46">
        <f>Water!R34</f>
        <v>144</v>
      </c>
      <c r="O148" s="31">
        <v>2.35</v>
      </c>
      <c r="P148" s="36">
        <v>315</v>
      </c>
      <c r="Q148" s="36">
        <v>461</v>
      </c>
    </row>
    <row r="149" spans="1:17" x14ac:dyDescent="0.25">
      <c r="A149" s="24" t="s">
        <v>17</v>
      </c>
      <c r="B149" s="22">
        <v>28</v>
      </c>
      <c r="C149" s="14">
        <v>5</v>
      </c>
      <c r="D149" s="26">
        <v>2021</v>
      </c>
      <c r="E149" s="40">
        <f t="shared" si="7"/>
        <v>2447.9999999999563</v>
      </c>
      <c r="F149" s="41">
        <v>0.106418</v>
      </c>
      <c r="G149" s="11">
        <f t="shared" si="8"/>
        <v>5059.1999999999098</v>
      </c>
      <c r="H149" s="11">
        <v>0.106418</v>
      </c>
      <c r="I149" s="42">
        <f t="shared" si="9"/>
        <v>8812.7999999998428</v>
      </c>
      <c r="J149" s="42">
        <v>7.1932999999999997E-2</v>
      </c>
      <c r="K149" s="39">
        <f>Electric!AB38*400</f>
        <v>16319.999999999709</v>
      </c>
      <c r="L149" s="46">
        <f>Gas!R35</f>
        <v>902</v>
      </c>
      <c r="M149" s="30">
        <v>0.99</v>
      </c>
      <c r="N149" s="46">
        <f>Water!R35</f>
        <v>158</v>
      </c>
      <c r="O149" s="31">
        <v>2.35</v>
      </c>
      <c r="P149" s="36">
        <v>335</v>
      </c>
      <c r="Q149" s="36">
        <v>590</v>
      </c>
    </row>
    <row r="150" spans="1:17" x14ac:dyDescent="0.25">
      <c r="A150" s="24" t="s">
        <v>17</v>
      </c>
      <c r="B150" s="22">
        <v>29</v>
      </c>
      <c r="C150" s="14">
        <v>5</v>
      </c>
      <c r="D150" s="26">
        <v>2021</v>
      </c>
      <c r="E150" s="40">
        <f t="shared" si="7"/>
        <v>2406.0000000000218</v>
      </c>
      <c r="F150" s="41">
        <v>0.106418</v>
      </c>
      <c r="G150" s="11">
        <f t="shared" si="8"/>
        <v>4972.4000000000451</v>
      </c>
      <c r="H150" s="11">
        <v>0.106418</v>
      </c>
      <c r="I150" s="42">
        <f t="shared" si="9"/>
        <v>8661.6000000000786</v>
      </c>
      <c r="J150" s="42">
        <v>7.1932999999999997E-2</v>
      </c>
      <c r="K150" s="39">
        <f>Electric!AB39*400</f>
        <v>16040.000000000146</v>
      </c>
      <c r="L150" s="46">
        <f>Gas!R36</f>
        <v>916</v>
      </c>
      <c r="M150" s="30">
        <v>0.99</v>
      </c>
      <c r="N150" s="46">
        <f>Water!R36</f>
        <v>189</v>
      </c>
      <c r="O150" s="31">
        <v>2.35</v>
      </c>
      <c r="P150" s="36">
        <v>471</v>
      </c>
      <c r="Q150" s="36">
        <v>891</v>
      </c>
    </row>
    <row r="151" spans="1:17" x14ac:dyDescent="0.25">
      <c r="A151" s="24" t="s">
        <v>17</v>
      </c>
      <c r="B151" s="22">
        <v>30</v>
      </c>
      <c r="C151" s="14">
        <v>5</v>
      </c>
      <c r="D151" s="26">
        <v>2021</v>
      </c>
      <c r="E151" s="40">
        <f t="shared" si="7"/>
        <v>2057.9999999999563</v>
      </c>
      <c r="F151" s="41">
        <v>0.106418</v>
      </c>
      <c r="G151" s="11">
        <f t="shared" si="8"/>
        <v>4253.1999999999098</v>
      </c>
      <c r="H151" s="11">
        <v>0.106418</v>
      </c>
      <c r="I151" s="42">
        <f t="shared" si="9"/>
        <v>7408.7999999998428</v>
      </c>
      <c r="J151" s="42">
        <v>7.1932999999999997E-2</v>
      </c>
      <c r="K151" s="39">
        <f>Electric!AB40*400</f>
        <v>13719.999999999709</v>
      </c>
      <c r="L151" s="46">
        <f>Gas!R37</f>
        <v>796</v>
      </c>
      <c r="M151" s="30">
        <v>0.99</v>
      </c>
      <c r="N151" s="46">
        <f>Water!R37</f>
        <v>134</v>
      </c>
      <c r="O151" s="31">
        <v>2.35</v>
      </c>
      <c r="P151" s="36">
        <v>146</v>
      </c>
      <c r="Q151" s="36">
        <v>258</v>
      </c>
    </row>
    <row r="152" spans="1:17" x14ac:dyDescent="0.25">
      <c r="A152" s="24" t="s">
        <v>17</v>
      </c>
      <c r="B152" s="22">
        <v>31</v>
      </c>
      <c r="C152" s="14">
        <v>5</v>
      </c>
      <c r="D152" s="26">
        <v>2021</v>
      </c>
      <c r="E152" s="40">
        <f t="shared" si="7"/>
        <v>2574.0000000000873</v>
      </c>
      <c r="F152" s="41">
        <v>0.106418</v>
      </c>
      <c r="G152" s="11">
        <f t="shared" si="8"/>
        <v>5319.6000000001804</v>
      </c>
      <c r="H152" s="11">
        <v>0.106418</v>
      </c>
      <c r="I152" s="42">
        <f t="shared" si="9"/>
        <v>9266.4000000003143</v>
      </c>
      <c r="J152" s="42">
        <v>7.1932999999999997E-2</v>
      </c>
      <c r="K152" s="39">
        <f>Electric!AB41*400</f>
        <v>17160.000000000582</v>
      </c>
      <c r="L152" s="46">
        <f>Gas!R38</f>
        <v>686</v>
      </c>
      <c r="M152" s="30">
        <v>0.99</v>
      </c>
      <c r="N152" s="46">
        <f>Water!R38</f>
        <v>112</v>
      </c>
      <c r="O152" s="31">
        <v>2.35</v>
      </c>
      <c r="P152" s="36">
        <v>115</v>
      </c>
      <c r="Q152" s="36">
        <v>181</v>
      </c>
    </row>
    <row r="153" spans="1:17" x14ac:dyDescent="0.25">
      <c r="A153" s="24" t="s">
        <v>17</v>
      </c>
      <c r="B153" s="22">
        <v>1</v>
      </c>
      <c r="C153" s="14">
        <v>6</v>
      </c>
      <c r="D153" s="26">
        <v>2021</v>
      </c>
      <c r="E153" s="40">
        <f t="shared" si="7"/>
        <v>1643.9999999999782</v>
      </c>
      <c r="F153" s="41">
        <v>0.106418</v>
      </c>
      <c r="G153" s="11">
        <f t="shared" si="8"/>
        <v>3397.5999999999549</v>
      </c>
      <c r="H153" s="11">
        <v>0.106418</v>
      </c>
      <c r="I153" s="42">
        <f t="shared" si="9"/>
        <v>5918.3999999999214</v>
      </c>
      <c r="J153" s="42">
        <v>7.1932999999999997E-2</v>
      </c>
      <c r="K153" s="39">
        <f>Electric!AG11*400</f>
        <v>10959.999999999854</v>
      </c>
      <c r="L153" s="46">
        <f>Gas!U8</f>
        <v>713</v>
      </c>
      <c r="M153" s="30">
        <v>0.99</v>
      </c>
      <c r="N153" s="46">
        <f>Water!U8</f>
        <v>102</v>
      </c>
      <c r="O153" s="31">
        <v>2.35</v>
      </c>
      <c r="P153" s="36">
        <v>145</v>
      </c>
      <c r="Q153" s="36">
        <v>228</v>
      </c>
    </row>
    <row r="154" spans="1:17" x14ac:dyDescent="0.25">
      <c r="A154" s="24" t="s">
        <v>17</v>
      </c>
      <c r="B154" s="22">
        <v>2</v>
      </c>
      <c r="C154" s="14">
        <v>6</v>
      </c>
      <c r="D154" s="26">
        <v>2021</v>
      </c>
      <c r="E154" s="40">
        <f t="shared" si="7"/>
        <v>2153.9999999999782</v>
      </c>
      <c r="F154" s="41">
        <v>0.106418</v>
      </c>
      <c r="G154" s="11">
        <f t="shared" si="8"/>
        <v>4451.5999999999549</v>
      </c>
      <c r="H154" s="11">
        <v>0.106418</v>
      </c>
      <c r="I154" s="42">
        <f t="shared" si="9"/>
        <v>7754.3999999999214</v>
      </c>
      <c r="J154" s="42">
        <v>7.1932999999999997E-2</v>
      </c>
      <c r="K154" s="39">
        <f>Electric!AG12*400</f>
        <v>14359.999999999854</v>
      </c>
      <c r="L154" s="46">
        <f>Gas!U9</f>
        <v>717</v>
      </c>
      <c r="M154" s="30">
        <v>0.99</v>
      </c>
      <c r="N154" s="46">
        <f>Water!U9</f>
        <v>109</v>
      </c>
      <c r="O154" s="31">
        <v>2.35</v>
      </c>
      <c r="P154" s="36">
        <v>187</v>
      </c>
      <c r="Q154" s="36">
        <v>273</v>
      </c>
    </row>
    <row r="155" spans="1:17" x14ac:dyDescent="0.25">
      <c r="A155" s="24" t="s">
        <v>17</v>
      </c>
      <c r="B155" s="22">
        <v>3</v>
      </c>
      <c r="C155" s="14">
        <v>6</v>
      </c>
      <c r="D155" s="26">
        <v>2021</v>
      </c>
      <c r="E155" s="40">
        <f t="shared" si="7"/>
        <v>2183.9999999999782</v>
      </c>
      <c r="F155" s="41">
        <v>0.106418</v>
      </c>
      <c r="G155" s="11">
        <f t="shared" si="8"/>
        <v>4513.5999999999549</v>
      </c>
      <c r="H155" s="11">
        <v>0.106418</v>
      </c>
      <c r="I155" s="42">
        <f t="shared" si="9"/>
        <v>7862.3999999999214</v>
      </c>
      <c r="J155" s="42">
        <v>7.1932999999999997E-2</v>
      </c>
      <c r="K155" s="39">
        <f>Electric!AG13*400</f>
        <v>14559.999999999854</v>
      </c>
      <c r="L155" s="46">
        <f>Gas!U10</f>
        <v>812</v>
      </c>
      <c r="M155" s="30">
        <v>0.99</v>
      </c>
      <c r="N155" s="46">
        <f>Water!U10</f>
        <v>101</v>
      </c>
      <c r="O155" s="31">
        <v>2.35</v>
      </c>
      <c r="P155" s="36">
        <v>216</v>
      </c>
      <c r="Q155" s="36">
        <v>318</v>
      </c>
    </row>
    <row r="156" spans="1:17" x14ac:dyDescent="0.25">
      <c r="A156" s="24" t="s">
        <v>17</v>
      </c>
      <c r="B156" s="22">
        <v>4</v>
      </c>
      <c r="C156" s="14">
        <v>6</v>
      </c>
      <c r="D156" s="26">
        <v>2021</v>
      </c>
      <c r="E156" s="40">
        <f t="shared" si="7"/>
        <v>2190.0000000001091</v>
      </c>
      <c r="F156" s="41">
        <v>0.106418</v>
      </c>
      <c r="G156" s="11">
        <f t="shared" si="8"/>
        <v>4526.0000000002256</v>
      </c>
      <c r="H156" s="11">
        <v>0.106418</v>
      </c>
      <c r="I156" s="42">
        <f t="shared" si="9"/>
        <v>7884.0000000003929</v>
      </c>
      <c r="J156" s="42">
        <v>7.1932999999999997E-2</v>
      </c>
      <c r="K156" s="39">
        <f>Electric!AG14*400</f>
        <v>14600.000000000728</v>
      </c>
      <c r="L156" s="46">
        <f>Gas!U11</f>
        <v>727</v>
      </c>
      <c r="M156" s="30">
        <v>0.99</v>
      </c>
      <c r="N156" s="46">
        <f>Water!U11</f>
        <v>117</v>
      </c>
      <c r="O156" s="31">
        <v>2.35</v>
      </c>
      <c r="P156" s="36">
        <v>218</v>
      </c>
      <c r="Q156" s="36">
        <v>409</v>
      </c>
    </row>
    <row r="157" spans="1:17" x14ac:dyDescent="0.25">
      <c r="A157" s="24" t="s">
        <v>17</v>
      </c>
      <c r="B157" s="22">
        <v>5</v>
      </c>
      <c r="C157" s="14">
        <v>6</v>
      </c>
      <c r="D157" s="26">
        <v>2021</v>
      </c>
      <c r="E157" s="40">
        <f t="shared" si="7"/>
        <v>2057.9999999998472</v>
      </c>
      <c r="F157" s="41">
        <v>0.106418</v>
      </c>
      <c r="G157" s="11">
        <f t="shared" si="8"/>
        <v>4253.1999999996842</v>
      </c>
      <c r="H157" s="11">
        <v>0.106418</v>
      </c>
      <c r="I157" s="42">
        <f t="shared" si="9"/>
        <v>7408.7999999994499</v>
      </c>
      <c r="J157" s="42">
        <v>7.1932999999999997E-2</v>
      </c>
      <c r="K157" s="39">
        <f>Electric!AG15*400</f>
        <v>13719.999999998981</v>
      </c>
      <c r="L157" s="46">
        <f>Gas!U12</f>
        <v>700</v>
      </c>
      <c r="M157" s="30">
        <v>0.99</v>
      </c>
      <c r="N157" s="46">
        <f>Water!U12</f>
        <v>127</v>
      </c>
      <c r="O157" s="31">
        <v>2.35</v>
      </c>
      <c r="P157" s="36">
        <v>369</v>
      </c>
      <c r="Q157" s="36">
        <v>717</v>
      </c>
    </row>
    <row r="158" spans="1:17" x14ac:dyDescent="0.25">
      <c r="A158" s="24" t="s">
        <v>17</v>
      </c>
      <c r="B158" s="22">
        <v>6</v>
      </c>
      <c r="C158" s="14">
        <v>6</v>
      </c>
      <c r="D158" s="26">
        <v>2021</v>
      </c>
      <c r="E158" s="40">
        <f t="shared" si="7"/>
        <v>2022.0000000001528</v>
      </c>
      <c r="F158" s="41">
        <v>0.106418</v>
      </c>
      <c r="G158" s="11">
        <f t="shared" si="8"/>
        <v>4178.8000000003158</v>
      </c>
      <c r="H158" s="11">
        <v>0.106418</v>
      </c>
      <c r="I158" s="42">
        <f t="shared" si="9"/>
        <v>7279.2000000005501</v>
      </c>
      <c r="J158" s="42">
        <v>7.1932999999999997E-2</v>
      </c>
      <c r="K158" s="39">
        <f>Electric!AG16*400</f>
        <v>13480.000000001019</v>
      </c>
      <c r="L158" s="46">
        <f>Gas!U13</f>
        <v>700</v>
      </c>
      <c r="M158" s="30">
        <v>0.99</v>
      </c>
      <c r="N158" s="46">
        <f>Water!U13</f>
        <v>139</v>
      </c>
      <c r="O158" s="31">
        <v>2.35</v>
      </c>
      <c r="P158" s="36">
        <v>119</v>
      </c>
      <c r="Q158" s="36">
        <v>209</v>
      </c>
    </row>
    <row r="159" spans="1:17" x14ac:dyDescent="0.25">
      <c r="A159" s="24" t="s">
        <v>17</v>
      </c>
      <c r="B159" s="22">
        <v>7</v>
      </c>
      <c r="C159" s="14">
        <v>6</v>
      </c>
      <c r="D159" s="26">
        <v>2021</v>
      </c>
      <c r="E159" s="40">
        <f t="shared" si="7"/>
        <v>2279.9999999998909</v>
      </c>
      <c r="F159" s="41">
        <v>0.106418</v>
      </c>
      <c r="G159" s="11">
        <f t="shared" si="8"/>
        <v>4711.9999999997744</v>
      </c>
      <c r="H159" s="11">
        <v>0.106418</v>
      </c>
      <c r="I159" s="42">
        <f t="shared" si="9"/>
        <v>8207.9999999996071</v>
      </c>
      <c r="J159" s="42">
        <v>7.1932999999999997E-2</v>
      </c>
      <c r="K159" s="39">
        <f>Electric!AG17*400</f>
        <v>15199.999999999272</v>
      </c>
      <c r="L159" s="46">
        <f>Gas!U14</f>
        <v>758</v>
      </c>
      <c r="M159" s="30">
        <v>0.99</v>
      </c>
      <c r="N159" s="46">
        <f>Water!U14</f>
        <v>115</v>
      </c>
      <c r="O159" s="31">
        <v>2.35</v>
      </c>
      <c r="P159" s="36">
        <v>96</v>
      </c>
      <c r="Q159" s="36">
        <v>164</v>
      </c>
    </row>
    <row r="160" spans="1:17" x14ac:dyDescent="0.25">
      <c r="A160" s="24" t="s">
        <v>17</v>
      </c>
      <c r="B160" s="22">
        <v>8</v>
      </c>
      <c r="C160" s="14">
        <v>6</v>
      </c>
      <c r="D160" s="26">
        <v>2021</v>
      </c>
      <c r="E160" s="40">
        <f t="shared" si="7"/>
        <v>2052.0000000000437</v>
      </c>
      <c r="F160" s="41">
        <v>0.106418</v>
      </c>
      <c r="G160" s="11">
        <f t="shared" si="8"/>
        <v>4240.8000000000902</v>
      </c>
      <c r="H160" s="11">
        <v>0.106418</v>
      </c>
      <c r="I160" s="42">
        <f t="shared" si="9"/>
        <v>7387.2000000001572</v>
      </c>
      <c r="J160" s="42">
        <v>7.1932999999999997E-2</v>
      </c>
      <c r="K160" s="39">
        <f>Electric!AG18*400</f>
        <v>13680.000000000291</v>
      </c>
      <c r="L160" s="46">
        <f>Gas!U15</f>
        <v>609</v>
      </c>
      <c r="M160" s="30">
        <v>0.99</v>
      </c>
      <c r="N160" s="46">
        <f>Water!U15</f>
        <v>101</v>
      </c>
      <c r="O160" s="31">
        <v>2.35</v>
      </c>
      <c r="P160" s="36">
        <v>104</v>
      </c>
      <c r="Q160" s="36">
        <v>165</v>
      </c>
    </row>
    <row r="161" spans="1:17" x14ac:dyDescent="0.25">
      <c r="A161" s="24" t="s">
        <v>17</v>
      </c>
      <c r="B161" s="22">
        <v>9</v>
      </c>
      <c r="C161" s="14">
        <v>6</v>
      </c>
      <c r="D161" s="26">
        <v>2021</v>
      </c>
      <c r="E161" s="40">
        <f t="shared" si="7"/>
        <v>2172.0000000000437</v>
      </c>
      <c r="F161" s="41">
        <v>0.106418</v>
      </c>
      <c r="G161" s="11">
        <f t="shared" si="8"/>
        <v>4488.8000000000902</v>
      </c>
      <c r="H161" s="11">
        <v>0.106418</v>
      </c>
      <c r="I161" s="42">
        <f t="shared" si="9"/>
        <v>7819.2000000001572</v>
      </c>
      <c r="J161" s="42">
        <v>7.1932999999999997E-2</v>
      </c>
      <c r="K161" s="39">
        <f>Electric!AG19*400</f>
        <v>14480.000000000291</v>
      </c>
      <c r="L161" s="46">
        <f>Gas!U16</f>
        <v>693</v>
      </c>
      <c r="M161" s="30">
        <v>0.99</v>
      </c>
      <c r="N161" s="46">
        <f>Water!U16</f>
        <v>101</v>
      </c>
      <c r="O161" s="31">
        <v>2.35</v>
      </c>
      <c r="P161" s="36">
        <v>137</v>
      </c>
      <c r="Q161" s="36">
        <v>207</v>
      </c>
    </row>
    <row r="162" spans="1:17" x14ac:dyDescent="0.25">
      <c r="A162" s="24" t="s">
        <v>17</v>
      </c>
      <c r="B162" s="22">
        <v>10</v>
      </c>
      <c r="C162" s="14">
        <v>6</v>
      </c>
      <c r="D162" s="26">
        <v>2021</v>
      </c>
      <c r="E162" s="40">
        <f t="shared" si="7"/>
        <v>2111.9999999999345</v>
      </c>
      <c r="F162" s="41">
        <v>0.106418</v>
      </c>
      <c r="G162" s="11">
        <f t="shared" si="8"/>
        <v>4364.7999999998647</v>
      </c>
      <c r="H162" s="11">
        <v>0.106418</v>
      </c>
      <c r="I162" s="42">
        <f t="shared" si="9"/>
        <v>7603.1999999997643</v>
      </c>
      <c r="J162" s="42">
        <v>7.1932999999999997E-2</v>
      </c>
      <c r="K162" s="39">
        <f>Electric!AG20*400</f>
        <v>14079.999999999563</v>
      </c>
      <c r="L162" s="46">
        <f>Gas!U17</f>
        <v>881</v>
      </c>
      <c r="M162" s="30">
        <v>0.99</v>
      </c>
      <c r="N162" s="46">
        <f>Water!U17</f>
        <v>87</v>
      </c>
      <c r="O162" s="31">
        <v>2.35</v>
      </c>
      <c r="P162" s="36">
        <v>154</v>
      </c>
      <c r="Q162" s="36">
        <v>253</v>
      </c>
    </row>
    <row r="163" spans="1:17" x14ac:dyDescent="0.25">
      <c r="A163" s="24" t="s">
        <v>17</v>
      </c>
      <c r="B163" s="22">
        <v>11</v>
      </c>
      <c r="C163" s="14">
        <v>6</v>
      </c>
      <c r="D163" s="26">
        <v>2021</v>
      </c>
      <c r="E163" s="40">
        <f t="shared" si="7"/>
        <v>2244.0000000000873</v>
      </c>
      <c r="F163" s="41">
        <v>0.106418</v>
      </c>
      <c r="G163" s="11">
        <f t="shared" si="8"/>
        <v>4637.6000000001804</v>
      </c>
      <c r="H163" s="11">
        <v>0.106418</v>
      </c>
      <c r="I163" s="42">
        <f t="shared" si="9"/>
        <v>8078.4000000003143</v>
      </c>
      <c r="J163" s="42">
        <v>7.1932999999999997E-2</v>
      </c>
      <c r="K163" s="39">
        <f>Electric!AG21*400</f>
        <v>14960.000000000582</v>
      </c>
      <c r="L163" s="46">
        <f>Gas!U18</f>
        <v>870</v>
      </c>
      <c r="M163" s="30">
        <v>0.99</v>
      </c>
      <c r="N163" s="46">
        <f>Water!U18</f>
        <v>116</v>
      </c>
      <c r="O163" s="31">
        <v>2.35</v>
      </c>
      <c r="P163" s="36">
        <v>299</v>
      </c>
      <c r="Q163" s="36">
        <v>565</v>
      </c>
    </row>
    <row r="164" spans="1:17" x14ac:dyDescent="0.25">
      <c r="A164" s="24" t="s">
        <v>17</v>
      </c>
      <c r="B164" s="22">
        <v>12</v>
      </c>
      <c r="C164" s="14">
        <v>6</v>
      </c>
      <c r="D164" s="26">
        <v>2021</v>
      </c>
      <c r="E164" s="40">
        <f t="shared" si="7"/>
        <v>2057.9999999999563</v>
      </c>
      <c r="F164" s="41">
        <v>0.106418</v>
      </c>
      <c r="G164" s="11">
        <f t="shared" si="8"/>
        <v>4253.1999999999098</v>
      </c>
      <c r="H164" s="11">
        <v>0.106418</v>
      </c>
      <c r="I164" s="42">
        <f t="shared" si="9"/>
        <v>7408.7999999998428</v>
      </c>
      <c r="J164" s="42">
        <v>7.1932999999999997E-2</v>
      </c>
      <c r="K164" s="39">
        <f>Electric!AG22*400</f>
        <v>13719.999999999709</v>
      </c>
      <c r="L164" s="46">
        <f>Gas!U19</f>
        <v>693</v>
      </c>
      <c r="M164" s="30">
        <v>0.99</v>
      </c>
      <c r="N164" s="46">
        <f>Water!U19</f>
        <v>150</v>
      </c>
      <c r="O164" s="31">
        <v>2.35</v>
      </c>
      <c r="P164" s="36">
        <v>437</v>
      </c>
      <c r="Q164" s="36">
        <v>870</v>
      </c>
    </row>
    <row r="165" spans="1:17" x14ac:dyDescent="0.25">
      <c r="A165" s="24" t="s">
        <v>17</v>
      </c>
      <c r="B165" s="22">
        <v>13</v>
      </c>
      <c r="C165" s="14">
        <v>6</v>
      </c>
      <c r="D165" s="26">
        <v>2021</v>
      </c>
      <c r="E165" s="40">
        <f t="shared" si="7"/>
        <v>2436.0000000000218</v>
      </c>
      <c r="F165" s="41">
        <v>0.106418</v>
      </c>
      <c r="G165" s="11">
        <f t="shared" si="8"/>
        <v>5034.4000000000451</v>
      </c>
      <c r="H165" s="11">
        <v>0.106418</v>
      </c>
      <c r="I165" s="42">
        <f t="shared" si="9"/>
        <v>8769.6000000000786</v>
      </c>
      <c r="J165" s="42">
        <v>7.1932999999999997E-2</v>
      </c>
      <c r="K165" s="39">
        <f>Electric!AG23*400</f>
        <v>16240.000000000146</v>
      </c>
      <c r="L165" s="46">
        <f>Gas!U20</f>
        <v>832</v>
      </c>
      <c r="M165" s="30">
        <v>0.99</v>
      </c>
      <c r="N165" s="46">
        <f>Water!U20</f>
        <v>168</v>
      </c>
      <c r="O165" s="31">
        <v>2.35</v>
      </c>
      <c r="P165" s="36">
        <v>344</v>
      </c>
      <c r="Q165" s="36">
        <v>689</v>
      </c>
    </row>
    <row r="166" spans="1:17" x14ac:dyDescent="0.25">
      <c r="A166" s="24" t="s">
        <v>17</v>
      </c>
      <c r="B166" s="22">
        <v>14</v>
      </c>
      <c r="C166" s="14">
        <v>6</v>
      </c>
      <c r="D166" s="26">
        <v>2021</v>
      </c>
      <c r="E166" s="40">
        <f t="shared" si="7"/>
        <v>2207.9999999999563</v>
      </c>
      <c r="F166" s="41">
        <v>0.106418</v>
      </c>
      <c r="G166" s="11">
        <f t="shared" si="8"/>
        <v>4563.1999999999098</v>
      </c>
      <c r="H166" s="11">
        <v>0.106418</v>
      </c>
      <c r="I166" s="42">
        <f t="shared" si="9"/>
        <v>7948.7999999998428</v>
      </c>
      <c r="J166" s="42">
        <v>7.1932999999999997E-2</v>
      </c>
      <c r="K166" s="39">
        <f>Electric!AG24*400</f>
        <v>14719.999999999709</v>
      </c>
      <c r="L166" s="46">
        <f>Gas!U21</f>
        <v>811</v>
      </c>
      <c r="M166" s="30">
        <v>0.99</v>
      </c>
      <c r="N166" s="46">
        <f>Water!U21</f>
        <v>148</v>
      </c>
      <c r="O166" s="31">
        <v>2.35</v>
      </c>
      <c r="P166" s="36">
        <v>127</v>
      </c>
      <c r="Q166" s="36">
        <v>224</v>
      </c>
    </row>
    <row r="167" spans="1:17" x14ac:dyDescent="0.25">
      <c r="A167" s="24" t="s">
        <v>17</v>
      </c>
      <c r="B167" s="22">
        <v>15</v>
      </c>
      <c r="C167" s="14">
        <v>6</v>
      </c>
      <c r="D167" s="26">
        <v>2021</v>
      </c>
      <c r="E167" s="40">
        <f t="shared" si="7"/>
        <v>2087.9999999999563</v>
      </c>
      <c r="F167" s="41">
        <v>0.106418</v>
      </c>
      <c r="G167" s="11">
        <f t="shared" si="8"/>
        <v>4315.1999999999098</v>
      </c>
      <c r="H167" s="11">
        <v>0.106418</v>
      </c>
      <c r="I167" s="42">
        <f t="shared" si="9"/>
        <v>7516.7999999998428</v>
      </c>
      <c r="J167" s="42">
        <v>7.1932999999999997E-2</v>
      </c>
      <c r="K167" s="39">
        <f>Electric!AG25*400</f>
        <v>13919.999999999709</v>
      </c>
      <c r="L167" s="46">
        <f>Gas!U22</f>
        <v>756</v>
      </c>
      <c r="M167" s="30">
        <v>0.99</v>
      </c>
      <c r="N167" s="46">
        <f>Water!U22</f>
        <v>99</v>
      </c>
      <c r="O167" s="31">
        <v>2.35</v>
      </c>
      <c r="P167" s="36">
        <v>176</v>
      </c>
      <c r="Q167" s="36">
        <v>246</v>
      </c>
    </row>
    <row r="168" spans="1:17" x14ac:dyDescent="0.25">
      <c r="A168" s="24" t="s">
        <v>17</v>
      </c>
      <c r="B168" s="22">
        <v>16</v>
      </c>
      <c r="C168" s="14">
        <v>6</v>
      </c>
      <c r="D168" s="26">
        <v>2021</v>
      </c>
      <c r="E168" s="40">
        <f t="shared" si="7"/>
        <v>2070</v>
      </c>
      <c r="F168" s="41">
        <v>0.106418</v>
      </c>
      <c r="G168" s="11">
        <f t="shared" si="8"/>
        <v>4278</v>
      </c>
      <c r="H168" s="11">
        <v>0.106418</v>
      </c>
      <c r="I168" s="42">
        <f t="shared" si="9"/>
        <v>7452</v>
      </c>
      <c r="J168" s="42">
        <v>7.1932999999999997E-2</v>
      </c>
      <c r="K168" s="39">
        <f>Electric!AG26*400</f>
        <v>13800</v>
      </c>
      <c r="L168" s="46">
        <f>Gas!U23</f>
        <v>710</v>
      </c>
      <c r="M168" s="30">
        <v>0.99</v>
      </c>
      <c r="N168" s="46">
        <f>Water!U23</f>
        <v>98</v>
      </c>
      <c r="O168" s="31">
        <v>2.35</v>
      </c>
      <c r="P168" s="36">
        <v>173</v>
      </c>
      <c r="Q168" s="36">
        <v>259</v>
      </c>
    </row>
    <row r="169" spans="1:17" x14ac:dyDescent="0.25">
      <c r="A169" s="24" t="s">
        <v>17</v>
      </c>
      <c r="B169" s="22">
        <v>17</v>
      </c>
      <c r="C169" s="14">
        <v>6</v>
      </c>
      <c r="D169" s="26">
        <v>2021</v>
      </c>
      <c r="E169" s="40">
        <f t="shared" si="7"/>
        <v>2136.000000000131</v>
      </c>
      <c r="F169" s="41">
        <v>0.106418</v>
      </c>
      <c r="G169" s="11">
        <f t="shared" si="8"/>
        <v>4414.4000000002707</v>
      </c>
      <c r="H169" s="11">
        <v>0.106418</v>
      </c>
      <c r="I169" s="42">
        <f t="shared" si="9"/>
        <v>7689.6000000004715</v>
      </c>
      <c r="J169" s="42">
        <v>7.1932999999999997E-2</v>
      </c>
      <c r="K169" s="39">
        <f>Electric!AG27*400</f>
        <v>14240.000000000873</v>
      </c>
      <c r="L169" s="46">
        <f>Gas!U24</f>
        <v>691</v>
      </c>
      <c r="M169" s="30">
        <v>0.99</v>
      </c>
      <c r="N169" s="46">
        <f>Water!U24</f>
        <v>96</v>
      </c>
      <c r="O169" s="31">
        <v>2.35</v>
      </c>
      <c r="P169" s="36">
        <v>179</v>
      </c>
      <c r="Q169" s="36">
        <v>275</v>
      </c>
    </row>
    <row r="170" spans="1:17" x14ac:dyDescent="0.25">
      <c r="A170" s="24" t="s">
        <v>17</v>
      </c>
      <c r="B170" s="22">
        <v>18</v>
      </c>
      <c r="C170" s="14">
        <v>6</v>
      </c>
      <c r="D170" s="26">
        <v>2021</v>
      </c>
      <c r="E170" s="40">
        <f t="shared" si="7"/>
        <v>2153.9999999999782</v>
      </c>
      <c r="F170" s="41">
        <v>0.106418</v>
      </c>
      <c r="G170" s="11">
        <f t="shared" si="8"/>
        <v>4451.5999999999549</v>
      </c>
      <c r="H170" s="11">
        <v>0.106418</v>
      </c>
      <c r="I170" s="42">
        <f t="shared" si="9"/>
        <v>7754.3999999999214</v>
      </c>
      <c r="J170" s="42">
        <v>7.1932999999999997E-2</v>
      </c>
      <c r="K170" s="39">
        <f>Electric!AG28*400</f>
        <v>14359.999999999854</v>
      </c>
      <c r="L170" s="46">
        <f>Gas!U25</f>
        <v>702</v>
      </c>
      <c r="M170" s="30">
        <v>0.99</v>
      </c>
      <c r="N170" s="46">
        <f>Water!U25</f>
        <v>118</v>
      </c>
      <c r="O170" s="31">
        <v>2.35</v>
      </c>
      <c r="P170" s="36">
        <v>244</v>
      </c>
      <c r="Q170" s="36">
        <v>446</v>
      </c>
    </row>
    <row r="171" spans="1:17" x14ac:dyDescent="0.25">
      <c r="A171" s="24" t="s">
        <v>17</v>
      </c>
      <c r="B171" s="22">
        <v>19</v>
      </c>
      <c r="C171" s="14">
        <v>6</v>
      </c>
      <c r="D171" s="26">
        <v>2021</v>
      </c>
      <c r="E171" s="40">
        <f t="shared" si="7"/>
        <v>2075.9999999999127</v>
      </c>
      <c r="F171" s="41">
        <v>0.106418</v>
      </c>
      <c r="G171" s="11">
        <f t="shared" si="8"/>
        <v>4290.3999999998196</v>
      </c>
      <c r="H171" s="11">
        <v>0.106418</v>
      </c>
      <c r="I171" s="42">
        <f t="shared" si="9"/>
        <v>7473.5999999996857</v>
      </c>
      <c r="J171" s="42">
        <v>7.1932999999999997E-2</v>
      </c>
      <c r="K171" s="39">
        <f>Electric!AG29*400</f>
        <v>13839.999999999418</v>
      </c>
      <c r="L171" s="46">
        <f>Gas!U26</f>
        <v>814</v>
      </c>
      <c r="M171" s="30">
        <v>0.99</v>
      </c>
      <c r="N171" s="46">
        <f>Water!U26</f>
        <v>121</v>
      </c>
      <c r="O171" s="31">
        <v>2.35</v>
      </c>
      <c r="P171" s="36">
        <v>383</v>
      </c>
      <c r="Q171" s="36">
        <v>755</v>
      </c>
    </row>
    <row r="172" spans="1:17" x14ac:dyDescent="0.25">
      <c r="A172" s="24" t="s">
        <v>17</v>
      </c>
      <c r="B172" s="22">
        <v>20</v>
      </c>
      <c r="C172" s="14">
        <v>6</v>
      </c>
      <c r="D172" s="26">
        <v>2021</v>
      </c>
      <c r="E172" s="40">
        <f t="shared" si="7"/>
        <v>2220.0000000001091</v>
      </c>
      <c r="F172" s="41">
        <v>0.106418</v>
      </c>
      <c r="G172" s="11">
        <f t="shared" si="8"/>
        <v>4588.0000000002256</v>
      </c>
      <c r="H172" s="11">
        <v>0.106418</v>
      </c>
      <c r="I172" s="42">
        <f t="shared" si="9"/>
        <v>7992.0000000003929</v>
      </c>
      <c r="J172" s="42">
        <v>7.1932999999999997E-2</v>
      </c>
      <c r="K172" s="39">
        <f>Electric!AG30*400</f>
        <v>14800.000000000728</v>
      </c>
      <c r="L172" s="46">
        <f>Gas!U27</f>
        <v>876</v>
      </c>
      <c r="M172" s="30">
        <v>0.99</v>
      </c>
      <c r="N172" s="46">
        <f>Water!U27</f>
        <v>126</v>
      </c>
      <c r="O172" s="31">
        <v>2.35</v>
      </c>
      <c r="P172" s="36">
        <v>92</v>
      </c>
      <c r="Q172" s="36">
        <v>170</v>
      </c>
    </row>
    <row r="173" spans="1:17" x14ac:dyDescent="0.25">
      <c r="A173" s="24" t="s">
        <v>17</v>
      </c>
      <c r="B173" s="22">
        <v>21</v>
      </c>
      <c r="C173" s="14">
        <v>6</v>
      </c>
      <c r="D173" s="26">
        <v>2021</v>
      </c>
      <c r="E173" s="40">
        <f t="shared" si="7"/>
        <v>2111.9999999998254</v>
      </c>
      <c r="F173" s="41">
        <v>0.106418</v>
      </c>
      <c r="G173" s="11">
        <f t="shared" si="8"/>
        <v>4364.7999999996391</v>
      </c>
      <c r="H173" s="11">
        <v>0.106418</v>
      </c>
      <c r="I173" s="42">
        <f t="shared" si="9"/>
        <v>7603.1999999993714</v>
      </c>
      <c r="J173" s="42">
        <v>7.1932999999999997E-2</v>
      </c>
      <c r="K173" s="39">
        <f>Electric!AG31*400</f>
        <v>14079.999999998836</v>
      </c>
      <c r="L173" s="46">
        <f>Gas!U28</f>
        <v>925</v>
      </c>
      <c r="M173" s="30">
        <v>0.99</v>
      </c>
      <c r="N173" s="46">
        <f>Water!U28</f>
        <v>96</v>
      </c>
      <c r="O173" s="31">
        <v>2.35</v>
      </c>
      <c r="P173" s="36">
        <v>75</v>
      </c>
      <c r="Q173" s="36">
        <v>127</v>
      </c>
    </row>
    <row r="174" spans="1:17" x14ac:dyDescent="0.25">
      <c r="A174" s="24" t="s">
        <v>17</v>
      </c>
      <c r="B174" s="22">
        <v>22</v>
      </c>
      <c r="C174" s="14">
        <v>6</v>
      </c>
      <c r="D174" s="26">
        <v>2021</v>
      </c>
      <c r="E174" s="40">
        <f t="shared" si="7"/>
        <v>2214.0000000000873</v>
      </c>
      <c r="F174" s="41">
        <v>0.106418</v>
      </c>
      <c r="G174" s="11">
        <f t="shared" si="8"/>
        <v>4575.6000000001804</v>
      </c>
      <c r="H174" s="11">
        <v>0.106418</v>
      </c>
      <c r="I174" s="42">
        <f t="shared" si="9"/>
        <v>7970.4000000003143</v>
      </c>
      <c r="J174" s="42">
        <v>7.1932999999999997E-2</v>
      </c>
      <c r="K174" s="39">
        <f>Electric!AG32*400</f>
        <v>14760.000000000582</v>
      </c>
      <c r="L174" s="46">
        <f>Gas!U29</f>
        <v>761</v>
      </c>
      <c r="M174" s="30">
        <v>0.99</v>
      </c>
      <c r="N174" s="46">
        <f>Water!U29</f>
        <v>108</v>
      </c>
      <c r="O174" s="31">
        <v>2.35</v>
      </c>
      <c r="P174" s="36">
        <v>74</v>
      </c>
      <c r="Q174" s="36">
        <v>121</v>
      </c>
    </row>
    <row r="175" spans="1:17" x14ac:dyDescent="0.25">
      <c r="A175" s="24" t="s">
        <v>17</v>
      </c>
      <c r="B175" s="22">
        <v>23</v>
      </c>
      <c r="C175" s="14">
        <v>6</v>
      </c>
      <c r="D175" s="26">
        <v>2021</v>
      </c>
      <c r="E175" s="40">
        <f t="shared" si="7"/>
        <v>1877.9999999999563</v>
      </c>
      <c r="F175" s="41">
        <v>0.106418</v>
      </c>
      <c r="G175" s="11">
        <f t="shared" si="8"/>
        <v>3881.1999999999098</v>
      </c>
      <c r="H175" s="11">
        <v>0.106418</v>
      </c>
      <c r="I175" s="42">
        <f t="shared" si="9"/>
        <v>6760.7999999998428</v>
      </c>
      <c r="J175" s="42">
        <v>7.1932999999999997E-2</v>
      </c>
      <c r="K175" s="39">
        <f>Electric!AG33*400</f>
        <v>12519.999999999709</v>
      </c>
      <c r="L175" s="46">
        <f>Gas!U30</f>
        <v>581</v>
      </c>
      <c r="M175" s="30">
        <v>0.99</v>
      </c>
      <c r="N175" s="46">
        <f>Water!U30</f>
        <v>43</v>
      </c>
      <c r="O175" s="31">
        <v>2.35</v>
      </c>
      <c r="P175" s="36">
        <v>51</v>
      </c>
      <c r="Q175" s="36">
        <v>78</v>
      </c>
    </row>
    <row r="176" spans="1:17" x14ac:dyDescent="0.25">
      <c r="A176" s="24" t="s">
        <v>17</v>
      </c>
      <c r="B176" s="22">
        <v>24</v>
      </c>
      <c r="C176" s="14">
        <v>6</v>
      </c>
      <c r="D176" s="26">
        <v>2021</v>
      </c>
      <c r="E176" s="40">
        <f t="shared" si="7"/>
        <v>1884.0000000000873</v>
      </c>
      <c r="F176" s="41">
        <v>0.106418</v>
      </c>
      <c r="G176" s="11">
        <f t="shared" si="8"/>
        <v>3893.6000000001804</v>
      </c>
      <c r="H176" s="11">
        <v>0.106418</v>
      </c>
      <c r="I176" s="42">
        <f t="shared" si="9"/>
        <v>6782.4000000003143</v>
      </c>
      <c r="J176" s="42">
        <v>7.1932999999999997E-2</v>
      </c>
      <c r="K176" s="39">
        <f>Electric!AG34*400</f>
        <v>12560.000000000582</v>
      </c>
      <c r="L176" s="46">
        <f>Gas!U31</f>
        <v>507</v>
      </c>
      <c r="M176" s="30">
        <v>0.99</v>
      </c>
      <c r="N176" s="46">
        <f>Water!U31</f>
        <v>76</v>
      </c>
      <c r="O176" s="31">
        <v>2.35</v>
      </c>
      <c r="P176" s="36">
        <v>64</v>
      </c>
      <c r="Q176" s="36">
        <v>110</v>
      </c>
    </row>
    <row r="177" spans="1:17" x14ac:dyDescent="0.25">
      <c r="A177" s="24" t="s">
        <v>17</v>
      </c>
      <c r="B177" s="22">
        <v>25</v>
      </c>
      <c r="C177" s="14">
        <v>6</v>
      </c>
      <c r="D177" s="26">
        <v>2021</v>
      </c>
      <c r="E177" s="40">
        <f t="shared" si="7"/>
        <v>1853.9999999999782</v>
      </c>
      <c r="F177" s="41">
        <v>0.106418</v>
      </c>
      <c r="G177" s="11">
        <f t="shared" si="8"/>
        <v>3831.5999999999549</v>
      </c>
      <c r="H177" s="11">
        <v>0.106418</v>
      </c>
      <c r="I177" s="42">
        <f t="shared" si="9"/>
        <v>6674.3999999999214</v>
      </c>
      <c r="J177" s="42">
        <v>7.1932999999999997E-2</v>
      </c>
      <c r="K177" s="39">
        <f>Electric!AG35*400</f>
        <v>12359.999999999854</v>
      </c>
      <c r="L177" s="46">
        <f>Gas!U32</f>
        <v>518</v>
      </c>
      <c r="M177" s="30">
        <v>0.99</v>
      </c>
      <c r="N177" s="46">
        <f>Water!U32</f>
        <v>82</v>
      </c>
      <c r="O177" s="31">
        <v>2.35</v>
      </c>
      <c r="P177" s="36">
        <v>55</v>
      </c>
      <c r="Q177" s="36">
        <v>94</v>
      </c>
    </row>
    <row r="178" spans="1:17" x14ac:dyDescent="0.25">
      <c r="A178" s="24" t="s">
        <v>17</v>
      </c>
      <c r="B178" s="22">
        <v>26</v>
      </c>
      <c r="C178" s="14">
        <v>6</v>
      </c>
      <c r="D178" s="26">
        <v>2021</v>
      </c>
      <c r="E178" s="40">
        <f t="shared" si="7"/>
        <v>1776.0000000000218</v>
      </c>
      <c r="F178" s="41">
        <v>0.106418</v>
      </c>
      <c r="G178" s="11">
        <f t="shared" si="8"/>
        <v>3670.4000000000451</v>
      </c>
      <c r="H178" s="11">
        <v>0.106418</v>
      </c>
      <c r="I178" s="42">
        <f t="shared" si="9"/>
        <v>6393.6000000000786</v>
      </c>
      <c r="J178" s="42">
        <v>7.1932999999999997E-2</v>
      </c>
      <c r="K178" s="39">
        <f>Electric!AG36*400</f>
        <v>11840.000000000146</v>
      </c>
      <c r="L178" s="46">
        <f>Gas!U33</f>
        <v>480</v>
      </c>
      <c r="M178" s="30">
        <v>0.99</v>
      </c>
      <c r="N178" s="46">
        <f>Water!U33</f>
        <v>46</v>
      </c>
      <c r="O178" s="31">
        <v>2.35</v>
      </c>
      <c r="P178" s="36">
        <v>32</v>
      </c>
      <c r="Q178" s="36">
        <v>57</v>
      </c>
    </row>
    <row r="179" spans="1:17" x14ac:dyDescent="0.25">
      <c r="A179" s="24" t="s">
        <v>17</v>
      </c>
      <c r="B179" s="22">
        <v>27</v>
      </c>
      <c r="C179" s="14">
        <v>6</v>
      </c>
      <c r="D179" s="26">
        <v>2021</v>
      </c>
      <c r="E179" s="40">
        <f t="shared" si="7"/>
        <v>1451.9999999999345</v>
      </c>
      <c r="F179" s="41">
        <v>0.106418</v>
      </c>
      <c r="G179" s="11">
        <f t="shared" si="8"/>
        <v>3000.7999999998647</v>
      </c>
      <c r="H179" s="11">
        <v>0.106418</v>
      </c>
      <c r="I179" s="42">
        <f t="shared" si="9"/>
        <v>5227.1999999997643</v>
      </c>
      <c r="J179" s="42">
        <v>7.1932999999999997E-2</v>
      </c>
      <c r="K179" s="39">
        <f>Electric!AG37*400</f>
        <v>9679.9999999995634</v>
      </c>
      <c r="L179" s="46">
        <f>Gas!U34</f>
        <v>496</v>
      </c>
      <c r="M179" s="30">
        <v>0.99</v>
      </c>
      <c r="N179" s="46">
        <f>Water!U34</f>
        <v>64</v>
      </c>
      <c r="O179" s="31">
        <v>2.35</v>
      </c>
      <c r="P179" s="36">
        <v>15</v>
      </c>
      <c r="Q179" s="36">
        <v>25</v>
      </c>
    </row>
    <row r="180" spans="1:17" x14ac:dyDescent="0.25">
      <c r="A180" s="24" t="s">
        <v>17</v>
      </c>
      <c r="B180" s="22">
        <v>28</v>
      </c>
      <c r="C180" s="14">
        <v>6</v>
      </c>
      <c r="D180" s="26">
        <v>2021</v>
      </c>
      <c r="E180" s="40">
        <f t="shared" si="7"/>
        <v>2243.9999999999782</v>
      </c>
      <c r="F180" s="41">
        <v>0.106418</v>
      </c>
      <c r="G180" s="11">
        <f t="shared" si="8"/>
        <v>4637.5999999999549</v>
      </c>
      <c r="H180" s="11">
        <v>0.106418</v>
      </c>
      <c r="I180" s="42">
        <f t="shared" si="9"/>
        <v>8078.3999999999214</v>
      </c>
      <c r="J180" s="42">
        <v>7.1932999999999997E-2</v>
      </c>
      <c r="K180" s="39">
        <f>Electric!AG38*400</f>
        <v>14959.999999999854</v>
      </c>
      <c r="L180" s="46">
        <f>Gas!U35</f>
        <v>1036</v>
      </c>
      <c r="M180" s="30">
        <v>0.99</v>
      </c>
      <c r="N180" s="46">
        <f>Water!U35</f>
        <v>63</v>
      </c>
      <c r="O180" s="31">
        <v>2.35</v>
      </c>
      <c r="P180" s="36">
        <v>14</v>
      </c>
      <c r="Q180" s="36">
        <v>24</v>
      </c>
    </row>
    <row r="181" spans="1:17" x14ac:dyDescent="0.25">
      <c r="A181" s="24" t="s">
        <v>17</v>
      </c>
      <c r="B181" s="22">
        <v>29</v>
      </c>
      <c r="C181" s="14">
        <v>6</v>
      </c>
      <c r="D181" s="26">
        <v>2021</v>
      </c>
      <c r="E181" s="40">
        <f t="shared" si="7"/>
        <v>1326.000000000131</v>
      </c>
      <c r="F181" s="41">
        <v>0.106418</v>
      </c>
      <c r="G181" s="11">
        <f t="shared" si="8"/>
        <v>2740.4000000002707</v>
      </c>
      <c r="H181" s="11">
        <v>0.106418</v>
      </c>
      <c r="I181" s="42">
        <f t="shared" si="9"/>
        <v>4773.6000000004715</v>
      </c>
      <c r="J181" s="42">
        <v>7.1932999999999997E-2</v>
      </c>
      <c r="K181" s="39">
        <f>Electric!AG39*400</f>
        <v>8840.0000000008731</v>
      </c>
      <c r="L181" s="46">
        <f>Gas!U36</f>
        <v>548</v>
      </c>
      <c r="M181" s="30">
        <v>0.99</v>
      </c>
      <c r="N181" s="46">
        <f>Water!U36</f>
        <v>41</v>
      </c>
      <c r="O181" s="31">
        <v>2.35</v>
      </c>
      <c r="P181" s="36">
        <v>13</v>
      </c>
      <c r="Q181" s="36">
        <v>23</v>
      </c>
    </row>
    <row r="182" spans="1:17" x14ac:dyDescent="0.25">
      <c r="A182" s="24" t="s">
        <v>17</v>
      </c>
      <c r="B182" s="22">
        <v>30</v>
      </c>
      <c r="C182" s="14">
        <v>6</v>
      </c>
      <c r="D182" s="26">
        <v>2021</v>
      </c>
      <c r="E182" s="40">
        <f t="shared" si="7"/>
        <v>1685.9999999999127</v>
      </c>
      <c r="F182" s="41">
        <v>0.106418</v>
      </c>
      <c r="G182" s="11">
        <f t="shared" si="8"/>
        <v>3484.3999999998196</v>
      </c>
      <c r="H182" s="11">
        <v>0.106418</v>
      </c>
      <c r="I182" s="42">
        <f t="shared" si="9"/>
        <v>6069.5999999996857</v>
      </c>
      <c r="J182" s="42">
        <v>7.1932999999999997E-2</v>
      </c>
      <c r="K182" s="39">
        <f>Electric!AG40*400</f>
        <v>11239.999999999418</v>
      </c>
      <c r="L182" s="46">
        <f>Gas!U37</f>
        <v>598</v>
      </c>
      <c r="M182" s="30">
        <v>0.99</v>
      </c>
      <c r="N182" s="46">
        <f>Water!U37</f>
        <v>38</v>
      </c>
      <c r="O182" s="31">
        <v>2.35</v>
      </c>
      <c r="P182" s="36">
        <v>15</v>
      </c>
      <c r="Q182" s="36">
        <v>25</v>
      </c>
    </row>
    <row r="183" spans="1:17" x14ac:dyDescent="0.25">
      <c r="A183" s="24" t="s">
        <v>17</v>
      </c>
      <c r="B183" s="22">
        <v>1</v>
      </c>
      <c r="C183" s="14">
        <v>7</v>
      </c>
      <c r="D183" s="26">
        <v>2021</v>
      </c>
      <c r="E183" s="40">
        <f t="shared" si="7"/>
        <v>1577.9999999999563</v>
      </c>
      <c r="F183" s="41">
        <v>0.106418</v>
      </c>
      <c r="G183" s="11">
        <f t="shared" si="8"/>
        <v>3261.1999999999098</v>
      </c>
      <c r="H183" s="11">
        <v>0.106418</v>
      </c>
      <c r="I183" s="42">
        <f t="shared" si="9"/>
        <v>5680.7999999998428</v>
      </c>
      <c r="J183" s="42">
        <v>7.1932999999999997E-2</v>
      </c>
      <c r="K183" s="39">
        <f>Electric!AL11*400</f>
        <v>10519.999999999709</v>
      </c>
      <c r="L183" s="46">
        <f>Gas!X8</f>
        <v>551</v>
      </c>
      <c r="M183" s="30">
        <v>0.99</v>
      </c>
      <c r="N183" s="46">
        <f>Water!X8</f>
        <v>28</v>
      </c>
      <c r="O183" s="31">
        <v>2.38</v>
      </c>
      <c r="P183" s="36">
        <v>13</v>
      </c>
      <c r="Q183" s="36">
        <v>21</v>
      </c>
    </row>
    <row r="184" spans="1:17" x14ac:dyDescent="0.25">
      <c r="A184" s="24" t="s">
        <v>17</v>
      </c>
      <c r="B184" s="22">
        <v>2</v>
      </c>
      <c r="C184" s="14">
        <v>7</v>
      </c>
      <c r="D184" s="26">
        <v>2021</v>
      </c>
      <c r="E184" s="40">
        <f t="shared" si="7"/>
        <v>1602.0000000000437</v>
      </c>
      <c r="F184" s="41">
        <v>0.106418</v>
      </c>
      <c r="G184" s="11">
        <f t="shared" si="8"/>
        <v>3310.8000000000902</v>
      </c>
      <c r="H184" s="11">
        <v>0.106418</v>
      </c>
      <c r="I184" s="42">
        <f t="shared" si="9"/>
        <v>5767.2000000001572</v>
      </c>
      <c r="J184" s="42">
        <v>7.1932999999999997E-2</v>
      </c>
      <c r="K184" s="39">
        <f>Electric!AL12*400</f>
        <v>10680.000000000291</v>
      </c>
      <c r="L184" s="46">
        <f>Gas!X9</f>
        <v>486</v>
      </c>
      <c r="M184" s="30">
        <v>0.99</v>
      </c>
      <c r="N184" s="46">
        <f>Water!X9</f>
        <v>31</v>
      </c>
      <c r="O184" s="31">
        <v>2.38</v>
      </c>
      <c r="P184" s="36">
        <v>18</v>
      </c>
      <c r="Q184" s="36">
        <v>33</v>
      </c>
    </row>
    <row r="185" spans="1:17" x14ac:dyDescent="0.25">
      <c r="A185" s="24" t="s">
        <v>17</v>
      </c>
      <c r="B185" s="22">
        <v>3</v>
      </c>
      <c r="C185" s="14">
        <v>7</v>
      </c>
      <c r="D185" s="26">
        <v>2021</v>
      </c>
      <c r="E185" s="40">
        <f t="shared" si="7"/>
        <v>1566.0000000000218</v>
      </c>
      <c r="F185" s="41">
        <v>0.106418</v>
      </c>
      <c r="G185" s="11">
        <f t="shared" si="8"/>
        <v>3236.4000000000451</v>
      </c>
      <c r="H185" s="11">
        <v>0.106418</v>
      </c>
      <c r="I185" s="42">
        <f t="shared" si="9"/>
        <v>5637.6000000000786</v>
      </c>
      <c r="J185" s="42">
        <v>7.1932999999999997E-2</v>
      </c>
      <c r="K185" s="39">
        <f>Electric!AL13*400</f>
        <v>10440.000000000146</v>
      </c>
      <c r="L185" s="46">
        <f>Gas!X10</f>
        <v>502</v>
      </c>
      <c r="M185" s="30">
        <v>0.99</v>
      </c>
      <c r="N185" s="46">
        <f>Water!X10</f>
        <v>27</v>
      </c>
      <c r="O185" s="31">
        <v>2.38</v>
      </c>
      <c r="P185" s="36">
        <v>19</v>
      </c>
      <c r="Q185" s="36">
        <v>35</v>
      </c>
    </row>
    <row r="186" spans="1:17" x14ac:dyDescent="0.25">
      <c r="A186" s="24" t="s">
        <v>17</v>
      </c>
      <c r="B186" s="22">
        <v>4</v>
      </c>
      <c r="C186" s="14">
        <v>7</v>
      </c>
      <c r="D186" s="26">
        <v>2021</v>
      </c>
      <c r="E186" s="40">
        <f t="shared" si="7"/>
        <v>1716.0000000000218</v>
      </c>
      <c r="F186" s="41">
        <v>0.106418</v>
      </c>
      <c r="G186" s="11">
        <f t="shared" si="8"/>
        <v>3546.4000000000451</v>
      </c>
      <c r="H186" s="11">
        <v>0.106418</v>
      </c>
      <c r="I186" s="42">
        <f t="shared" si="9"/>
        <v>6177.6000000000786</v>
      </c>
      <c r="J186" s="42">
        <v>7.1932999999999997E-2</v>
      </c>
      <c r="K186" s="39">
        <f>Electric!AL14*400</f>
        <v>11440.000000000146</v>
      </c>
      <c r="L186" s="46">
        <f>Gas!X11</f>
        <v>681</v>
      </c>
      <c r="M186" s="30">
        <v>0.99</v>
      </c>
      <c r="N186" s="46">
        <f>Water!X11</f>
        <v>28</v>
      </c>
      <c r="O186" s="31">
        <v>2.38</v>
      </c>
      <c r="P186" s="36">
        <v>17</v>
      </c>
      <c r="Q186" s="36">
        <v>31</v>
      </c>
    </row>
    <row r="187" spans="1:17" x14ac:dyDescent="0.25">
      <c r="A187" s="24" t="s">
        <v>17</v>
      </c>
      <c r="B187" s="22">
        <v>5</v>
      </c>
      <c r="C187" s="14">
        <v>7</v>
      </c>
      <c r="D187" s="26">
        <v>2021</v>
      </c>
      <c r="E187" s="40">
        <f t="shared" si="7"/>
        <v>1632.0000000000437</v>
      </c>
      <c r="F187" s="41">
        <v>0.106418</v>
      </c>
      <c r="G187" s="11">
        <f t="shared" si="8"/>
        <v>3372.8000000000902</v>
      </c>
      <c r="H187" s="11">
        <v>0.106418</v>
      </c>
      <c r="I187" s="42">
        <f t="shared" si="9"/>
        <v>5875.2000000001572</v>
      </c>
      <c r="J187" s="42">
        <v>7.1932999999999997E-2</v>
      </c>
      <c r="K187" s="39">
        <f>Electric!AL15*400</f>
        <v>10880.000000000291</v>
      </c>
      <c r="L187" s="46">
        <f>Gas!X12</f>
        <v>730</v>
      </c>
      <c r="M187" s="30">
        <v>0.99</v>
      </c>
      <c r="N187" s="46">
        <f>Water!X12</f>
        <v>50</v>
      </c>
      <c r="O187" s="31">
        <v>2.38</v>
      </c>
      <c r="P187" s="36">
        <v>17</v>
      </c>
      <c r="Q187" s="36">
        <v>28</v>
      </c>
    </row>
    <row r="188" spans="1:17" x14ac:dyDescent="0.25">
      <c r="A188" s="24" t="s">
        <v>17</v>
      </c>
      <c r="B188" s="22">
        <v>6</v>
      </c>
      <c r="C188" s="14">
        <v>7</v>
      </c>
      <c r="D188" s="26">
        <v>2021</v>
      </c>
      <c r="E188" s="40">
        <f t="shared" si="7"/>
        <v>1613.999999999869</v>
      </c>
      <c r="F188" s="41">
        <v>0.106418</v>
      </c>
      <c r="G188" s="11">
        <f t="shared" si="8"/>
        <v>3335.5999999997293</v>
      </c>
      <c r="H188" s="11">
        <v>0.106418</v>
      </c>
      <c r="I188" s="42">
        <f t="shared" si="9"/>
        <v>5810.3999999995285</v>
      </c>
      <c r="J188" s="42">
        <v>7.1932999999999997E-2</v>
      </c>
      <c r="K188" s="39">
        <f>Electric!AL16*400</f>
        <v>10759.999999999127</v>
      </c>
      <c r="L188" s="46">
        <f>Gas!X13</f>
        <v>708</v>
      </c>
      <c r="M188" s="30">
        <v>0.99</v>
      </c>
      <c r="N188" s="46">
        <f>Water!X13</f>
        <v>45</v>
      </c>
      <c r="O188" s="31">
        <v>2.38</v>
      </c>
      <c r="P188" s="36">
        <v>16</v>
      </c>
      <c r="Q188" s="36">
        <v>25</v>
      </c>
    </row>
    <row r="189" spans="1:17" x14ac:dyDescent="0.25">
      <c r="A189" s="24" t="s">
        <v>17</v>
      </c>
      <c r="B189" s="22">
        <v>7</v>
      </c>
      <c r="C189" s="14">
        <v>7</v>
      </c>
      <c r="D189" s="26">
        <v>2021</v>
      </c>
      <c r="E189" s="40">
        <f t="shared" si="7"/>
        <v>1578.0000000000655</v>
      </c>
      <c r="F189" s="41">
        <v>0.106418</v>
      </c>
      <c r="G189" s="11">
        <f t="shared" si="8"/>
        <v>3261.2000000001353</v>
      </c>
      <c r="H189" s="11">
        <v>0.106418</v>
      </c>
      <c r="I189" s="42">
        <f t="shared" si="9"/>
        <v>5680.8000000002357</v>
      </c>
      <c r="J189" s="42">
        <v>7.1932999999999997E-2</v>
      </c>
      <c r="K189" s="39">
        <f>Electric!AL17*400</f>
        <v>10520.000000000437</v>
      </c>
      <c r="L189" s="46">
        <f>Gas!X14</f>
        <v>697</v>
      </c>
      <c r="M189" s="30">
        <v>0.99</v>
      </c>
      <c r="N189" s="46">
        <f>Water!X14</f>
        <v>38</v>
      </c>
      <c r="O189" s="31">
        <v>2.38</v>
      </c>
      <c r="P189" s="36">
        <v>18</v>
      </c>
      <c r="Q189" s="36">
        <v>27</v>
      </c>
    </row>
    <row r="190" spans="1:17" x14ac:dyDescent="0.25">
      <c r="A190" s="24" t="s">
        <v>17</v>
      </c>
      <c r="B190" s="22">
        <v>8</v>
      </c>
      <c r="C190" s="14">
        <v>7</v>
      </c>
      <c r="D190" s="26">
        <v>2021</v>
      </c>
      <c r="E190" s="40">
        <f t="shared" si="7"/>
        <v>1656.0000000000218</v>
      </c>
      <c r="F190" s="41">
        <v>0.106418</v>
      </c>
      <c r="G190" s="11">
        <f t="shared" si="8"/>
        <v>3422.4000000000451</v>
      </c>
      <c r="H190" s="11">
        <v>0.106418</v>
      </c>
      <c r="I190" s="42">
        <f t="shared" si="9"/>
        <v>5961.6000000000786</v>
      </c>
      <c r="J190" s="42">
        <v>7.1932999999999997E-2</v>
      </c>
      <c r="K190" s="39">
        <f>Electric!AL18*400</f>
        <v>11040.000000000146</v>
      </c>
      <c r="L190" s="46">
        <f>Gas!X15</f>
        <v>675</v>
      </c>
      <c r="M190" s="30">
        <v>0.99</v>
      </c>
      <c r="N190" s="46">
        <f>Water!X15</f>
        <v>46</v>
      </c>
      <c r="O190" s="31">
        <v>2.38</v>
      </c>
      <c r="P190" s="36">
        <v>21</v>
      </c>
      <c r="Q190" s="36">
        <v>32</v>
      </c>
    </row>
    <row r="191" spans="1:17" x14ac:dyDescent="0.25">
      <c r="A191" s="24" t="s">
        <v>17</v>
      </c>
      <c r="B191" s="22">
        <v>9</v>
      </c>
      <c r="C191" s="14">
        <v>7</v>
      </c>
      <c r="D191" s="26">
        <v>2021</v>
      </c>
      <c r="E191" s="40">
        <f t="shared" si="7"/>
        <v>1415.9999999999127</v>
      </c>
      <c r="F191" s="41">
        <v>0.106418</v>
      </c>
      <c r="G191" s="11">
        <f t="shared" si="8"/>
        <v>2926.3999999998196</v>
      </c>
      <c r="H191" s="11">
        <v>0.106418</v>
      </c>
      <c r="I191" s="42">
        <f t="shared" si="9"/>
        <v>5097.5999999996857</v>
      </c>
      <c r="J191" s="42">
        <v>7.1932999999999997E-2</v>
      </c>
      <c r="K191" s="39">
        <f>Electric!AL19*400</f>
        <v>9439.9999999994179</v>
      </c>
      <c r="L191" s="46">
        <f>Gas!X16</f>
        <v>616</v>
      </c>
      <c r="M191" s="30">
        <v>0.99</v>
      </c>
      <c r="N191" s="46">
        <f>Water!X16</f>
        <v>23</v>
      </c>
      <c r="O191" s="31">
        <v>2.38</v>
      </c>
      <c r="P191" s="36">
        <v>17</v>
      </c>
      <c r="Q191" s="36">
        <v>29</v>
      </c>
    </row>
    <row r="192" spans="1:17" x14ac:dyDescent="0.25">
      <c r="A192" s="24" t="s">
        <v>17</v>
      </c>
      <c r="B192" s="22">
        <v>10</v>
      </c>
      <c r="C192" s="14">
        <v>7</v>
      </c>
      <c r="D192" s="26">
        <v>2021</v>
      </c>
      <c r="E192" s="40">
        <f t="shared" si="7"/>
        <v>1374.0000000000873</v>
      </c>
      <c r="F192" s="41">
        <v>0.106418</v>
      </c>
      <c r="G192" s="11">
        <f t="shared" si="8"/>
        <v>2839.6000000001804</v>
      </c>
      <c r="H192" s="11">
        <v>0.106418</v>
      </c>
      <c r="I192" s="42">
        <f t="shared" si="9"/>
        <v>4946.4000000003143</v>
      </c>
      <c r="J192" s="42">
        <v>7.1932999999999997E-2</v>
      </c>
      <c r="K192" s="39">
        <f>Electric!AL20*400</f>
        <v>9160.0000000005821</v>
      </c>
      <c r="L192" s="46">
        <f>Gas!X17</f>
        <v>560</v>
      </c>
      <c r="M192" s="30">
        <v>0.99</v>
      </c>
      <c r="N192" s="46">
        <f>Water!X17</f>
        <v>25</v>
      </c>
      <c r="O192" s="31">
        <v>2.38</v>
      </c>
      <c r="P192" s="36">
        <v>16</v>
      </c>
      <c r="Q192" s="36">
        <v>24</v>
      </c>
    </row>
    <row r="193" spans="1:17" x14ac:dyDescent="0.25">
      <c r="A193" s="24" t="s">
        <v>17</v>
      </c>
      <c r="B193" s="22">
        <v>11</v>
      </c>
      <c r="C193" s="14">
        <v>7</v>
      </c>
      <c r="D193" s="26">
        <v>2021</v>
      </c>
      <c r="E193" s="40">
        <f t="shared" si="7"/>
        <v>1433.999999999869</v>
      </c>
      <c r="F193" s="41">
        <v>0.106418</v>
      </c>
      <c r="G193" s="11">
        <f t="shared" si="8"/>
        <v>2963.5999999997293</v>
      </c>
      <c r="H193" s="11">
        <v>0.106418</v>
      </c>
      <c r="I193" s="42">
        <f t="shared" si="9"/>
        <v>5162.3999999995285</v>
      </c>
      <c r="J193" s="42">
        <v>7.1932999999999997E-2</v>
      </c>
      <c r="K193" s="39">
        <f>Electric!AL21*400</f>
        <v>9559.9999999991269</v>
      </c>
      <c r="L193" s="46">
        <f>Gas!X18</f>
        <v>570</v>
      </c>
      <c r="M193" s="30">
        <v>0.99</v>
      </c>
      <c r="N193" s="46">
        <f>Water!X18</f>
        <v>24</v>
      </c>
      <c r="O193" s="31">
        <v>2.38</v>
      </c>
      <c r="P193" s="36">
        <v>14</v>
      </c>
      <c r="Q193" s="36">
        <v>23</v>
      </c>
    </row>
    <row r="194" spans="1:17" x14ac:dyDescent="0.25">
      <c r="A194" s="24" t="s">
        <v>17</v>
      </c>
      <c r="B194" s="22">
        <v>12</v>
      </c>
      <c r="C194" s="14">
        <v>7</v>
      </c>
      <c r="D194" s="26">
        <v>2021</v>
      </c>
      <c r="E194" s="40">
        <f t="shared" si="7"/>
        <v>1266.000000000131</v>
      </c>
      <c r="F194" s="41">
        <v>0.106418</v>
      </c>
      <c r="G194" s="11">
        <f t="shared" si="8"/>
        <v>2616.4000000002707</v>
      </c>
      <c r="H194" s="11">
        <v>0.106418</v>
      </c>
      <c r="I194" s="42">
        <f t="shared" si="9"/>
        <v>4557.6000000004715</v>
      </c>
      <c r="J194" s="42">
        <v>7.1932999999999997E-2</v>
      </c>
      <c r="K194" s="39">
        <f>Electric!AL22*400</f>
        <v>8440.0000000008731</v>
      </c>
      <c r="L194" s="46">
        <f>Gas!X19</f>
        <v>430</v>
      </c>
      <c r="M194" s="30">
        <v>0.99</v>
      </c>
      <c r="N194" s="46">
        <f>Water!X19</f>
        <v>23</v>
      </c>
      <c r="O194" s="31">
        <v>2.38</v>
      </c>
      <c r="P194" s="36">
        <v>12</v>
      </c>
      <c r="Q194" s="36">
        <v>18</v>
      </c>
    </row>
    <row r="195" spans="1:17" x14ac:dyDescent="0.25">
      <c r="A195" s="24" t="s">
        <v>17</v>
      </c>
      <c r="B195" s="22">
        <v>13</v>
      </c>
      <c r="C195" s="14">
        <v>7</v>
      </c>
      <c r="D195" s="26">
        <v>2021</v>
      </c>
      <c r="E195" s="40">
        <f t="shared" ref="E195:E258" si="10">(K195/100)*15</f>
        <v>1391.9999999999345</v>
      </c>
      <c r="F195" s="41">
        <v>0.106418</v>
      </c>
      <c r="G195" s="11">
        <f t="shared" ref="G195:G258" si="11">(K195/100)*31</f>
        <v>2876.7999999998647</v>
      </c>
      <c r="H195" s="11">
        <v>0.106418</v>
      </c>
      <c r="I195" s="42">
        <f t="shared" ref="I195:I258" si="12">(K195/100)*54</f>
        <v>5011.1999999997643</v>
      </c>
      <c r="J195" s="42">
        <v>7.1932999999999997E-2</v>
      </c>
      <c r="K195" s="39">
        <f>Electric!AL23*400</f>
        <v>9279.9999999995634</v>
      </c>
      <c r="L195" s="46">
        <f>Gas!X20</f>
        <v>403</v>
      </c>
      <c r="M195" s="30">
        <v>0.99</v>
      </c>
      <c r="N195" s="46">
        <f>Water!X20</f>
        <v>25</v>
      </c>
      <c r="O195" s="31">
        <v>2.38</v>
      </c>
      <c r="P195" s="36">
        <v>14</v>
      </c>
      <c r="Q195" s="36">
        <v>23</v>
      </c>
    </row>
    <row r="196" spans="1:17" x14ac:dyDescent="0.25">
      <c r="A196" s="24" t="s">
        <v>17</v>
      </c>
      <c r="B196" s="22">
        <v>14</v>
      </c>
      <c r="C196" s="14">
        <v>7</v>
      </c>
      <c r="D196" s="26">
        <v>2021</v>
      </c>
      <c r="E196" s="40">
        <f t="shared" si="10"/>
        <v>1320.0000000001091</v>
      </c>
      <c r="F196" s="41">
        <v>0.106418</v>
      </c>
      <c r="G196" s="11">
        <f t="shared" si="11"/>
        <v>2728.0000000002256</v>
      </c>
      <c r="H196" s="11">
        <v>0.106418</v>
      </c>
      <c r="I196" s="42">
        <f t="shared" si="12"/>
        <v>4752.0000000003929</v>
      </c>
      <c r="J196" s="42">
        <v>7.1932999999999997E-2</v>
      </c>
      <c r="K196" s="39">
        <f>Electric!AL24*400</f>
        <v>8800.0000000007276</v>
      </c>
      <c r="L196" s="46">
        <f>Gas!X21</f>
        <v>337</v>
      </c>
      <c r="M196" s="30">
        <v>0.99</v>
      </c>
      <c r="N196" s="46">
        <f>Water!X21</f>
        <v>56</v>
      </c>
      <c r="O196" s="31">
        <v>2.38</v>
      </c>
      <c r="P196" s="36">
        <v>14</v>
      </c>
      <c r="Q196" s="36">
        <v>22</v>
      </c>
    </row>
    <row r="197" spans="1:17" x14ac:dyDescent="0.25">
      <c r="A197" s="24" t="s">
        <v>17</v>
      </c>
      <c r="B197" s="22">
        <v>15</v>
      </c>
      <c r="C197" s="14">
        <v>7</v>
      </c>
      <c r="D197" s="26">
        <v>2021</v>
      </c>
      <c r="E197" s="40">
        <f t="shared" si="10"/>
        <v>1301.9999999999345</v>
      </c>
      <c r="F197" s="41">
        <v>0.106418</v>
      </c>
      <c r="G197" s="11">
        <f t="shared" si="11"/>
        <v>2690.7999999998647</v>
      </c>
      <c r="H197" s="11">
        <v>0.106418</v>
      </c>
      <c r="I197" s="42">
        <f t="shared" si="12"/>
        <v>4687.1999999997643</v>
      </c>
      <c r="J197" s="42">
        <v>7.1932999999999997E-2</v>
      </c>
      <c r="K197" s="39">
        <f>Electric!AL25*400</f>
        <v>8679.9999999995634</v>
      </c>
      <c r="L197" s="46">
        <f>Gas!X22</f>
        <v>311</v>
      </c>
      <c r="M197" s="30">
        <v>0.99</v>
      </c>
      <c r="N197" s="46">
        <f>Water!X22</f>
        <v>56</v>
      </c>
      <c r="O197" s="31">
        <v>2.38</v>
      </c>
      <c r="P197" s="36">
        <v>14</v>
      </c>
      <c r="Q197" s="36">
        <v>23</v>
      </c>
    </row>
    <row r="198" spans="1:17" x14ac:dyDescent="0.25">
      <c r="A198" s="24" t="s">
        <v>17</v>
      </c>
      <c r="B198" s="22">
        <v>16</v>
      </c>
      <c r="C198" s="14">
        <v>7</v>
      </c>
      <c r="D198" s="26">
        <v>2021</v>
      </c>
      <c r="E198" s="40">
        <f t="shared" si="10"/>
        <v>1415.9999999999127</v>
      </c>
      <c r="F198" s="41">
        <v>0.106418</v>
      </c>
      <c r="G198" s="11">
        <f t="shared" si="11"/>
        <v>2926.3999999998196</v>
      </c>
      <c r="H198" s="11">
        <v>0.106418</v>
      </c>
      <c r="I198" s="42">
        <f t="shared" si="12"/>
        <v>5097.5999999996857</v>
      </c>
      <c r="J198" s="42">
        <v>7.1932999999999997E-2</v>
      </c>
      <c r="K198" s="39">
        <f>Electric!AL26*400</f>
        <v>9439.9999999994179</v>
      </c>
      <c r="L198" s="46">
        <f>Gas!X23</f>
        <v>367</v>
      </c>
      <c r="M198" s="30">
        <v>0.99</v>
      </c>
      <c r="N198" s="46">
        <f>Water!X23</f>
        <v>47</v>
      </c>
      <c r="O198" s="31">
        <v>2.38</v>
      </c>
      <c r="P198" s="36">
        <v>10</v>
      </c>
      <c r="Q198" s="36">
        <v>16</v>
      </c>
    </row>
    <row r="199" spans="1:17" x14ac:dyDescent="0.25">
      <c r="A199" s="24" t="s">
        <v>17</v>
      </c>
      <c r="B199" s="22">
        <v>17</v>
      </c>
      <c r="C199" s="14">
        <v>7</v>
      </c>
      <c r="D199" s="26">
        <v>2021</v>
      </c>
      <c r="E199" s="40">
        <f t="shared" si="10"/>
        <v>1158.0000000000655</v>
      </c>
      <c r="F199" s="41">
        <v>0.106418</v>
      </c>
      <c r="G199" s="11">
        <f t="shared" si="11"/>
        <v>2393.2000000001353</v>
      </c>
      <c r="H199" s="11">
        <v>0.106418</v>
      </c>
      <c r="I199" s="42">
        <f t="shared" si="12"/>
        <v>4168.8000000002357</v>
      </c>
      <c r="J199" s="42">
        <v>7.1932999999999997E-2</v>
      </c>
      <c r="K199" s="39">
        <f>Electric!AL27*400</f>
        <v>7720.0000000004366</v>
      </c>
      <c r="L199" s="46">
        <f>Gas!X24</f>
        <v>352</v>
      </c>
      <c r="M199" s="30">
        <v>0.99</v>
      </c>
      <c r="N199" s="46">
        <f>Water!X24</f>
        <v>47</v>
      </c>
      <c r="O199" s="31">
        <v>2.38</v>
      </c>
      <c r="P199" s="36">
        <v>11</v>
      </c>
      <c r="Q199" s="36">
        <v>16</v>
      </c>
    </row>
    <row r="200" spans="1:17" x14ac:dyDescent="0.25">
      <c r="A200" s="24" t="s">
        <v>17</v>
      </c>
      <c r="B200" s="22">
        <v>18</v>
      </c>
      <c r="C200" s="14">
        <v>7</v>
      </c>
      <c r="D200" s="26">
        <v>2021</v>
      </c>
      <c r="E200" s="40">
        <f t="shared" si="10"/>
        <v>1290</v>
      </c>
      <c r="F200" s="41">
        <v>0.106418</v>
      </c>
      <c r="G200" s="11">
        <f t="shared" si="11"/>
        <v>2666</v>
      </c>
      <c r="H200" s="11">
        <v>0.106418</v>
      </c>
      <c r="I200" s="42">
        <f t="shared" si="12"/>
        <v>4644</v>
      </c>
      <c r="J200" s="42">
        <v>7.1932999999999997E-2</v>
      </c>
      <c r="K200" s="39">
        <f>Electric!AL28*400</f>
        <v>8600</v>
      </c>
      <c r="L200" s="46">
        <f>Gas!X25</f>
        <v>457</v>
      </c>
      <c r="M200" s="30">
        <v>0.99</v>
      </c>
      <c r="N200" s="46">
        <f>Water!X25</f>
        <v>47</v>
      </c>
      <c r="O200" s="31">
        <v>2.38</v>
      </c>
      <c r="P200" s="36">
        <v>9</v>
      </c>
      <c r="Q200" s="36">
        <v>15</v>
      </c>
    </row>
    <row r="201" spans="1:17" x14ac:dyDescent="0.25">
      <c r="A201" s="24" t="s">
        <v>17</v>
      </c>
      <c r="B201" s="22">
        <v>19</v>
      </c>
      <c r="C201" s="14">
        <v>7</v>
      </c>
      <c r="D201" s="26">
        <v>2021</v>
      </c>
      <c r="E201" s="40">
        <f t="shared" si="10"/>
        <v>1346.3999999999214</v>
      </c>
      <c r="F201" s="41">
        <v>0.106418</v>
      </c>
      <c r="G201" s="11">
        <f t="shared" si="11"/>
        <v>2782.5599999998376</v>
      </c>
      <c r="H201" s="11">
        <v>0.106418</v>
      </c>
      <c r="I201" s="42">
        <f t="shared" si="12"/>
        <v>4847.0399999997171</v>
      </c>
      <c r="J201" s="42">
        <v>7.1932999999999997E-2</v>
      </c>
      <c r="K201" s="39">
        <f>Electric!AL29*400</f>
        <v>8975.9999999994761</v>
      </c>
      <c r="L201" s="46">
        <f>Gas!X26</f>
        <v>498</v>
      </c>
      <c r="M201" s="30">
        <v>0.99</v>
      </c>
      <c r="N201" s="46">
        <f>Water!X26</f>
        <v>45</v>
      </c>
      <c r="O201" s="31">
        <v>2.38</v>
      </c>
      <c r="P201" s="36">
        <v>5</v>
      </c>
      <c r="Q201" s="36">
        <v>10</v>
      </c>
    </row>
    <row r="202" spans="1:17" x14ac:dyDescent="0.25">
      <c r="A202" s="24" t="s">
        <v>17</v>
      </c>
      <c r="B202" s="22">
        <v>20</v>
      </c>
      <c r="C202" s="14">
        <v>7</v>
      </c>
      <c r="D202" s="26">
        <v>2021</v>
      </c>
      <c r="E202" s="40">
        <f t="shared" si="10"/>
        <v>1311.6000000000349</v>
      </c>
      <c r="F202" s="41">
        <v>0.106418</v>
      </c>
      <c r="G202" s="11">
        <f t="shared" si="11"/>
        <v>2710.6400000000722</v>
      </c>
      <c r="H202" s="11">
        <v>0.106418</v>
      </c>
      <c r="I202" s="42">
        <f t="shared" si="12"/>
        <v>4721.7600000001257</v>
      </c>
      <c r="J202" s="42">
        <v>7.1932999999999997E-2</v>
      </c>
      <c r="K202" s="39">
        <f>Electric!AL30*400</f>
        <v>8744.0000000002328</v>
      </c>
      <c r="L202" s="46">
        <f>Gas!X27</f>
        <v>425</v>
      </c>
      <c r="M202" s="30">
        <v>0.99</v>
      </c>
      <c r="N202" s="46">
        <f>Water!X27</f>
        <v>13</v>
      </c>
      <c r="O202" s="31">
        <v>2.38</v>
      </c>
      <c r="P202" s="36">
        <v>1</v>
      </c>
      <c r="Q202" s="36">
        <v>2</v>
      </c>
    </row>
    <row r="203" spans="1:17" x14ac:dyDescent="0.25">
      <c r="A203" s="24" t="s">
        <v>17</v>
      </c>
      <c r="B203" s="22">
        <v>21</v>
      </c>
      <c r="C203" s="14">
        <v>7</v>
      </c>
      <c r="D203" s="26">
        <v>2021</v>
      </c>
      <c r="E203" s="40">
        <f t="shared" si="10"/>
        <v>1062.0000000000437</v>
      </c>
      <c r="F203" s="41">
        <v>0.106418</v>
      </c>
      <c r="G203" s="11">
        <f t="shared" si="11"/>
        <v>2194.8000000000902</v>
      </c>
      <c r="H203" s="11">
        <v>0.106418</v>
      </c>
      <c r="I203" s="42">
        <f t="shared" si="12"/>
        <v>3823.2000000001572</v>
      </c>
      <c r="J203" s="42">
        <v>7.1932999999999997E-2</v>
      </c>
      <c r="K203" s="39">
        <f>Electric!AL31*400</f>
        <v>7080.000000000291</v>
      </c>
      <c r="L203" s="46">
        <f>Gas!X28</f>
        <v>541</v>
      </c>
      <c r="M203" s="30">
        <v>0.99</v>
      </c>
      <c r="N203" s="46">
        <f>Water!X28</f>
        <v>14</v>
      </c>
      <c r="O203" s="31">
        <v>2.38</v>
      </c>
      <c r="P203" s="36">
        <v>1</v>
      </c>
      <c r="Q203" s="36">
        <v>2</v>
      </c>
    </row>
    <row r="204" spans="1:17" x14ac:dyDescent="0.25">
      <c r="A204" s="24" t="s">
        <v>17</v>
      </c>
      <c r="B204" s="22">
        <v>22</v>
      </c>
      <c r="C204" s="14">
        <v>7</v>
      </c>
      <c r="D204" s="26">
        <v>2021</v>
      </c>
      <c r="E204" s="40">
        <f t="shared" si="10"/>
        <v>918.00000000006548</v>
      </c>
      <c r="F204" s="41">
        <v>0.106418</v>
      </c>
      <c r="G204" s="11">
        <f t="shared" si="11"/>
        <v>1897.2000000001353</v>
      </c>
      <c r="H204" s="11">
        <v>0.106418</v>
      </c>
      <c r="I204" s="42">
        <f t="shared" si="12"/>
        <v>3304.8000000002357</v>
      </c>
      <c r="J204" s="42">
        <v>7.1932999999999997E-2</v>
      </c>
      <c r="K204" s="39">
        <f>Electric!AL32*400</f>
        <v>6120.0000000004366</v>
      </c>
      <c r="L204" s="46">
        <f>Gas!X29</f>
        <v>412</v>
      </c>
      <c r="M204" s="30">
        <v>0.99</v>
      </c>
      <c r="N204" s="46">
        <f>Water!X29</f>
        <v>13</v>
      </c>
      <c r="O204" s="31">
        <v>2.38</v>
      </c>
      <c r="P204" s="36">
        <v>1</v>
      </c>
      <c r="Q204" s="36">
        <v>2</v>
      </c>
    </row>
    <row r="205" spans="1:17" x14ac:dyDescent="0.25">
      <c r="A205" s="24" t="s">
        <v>17</v>
      </c>
      <c r="B205" s="22">
        <v>23</v>
      </c>
      <c r="C205" s="14">
        <v>7</v>
      </c>
      <c r="D205" s="26">
        <v>2021</v>
      </c>
      <c r="E205" s="40">
        <f t="shared" si="10"/>
        <v>1253.999999999869</v>
      </c>
      <c r="F205" s="41">
        <v>0.106418</v>
      </c>
      <c r="G205" s="11">
        <f t="shared" si="11"/>
        <v>2591.5999999997293</v>
      </c>
      <c r="H205" s="11">
        <v>0.106418</v>
      </c>
      <c r="I205" s="42">
        <f t="shared" si="12"/>
        <v>4514.3999999995285</v>
      </c>
      <c r="J205" s="42">
        <v>7.1932999999999997E-2</v>
      </c>
      <c r="K205" s="39">
        <f>Electric!AL33*400</f>
        <v>8359.9999999991269</v>
      </c>
      <c r="L205" s="46">
        <f>Gas!X30</f>
        <v>320</v>
      </c>
      <c r="M205" s="30">
        <v>0.99</v>
      </c>
      <c r="N205" s="46">
        <f>Water!X30</f>
        <v>12</v>
      </c>
      <c r="O205" s="31">
        <v>2.38</v>
      </c>
      <c r="P205" s="36">
        <v>1</v>
      </c>
      <c r="Q205" s="36">
        <v>2</v>
      </c>
    </row>
    <row r="206" spans="1:17" x14ac:dyDescent="0.25">
      <c r="A206" s="24" t="s">
        <v>17</v>
      </c>
      <c r="B206" s="22">
        <v>24</v>
      </c>
      <c r="C206" s="14">
        <v>7</v>
      </c>
      <c r="D206" s="26">
        <v>2021</v>
      </c>
      <c r="E206" s="40">
        <f t="shared" si="10"/>
        <v>720</v>
      </c>
      <c r="F206" s="41">
        <v>0.106418</v>
      </c>
      <c r="G206" s="11">
        <f t="shared" si="11"/>
        <v>1488</v>
      </c>
      <c r="H206" s="11">
        <v>0.106418</v>
      </c>
      <c r="I206" s="42">
        <f t="shared" si="12"/>
        <v>2592</v>
      </c>
      <c r="J206" s="42">
        <v>7.1932999999999997E-2</v>
      </c>
      <c r="K206" s="39">
        <f>Electric!AL34*400</f>
        <v>4800</v>
      </c>
      <c r="L206" s="46">
        <f>Gas!X31</f>
        <v>302</v>
      </c>
      <c r="M206" s="30">
        <v>0.99</v>
      </c>
      <c r="N206" s="46">
        <f>Water!X31</f>
        <v>24</v>
      </c>
      <c r="O206" s="31">
        <v>2.38</v>
      </c>
      <c r="P206" s="36">
        <v>0</v>
      </c>
      <c r="Q206" s="36">
        <v>0</v>
      </c>
    </row>
    <row r="207" spans="1:17" x14ac:dyDescent="0.25">
      <c r="A207" s="24" t="s">
        <v>17</v>
      </c>
      <c r="B207" s="22">
        <v>25</v>
      </c>
      <c r="C207" s="14">
        <v>7</v>
      </c>
      <c r="D207" s="26">
        <v>2021</v>
      </c>
      <c r="E207" s="40">
        <f t="shared" si="10"/>
        <v>1068.0000000000655</v>
      </c>
      <c r="F207" s="41">
        <v>0.106418</v>
      </c>
      <c r="G207" s="11">
        <f t="shared" si="11"/>
        <v>2207.2000000001353</v>
      </c>
      <c r="H207" s="11">
        <v>0.106418</v>
      </c>
      <c r="I207" s="42">
        <f t="shared" si="12"/>
        <v>3844.8000000002357</v>
      </c>
      <c r="J207" s="42">
        <v>7.1932999999999997E-2</v>
      </c>
      <c r="K207" s="39">
        <f>Electric!AL35*400</f>
        <v>7120.0000000004366</v>
      </c>
      <c r="L207" s="46">
        <f>Gas!X32</f>
        <v>404</v>
      </c>
      <c r="M207" s="30">
        <v>0.99</v>
      </c>
      <c r="N207" s="46">
        <f>Water!X32</f>
        <v>13</v>
      </c>
      <c r="O207" s="31">
        <v>2.38</v>
      </c>
      <c r="P207" s="36">
        <v>0</v>
      </c>
      <c r="Q207" s="36">
        <v>0</v>
      </c>
    </row>
    <row r="208" spans="1:17" x14ac:dyDescent="0.25">
      <c r="A208" s="24" t="s">
        <v>17</v>
      </c>
      <c r="B208" s="22">
        <v>26</v>
      </c>
      <c r="C208" s="14">
        <v>7</v>
      </c>
      <c r="D208" s="26">
        <v>2021</v>
      </c>
      <c r="E208" s="40">
        <f t="shared" si="10"/>
        <v>1037.9999999999563</v>
      </c>
      <c r="F208" s="41">
        <v>0.106418</v>
      </c>
      <c r="G208" s="11">
        <f t="shared" si="11"/>
        <v>2145.1999999999098</v>
      </c>
      <c r="H208" s="11">
        <v>0.106418</v>
      </c>
      <c r="I208" s="42">
        <f t="shared" si="12"/>
        <v>3736.7999999998428</v>
      </c>
      <c r="J208" s="42">
        <v>7.1932999999999997E-2</v>
      </c>
      <c r="K208" s="39">
        <f>Electric!AL36*400</f>
        <v>6919.999999999709</v>
      </c>
      <c r="L208" s="46">
        <f>Gas!X33</f>
        <v>327</v>
      </c>
      <c r="M208" s="30">
        <v>0.99</v>
      </c>
      <c r="N208" s="46">
        <f>Water!X33</f>
        <v>13</v>
      </c>
      <c r="O208" s="31">
        <v>2.38</v>
      </c>
      <c r="P208" s="36">
        <v>1</v>
      </c>
      <c r="Q208" s="36">
        <v>1</v>
      </c>
    </row>
    <row r="209" spans="1:17" x14ac:dyDescent="0.25">
      <c r="A209" s="24" t="s">
        <v>17</v>
      </c>
      <c r="B209" s="22">
        <v>27</v>
      </c>
      <c r="C209" s="14">
        <v>7</v>
      </c>
      <c r="D209" s="26">
        <v>2021</v>
      </c>
      <c r="E209" s="40">
        <f t="shared" si="10"/>
        <v>1002.0000000000437</v>
      </c>
      <c r="F209" s="41">
        <v>0.106418</v>
      </c>
      <c r="G209" s="11">
        <f t="shared" si="11"/>
        <v>2070.8000000000902</v>
      </c>
      <c r="H209" s="11">
        <v>0.106418</v>
      </c>
      <c r="I209" s="42">
        <f t="shared" si="12"/>
        <v>3607.2000000001572</v>
      </c>
      <c r="J209" s="42">
        <v>7.1932999999999997E-2</v>
      </c>
      <c r="K209" s="39">
        <f>Electric!AL37*400</f>
        <v>6680.000000000291</v>
      </c>
      <c r="L209" s="46">
        <f>Gas!X34</f>
        <v>263</v>
      </c>
      <c r="M209" s="30">
        <v>0.99</v>
      </c>
      <c r="N209" s="46">
        <f>Water!X34</f>
        <v>13</v>
      </c>
      <c r="O209" s="31">
        <v>2.38</v>
      </c>
      <c r="P209" s="36">
        <v>0</v>
      </c>
      <c r="Q209" s="36">
        <v>0</v>
      </c>
    </row>
    <row r="210" spans="1:17" x14ac:dyDescent="0.25">
      <c r="A210" s="24" t="s">
        <v>17</v>
      </c>
      <c r="B210" s="22">
        <v>28</v>
      </c>
      <c r="C210" s="14">
        <v>7</v>
      </c>
      <c r="D210" s="26">
        <v>2021</v>
      </c>
      <c r="E210" s="40">
        <f t="shared" si="10"/>
        <v>1055.9999999999127</v>
      </c>
      <c r="F210" s="41">
        <v>0.106418</v>
      </c>
      <c r="G210" s="11">
        <f t="shared" si="11"/>
        <v>2182.3999999998196</v>
      </c>
      <c r="H210" s="11">
        <v>0.106418</v>
      </c>
      <c r="I210" s="42">
        <f t="shared" si="12"/>
        <v>3801.5999999996857</v>
      </c>
      <c r="J210" s="42">
        <v>7.1932999999999997E-2</v>
      </c>
      <c r="K210" s="39">
        <f>Electric!AL38*400</f>
        <v>7039.9999999994179</v>
      </c>
      <c r="L210" s="46">
        <f>Gas!X35</f>
        <v>245</v>
      </c>
      <c r="M210" s="30">
        <v>0.99</v>
      </c>
      <c r="N210" s="46">
        <f>Water!X35</f>
        <v>12</v>
      </c>
      <c r="O210" s="31">
        <v>2.38</v>
      </c>
      <c r="P210" s="36">
        <v>0</v>
      </c>
      <c r="Q210" s="36">
        <v>0</v>
      </c>
    </row>
    <row r="211" spans="1:17" x14ac:dyDescent="0.25">
      <c r="A211" s="24" t="s">
        <v>17</v>
      </c>
      <c r="B211" s="22">
        <v>29</v>
      </c>
      <c r="C211" s="14">
        <v>7</v>
      </c>
      <c r="D211" s="26">
        <v>2021</v>
      </c>
      <c r="E211" s="40">
        <f t="shared" si="10"/>
        <v>1038.0000000000655</v>
      </c>
      <c r="F211" s="41">
        <v>0.106418</v>
      </c>
      <c r="G211" s="11">
        <f t="shared" si="11"/>
        <v>2145.2000000001353</v>
      </c>
      <c r="H211" s="11">
        <v>0.106418</v>
      </c>
      <c r="I211" s="42">
        <f t="shared" si="12"/>
        <v>3736.8000000002357</v>
      </c>
      <c r="J211" s="42">
        <v>7.1932999999999997E-2</v>
      </c>
      <c r="K211" s="39">
        <f>Electric!AL39*400</f>
        <v>6920.0000000004366</v>
      </c>
      <c r="L211" s="46">
        <f>Gas!X36</f>
        <v>380</v>
      </c>
      <c r="M211" s="30">
        <v>0.99</v>
      </c>
      <c r="N211" s="46">
        <f>Water!X36</f>
        <v>21</v>
      </c>
      <c r="O211" s="31">
        <v>2.38</v>
      </c>
      <c r="P211" s="36">
        <v>0</v>
      </c>
      <c r="Q211" s="36">
        <v>0</v>
      </c>
    </row>
    <row r="212" spans="1:17" x14ac:dyDescent="0.25">
      <c r="A212" s="24" t="s">
        <v>17</v>
      </c>
      <c r="B212" s="22">
        <v>30</v>
      </c>
      <c r="C212" s="14">
        <v>7</v>
      </c>
      <c r="D212" s="26">
        <v>2021</v>
      </c>
      <c r="E212" s="40">
        <f t="shared" si="10"/>
        <v>1056.0000000000218</v>
      </c>
      <c r="F212" s="41">
        <v>0.106418</v>
      </c>
      <c r="G212" s="11">
        <f t="shared" si="11"/>
        <v>2182.4000000000451</v>
      </c>
      <c r="H212" s="11">
        <v>0.106418</v>
      </c>
      <c r="I212" s="42">
        <f t="shared" si="12"/>
        <v>3801.6000000000786</v>
      </c>
      <c r="J212" s="42">
        <v>7.1932999999999997E-2</v>
      </c>
      <c r="K212" s="39">
        <f>Electric!AL40*400</f>
        <v>7040.0000000001455</v>
      </c>
      <c r="L212" s="46">
        <f>Gas!X37</f>
        <v>384</v>
      </c>
      <c r="M212" s="30">
        <v>0.99</v>
      </c>
      <c r="N212" s="46">
        <f>Water!X37</f>
        <v>19</v>
      </c>
      <c r="O212" s="31">
        <v>2.38</v>
      </c>
      <c r="P212" s="36">
        <v>1</v>
      </c>
      <c r="Q212" s="36">
        <v>2</v>
      </c>
    </row>
    <row r="213" spans="1:17" x14ac:dyDescent="0.25">
      <c r="A213" s="24" t="s">
        <v>17</v>
      </c>
      <c r="B213" s="22">
        <v>31</v>
      </c>
      <c r="C213" s="14">
        <v>7</v>
      </c>
      <c r="D213" s="26">
        <v>2021</v>
      </c>
      <c r="E213" s="40">
        <f t="shared" si="10"/>
        <v>1205.9999999999127</v>
      </c>
      <c r="F213" s="41">
        <v>0.106418</v>
      </c>
      <c r="G213" s="11">
        <f t="shared" si="11"/>
        <v>2492.3999999998196</v>
      </c>
      <c r="H213" s="11">
        <v>0.106418</v>
      </c>
      <c r="I213" s="42">
        <f t="shared" si="12"/>
        <v>4341.5999999996857</v>
      </c>
      <c r="J213" s="42">
        <v>7.1932999999999997E-2</v>
      </c>
      <c r="K213" s="39">
        <f>Electric!AL41*400</f>
        <v>8039.9999999994179</v>
      </c>
      <c r="L213" s="46">
        <f>Gas!X38</f>
        <v>314</v>
      </c>
      <c r="M213" s="30">
        <v>0.99</v>
      </c>
      <c r="N213" s="46">
        <f>Water!X38</f>
        <v>19</v>
      </c>
      <c r="O213" s="31">
        <v>2.38</v>
      </c>
      <c r="P213" s="36">
        <v>2</v>
      </c>
      <c r="Q213" s="36">
        <v>5</v>
      </c>
    </row>
    <row r="214" spans="1:17" x14ac:dyDescent="0.25">
      <c r="A214" s="24" t="s">
        <v>17</v>
      </c>
      <c r="B214" s="22">
        <v>1</v>
      </c>
      <c r="C214" s="14">
        <v>8</v>
      </c>
      <c r="D214" s="26">
        <v>2021</v>
      </c>
      <c r="E214" s="40">
        <f t="shared" si="10"/>
        <v>1014.0000000000873</v>
      </c>
      <c r="F214" s="41">
        <v>0.106418</v>
      </c>
      <c r="G214" s="11">
        <f t="shared" si="11"/>
        <v>2095.6000000001804</v>
      </c>
      <c r="H214" s="11">
        <v>0.106418</v>
      </c>
      <c r="I214" s="42">
        <f t="shared" si="12"/>
        <v>3650.4000000003143</v>
      </c>
      <c r="J214" s="42">
        <v>7.1932999999999997E-2</v>
      </c>
      <c r="K214" s="39">
        <f>Electric!AQ11*400</f>
        <v>6760.0000000005821</v>
      </c>
      <c r="L214" s="46">
        <f>Gas!AA8</f>
        <v>260</v>
      </c>
      <c r="M214" s="30">
        <v>0.59299999999999997</v>
      </c>
      <c r="N214" s="46">
        <f>Water!AA8</f>
        <v>21</v>
      </c>
      <c r="O214" s="31">
        <v>2.38</v>
      </c>
      <c r="P214" s="36">
        <v>2</v>
      </c>
      <c r="Q214" s="36">
        <v>3</v>
      </c>
    </row>
    <row r="215" spans="1:17" x14ac:dyDescent="0.25">
      <c r="A215" s="24" t="s">
        <v>17</v>
      </c>
      <c r="B215" s="22">
        <v>2</v>
      </c>
      <c r="C215" s="14">
        <v>8</v>
      </c>
      <c r="D215" s="26">
        <v>2021</v>
      </c>
      <c r="E215" s="40">
        <f t="shared" si="10"/>
        <v>1133.9999999999782</v>
      </c>
      <c r="F215" s="41">
        <v>0.106418</v>
      </c>
      <c r="G215" s="11">
        <f t="shared" si="11"/>
        <v>2343.5999999999549</v>
      </c>
      <c r="H215" s="11">
        <v>0.106418</v>
      </c>
      <c r="I215" s="42">
        <f t="shared" si="12"/>
        <v>4082.3999999999214</v>
      </c>
      <c r="J215" s="42">
        <v>7.1932999999999997E-2</v>
      </c>
      <c r="K215" s="39">
        <f>Electric!AQ12*400</f>
        <v>7559.9999999998545</v>
      </c>
      <c r="L215" s="46">
        <f>Gas!AA9</f>
        <v>339</v>
      </c>
      <c r="M215" s="30">
        <v>0.59299999999999997</v>
      </c>
      <c r="N215" s="46">
        <f>Water!AA9</f>
        <v>27</v>
      </c>
      <c r="O215" s="31">
        <v>2.38</v>
      </c>
      <c r="P215" s="36">
        <v>3</v>
      </c>
      <c r="Q215" s="36">
        <v>5</v>
      </c>
    </row>
    <row r="216" spans="1:17" x14ac:dyDescent="0.25">
      <c r="A216" s="24" t="s">
        <v>17</v>
      </c>
      <c r="B216" s="22">
        <v>3</v>
      </c>
      <c r="C216" s="14">
        <v>8</v>
      </c>
      <c r="D216" s="26">
        <v>2021</v>
      </c>
      <c r="E216" s="40">
        <f t="shared" si="10"/>
        <v>1032.0000000000437</v>
      </c>
      <c r="F216" s="41">
        <v>0.106418</v>
      </c>
      <c r="G216" s="11">
        <f t="shared" si="11"/>
        <v>2132.8000000000902</v>
      </c>
      <c r="H216" s="11">
        <v>0.106418</v>
      </c>
      <c r="I216" s="42">
        <f t="shared" si="12"/>
        <v>3715.2000000001572</v>
      </c>
      <c r="J216" s="42">
        <v>7.1932999999999997E-2</v>
      </c>
      <c r="K216" s="39">
        <f>Electric!AQ13*400</f>
        <v>6880.000000000291</v>
      </c>
      <c r="L216" s="46">
        <f>Gas!AA10</f>
        <v>356</v>
      </c>
      <c r="M216" s="30">
        <v>0.59299999999999997</v>
      </c>
      <c r="N216" s="46">
        <f>Water!AA10</f>
        <v>26</v>
      </c>
      <c r="O216" s="31">
        <v>2.38</v>
      </c>
      <c r="P216" s="36">
        <v>6</v>
      </c>
      <c r="Q216" s="36">
        <v>10</v>
      </c>
    </row>
    <row r="217" spans="1:17" x14ac:dyDescent="0.25">
      <c r="A217" s="24" t="s">
        <v>17</v>
      </c>
      <c r="B217" s="22">
        <v>4</v>
      </c>
      <c r="C217" s="14">
        <v>8</v>
      </c>
      <c r="D217" s="26">
        <v>2021</v>
      </c>
      <c r="E217" s="40">
        <f t="shared" si="10"/>
        <v>1049.9999999998909</v>
      </c>
      <c r="F217" s="41">
        <v>0.106418</v>
      </c>
      <c r="G217" s="11">
        <f t="shared" si="11"/>
        <v>2169.9999999997744</v>
      </c>
      <c r="H217" s="11">
        <v>0.106418</v>
      </c>
      <c r="I217" s="42">
        <f t="shared" si="12"/>
        <v>3779.9999999996071</v>
      </c>
      <c r="J217" s="42">
        <v>7.1932999999999997E-2</v>
      </c>
      <c r="K217" s="39">
        <f>Electric!AQ14*400</f>
        <v>6999.9999999992724</v>
      </c>
      <c r="L217" s="46">
        <f>Gas!AA11</f>
        <v>359</v>
      </c>
      <c r="M217" s="30">
        <v>0.59299999999999997</v>
      </c>
      <c r="N217" s="46">
        <f>Water!AA11</f>
        <v>27</v>
      </c>
      <c r="O217" s="31">
        <v>2.38</v>
      </c>
      <c r="P217" s="36">
        <v>3</v>
      </c>
      <c r="Q217" s="36">
        <v>5</v>
      </c>
    </row>
    <row r="218" spans="1:17" x14ac:dyDescent="0.25">
      <c r="A218" s="24" t="s">
        <v>17</v>
      </c>
      <c r="B218" s="22">
        <v>5</v>
      </c>
      <c r="C218" s="14">
        <v>8</v>
      </c>
      <c r="D218" s="26">
        <v>2021</v>
      </c>
      <c r="E218" s="40">
        <f t="shared" si="10"/>
        <v>1026.000000000131</v>
      </c>
      <c r="F218" s="41">
        <v>0.106418</v>
      </c>
      <c r="G218" s="11">
        <f t="shared" si="11"/>
        <v>2120.4000000002707</v>
      </c>
      <c r="H218" s="11">
        <v>0.106418</v>
      </c>
      <c r="I218" s="42">
        <f t="shared" si="12"/>
        <v>3693.6000000004715</v>
      </c>
      <c r="J218" s="42">
        <v>7.1932999999999997E-2</v>
      </c>
      <c r="K218" s="39">
        <f>Electric!AQ15*400</f>
        <v>6840.0000000008731</v>
      </c>
      <c r="L218" s="46">
        <f>Gas!AA12</f>
        <v>354</v>
      </c>
      <c r="M218" s="30">
        <v>0.59299999999999997</v>
      </c>
      <c r="N218" s="46">
        <f>Water!AA12</f>
        <v>25</v>
      </c>
      <c r="O218" s="31">
        <v>2.38</v>
      </c>
      <c r="P218" s="36">
        <v>2</v>
      </c>
      <c r="Q218" s="36">
        <v>4</v>
      </c>
    </row>
    <row r="219" spans="1:17" x14ac:dyDescent="0.25">
      <c r="A219" s="24" t="s">
        <v>17</v>
      </c>
      <c r="B219" s="22">
        <v>6</v>
      </c>
      <c r="C219" s="14">
        <v>8</v>
      </c>
      <c r="D219" s="26">
        <v>2021</v>
      </c>
      <c r="E219" s="40">
        <f t="shared" si="10"/>
        <v>1103.9999999999782</v>
      </c>
      <c r="F219" s="41">
        <v>0.106418</v>
      </c>
      <c r="G219" s="11">
        <f t="shared" si="11"/>
        <v>2281.5999999999549</v>
      </c>
      <c r="H219" s="11">
        <v>0.106418</v>
      </c>
      <c r="I219" s="42">
        <f t="shared" si="12"/>
        <v>3974.3999999999214</v>
      </c>
      <c r="J219" s="42">
        <v>7.1932999999999997E-2</v>
      </c>
      <c r="K219" s="39">
        <f>Electric!AQ16*400</f>
        <v>7359.9999999998545</v>
      </c>
      <c r="L219" s="46">
        <f>Gas!AA13</f>
        <v>399</v>
      </c>
      <c r="M219" s="30">
        <v>0.59299999999999997</v>
      </c>
      <c r="N219" s="46">
        <f>Water!AA13</f>
        <v>121</v>
      </c>
      <c r="O219" s="31">
        <v>2.38</v>
      </c>
      <c r="P219" s="36">
        <v>1</v>
      </c>
      <c r="Q219" s="36">
        <v>2</v>
      </c>
    </row>
    <row r="220" spans="1:17" x14ac:dyDescent="0.25">
      <c r="A220" s="24" t="s">
        <v>17</v>
      </c>
      <c r="B220" s="22">
        <v>7</v>
      </c>
      <c r="C220" s="14">
        <v>8</v>
      </c>
      <c r="D220" s="26">
        <v>2021</v>
      </c>
      <c r="E220" s="40">
        <f t="shared" si="10"/>
        <v>1073.9999999999782</v>
      </c>
      <c r="F220" s="41">
        <v>0.106418</v>
      </c>
      <c r="G220" s="11">
        <f t="shared" si="11"/>
        <v>2219.5999999999549</v>
      </c>
      <c r="H220" s="11">
        <v>0.106418</v>
      </c>
      <c r="I220" s="42">
        <f t="shared" si="12"/>
        <v>3866.3999999999214</v>
      </c>
      <c r="J220" s="42">
        <v>7.1932999999999997E-2</v>
      </c>
      <c r="K220" s="39">
        <f>Electric!AQ17*400</f>
        <v>7159.9999999998545</v>
      </c>
      <c r="L220" s="46">
        <f>Gas!AA14</f>
        <v>441</v>
      </c>
      <c r="M220" s="30">
        <v>0.59299999999999997</v>
      </c>
      <c r="N220" s="46">
        <f>Water!AA14</f>
        <v>56</v>
      </c>
      <c r="O220" s="31">
        <v>2.38</v>
      </c>
      <c r="P220" s="36">
        <v>1</v>
      </c>
      <c r="Q220" s="36">
        <v>2</v>
      </c>
    </row>
    <row r="221" spans="1:17" x14ac:dyDescent="0.25">
      <c r="A221" s="24" t="s">
        <v>17</v>
      </c>
      <c r="B221" s="22">
        <v>8</v>
      </c>
      <c r="C221" s="14">
        <v>8</v>
      </c>
      <c r="D221" s="26">
        <v>2021</v>
      </c>
      <c r="E221" s="40">
        <f t="shared" si="10"/>
        <v>1013.9999999999782</v>
      </c>
      <c r="F221" s="41">
        <v>0.106418</v>
      </c>
      <c r="G221" s="11">
        <f t="shared" si="11"/>
        <v>2095.5999999999549</v>
      </c>
      <c r="H221" s="11">
        <v>0.106418</v>
      </c>
      <c r="I221" s="42">
        <f t="shared" si="12"/>
        <v>3650.3999999999214</v>
      </c>
      <c r="J221" s="42">
        <v>7.1932999999999997E-2</v>
      </c>
      <c r="K221" s="39">
        <f>Electric!AQ18*400</f>
        <v>6759.9999999998545</v>
      </c>
      <c r="L221" s="46">
        <f>Gas!AA15</f>
        <v>462</v>
      </c>
      <c r="M221" s="30">
        <v>0.59299999999999997</v>
      </c>
      <c r="N221" s="46">
        <f>Water!AA15</f>
        <v>26</v>
      </c>
      <c r="O221" s="31">
        <v>2.38</v>
      </c>
      <c r="P221" s="36">
        <v>1</v>
      </c>
      <c r="Q221" s="36">
        <v>2</v>
      </c>
    </row>
    <row r="222" spans="1:17" x14ac:dyDescent="0.25">
      <c r="A222" s="24" t="s">
        <v>17</v>
      </c>
      <c r="B222" s="22">
        <v>9</v>
      </c>
      <c r="C222" s="14">
        <v>8</v>
      </c>
      <c r="D222" s="26">
        <v>2021</v>
      </c>
      <c r="E222" s="40">
        <f t="shared" si="10"/>
        <v>1050.0000000001091</v>
      </c>
      <c r="F222" s="41">
        <v>0.106418</v>
      </c>
      <c r="G222" s="11">
        <f t="shared" si="11"/>
        <v>2170.0000000002256</v>
      </c>
      <c r="H222" s="11">
        <v>0.106418</v>
      </c>
      <c r="I222" s="42">
        <f t="shared" si="12"/>
        <v>3780.0000000003929</v>
      </c>
      <c r="J222" s="42">
        <v>7.1932999999999997E-2</v>
      </c>
      <c r="K222" s="39">
        <f>Electric!AQ19*400</f>
        <v>7000.0000000007276</v>
      </c>
      <c r="L222" s="46">
        <f>Gas!AA16</f>
        <v>366</v>
      </c>
      <c r="M222" s="30">
        <v>0.59299999999999997</v>
      </c>
      <c r="N222" s="46">
        <f>Water!AA16</f>
        <v>28</v>
      </c>
      <c r="O222" s="31">
        <v>2.38</v>
      </c>
      <c r="P222" s="36">
        <v>1</v>
      </c>
      <c r="Q222" s="36">
        <v>2</v>
      </c>
    </row>
    <row r="223" spans="1:17" x14ac:dyDescent="0.25">
      <c r="A223" s="24" t="s">
        <v>17</v>
      </c>
      <c r="B223" s="22">
        <v>10</v>
      </c>
      <c r="C223" s="14">
        <v>8</v>
      </c>
      <c r="D223" s="26">
        <v>2021</v>
      </c>
      <c r="E223" s="40">
        <f t="shared" si="10"/>
        <v>1139.9999999998909</v>
      </c>
      <c r="F223" s="41">
        <v>0.106418</v>
      </c>
      <c r="G223" s="11">
        <f t="shared" si="11"/>
        <v>2355.9999999997744</v>
      </c>
      <c r="H223" s="11">
        <v>0.106418</v>
      </c>
      <c r="I223" s="42">
        <f t="shared" si="12"/>
        <v>4103.9999999996071</v>
      </c>
      <c r="J223" s="42">
        <v>7.1932999999999997E-2</v>
      </c>
      <c r="K223" s="39">
        <f>Electric!AQ20*400</f>
        <v>7599.9999999992724</v>
      </c>
      <c r="L223" s="46">
        <f>Gas!AA17</f>
        <v>331</v>
      </c>
      <c r="M223" s="30">
        <v>0.59299999999999997</v>
      </c>
      <c r="N223" s="46">
        <f>Water!AA17</f>
        <v>19</v>
      </c>
      <c r="O223" s="31">
        <v>2.38</v>
      </c>
      <c r="P223" s="36">
        <v>1</v>
      </c>
      <c r="Q223" s="36">
        <v>2</v>
      </c>
    </row>
    <row r="224" spans="1:17" x14ac:dyDescent="0.25">
      <c r="A224" s="24" t="s">
        <v>17</v>
      </c>
      <c r="B224" s="22">
        <v>11</v>
      </c>
      <c r="C224" s="14">
        <v>8</v>
      </c>
      <c r="D224" s="26">
        <v>2021</v>
      </c>
      <c r="E224" s="40">
        <f t="shared" si="10"/>
        <v>1098.0000000000655</v>
      </c>
      <c r="F224" s="41">
        <v>0.106418</v>
      </c>
      <c r="G224" s="11">
        <f t="shared" si="11"/>
        <v>2269.2000000001353</v>
      </c>
      <c r="H224" s="11">
        <v>0.106418</v>
      </c>
      <c r="I224" s="42">
        <f t="shared" si="12"/>
        <v>3952.8000000002357</v>
      </c>
      <c r="J224" s="42">
        <v>7.1932999999999997E-2</v>
      </c>
      <c r="K224" s="39">
        <f>Electric!AQ21*400</f>
        <v>7320.0000000004366</v>
      </c>
      <c r="L224" s="46">
        <f>Gas!AA18</f>
        <v>241</v>
      </c>
      <c r="M224" s="30">
        <v>0.59299999999999997</v>
      </c>
      <c r="N224" s="46">
        <f>Water!AA18</f>
        <v>20</v>
      </c>
      <c r="O224" s="31">
        <v>2.38</v>
      </c>
      <c r="P224" s="36">
        <v>1</v>
      </c>
      <c r="Q224" s="36">
        <v>2</v>
      </c>
    </row>
    <row r="225" spans="1:17" x14ac:dyDescent="0.25">
      <c r="A225" s="24" t="s">
        <v>17</v>
      </c>
      <c r="B225" s="22">
        <v>12</v>
      </c>
      <c r="C225" s="14">
        <v>8</v>
      </c>
      <c r="D225" s="26">
        <v>2021</v>
      </c>
      <c r="E225" s="40">
        <f t="shared" si="10"/>
        <v>1092.0000000000437</v>
      </c>
      <c r="F225" s="41">
        <v>0.106418</v>
      </c>
      <c r="G225" s="11">
        <f t="shared" si="11"/>
        <v>2256.8000000000902</v>
      </c>
      <c r="H225" s="11">
        <v>0.106418</v>
      </c>
      <c r="I225" s="42">
        <f t="shared" si="12"/>
        <v>3931.2000000001572</v>
      </c>
      <c r="J225" s="42">
        <v>7.1932999999999997E-2</v>
      </c>
      <c r="K225" s="39">
        <f>Electric!AQ22*400</f>
        <v>7280.000000000291</v>
      </c>
      <c r="L225" s="46">
        <f>Gas!AA19</f>
        <v>262</v>
      </c>
      <c r="M225" s="30">
        <v>0.59299999999999997</v>
      </c>
      <c r="N225" s="46">
        <f>Water!AA19</f>
        <v>17</v>
      </c>
      <c r="O225" s="31">
        <v>2.38</v>
      </c>
      <c r="P225" s="36">
        <v>1</v>
      </c>
      <c r="Q225" s="36">
        <v>2</v>
      </c>
    </row>
    <row r="226" spans="1:17" x14ac:dyDescent="0.25">
      <c r="A226" s="24" t="s">
        <v>17</v>
      </c>
      <c r="B226" s="22">
        <v>13</v>
      </c>
      <c r="C226" s="14">
        <v>8</v>
      </c>
      <c r="D226" s="26">
        <v>2021</v>
      </c>
      <c r="E226" s="40">
        <f t="shared" si="10"/>
        <v>1025.9999999999127</v>
      </c>
      <c r="F226" s="41">
        <v>0.106418</v>
      </c>
      <c r="G226" s="11">
        <f t="shared" si="11"/>
        <v>2120.3999999998196</v>
      </c>
      <c r="H226" s="11">
        <v>0.106418</v>
      </c>
      <c r="I226" s="42">
        <f t="shared" si="12"/>
        <v>3693.5999999996857</v>
      </c>
      <c r="J226" s="42">
        <v>7.1932999999999997E-2</v>
      </c>
      <c r="K226" s="39">
        <f>Electric!AQ23*400</f>
        <v>6839.9999999994179</v>
      </c>
      <c r="L226" s="46">
        <f>Gas!AA20</f>
        <v>381</v>
      </c>
      <c r="M226" s="30">
        <v>0.59299999999999997</v>
      </c>
      <c r="N226" s="46">
        <f>Water!AA20</f>
        <v>26</v>
      </c>
      <c r="O226" s="31">
        <v>2.38</v>
      </c>
      <c r="P226" s="36">
        <v>1</v>
      </c>
      <c r="Q226" s="36">
        <v>2</v>
      </c>
    </row>
    <row r="227" spans="1:17" x14ac:dyDescent="0.25">
      <c r="A227" s="24" t="s">
        <v>17</v>
      </c>
      <c r="B227" s="22">
        <v>14</v>
      </c>
      <c r="C227" s="14">
        <v>8</v>
      </c>
      <c r="D227" s="26">
        <v>2021</v>
      </c>
      <c r="E227" s="40">
        <f t="shared" si="10"/>
        <v>1050</v>
      </c>
      <c r="F227" s="41">
        <v>0.106418</v>
      </c>
      <c r="G227" s="11">
        <f t="shared" si="11"/>
        <v>2170</v>
      </c>
      <c r="H227" s="11">
        <v>0.106418</v>
      </c>
      <c r="I227" s="42">
        <f t="shared" si="12"/>
        <v>3780</v>
      </c>
      <c r="J227" s="42">
        <v>7.1932999999999997E-2</v>
      </c>
      <c r="K227" s="39">
        <f>Electric!AQ24*400</f>
        <v>7000</v>
      </c>
      <c r="L227" s="46">
        <f>Gas!AA21</f>
        <v>337</v>
      </c>
      <c r="M227" s="30">
        <v>0.59299999999999997</v>
      </c>
      <c r="N227" s="46">
        <f>Water!AA21</f>
        <v>11</v>
      </c>
      <c r="O227" s="31">
        <v>2.38</v>
      </c>
      <c r="P227" s="36">
        <v>2</v>
      </c>
      <c r="Q227" s="36">
        <v>3</v>
      </c>
    </row>
    <row r="228" spans="1:17" x14ac:dyDescent="0.25">
      <c r="A228" s="24" t="s">
        <v>17</v>
      </c>
      <c r="B228" s="22">
        <v>15</v>
      </c>
      <c r="C228" s="14">
        <v>8</v>
      </c>
      <c r="D228" s="26">
        <v>2021</v>
      </c>
      <c r="E228" s="40">
        <f t="shared" si="10"/>
        <v>1056.0000000000218</v>
      </c>
      <c r="F228" s="41">
        <v>0.106418</v>
      </c>
      <c r="G228" s="11">
        <f t="shared" si="11"/>
        <v>2182.4000000000451</v>
      </c>
      <c r="H228" s="11">
        <v>0.106418</v>
      </c>
      <c r="I228" s="42">
        <f t="shared" si="12"/>
        <v>3801.6000000000786</v>
      </c>
      <c r="J228" s="42">
        <v>7.1932999999999997E-2</v>
      </c>
      <c r="K228" s="39">
        <f>Electric!AQ25*400</f>
        <v>7040.0000000001455</v>
      </c>
      <c r="L228" s="46">
        <f>Gas!AA22</f>
        <v>344</v>
      </c>
      <c r="M228" s="30">
        <v>0.59299999999999997</v>
      </c>
      <c r="N228" s="46">
        <f>Water!AA22</f>
        <v>11</v>
      </c>
      <c r="O228" s="31">
        <v>2.38</v>
      </c>
      <c r="P228" s="36">
        <v>1</v>
      </c>
      <c r="Q228" s="36">
        <v>2</v>
      </c>
    </row>
    <row r="229" spans="1:17" x14ac:dyDescent="0.25">
      <c r="A229" s="24" t="s">
        <v>17</v>
      </c>
      <c r="B229" s="22">
        <v>16</v>
      </c>
      <c r="C229" s="14">
        <v>8</v>
      </c>
      <c r="D229" s="26">
        <v>2021</v>
      </c>
      <c r="E229" s="40">
        <f t="shared" si="10"/>
        <v>1128.0000000000655</v>
      </c>
      <c r="F229" s="41">
        <v>0.106418</v>
      </c>
      <c r="G229" s="11">
        <f t="shared" si="11"/>
        <v>2331.2000000001353</v>
      </c>
      <c r="H229" s="11">
        <v>0.106418</v>
      </c>
      <c r="I229" s="42">
        <f t="shared" si="12"/>
        <v>4060.8000000002357</v>
      </c>
      <c r="J229" s="42">
        <v>7.1932999999999997E-2</v>
      </c>
      <c r="K229" s="39">
        <f>Electric!AQ26*400</f>
        <v>7520.0000000004366</v>
      </c>
      <c r="L229" s="46">
        <f>Gas!AA23</f>
        <v>309</v>
      </c>
      <c r="M229" s="30">
        <v>0.59299999999999997</v>
      </c>
      <c r="N229" s="46">
        <f>Water!AA23</f>
        <v>27</v>
      </c>
      <c r="O229" s="31">
        <v>2.38</v>
      </c>
      <c r="P229" s="36">
        <v>2</v>
      </c>
      <c r="Q229" s="36">
        <v>3</v>
      </c>
    </row>
    <row r="230" spans="1:17" x14ac:dyDescent="0.25">
      <c r="A230" s="24" t="s">
        <v>17</v>
      </c>
      <c r="B230" s="22">
        <v>17</v>
      </c>
      <c r="C230" s="14">
        <v>8</v>
      </c>
      <c r="D230" s="26">
        <v>2021</v>
      </c>
      <c r="E230" s="40">
        <f t="shared" si="10"/>
        <v>1109.9999999998909</v>
      </c>
      <c r="F230" s="41">
        <v>0.106418</v>
      </c>
      <c r="G230" s="11">
        <f t="shared" si="11"/>
        <v>2293.9999999997744</v>
      </c>
      <c r="H230" s="11">
        <v>0.106418</v>
      </c>
      <c r="I230" s="42">
        <f t="shared" si="12"/>
        <v>3995.9999999996071</v>
      </c>
      <c r="J230" s="42">
        <v>7.1932999999999997E-2</v>
      </c>
      <c r="K230" s="39">
        <f>Electric!AQ27*400</f>
        <v>7399.9999999992724</v>
      </c>
      <c r="L230" s="46">
        <f>Gas!AA24</f>
        <v>367</v>
      </c>
      <c r="M230" s="30">
        <v>0.59299999999999997</v>
      </c>
      <c r="N230" s="46">
        <f>Water!AA24</f>
        <v>34</v>
      </c>
      <c r="O230" s="31">
        <v>2.38</v>
      </c>
      <c r="P230" s="36">
        <v>3</v>
      </c>
      <c r="Q230" s="36">
        <v>5</v>
      </c>
    </row>
    <row r="231" spans="1:17" x14ac:dyDescent="0.25">
      <c r="A231" s="24" t="s">
        <v>17</v>
      </c>
      <c r="B231" s="22">
        <v>18</v>
      </c>
      <c r="C231" s="14">
        <v>8</v>
      </c>
      <c r="D231" s="26">
        <v>2021</v>
      </c>
      <c r="E231" s="40">
        <f t="shared" si="10"/>
        <v>1091.9999999999345</v>
      </c>
      <c r="F231" s="41">
        <v>0.106418</v>
      </c>
      <c r="G231" s="11">
        <f t="shared" si="11"/>
        <v>2256.7999999998647</v>
      </c>
      <c r="H231" s="11">
        <v>0.106418</v>
      </c>
      <c r="I231" s="42">
        <f t="shared" si="12"/>
        <v>3931.1999999997643</v>
      </c>
      <c r="J231" s="42">
        <v>7.1932999999999997E-2</v>
      </c>
      <c r="K231" s="39">
        <f>Electric!AQ28*400</f>
        <v>7279.9999999995634</v>
      </c>
      <c r="L231" s="46">
        <f>Gas!AA25</f>
        <v>344</v>
      </c>
      <c r="M231" s="30">
        <v>0.59299999999999997</v>
      </c>
      <c r="N231" s="46">
        <f>Water!AA25</f>
        <v>27</v>
      </c>
      <c r="O231" s="31">
        <v>2.38</v>
      </c>
      <c r="P231" s="36">
        <v>1</v>
      </c>
      <c r="Q231" s="36">
        <v>2</v>
      </c>
    </row>
    <row r="232" spans="1:17" x14ac:dyDescent="0.25">
      <c r="A232" s="24" t="s">
        <v>17</v>
      </c>
      <c r="B232" s="22">
        <v>19</v>
      </c>
      <c r="C232" s="14">
        <v>8</v>
      </c>
      <c r="D232" s="26">
        <v>2021</v>
      </c>
      <c r="E232" s="40">
        <f t="shared" si="10"/>
        <v>1134.0000000000873</v>
      </c>
      <c r="F232" s="41">
        <v>0.106418</v>
      </c>
      <c r="G232" s="11">
        <f t="shared" si="11"/>
        <v>2343.6000000001804</v>
      </c>
      <c r="H232" s="11">
        <v>0.106418</v>
      </c>
      <c r="I232" s="42">
        <f t="shared" si="12"/>
        <v>4082.4000000003143</v>
      </c>
      <c r="J232" s="42">
        <v>7.1932999999999997E-2</v>
      </c>
      <c r="K232" s="39">
        <f>Electric!AQ29*400</f>
        <v>7560.0000000005821</v>
      </c>
      <c r="L232" s="46">
        <f>Gas!AA26</f>
        <v>290</v>
      </c>
      <c r="M232" s="30">
        <v>0.59299999999999997</v>
      </c>
      <c r="N232" s="46">
        <f>Water!AA26</f>
        <v>27</v>
      </c>
      <c r="O232" s="31">
        <v>2.38</v>
      </c>
      <c r="P232" s="36">
        <v>1</v>
      </c>
      <c r="Q232" s="36">
        <v>2</v>
      </c>
    </row>
    <row r="233" spans="1:17" x14ac:dyDescent="0.25">
      <c r="A233" s="24" t="s">
        <v>17</v>
      </c>
      <c r="B233" s="22">
        <v>20</v>
      </c>
      <c r="C233" s="14">
        <v>8</v>
      </c>
      <c r="D233" s="26">
        <v>2021</v>
      </c>
      <c r="E233" s="40">
        <f t="shared" si="10"/>
        <v>1068.0000000001746</v>
      </c>
      <c r="F233" s="41">
        <v>0.106418</v>
      </c>
      <c r="G233" s="11">
        <f t="shared" si="11"/>
        <v>2207.2000000003609</v>
      </c>
      <c r="H233" s="11">
        <v>0.106418</v>
      </c>
      <c r="I233" s="42">
        <f t="shared" si="12"/>
        <v>3844.8000000006286</v>
      </c>
      <c r="J233" s="42">
        <v>7.1932999999999997E-2</v>
      </c>
      <c r="K233" s="39">
        <f>Electric!AQ30*400</f>
        <v>7120.0000000011642</v>
      </c>
      <c r="L233" s="46">
        <f>Gas!AA27</f>
        <v>313</v>
      </c>
      <c r="M233" s="30">
        <v>0.59299999999999997</v>
      </c>
      <c r="N233" s="46">
        <f>Water!AA27</f>
        <v>25</v>
      </c>
      <c r="O233" s="31">
        <v>2.38</v>
      </c>
      <c r="P233" s="36">
        <v>1</v>
      </c>
      <c r="Q233" s="36">
        <v>2</v>
      </c>
    </row>
    <row r="234" spans="1:17" x14ac:dyDescent="0.25">
      <c r="A234" s="24" t="s">
        <v>17</v>
      </c>
      <c r="B234" s="22">
        <v>21</v>
      </c>
      <c r="C234" s="14">
        <v>8</v>
      </c>
      <c r="D234" s="26">
        <v>2021</v>
      </c>
      <c r="E234" s="40">
        <f t="shared" si="10"/>
        <v>1085.9999999999127</v>
      </c>
      <c r="F234" s="41">
        <v>0.106418</v>
      </c>
      <c r="G234" s="11">
        <f t="shared" si="11"/>
        <v>2244.3999999998196</v>
      </c>
      <c r="H234" s="11">
        <v>0.106418</v>
      </c>
      <c r="I234" s="42">
        <f t="shared" si="12"/>
        <v>3909.5999999996857</v>
      </c>
      <c r="J234" s="42">
        <v>7.1932999999999997E-2</v>
      </c>
      <c r="K234" s="39">
        <f>Electric!AQ31*400</f>
        <v>7239.9999999994179</v>
      </c>
      <c r="L234" s="46">
        <f>Gas!AA28</f>
        <v>235</v>
      </c>
      <c r="M234" s="30">
        <v>0.59299999999999997</v>
      </c>
      <c r="N234" s="46">
        <f>Water!AA28</f>
        <v>14</v>
      </c>
      <c r="O234" s="31">
        <v>2.38</v>
      </c>
      <c r="P234" s="36">
        <v>1</v>
      </c>
      <c r="Q234" s="36">
        <v>2</v>
      </c>
    </row>
    <row r="235" spans="1:17" x14ac:dyDescent="0.25">
      <c r="A235" s="24" t="s">
        <v>17</v>
      </c>
      <c r="B235" s="22">
        <v>22</v>
      </c>
      <c r="C235" s="14">
        <v>8</v>
      </c>
      <c r="D235" s="26">
        <v>2021</v>
      </c>
      <c r="E235" s="40">
        <f t="shared" si="10"/>
        <v>1073.999999999869</v>
      </c>
      <c r="F235" s="41">
        <v>0.106418</v>
      </c>
      <c r="G235" s="11">
        <f t="shared" si="11"/>
        <v>2219.5999999997293</v>
      </c>
      <c r="H235" s="11">
        <v>0.106418</v>
      </c>
      <c r="I235" s="42">
        <f t="shared" si="12"/>
        <v>3866.3999999995285</v>
      </c>
      <c r="J235" s="42">
        <v>7.1932999999999997E-2</v>
      </c>
      <c r="K235" s="39">
        <f>Electric!AQ32*400</f>
        <v>7159.9999999991269</v>
      </c>
      <c r="L235" s="46">
        <f>Gas!AA29</f>
        <v>254</v>
      </c>
      <c r="M235" s="30">
        <v>0.59299999999999997</v>
      </c>
      <c r="N235" s="46">
        <f>Water!AA29</f>
        <v>15</v>
      </c>
      <c r="O235" s="31">
        <v>2.38</v>
      </c>
      <c r="P235" s="36">
        <v>1</v>
      </c>
      <c r="Q235" s="36">
        <v>2</v>
      </c>
    </row>
    <row r="236" spans="1:17" x14ac:dyDescent="0.25">
      <c r="A236" s="24" t="s">
        <v>17</v>
      </c>
      <c r="B236" s="22">
        <v>23</v>
      </c>
      <c r="C236" s="14">
        <v>8</v>
      </c>
      <c r="D236" s="26">
        <v>2021</v>
      </c>
      <c r="E236" s="40">
        <f t="shared" si="10"/>
        <v>1050</v>
      </c>
      <c r="F236" s="41">
        <v>0.106418</v>
      </c>
      <c r="G236" s="11">
        <f t="shared" si="11"/>
        <v>2170</v>
      </c>
      <c r="H236" s="11">
        <v>0.106418</v>
      </c>
      <c r="I236" s="42">
        <f t="shared" si="12"/>
        <v>3780</v>
      </c>
      <c r="J236" s="42">
        <v>7.1932999999999997E-2</v>
      </c>
      <c r="K236" s="39">
        <f>Electric!AQ33*400</f>
        <v>7000</v>
      </c>
      <c r="L236" s="46">
        <f>Gas!AA30</f>
        <v>208</v>
      </c>
      <c r="M236" s="30">
        <v>0.59299999999999997</v>
      </c>
      <c r="N236" s="46">
        <f>Water!AA30</f>
        <v>11</v>
      </c>
      <c r="O236" s="31">
        <v>2.38</v>
      </c>
      <c r="P236" s="36">
        <v>1</v>
      </c>
      <c r="Q236" s="36">
        <v>2</v>
      </c>
    </row>
    <row r="237" spans="1:17" x14ac:dyDescent="0.25">
      <c r="A237" s="24" t="s">
        <v>17</v>
      </c>
      <c r="B237" s="22">
        <v>24</v>
      </c>
      <c r="C237" s="14">
        <v>8</v>
      </c>
      <c r="D237" s="26">
        <v>2021</v>
      </c>
      <c r="E237" s="40">
        <f t="shared" si="10"/>
        <v>1116.000000000131</v>
      </c>
      <c r="F237" s="41">
        <v>0.106418</v>
      </c>
      <c r="G237" s="11">
        <f t="shared" si="11"/>
        <v>2306.4000000002707</v>
      </c>
      <c r="H237" s="11">
        <v>0.106418</v>
      </c>
      <c r="I237" s="42">
        <f t="shared" si="12"/>
        <v>4017.6000000004715</v>
      </c>
      <c r="J237" s="42">
        <v>7.1932999999999997E-2</v>
      </c>
      <c r="K237" s="39">
        <f>Electric!AQ34*400</f>
        <v>7440.0000000008731</v>
      </c>
      <c r="L237" s="46">
        <f>Gas!AA31</f>
        <v>550</v>
      </c>
      <c r="M237" s="30">
        <v>0.59299999999999997</v>
      </c>
      <c r="N237" s="46">
        <f>Water!AA31</f>
        <v>12</v>
      </c>
      <c r="O237" s="31">
        <v>2.38</v>
      </c>
      <c r="P237" s="36">
        <v>1</v>
      </c>
      <c r="Q237" s="36">
        <v>2</v>
      </c>
    </row>
    <row r="238" spans="1:17" x14ac:dyDescent="0.25">
      <c r="A238" s="24" t="s">
        <v>17</v>
      </c>
      <c r="B238" s="22">
        <v>25</v>
      </c>
      <c r="C238" s="14">
        <v>8</v>
      </c>
      <c r="D238" s="26">
        <v>2021</v>
      </c>
      <c r="E238" s="40">
        <f t="shared" si="10"/>
        <v>977.99999999995634</v>
      </c>
      <c r="F238" s="41">
        <v>0.106418</v>
      </c>
      <c r="G238" s="11">
        <f t="shared" si="11"/>
        <v>2021.1999999999098</v>
      </c>
      <c r="H238" s="11">
        <v>0.106418</v>
      </c>
      <c r="I238" s="42">
        <f t="shared" si="12"/>
        <v>3520.7999999998428</v>
      </c>
      <c r="J238" s="42">
        <v>7.1932999999999997E-2</v>
      </c>
      <c r="K238" s="39">
        <f>Electric!AQ35*400</f>
        <v>6519.999999999709</v>
      </c>
      <c r="L238" s="46">
        <f>Gas!AA32</f>
        <v>488</v>
      </c>
      <c r="M238" s="30">
        <v>0.59299999999999997</v>
      </c>
      <c r="N238" s="46">
        <f>Water!AA32</f>
        <v>11</v>
      </c>
      <c r="O238" s="31">
        <v>2.38</v>
      </c>
      <c r="P238" s="36">
        <v>1</v>
      </c>
      <c r="Q238" s="36">
        <v>2</v>
      </c>
    </row>
    <row r="239" spans="1:17" x14ac:dyDescent="0.25">
      <c r="A239" s="24" t="s">
        <v>17</v>
      </c>
      <c r="B239" s="22">
        <v>26</v>
      </c>
      <c r="C239" s="14">
        <v>8</v>
      </c>
      <c r="D239" s="26">
        <v>2021</v>
      </c>
      <c r="E239" s="40">
        <f t="shared" si="10"/>
        <v>1055.9999999999127</v>
      </c>
      <c r="F239" s="41">
        <v>0.106418</v>
      </c>
      <c r="G239" s="11">
        <f t="shared" si="11"/>
        <v>2182.3999999998196</v>
      </c>
      <c r="H239" s="11">
        <v>0.106418</v>
      </c>
      <c r="I239" s="42">
        <f t="shared" si="12"/>
        <v>3801.5999999996857</v>
      </c>
      <c r="J239" s="42">
        <v>7.1932999999999997E-2</v>
      </c>
      <c r="K239" s="39">
        <f>Electric!AQ36*400</f>
        <v>7039.9999999994179</v>
      </c>
      <c r="L239" s="46">
        <f>Gas!AA33</f>
        <v>420</v>
      </c>
      <c r="M239" s="30">
        <v>0.59299999999999997</v>
      </c>
      <c r="N239" s="46">
        <f>Water!AA33</f>
        <v>25</v>
      </c>
      <c r="O239" s="31">
        <v>2.38</v>
      </c>
      <c r="P239" s="36">
        <v>1</v>
      </c>
      <c r="Q239" s="36">
        <v>2</v>
      </c>
    </row>
    <row r="240" spans="1:17" x14ac:dyDescent="0.25">
      <c r="A240" s="24" t="s">
        <v>17</v>
      </c>
      <c r="B240" s="22">
        <v>27</v>
      </c>
      <c r="C240" s="14">
        <v>8</v>
      </c>
      <c r="D240" s="26">
        <v>2021</v>
      </c>
      <c r="E240" s="40">
        <f t="shared" si="10"/>
        <v>1067.9999999999563</v>
      </c>
      <c r="F240" s="41">
        <v>0.106418</v>
      </c>
      <c r="G240" s="11">
        <f t="shared" si="11"/>
        <v>2207.1999999999098</v>
      </c>
      <c r="H240" s="11">
        <v>0.106418</v>
      </c>
      <c r="I240" s="42">
        <f t="shared" si="12"/>
        <v>3844.7999999998428</v>
      </c>
      <c r="J240" s="42">
        <v>7.1932999999999997E-2</v>
      </c>
      <c r="K240" s="39">
        <f>Electric!AQ37*400</f>
        <v>7119.999999999709</v>
      </c>
      <c r="L240" s="46">
        <f>Gas!AA34</f>
        <v>435</v>
      </c>
      <c r="M240" s="30">
        <v>0.59299999999999997</v>
      </c>
      <c r="N240" s="46">
        <f>Water!AA34</f>
        <v>19</v>
      </c>
      <c r="O240" s="31">
        <v>2.38</v>
      </c>
      <c r="P240" s="36">
        <v>1</v>
      </c>
      <c r="Q240" s="36">
        <v>2</v>
      </c>
    </row>
    <row r="241" spans="1:17" x14ac:dyDescent="0.25">
      <c r="A241" s="24" t="s">
        <v>17</v>
      </c>
      <c r="B241" s="22">
        <v>28</v>
      </c>
      <c r="C241" s="14">
        <v>8</v>
      </c>
      <c r="D241" s="26">
        <v>2021</v>
      </c>
      <c r="E241" s="40">
        <f t="shared" si="10"/>
        <v>1032.0000000000437</v>
      </c>
      <c r="F241" s="41">
        <v>0.106418</v>
      </c>
      <c r="G241" s="11">
        <f t="shared" si="11"/>
        <v>2132.8000000000902</v>
      </c>
      <c r="H241" s="11">
        <v>0.106418</v>
      </c>
      <c r="I241" s="42">
        <f t="shared" si="12"/>
        <v>3715.2000000001572</v>
      </c>
      <c r="J241" s="42">
        <v>7.1932999999999997E-2</v>
      </c>
      <c r="K241" s="39">
        <f>Electric!AQ38*400</f>
        <v>6880.000000000291</v>
      </c>
      <c r="L241" s="46">
        <f>Gas!AA35</f>
        <v>423</v>
      </c>
      <c r="M241" s="30">
        <v>0.59299999999999997</v>
      </c>
      <c r="N241" s="46">
        <f>Water!AA35</f>
        <v>14</v>
      </c>
      <c r="O241" s="31">
        <v>2.38</v>
      </c>
      <c r="P241" s="36">
        <v>1</v>
      </c>
      <c r="Q241" s="36">
        <v>2</v>
      </c>
    </row>
    <row r="242" spans="1:17" x14ac:dyDescent="0.25">
      <c r="A242" s="24" t="s">
        <v>17</v>
      </c>
      <c r="B242" s="22">
        <v>29</v>
      </c>
      <c r="C242" s="14">
        <v>8</v>
      </c>
      <c r="D242" s="26">
        <v>2021</v>
      </c>
      <c r="E242" s="40">
        <f t="shared" si="10"/>
        <v>1037.9999999999563</v>
      </c>
      <c r="F242" s="41">
        <v>0.106418</v>
      </c>
      <c r="G242" s="11">
        <f t="shared" si="11"/>
        <v>2145.1999999999098</v>
      </c>
      <c r="H242" s="11">
        <v>0.106418</v>
      </c>
      <c r="I242" s="42">
        <f t="shared" si="12"/>
        <v>3736.7999999998428</v>
      </c>
      <c r="J242" s="42">
        <v>7.1932999999999997E-2</v>
      </c>
      <c r="K242" s="39">
        <f>Electric!AQ39*400</f>
        <v>6919.999999999709</v>
      </c>
      <c r="L242" s="46">
        <f>Gas!AA36</f>
        <v>387</v>
      </c>
      <c r="M242" s="30">
        <v>0.59299999999999997</v>
      </c>
      <c r="N242" s="46">
        <f>Water!AA36</f>
        <v>18</v>
      </c>
      <c r="O242" s="31">
        <v>2.38</v>
      </c>
      <c r="P242" s="36">
        <v>1</v>
      </c>
      <c r="Q242" s="36">
        <v>2</v>
      </c>
    </row>
    <row r="243" spans="1:17" x14ac:dyDescent="0.25">
      <c r="A243" s="24" t="s">
        <v>17</v>
      </c>
      <c r="B243" s="22">
        <v>30</v>
      </c>
      <c r="C243" s="14">
        <v>8</v>
      </c>
      <c r="D243" s="26">
        <v>2021</v>
      </c>
      <c r="E243" s="40">
        <f t="shared" si="10"/>
        <v>966.00000000013097</v>
      </c>
      <c r="F243" s="41">
        <v>0.106418</v>
      </c>
      <c r="G243" s="11">
        <f t="shared" si="11"/>
        <v>1996.4000000002707</v>
      </c>
      <c r="H243" s="11">
        <v>0.106418</v>
      </c>
      <c r="I243" s="42">
        <f t="shared" si="12"/>
        <v>3477.6000000004715</v>
      </c>
      <c r="J243" s="42">
        <v>7.1932999999999997E-2</v>
      </c>
      <c r="K243" s="39">
        <f>Electric!AQ40*400</f>
        <v>6440.0000000008731</v>
      </c>
      <c r="L243" s="46">
        <f>Gas!AA37</f>
        <v>359</v>
      </c>
      <c r="M243" s="30">
        <v>0.59299999999999997</v>
      </c>
      <c r="N243" s="46">
        <f>Water!AA37</f>
        <v>19</v>
      </c>
      <c r="O243" s="31">
        <v>2.38</v>
      </c>
      <c r="P243" s="36">
        <v>1</v>
      </c>
      <c r="Q243" s="36">
        <v>2</v>
      </c>
    </row>
    <row r="244" spans="1:17" x14ac:dyDescent="0.25">
      <c r="A244" s="24" t="s">
        <v>17</v>
      </c>
      <c r="B244" s="22">
        <v>31</v>
      </c>
      <c r="C244" s="14">
        <v>8</v>
      </c>
      <c r="D244" s="26">
        <v>2021</v>
      </c>
      <c r="E244" s="40">
        <f t="shared" si="10"/>
        <v>1110</v>
      </c>
      <c r="F244" s="41">
        <v>0.106418</v>
      </c>
      <c r="G244" s="11">
        <f t="shared" si="11"/>
        <v>2294</v>
      </c>
      <c r="H244" s="11">
        <v>0.106418</v>
      </c>
      <c r="I244" s="42">
        <f t="shared" si="12"/>
        <v>3996</v>
      </c>
      <c r="J244" s="42">
        <v>7.1932999999999997E-2</v>
      </c>
      <c r="K244" s="39">
        <f>Electric!AQ41*400</f>
        <v>7400</v>
      </c>
      <c r="L244" s="46">
        <f>Gas!AA38</f>
        <v>365</v>
      </c>
      <c r="M244" s="30">
        <v>0.59299999999999997</v>
      </c>
      <c r="N244" s="46">
        <f>Water!AA38</f>
        <v>19</v>
      </c>
      <c r="O244" s="31">
        <v>2.38</v>
      </c>
      <c r="P244" s="36">
        <v>1</v>
      </c>
      <c r="Q244" s="36">
        <v>2</v>
      </c>
    </row>
    <row r="245" spans="1:17" x14ac:dyDescent="0.25">
      <c r="A245" s="24" t="s">
        <v>17</v>
      </c>
      <c r="B245" s="22">
        <v>1</v>
      </c>
      <c r="C245" s="14">
        <v>9</v>
      </c>
      <c r="D245" s="26">
        <v>2021</v>
      </c>
      <c r="E245" s="40" t="e">
        <f t="shared" si="10"/>
        <v>#VALUE!</v>
      </c>
      <c r="G245" s="11" t="e">
        <f t="shared" si="11"/>
        <v>#VALUE!</v>
      </c>
      <c r="I245" s="42" t="e">
        <f t="shared" si="12"/>
        <v>#VALUE!</v>
      </c>
      <c r="K245" s="39" t="e">
        <f>Electric!AV11*400</f>
        <v>#VALUE!</v>
      </c>
      <c r="L245" s="46" t="str">
        <f>Gas!AD8</f>
        <v/>
      </c>
      <c r="N245" s="46" t="str">
        <f>Water!AD8</f>
        <v/>
      </c>
    </row>
    <row r="246" spans="1:17" x14ac:dyDescent="0.25">
      <c r="A246" s="24" t="s">
        <v>17</v>
      </c>
      <c r="B246" s="22">
        <v>2</v>
      </c>
      <c r="C246" s="14">
        <v>9</v>
      </c>
      <c r="D246" s="26">
        <v>2021</v>
      </c>
      <c r="E246" s="40" t="e">
        <f t="shared" si="10"/>
        <v>#VALUE!</v>
      </c>
      <c r="G246" s="11" t="e">
        <f t="shared" si="11"/>
        <v>#VALUE!</v>
      </c>
      <c r="I246" s="42" t="e">
        <f t="shared" si="12"/>
        <v>#VALUE!</v>
      </c>
      <c r="K246" s="39" t="e">
        <f>Electric!AV12*400</f>
        <v>#VALUE!</v>
      </c>
      <c r="L246" s="46" t="str">
        <f>Gas!AD9</f>
        <v/>
      </c>
      <c r="N246" s="46" t="str">
        <f>Water!AD9</f>
        <v/>
      </c>
    </row>
    <row r="247" spans="1:17" x14ac:dyDescent="0.25">
      <c r="A247" s="24" t="s">
        <v>17</v>
      </c>
      <c r="B247" s="22">
        <v>3</v>
      </c>
      <c r="C247" s="14">
        <v>9</v>
      </c>
      <c r="D247" s="26">
        <v>2021</v>
      </c>
      <c r="E247" s="40" t="e">
        <f t="shared" si="10"/>
        <v>#VALUE!</v>
      </c>
      <c r="G247" s="11" t="e">
        <f t="shared" si="11"/>
        <v>#VALUE!</v>
      </c>
      <c r="I247" s="42" t="e">
        <f t="shared" si="12"/>
        <v>#VALUE!</v>
      </c>
      <c r="K247" s="39" t="e">
        <f>Electric!AV13*400</f>
        <v>#VALUE!</v>
      </c>
      <c r="L247" s="46" t="str">
        <f>Gas!AD10</f>
        <v/>
      </c>
      <c r="N247" s="46" t="str">
        <f>Water!AD10</f>
        <v/>
      </c>
    </row>
    <row r="248" spans="1:17" x14ac:dyDescent="0.25">
      <c r="A248" s="24" t="s">
        <v>17</v>
      </c>
      <c r="B248" s="22">
        <v>4</v>
      </c>
      <c r="C248" s="14">
        <v>9</v>
      </c>
      <c r="D248" s="26">
        <v>2021</v>
      </c>
      <c r="E248" s="40" t="e">
        <f t="shared" si="10"/>
        <v>#VALUE!</v>
      </c>
      <c r="G248" s="11" t="e">
        <f t="shared" si="11"/>
        <v>#VALUE!</v>
      </c>
      <c r="I248" s="42" t="e">
        <f t="shared" si="12"/>
        <v>#VALUE!</v>
      </c>
      <c r="K248" s="39" t="e">
        <f>Electric!AV14*400</f>
        <v>#VALUE!</v>
      </c>
      <c r="L248" s="46" t="str">
        <f>Gas!AD11</f>
        <v/>
      </c>
      <c r="N248" s="46" t="str">
        <f>Water!AD11</f>
        <v/>
      </c>
    </row>
    <row r="249" spans="1:17" x14ac:dyDescent="0.25">
      <c r="A249" s="24" t="s">
        <v>17</v>
      </c>
      <c r="B249" s="22">
        <v>5</v>
      </c>
      <c r="C249" s="14">
        <v>9</v>
      </c>
      <c r="D249" s="26">
        <v>2021</v>
      </c>
      <c r="E249" s="40" t="e">
        <f t="shared" si="10"/>
        <v>#VALUE!</v>
      </c>
      <c r="G249" s="11" t="e">
        <f t="shared" si="11"/>
        <v>#VALUE!</v>
      </c>
      <c r="I249" s="42" t="e">
        <f t="shared" si="12"/>
        <v>#VALUE!</v>
      </c>
      <c r="K249" s="39" t="e">
        <f>Electric!AV15*400</f>
        <v>#VALUE!</v>
      </c>
      <c r="L249" s="46" t="str">
        <f>Gas!AD12</f>
        <v/>
      </c>
      <c r="N249" s="46" t="str">
        <f>Water!AD12</f>
        <v/>
      </c>
    </row>
    <row r="250" spans="1:17" x14ac:dyDescent="0.25">
      <c r="A250" s="24" t="s">
        <v>17</v>
      </c>
      <c r="B250" s="22">
        <v>6</v>
      </c>
      <c r="C250" s="14">
        <v>9</v>
      </c>
      <c r="D250" s="26">
        <v>2021</v>
      </c>
      <c r="E250" s="40" t="e">
        <f t="shared" si="10"/>
        <v>#VALUE!</v>
      </c>
      <c r="G250" s="11" t="e">
        <f t="shared" si="11"/>
        <v>#VALUE!</v>
      </c>
      <c r="I250" s="42" t="e">
        <f t="shared" si="12"/>
        <v>#VALUE!</v>
      </c>
      <c r="K250" s="39" t="e">
        <f>Electric!AV16*400</f>
        <v>#VALUE!</v>
      </c>
      <c r="L250" s="46" t="str">
        <f>Gas!AD13</f>
        <v/>
      </c>
      <c r="N250" s="46" t="str">
        <f>Water!AD13</f>
        <v/>
      </c>
    </row>
    <row r="251" spans="1:17" x14ac:dyDescent="0.25">
      <c r="A251" s="24" t="s">
        <v>17</v>
      </c>
      <c r="B251" s="22">
        <v>7</v>
      </c>
      <c r="C251" s="14">
        <v>9</v>
      </c>
      <c r="D251" s="26">
        <v>2021</v>
      </c>
      <c r="E251" s="40" t="e">
        <f t="shared" si="10"/>
        <v>#VALUE!</v>
      </c>
      <c r="G251" s="11" t="e">
        <f t="shared" si="11"/>
        <v>#VALUE!</v>
      </c>
      <c r="I251" s="42" t="e">
        <f t="shared" si="12"/>
        <v>#VALUE!</v>
      </c>
      <c r="K251" s="39" t="e">
        <f>Electric!AV17*400</f>
        <v>#VALUE!</v>
      </c>
      <c r="L251" s="46" t="str">
        <f>Gas!AD14</f>
        <v/>
      </c>
      <c r="N251" s="46" t="str">
        <f>Water!AD14</f>
        <v/>
      </c>
    </row>
    <row r="252" spans="1:17" x14ac:dyDescent="0.25">
      <c r="A252" s="24" t="s">
        <v>17</v>
      </c>
      <c r="B252" s="22">
        <v>8</v>
      </c>
      <c r="C252" s="14">
        <v>9</v>
      </c>
      <c r="D252" s="26">
        <v>2021</v>
      </c>
      <c r="E252" s="40" t="e">
        <f t="shared" si="10"/>
        <v>#VALUE!</v>
      </c>
      <c r="G252" s="11" t="e">
        <f t="shared" si="11"/>
        <v>#VALUE!</v>
      </c>
      <c r="I252" s="42" t="e">
        <f t="shared" si="12"/>
        <v>#VALUE!</v>
      </c>
      <c r="K252" s="39" t="e">
        <f>Electric!AV18*400</f>
        <v>#VALUE!</v>
      </c>
      <c r="L252" s="46" t="str">
        <f>Gas!AD15</f>
        <v/>
      </c>
      <c r="N252" s="46" t="str">
        <f>Water!AD15</f>
        <v/>
      </c>
    </row>
    <row r="253" spans="1:17" x14ac:dyDescent="0.25">
      <c r="A253" s="24" t="s">
        <v>17</v>
      </c>
      <c r="B253" s="22">
        <v>9</v>
      </c>
      <c r="C253" s="14">
        <v>9</v>
      </c>
      <c r="D253" s="26">
        <v>2021</v>
      </c>
      <c r="E253" s="40" t="e">
        <f t="shared" si="10"/>
        <v>#VALUE!</v>
      </c>
      <c r="G253" s="11" t="e">
        <f t="shared" si="11"/>
        <v>#VALUE!</v>
      </c>
      <c r="I253" s="42" t="e">
        <f t="shared" si="12"/>
        <v>#VALUE!</v>
      </c>
      <c r="K253" s="39" t="e">
        <f>Electric!AV19*400</f>
        <v>#VALUE!</v>
      </c>
      <c r="L253" s="46" t="str">
        <f>Gas!AD16</f>
        <v/>
      </c>
      <c r="N253" s="46" t="str">
        <f>Water!AD16</f>
        <v/>
      </c>
    </row>
    <row r="254" spans="1:17" x14ac:dyDescent="0.25">
      <c r="A254" s="24" t="s">
        <v>17</v>
      </c>
      <c r="B254" s="22">
        <v>10</v>
      </c>
      <c r="C254" s="14">
        <v>9</v>
      </c>
      <c r="D254" s="26">
        <v>2021</v>
      </c>
      <c r="E254" s="40" t="e">
        <f t="shared" si="10"/>
        <v>#VALUE!</v>
      </c>
      <c r="G254" s="11" t="e">
        <f t="shared" si="11"/>
        <v>#VALUE!</v>
      </c>
      <c r="I254" s="42" t="e">
        <f t="shared" si="12"/>
        <v>#VALUE!</v>
      </c>
      <c r="K254" s="39" t="e">
        <f>Electric!AV20*400</f>
        <v>#VALUE!</v>
      </c>
      <c r="L254" s="46" t="str">
        <f>Gas!AD17</f>
        <v/>
      </c>
      <c r="N254" s="46" t="str">
        <f>Water!AD17</f>
        <v/>
      </c>
    </row>
    <row r="255" spans="1:17" x14ac:dyDescent="0.25">
      <c r="A255" s="24" t="s">
        <v>17</v>
      </c>
      <c r="B255" s="22">
        <v>11</v>
      </c>
      <c r="C255" s="14">
        <v>9</v>
      </c>
      <c r="D255" s="26">
        <v>2021</v>
      </c>
      <c r="E255" s="40" t="e">
        <f t="shared" si="10"/>
        <v>#VALUE!</v>
      </c>
      <c r="G255" s="11" t="e">
        <f t="shared" si="11"/>
        <v>#VALUE!</v>
      </c>
      <c r="I255" s="42" t="e">
        <f t="shared" si="12"/>
        <v>#VALUE!</v>
      </c>
      <c r="K255" s="39" t="e">
        <f>Electric!AV21*400</f>
        <v>#VALUE!</v>
      </c>
      <c r="L255" s="46" t="str">
        <f>Gas!AD18</f>
        <v/>
      </c>
      <c r="N255" s="46" t="str">
        <f>Water!AD18</f>
        <v/>
      </c>
    </row>
    <row r="256" spans="1:17" x14ac:dyDescent="0.25">
      <c r="A256" s="24" t="s">
        <v>17</v>
      </c>
      <c r="B256" s="22">
        <v>12</v>
      </c>
      <c r="C256" s="14">
        <v>9</v>
      </c>
      <c r="D256" s="26">
        <v>2021</v>
      </c>
      <c r="E256" s="40" t="e">
        <f t="shared" si="10"/>
        <v>#VALUE!</v>
      </c>
      <c r="G256" s="11" t="e">
        <f t="shared" si="11"/>
        <v>#VALUE!</v>
      </c>
      <c r="I256" s="42" t="e">
        <f t="shared" si="12"/>
        <v>#VALUE!</v>
      </c>
      <c r="K256" s="39" t="e">
        <f>Electric!AV22*400</f>
        <v>#VALUE!</v>
      </c>
      <c r="L256" s="46" t="str">
        <f>Gas!AD19</f>
        <v/>
      </c>
      <c r="N256" s="46" t="str">
        <f>Water!AD19</f>
        <v/>
      </c>
    </row>
    <row r="257" spans="1:14" x14ac:dyDescent="0.25">
      <c r="A257" s="24" t="s">
        <v>17</v>
      </c>
      <c r="B257" s="22">
        <v>13</v>
      </c>
      <c r="C257" s="14">
        <v>9</v>
      </c>
      <c r="D257" s="26">
        <v>2021</v>
      </c>
      <c r="E257" s="40" t="e">
        <f t="shared" si="10"/>
        <v>#VALUE!</v>
      </c>
      <c r="G257" s="11" t="e">
        <f t="shared" si="11"/>
        <v>#VALUE!</v>
      </c>
      <c r="I257" s="42" t="e">
        <f t="shared" si="12"/>
        <v>#VALUE!</v>
      </c>
      <c r="K257" s="39" t="e">
        <f>Electric!AV23*400</f>
        <v>#VALUE!</v>
      </c>
      <c r="L257" s="46" t="str">
        <f>Gas!AD20</f>
        <v/>
      </c>
      <c r="N257" s="46" t="str">
        <f>Water!AD20</f>
        <v/>
      </c>
    </row>
    <row r="258" spans="1:14" x14ac:dyDescent="0.25">
      <c r="A258" s="24" t="s">
        <v>17</v>
      </c>
      <c r="B258" s="22">
        <v>14</v>
      </c>
      <c r="C258" s="14">
        <v>9</v>
      </c>
      <c r="D258" s="26">
        <v>2021</v>
      </c>
      <c r="E258" s="40" t="e">
        <f t="shared" si="10"/>
        <v>#VALUE!</v>
      </c>
      <c r="G258" s="11" t="e">
        <f t="shared" si="11"/>
        <v>#VALUE!</v>
      </c>
      <c r="I258" s="42" t="e">
        <f t="shared" si="12"/>
        <v>#VALUE!</v>
      </c>
      <c r="K258" s="39" t="e">
        <f>Electric!AV24*400</f>
        <v>#VALUE!</v>
      </c>
      <c r="L258" s="46" t="str">
        <f>Gas!AD21</f>
        <v/>
      </c>
      <c r="N258" s="46" t="str">
        <f>Water!AD21</f>
        <v/>
      </c>
    </row>
    <row r="259" spans="1:14" x14ac:dyDescent="0.25">
      <c r="A259" s="24" t="s">
        <v>17</v>
      </c>
      <c r="B259" s="22">
        <v>15</v>
      </c>
      <c r="C259" s="14">
        <v>9</v>
      </c>
      <c r="D259" s="26">
        <v>2021</v>
      </c>
      <c r="E259" s="40" t="e">
        <f t="shared" ref="E259:E322" si="13">(K259/100)*15</f>
        <v>#VALUE!</v>
      </c>
      <c r="G259" s="11" t="e">
        <f t="shared" ref="G259:G322" si="14">(K259/100)*31</f>
        <v>#VALUE!</v>
      </c>
      <c r="I259" s="42" t="e">
        <f t="shared" ref="I259:I322" si="15">(K259/100)*54</f>
        <v>#VALUE!</v>
      </c>
      <c r="K259" s="39" t="e">
        <f>Electric!AV25*400</f>
        <v>#VALUE!</v>
      </c>
      <c r="L259" s="46" t="str">
        <f>Gas!AD22</f>
        <v/>
      </c>
      <c r="N259" s="46" t="str">
        <f>Water!AD22</f>
        <v/>
      </c>
    </row>
    <row r="260" spans="1:14" x14ac:dyDescent="0.25">
      <c r="A260" s="24" t="s">
        <v>17</v>
      </c>
      <c r="B260" s="22">
        <v>16</v>
      </c>
      <c r="C260" s="14">
        <v>9</v>
      </c>
      <c r="D260" s="26">
        <v>2021</v>
      </c>
      <c r="E260" s="40" t="e">
        <f t="shared" si="13"/>
        <v>#VALUE!</v>
      </c>
      <c r="G260" s="11" t="e">
        <f t="shared" si="14"/>
        <v>#VALUE!</v>
      </c>
      <c r="I260" s="42" t="e">
        <f t="shared" si="15"/>
        <v>#VALUE!</v>
      </c>
      <c r="K260" s="39" t="e">
        <f>Electric!AV26*400</f>
        <v>#VALUE!</v>
      </c>
      <c r="L260" s="46" t="str">
        <f>Gas!AD23</f>
        <v/>
      </c>
      <c r="N260" s="46" t="str">
        <f>Water!AD23</f>
        <v/>
      </c>
    </row>
    <row r="261" spans="1:14" x14ac:dyDescent="0.25">
      <c r="A261" s="24" t="s">
        <v>17</v>
      </c>
      <c r="B261" s="22">
        <v>17</v>
      </c>
      <c r="C261" s="14">
        <v>9</v>
      </c>
      <c r="D261" s="26">
        <v>2021</v>
      </c>
      <c r="E261" s="40" t="e">
        <f t="shared" si="13"/>
        <v>#VALUE!</v>
      </c>
      <c r="G261" s="11" t="e">
        <f t="shared" si="14"/>
        <v>#VALUE!</v>
      </c>
      <c r="I261" s="42" t="e">
        <f t="shared" si="15"/>
        <v>#VALUE!</v>
      </c>
      <c r="K261" s="39" t="e">
        <f>Electric!AV27*400</f>
        <v>#VALUE!</v>
      </c>
      <c r="L261" s="46" t="str">
        <f>Gas!AD24</f>
        <v/>
      </c>
      <c r="N261" s="46" t="str">
        <f>Water!AD24</f>
        <v/>
      </c>
    </row>
    <row r="262" spans="1:14" x14ac:dyDescent="0.25">
      <c r="A262" s="24" t="s">
        <v>17</v>
      </c>
      <c r="B262" s="22">
        <v>18</v>
      </c>
      <c r="C262" s="14">
        <v>9</v>
      </c>
      <c r="D262" s="26">
        <v>2021</v>
      </c>
      <c r="E262" s="40" t="e">
        <f t="shared" si="13"/>
        <v>#VALUE!</v>
      </c>
      <c r="G262" s="11" t="e">
        <f t="shared" si="14"/>
        <v>#VALUE!</v>
      </c>
      <c r="I262" s="42" t="e">
        <f t="shared" si="15"/>
        <v>#VALUE!</v>
      </c>
      <c r="K262" s="39" t="e">
        <f>Electric!AV28*400</f>
        <v>#VALUE!</v>
      </c>
      <c r="L262" s="46" t="str">
        <f>Gas!AD25</f>
        <v/>
      </c>
      <c r="N262" s="46" t="str">
        <f>Water!AD25</f>
        <v/>
      </c>
    </row>
    <row r="263" spans="1:14" x14ac:dyDescent="0.25">
      <c r="A263" s="24" t="s">
        <v>17</v>
      </c>
      <c r="B263" s="22">
        <v>19</v>
      </c>
      <c r="C263" s="14">
        <v>9</v>
      </c>
      <c r="D263" s="26">
        <v>2021</v>
      </c>
      <c r="E263" s="40" t="e">
        <f t="shared" si="13"/>
        <v>#VALUE!</v>
      </c>
      <c r="G263" s="11" t="e">
        <f t="shared" si="14"/>
        <v>#VALUE!</v>
      </c>
      <c r="I263" s="42" t="e">
        <f t="shared" si="15"/>
        <v>#VALUE!</v>
      </c>
      <c r="K263" s="39" t="e">
        <f>Electric!AV29*400</f>
        <v>#VALUE!</v>
      </c>
      <c r="L263" s="46" t="str">
        <f>Gas!AD26</f>
        <v/>
      </c>
      <c r="N263" s="46" t="str">
        <f>Water!AD26</f>
        <v/>
      </c>
    </row>
    <row r="264" spans="1:14" x14ac:dyDescent="0.25">
      <c r="A264" s="24" t="s">
        <v>17</v>
      </c>
      <c r="B264" s="22">
        <v>20</v>
      </c>
      <c r="C264" s="14">
        <v>9</v>
      </c>
      <c r="D264" s="26">
        <v>2021</v>
      </c>
      <c r="E264" s="40" t="e">
        <f t="shared" si="13"/>
        <v>#VALUE!</v>
      </c>
      <c r="G264" s="11" t="e">
        <f t="shared" si="14"/>
        <v>#VALUE!</v>
      </c>
      <c r="I264" s="42" t="e">
        <f t="shared" si="15"/>
        <v>#VALUE!</v>
      </c>
      <c r="K264" s="39" t="e">
        <f>Electric!AV30*400</f>
        <v>#VALUE!</v>
      </c>
      <c r="L264" s="46" t="str">
        <f>Gas!AD27</f>
        <v/>
      </c>
      <c r="N264" s="46" t="str">
        <f>Water!AD27</f>
        <v/>
      </c>
    </row>
    <row r="265" spans="1:14" x14ac:dyDescent="0.25">
      <c r="A265" s="24" t="s">
        <v>17</v>
      </c>
      <c r="B265" s="22">
        <v>21</v>
      </c>
      <c r="C265" s="14">
        <v>9</v>
      </c>
      <c r="D265" s="26">
        <v>2021</v>
      </c>
      <c r="E265" s="40" t="e">
        <f t="shared" si="13"/>
        <v>#VALUE!</v>
      </c>
      <c r="G265" s="11" t="e">
        <f t="shared" si="14"/>
        <v>#VALUE!</v>
      </c>
      <c r="I265" s="42" t="e">
        <f t="shared" si="15"/>
        <v>#VALUE!</v>
      </c>
      <c r="K265" s="39" t="e">
        <f>Electric!AV31*400</f>
        <v>#VALUE!</v>
      </c>
      <c r="L265" s="46" t="str">
        <f>Gas!AD28</f>
        <v/>
      </c>
      <c r="N265" s="46" t="str">
        <f>Water!AD28</f>
        <v/>
      </c>
    </row>
    <row r="266" spans="1:14" x14ac:dyDescent="0.25">
      <c r="A266" s="24" t="s">
        <v>17</v>
      </c>
      <c r="B266" s="22">
        <v>22</v>
      </c>
      <c r="C266" s="14">
        <v>9</v>
      </c>
      <c r="D266" s="26">
        <v>2021</v>
      </c>
      <c r="E266" s="40" t="e">
        <f t="shared" si="13"/>
        <v>#VALUE!</v>
      </c>
      <c r="G266" s="11" t="e">
        <f t="shared" si="14"/>
        <v>#VALUE!</v>
      </c>
      <c r="I266" s="42" t="e">
        <f t="shared" si="15"/>
        <v>#VALUE!</v>
      </c>
      <c r="K266" s="39" t="e">
        <f>Electric!AV32*400</f>
        <v>#VALUE!</v>
      </c>
      <c r="L266" s="46" t="str">
        <f>Gas!AD29</f>
        <v/>
      </c>
      <c r="N266" s="46" t="str">
        <f>Water!AD29</f>
        <v/>
      </c>
    </row>
    <row r="267" spans="1:14" x14ac:dyDescent="0.25">
      <c r="A267" s="24" t="s">
        <v>17</v>
      </c>
      <c r="B267" s="22">
        <v>23</v>
      </c>
      <c r="C267" s="14">
        <v>9</v>
      </c>
      <c r="D267" s="26">
        <v>2021</v>
      </c>
      <c r="E267" s="40" t="e">
        <f t="shared" si="13"/>
        <v>#VALUE!</v>
      </c>
      <c r="G267" s="11" t="e">
        <f t="shared" si="14"/>
        <v>#VALUE!</v>
      </c>
      <c r="I267" s="42" t="e">
        <f t="shared" si="15"/>
        <v>#VALUE!</v>
      </c>
      <c r="K267" s="39" t="e">
        <f>Electric!AV33*400</f>
        <v>#VALUE!</v>
      </c>
      <c r="L267" s="46" t="str">
        <f>Gas!AD30</f>
        <v/>
      </c>
      <c r="N267" s="46" t="str">
        <f>Water!AD30</f>
        <v/>
      </c>
    </row>
    <row r="268" spans="1:14" x14ac:dyDescent="0.25">
      <c r="A268" s="24" t="s">
        <v>17</v>
      </c>
      <c r="B268" s="22">
        <v>24</v>
      </c>
      <c r="C268" s="14">
        <v>9</v>
      </c>
      <c r="D268" s="26">
        <v>2021</v>
      </c>
      <c r="E268" s="40" t="e">
        <f t="shared" si="13"/>
        <v>#VALUE!</v>
      </c>
      <c r="G268" s="11" t="e">
        <f t="shared" si="14"/>
        <v>#VALUE!</v>
      </c>
      <c r="I268" s="42" t="e">
        <f t="shared" si="15"/>
        <v>#VALUE!</v>
      </c>
      <c r="K268" s="39" t="e">
        <f>Electric!AV34*400</f>
        <v>#VALUE!</v>
      </c>
      <c r="L268" s="46" t="str">
        <f>Gas!AD31</f>
        <v/>
      </c>
      <c r="N268" s="46" t="str">
        <f>Water!AD31</f>
        <v/>
      </c>
    </row>
    <row r="269" spans="1:14" x14ac:dyDescent="0.25">
      <c r="A269" s="24" t="s">
        <v>17</v>
      </c>
      <c r="B269" s="22">
        <v>25</v>
      </c>
      <c r="C269" s="14">
        <v>9</v>
      </c>
      <c r="D269" s="26">
        <v>2021</v>
      </c>
      <c r="E269" s="40" t="e">
        <f t="shared" si="13"/>
        <v>#VALUE!</v>
      </c>
      <c r="G269" s="11" t="e">
        <f t="shared" si="14"/>
        <v>#VALUE!</v>
      </c>
      <c r="I269" s="42" t="e">
        <f t="shared" si="15"/>
        <v>#VALUE!</v>
      </c>
      <c r="K269" s="39" t="e">
        <f>Electric!AV35*400</f>
        <v>#VALUE!</v>
      </c>
      <c r="L269" s="46" t="str">
        <f>Gas!AD32</f>
        <v/>
      </c>
      <c r="N269" s="46" t="str">
        <f>Water!AD32</f>
        <v/>
      </c>
    </row>
    <row r="270" spans="1:14" x14ac:dyDescent="0.25">
      <c r="A270" s="24" t="s">
        <v>17</v>
      </c>
      <c r="B270" s="22">
        <v>26</v>
      </c>
      <c r="C270" s="14">
        <v>9</v>
      </c>
      <c r="D270" s="26">
        <v>2021</v>
      </c>
      <c r="E270" s="40" t="e">
        <f t="shared" si="13"/>
        <v>#VALUE!</v>
      </c>
      <c r="G270" s="11" t="e">
        <f t="shared" si="14"/>
        <v>#VALUE!</v>
      </c>
      <c r="I270" s="42" t="e">
        <f t="shared" si="15"/>
        <v>#VALUE!</v>
      </c>
      <c r="K270" s="39" t="e">
        <f>Electric!AV36*400</f>
        <v>#VALUE!</v>
      </c>
      <c r="L270" s="46" t="str">
        <f>Gas!AD33</f>
        <v/>
      </c>
      <c r="N270" s="46" t="str">
        <f>Water!AD33</f>
        <v/>
      </c>
    </row>
    <row r="271" spans="1:14" x14ac:dyDescent="0.25">
      <c r="A271" s="24" t="s">
        <v>17</v>
      </c>
      <c r="B271" s="22">
        <v>27</v>
      </c>
      <c r="C271" s="14">
        <v>9</v>
      </c>
      <c r="D271" s="26">
        <v>2021</v>
      </c>
      <c r="E271" s="40" t="e">
        <f t="shared" si="13"/>
        <v>#VALUE!</v>
      </c>
      <c r="G271" s="11" t="e">
        <f t="shared" si="14"/>
        <v>#VALUE!</v>
      </c>
      <c r="I271" s="42" t="e">
        <f t="shared" si="15"/>
        <v>#VALUE!</v>
      </c>
      <c r="K271" s="39" t="e">
        <f>Electric!AV37*400</f>
        <v>#VALUE!</v>
      </c>
      <c r="L271" s="46" t="str">
        <f>Gas!AD34</f>
        <v/>
      </c>
      <c r="N271" s="46" t="str">
        <f>Water!AD34</f>
        <v/>
      </c>
    </row>
    <row r="272" spans="1:14" x14ac:dyDescent="0.25">
      <c r="A272" s="24" t="s">
        <v>17</v>
      </c>
      <c r="B272" s="22">
        <v>28</v>
      </c>
      <c r="C272" s="14">
        <v>9</v>
      </c>
      <c r="D272" s="26">
        <v>2021</v>
      </c>
      <c r="E272" s="40" t="e">
        <f t="shared" si="13"/>
        <v>#VALUE!</v>
      </c>
      <c r="G272" s="11" t="e">
        <f t="shared" si="14"/>
        <v>#VALUE!</v>
      </c>
      <c r="I272" s="42" t="e">
        <f t="shared" si="15"/>
        <v>#VALUE!</v>
      </c>
      <c r="K272" s="39" t="e">
        <f>Electric!AV38*400</f>
        <v>#VALUE!</v>
      </c>
      <c r="L272" s="46" t="str">
        <f>Gas!AD35</f>
        <v/>
      </c>
      <c r="N272" s="46" t="str">
        <f>Water!AD35</f>
        <v/>
      </c>
    </row>
    <row r="273" spans="1:14" x14ac:dyDescent="0.25">
      <c r="A273" s="24" t="s">
        <v>17</v>
      </c>
      <c r="B273" s="22">
        <v>29</v>
      </c>
      <c r="C273" s="14">
        <v>9</v>
      </c>
      <c r="D273" s="26">
        <v>2021</v>
      </c>
      <c r="E273" s="40" t="e">
        <f t="shared" si="13"/>
        <v>#VALUE!</v>
      </c>
      <c r="G273" s="11" t="e">
        <f t="shared" si="14"/>
        <v>#VALUE!</v>
      </c>
      <c r="I273" s="42" t="e">
        <f t="shared" si="15"/>
        <v>#VALUE!</v>
      </c>
      <c r="K273" s="39" t="e">
        <f>Electric!AV39*400</f>
        <v>#VALUE!</v>
      </c>
      <c r="L273" s="46" t="str">
        <f>Gas!AD36</f>
        <v/>
      </c>
      <c r="N273" s="46" t="str">
        <f>Water!AD36</f>
        <v/>
      </c>
    </row>
    <row r="274" spans="1:14" x14ac:dyDescent="0.25">
      <c r="A274" s="24" t="s">
        <v>17</v>
      </c>
      <c r="B274" s="22">
        <v>30</v>
      </c>
      <c r="C274" s="14">
        <v>9</v>
      </c>
      <c r="D274" s="26">
        <v>2021</v>
      </c>
      <c r="E274" s="40" t="e">
        <f t="shared" si="13"/>
        <v>#VALUE!</v>
      </c>
      <c r="G274" s="11" t="e">
        <f t="shared" si="14"/>
        <v>#VALUE!</v>
      </c>
      <c r="I274" s="42" t="e">
        <f t="shared" si="15"/>
        <v>#VALUE!</v>
      </c>
      <c r="K274" s="39" t="e">
        <f>Electric!AV40*400</f>
        <v>#VALUE!</v>
      </c>
      <c r="L274" s="46" t="str">
        <f>Gas!AD37</f>
        <v/>
      </c>
      <c r="N274" s="46" t="str">
        <f>Water!AD37</f>
        <v/>
      </c>
    </row>
    <row r="275" spans="1:14" x14ac:dyDescent="0.25">
      <c r="A275" s="24" t="s">
        <v>17</v>
      </c>
      <c r="B275" s="22">
        <v>1</v>
      </c>
      <c r="C275" s="14">
        <v>10</v>
      </c>
      <c r="D275" s="26">
        <v>2021</v>
      </c>
      <c r="E275" s="40" t="e">
        <f t="shared" si="13"/>
        <v>#VALUE!</v>
      </c>
      <c r="G275" s="11" t="e">
        <f t="shared" si="14"/>
        <v>#VALUE!</v>
      </c>
      <c r="I275" s="42" t="e">
        <f t="shared" si="15"/>
        <v>#VALUE!</v>
      </c>
      <c r="K275" s="39" t="e">
        <f>Electric!BA11*400</f>
        <v>#VALUE!</v>
      </c>
      <c r="L275" s="46" t="str">
        <f>Gas!AG8</f>
        <v/>
      </c>
      <c r="N275" s="46" t="str">
        <f>Water!AG8</f>
        <v/>
      </c>
    </row>
    <row r="276" spans="1:14" x14ac:dyDescent="0.25">
      <c r="A276" s="24" t="s">
        <v>17</v>
      </c>
      <c r="B276" s="22">
        <v>2</v>
      </c>
      <c r="C276" s="14">
        <v>10</v>
      </c>
      <c r="D276" s="26">
        <v>2021</v>
      </c>
      <c r="E276" s="40" t="e">
        <f t="shared" si="13"/>
        <v>#VALUE!</v>
      </c>
      <c r="G276" s="11" t="e">
        <f t="shared" si="14"/>
        <v>#VALUE!</v>
      </c>
      <c r="I276" s="42" t="e">
        <f t="shared" si="15"/>
        <v>#VALUE!</v>
      </c>
      <c r="K276" s="39" t="e">
        <f>Electric!BA12*400</f>
        <v>#VALUE!</v>
      </c>
      <c r="L276" s="46" t="str">
        <f>Gas!AG9</f>
        <v/>
      </c>
      <c r="N276" s="46" t="str">
        <f>Water!AG9</f>
        <v/>
      </c>
    </row>
    <row r="277" spans="1:14" x14ac:dyDescent="0.25">
      <c r="A277" s="24" t="s">
        <v>17</v>
      </c>
      <c r="B277" s="22">
        <v>3</v>
      </c>
      <c r="C277" s="14">
        <v>10</v>
      </c>
      <c r="D277" s="26">
        <v>2021</v>
      </c>
      <c r="E277" s="40" t="e">
        <f t="shared" si="13"/>
        <v>#VALUE!</v>
      </c>
      <c r="G277" s="11" t="e">
        <f t="shared" si="14"/>
        <v>#VALUE!</v>
      </c>
      <c r="I277" s="42" t="e">
        <f t="shared" si="15"/>
        <v>#VALUE!</v>
      </c>
      <c r="K277" s="39" t="e">
        <f>Electric!BA13*400</f>
        <v>#VALUE!</v>
      </c>
      <c r="L277" s="46" t="str">
        <f>Gas!AG10</f>
        <v/>
      </c>
      <c r="N277" s="46" t="str">
        <f>Water!AG10</f>
        <v/>
      </c>
    </row>
    <row r="278" spans="1:14" x14ac:dyDescent="0.25">
      <c r="A278" s="24" t="s">
        <v>17</v>
      </c>
      <c r="B278" s="22">
        <v>4</v>
      </c>
      <c r="C278" s="14">
        <v>10</v>
      </c>
      <c r="D278" s="26">
        <v>2021</v>
      </c>
      <c r="E278" s="40" t="e">
        <f t="shared" si="13"/>
        <v>#VALUE!</v>
      </c>
      <c r="G278" s="11" t="e">
        <f t="shared" si="14"/>
        <v>#VALUE!</v>
      </c>
      <c r="I278" s="42" t="e">
        <f t="shared" si="15"/>
        <v>#VALUE!</v>
      </c>
      <c r="K278" s="39" t="e">
        <f>Electric!BA14*400</f>
        <v>#VALUE!</v>
      </c>
      <c r="L278" s="46" t="str">
        <f>Gas!AG11</f>
        <v/>
      </c>
      <c r="N278" s="46" t="str">
        <f>Water!AG11</f>
        <v/>
      </c>
    </row>
    <row r="279" spans="1:14" x14ac:dyDescent="0.25">
      <c r="A279" s="24" t="s">
        <v>17</v>
      </c>
      <c r="B279" s="22">
        <v>5</v>
      </c>
      <c r="C279" s="14">
        <v>10</v>
      </c>
      <c r="D279" s="26">
        <v>2021</v>
      </c>
      <c r="E279" s="40" t="e">
        <f t="shared" si="13"/>
        <v>#VALUE!</v>
      </c>
      <c r="G279" s="11" t="e">
        <f t="shared" si="14"/>
        <v>#VALUE!</v>
      </c>
      <c r="I279" s="42" t="e">
        <f t="shared" si="15"/>
        <v>#VALUE!</v>
      </c>
      <c r="K279" s="39" t="e">
        <f>Electric!BA15*400</f>
        <v>#VALUE!</v>
      </c>
      <c r="L279" s="46" t="str">
        <f>Gas!AG12</f>
        <v/>
      </c>
      <c r="N279" s="46" t="str">
        <f>Water!AG12</f>
        <v/>
      </c>
    </row>
    <row r="280" spans="1:14" x14ac:dyDescent="0.25">
      <c r="A280" s="24" t="s">
        <v>17</v>
      </c>
      <c r="B280" s="22">
        <v>6</v>
      </c>
      <c r="C280" s="14">
        <v>10</v>
      </c>
      <c r="D280" s="26">
        <v>2021</v>
      </c>
      <c r="E280" s="40" t="e">
        <f t="shared" si="13"/>
        <v>#VALUE!</v>
      </c>
      <c r="G280" s="11" t="e">
        <f t="shared" si="14"/>
        <v>#VALUE!</v>
      </c>
      <c r="I280" s="42" t="e">
        <f t="shared" si="15"/>
        <v>#VALUE!</v>
      </c>
      <c r="K280" s="39" t="e">
        <f>Electric!BA16*400</f>
        <v>#VALUE!</v>
      </c>
      <c r="L280" s="46" t="str">
        <f>Gas!AG13</f>
        <v/>
      </c>
      <c r="N280" s="46" t="str">
        <f>Water!AG13</f>
        <v/>
      </c>
    </row>
    <row r="281" spans="1:14" x14ac:dyDescent="0.25">
      <c r="A281" s="24" t="s">
        <v>17</v>
      </c>
      <c r="B281" s="22">
        <v>7</v>
      </c>
      <c r="C281" s="14">
        <v>10</v>
      </c>
      <c r="D281" s="26">
        <v>2021</v>
      </c>
      <c r="E281" s="40" t="e">
        <f t="shared" si="13"/>
        <v>#VALUE!</v>
      </c>
      <c r="G281" s="11" t="e">
        <f t="shared" si="14"/>
        <v>#VALUE!</v>
      </c>
      <c r="I281" s="42" t="e">
        <f t="shared" si="15"/>
        <v>#VALUE!</v>
      </c>
      <c r="K281" s="39" t="e">
        <f>Electric!BA17*400</f>
        <v>#VALUE!</v>
      </c>
      <c r="L281" s="46" t="str">
        <f>Gas!AG14</f>
        <v/>
      </c>
      <c r="N281" s="46" t="str">
        <f>Water!AG14</f>
        <v/>
      </c>
    </row>
    <row r="282" spans="1:14" x14ac:dyDescent="0.25">
      <c r="A282" s="24" t="s">
        <v>17</v>
      </c>
      <c r="B282" s="22">
        <v>8</v>
      </c>
      <c r="C282" s="14">
        <v>10</v>
      </c>
      <c r="D282" s="26">
        <v>2021</v>
      </c>
      <c r="E282" s="40" t="e">
        <f t="shared" si="13"/>
        <v>#VALUE!</v>
      </c>
      <c r="G282" s="11" t="e">
        <f t="shared" si="14"/>
        <v>#VALUE!</v>
      </c>
      <c r="I282" s="42" t="e">
        <f t="shared" si="15"/>
        <v>#VALUE!</v>
      </c>
      <c r="K282" s="39" t="e">
        <f>Electric!BA18*400</f>
        <v>#VALUE!</v>
      </c>
      <c r="L282" s="46" t="str">
        <f>Gas!AG15</f>
        <v/>
      </c>
      <c r="N282" s="46" t="str">
        <f>Water!AG15</f>
        <v/>
      </c>
    </row>
    <row r="283" spans="1:14" x14ac:dyDescent="0.25">
      <c r="A283" s="24" t="s">
        <v>17</v>
      </c>
      <c r="B283" s="22">
        <v>9</v>
      </c>
      <c r="C283" s="14">
        <v>10</v>
      </c>
      <c r="D283" s="26">
        <v>2021</v>
      </c>
      <c r="E283" s="40" t="e">
        <f t="shared" si="13"/>
        <v>#VALUE!</v>
      </c>
      <c r="G283" s="11" t="e">
        <f t="shared" si="14"/>
        <v>#VALUE!</v>
      </c>
      <c r="I283" s="42" t="e">
        <f t="shared" si="15"/>
        <v>#VALUE!</v>
      </c>
      <c r="K283" s="39" t="e">
        <f>Electric!BA19*400</f>
        <v>#VALUE!</v>
      </c>
      <c r="L283" s="46" t="str">
        <f>Gas!AG16</f>
        <v/>
      </c>
      <c r="N283" s="46" t="str">
        <f>Water!AG16</f>
        <v/>
      </c>
    </row>
    <row r="284" spans="1:14" x14ac:dyDescent="0.25">
      <c r="A284" s="24" t="s">
        <v>17</v>
      </c>
      <c r="B284" s="22">
        <v>10</v>
      </c>
      <c r="C284" s="14">
        <v>10</v>
      </c>
      <c r="D284" s="26">
        <v>2021</v>
      </c>
      <c r="E284" s="40" t="e">
        <f t="shared" si="13"/>
        <v>#VALUE!</v>
      </c>
      <c r="G284" s="11" t="e">
        <f t="shared" si="14"/>
        <v>#VALUE!</v>
      </c>
      <c r="I284" s="42" t="e">
        <f t="shared" si="15"/>
        <v>#VALUE!</v>
      </c>
      <c r="K284" s="39" t="e">
        <f>Electric!BA20*400</f>
        <v>#VALUE!</v>
      </c>
      <c r="L284" s="46" t="str">
        <f>Gas!AG17</f>
        <v/>
      </c>
      <c r="N284" s="46" t="str">
        <f>Water!AG17</f>
        <v/>
      </c>
    </row>
    <row r="285" spans="1:14" x14ac:dyDescent="0.25">
      <c r="A285" s="24" t="s">
        <v>17</v>
      </c>
      <c r="B285" s="22">
        <v>11</v>
      </c>
      <c r="C285" s="14">
        <v>10</v>
      </c>
      <c r="D285" s="26">
        <v>2021</v>
      </c>
      <c r="E285" s="40" t="e">
        <f t="shared" si="13"/>
        <v>#VALUE!</v>
      </c>
      <c r="G285" s="11" t="e">
        <f t="shared" si="14"/>
        <v>#VALUE!</v>
      </c>
      <c r="I285" s="42" t="e">
        <f t="shared" si="15"/>
        <v>#VALUE!</v>
      </c>
      <c r="K285" s="39" t="e">
        <f>Electric!BA21*400</f>
        <v>#VALUE!</v>
      </c>
      <c r="L285" s="46" t="str">
        <f>Gas!AG18</f>
        <v/>
      </c>
      <c r="N285" s="46" t="str">
        <f>Water!AG18</f>
        <v/>
      </c>
    </row>
    <row r="286" spans="1:14" x14ac:dyDescent="0.25">
      <c r="A286" s="24" t="s">
        <v>17</v>
      </c>
      <c r="B286" s="22">
        <v>12</v>
      </c>
      <c r="C286" s="14">
        <v>10</v>
      </c>
      <c r="D286" s="26">
        <v>2021</v>
      </c>
      <c r="E286" s="40" t="e">
        <f t="shared" si="13"/>
        <v>#VALUE!</v>
      </c>
      <c r="G286" s="11" t="e">
        <f t="shared" si="14"/>
        <v>#VALUE!</v>
      </c>
      <c r="I286" s="42" t="e">
        <f t="shared" si="15"/>
        <v>#VALUE!</v>
      </c>
      <c r="K286" s="39" t="e">
        <f>Electric!BA22*400</f>
        <v>#VALUE!</v>
      </c>
      <c r="L286" s="46" t="str">
        <f>Gas!AG19</f>
        <v/>
      </c>
      <c r="N286" s="46" t="str">
        <f>Water!AG19</f>
        <v/>
      </c>
    </row>
    <row r="287" spans="1:14" x14ac:dyDescent="0.25">
      <c r="A287" s="24" t="s">
        <v>17</v>
      </c>
      <c r="B287" s="22">
        <v>13</v>
      </c>
      <c r="C287" s="14">
        <v>10</v>
      </c>
      <c r="D287" s="26">
        <v>2021</v>
      </c>
      <c r="E287" s="40" t="e">
        <f t="shared" si="13"/>
        <v>#VALUE!</v>
      </c>
      <c r="G287" s="11" t="e">
        <f t="shared" si="14"/>
        <v>#VALUE!</v>
      </c>
      <c r="I287" s="42" t="e">
        <f t="shared" si="15"/>
        <v>#VALUE!</v>
      </c>
      <c r="K287" s="39" t="e">
        <f>Electric!BA23*400</f>
        <v>#VALUE!</v>
      </c>
      <c r="L287" s="46" t="str">
        <f>Gas!AG20</f>
        <v/>
      </c>
      <c r="N287" s="46" t="str">
        <f>Water!AG20</f>
        <v/>
      </c>
    </row>
    <row r="288" spans="1:14" x14ac:dyDescent="0.25">
      <c r="A288" s="24" t="s">
        <v>17</v>
      </c>
      <c r="B288" s="22">
        <v>14</v>
      </c>
      <c r="C288" s="14">
        <v>10</v>
      </c>
      <c r="D288" s="26">
        <v>2021</v>
      </c>
      <c r="E288" s="40" t="e">
        <f t="shared" si="13"/>
        <v>#VALUE!</v>
      </c>
      <c r="G288" s="11" t="e">
        <f t="shared" si="14"/>
        <v>#VALUE!</v>
      </c>
      <c r="I288" s="42" t="e">
        <f t="shared" si="15"/>
        <v>#VALUE!</v>
      </c>
      <c r="K288" s="39" t="e">
        <f>Electric!BA24*400</f>
        <v>#VALUE!</v>
      </c>
      <c r="L288" s="46" t="str">
        <f>Gas!AG21</f>
        <v/>
      </c>
      <c r="N288" s="46" t="str">
        <f>Water!AG21</f>
        <v/>
      </c>
    </row>
    <row r="289" spans="1:14" x14ac:dyDescent="0.25">
      <c r="A289" s="24" t="s">
        <v>17</v>
      </c>
      <c r="B289" s="22">
        <v>15</v>
      </c>
      <c r="C289" s="14">
        <v>10</v>
      </c>
      <c r="D289" s="26">
        <v>2021</v>
      </c>
      <c r="E289" s="40" t="e">
        <f t="shared" si="13"/>
        <v>#VALUE!</v>
      </c>
      <c r="G289" s="11" t="e">
        <f t="shared" si="14"/>
        <v>#VALUE!</v>
      </c>
      <c r="I289" s="42" t="e">
        <f t="shared" si="15"/>
        <v>#VALUE!</v>
      </c>
      <c r="K289" s="39" t="e">
        <f>Electric!BA25*400</f>
        <v>#VALUE!</v>
      </c>
      <c r="L289" s="46" t="str">
        <f>Gas!AG22</f>
        <v/>
      </c>
      <c r="N289" s="46" t="str">
        <f>Water!AG22</f>
        <v/>
      </c>
    </row>
    <row r="290" spans="1:14" x14ac:dyDescent="0.25">
      <c r="A290" s="24" t="s">
        <v>17</v>
      </c>
      <c r="B290" s="22">
        <v>16</v>
      </c>
      <c r="C290" s="14">
        <v>10</v>
      </c>
      <c r="D290" s="26">
        <v>2021</v>
      </c>
      <c r="E290" s="40" t="e">
        <f t="shared" si="13"/>
        <v>#VALUE!</v>
      </c>
      <c r="G290" s="11" t="e">
        <f t="shared" si="14"/>
        <v>#VALUE!</v>
      </c>
      <c r="I290" s="42" t="e">
        <f t="shared" si="15"/>
        <v>#VALUE!</v>
      </c>
      <c r="K290" s="39" t="e">
        <f>Electric!BA26*400</f>
        <v>#VALUE!</v>
      </c>
      <c r="L290" s="46" t="str">
        <f>Gas!AG23</f>
        <v/>
      </c>
      <c r="N290" s="46" t="str">
        <f>Water!AG23</f>
        <v/>
      </c>
    </row>
    <row r="291" spans="1:14" x14ac:dyDescent="0.25">
      <c r="A291" s="24" t="s">
        <v>17</v>
      </c>
      <c r="B291" s="22">
        <v>17</v>
      </c>
      <c r="C291" s="14">
        <v>10</v>
      </c>
      <c r="D291" s="26">
        <v>2021</v>
      </c>
      <c r="E291" s="40" t="e">
        <f t="shared" si="13"/>
        <v>#VALUE!</v>
      </c>
      <c r="G291" s="11" t="e">
        <f t="shared" si="14"/>
        <v>#VALUE!</v>
      </c>
      <c r="I291" s="42" t="e">
        <f t="shared" si="15"/>
        <v>#VALUE!</v>
      </c>
      <c r="K291" s="39" t="e">
        <f>Electric!BA27*400</f>
        <v>#VALUE!</v>
      </c>
      <c r="L291" s="46" t="str">
        <f>Gas!AG24</f>
        <v/>
      </c>
      <c r="N291" s="46" t="str">
        <f>Water!AG24</f>
        <v/>
      </c>
    </row>
    <row r="292" spans="1:14" x14ac:dyDescent="0.25">
      <c r="A292" s="24" t="s">
        <v>17</v>
      </c>
      <c r="B292" s="22">
        <v>18</v>
      </c>
      <c r="C292" s="14">
        <v>10</v>
      </c>
      <c r="D292" s="26">
        <v>2021</v>
      </c>
      <c r="E292" s="40" t="e">
        <f t="shared" si="13"/>
        <v>#VALUE!</v>
      </c>
      <c r="G292" s="11" t="e">
        <f t="shared" si="14"/>
        <v>#VALUE!</v>
      </c>
      <c r="I292" s="42" t="e">
        <f t="shared" si="15"/>
        <v>#VALUE!</v>
      </c>
      <c r="K292" s="39" t="e">
        <f>Electric!BA28*400</f>
        <v>#VALUE!</v>
      </c>
      <c r="L292" s="46" t="str">
        <f>Gas!AG25</f>
        <v/>
      </c>
      <c r="N292" s="46" t="str">
        <f>Water!AG25</f>
        <v/>
      </c>
    </row>
    <row r="293" spans="1:14" x14ac:dyDescent="0.25">
      <c r="A293" s="24" t="s">
        <v>17</v>
      </c>
      <c r="B293" s="22">
        <v>19</v>
      </c>
      <c r="C293" s="14">
        <v>10</v>
      </c>
      <c r="D293" s="26">
        <v>2021</v>
      </c>
      <c r="E293" s="40" t="e">
        <f t="shared" si="13"/>
        <v>#VALUE!</v>
      </c>
      <c r="G293" s="11" t="e">
        <f t="shared" si="14"/>
        <v>#VALUE!</v>
      </c>
      <c r="I293" s="42" t="e">
        <f t="shared" si="15"/>
        <v>#VALUE!</v>
      </c>
      <c r="K293" s="39" t="e">
        <f>Electric!BA29*400</f>
        <v>#VALUE!</v>
      </c>
      <c r="L293" s="46" t="str">
        <f>Gas!AG26</f>
        <v/>
      </c>
      <c r="N293" s="46" t="str">
        <f>Water!AG26</f>
        <v/>
      </c>
    </row>
    <row r="294" spans="1:14" x14ac:dyDescent="0.25">
      <c r="A294" s="24" t="s">
        <v>17</v>
      </c>
      <c r="B294" s="22">
        <v>20</v>
      </c>
      <c r="C294" s="14">
        <v>10</v>
      </c>
      <c r="D294" s="26">
        <v>2021</v>
      </c>
      <c r="E294" s="40" t="e">
        <f t="shared" si="13"/>
        <v>#VALUE!</v>
      </c>
      <c r="G294" s="11" t="e">
        <f t="shared" si="14"/>
        <v>#VALUE!</v>
      </c>
      <c r="I294" s="42" t="e">
        <f t="shared" si="15"/>
        <v>#VALUE!</v>
      </c>
      <c r="K294" s="39" t="e">
        <f>Electric!BA30*400</f>
        <v>#VALUE!</v>
      </c>
      <c r="L294" s="46" t="str">
        <f>Gas!AG27</f>
        <v/>
      </c>
      <c r="N294" s="46" t="str">
        <f>Water!AG27</f>
        <v/>
      </c>
    </row>
    <row r="295" spans="1:14" x14ac:dyDescent="0.25">
      <c r="A295" s="24" t="s">
        <v>17</v>
      </c>
      <c r="B295" s="22">
        <v>21</v>
      </c>
      <c r="C295" s="14">
        <v>10</v>
      </c>
      <c r="D295" s="26">
        <v>2021</v>
      </c>
      <c r="E295" s="40" t="e">
        <f t="shared" si="13"/>
        <v>#VALUE!</v>
      </c>
      <c r="G295" s="11" t="e">
        <f t="shared" si="14"/>
        <v>#VALUE!</v>
      </c>
      <c r="I295" s="42" t="e">
        <f t="shared" si="15"/>
        <v>#VALUE!</v>
      </c>
      <c r="K295" s="39" t="e">
        <f>Electric!BA31*400</f>
        <v>#VALUE!</v>
      </c>
      <c r="L295" s="46" t="str">
        <f>Gas!AG28</f>
        <v/>
      </c>
      <c r="N295" s="46" t="str">
        <f>Water!AG28</f>
        <v/>
      </c>
    </row>
    <row r="296" spans="1:14" x14ac:dyDescent="0.25">
      <c r="A296" s="24" t="s">
        <v>17</v>
      </c>
      <c r="B296" s="22">
        <v>22</v>
      </c>
      <c r="C296" s="14">
        <v>10</v>
      </c>
      <c r="D296" s="26">
        <v>2021</v>
      </c>
      <c r="E296" s="40" t="e">
        <f t="shared" si="13"/>
        <v>#VALUE!</v>
      </c>
      <c r="G296" s="11" t="e">
        <f t="shared" si="14"/>
        <v>#VALUE!</v>
      </c>
      <c r="I296" s="42" t="e">
        <f t="shared" si="15"/>
        <v>#VALUE!</v>
      </c>
      <c r="K296" s="39" t="e">
        <f>Electric!BA32*400</f>
        <v>#VALUE!</v>
      </c>
      <c r="L296" s="46" t="str">
        <f>Gas!AG29</f>
        <v/>
      </c>
      <c r="N296" s="46" t="str">
        <f>Water!AG29</f>
        <v/>
      </c>
    </row>
    <row r="297" spans="1:14" x14ac:dyDescent="0.25">
      <c r="A297" s="24" t="s">
        <v>17</v>
      </c>
      <c r="B297" s="22">
        <v>23</v>
      </c>
      <c r="C297" s="14">
        <v>10</v>
      </c>
      <c r="D297" s="26">
        <v>2021</v>
      </c>
      <c r="E297" s="40" t="e">
        <f t="shared" si="13"/>
        <v>#VALUE!</v>
      </c>
      <c r="G297" s="11" t="e">
        <f t="shared" si="14"/>
        <v>#VALUE!</v>
      </c>
      <c r="I297" s="42" t="e">
        <f t="shared" si="15"/>
        <v>#VALUE!</v>
      </c>
      <c r="K297" s="39" t="e">
        <f>Electric!BA33*400</f>
        <v>#VALUE!</v>
      </c>
      <c r="L297" s="46" t="str">
        <f>Gas!AG30</f>
        <v/>
      </c>
      <c r="N297" s="46" t="str">
        <f>Water!AG30</f>
        <v/>
      </c>
    </row>
    <row r="298" spans="1:14" x14ac:dyDescent="0.25">
      <c r="A298" s="24" t="s">
        <v>17</v>
      </c>
      <c r="B298" s="22">
        <v>24</v>
      </c>
      <c r="C298" s="14">
        <v>10</v>
      </c>
      <c r="D298" s="26">
        <v>2021</v>
      </c>
      <c r="E298" s="40" t="e">
        <f t="shared" si="13"/>
        <v>#VALUE!</v>
      </c>
      <c r="G298" s="11" t="e">
        <f t="shared" si="14"/>
        <v>#VALUE!</v>
      </c>
      <c r="I298" s="42" t="e">
        <f t="shared" si="15"/>
        <v>#VALUE!</v>
      </c>
      <c r="K298" s="39" t="e">
        <f>Electric!BA34*400</f>
        <v>#VALUE!</v>
      </c>
      <c r="L298" s="46" t="str">
        <f>Gas!AG31</f>
        <v/>
      </c>
      <c r="N298" s="46" t="str">
        <f>Water!AG31</f>
        <v/>
      </c>
    </row>
    <row r="299" spans="1:14" x14ac:dyDescent="0.25">
      <c r="A299" s="24" t="s">
        <v>17</v>
      </c>
      <c r="B299" s="22">
        <v>25</v>
      </c>
      <c r="C299" s="14">
        <v>10</v>
      </c>
      <c r="D299" s="26">
        <v>2021</v>
      </c>
      <c r="E299" s="40" t="e">
        <f t="shared" si="13"/>
        <v>#VALUE!</v>
      </c>
      <c r="G299" s="11" t="e">
        <f t="shared" si="14"/>
        <v>#VALUE!</v>
      </c>
      <c r="I299" s="42" t="e">
        <f t="shared" si="15"/>
        <v>#VALUE!</v>
      </c>
      <c r="K299" s="39" t="e">
        <f>Electric!BA35*400</f>
        <v>#VALUE!</v>
      </c>
      <c r="L299" s="46" t="str">
        <f>Gas!AG32</f>
        <v/>
      </c>
      <c r="N299" s="46" t="str">
        <f>Water!AG32</f>
        <v/>
      </c>
    </row>
    <row r="300" spans="1:14" x14ac:dyDescent="0.25">
      <c r="A300" s="24" t="s">
        <v>17</v>
      </c>
      <c r="B300" s="22">
        <v>26</v>
      </c>
      <c r="C300" s="14">
        <v>10</v>
      </c>
      <c r="D300" s="26">
        <v>2021</v>
      </c>
      <c r="E300" s="40" t="e">
        <f t="shared" si="13"/>
        <v>#VALUE!</v>
      </c>
      <c r="G300" s="11" t="e">
        <f t="shared" si="14"/>
        <v>#VALUE!</v>
      </c>
      <c r="I300" s="42" t="e">
        <f t="shared" si="15"/>
        <v>#VALUE!</v>
      </c>
      <c r="K300" s="39" t="e">
        <f>Electric!BA36*400</f>
        <v>#VALUE!</v>
      </c>
      <c r="L300" s="46" t="str">
        <f>Gas!AG33</f>
        <v/>
      </c>
      <c r="N300" s="46" t="str">
        <f>Water!AG33</f>
        <v/>
      </c>
    </row>
    <row r="301" spans="1:14" x14ac:dyDescent="0.25">
      <c r="A301" s="24" t="s">
        <v>17</v>
      </c>
      <c r="B301" s="22">
        <v>27</v>
      </c>
      <c r="C301" s="14">
        <v>10</v>
      </c>
      <c r="D301" s="26">
        <v>2021</v>
      </c>
      <c r="E301" s="40" t="e">
        <f t="shared" si="13"/>
        <v>#VALUE!</v>
      </c>
      <c r="G301" s="11" t="e">
        <f t="shared" si="14"/>
        <v>#VALUE!</v>
      </c>
      <c r="I301" s="42" t="e">
        <f t="shared" si="15"/>
        <v>#VALUE!</v>
      </c>
      <c r="K301" s="39" t="e">
        <f>Electric!BA37*400</f>
        <v>#VALUE!</v>
      </c>
      <c r="L301" s="46" t="str">
        <f>Gas!AG34</f>
        <v/>
      </c>
      <c r="N301" s="46" t="str">
        <f>Water!AG34</f>
        <v/>
      </c>
    </row>
    <row r="302" spans="1:14" x14ac:dyDescent="0.25">
      <c r="A302" s="24" t="s">
        <v>17</v>
      </c>
      <c r="B302" s="22">
        <v>28</v>
      </c>
      <c r="C302" s="14">
        <v>10</v>
      </c>
      <c r="D302" s="26">
        <v>2021</v>
      </c>
      <c r="E302" s="40" t="e">
        <f t="shared" si="13"/>
        <v>#VALUE!</v>
      </c>
      <c r="G302" s="11" t="e">
        <f t="shared" si="14"/>
        <v>#VALUE!</v>
      </c>
      <c r="I302" s="42" t="e">
        <f t="shared" si="15"/>
        <v>#VALUE!</v>
      </c>
      <c r="K302" s="39" t="e">
        <f>Electric!BA38*400</f>
        <v>#VALUE!</v>
      </c>
      <c r="L302" s="46" t="str">
        <f>Gas!AG35</f>
        <v/>
      </c>
      <c r="N302" s="46" t="str">
        <f>Water!AG35</f>
        <v/>
      </c>
    </row>
    <row r="303" spans="1:14" x14ac:dyDescent="0.25">
      <c r="A303" s="24" t="s">
        <v>17</v>
      </c>
      <c r="B303" s="22">
        <v>29</v>
      </c>
      <c r="C303" s="14">
        <v>10</v>
      </c>
      <c r="D303" s="26">
        <v>2021</v>
      </c>
      <c r="E303" s="40" t="e">
        <f t="shared" si="13"/>
        <v>#VALUE!</v>
      </c>
      <c r="G303" s="11" t="e">
        <f t="shared" si="14"/>
        <v>#VALUE!</v>
      </c>
      <c r="I303" s="42" t="e">
        <f t="shared" si="15"/>
        <v>#VALUE!</v>
      </c>
      <c r="K303" s="39" t="e">
        <f>Electric!BA39*400</f>
        <v>#VALUE!</v>
      </c>
      <c r="L303" s="46" t="str">
        <f>Gas!AG36</f>
        <v/>
      </c>
      <c r="N303" s="46" t="str">
        <f>Water!AG36</f>
        <v/>
      </c>
    </row>
    <row r="304" spans="1:14" x14ac:dyDescent="0.25">
      <c r="A304" s="24" t="s">
        <v>17</v>
      </c>
      <c r="B304" s="22">
        <v>30</v>
      </c>
      <c r="C304" s="14">
        <v>10</v>
      </c>
      <c r="D304" s="26">
        <v>2021</v>
      </c>
      <c r="E304" s="40" t="e">
        <f t="shared" si="13"/>
        <v>#VALUE!</v>
      </c>
      <c r="G304" s="11" t="e">
        <f t="shared" si="14"/>
        <v>#VALUE!</v>
      </c>
      <c r="I304" s="42" t="e">
        <f t="shared" si="15"/>
        <v>#VALUE!</v>
      </c>
      <c r="K304" s="39" t="e">
        <f>Electric!BA40*400</f>
        <v>#VALUE!</v>
      </c>
      <c r="L304" s="46" t="str">
        <f>Gas!AG37</f>
        <v/>
      </c>
      <c r="N304" s="46" t="str">
        <f>Water!AG37</f>
        <v/>
      </c>
    </row>
    <row r="305" spans="1:14" x14ac:dyDescent="0.25">
      <c r="A305" s="24" t="s">
        <v>17</v>
      </c>
      <c r="B305" s="22">
        <v>31</v>
      </c>
      <c r="C305" s="14">
        <v>10</v>
      </c>
      <c r="D305" s="26">
        <v>2021</v>
      </c>
      <c r="E305" s="40" t="e">
        <f t="shared" si="13"/>
        <v>#VALUE!</v>
      </c>
      <c r="G305" s="11" t="e">
        <f t="shared" si="14"/>
        <v>#VALUE!</v>
      </c>
      <c r="I305" s="42" t="e">
        <f t="shared" si="15"/>
        <v>#VALUE!</v>
      </c>
      <c r="K305" s="39" t="e">
        <f>Electric!BA41*400</f>
        <v>#VALUE!</v>
      </c>
      <c r="L305" s="46" t="str">
        <f>Gas!AG38</f>
        <v/>
      </c>
      <c r="N305" s="46" t="str">
        <f>Water!AG38</f>
        <v/>
      </c>
    </row>
    <row r="306" spans="1:14" x14ac:dyDescent="0.25">
      <c r="A306" s="24" t="s">
        <v>17</v>
      </c>
      <c r="B306" s="22">
        <v>1</v>
      </c>
      <c r="C306" s="14">
        <v>11</v>
      </c>
      <c r="D306" s="26">
        <v>2021</v>
      </c>
      <c r="E306" s="40" t="e">
        <f t="shared" si="13"/>
        <v>#VALUE!</v>
      </c>
      <c r="G306" s="11" t="e">
        <f t="shared" si="14"/>
        <v>#VALUE!</v>
      </c>
      <c r="I306" s="42" t="e">
        <f t="shared" si="15"/>
        <v>#VALUE!</v>
      </c>
      <c r="K306" s="39" t="e">
        <f>Electric!BF11*400</f>
        <v>#VALUE!</v>
      </c>
      <c r="L306" s="46" t="str">
        <f>Gas!AJ8</f>
        <v/>
      </c>
      <c r="N306" s="46" t="str">
        <f>Water!AJ8</f>
        <v/>
      </c>
    </row>
    <row r="307" spans="1:14" x14ac:dyDescent="0.25">
      <c r="A307" s="24" t="s">
        <v>17</v>
      </c>
      <c r="B307" s="22">
        <v>2</v>
      </c>
      <c r="C307" s="14">
        <v>11</v>
      </c>
      <c r="D307" s="26">
        <v>2021</v>
      </c>
      <c r="E307" s="40" t="e">
        <f t="shared" si="13"/>
        <v>#VALUE!</v>
      </c>
      <c r="G307" s="11" t="e">
        <f t="shared" si="14"/>
        <v>#VALUE!</v>
      </c>
      <c r="I307" s="42" t="e">
        <f t="shared" si="15"/>
        <v>#VALUE!</v>
      </c>
      <c r="K307" s="39" t="e">
        <f>Electric!BF12*400</f>
        <v>#VALUE!</v>
      </c>
      <c r="L307" s="46" t="str">
        <f>Gas!AJ9</f>
        <v/>
      </c>
      <c r="N307" s="46" t="str">
        <f>Water!AJ9</f>
        <v/>
      </c>
    </row>
    <row r="308" spans="1:14" x14ac:dyDescent="0.25">
      <c r="A308" s="24" t="s">
        <v>17</v>
      </c>
      <c r="B308" s="22">
        <v>3</v>
      </c>
      <c r="C308" s="14">
        <v>11</v>
      </c>
      <c r="D308" s="26">
        <v>2021</v>
      </c>
      <c r="E308" s="40" t="e">
        <f t="shared" si="13"/>
        <v>#VALUE!</v>
      </c>
      <c r="G308" s="11" t="e">
        <f t="shared" si="14"/>
        <v>#VALUE!</v>
      </c>
      <c r="I308" s="42" t="e">
        <f t="shared" si="15"/>
        <v>#VALUE!</v>
      </c>
      <c r="K308" s="39" t="e">
        <f>Electric!BF13*400</f>
        <v>#VALUE!</v>
      </c>
      <c r="L308" s="46" t="str">
        <f>Gas!AJ10</f>
        <v/>
      </c>
      <c r="N308" s="46" t="str">
        <f>Water!AJ10</f>
        <v/>
      </c>
    </row>
    <row r="309" spans="1:14" x14ac:dyDescent="0.25">
      <c r="A309" s="24" t="s">
        <v>17</v>
      </c>
      <c r="B309" s="22">
        <v>4</v>
      </c>
      <c r="C309" s="14">
        <v>11</v>
      </c>
      <c r="D309" s="26">
        <v>2021</v>
      </c>
      <c r="E309" s="40" t="e">
        <f t="shared" si="13"/>
        <v>#VALUE!</v>
      </c>
      <c r="G309" s="11" t="e">
        <f t="shared" si="14"/>
        <v>#VALUE!</v>
      </c>
      <c r="I309" s="42" t="e">
        <f t="shared" si="15"/>
        <v>#VALUE!</v>
      </c>
      <c r="K309" s="39" t="e">
        <f>Electric!BF14*400</f>
        <v>#VALUE!</v>
      </c>
      <c r="L309" s="46" t="str">
        <f>Gas!AJ11</f>
        <v/>
      </c>
      <c r="N309" s="46" t="str">
        <f>Water!AJ11</f>
        <v/>
      </c>
    </row>
    <row r="310" spans="1:14" x14ac:dyDescent="0.25">
      <c r="A310" s="24" t="s">
        <v>17</v>
      </c>
      <c r="B310" s="22">
        <v>5</v>
      </c>
      <c r="C310" s="14">
        <v>11</v>
      </c>
      <c r="D310" s="26">
        <v>2021</v>
      </c>
      <c r="E310" s="40" t="e">
        <f t="shared" si="13"/>
        <v>#VALUE!</v>
      </c>
      <c r="G310" s="11" t="e">
        <f t="shared" si="14"/>
        <v>#VALUE!</v>
      </c>
      <c r="I310" s="42" t="e">
        <f t="shared" si="15"/>
        <v>#VALUE!</v>
      </c>
      <c r="K310" s="39" t="e">
        <f>Electric!BF15*400</f>
        <v>#VALUE!</v>
      </c>
      <c r="L310" s="46" t="str">
        <f>Gas!AJ12</f>
        <v/>
      </c>
      <c r="N310" s="46" t="str">
        <f>Water!AJ12</f>
        <v/>
      </c>
    </row>
    <row r="311" spans="1:14" x14ac:dyDescent="0.25">
      <c r="A311" s="24" t="s">
        <v>17</v>
      </c>
      <c r="B311" s="22">
        <v>6</v>
      </c>
      <c r="C311" s="14">
        <v>11</v>
      </c>
      <c r="D311" s="26">
        <v>2021</v>
      </c>
      <c r="E311" s="40" t="e">
        <f t="shared" si="13"/>
        <v>#VALUE!</v>
      </c>
      <c r="G311" s="11" t="e">
        <f t="shared" si="14"/>
        <v>#VALUE!</v>
      </c>
      <c r="I311" s="42" t="e">
        <f t="shared" si="15"/>
        <v>#VALUE!</v>
      </c>
      <c r="K311" s="39" t="e">
        <f>Electric!BF16*400</f>
        <v>#VALUE!</v>
      </c>
      <c r="L311" s="46" t="str">
        <f>Gas!AJ13</f>
        <v/>
      </c>
      <c r="N311" s="46" t="str">
        <f>Water!AJ13</f>
        <v/>
      </c>
    </row>
    <row r="312" spans="1:14" x14ac:dyDescent="0.25">
      <c r="A312" s="24" t="s">
        <v>17</v>
      </c>
      <c r="B312" s="22">
        <v>7</v>
      </c>
      <c r="C312" s="14">
        <v>11</v>
      </c>
      <c r="D312" s="26">
        <v>2021</v>
      </c>
      <c r="E312" s="40" t="e">
        <f t="shared" si="13"/>
        <v>#VALUE!</v>
      </c>
      <c r="G312" s="11" t="e">
        <f t="shared" si="14"/>
        <v>#VALUE!</v>
      </c>
      <c r="I312" s="42" t="e">
        <f t="shared" si="15"/>
        <v>#VALUE!</v>
      </c>
      <c r="K312" s="39" t="e">
        <f>Electric!BF17*400</f>
        <v>#VALUE!</v>
      </c>
      <c r="L312" s="46" t="str">
        <f>Gas!AJ14</f>
        <v/>
      </c>
      <c r="N312" s="46" t="str">
        <f>Water!AJ14</f>
        <v/>
      </c>
    </row>
    <row r="313" spans="1:14" x14ac:dyDescent="0.25">
      <c r="A313" s="24" t="s">
        <v>17</v>
      </c>
      <c r="B313" s="22">
        <v>8</v>
      </c>
      <c r="C313" s="14">
        <v>11</v>
      </c>
      <c r="D313" s="26">
        <v>2021</v>
      </c>
      <c r="E313" s="40" t="e">
        <f t="shared" si="13"/>
        <v>#VALUE!</v>
      </c>
      <c r="G313" s="11" t="e">
        <f t="shared" si="14"/>
        <v>#VALUE!</v>
      </c>
      <c r="I313" s="42" t="e">
        <f t="shared" si="15"/>
        <v>#VALUE!</v>
      </c>
      <c r="K313" s="39" t="e">
        <f>Electric!BF18*400</f>
        <v>#VALUE!</v>
      </c>
      <c r="L313" s="46" t="str">
        <f>Gas!AJ15</f>
        <v/>
      </c>
      <c r="N313" s="46" t="str">
        <f>Water!AJ15</f>
        <v/>
      </c>
    </row>
    <row r="314" spans="1:14" x14ac:dyDescent="0.25">
      <c r="A314" s="24" t="s">
        <v>17</v>
      </c>
      <c r="B314" s="22">
        <v>9</v>
      </c>
      <c r="C314" s="14">
        <v>11</v>
      </c>
      <c r="D314" s="26">
        <v>2021</v>
      </c>
      <c r="E314" s="40" t="e">
        <f t="shared" si="13"/>
        <v>#VALUE!</v>
      </c>
      <c r="G314" s="11" t="e">
        <f t="shared" si="14"/>
        <v>#VALUE!</v>
      </c>
      <c r="I314" s="42" t="e">
        <f t="shared" si="15"/>
        <v>#VALUE!</v>
      </c>
      <c r="K314" s="39" t="e">
        <f>Electric!BF19*400</f>
        <v>#VALUE!</v>
      </c>
      <c r="L314" s="46" t="str">
        <f>Gas!AJ16</f>
        <v/>
      </c>
      <c r="N314" s="46" t="str">
        <f>Water!AJ16</f>
        <v/>
      </c>
    </row>
    <row r="315" spans="1:14" x14ac:dyDescent="0.25">
      <c r="A315" s="24" t="s">
        <v>17</v>
      </c>
      <c r="B315" s="22">
        <v>10</v>
      </c>
      <c r="C315" s="14">
        <v>11</v>
      </c>
      <c r="D315" s="26">
        <v>2021</v>
      </c>
      <c r="E315" s="40" t="e">
        <f t="shared" si="13"/>
        <v>#VALUE!</v>
      </c>
      <c r="G315" s="11" t="e">
        <f t="shared" si="14"/>
        <v>#VALUE!</v>
      </c>
      <c r="I315" s="42" t="e">
        <f t="shared" si="15"/>
        <v>#VALUE!</v>
      </c>
      <c r="K315" s="39" t="e">
        <f>Electric!BF20*400</f>
        <v>#VALUE!</v>
      </c>
      <c r="L315" s="46" t="str">
        <f>Gas!AJ17</f>
        <v/>
      </c>
      <c r="N315" s="46" t="str">
        <f>Water!AJ17</f>
        <v/>
      </c>
    </row>
    <row r="316" spans="1:14" x14ac:dyDescent="0.25">
      <c r="A316" s="24" t="s">
        <v>17</v>
      </c>
      <c r="B316" s="22">
        <v>11</v>
      </c>
      <c r="C316" s="14">
        <v>11</v>
      </c>
      <c r="D316" s="26">
        <v>2021</v>
      </c>
      <c r="E316" s="40" t="e">
        <f t="shared" si="13"/>
        <v>#VALUE!</v>
      </c>
      <c r="G316" s="11" t="e">
        <f t="shared" si="14"/>
        <v>#VALUE!</v>
      </c>
      <c r="I316" s="42" t="e">
        <f t="shared" si="15"/>
        <v>#VALUE!</v>
      </c>
      <c r="K316" s="39" t="e">
        <f>Electric!BF21*400</f>
        <v>#VALUE!</v>
      </c>
      <c r="L316" s="46" t="str">
        <f>Gas!AJ18</f>
        <v/>
      </c>
      <c r="N316" s="46" t="str">
        <f>Water!AJ18</f>
        <v/>
      </c>
    </row>
    <row r="317" spans="1:14" x14ac:dyDescent="0.25">
      <c r="A317" s="24" t="s">
        <v>17</v>
      </c>
      <c r="B317" s="22">
        <v>12</v>
      </c>
      <c r="C317" s="14">
        <v>11</v>
      </c>
      <c r="D317" s="26">
        <v>2021</v>
      </c>
      <c r="E317" s="40" t="e">
        <f t="shared" si="13"/>
        <v>#VALUE!</v>
      </c>
      <c r="G317" s="11" t="e">
        <f t="shared" si="14"/>
        <v>#VALUE!</v>
      </c>
      <c r="I317" s="42" t="e">
        <f t="shared" si="15"/>
        <v>#VALUE!</v>
      </c>
      <c r="K317" s="39" t="e">
        <f>Electric!BF22*400</f>
        <v>#VALUE!</v>
      </c>
      <c r="L317" s="46" t="str">
        <f>Gas!AJ19</f>
        <v/>
      </c>
      <c r="N317" s="46" t="str">
        <f>Water!AJ19</f>
        <v/>
      </c>
    </row>
    <row r="318" spans="1:14" x14ac:dyDescent="0.25">
      <c r="A318" s="24" t="s">
        <v>17</v>
      </c>
      <c r="B318" s="22">
        <v>13</v>
      </c>
      <c r="C318" s="14">
        <v>11</v>
      </c>
      <c r="D318" s="26">
        <v>2021</v>
      </c>
      <c r="E318" s="40" t="e">
        <f t="shared" si="13"/>
        <v>#VALUE!</v>
      </c>
      <c r="G318" s="11" t="e">
        <f t="shared" si="14"/>
        <v>#VALUE!</v>
      </c>
      <c r="I318" s="42" t="e">
        <f t="shared" si="15"/>
        <v>#VALUE!</v>
      </c>
      <c r="K318" s="39" t="e">
        <f>Electric!BF23*400</f>
        <v>#VALUE!</v>
      </c>
      <c r="L318" s="46" t="str">
        <f>Gas!AJ20</f>
        <v/>
      </c>
      <c r="N318" s="46" t="str">
        <f>Water!AJ20</f>
        <v/>
      </c>
    </row>
    <row r="319" spans="1:14" x14ac:dyDescent="0.25">
      <c r="A319" s="24" t="s">
        <v>17</v>
      </c>
      <c r="B319" s="22">
        <v>14</v>
      </c>
      <c r="C319" s="14">
        <v>11</v>
      </c>
      <c r="D319" s="26">
        <v>2021</v>
      </c>
      <c r="E319" s="40" t="e">
        <f t="shared" si="13"/>
        <v>#VALUE!</v>
      </c>
      <c r="G319" s="11" t="e">
        <f t="shared" si="14"/>
        <v>#VALUE!</v>
      </c>
      <c r="I319" s="42" t="e">
        <f t="shared" si="15"/>
        <v>#VALUE!</v>
      </c>
      <c r="K319" s="39" t="e">
        <f>Electric!BF24*400</f>
        <v>#VALUE!</v>
      </c>
      <c r="L319" s="46" t="str">
        <f>Gas!AJ21</f>
        <v/>
      </c>
      <c r="N319" s="46" t="str">
        <f>Water!AJ21</f>
        <v/>
      </c>
    </row>
    <row r="320" spans="1:14" x14ac:dyDescent="0.25">
      <c r="A320" s="24" t="s">
        <v>17</v>
      </c>
      <c r="B320" s="22">
        <v>15</v>
      </c>
      <c r="C320" s="14">
        <v>11</v>
      </c>
      <c r="D320" s="26">
        <v>2021</v>
      </c>
      <c r="E320" s="40" t="e">
        <f t="shared" si="13"/>
        <v>#VALUE!</v>
      </c>
      <c r="G320" s="11" t="e">
        <f t="shared" si="14"/>
        <v>#VALUE!</v>
      </c>
      <c r="I320" s="42" t="e">
        <f t="shared" si="15"/>
        <v>#VALUE!</v>
      </c>
      <c r="K320" s="39" t="e">
        <f>Electric!BF25*400</f>
        <v>#VALUE!</v>
      </c>
      <c r="L320" s="46" t="str">
        <f>Gas!AJ22</f>
        <v/>
      </c>
      <c r="N320" s="46" t="str">
        <f>Water!AJ22</f>
        <v/>
      </c>
    </row>
    <row r="321" spans="1:14" x14ac:dyDescent="0.25">
      <c r="A321" s="24" t="s">
        <v>17</v>
      </c>
      <c r="B321" s="22">
        <v>16</v>
      </c>
      <c r="C321" s="14">
        <v>11</v>
      </c>
      <c r="D321" s="26">
        <v>2021</v>
      </c>
      <c r="E321" s="40" t="e">
        <f t="shared" si="13"/>
        <v>#VALUE!</v>
      </c>
      <c r="G321" s="11" t="e">
        <f t="shared" si="14"/>
        <v>#VALUE!</v>
      </c>
      <c r="I321" s="42" t="e">
        <f t="shared" si="15"/>
        <v>#VALUE!</v>
      </c>
      <c r="K321" s="39" t="e">
        <f>Electric!BF26*400</f>
        <v>#VALUE!</v>
      </c>
      <c r="L321" s="46" t="str">
        <f>Gas!AJ23</f>
        <v/>
      </c>
      <c r="N321" s="46" t="str">
        <f>Water!AJ23</f>
        <v/>
      </c>
    </row>
    <row r="322" spans="1:14" x14ac:dyDescent="0.25">
      <c r="A322" s="24" t="s">
        <v>17</v>
      </c>
      <c r="B322" s="22">
        <v>17</v>
      </c>
      <c r="C322" s="14">
        <v>11</v>
      </c>
      <c r="D322" s="26">
        <v>2021</v>
      </c>
      <c r="E322" s="40" t="e">
        <f t="shared" si="13"/>
        <v>#VALUE!</v>
      </c>
      <c r="G322" s="11" t="e">
        <f t="shared" si="14"/>
        <v>#VALUE!</v>
      </c>
      <c r="I322" s="42" t="e">
        <f t="shared" si="15"/>
        <v>#VALUE!</v>
      </c>
      <c r="K322" s="39" t="e">
        <f>Electric!BF27*400</f>
        <v>#VALUE!</v>
      </c>
      <c r="L322" s="46" t="str">
        <f>Gas!AJ24</f>
        <v/>
      </c>
      <c r="N322" s="46" t="str">
        <f>Water!AJ24</f>
        <v/>
      </c>
    </row>
    <row r="323" spans="1:14" x14ac:dyDescent="0.25">
      <c r="A323" s="24" t="s">
        <v>17</v>
      </c>
      <c r="B323" s="22">
        <v>18</v>
      </c>
      <c r="C323" s="14">
        <v>11</v>
      </c>
      <c r="D323" s="26">
        <v>2021</v>
      </c>
      <c r="E323" s="40" t="e">
        <f t="shared" ref="E323:E366" si="16">(K323/100)*15</f>
        <v>#VALUE!</v>
      </c>
      <c r="G323" s="11" t="e">
        <f t="shared" ref="G323:G366" si="17">(K323/100)*31</f>
        <v>#VALUE!</v>
      </c>
      <c r="I323" s="42" t="e">
        <f t="shared" ref="I323:I366" si="18">(K323/100)*54</f>
        <v>#VALUE!</v>
      </c>
      <c r="K323" s="39" t="e">
        <f>Electric!BF28*400</f>
        <v>#VALUE!</v>
      </c>
      <c r="L323" s="46" t="str">
        <f>Gas!AJ25</f>
        <v/>
      </c>
      <c r="N323" s="46" t="str">
        <f>Water!AJ25</f>
        <v/>
      </c>
    </row>
    <row r="324" spans="1:14" x14ac:dyDescent="0.25">
      <c r="A324" s="24" t="s">
        <v>17</v>
      </c>
      <c r="B324" s="22">
        <v>19</v>
      </c>
      <c r="C324" s="14">
        <v>11</v>
      </c>
      <c r="D324" s="26">
        <v>2021</v>
      </c>
      <c r="E324" s="40" t="e">
        <f t="shared" si="16"/>
        <v>#VALUE!</v>
      </c>
      <c r="G324" s="11" t="e">
        <f t="shared" si="17"/>
        <v>#VALUE!</v>
      </c>
      <c r="I324" s="42" t="e">
        <f t="shared" si="18"/>
        <v>#VALUE!</v>
      </c>
      <c r="K324" s="39" t="e">
        <f>Electric!BF29*400</f>
        <v>#VALUE!</v>
      </c>
      <c r="L324" s="46" t="str">
        <f>Gas!AJ26</f>
        <v/>
      </c>
      <c r="N324" s="46" t="str">
        <f>Water!AJ26</f>
        <v/>
      </c>
    </row>
    <row r="325" spans="1:14" x14ac:dyDescent="0.25">
      <c r="A325" s="24" t="s">
        <v>17</v>
      </c>
      <c r="B325" s="22">
        <v>20</v>
      </c>
      <c r="C325" s="14">
        <v>11</v>
      </c>
      <c r="D325" s="26">
        <v>2021</v>
      </c>
      <c r="E325" s="40" t="e">
        <f t="shared" si="16"/>
        <v>#VALUE!</v>
      </c>
      <c r="G325" s="11" t="e">
        <f t="shared" si="17"/>
        <v>#VALUE!</v>
      </c>
      <c r="I325" s="42" t="e">
        <f t="shared" si="18"/>
        <v>#VALUE!</v>
      </c>
      <c r="K325" s="39" t="e">
        <f>Electric!BF30*400</f>
        <v>#VALUE!</v>
      </c>
      <c r="L325" s="46" t="str">
        <f>Gas!AJ27</f>
        <v/>
      </c>
      <c r="N325" s="46" t="str">
        <f>Water!AJ27</f>
        <v/>
      </c>
    </row>
    <row r="326" spans="1:14" x14ac:dyDescent="0.25">
      <c r="A326" s="24" t="s">
        <v>17</v>
      </c>
      <c r="B326" s="22">
        <v>21</v>
      </c>
      <c r="C326" s="14">
        <v>11</v>
      </c>
      <c r="D326" s="26">
        <v>2021</v>
      </c>
      <c r="E326" s="40" t="e">
        <f t="shared" si="16"/>
        <v>#VALUE!</v>
      </c>
      <c r="G326" s="11" t="e">
        <f t="shared" si="17"/>
        <v>#VALUE!</v>
      </c>
      <c r="I326" s="42" t="e">
        <f t="shared" si="18"/>
        <v>#VALUE!</v>
      </c>
      <c r="K326" s="39" t="e">
        <f>Electric!BF31*400</f>
        <v>#VALUE!</v>
      </c>
      <c r="L326" s="46" t="str">
        <f>Gas!AJ28</f>
        <v/>
      </c>
      <c r="N326" s="46" t="str">
        <f>Water!AJ28</f>
        <v/>
      </c>
    </row>
    <row r="327" spans="1:14" x14ac:dyDescent="0.25">
      <c r="A327" s="24" t="s">
        <v>17</v>
      </c>
      <c r="B327" s="22">
        <v>22</v>
      </c>
      <c r="C327" s="14">
        <v>11</v>
      </c>
      <c r="D327" s="26">
        <v>2021</v>
      </c>
      <c r="E327" s="40" t="e">
        <f t="shared" si="16"/>
        <v>#VALUE!</v>
      </c>
      <c r="G327" s="11" t="e">
        <f t="shared" si="17"/>
        <v>#VALUE!</v>
      </c>
      <c r="I327" s="42" t="e">
        <f t="shared" si="18"/>
        <v>#VALUE!</v>
      </c>
      <c r="K327" s="39" t="e">
        <f>Electric!BF32*400</f>
        <v>#VALUE!</v>
      </c>
      <c r="L327" s="46" t="str">
        <f>Gas!AJ29</f>
        <v/>
      </c>
      <c r="N327" s="46" t="str">
        <f>Water!AJ29</f>
        <v/>
      </c>
    </row>
    <row r="328" spans="1:14" x14ac:dyDescent="0.25">
      <c r="A328" s="24" t="s">
        <v>17</v>
      </c>
      <c r="B328" s="22">
        <v>23</v>
      </c>
      <c r="C328" s="14">
        <v>11</v>
      </c>
      <c r="D328" s="26">
        <v>2021</v>
      </c>
      <c r="E328" s="40" t="e">
        <f t="shared" si="16"/>
        <v>#VALUE!</v>
      </c>
      <c r="G328" s="11" t="e">
        <f t="shared" si="17"/>
        <v>#VALUE!</v>
      </c>
      <c r="I328" s="42" t="e">
        <f t="shared" si="18"/>
        <v>#VALUE!</v>
      </c>
      <c r="K328" s="39" t="e">
        <f>Electric!BF33*400</f>
        <v>#VALUE!</v>
      </c>
      <c r="L328" s="46" t="str">
        <f>Gas!AJ30</f>
        <v/>
      </c>
      <c r="N328" s="46" t="str">
        <f>Water!AJ30</f>
        <v/>
      </c>
    </row>
    <row r="329" spans="1:14" x14ac:dyDescent="0.25">
      <c r="A329" s="24" t="s">
        <v>17</v>
      </c>
      <c r="B329" s="22">
        <v>24</v>
      </c>
      <c r="C329" s="14">
        <v>11</v>
      </c>
      <c r="D329" s="26">
        <v>2021</v>
      </c>
      <c r="E329" s="40" t="e">
        <f t="shared" si="16"/>
        <v>#VALUE!</v>
      </c>
      <c r="G329" s="11" t="e">
        <f t="shared" si="17"/>
        <v>#VALUE!</v>
      </c>
      <c r="I329" s="42" t="e">
        <f t="shared" si="18"/>
        <v>#VALUE!</v>
      </c>
      <c r="K329" s="39" t="e">
        <f>Electric!BF34*400</f>
        <v>#VALUE!</v>
      </c>
      <c r="L329" s="46" t="str">
        <f>Gas!AJ31</f>
        <v/>
      </c>
      <c r="N329" s="46" t="str">
        <f>Water!AJ31</f>
        <v/>
      </c>
    </row>
    <row r="330" spans="1:14" x14ac:dyDescent="0.25">
      <c r="A330" s="24" t="s">
        <v>17</v>
      </c>
      <c r="B330" s="22">
        <v>25</v>
      </c>
      <c r="C330" s="14">
        <v>11</v>
      </c>
      <c r="D330" s="26">
        <v>2021</v>
      </c>
      <c r="E330" s="40" t="e">
        <f t="shared" si="16"/>
        <v>#VALUE!</v>
      </c>
      <c r="G330" s="11" t="e">
        <f t="shared" si="17"/>
        <v>#VALUE!</v>
      </c>
      <c r="I330" s="42" t="e">
        <f t="shared" si="18"/>
        <v>#VALUE!</v>
      </c>
      <c r="K330" s="39" t="e">
        <f>Electric!BF35*400</f>
        <v>#VALUE!</v>
      </c>
      <c r="L330" s="46" t="str">
        <f>Gas!AJ32</f>
        <v/>
      </c>
      <c r="N330" s="46" t="str">
        <f>Water!AJ32</f>
        <v/>
      </c>
    </row>
    <row r="331" spans="1:14" x14ac:dyDescent="0.25">
      <c r="A331" s="24" t="s">
        <v>17</v>
      </c>
      <c r="B331" s="22">
        <v>26</v>
      </c>
      <c r="C331" s="14">
        <v>11</v>
      </c>
      <c r="D331" s="26">
        <v>2021</v>
      </c>
      <c r="E331" s="40" t="e">
        <f t="shared" si="16"/>
        <v>#VALUE!</v>
      </c>
      <c r="G331" s="11" t="e">
        <f t="shared" si="17"/>
        <v>#VALUE!</v>
      </c>
      <c r="I331" s="42" t="e">
        <f t="shared" si="18"/>
        <v>#VALUE!</v>
      </c>
      <c r="K331" s="39" t="e">
        <f>Electric!BF36*400</f>
        <v>#VALUE!</v>
      </c>
      <c r="L331" s="46" t="str">
        <f>Gas!AJ33</f>
        <v/>
      </c>
      <c r="N331" s="46" t="str">
        <f>Water!AJ33</f>
        <v/>
      </c>
    </row>
    <row r="332" spans="1:14" x14ac:dyDescent="0.25">
      <c r="A332" s="24" t="s">
        <v>17</v>
      </c>
      <c r="B332" s="22">
        <v>27</v>
      </c>
      <c r="C332" s="14">
        <v>11</v>
      </c>
      <c r="D332" s="26">
        <v>2021</v>
      </c>
      <c r="E332" s="40" t="e">
        <f t="shared" si="16"/>
        <v>#VALUE!</v>
      </c>
      <c r="G332" s="11" t="e">
        <f t="shared" si="17"/>
        <v>#VALUE!</v>
      </c>
      <c r="I332" s="42" t="e">
        <f t="shared" si="18"/>
        <v>#VALUE!</v>
      </c>
      <c r="K332" s="39" t="e">
        <f>Electric!BF37*400</f>
        <v>#VALUE!</v>
      </c>
      <c r="L332" s="46" t="str">
        <f>Gas!AJ34</f>
        <v/>
      </c>
      <c r="N332" s="46" t="str">
        <f>Water!AJ34</f>
        <v/>
      </c>
    </row>
    <row r="333" spans="1:14" x14ac:dyDescent="0.25">
      <c r="A333" s="24" t="s">
        <v>17</v>
      </c>
      <c r="B333" s="22">
        <v>28</v>
      </c>
      <c r="C333" s="14">
        <v>11</v>
      </c>
      <c r="D333" s="26">
        <v>2021</v>
      </c>
      <c r="E333" s="40" t="e">
        <f t="shared" si="16"/>
        <v>#VALUE!</v>
      </c>
      <c r="G333" s="11" t="e">
        <f t="shared" si="17"/>
        <v>#VALUE!</v>
      </c>
      <c r="I333" s="42" t="e">
        <f t="shared" si="18"/>
        <v>#VALUE!</v>
      </c>
      <c r="K333" s="39" t="e">
        <f>Electric!BF38*400</f>
        <v>#VALUE!</v>
      </c>
      <c r="L333" s="46" t="str">
        <f>Gas!AJ35</f>
        <v/>
      </c>
      <c r="N333" s="46" t="str">
        <f>Water!AJ35</f>
        <v/>
      </c>
    </row>
    <row r="334" spans="1:14" x14ac:dyDescent="0.25">
      <c r="A334" s="24" t="s">
        <v>17</v>
      </c>
      <c r="B334" s="22">
        <v>29</v>
      </c>
      <c r="C334" s="14">
        <v>11</v>
      </c>
      <c r="D334" s="26">
        <v>2021</v>
      </c>
      <c r="E334" s="40" t="e">
        <f t="shared" si="16"/>
        <v>#VALUE!</v>
      </c>
      <c r="G334" s="11" t="e">
        <f t="shared" si="17"/>
        <v>#VALUE!</v>
      </c>
      <c r="I334" s="42" t="e">
        <f t="shared" si="18"/>
        <v>#VALUE!</v>
      </c>
      <c r="K334" s="39" t="e">
        <f>Electric!BF39*400</f>
        <v>#VALUE!</v>
      </c>
      <c r="L334" s="46" t="str">
        <f>Gas!AJ36</f>
        <v/>
      </c>
      <c r="N334" s="46" t="str">
        <f>Water!AJ36</f>
        <v/>
      </c>
    </row>
    <row r="335" spans="1:14" x14ac:dyDescent="0.25">
      <c r="A335" s="24" t="s">
        <v>17</v>
      </c>
      <c r="B335" s="22">
        <v>30</v>
      </c>
      <c r="C335" s="14">
        <v>11</v>
      </c>
      <c r="D335" s="26">
        <v>2021</v>
      </c>
      <c r="E335" s="40" t="e">
        <f t="shared" si="16"/>
        <v>#VALUE!</v>
      </c>
      <c r="G335" s="11" t="e">
        <f t="shared" si="17"/>
        <v>#VALUE!</v>
      </c>
      <c r="I335" s="42" t="e">
        <f t="shared" si="18"/>
        <v>#VALUE!</v>
      </c>
      <c r="K335" s="39" t="e">
        <f>Electric!BF40*400</f>
        <v>#VALUE!</v>
      </c>
      <c r="L335" s="46" t="str">
        <f>Gas!AJ37</f>
        <v/>
      </c>
      <c r="N335" s="46" t="str">
        <f>Water!AJ37</f>
        <v/>
      </c>
    </row>
    <row r="336" spans="1:14" x14ac:dyDescent="0.25">
      <c r="A336" s="24" t="s">
        <v>17</v>
      </c>
      <c r="B336" s="22">
        <v>1</v>
      </c>
      <c r="C336" s="14">
        <v>12</v>
      </c>
      <c r="D336" s="26">
        <v>2021</v>
      </c>
      <c r="E336" s="40" t="e">
        <f t="shared" si="16"/>
        <v>#VALUE!</v>
      </c>
      <c r="G336" s="11" t="e">
        <f t="shared" si="17"/>
        <v>#VALUE!</v>
      </c>
      <c r="I336" s="42" t="e">
        <f t="shared" si="18"/>
        <v>#VALUE!</v>
      </c>
      <c r="K336" s="39" t="e">
        <f>Electric!BK11*400</f>
        <v>#VALUE!</v>
      </c>
      <c r="L336" s="46" t="str">
        <f>Gas!AM8</f>
        <v/>
      </c>
      <c r="N336" s="46" t="str">
        <f>Water!AM8</f>
        <v/>
      </c>
    </row>
    <row r="337" spans="1:14" x14ac:dyDescent="0.25">
      <c r="A337" s="24" t="s">
        <v>17</v>
      </c>
      <c r="B337" s="22">
        <v>2</v>
      </c>
      <c r="C337" s="14">
        <v>12</v>
      </c>
      <c r="D337" s="26">
        <v>2021</v>
      </c>
      <c r="E337" s="40" t="e">
        <f t="shared" si="16"/>
        <v>#VALUE!</v>
      </c>
      <c r="G337" s="11" t="e">
        <f t="shared" si="17"/>
        <v>#VALUE!</v>
      </c>
      <c r="I337" s="42" t="e">
        <f t="shared" si="18"/>
        <v>#VALUE!</v>
      </c>
      <c r="K337" s="39" t="e">
        <f>Electric!BK12*400</f>
        <v>#VALUE!</v>
      </c>
      <c r="L337" s="46" t="str">
        <f>Gas!AM9</f>
        <v/>
      </c>
      <c r="N337" s="46" t="str">
        <f>Water!AM9</f>
        <v/>
      </c>
    </row>
    <row r="338" spans="1:14" x14ac:dyDescent="0.25">
      <c r="A338" s="24" t="s">
        <v>17</v>
      </c>
      <c r="B338" s="22">
        <v>3</v>
      </c>
      <c r="C338" s="14">
        <v>12</v>
      </c>
      <c r="D338" s="26">
        <v>2021</v>
      </c>
      <c r="E338" s="40" t="e">
        <f t="shared" si="16"/>
        <v>#VALUE!</v>
      </c>
      <c r="G338" s="11" t="e">
        <f t="shared" si="17"/>
        <v>#VALUE!</v>
      </c>
      <c r="I338" s="42" t="e">
        <f t="shared" si="18"/>
        <v>#VALUE!</v>
      </c>
      <c r="K338" s="39" t="e">
        <f>Electric!BK13*400</f>
        <v>#VALUE!</v>
      </c>
      <c r="L338" s="46" t="str">
        <f>Gas!AM10</f>
        <v/>
      </c>
      <c r="N338" s="46" t="str">
        <f>Water!AM10</f>
        <v/>
      </c>
    </row>
    <row r="339" spans="1:14" x14ac:dyDescent="0.25">
      <c r="A339" s="24" t="s">
        <v>17</v>
      </c>
      <c r="B339" s="22">
        <v>4</v>
      </c>
      <c r="C339" s="14">
        <v>12</v>
      </c>
      <c r="D339" s="26">
        <v>2021</v>
      </c>
      <c r="E339" s="40" t="e">
        <f t="shared" si="16"/>
        <v>#VALUE!</v>
      </c>
      <c r="G339" s="11" t="e">
        <f t="shared" si="17"/>
        <v>#VALUE!</v>
      </c>
      <c r="I339" s="42" t="e">
        <f t="shared" si="18"/>
        <v>#VALUE!</v>
      </c>
      <c r="K339" s="39" t="e">
        <f>Electric!BK14*400</f>
        <v>#VALUE!</v>
      </c>
      <c r="L339" s="46" t="str">
        <f>Gas!AM11</f>
        <v/>
      </c>
      <c r="N339" s="46" t="str">
        <f>Water!AM11</f>
        <v/>
      </c>
    </row>
    <row r="340" spans="1:14" x14ac:dyDescent="0.25">
      <c r="A340" s="24" t="s">
        <v>17</v>
      </c>
      <c r="B340" s="22">
        <v>5</v>
      </c>
      <c r="C340" s="14">
        <v>12</v>
      </c>
      <c r="D340" s="26">
        <v>2021</v>
      </c>
      <c r="E340" s="40" t="e">
        <f t="shared" si="16"/>
        <v>#VALUE!</v>
      </c>
      <c r="G340" s="11" t="e">
        <f t="shared" si="17"/>
        <v>#VALUE!</v>
      </c>
      <c r="I340" s="42" t="e">
        <f t="shared" si="18"/>
        <v>#VALUE!</v>
      </c>
      <c r="K340" s="39" t="e">
        <f>Electric!BK15*400</f>
        <v>#VALUE!</v>
      </c>
      <c r="L340" s="46" t="str">
        <f>Gas!AM12</f>
        <v/>
      </c>
      <c r="N340" s="46" t="str">
        <f>Water!AM12</f>
        <v/>
      </c>
    </row>
    <row r="341" spans="1:14" x14ac:dyDescent="0.25">
      <c r="A341" s="24" t="s">
        <v>17</v>
      </c>
      <c r="B341" s="22">
        <v>6</v>
      </c>
      <c r="C341" s="14">
        <v>12</v>
      </c>
      <c r="D341" s="26">
        <v>2021</v>
      </c>
      <c r="E341" s="40" t="e">
        <f t="shared" si="16"/>
        <v>#VALUE!</v>
      </c>
      <c r="G341" s="11" t="e">
        <f t="shared" si="17"/>
        <v>#VALUE!</v>
      </c>
      <c r="I341" s="42" t="e">
        <f t="shared" si="18"/>
        <v>#VALUE!</v>
      </c>
      <c r="K341" s="39" t="e">
        <f>Electric!BK16*400</f>
        <v>#VALUE!</v>
      </c>
      <c r="L341" s="46" t="str">
        <f>Gas!AM13</f>
        <v/>
      </c>
      <c r="N341" s="46" t="str">
        <f>Water!AM13</f>
        <v/>
      </c>
    </row>
    <row r="342" spans="1:14" x14ac:dyDescent="0.25">
      <c r="A342" s="24" t="s">
        <v>17</v>
      </c>
      <c r="B342" s="22">
        <v>7</v>
      </c>
      <c r="C342" s="14">
        <v>12</v>
      </c>
      <c r="D342" s="26">
        <v>2021</v>
      </c>
      <c r="E342" s="40" t="e">
        <f t="shared" si="16"/>
        <v>#VALUE!</v>
      </c>
      <c r="G342" s="11" t="e">
        <f t="shared" si="17"/>
        <v>#VALUE!</v>
      </c>
      <c r="I342" s="42" t="e">
        <f t="shared" si="18"/>
        <v>#VALUE!</v>
      </c>
      <c r="K342" s="39" t="e">
        <f>Electric!BK17*400</f>
        <v>#VALUE!</v>
      </c>
      <c r="L342" s="46" t="str">
        <f>Gas!AM14</f>
        <v/>
      </c>
      <c r="N342" s="46" t="str">
        <f>Water!AM14</f>
        <v/>
      </c>
    </row>
    <row r="343" spans="1:14" x14ac:dyDescent="0.25">
      <c r="A343" s="24" t="s">
        <v>17</v>
      </c>
      <c r="B343" s="22">
        <v>8</v>
      </c>
      <c r="C343" s="14">
        <v>12</v>
      </c>
      <c r="D343" s="26">
        <v>2021</v>
      </c>
      <c r="E343" s="40" t="e">
        <f t="shared" si="16"/>
        <v>#VALUE!</v>
      </c>
      <c r="G343" s="11" t="e">
        <f t="shared" si="17"/>
        <v>#VALUE!</v>
      </c>
      <c r="I343" s="42" t="e">
        <f t="shared" si="18"/>
        <v>#VALUE!</v>
      </c>
      <c r="K343" s="39" t="e">
        <f>Electric!BK18*400</f>
        <v>#VALUE!</v>
      </c>
      <c r="L343" s="46" t="str">
        <f>Gas!AM15</f>
        <v/>
      </c>
      <c r="N343" s="46" t="str">
        <f>Water!AM15</f>
        <v/>
      </c>
    </row>
    <row r="344" spans="1:14" x14ac:dyDescent="0.25">
      <c r="A344" s="24" t="s">
        <v>17</v>
      </c>
      <c r="B344" s="22">
        <v>9</v>
      </c>
      <c r="C344" s="14">
        <v>12</v>
      </c>
      <c r="D344" s="26">
        <v>2021</v>
      </c>
      <c r="E344" s="40" t="e">
        <f t="shared" si="16"/>
        <v>#VALUE!</v>
      </c>
      <c r="G344" s="11" t="e">
        <f t="shared" si="17"/>
        <v>#VALUE!</v>
      </c>
      <c r="I344" s="42" t="e">
        <f t="shared" si="18"/>
        <v>#VALUE!</v>
      </c>
      <c r="K344" s="39" t="e">
        <f>Electric!BK19*400</f>
        <v>#VALUE!</v>
      </c>
      <c r="L344" s="46" t="str">
        <f>Gas!AM16</f>
        <v/>
      </c>
      <c r="N344" s="46" t="str">
        <f>Water!AM16</f>
        <v/>
      </c>
    </row>
    <row r="345" spans="1:14" x14ac:dyDescent="0.25">
      <c r="A345" s="24" t="s">
        <v>17</v>
      </c>
      <c r="B345" s="22">
        <v>10</v>
      </c>
      <c r="C345" s="14">
        <v>12</v>
      </c>
      <c r="D345" s="26">
        <v>2021</v>
      </c>
      <c r="E345" s="40" t="e">
        <f t="shared" si="16"/>
        <v>#VALUE!</v>
      </c>
      <c r="G345" s="11" t="e">
        <f t="shared" si="17"/>
        <v>#VALUE!</v>
      </c>
      <c r="I345" s="42" t="e">
        <f t="shared" si="18"/>
        <v>#VALUE!</v>
      </c>
      <c r="K345" s="39" t="e">
        <f>Electric!BK20*400</f>
        <v>#VALUE!</v>
      </c>
      <c r="L345" s="46" t="str">
        <f>Gas!AM17</f>
        <v/>
      </c>
      <c r="N345" s="46" t="str">
        <f>Water!AM17</f>
        <v/>
      </c>
    </row>
    <row r="346" spans="1:14" x14ac:dyDescent="0.25">
      <c r="A346" s="24" t="s">
        <v>17</v>
      </c>
      <c r="B346" s="22">
        <v>11</v>
      </c>
      <c r="C346" s="14">
        <v>12</v>
      </c>
      <c r="D346" s="26">
        <v>2021</v>
      </c>
      <c r="E346" s="40" t="e">
        <f t="shared" si="16"/>
        <v>#VALUE!</v>
      </c>
      <c r="G346" s="11" t="e">
        <f t="shared" si="17"/>
        <v>#VALUE!</v>
      </c>
      <c r="I346" s="42" t="e">
        <f t="shared" si="18"/>
        <v>#VALUE!</v>
      </c>
      <c r="K346" s="39" t="e">
        <f>Electric!BK21*400</f>
        <v>#VALUE!</v>
      </c>
      <c r="L346" s="46" t="str">
        <f>Gas!AM18</f>
        <v/>
      </c>
      <c r="N346" s="46" t="str">
        <f>Water!AM18</f>
        <v/>
      </c>
    </row>
    <row r="347" spans="1:14" x14ac:dyDescent="0.25">
      <c r="A347" s="24" t="s">
        <v>17</v>
      </c>
      <c r="B347" s="22">
        <v>12</v>
      </c>
      <c r="C347" s="14">
        <v>12</v>
      </c>
      <c r="D347" s="26">
        <v>2021</v>
      </c>
      <c r="E347" s="40" t="e">
        <f t="shared" si="16"/>
        <v>#VALUE!</v>
      </c>
      <c r="G347" s="11" t="e">
        <f t="shared" si="17"/>
        <v>#VALUE!</v>
      </c>
      <c r="I347" s="42" t="e">
        <f t="shared" si="18"/>
        <v>#VALUE!</v>
      </c>
      <c r="K347" s="39" t="e">
        <f>Electric!BK22*400</f>
        <v>#VALUE!</v>
      </c>
      <c r="L347" s="46" t="str">
        <f>Gas!AM19</f>
        <v/>
      </c>
      <c r="N347" s="46" t="str">
        <f>Water!AM19</f>
        <v/>
      </c>
    </row>
    <row r="348" spans="1:14" x14ac:dyDescent="0.25">
      <c r="A348" s="24" t="s">
        <v>17</v>
      </c>
      <c r="B348" s="22">
        <v>13</v>
      </c>
      <c r="C348" s="14">
        <v>12</v>
      </c>
      <c r="D348" s="26">
        <v>2021</v>
      </c>
      <c r="E348" s="40" t="e">
        <f t="shared" si="16"/>
        <v>#VALUE!</v>
      </c>
      <c r="G348" s="11" t="e">
        <f t="shared" si="17"/>
        <v>#VALUE!</v>
      </c>
      <c r="I348" s="42" t="e">
        <f t="shared" si="18"/>
        <v>#VALUE!</v>
      </c>
      <c r="K348" s="39" t="e">
        <f>Electric!BK23*400</f>
        <v>#VALUE!</v>
      </c>
      <c r="L348" s="46" t="str">
        <f>Gas!AM20</f>
        <v/>
      </c>
      <c r="N348" s="46" t="str">
        <f>Water!AM20</f>
        <v/>
      </c>
    </row>
    <row r="349" spans="1:14" x14ac:dyDescent="0.25">
      <c r="A349" s="24" t="s">
        <v>17</v>
      </c>
      <c r="B349" s="22">
        <v>14</v>
      </c>
      <c r="C349" s="14">
        <v>12</v>
      </c>
      <c r="D349" s="26">
        <v>2021</v>
      </c>
      <c r="E349" s="40" t="e">
        <f t="shared" si="16"/>
        <v>#VALUE!</v>
      </c>
      <c r="G349" s="11" t="e">
        <f t="shared" si="17"/>
        <v>#VALUE!</v>
      </c>
      <c r="I349" s="42" t="e">
        <f t="shared" si="18"/>
        <v>#VALUE!</v>
      </c>
      <c r="K349" s="39" t="e">
        <f>Electric!BK24*400</f>
        <v>#VALUE!</v>
      </c>
      <c r="L349" s="46" t="str">
        <f>Gas!AM21</f>
        <v/>
      </c>
      <c r="N349" s="46" t="str">
        <f>Water!AM21</f>
        <v/>
      </c>
    </row>
    <row r="350" spans="1:14" x14ac:dyDescent="0.25">
      <c r="A350" s="24" t="s">
        <v>17</v>
      </c>
      <c r="B350" s="22">
        <v>15</v>
      </c>
      <c r="C350" s="14">
        <v>12</v>
      </c>
      <c r="D350" s="26">
        <v>2021</v>
      </c>
      <c r="E350" s="40" t="e">
        <f t="shared" si="16"/>
        <v>#VALUE!</v>
      </c>
      <c r="G350" s="11" t="e">
        <f t="shared" si="17"/>
        <v>#VALUE!</v>
      </c>
      <c r="I350" s="42" t="e">
        <f t="shared" si="18"/>
        <v>#VALUE!</v>
      </c>
      <c r="K350" s="39" t="e">
        <f>Electric!BK25*400</f>
        <v>#VALUE!</v>
      </c>
      <c r="L350" s="46" t="str">
        <f>Gas!AM22</f>
        <v/>
      </c>
      <c r="N350" s="46" t="str">
        <f>Water!AM22</f>
        <v/>
      </c>
    </row>
    <row r="351" spans="1:14" x14ac:dyDescent="0.25">
      <c r="A351" s="24" t="s">
        <v>17</v>
      </c>
      <c r="B351" s="22">
        <v>16</v>
      </c>
      <c r="C351" s="14">
        <v>12</v>
      </c>
      <c r="D351" s="26">
        <v>2021</v>
      </c>
      <c r="E351" s="40" t="e">
        <f t="shared" si="16"/>
        <v>#VALUE!</v>
      </c>
      <c r="G351" s="11" t="e">
        <f t="shared" si="17"/>
        <v>#VALUE!</v>
      </c>
      <c r="I351" s="42" t="e">
        <f t="shared" si="18"/>
        <v>#VALUE!</v>
      </c>
      <c r="K351" s="39" t="e">
        <f>Electric!BK26*400</f>
        <v>#VALUE!</v>
      </c>
      <c r="L351" s="46" t="str">
        <f>Gas!AM23</f>
        <v/>
      </c>
      <c r="N351" s="46" t="str">
        <f>Water!AM23</f>
        <v/>
      </c>
    </row>
    <row r="352" spans="1:14" x14ac:dyDescent="0.25">
      <c r="A352" s="24" t="s">
        <v>17</v>
      </c>
      <c r="B352" s="22">
        <v>17</v>
      </c>
      <c r="C352" s="14">
        <v>12</v>
      </c>
      <c r="D352" s="26">
        <v>2021</v>
      </c>
      <c r="E352" s="40" t="e">
        <f t="shared" si="16"/>
        <v>#VALUE!</v>
      </c>
      <c r="G352" s="11" t="e">
        <f t="shared" si="17"/>
        <v>#VALUE!</v>
      </c>
      <c r="I352" s="42" t="e">
        <f t="shared" si="18"/>
        <v>#VALUE!</v>
      </c>
      <c r="K352" s="39" t="e">
        <f>Electric!BK27*400</f>
        <v>#VALUE!</v>
      </c>
      <c r="L352" s="46" t="str">
        <f>Gas!AM24</f>
        <v/>
      </c>
      <c r="N352" s="46" t="str">
        <f>Water!AM24</f>
        <v/>
      </c>
    </row>
    <row r="353" spans="1:14" x14ac:dyDescent="0.25">
      <c r="A353" s="24" t="s">
        <v>17</v>
      </c>
      <c r="B353" s="22">
        <v>18</v>
      </c>
      <c r="C353" s="14">
        <v>12</v>
      </c>
      <c r="D353" s="26">
        <v>2021</v>
      </c>
      <c r="E353" s="40" t="e">
        <f t="shared" si="16"/>
        <v>#VALUE!</v>
      </c>
      <c r="G353" s="11" t="e">
        <f t="shared" si="17"/>
        <v>#VALUE!</v>
      </c>
      <c r="I353" s="42" t="e">
        <f t="shared" si="18"/>
        <v>#VALUE!</v>
      </c>
      <c r="K353" s="39" t="e">
        <f>Electric!BK28*400</f>
        <v>#VALUE!</v>
      </c>
      <c r="L353" s="46" t="str">
        <f>Gas!AM25</f>
        <v/>
      </c>
      <c r="N353" s="46" t="str">
        <f>Water!AM25</f>
        <v/>
      </c>
    </row>
    <row r="354" spans="1:14" x14ac:dyDescent="0.25">
      <c r="A354" s="24" t="s">
        <v>17</v>
      </c>
      <c r="B354" s="22">
        <v>19</v>
      </c>
      <c r="C354" s="14">
        <v>12</v>
      </c>
      <c r="D354" s="26">
        <v>2021</v>
      </c>
      <c r="E354" s="40" t="e">
        <f t="shared" si="16"/>
        <v>#VALUE!</v>
      </c>
      <c r="G354" s="11" t="e">
        <f t="shared" si="17"/>
        <v>#VALUE!</v>
      </c>
      <c r="I354" s="42" t="e">
        <f t="shared" si="18"/>
        <v>#VALUE!</v>
      </c>
      <c r="K354" s="39" t="e">
        <f>Electric!BK29*400</f>
        <v>#VALUE!</v>
      </c>
      <c r="L354" s="46" t="str">
        <f>Gas!AM26</f>
        <v/>
      </c>
      <c r="N354" s="46" t="str">
        <f>Water!AM26</f>
        <v/>
      </c>
    </row>
    <row r="355" spans="1:14" x14ac:dyDescent="0.25">
      <c r="A355" s="24" t="s">
        <v>17</v>
      </c>
      <c r="B355" s="22">
        <v>20</v>
      </c>
      <c r="C355" s="14">
        <v>12</v>
      </c>
      <c r="D355" s="26">
        <v>2021</v>
      </c>
      <c r="E355" s="40" t="e">
        <f t="shared" si="16"/>
        <v>#VALUE!</v>
      </c>
      <c r="G355" s="11" t="e">
        <f t="shared" si="17"/>
        <v>#VALUE!</v>
      </c>
      <c r="I355" s="42" t="e">
        <f t="shared" si="18"/>
        <v>#VALUE!</v>
      </c>
      <c r="K355" s="39" t="e">
        <f>Electric!BK30*400</f>
        <v>#VALUE!</v>
      </c>
      <c r="L355" s="46" t="str">
        <f>Gas!AM27</f>
        <v/>
      </c>
      <c r="N355" s="46" t="str">
        <f>Water!AM27</f>
        <v/>
      </c>
    </row>
    <row r="356" spans="1:14" x14ac:dyDescent="0.25">
      <c r="A356" s="24" t="s">
        <v>17</v>
      </c>
      <c r="B356" s="22">
        <v>21</v>
      </c>
      <c r="C356" s="14">
        <v>12</v>
      </c>
      <c r="D356" s="26">
        <v>2021</v>
      </c>
      <c r="E356" s="40" t="e">
        <f t="shared" si="16"/>
        <v>#VALUE!</v>
      </c>
      <c r="G356" s="11" t="e">
        <f t="shared" si="17"/>
        <v>#VALUE!</v>
      </c>
      <c r="I356" s="42" t="e">
        <f t="shared" si="18"/>
        <v>#VALUE!</v>
      </c>
      <c r="K356" s="39" t="e">
        <f>Electric!BK31*400</f>
        <v>#VALUE!</v>
      </c>
      <c r="L356" s="46" t="str">
        <f>Gas!AM28</f>
        <v/>
      </c>
      <c r="N356" s="46" t="str">
        <f>Water!AM28</f>
        <v/>
      </c>
    </row>
    <row r="357" spans="1:14" x14ac:dyDescent="0.25">
      <c r="A357" s="24" t="s">
        <v>17</v>
      </c>
      <c r="B357" s="22">
        <v>22</v>
      </c>
      <c r="C357" s="14">
        <v>12</v>
      </c>
      <c r="D357" s="26">
        <v>2021</v>
      </c>
      <c r="E357" s="40" t="e">
        <f t="shared" si="16"/>
        <v>#VALUE!</v>
      </c>
      <c r="G357" s="11" t="e">
        <f t="shared" si="17"/>
        <v>#VALUE!</v>
      </c>
      <c r="I357" s="42" t="e">
        <f t="shared" si="18"/>
        <v>#VALUE!</v>
      </c>
      <c r="K357" s="39" t="e">
        <f>Electric!BK32*400</f>
        <v>#VALUE!</v>
      </c>
      <c r="L357" s="46" t="str">
        <f>Gas!AM29</f>
        <v/>
      </c>
      <c r="N357" s="46" t="str">
        <f>Water!AM29</f>
        <v/>
      </c>
    </row>
    <row r="358" spans="1:14" x14ac:dyDescent="0.25">
      <c r="A358" s="24" t="s">
        <v>17</v>
      </c>
      <c r="B358" s="22">
        <v>23</v>
      </c>
      <c r="C358" s="14">
        <v>12</v>
      </c>
      <c r="D358" s="26">
        <v>2021</v>
      </c>
      <c r="E358" s="40" t="e">
        <f t="shared" si="16"/>
        <v>#VALUE!</v>
      </c>
      <c r="G358" s="11" t="e">
        <f t="shared" si="17"/>
        <v>#VALUE!</v>
      </c>
      <c r="I358" s="42" t="e">
        <f t="shared" si="18"/>
        <v>#VALUE!</v>
      </c>
      <c r="K358" s="39" t="e">
        <f>Electric!BK33*400</f>
        <v>#VALUE!</v>
      </c>
      <c r="L358" s="46" t="str">
        <f>Gas!AM30</f>
        <v/>
      </c>
      <c r="N358" s="46" t="str">
        <f>Water!AM30</f>
        <v/>
      </c>
    </row>
    <row r="359" spans="1:14" x14ac:dyDescent="0.25">
      <c r="A359" s="24" t="s">
        <v>17</v>
      </c>
      <c r="B359" s="22">
        <v>24</v>
      </c>
      <c r="C359" s="14">
        <v>12</v>
      </c>
      <c r="D359" s="26">
        <v>2021</v>
      </c>
      <c r="E359" s="40" t="e">
        <f t="shared" si="16"/>
        <v>#VALUE!</v>
      </c>
      <c r="G359" s="11" t="e">
        <f t="shared" si="17"/>
        <v>#VALUE!</v>
      </c>
      <c r="I359" s="42" t="e">
        <f t="shared" si="18"/>
        <v>#VALUE!</v>
      </c>
      <c r="K359" s="39" t="e">
        <f>Electric!BK34*400</f>
        <v>#VALUE!</v>
      </c>
      <c r="L359" s="46" t="str">
        <f>Gas!AM31</f>
        <v/>
      </c>
      <c r="N359" s="46" t="str">
        <f>Water!AM31</f>
        <v/>
      </c>
    </row>
    <row r="360" spans="1:14" x14ac:dyDescent="0.25">
      <c r="A360" s="24" t="s">
        <v>17</v>
      </c>
      <c r="B360" s="22">
        <v>25</v>
      </c>
      <c r="C360" s="14">
        <v>12</v>
      </c>
      <c r="D360" s="26">
        <v>2021</v>
      </c>
      <c r="E360" s="40" t="e">
        <f t="shared" si="16"/>
        <v>#VALUE!</v>
      </c>
      <c r="G360" s="11" t="e">
        <f t="shared" si="17"/>
        <v>#VALUE!</v>
      </c>
      <c r="I360" s="42" t="e">
        <f t="shared" si="18"/>
        <v>#VALUE!</v>
      </c>
      <c r="K360" s="39" t="e">
        <f>Electric!BK35*400</f>
        <v>#VALUE!</v>
      </c>
      <c r="L360" s="46" t="str">
        <f>Gas!AM32</f>
        <v/>
      </c>
      <c r="N360" s="46" t="str">
        <f>Water!AM32</f>
        <v/>
      </c>
    </row>
    <row r="361" spans="1:14" x14ac:dyDescent="0.25">
      <c r="A361" s="24" t="s">
        <v>17</v>
      </c>
      <c r="B361" s="22">
        <v>26</v>
      </c>
      <c r="C361" s="14">
        <v>12</v>
      </c>
      <c r="D361" s="26">
        <v>2021</v>
      </c>
      <c r="E361" s="40" t="e">
        <f t="shared" si="16"/>
        <v>#VALUE!</v>
      </c>
      <c r="G361" s="11" t="e">
        <f t="shared" si="17"/>
        <v>#VALUE!</v>
      </c>
      <c r="I361" s="42" t="e">
        <f t="shared" si="18"/>
        <v>#VALUE!</v>
      </c>
      <c r="K361" s="39" t="e">
        <f>Electric!BK36*400</f>
        <v>#VALUE!</v>
      </c>
      <c r="L361" s="46" t="str">
        <f>Gas!AM33</f>
        <v/>
      </c>
      <c r="N361" s="46" t="str">
        <f>Water!AM33</f>
        <v/>
      </c>
    </row>
    <row r="362" spans="1:14" x14ac:dyDescent="0.25">
      <c r="A362" s="24" t="s">
        <v>17</v>
      </c>
      <c r="B362" s="22">
        <v>27</v>
      </c>
      <c r="C362" s="14">
        <v>12</v>
      </c>
      <c r="D362" s="26">
        <v>2021</v>
      </c>
      <c r="E362" s="40" t="e">
        <f t="shared" si="16"/>
        <v>#VALUE!</v>
      </c>
      <c r="G362" s="11" t="e">
        <f t="shared" si="17"/>
        <v>#VALUE!</v>
      </c>
      <c r="I362" s="42" t="e">
        <f t="shared" si="18"/>
        <v>#VALUE!</v>
      </c>
      <c r="K362" s="39" t="e">
        <f>Electric!BK37*400</f>
        <v>#VALUE!</v>
      </c>
      <c r="L362" s="46" t="str">
        <f>Gas!AM34</f>
        <v/>
      </c>
      <c r="N362" s="46" t="str">
        <f>Water!AM34</f>
        <v/>
      </c>
    </row>
    <row r="363" spans="1:14" x14ac:dyDescent="0.25">
      <c r="A363" s="24" t="s">
        <v>17</v>
      </c>
      <c r="B363" s="22">
        <v>28</v>
      </c>
      <c r="C363" s="14">
        <v>12</v>
      </c>
      <c r="D363" s="26">
        <v>2021</v>
      </c>
      <c r="E363" s="40" t="e">
        <f t="shared" si="16"/>
        <v>#VALUE!</v>
      </c>
      <c r="G363" s="11" t="e">
        <f t="shared" si="17"/>
        <v>#VALUE!</v>
      </c>
      <c r="I363" s="42" t="e">
        <f t="shared" si="18"/>
        <v>#VALUE!</v>
      </c>
      <c r="K363" s="39" t="e">
        <f>Electric!BK38*400</f>
        <v>#VALUE!</v>
      </c>
      <c r="L363" s="46" t="str">
        <f>Gas!AM35</f>
        <v/>
      </c>
      <c r="N363" s="46" t="str">
        <f>Water!AM35</f>
        <v/>
      </c>
    </row>
    <row r="364" spans="1:14" x14ac:dyDescent="0.25">
      <c r="A364" s="24" t="s">
        <v>17</v>
      </c>
      <c r="B364" s="22">
        <v>29</v>
      </c>
      <c r="C364" s="14">
        <v>12</v>
      </c>
      <c r="D364" s="26">
        <v>2021</v>
      </c>
      <c r="E364" s="40" t="e">
        <f t="shared" si="16"/>
        <v>#VALUE!</v>
      </c>
      <c r="G364" s="11" t="e">
        <f t="shared" si="17"/>
        <v>#VALUE!</v>
      </c>
      <c r="I364" s="42" t="e">
        <f t="shared" si="18"/>
        <v>#VALUE!</v>
      </c>
      <c r="K364" s="39" t="e">
        <f>Electric!BK39*400</f>
        <v>#VALUE!</v>
      </c>
      <c r="L364" s="46" t="str">
        <f>Gas!AM36</f>
        <v/>
      </c>
      <c r="N364" s="46" t="str">
        <f>Water!AM36</f>
        <v/>
      </c>
    </row>
    <row r="365" spans="1:14" x14ac:dyDescent="0.25">
      <c r="A365" s="24" t="s">
        <v>17</v>
      </c>
      <c r="B365" s="22">
        <v>30</v>
      </c>
      <c r="C365" s="14">
        <v>12</v>
      </c>
      <c r="D365" s="26">
        <v>2021</v>
      </c>
      <c r="E365" s="40" t="e">
        <f t="shared" si="16"/>
        <v>#VALUE!</v>
      </c>
      <c r="G365" s="11" t="e">
        <f t="shared" si="17"/>
        <v>#VALUE!</v>
      </c>
      <c r="I365" s="42" t="e">
        <f t="shared" si="18"/>
        <v>#VALUE!</v>
      </c>
      <c r="K365" s="39" t="e">
        <f>Electric!BK40*400</f>
        <v>#VALUE!</v>
      </c>
      <c r="L365" s="46" t="str">
        <f>Gas!AM37</f>
        <v/>
      </c>
      <c r="N365" s="46" t="str">
        <f>Water!AM37</f>
        <v/>
      </c>
    </row>
    <row r="366" spans="1:14" x14ac:dyDescent="0.25">
      <c r="A366" s="24" t="s">
        <v>17</v>
      </c>
      <c r="B366" s="22">
        <v>31</v>
      </c>
      <c r="C366" s="14">
        <v>12</v>
      </c>
      <c r="D366" s="26">
        <v>2021</v>
      </c>
      <c r="E366" s="40" t="e">
        <f t="shared" si="16"/>
        <v>#VALUE!</v>
      </c>
      <c r="G366" s="11" t="e">
        <f t="shared" si="17"/>
        <v>#VALUE!</v>
      </c>
      <c r="I366" s="42" t="e">
        <f t="shared" si="18"/>
        <v>#VALUE!</v>
      </c>
      <c r="K366" s="39" t="e">
        <f>Electric!BK41*400</f>
        <v>#VALUE!</v>
      </c>
      <c r="L366" s="46" t="str">
        <f>Gas!AM38</f>
        <v/>
      </c>
      <c r="N366" s="46" t="str">
        <f>Water!AM38</f>
        <v/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56"/>
  <sheetViews>
    <sheetView topLeftCell="M17" zoomScale="70" zoomScaleNormal="70" workbookViewId="0">
      <selection activeCell="Z41" sqref="Z41"/>
    </sheetView>
  </sheetViews>
  <sheetFormatPr defaultRowHeight="15" x14ac:dyDescent="0.25"/>
  <cols>
    <col min="3" max="3" width="9.5703125" customWidth="1"/>
  </cols>
  <sheetData>
    <row r="1" spans="2:39" ht="15.75" thickBot="1" x14ac:dyDescent="0.3"/>
    <row r="2" spans="2:39" ht="15.75" thickTop="1" x14ac:dyDescent="0.25">
      <c r="B2" s="68" t="s">
        <v>18</v>
      </c>
      <c r="C2" s="69"/>
    </row>
    <row r="3" spans="2:39" ht="15.75" thickBot="1" x14ac:dyDescent="0.3">
      <c r="B3" s="72">
        <v>823730</v>
      </c>
      <c r="C3" s="73"/>
    </row>
    <row r="4" spans="2:39" ht="16.5" thickTop="1" thickBot="1" x14ac:dyDescent="0.3"/>
    <row r="5" spans="2:39" ht="15.75" thickTop="1" x14ac:dyDescent="0.25">
      <c r="B5" s="74" t="s">
        <v>19</v>
      </c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6"/>
    </row>
    <row r="6" spans="2:39" ht="6.75" customHeight="1" x14ac:dyDescent="0.25">
      <c r="B6" s="76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52"/>
    </row>
    <row r="7" spans="2:39" x14ac:dyDescent="0.25">
      <c r="B7" s="2"/>
      <c r="C7" s="3"/>
      <c r="D7" s="70" t="s">
        <v>20</v>
      </c>
      <c r="E7" s="71"/>
      <c r="F7" s="48" t="s">
        <v>21</v>
      </c>
      <c r="G7" s="70" t="s">
        <v>22</v>
      </c>
      <c r="H7" s="71"/>
      <c r="I7" s="48" t="s">
        <v>21</v>
      </c>
      <c r="J7" s="70" t="s">
        <v>23</v>
      </c>
      <c r="K7" s="71"/>
      <c r="L7" s="48" t="s">
        <v>21</v>
      </c>
      <c r="M7" s="70" t="s">
        <v>24</v>
      </c>
      <c r="N7" s="71"/>
      <c r="O7" s="48" t="s">
        <v>21</v>
      </c>
      <c r="P7" s="70" t="s">
        <v>25</v>
      </c>
      <c r="Q7" s="71"/>
      <c r="R7" s="48" t="s">
        <v>21</v>
      </c>
      <c r="S7" s="70" t="s">
        <v>26</v>
      </c>
      <c r="T7" s="71"/>
      <c r="U7" s="48" t="s">
        <v>21</v>
      </c>
      <c r="V7" s="70" t="s">
        <v>27</v>
      </c>
      <c r="W7" s="71"/>
      <c r="X7" s="48" t="s">
        <v>21</v>
      </c>
      <c r="Y7" s="70" t="s">
        <v>28</v>
      </c>
      <c r="Z7" s="71"/>
      <c r="AA7" s="48" t="s">
        <v>21</v>
      </c>
      <c r="AB7" s="70" t="s">
        <v>29</v>
      </c>
      <c r="AC7" s="71"/>
      <c r="AD7" s="48" t="s">
        <v>21</v>
      </c>
      <c r="AE7" s="70" t="s">
        <v>30</v>
      </c>
      <c r="AF7" s="71"/>
      <c r="AG7" s="48" t="s">
        <v>21</v>
      </c>
      <c r="AH7" s="70" t="s">
        <v>31</v>
      </c>
      <c r="AI7" s="71"/>
      <c r="AJ7" s="48" t="s">
        <v>21</v>
      </c>
      <c r="AK7" s="70" t="s">
        <v>32</v>
      </c>
      <c r="AL7" s="71"/>
      <c r="AM7" s="7" t="s">
        <v>21</v>
      </c>
    </row>
    <row r="8" spans="2:39" x14ac:dyDescent="0.25">
      <c r="B8" s="55" t="s">
        <v>33</v>
      </c>
      <c r="C8" s="56"/>
      <c r="D8" s="64">
        <v>824245</v>
      </c>
      <c r="E8" s="65"/>
      <c r="F8" s="46">
        <f>IF(COUNT(B3,D8)=2,D8-B3,"")</f>
        <v>515</v>
      </c>
      <c r="G8" s="64">
        <v>837388</v>
      </c>
      <c r="H8" s="65"/>
      <c r="I8" s="46">
        <f>IF(COUNT(D38,G8)=2,G8-D38,"")</f>
        <v>482</v>
      </c>
      <c r="J8" s="64">
        <v>849479</v>
      </c>
      <c r="K8" s="65"/>
      <c r="L8" s="46">
        <f>IF(COUNT(G35,J8)=2,J8-G35,"")</f>
        <v>443</v>
      </c>
      <c r="M8" s="64">
        <v>863677</v>
      </c>
      <c r="N8" s="65"/>
      <c r="O8" s="46">
        <f>IF(COUNT(J38,M8)=2,M8-J38,"")</f>
        <v>473</v>
      </c>
      <c r="P8" s="64">
        <v>879545</v>
      </c>
      <c r="Q8" s="65"/>
      <c r="R8" s="46">
        <f>IF(COUNT(M37,P8)=2,P8-M37,"")</f>
        <v>513</v>
      </c>
      <c r="S8" s="64">
        <v>899583</v>
      </c>
      <c r="T8" s="65"/>
      <c r="U8" s="46">
        <f>IF(COUNT(P38,S8)=2,S8-P38,"")</f>
        <v>713</v>
      </c>
      <c r="V8" s="64">
        <v>920936</v>
      </c>
      <c r="W8" s="65"/>
      <c r="X8" s="46">
        <f>IF(COUNT(S37,V8)=2,V8-S37,"")</f>
        <v>551</v>
      </c>
      <c r="Y8" s="64">
        <v>934893</v>
      </c>
      <c r="Z8" s="65"/>
      <c r="AA8" s="46">
        <f>IF(COUNT(V38,Y8)=2,Y8-V38,"")</f>
        <v>260</v>
      </c>
      <c r="AB8" s="64"/>
      <c r="AC8" s="65"/>
      <c r="AD8" s="46" t="str">
        <f>IF(COUNT(Y38,AB8)=2,AB8-Y38,"")</f>
        <v/>
      </c>
      <c r="AE8" s="64"/>
      <c r="AF8" s="65"/>
      <c r="AG8" s="46" t="str">
        <f>IF(COUNT(AB37,AE8)=2,AE8-AB37,"")</f>
        <v/>
      </c>
      <c r="AH8" s="64"/>
      <c r="AI8" s="65"/>
      <c r="AJ8" s="46" t="str">
        <f>IF(COUNT(AE38,AH8)=2,AH8-AE38,"")</f>
        <v/>
      </c>
      <c r="AK8" s="64"/>
      <c r="AL8" s="65"/>
      <c r="AM8" s="52" t="str">
        <f>IF(COUNT(AH37,AK8)=2,AK8-AH37,"")</f>
        <v/>
      </c>
    </row>
    <row r="9" spans="2:39" x14ac:dyDescent="0.25">
      <c r="B9" s="55" t="s">
        <v>34</v>
      </c>
      <c r="C9" s="56"/>
      <c r="D9" s="64">
        <v>824632</v>
      </c>
      <c r="E9" s="65"/>
      <c r="F9" s="46">
        <f>IF(COUNT(D8,D9)=2,D9-D8,"")</f>
        <v>387</v>
      </c>
      <c r="G9" s="64">
        <v>837789</v>
      </c>
      <c r="H9" s="65"/>
      <c r="I9" s="46">
        <f>IF(COUNT(G8,G9)=2,G9-G8,"")</f>
        <v>401</v>
      </c>
      <c r="J9" s="64">
        <v>849895</v>
      </c>
      <c r="K9" s="65"/>
      <c r="L9" s="46">
        <f>IF(COUNT(J9,J8)=2,J9-J8,"")</f>
        <v>416</v>
      </c>
      <c r="M9" s="64">
        <v>864158</v>
      </c>
      <c r="N9" s="65"/>
      <c r="O9" s="46">
        <f>IF(COUNT(M8,M9)=2,M9-M8,"")</f>
        <v>481</v>
      </c>
      <c r="P9" s="64">
        <v>880060</v>
      </c>
      <c r="Q9" s="65"/>
      <c r="R9" s="46">
        <f>IF(COUNT(P8,P9)=2,P9-P8,"")</f>
        <v>515</v>
      </c>
      <c r="S9" s="64">
        <v>900300</v>
      </c>
      <c r="T9" s="65"/>
      <c r="U9" s="46">
        <f>IF(COUNT(S8,S9)=2,S9-S8,"")</f>
        <v>717</v>
      </c>
      <c r="V9" s="64">
        <v>921422</v>
      </c>
      <c r="W9" s="65"/>
      <c r="X9" s="46">
        <f>IF(COUNT(V9,V8)=2,V9-V8,"")</f>
        <v>486</v>
      </c>
      <c r="Y9" s="64">
        <v>935232</v>
      </c>
      <c r="Z9" s="65"/>
      <c r="AA9" s="46">
        <f>IF(COUNT(Y8,Y9)=2,Y9-Y8,"")</f>
        <v>339</v>
      </c>
      <c r="AB9" s="64"/>
      <c r="AC9" s="65"/>
      <c r="AD9" s="46" t="str">
        <f>IF(COUNT(AB8,AB9)=2,AB9-AB8,"")</f>
        <v/>
      </c>
      <c r="AE9" s="64"/>
      <c r="AF9" s="65"/>
      <c r="AG9" s="46" t="str">
        <f>IF(COUNT(AE9,AE8)=2,AE9-AE8,"")</f>
        <v/>
      </c>
      <c r="AH9" s="64"/>
      <c r="AI9" s="65"/>
      <c r="AJ9" s="46" t="str">
        <f>IF(COUNT(AH9,AH8)=2,AH9-AH8,"")</f>
        <v/>
      </c>
      <c r="AK9" s="64"/>
      <c r="AL9" s="65"/>
      <c r="AM9" s="52" t="str">
        <f>IF(COUNT(AK9,AK8)=2,AK9-AK8,"")</f>
        <v/>
      </c>
    </row>
    <row r="10" spans="2:39" x14ac:dyDescent="0.25">
      <c r="B10" s="55" t="s">
        <v>35</v>
      </c>
      <c r="C10" s="56"/>
      <c r="D10" s="64">
        <v>825062</v>
      </c>
      <c r="E10" s="65"/>
      <c r="F10" s="46">
        <f t="shared" ref="F10:F38" si="0">IF(COUNT(D9,D10)=2,D10-D9,"")</f>
        <v>430</v>
      </c>
      <c r="G10" s="64">
        <v>838167</v>
      </c>
      <c r="H10" s="65"/>
      <c r="I10" s="46">
        <f t="shared" ref="I10:I36" si="1">IF(COUNT(G9,G10)=2,G10-G9,"")</f>
        <v>378</v>
      </c>
      <c r="J10" s="64">
        <v>850368</v>
      </c>
      <c r="K10" s="65"/>
      <c r="L10" s="46">
        <f t="shared" ref="L10:L38" si="2">IF(COUNT(J10,J9)=2,J10-J9,"")</f>
        <v>473</v>
      </c>
      <c r="M10" s="64">
        <v>864686</v>
      </c>
      <c r="N10" s="65"/>
      <c r="O10" s="46">
        <f t="shared" ref="O10:O37" si="3">IF(COUNT(M9,M10)=2,M10-M9,"")</f>
        <v>528</v>
      </c>
      <c r="P10" s="64">
        <v>880548</v>
      </c>
      <c r="Q10" s="65"/>
      <c r="R10" s="46">
        <f t="shared" ref="R10:R38" si="4">IF(COUNT(P9,P10)=2,P10-P9,"")</f>
        <v>488</v>
      </c>
      <c r="S10" s="64">
        <v>901112</v>
      </c>
      <c r="T10" s="65"/>
      <c r="U10" s="46">
        <f t="shared" ref="U10:U37" si="5">IF(COUNT(S9,S10)=2,S10-S9,"")</f>
        <v>812</v>
      </c>
      <c r="V10" s="64">
        <v>921924</v>
      </c>
      <c r="W10" s="65"/>
      <c r="X10" s="46">
        <f t="shared" ref="X10:X38" si="6">IF(COUNT(V10,V9)=2,V10-V9,"")</f>
        <v>502</v>
      </c>
      <c r="Y10" s="64">
        <v>935588</v>
      </c>
      <c r="Z10" s="65"/>
      <c r="AA10" s="46">
        <f t="shared" ref="AA10:AA38" si="7">IF(COUNT(Y9,Y10)=2,Y10-Y9,"")</f>
        <v>356</v>
      </c>
      <c r="AB10" s="64"/>
      <c r="AC10" s="65"/>
      <c r="AD10" s="46" t="str">
        <f t="shared" ref="AD10:AD37" si="8">IF(COUNT(AB9,AB10)=2,AB10-AB9,"")</f>
        <v/>
      </c>
      <c r="AE10" s="64"/>
      <c r="AF10" s="65"/>
      <c r="AG10" s="46" t="str">
        <f t="shared" ref="AG10:AG38" si="9">IF(COUNT(AE10,AE9)=2,AE10-AE9,"")</f>
        <v/>
      </c>
      <c r="AH10" s="64"/>
      <c r="AI10" s="65"/>
      <c r="AJ10" s="46" t="str">
        <f t="shared" ref="AJ10:AJ37" si="10">IF(COUNT(AH10,AH9)=2,AH10-AH9,"")</f>
        <v/>
      </c>
      <c r="AK10" s="64"/>
      <c r="AL10" s="65"/>
      <c r="AM10" s="52" t="str">
        <f t="shared" ref="AM10:AM38" si="11">IF(COUNT(AK10,AK9)=2,AK10-AK9,"")</f>
        <v/>
      </c>
    </row>
    <row r="11" spans="2:39" x14ac:dyDescent="0.25">
      <c r="B11" s="55" t="s">
        <v>36</v>
      </c>
      <c r="C11" s="56"/>
      <c r="D11" s="64">
        <v>825540</v>
      </c>
      <c r="E11" s="65"/>
      <c r="F11" s="46">
        <f t="shared" si="0"/>
        <v>478</v>
      </c>
      <c r="G11" s="64">
        <v>838523</v>
      </c>
      <c r="H11" s="65"/>
      <c r="I11" s="46">
        <f t="shared" si="1"/>
        <v>356</v>
      </c>
      <c r="J11" s="64">
        <v>850707</v>
      </c>
      <c r="K11" s="65"/>
      <c r="L11" s="46">
        <f t="shared" si="2"/>
        <v>339</v>
      </c>
      <c r="M11" s="64">
        <v>865215</v>
      </c>
      <c r="N11" s="65"/>
      <c r="O11" s="46">
        <f t="shared" si="3"/>
        <v>529</v>
      </c>
      <c r="P11" s="64">
        <v>881084</v>
      </c>
      <c r="Q11" s="65"/>
      <c r="R11" s="46">
        <f t="shared" si="4"/>
        <v>536</v>
      </c>
      <c r="S11" s="64">
        <v>901839</v>
      </c>
      <c r="T11" s="65"/>
      <c r="U11" s="46">
        <f t="shared" si="5"/>
        <v>727</v>
      </c>
      <c r="V11" s="64">
        <v>922605</v>
      </c>
      <c r="W11" s="65"/>
      <c r="X11" s="46">
        <f t="shared" si="6"/>
        <v>681</v>
      </c>
      <c r="Y11" s="64">
        <v>935947</v>
      </c>
      <c r="Z11" s="65"/>
      <c r="AA11" s="46">
        <f t="shared" si="7"/>
        <v>359</v>
      </c>
      <c r="AB11" s="64"/>
      <c r="AC11" s="65"/>
      <c r="AD11" s="46" t="str">
        <f t="shared" si="8"/>
        <v/>
      </c>
      <c r="AE11" s="64"/>
      <c r="AF11" s="65"/>
      <c r="AG11" s="46" t="str">
        <f t="shared" si="9"/>
        <v/>
      </c>
      <c r="AH11" s="64"/>
      <c r="AI11" s="65"/>
      <c r="AJ11" s="46" t="str">
        <f t="shared" si="10"/>
        <v/>
      </c>
      <c r="AK11" s="64"/>
      <c r="AL11" s="65"/>
      <c r="AM11" s="52" t="str">
        <f t="shared" si="11"/>
        <v/>
      </c>
    </row>
    <row r="12" spans="2:39" x14ac:dyDescent="0.25">
      <c r="B12" s="55" t="s">
        <v>37</v>
      </c>
      <c r="C12" s="56"/>
      <c r="D12" s="64">
        <v>825956</v>
      </c>
      <c r="E12" s="65"/>
      <c r="F12" s="46">
        <f t="shared" si="0"/>
        <v>416</v>
      </c>
      <c r="G12" s="64">
        <v>839022</v>
      </c>
      <c r="H12" s="65"/>
      <c r="I12" s="46">
        <f t="shared" si="1"/>
        <v>499</v>
      </c>
      <c r="J12" s="64">
        <v>851139</v>
      </c>
      <c r="K12" s="65"/>
      <c r="L12" s="46">
        <f t="shared" si="2"/>
        <v>432</v>
      </c>
      <c r="M12" s="64">
        <v>865653</v>
      </c>
      <c r="N12" s="65"/>
      <c r="O12" s="46">
        <f t="shared" si="3"/>
        <v>438</v>
      </c>
      <c r="P12" s="64">
        <v>881681</v>
      </c>
      <c r="Q12" s="65"/>
      <c r="R12" s="46">
        <f t="shared" si="4"/>
        <v>597</v>
      </c>
      <c r="S12" s="64">
        <v>902539</v>
      </c>
      <c r="T12" s="65"/>
      <c r="U12" s="46">
        <f t="shared" si="5"/>
        <v>700</v>
      </c>
      <c r="V12" s="64">
        <v>923335</v>
      </c>
      <c r="W12" s="65"/>
      <c r="X12" s="46">
        <f t="shared" si="6"/>
        <v>730</v>
      </c>
      <c r="Y12" s="64">
        <v>936301</v>
      </c>
      <c r="Z12" s="65"/>
      <c r="AA12" s="46">
        <f t="shared" si="7"/>
        <v>354</v>
      </c>
      <c r="AB12" s="64"/>
      <c r="AC12" s="65"/>
      <c r="AD12" s="46" t="str">
        <f t="shared" si="8"/>
        <v/>
      </c>
      <c r="AE12" s="64"/>
      <c r="AF12" s="65"/>
      <c r="AG12" s="46" t="str">
        <f t="shared" si="9"/>
        <v/>
      </c>
      <c r="AH12" s="64"/>
      <c r="AI12" s="65"/>
      <c r="AJ12" s="46" t="str">
        <f t="shared" si="10"/>
        <v/>
      </c>
      <c r="AK12" s="64"/>
      <c r="AL12" s="65"/>
      <c r="AM12" s="52" t="str">
        <f t="shared" si="11"/>
        <v/>
      </c>
    </row>
    <row r="13" spans="2:39" x14ac:dyDescent="0.25">
      <c r="B13" s="55" t="s">
        <v>38</v>
      </c>
      <c r="C13" s="56"/>
      <c r="D13" s="64">
        <v>826402</v>
      </c>
      <c r="E13" s="65"/>
      <c r="F13" s="46">
        <f t="shared" si="0"/>
        <v>446</v>
      </c>
      <c r="G13" s="64">
        <v>839414</v>
      </c>
      <c r="H13" s="65"/>
      <c r="I13" s="46">
        <f t="shared" si="1"/>
        <v>392</v>
      </c>
      <c r="J13" s="64">
        <v>851603</v>
      </c>
      <c r="K13" s="65"/>
      <c r="L13" s="46">
        <f t="shared" si="2"/>
        <v>464</v>
      </c>
      <c r="M13" s="64">
        <v>866229</v>
      </c>
      <c r="N13" s="65"/>
      <c r="O13" s="46">
        <f t="shared" si="3"/>
        <v>576</v>
      </c>
      <c r="P13" s="64">
        <v>882217</v>
      </c>
      <c r="Q13" s="65"/>
      <c r="R13" s="46">
        <f t="shared" si="4"/>
        <v>536</v>
      </c>
      <c r="S13" s="64">
        <v>903239</v>
      </c>
      <c r="T13" s="65"/>
      <c r="U13" s="46">
        <f t="shared" si="5"/>
        <v>700</v>
      </c>
      <c r="V13" s="64">
        <v>924043</v>
      </c>
      <c r="W13" s="65"/>
      <c r="X13" s="46">
        <f t="shared" si="6"/>
        <v>708</v>
      </c>
      <c r="Y13" s="64">
        <v>936700</v>
      </c>
      <c r="Z13" s="65"/>
      <c r="AA13" s="46">
        <f t="shared" si="7"/>
        <v>399</v>
      </c>
      <c r="AB13" s="64"/>
      <c r="AC13" s="65"/>
      <c r="AD13" s="46" t="str">
        <f t="shared" si="8"/>
        <v/>
      </c>
      <c r="AE13" s="64"/>
      <c r="AF13" s="65"/>
      <c r="AG13" s="46" t="str">
        <f t="shared" si="9"/>
        <v/>
      </c>
      <c r="AH13" s="64"/>
      <c r="AI13" s="65"/>
      <c r="AJ13" s="46" t="str">
        <f t="shared" si="10"/>
        <v/>
      </c>
      <c r="AK13" s="64"/>
      <c r="AL13" s="65"/>
      <c r="AM13" s="52" t="str">
        <f t="shared" si="11"/>
        <v/>
      </c>
    </row>
    <row r="14" spans="2:39" x14ac:dyDescent="0.25">
      <c r="B14" s="55" t="s">
        <v>39</v>
      </c>
      <c r="C14" s="56"/>
      <c r="D14" s="64">
        <v>826796</v>
      </c>
      <c r="E14" s="65"/>
      <c r="F14" s="46">
        <f t="shared" si="0"/>
        <v>394</v>
      </c>
      <c r="G14" s="64">
        <v>839872</v>
      </c>
      <c r="H14" s="65"/>
      <c r="I14" s="46">
        <f t="shared" si="1"/>
        <v>458</v>
      </c>
      <c r="J14" s="64">
        <v>852057</v>
      </c>
      <c r="K14" s="65"/>
      <c r="L14" s="46">
        <f t="shared" si="2"/>
        <v>454</v>
      </c>
      <c r="M14" s="64">
        <v>866690</v>
      </c>
      <c r="N14" s="65"/>
      <c r="O14" s="46">
        <f t="shared" si="3"/>
        <v>461</v>
      </c>
      <c r="P14" s="64">
        <v>882688</v>
      </c>
      <c r="Q14" s="65"/>
      <c r="R14" s="46">
        <f t="shared" si="4"/>
        <v>471</v>
      </c>
      <c r="S14" s="64">
        <v>903997</v>
      </c>
      <c r="T14" s="65"/>
      <c r="U14" s="46">
        <f t="shared" si="5"/>
        <v>758</v>
      </c>
      <c r="V14" s="64">
        <v>924740</v>
      </c>
      <c r="W14" s="65"/>
      <c r="X14" s="46">
        <f t="shared" si="6"/>
        <v>697</v>
      </c>
      <c r="Y14" s="64">
        <v>937141</v>
      </c>
      <c r="Z14" s="65"/>
      <c r="AA14" s="46">
        <f t="shared" si="7"/>
        <v>441</v>
      </c>
      <c r="AB14" s="64"/>
      <c r="AC14" s="65"/>
      <c r="AD14" s="46" t="str">
        <f t="shared" si="8"/>
        <v/>
      </c>
      <c r="AE14" s="64"/>
      <c r="AF14" s="65"/>
      <c r="AG14" s="46" t="str">
        <f t="shared" si="9"/>
        <v/>
      </c>
      <c r="AH14" s="64"/>
      <c r="AI14" s="65"/>
      <c r="AJ14" s="46" t="str">
        <f t="shared" si="10"/>
        <v/>
      </c>
      <c r="AK14" s="64"/>
      <c r="AL14" s="65"/>
      <c r="AM14" s="52" t="str">
        <f t="shared" si="11"/>
        <v/>
      </c>
    </row>
    <row r="15" spans="2:39" x14ac:dyDescent="0.25">
      <c r="B15" s="55" t="s">
        <v>40</v>
      </c>
      <c r="C15" s="56"/>
      <c r="D15" s="64">
        <v>827239</v>
      </c>
      <c r="E15" s="65"/>
      <c r="F15" s="46">
        <f t="shared" si="0"/>
        <v>443</v>
      </c>
      <c r="G15" s="64">
        <v>840326</v>
      </c>
      <c r="H15" s="65"/>
      <c r="I15" s="46">
        <f t="shared" si="1"/>
        <v>454</v>
      </c>
      <c r="J15" s="64">
        <v>852483</v>
      </c>
      <c r="K15" s="65"/>
      <c r="L15" s="46">
        <f t="shared" si="2"/>
        <v>426</v>
      </c>
      <c r="M15" s="64">
        <v>867181</v>
      </c>
      <c r="N15" s="65"/>
      <c r="O15" s="46">
        <f t="shared" si="3"/>
        <v>491</v>
      </c>
      <c r="P15" s="64">
        <v>883212</v>
      </c>
      <c r="Q15" s="65"/>
      <c r="R15" s="46">
        <f t="shared" si="4"/>
        <v>524</v>
      </c>
      <c r="S15" s="64">
        <v>904606</v>
      </c>
      <c r="T15" s="65"/>
      <c r="U15" s="46">
        <f t="shared" si="5"/>
        <v>609</v>
      </c>
      <c r="V15" s="64">
        <v>925415</v>
      </c>
      <c r="W15" s="65"/>
      <c r="X15" s="46">
        <f t="shared" si="6"/>
        <v>675</v>
      </c>
      <c r="Y15" s="64">
        <v>937603</v>
      </c>
      <c r="Z15" s="65"/>
      <c r="AA15" s="46">
        <f t="shared" si="7"/>
        <v>462</v>
      </c>
      <c r="AB15" s="64"/>
      <c r="AC15" s="65"/>
      <c r="AD15" s="46" t="str">
        <f t="shared" si="8"/>
        <v/>
      </c>
      <c r="AE15" s="64"/>
      <c r="AF15" s="65"/>
      <c r="AG15" s="46" t="str">
        <f t="shared" si="9"/>
        <v/>
      </c>
      <c r="AH15" s="64"/>
      <c r="AI15" s="65"/>
      <c r="AJ15" s="46" t="str">
        <f t="shared" si="10"/>
        <v/>
      </c>
      <c r="AK15" s="64"/>
      <c r="AL15" s="65"/>
      <c r="AM15" s="52" t="str">
        <f t="shared" si="11"/>
        <v/>
      </c>
    </row>
    <row r="16" spans="2:39" x14ac:dyDescent="0.25">
      <c r="B16" s="55" t="s">
        <v>41</v>
      </c>
      <c r="C16" s="56"/>
      <c r="D16" s="64">
        <v>827739</v>
      </c>
      <c r="E16" s="65"/>
      <c r="F16" s="46">
        <f t="shared" si="0"/>
        <v>500</v>
      </c>
      <c r="G16" s="64">
        <v>840697</v>
      </c>
      <c r="H16" s="65"/>
      <c r="I16" s="46">
        <f t="shared" si="1"/>
        <v>371</v>
      </c>
      <c r="J16" s="64">
        <v>852907</v>
      </c>
      <c r="K16" s="65"/>
      <c r="L16" s="46">
        <f t="shared" si="2"/>
        <v>424</v>
      </c>
      <c r="M16" s="64">
        <v>867671</v>
      </c>
      <c r="N16" s="65"/>
      <c r="O16" s="46">
        <f t="shared" si="3"/>
        <v>490</v>
      </c>
      <c r="P16" s="64">
        <v>883714</v>
      </c>
      <c r="Q16" s="65"/>
      <c r="R16" s="46">
        <f t="shared" si="4"/>
        <v>502</v>
      </c>
      <c r="S16" s="64">
        <v>905299</v>
      </c>
      <c r="T16" s="65"/>
      <c r="U16" s="46">
        <f t="shared" si="5"/>
        <v>693</v>
      </c>
      <c r="V16" s="64">
        <v>926031</v>
      </c>
      <c r="W16" s="65"/>
      <c r="X16" s="46">
        <f t="shared" si="6"/>
        <v>616</v>
      </c>
      <c r="Y16" s="64">
        <v>937969</v>
      </c>
      <c r="Z16" s="65"/>
      <c r="AA16" s="46">
        <f t="shared" si="7"/>
        <v>366</v>
      </c>
      <c r="AB16" s="64"/>
      <c r="AC16" s="65"/>
      <c r="AD16" s="46" t="str">
        <f t="shared" si="8"/>
        <v/>
      </c>
      <c r="AE16" s="64"/>
      <c r="AF16" s="65"/>
      <c r="AG16" s="46" t="str">
        <f t="shared" si="9"/>
        <v/>
      </c>
      <c r="AH16" s="64"/>
      <c r="AI16" s="65"/>
      <c r="AJ16" s="46" t="str">
        <f t="shared" si="10"/>
        <v/>
      </c>
      <c r="AK16" s="64"/>
      <c r="AL16" s="65"/>
      <c r="AM16" s="52" t="str">
        <f t="shared" si="11"/>
        <v/>
      </c>
    </row>
    <row r="17" spans="2:39" x14ac:dyDescent="0.25">
      <c r="B17" s="55" t="s">
        <v>42</v>
      </c>
      <c r="C17" s="56"/>
      <c r="D17" s="64">
        <v>828202</v>
      </c>
      <c r="E17" s="65"/>
      <c r="F17" s="46">
        <f t="shared" si="0"/>
        <v>463</v>
      </c>
      <c r="G17" s="64">
        <v>841186</v>
      </c>
      <c r="H17" s="65"/>
      <c r="I17" s="46">
        <f t="shared" si="1"/>
        <v>489</v>
      </c>
      <c r="J17" s="64">
        <v>853318</v>
      </c>
      <c r="K17" s="65"/>
      <c r="L17" s="46">
        <f t="shared" si="2"/>
        <v>411</v>
      </c>
      <c r="M17" s="64">
        <v>868124</v>
      </c>
      <c r="N17" s="65"/>
      <c r="O17" s="46">
        <v>490</v>
      </c>
      <c r="P17" s="64">
        <v>884202</v>
      </c>
      <c r="Q17" s="65"/>
      <c r="R17" s="46">
        <f t="shared" si="4"/>
        <v>488</v>
      </c>
      <c r="S17" s="64">
        <v>906180</v>
      </c>
      <c r="T17" s="65"/>
      <c r="U17" s="46">
        <f t="shared" si="5"/>
        <v>881</v>
      </c>
      <c r="V17" s="64">
        <v>926591</v>
      </c>
      <c r="W17" s="65"/>
      <c r="X17" s="46">
        <f t="shared" si="6"/>
        <v>560</v>
      </c>
      <c r="Y17" s="64">
        <v>938300</v>
      </c>
      <c r="Z17" s="65"/>
      <c r="AA17" s="46">
        <f t="shared" si="7"/>
        <v>331</v>
      </c>
      <c r="AB17" s="64"/>
      <c r="AC17" s="65"/>
      <c r="AD17" s="46" t="str">
        <f t="shared" si="8"/>
        <v/>
      </c>
      <c r="AE17" s="64"/>
      <c r="AF17" s="65"/>
      <c r="AG17" s="46" t="str">
        <f t="shared" si="9"/>
        <v/>
      </c>
      <c r="AH17" s="64"/>
      <c r="AI17" s="65"/>
      <c r="AJ17" s="46" t="str">
        <f t="shared" si="10"/>
        <v/>
      </c>
      <c r="AK17" s="64"/>
      <c r="AL17" s="65"/>
      <c r="AM17" s="52" t="str">
        <f t="shared" si="11"/>
        <v/>
      </c>
    </row>
    <row r="18" spans="2:39" x14ac:dyDescent="0.25">
      <c r="B18" s="55" t="s">
        <v>43</v>
      </c>
      <c r="C18" s="56"/>
      <c r="D18" s="64">
        <v>828558</v>
      </c>
      <c r="E18" s="65"/>
      <c r="F18" s="46">
        <f t="shared" si="0"/>
        <v>356</v>
      </c>
      <c r="G18" s="64">
        <v>841662</v>
      </c>
      <c r="H18" s="65"/>
      <c r="I18" s="46">
        <f t="shared" si="1"/>
        <v>476</v>
      </c>
      <c r="J18" s="64">
        <v>853778</v>
      </c>
      <c r="K18" s="65"/>
      <c r="L18" s="46">
        <f t="shared" si="2"/>
        <v>460</v>
      </c>
      <c r="M18" s="64">
        <v>868746</v>
      </c>
      <c r="N18" s="65"/>
      <c r="O18" s="46">
        <v>491</v>
      </c>
      <c r="P18" s="64">
        <v>884703</v>
      </c>
      <c r="Q18" s="65"/>
      <c r="R18" s="46">
        <f t="shared" si="4"/>
        <v>501</v>
      </c>
      <c r="S18" s="64">
        <v>907050</v>
      </c>
      <c r="T18" s="65"/>
      <c r="U18" s="46">
        <f t="shared" si="5"/>
        <v>870</v>
      </c>
      <c r="V18" s="64">
        <v>927161</v>
      </c>
      <c r="W18" s="65"/>
      <c r="X18" s="46">
        <f t="shared" si="6"/>
        <v>570</v>
      </c>
      <c r="Y18" s="64">
        <v>938541</v>
      </c>
      <c r="Z18" s="65"/>
      <c r="AA18" s="46">
        <f t="shared" si="7"/>
        <v>241</v>
      </c>
      <c r="AB18" s="64"/>
      <c r="AC18" s="65"/>
      <c r="AD18" s="46" t="str">
        <f t="shared" si="8"/>
        <v/>
      </c>
      <c r="AE18" s="64"/>
      <c r="AF18" s="65"/>
      <c r="AG18" s="46" t="str">
        <f t="shared" si="9"/>
        <v/>
      </c>
      <c r="AH18" s="64"/>
      <c r="AI18" s="65"/>
      <c r="AJ18" s="46" t="str">
        <f t="shared" si="10"/>
        <v/>
      </c>
      <c r="AK18" s="64"/>
      <c r="AL18" s="65"/>
      <c r="AM18" s="52" t="str">
        <f t="shared" si="11"/>
        <v/>
      </c>
    </row>
    <row r="19" spans="2:39" x14ac:dyDescent="0.25">
      <c r="B19" s="55" t="s">
        <v>44</v>
      </c>
      <c r="C19" s="56"/>
      <c r="D19" s="64">
        <v>828934</v>
      </c>
      <c r="E19" s="65"/>
      <c r="F19" s="46">
        <f t="shared" si="0"/>
        <v>376</v>
      </c>
      <c r="G19" s="64">
        <v>842029</v>
      </c>
      <c r="H19" s="65"/>
      <c r="I19" s="46">
        <f t="shared" si="1"/>
        <v>367</v>
      </c>
      <c r="J19" s="64">
        <v>854244</v>
      </c>
      <c r="K19" s="65"/>
      <c r="L19" s="46">
        <f t="shared" si="2"/>
        <v>466</v>
      </c>
      <c r="M19" s="64">
        <v>869379</v>
      </c>
      <c r="N19" s="65"/>
      <c r="O19" s="46">
        <f t="shared" si="3"/>
        <v>633</v>
      </c>
      <c r="P19" s="64">
        <v>885240</v>
      </c>
      <c r="Q19" s="65"/>
      <c r="R19" s="46">
        <f t="shared" si="4"/>
        <v>537</v>
      </c>
      <c r="S19" s="64">
        <v>907743</v>
      </c>
      <c r="T19" s="65"/>
      <c r="U19" s="46">
        <f t="shared" si="5"/>
        <v>693</v>
      </c>
      <c r="V19" s="64">
        <v>927591</v>
      </c>
      <c r="W19" s="65"/>
      <c r="X19" s="46">
        <f t="shared" si="6"/>
        <v>430</v>
      </c>
      <c r="Y19" s="64">
        <v>938803</v>
      </c>
      <c r="Z19" s="65"/>
      <c r="AA19" s="46">
        <f t="shared" si="7"/>
        <v>262</v>
      </c>
      <c r="AB19" s="64"/>
      <c r="AC19" s="65"/>
      <c r="AD19" s="46" t="str">
        <f t="shared" si="8"/>
        <v/>
      </c>
      <c r="AE19" s="64"/>
      <c r="AF19" s="65"/>
      <c r="AG19" s="46" t="str">
        <f t="shared" si="9"/>
        <v/>
      </c>
      <c r="AH19" s="64"/>
      <c r="AI19" s="65"/>
      <c r="AJ19" s="46" t="str">
        <f t="shared" si="10"/>
        <v/>
      </c>
      <c r="AK19" s="64"/>
      <c r="AL19" s="65"/>
      <c r="AM19" s="52" t="str">
        <f t="shared" si="11"/>
        <v/>
      </c>
    </row>
    <row r="20" spans="2:39" x14ac:dyDescent="0.25">
      <c r="B20" s="55" t="s">
        <v>45</v>
      </c>
      <c r="C20" s="56"/>
      <c r="D20" s="64">
        <v>829361</v>
      </c>
      <c r="E20" s="65"/>
      <c r="F20" s="46">
        <f t="shared" si="0"/>
        <v>427</v>
      </c>
      <c r="G20" s="64">
        <v>842524</v>
      </c>
      <c r="H20" s="65"/>
      <c r="I20" s="46">
        <f t="shared" si="1"/>
        <v>495</v>
      </c>
      <c r="J20" s="64">
        <v>854688</v>
      </c>
      <c r="K20" s="65"/>
      <c r="L20" s="46">
        <f t="shared" si="2"/>
        <v>444</v>
      </c>
      <c r="M20" s="64">
        <v>869977</v>
      </c>
      <c r="N20" s="65"/>
      <c r="O20" s="46">
        <f t="shared" si="3"/>
        <v>598</v>
      </c>
      <c r="P20" s="64">
        <v>885745</v>
      </c>
      <c r="Q20" s="65"/>
      <c r="R20" s="46">
        <f t="shared" si="4"/>
        <v>505</v>
      </c>
      <c r="S20" s="64">
        <v>908575</v>
      </c>
      <c r="T20" s="65"/>
      <c r="U20" s="46">
        <f t="shared" si="5"/>
        <v>832</v>
      </c>
      <c r="V20" s="64">
        <v>927994</v>
      </c>
      <c r="W20" s="65"/>
      <c r="X20" s="46">
        <f t="shared" si="6"/>
        <v>403</v>
      </c>
      <c r="Y20" s="64">
        <v>939184</v>
      </c>
      <c r="Z20" s="65"/>
      <c r="AA20" s="46">
        <f t="shared" si="7"/>
        <v>381</v>
      </c>
      <c r="AB20" s="64"/>
      <c r="AC20" s="65"/>
      <c r="AD20" s="46" t="str">
        <f t="shared" si="8"/>
        <v/>
      </c>
      <c r="AE20" s="64"/>
      <c r="AF20" s="65"/>
      <c r="AG20" s="46" t="str">
        <f t="shared" si="9"/>
        <v/>
      </c>
      <c r="AH20" s="64"/>
      <c r="AI20" s="65"/>
      <c r="AJ20" s="46" t="str">
        <f t="shared" si="10"/>
        <v/>
      </c>
      <c r="AK20" s="64"/>
      <c r="AL20" s="65"/>
      <c r="AM20" s="52" t="str">
        <f t="shared" si="11"/>
        <v/>
      </c>
    </row>
    <row r="21" spans="2:39" x14ac:dyDescent="0.25">
      <c r="B21" s="55" t="s">
        <v>46</v>
      </c>
      <c r="C21" s="56"/>
      <c r="D21" s="64">
        <v>829737</v>
      </c>
      <c r="E21" s="65"/>
      <c r="F21" s="46">
        <f t="shared" si="0"/>
        <v>376</v>
      </c>
      <c r="G21" s="64">
        <v>843016</v>
      </c>
      <c r="H21" s="65"/>
      <c r="I21" s="46">
        <f t="shared" si="1"/>
        <v>492</v>
      </c>
      <c r="J21" s="64">
        <v>855215</v>
      </c>
      <c r="K21" s="65"/>
      <c r="L21" s="46">
        <f t="shared" si="2"/>
        <v>527</v>
      </c>
      <c r="M21" s="64">
        <v>870448</v>
      </c>
      <c r="N21" s="65"/>
      <c r="O21" s="46">
        <f t="shared" si="3"/>
        <v>471</v>
      </c>
      <c r="P21" s="64">
        <v>886338</v>
      </c>
      <c r="Q21" s="65"/>
      <c r="R21" s="46">
        <f t="shared" si="4"/>
        <v>593</v>
      </c>
      <c r="S21" s="64">
        <v>909386</v>
      </c>
      <c r="T21" s="65"/>
      <c r="U21" s="46">
        <f t="shared" si="5"/>
        <v>811</v>
      </c>
      <c r="V21" s="64">
        <v>928331</v>
      </c>
      <c r="W21" s="65"/>
      <c r="X21" s="46">
        <f t="shared" si="6"/>
        <v>337</v>
      </c>
      <c r="Y21" s="64">
        <v>939521</v>
      </c>
      <c r="Z21" s="65"/>
      <c r="AA21" s="46">
        <f t="shared" si="7"/>
        <v>337</v>
      </c>
      <c r="AB21" s="64"/>
      <c r="AC21" s="65"/>
      <c r="AD21" s="46" t="str">
        <f t="shared" si="8"/>
        <v/>
      </c>
      <c r="AE21" s="64"/>
      <c r="AF21" s="65"/>
      <c r="AG21" s="46" t="str">
        <f t="shared" si="9"/>
        <v/>
      </c>
      <c r="AH21" s="64"/>
      <c r="AI21" s="65"/>
      <c r="AJ21" s="46" t="str">
        <f t="shared" si="10"/>
        <v/>
      </c>
      <c r="AK21" s="64"/>
      <c r="AL21" s="65"/>
      <c r="AM21" s="52" t="str">
        <f t="shared" si="11"/>
        <v/>
      </c>
    </row>
    <row r="22" spans="2:39" x14ac:dyDescent="0.25">
      <c r="B22" s="55" t="s">
        <v>47</v>
      </c>
      <c r="C22" s="56"/>
      <c r="D22" s="64">
        <v>830132</v>
      </c>
      <c r="E22" s="65"/>
      <c r="F22" s="46">
        <f t="shared" si="0"/>
        <v>395</v>
      </c>
      <c r="G22" s="64">
        <v>843498</v>
      </c>
      <c r="H22" s="65"/>
      <c r="I22" s="46">
        <f t="shared" si="1"/>
        <v>482</v>
      </c>
      <c r="J22" s="64">
        <v>855729</v>
      </c>
      <c r="K22" s="65"/>
      <c r="L22" s="46">
        <f t="shared" si="2"/>
        <v>514</v>
      </c>
      <c r="M22" s="64">
        <v>870887</v>
      </c>
      <c r="N22" s="65"/>
      <c r="O22" s="46">
        <f t="shared" si="3"/>
        <v>439</v>
      </c>
      <c r="P22" s="64">
        <v>887067</v>
      </c>
      <c r="Q22" s="65"/>
      <c r="R22" s="46">
        <f t="shared" si="4"/>
        <v>729</v>
      </c>
      <c r="S22" s="64">
        <v>910142</v>
      </c>
      <c r="T22" s="65"/>
      <c r="U22" s="46">
        <f t="shared" si="5"/>
        <v>756</v>
      </c>
      <c r="V22" s="64">
        <v>928642</v>
      </c>
      <c r="W22" s="65"/>
      <c r="X22" s="46">
        <f t="shared" si="6"/>
        <v>311</v>
      </c>
      <c r="Y22" s="64">
        <v>939865</v>
      </c>
      <c r="Z22" s="65"/>
      <c r="AA22" s="46">
        <f t="shared" si="7"/>
        <v>344</v>
      </c>
      <c r="AB22" s="64"/>
      <c r="AC22" s="65"/>
      <c r="AD22" s="46" t="str">
        <f t="shared" si="8"/>
        <v/>
      </c>
      <c r="AE22" s="64"/>
      <c r="AF22" s="65"/>
      <c r="AG22" s="46" t="str">
        <f t="shared" si="9"/>
        <v/>
      </c>
      <c r="AH22" s="64"/>
      <c r="AI22" s="65"/>
      <c r="AJ22" s="46" t="str">
        <f t="shared" si="10"/>
        <v/>
      </c>
      <c r="AK22" s="64"/>
      <c r="AL22" s="65"/>
      <c r="AM22" s="52" t="str">
        <f t="shared" si="11"/>
        <v/>
      </c>
    </row>
    <row r="23" spans="2:39" x14ac:dyDescent="0.25">
      <c r="B23" s="55" t="s">
        <v>48</v>
      </c>
      <c r="C23" s="56"/>
      <c r="D23" s="64">
        <v>830674</v>
      </c>
      <c r="E23" s="65"/>
      <c r="F23" s="46">
        <f t="shared" si="0"/>
        <v>542</v>
      </c>
      <c r="G23" s="64">
        <v>843841</v>
      </c>
      <c r="H23" s="65"/>
      <c r="I23" s="46">
        <f t="shared" si="1"/>
        <v>343</v>
      </c>
      <c r="J23" s="64">
        <v>856156</v>
      </c>
      <c r="K23" s="65"/>
      <c r="L23" s="46">
        <f t="shared" si="2"/>
        <v>427</v>
      </c>
      <c r="M23" s="64">
        <v>871379</v>
      </c>
      <c r="N23" s="65"/>
      <c r="O23" s="46">
        <f t="shared" si="3"/>
        <v>492</v>
      </c>
      <c r="P23" s="64">
        <v>887880</v>
      </c>
      <c r="Q23" s="65"/>
      <c r="R23" s="46">
        <f t="shared" si="4"/>
        <v>813</v>
      </c>
      <c r="S23" s="64">
        <v>910852</v>
      </c>
      <c r="T23" s="65"/>
      <c r="U23" s="46">
        <f t="shared" si="5"/>
        <v>710</v>
      </c>
      <c r="V23" s="64">
        <v>929009</v>
      </c>
      <c r="W23" s="65"/>
      <c r="X23" s="46">
        <f t="shared" si="6"/>
        <v>367</v>
      </c>
      <c r="Y23" s="64">
        <v>940174</v>
      </c>
      <c r="Z23" s="65"/>
      <c r="AA23" s="46">
        <f t="shared" si="7"/>
        <v>309</v>
      </c>
      <c r="AB23" s="64"/>
      <c r="AC23" s="65"/>
      <c r="AD23" s="46" t="str">
        <f t="shared" si="8"/>
        <v/>
      </c>
      <c r="AE23" s="64"/>
      <c r="AF23" s="65"/>
      <c r="AG23" s="46" t="str">
        <f t="shared" si="9"/>
        <v/>
      </c>
      <c r="AH23" s="64"/>
      <c r="AI23" s="65"/>
      <c r="AJ23" s="46" t="str">
        <f t="shared" si="10"/>
        <v/>
      </c>
      <c r="AK23" s="64"/>
      <c r="AL23" s="65"/>
      <c r="AM23" s="52" t="str">
        <f t="shared" si="11"/>
        <v/>
      </c>
    </row>
    <row r="24" spans="2:39" x14ac:dyDescent="0.25">
      <c r="B24" s="55" t="s">
        <v>49</v>
      </c>
      <c r="C24" s="56"/>
      <c r="D24" s="64">
        <v>831026</v>
      </c>
      <c r="E24" s="65"/>
      <c r="F24" s="46">
        <f t="shared" si="0"/>
        <v>352</v>
      </c>
      <c r="G24" s="64">
        <v>844245</v>
      </c>
      <c r="H24" s="65"/>
      <c r="I24" s="46">
        <f t="shared" si="1"/>
        <v>404</v>
      </c>
      <c r="J24" s="64">
        <v>856575</v>
      </c>
      <c r="K24" s="65"/>
      <c r="L24" s="46">
        <f t="shared" si="2"/>
        <v>419</v>
      </c>
      <c r="M24" s="64">
        <v>871872</v>
      </c>
      <c r="N24" s="65"/>
      <c r="O24" s="46">
        <f t="shared" si="3"/>
        <v>493</v>
      </c>
      <c r="P24" s="64">
        <v>888629</v>
      </c>
      <c r="Q24" s="65"/>
      <c r="R24" s="46">
        <f t="shared" si="4"/>
        <v>749</v>
      </c>
      <c r="S24" s="64">
        <v>911543</v>
      </c>
      <c r="T24" s="65"/>
      <c r="U24" s="46">
        <f t="shared" si="5"/>
        <v>691</v>
      </c>
      <c r="V24" s="64">
        <v>929361</v>
      </c>
      <c r="W24" s="65"/>
      <c r="X24" s="46">
        <f t="shared" si="6"/>
        <v>352</v>
      </c>
      <c r="Y24" s="64">
        <v>940541</v>
      </c>
      <c r="Z24" s="65"/>
      <c r="AA24" s="46">
        <f t="shared" si="7"/>
        <v>367</v>
      </c>
      <c r="AB24" s="64"/>
      <c r="AC24" s="65"/>
      <c r="AD24" s="46" t="str">
        <f t="shared" si="8"/>
        <v/>
      </c>
      <c r="AE24" s="64"/>
      <c r="AF24" s="65"/>
      <c r="AG24" s="46" t="str">
        <f t="shared" si="9"/>
        <v/>
      </c>
      <c r="AH24" s="64"/>
      <c r="AI24" s="65"/>
      <c r="AJ24" s="46" t="str">
        <f t="shared" si="10"/>
        <v/>
      </c>
      <c r="AK24" s="64"/>
      <c r="AL24" s="65"/>
      <c r="AM24" s="52" t="str">
        <f t="shared" si="11"/>
        <v/>
      </c>
    </row>
    <row r="25" spans="2:39" x14ac:dyDescent="0.25">
      <c r="B25" s="55" t="s">
        <v>50</v>
      </c>
      <c r="C25" s="56"/>
      <c r="D25" s="64">
        <v>831417</v>
      </c>
      <c r="E25" s="65"/>
      <c r="F25" s="46">
        <f t="shared" si="0"/>
        <v>391</v>
      </c>
      <c r="G25" s="64">
        <v>844710</v>
      </c>
      <c r="H25" s="65"/>
      <c r="I25" s="46">
        <f t="shared" si="1"/>
        <v>465</v>
      </c>
      <c r="J25" s="64">
        <v>857020</v>
      </c>
      <c r="K25" s="65"/>
      <c r="L25" s="46">
        <f t="shared" si="2"/>
        <v>445</v>
      </c>
      <c r="M25" s="64">
        <v>872489</v>
      </c>
      <c r="N25" s="65"/>
      <c r="O25" s="46">
        <f t="shared" si="3"/>
        <v>617</v>
      </c>
      <c r="P25" s="64">
        <v>889300</v>
      </c>
      <c r="Q25" s="65"/>
      <c r="R25" s="46">
        <f t="shared" si="4"/>
        <v>671</v>
      </c>
      <c r="S25" s="64">
        <v>912245</v>
      </c>
      <c r="T25" s="65"/>
      <c r="U25" s="46">
        <f t="shared" si="5"/>
        <v>702</v>
      </c>
      <c r="V25" s="64">
        <v>929818</v>
      </c>
      <c r="W25" s="65"/>
      <c r="X25" s="46">
        <f t="shared" si="6"/>
        <v>457</v>
      </c>
      <c r="Y25" s="64">
        <v>940885</v>
      </c>
      <c r="Z25" s="65"/>
      <c r="AA25" s="46">
        <f t="shared" si="7"/>
        <v>344</v>
      </c>
      <c r="AB25" s="64"/>
      <c r="AC25" s="65"/>
      <c r="AD25" s="46" t="str">
        <f t="shared" si="8"/>
        <v/>
      </c>
      <c r="AE25" s="64"/>
      <c r="AF25" s="65"/>
      <c r="AG25" s="46" t="str">
        <f t="shared" si="9"/>
        <v/>
      </c>
      <c r="AH25" s="64"/>
      <c r="AI25" s="65"/>
      <c r="AJ25" s="46" t="str">
        <f t="shared" si="10"/>
        <v/>
      </c>
      <c r="AK25" s="64"/>
      <c r="AL25" s="65"/>
      <c r="AM25" s="52" t="str">
        <f t="shared" si="11"/>
        <v/>
      </c>
    </row>
    <row r="26" spans="2:39" x14ac:dyDescent="0.25">
      <c r="B26" s="55" t="s">
        <v>51</v>
      </c>
      <c r="C26" s="56"/>
      <c r="D26" s="64">
        <v>831810</v>
      </c>
      <c r="E26" s="65"/>
      <c r="F26" s="46">
        <f t="shared" si="0"/>
        <v>393</v>
      </c>
      <c r="G26" s="64">
        <v>845119</v>
      </c>
      <c r="H26" s="65"/>
      <c r="I26" s="46">
        <f t="shared" si="1"/>
        <v>409</v>
      </c>
      <c r="J26" s="64">
        <v>857501</v>
      </c>
      <c r="K26" s="65"/>
      <c r="L26" s="46">
        <f t="shared" si="2"/>
        <v>481</v>
      </c>
      <c r="M26" s="64">
        <v>872987</v>
      </c>
      <c r="N26" s="65"/>
      <c r="O26" s="46">
        <f t="shared" si="3"/>
        <v>498</v>
      </c>
      <c r="P26" s="64">
        <v>890051</v>
      </c>
      <c r="Q26" s="65"/>
      <c r="R26" s="46">
        <f t="shared" si="4"/>
        <v>751</v>
      </c>
      <c r="S26" s="64">
        <v>913059</v>
      </c>
      <c r="T26" s="65"/>
      <c r="U26" s="46">
        <f t="shared" si="5"/>
        <v>814</v>
      </c>
      <c r="V26" s="64">
        <v>930316</v>
      </c>
      <c r="W26" s="65"/>
      <c r="X26" s="46">
        <f t="shared" si="6"/>
        <v>498</v>
      </c>
      <c r="Y26" s="64">
        <v>941175</v>
      </c>
      <c r="Z26" s="65"/>
      <c r="AA26" s="46">
        <f t="shared" si="7"/>
        <v>290</v>
      </c>
      <c r="AB26" s="64"/>
      <c r="AC26" s="65"/>
      <c r="AD26" s="46" t="str">
        <f t="shared" si="8"/>
        <v/>
      </c>
      <c r="AE26" s="64"/>
      <c r="AF26" s="65"/>
      <c r="AG26" s="46" t="str">
        <f t="shared" si="9"/>
        <v/>
      </c>
      <c r="AH26" s="64"/>
      <c r="AI26" s="65"/>
      <c r="AJ26" s="46" t="str">
        <f t="shared" si="10"/>
        <v/>
      </c>
      <c r="AK26" s="64"/>
      <c r="AL26" s="65"/>
      <c r="AM26" s="52" t="str">
        <f t="shared" si="11"/>
        <v/>
      </c>
    </row>
    <row r="27" spans="2:39" x14ac:dyDescent="0.25">
      <c r="B27" s="55" t="s">
        <v>52</v>
      </c>
      <c r="C27" s="56"/>
      <c r="D27" s="64">
        <v>832209</v>
      </c>
      <c r="E27" s="65"/>
      <c r="F27" s="46">
        <f t="shared" si="0"/>
        <v>399</v>
      </c>
      <c r="G27" s="64">
        <v>845601</v>
      </c>
      <c r="H27" s="65"/>
      <c r="I27" s="46">
        <f t="shared" si="1"/>
        <v>482</v>
      </c>
      <c r="J27" s="64">
        <v>857947</v>
      </c>
      <c r="K27" s="65"/>
      <c r="L27" s="46">
        <f t="shared" si="2"/>
        <v>446</v>
      </c>
      <c r="M27" s="64">
        <v>873439</v>
      </c>
      <c r="N27" s="65"/>
      <c r="O27" s="46">
        <f t="shared" si="3"/>
        <v>452</v>
      </c>
      <c r="P27" s="64">
        <v>890782</v>
      </c>
      <c r="Q27" s="65"/>
      <c r="R27" s="46">
        <f t="shared" si="4"/>
        <v>731</v>
      </c>
      <c r="S27" s="64">
        <v>913935</v>
      </c>
      <c r="T27" s="65"/>
      <c r="U27" s="46">
        <f t="shared" si="5"/>
        <v>876</v>
      </c>
      <c r="V27" s="64">
        <v>930741</v>
      </c>
      <c r="W27" s="65"/>
      <c r="X27" s="46">
        <f t="shared" si="6"/>
        <v>425</v>
      </c>
      <c r="Y27" s="64">
        <v>941488</v>
      </c>
      <c r="Z27" s="65"/>
      <c r="AA27" s="46">
        <f t="shared" si="7"/>
        <v>313</v>
      </c>
      <c r="AB27" s="64"/>
      <c r="AC27" s="65"/>
      <c r="AD27" s="46" t="str">
        <f t="shared" si="8"/>
        <v/>
      </c>
      <c r="AE27" s="64"/>
      <c r="AF27" s="65"/>
      <c r="AG27" s="46" t="str">
        <f t="shared" si="9"/>
        <v/>
      </c>
      <c r="AH27" s="64"/>
      <c r="AI27" s="65"/>
      <c r="AJ27" s="46" t="str">
        <f t="shared" si="10"/>
        <v/>
      </c>
      <c r="AK27" s="64"/>
      <c r="AL27" s="65"/>
      <c r="AM27" s="52" t="str">
        <f t="shared" si="11"/>
        <v/>
      </c>
    </row>
    <row r="28" spans="2:39" x14ac:dyDescent="0.25">
      <c r="B28" s="55" t="s">
        <v>53</v>
      </c>
      <c r="C28" s="56"/>
      <c r="D28" s="64">
        <v>832605</v>
      </c>
      <c r="E28" s="65"/>
      <c r="F28" s="46">
        <f t="shared" si="0"/>
        <v>396</v>
      </c>
      <c r="G28" s="64">
        <v>846051</v>
      </c>
      <c r="H28" s="65"/>
      <c r="I28" s="46">
        <f t="shared" si="1"/>
        <v>450</v>
      </c>
      <c r="J28" s="64">
        <v>858435</v>
      </c>
      <c r="K28" s="65"/>
      <c r="L28" s="46">
        <f t="shared" si="2"/>
        <v>488</v>
      </c>
      <c r="M28" s="64">
        <v>873963</v>
      </c>
      <c r="N28" s="65"/>
      <c r="O28" s="46">
        <f t="shared" si="3"/>
        <v>524</v>
      </c>
      <c r="P28" s="64">
        <v>891580</v>
      </c>
      <c r="Q28" s="65"/>
      <c r="R28" s="46">
        <f t="shared" si="4"/>
        <v>798</v>
      </c>
      <c r="S28" s="64">
        <v>914860</v>
      </c>
      <c r="T28" s="65"/>
      <c r="U28" s="46">
        <f t="shared" si="5"/>
        <v>925</v>
      </c>
      <c r="V28" s="64">
        <v>931282</v>
      </c>
      <c r="W28" s="65"/>
      <c r="X28" s="46">
        <f t="shared" si="6"/>
        <v>541</v>
      </c>
      <c r="Y28" s="64">
        <v>941723</v>
      </c>
      <c r="Z28" s="65"/>
      <c r="AA28" s="46">
        <f t="shared" si="7"/>
        <v>235</v>
      </c>
      <c r="AB28" s="64"/>
      <c r="AC28" s="65"/>
      <c r="AD28" s="46" t="str">
        <f t="shared" si="8"/>
        <v/>
      </c>
      <c r="AE28" s="64"/>
      <c r="AF28" s="65"/>
      <c r="AG28" s="46" t="str">
        <f t="shared" si="9"/>
        <v/>
      </c>
      <c r="AH28" s="64"/>
      <c r="AI28" s="65"/>
      <c r="AJ28" s="46" t="str">
        <f t="shared" si="10"/>
        <v/>
      </c>
      <c r="AK28" s="64"/>
      <c r="AL28" s="65"/>
      <c r="AM28" s="52" t="str">
        <f t="shared" si="11"/>
        <v/>
      </c>
    </row>
    <row r="29" spans="2:39" x14ac:dyDescent="0.25">
      <c r="B29" s="55" t="s">
        <v>54</v>
      </c>
      <c r="C29" s="56"/>
      <c r="D29" s="64">
        <v>833020</v>
      </c>
      <c r="E29" s="65"/>
      <c r="F29" s="46">
        <f t="shared" si="0"/>
        <v>415</v>
      </c>
      <c r="G29" s="64">
        <v>846402</v>
      </c>
      <c r="H29" s="65"/>
      <c r="I29" s="46">
        <f t="shared" si="1"/>
        <v>351</v>
      </c>
      <c r="J29" s="64">
        <v>858935</v>
      </c>
      <c r="K29" s="65"/>
      <c r="L29" s="46">
        <f t="shared" si="2"/>
        <v>500</v>
      </c>
      <c r="M29" s="64">
        <v>874633</v>
      </c>
      <c r="N29" s="65"/>
      <c r="O29" s="46">
        <f t="shared" si="3"/>
        <v>670</v>
      </c>
      <c r="P29" s="64">
        <v>892283</v>
      </c>
      <c r="Q29" s="65"/>
      <c r="R29" s="46">
        <f t="shared" si="4"/>
        <v>703</v>
      </c>
      <c r="S29" s="64">
        <v>915621</v>
      </c>
      <c r="T29" s="65"/>
      <c r="U29" s="46">
        <f t="shared" si="5"/>
        <v>761</v>
      </c>
      <c r="V29" s="64">
        <v>931694</v>
      </c>
      <c r="W29" s="65"/>
      <c r="X29" s="46">
        <f t="shared" si="6"/>
        <v>412</v>
      </c>
      <c r="Y29" s="64">
        <v>941977</v>
      </c>
      <c r="Z29" s="65"/>
      <c r="AA29" s="46">
        <f t="shared" si="7"/>
        <v>254</v>
      </c>
      <c r="AB29" s="64"/>
      <c r="AC29" s="65"/>
      <c r="AD29" s="46" t="str">
        <f t="shared" si="8"/>
        <v/>
      </c>
      <c r="AE29" s="64"/>
      <c r="AF29" s="65"/>
      <c r="AG29" s="46" t="str">
        <f t="shared" si="9"/>
        <v/>
      </c>
      <c r="AH29" s="64"/>
      <c r="AI29" s="65"/>
      <c r="AJ29" s="46" t="str">
        <f t="shared" si="10"/>
        <v/>
      </c>
      <c r="AK29" s="64"/>
      <c r="AL29" s="65"/>
      <c r="AM29" s="52" t="str">
        <f t="shared" si="11"/>
        <v/>
      </c>
    </row>
    <row r="30" spans="2:39" x14ac:dyDescent="0.25">
      <c r="B30" s="55" t="s">
        <v>55</v>
      </c>
      <c r="C30" s="56"/>
      <c r="D30" s="64">
        <v>833501</v>
      </c>
      <c r="E30" s="65"/>
      <c r="F30" s="46">
        <f t="shared" si="0"/>
        <v>481</v>
      </c>
      <c r="G30" s="64">
        <v>846816</v>
      </c>
      <c r="H30" s="65"/>
      <c r="I30" s="46">
        <f t="shared" si="1"/>
        <v>414</v>
      </c>
      <c r="J30" s="64">
        <v>859426</v>
      </c>
      <c r="K30" s="65"/>
      <c r="L30" s="46">
        <f t="shared" si="2"/>
        <v>491</v>
      </c>
      <c r="M30" s="64">
        <v>875259</v>
      </c>
      <c r="N30" s="65"/>
      <c r="O30" s="46">
        <f t="shared" si="3"/>
        <v>626</v>
      </c>
      <c r="P30" s="64">
        <v>892999</v>
      </c>
      <c r="Q30" s="65"/>
      <c r="R30" s="46">
        <f t="shared" si="4"/>
        <v>716</v>
      </c>
      <c r="S30" s="64">
        <v>916202</v>
      </c>
      <c r="T30" s="65"/>
      <c r="U30" s="46">
        <f t="shared" si="5"/>
        <v>581</v>
      </c>
      <c r="V30" s="64">
        <v>932014</v>
      </c>
      <c r="W30" s="65"/>
      <c r="X30" s="46">
        <f t="shared" si="6"/>
        <v>320</v>
      </c>
      <c r="Y30" s="64">
        <v>942185</v>
      </c>
      <c r="Z30" s="65"/>
      <c r="AA30" s="46">
        <f t="shared" si="7"/>
        <v>208</v>
      </c>
      <c r="AB30" s="64"/>
      <c r="AC30" s="65"/>
      <c r="AD30" s="46" t="str">
        <f t="shared" si="8"/>
        <v/>
      </c>
      <c r="AE30" s="64"/>
      <c r="AF30" s="65"/>
      <c r="AG30" s="46" t="str">
        <f t="shared" si="9"/>
        <v/>
      </c>
      <c r="AH30" s="64"/>
      <c r="AI30" s="65"/>
      <c r="AJ30" s="46" t="str">
        <f t="shared" si="10"/>
        <v/>
      </c>
      <c r="AK30" s="64"/>
      <c r="AL30" s="65"/>
      <c r="AM30" s="52" t="str">
        <f t="shared" si="11"/>
        <v/>
      </c>
    </row>
    <row r="31" spans="2:39" x14ac:dyDescent="0.25">
      <c r="B31" s="55" t="s">
        <v>56</v>
      </c>
      <c r="C31" s="56"/>
      <c r="D31" s="64">
        <v>833942</v>
      </c>
      <c r="E31" s="65"/>
      <c r="F31" s="46">
        <f t="shared" si="0"/>
        <v>441</v>
      </c>
      <c r="G31" s="64">
        <v>847239</v>
      </c>
      <c r="H31" s="65"/>
      <c r="I31" s="46">
        <f t="shared" si="1"/>
        <v>423</v>
      </c>
      <c r="J31" s="64">
        <v>859903</v>
      </c>
      <c r="K31" s="65"/>
      <c r="L31" s="46">
        <f t="shared" si="2"/>
        <v>477</v>
      </c>
      <c r="M31" s="64">
        <v>875892</v>
      </c>
      <c r="N31" s="65"/>
      <c r="O31" s="46">
        <f t="shared" si="3"/>
        <v>633</v>
      </c>
      <c r="P31" s="64">
        <v>893663</v>
      </c>
      <c r="Q31" s="65"/>
      <c r="R31" s="46">
        <f t="shared" si="4"/>
        <v>664</v>
      </c>
      <c r="S31" s="64">
        <v>916709</v>
      </c>
      <c r="T31" s="65"/>
      <c r="U31" s="46">
        <f t="shared" si="5"/>
        <v>507</v>
      </c>
      <c r="V31" s="64">
        <v>932316</v>
      </c>
      <c r="W31" s="65"/>
      <c r="X31" s="46">
        <f t="shared" si="6"/>
        <v>302</v>
      </c>
      <c r="Y31" s="64">
        <v>942735</v>
      </c>
      <c r="Z31" s="65"/>
      <c r="AA31" s="46">
        <f t="shared" si="7"/>
        <v>550</v>
      </c>
      <c r="AB31" s="64"/>
      <c r="AC31" s="65"/>
      <c r="AD31" s="46" t="str">
        <f t="shared" si="8"/>
        <v/>
      </c>
      <c r="AE31" s="64"/>
      <c r="AF31" s="65"/>
      <c r="AG31" s="46" t="str">
        <f t="shared" si="9"/>
        <v/>
      </c>
      <c r="AH31" s="64"/>
      <c r="AI31" s="65"/>
      <c r="AJ31" s="46" t="str">
        <f t="shared" si="10"/>
        <v/>
      </c>
      <c r="AK31" s="64"/>
      <c r="AL31" s="65"/>
      <c r="AM31" s="52" t="str">
        <f t="shared" si="11"/>
        <v/>
      </c>
    </row>
    <row r="32" spans="2:39" x14ac:dyDescent="0.25">
      <c r="B32" s="55" t="s">
        <v>57</v>
      </c>
      <c r="C32" s="56"/>
      <c r="D32" s="64">
        <v>834377</v>
      </c>
      <c r="E32" s="65"/>
      <c r="F32" s="46">
        <f t="shared" si="0"/>
        <v>435</v>
      </c>
      <c r="G32" s="64">
        <v>847648</v>
      </c>
      <c r="H32" s="65"/>
      <c r="I32" s="46">
        <f t="shared" si="1"/>
        <v>409</v>
      </c>
      <c r="J32" s="64">
        <v>860385</v>
      </c>
      <c r="K32" s="65"/>
      <c r="L32" s="46">
        <f t="shared" si="2"/>
        <v>482</v>
      </c>
      <c r="M32" s="64">
        <v>876454</v>
      </c>
      <c r="N32" s="65"/>
      <c r="O32" s="46">
        <f t="shared" si="3"/>
        <v>562</v>
      </c>
      <c r="P32" s="64">
        <v>894247</v>
      </c>
      <c r="Q32" s="65"/>
      <c r="R32" s="46">
        <f t="shared" si="4"/>
        <v>584</v>
      </c>
      <c r="S32" s="64">
        <v>917227</v>
      </c>
      <c r="T32" s="65"/>
      <c r="U32" s="46">
        <f t="shared" si="5"/>
        <v>518</v>
      </c>
      <c r="V32" s="64">
        <v>932720</v>
      </c>
      <c r="W32" s="65"/>
      <c r="X32" s="46">
        <f t="shared" si="6"/>
        <v>404</v>
      </c>
      <c r="Y32" s="64">
        <v>943223</v>
      </c>
      <c r="Z32" s="65"/>
      <c r="AA32" s="46">
        <f t="shared" si="7"/>
        <v>488</v>
      </c>
      <c r="AB32" s="64"/>
      <c r="AC32" s="65"/>
      <c r="AD32" s="46" t="str">
        <f t="shared" si="8"/>
        <v/>
      </c>
      <c r="AE32" s="64"/>
      <c r="AF32" s="65"/>
      <c r="AG32" s="46" t="str">
        <f t="shared" si="9"/>
        <v/>
      </c>
      <c r="AH32" s="64"/>
      <c r="AI32" s="65"/>
      <c r="AJ32" s="46" t="str">
        <f t="shared" si="10"/>
        <v/>
      </c>
      <c r="AK32" s="64"/>
      <c r="AL32" s="65"/>
      <c r="AM32" s="52" t="str">
        <f t="shared" si="11"/>
        <v/>
      </c>
    </row>
    <row r="33" spans="2:39" x14ac:dyDescent="0.25">
      <c r="B33" s="55" t="s">
        <v>58</v>
      </c>
      <c r="C33" s="56"/>
      <c r="D33" s="64">
        <v>834829</v>
      </c>
      <c r="E33" s="65"/>
      <c r="F33" s="46">
        <f t="shared" si="0"/>
        <v>452</v>
      </c>
      <c r="G33" s="64">
        <v>848190</v>
      </c>
      <c r="H33" s="65"/>
      <c r="I33" s="46">
        <f t="shared" si="1"/>
        <v>542</v>
      </c>
      <c r="J33" s="64">
        <v>860864</v>
      </c>
      <c r="K33" s="65"/>
      <c r="L33" s="46">
        <f t="shared" si="2"/>
        <v>479</v>
      </c>
      <c r="M33" s="64">
        <v>876976</v>
      </c>
      <c r="N33" s="65"/>
      <c r="O33" s="46">
        <f t="shared" si="3"/>
        <v>522</v>
      </c>
      <c r="P33" s="64">
        <v>894820</v>
      </c>
      <c r="Q33" s="65"/>
      <c r="R33" s="46">
        <f t="shared" si="4"/>
        <v>573</v>
      </c>
      <c r="S33" s="64">
        <v>917707</v>
      </c>
      <c r="T33" s="65"/>
      <c r="U33" s="46">
        <f t="shared" si="5"/>
        <v>480</v>
      </c>
      <c r="V33" s="64">
        <v>933047</v>
      </c>
      <c r="W33" s="65"/>
      <c r="X33" s="46">
        <f t="shared" si="6"/>
        <v>327</v>
      </c>
      <c r="Y33" s="64">
        <v>943643</v>
      </c>
      <c r="Z33" s="65"/>
      <c r="AA33" s="46">
        <f t="shared" si="7"/>
        <v>420</v>
      </c>
      <c r="AB33" s="64"/>
      <c r="AC33" s="65"/>
      <c r="AD33" s="46" t="str">
        <f t="shared" si="8"/>
        <v/>
      </c>
      <c r="AE33" s="64"/>
      <c r="AF33" s="65"/>
      <c r="AG33" s="46" t="str">
        <f t="shared" si="9"/>
        <v/>
      </c>
      <c r="AH33" s="64"/>
      <c r="AI33" s="65"/>
      <c r="AJ33" s="46" t="str">
        <f t="shared" si="10"/>
        <v/>
      </c>
      <c r="AK33" s="64"/>
      <c r="AL33" s="65"/>
      <c r="AM33" s="52" t="str">
        <f t="shared" si="11"/>
        <v/>
      </c>
    </row>
    <row r="34" spans="2:39" x14ac:dyDescent="0.25">
      <c r="B34" s="55" t="s">
        <v>59</v>
      </c>
      <c r="C34" s="56"/>
      <c r="D34" s="64">
        <v>835288</v>
      </c>
      <c r="E34" s="65"/>
      <c r="F34" s="46">
        <f t="shared" si="0"/>
        <v>459</v>
      </c>
      <c r="G34" s="64">
        <v>848604</v>
      </c>
      <c r="H34" s="65"/>
      <c r="I34" s="46">
        <f t="shared" si="1"/>
        <v>414</v>
      </c>
      <c r="J34" s="64">
        <v>861378</v>
      </c>
      <c r="K34" s="65"/>
      <c r="L34" s="46">
        <f t="shared" si="2"/>
        <v>514</v>
      </c>
      <c r="M34" s="64">
        <v>877489</v>
      </c>
      <c r="N34" s="65"/>
      <c r="O34" s="46">
        <f t="shared" si="3"/>
        <v>513</v>
      </c>
      <c r="P34" s="64">
        <v>895570</v>
      </c>
      <c r="Q34" s="65"/>
      <c r="R34" s="46">
        <f t="shared" si="4"/>
        <v>750</v>
      </c>
      <c r="S34" s="64">
        <v>918203</v>
      </c>
      <c r="T34" s="65"/>
      <c r="U34" s="46">
        <f t="shared" si="5"/>
        <v>496</v>
      </c>
      <c r="V34" s="64">
        <v>933310</v>
      </c>
      <c r="W34" s="65"/>
      <c r="X34" s="46">
        <f t="shared" si="6"/>
        <v>263</v>
      </c>
      <c r="Y34" s="64">
        <v>944078</v>
      </c>
      <c r="Z34" s="65"/>
      <c r="AA34" s="46">
        <f t="shared" si="7"/>
        <v>435</v>
      </c>
      <c r="AB34" s="64"/>
      <c r="AC34" s="65"/>
      <c r="AD34" s="46" t="str">
        <f t="shared" si="8"/>
        <v/>
      </c>
      <c r="AE34" s="64"/>
      <c r="AF34" s="65"/>
      <c r="AG34" s="46" t="str">
        <f t="shared" si="9"/>
        <v/>
      </c>
      <c r="AH34" s="64"/>
      <c r="AI34" s="65"/>
      <c r="AJ34" s="46" t="str">
        <f t="shared" si="10"/>
        <v/>
      </c>
      <c r="AK34" s="64"/>
      <c r="AL34" s="65"/>
      <c r="AM34" s="52" t="str">
        <f t="shared" si="11"/>
        <v/>
      </c>
    </row>
    <row r="35" spans="2:39" x14ac:dyDescent="0.25">
      <c r="B35" s="55" t="s">
        <v>60</v>
      </c>
      <c r="C35" s="56"/>
      <c r="D35" s="64">
        <v>835612</v>
      </c>
      <c r="E35" s="65"/>
      <c r="F35" s="46">
        <f t="shared" si="0"/>
        <v>324</v>
      </c>
      <c r="G35" s="64">
        <v>849036</v>
      </c>
      <c r="H35" s="65"/>
      <c r="I35" s="46">
        <f t="shared" si="1"/>
        <v>432</v>
      </c>
      <c r="J35" s="64">
        <v>861840</v>
      </c>
      <c r="K35" s="65"/>
      <c r="L35" s="46">
        <f t="shared" si="2"/>
        <v>462</v>
      </c>
      <c r="M35" s="64">
        <v>877967</v>
      </c>
      <c r="N35" s="65"/>
      <c r="O35" s="46">
        <f t="shared" si="3"/>
        <v>478</v>
      </c>
      <c r="P35" s="64">
        <v>896472</v>
      </c>
      <c r="Q35" s="65"/>
      <c r="R35" s="46">
        <f t="shared" si="4"/>
        <v>902</v>
      </c>
      <c r="S35" s="64">
        <v>919239</v>
      </c>
      <c r="T35" s="65"/>
      <c r="U35" s="46">
        <f t="shared" si="5"/>
        <v>1036</v>
      </c>
      <c r="V35" s="64">
        <v>933555</v>
      </c>
      <c r="W35" s="65"/>
      <c r="X35" s="46">
        <f t="shared" si="6"/>
        <v>245</v>
      </c>
      <c r="Y35" s="64">
        <v>944501</v>
      </c>
      <c r="Z35" s="65"/>
      <c r="AA35" s="46">
        <f t="shared" si="7"/>
        <v>423</v>
      </c>
      <c r="AB35" s="64"/>
      <c r="AC35" s="65"/>
      <c r="AD35" s="46" t="str">
        <f t="shared" si="8"/>
        <v/>
      </c>
      <c r="AE35" s="64"/>
      <c r="AF35" s="65"/>
      <c r="AG35" s="46" t="str">
        <f t="shared" si="9"/>
        <v/>
      </c>
      <c r="AH35" s="64"/>
      <c r="AI35" s="65"/>
      <c r="AJ35" s="46" t="str">
        <f t="shared" si="10"/>
        <v/>
      </c>
      <c r="AK35" s="64"/>
      <c r="AL35" s="65"/>
      <c r="AM35" s="52" t="str">
        <f t="shared" si="11"/>
        <v/>
      </c>
    </row>
    <row r="36" spans="2:39" x14ac:dyDescent="0.25">
      <c r="B36" s="55" t="s">
        <v>61</v>
      </c>
      <c r="C36" s="56"/>
      <c r="D36" s="64">
        <v>836092</v>
      </c>
      <c r="E36" s="65"/>
      <c r="F36" s="46">
        <f t="shared" si="0"/>
        <v>480</v>
      </c>
      <c r="G36" s="66"/>
      <c r="H36" s="67"/>
      <c r="I36" s="47" t="str">
        <f t="shared" si="1"/>
        <v/>
      </c>
      <c r="J36" s="64">
        <v>862301</v>
      </c>
      <c r="K36" s="65"/>
      <c r="L36" s="46">
        <f t="shared" si="2"/>
        <v>461</v>
      </c>
      <c r="M36" s="64">
        <v>878502</v>
      </c>
      <c r="N36" s="65"/>
      <c r="O36" s="46">
        <f t="shared" si="3"/>
        <v>535</v>
      </c>
      <c r="P36" s="64">
        <v>897388</v>
      </c>
      <c r="Q36" s="65"/>
      <c r="R36" s="46">
        <f t="shared" si="4"/>
        <v>916</v>
      </c>
      <c r="S36" s="64">
        <v>919787</v>
      </c>
      <c r="T36" s="65"/>
      <c r="U36" s="46">
        <f t="shared" si="5"/>
        <v>548</v>
      </c>
      <c r="V36" s="64">
        <v>933935</v>
      </c>
      <c r="W36" s="65"/>
      <c r="X36" s="46">
        <f t="shared" si="6"/>
        <v>380</v>
      </c>
      <c r="Y36" s="64">
        <v>944888</v>
      </c>
      <c r="Z36" s="65"/>
      <c r="AA36" s="46">
        <f t="shared" si="7"/>
        <v>387</v>
      </c>
      <c r="AB36" s="64"/>
      <c r="AC36" s="65"/>
      <c r="AD36" s="46" t="str">
        <f t="shared" si="8"/>
        <v/>
      </c>
      <c r="AE36" s="64"/>
      <c r="AF36" s="65"/>
      <c r="AG36" s="46" t="str">
        <f t="shared" si="9"/>
        <v/>
      </c>
      <c r="AH36" s="64"/>
      <c r="AI36" s="65"/>
      <c r="AJ36" s="46" t="str">
        <f t="shared" si="10"/>
        <v/>
      </c>
      <c r="AK36" s="64"/>
      <c r="AL36" s="65"/>
      <c r="AM36" s="52" t="str">
        <f t="shared" si="11"/>
        <v/>
      </c>
    </row>
    <row r="37" spans="2:39" x14ac:dyDescent="0.25">
      <c r="B37" s="55" t="s">
        <v>62</v>
      </c>
      <c r="C37" s="56"/>
      <c r="D37" s="64">
        <v>836477</v>
      </c>
      <c r="E37" s="65"/>
      <c r="F37" s="46">
        <f t="shared" si="0"/>
        <v>385</v>
      </c>
      <c r="G37" s="66"/>
      <c r="H37" s="67"/>
      <c r="I37" s="47"/>
      <c r="J37" s="64">
        <v>862746</v>
      </c>
      <c r="K37" s="65"/>
      <c r="L37" s="46">
        <f t="shared" si="2"/>
        <v>445</v>
      </c>
      <c r="M37" s="64">
        <v>879032</v>
      </c>
      <c r="N37" s="65"/>
      <c r="O37" s="46">
        <f t="shared" si="3"/>
        <v>530</v>
      </c>
      <c r="P37" s="64">
        <v>898184</v>
      </c>
      <c r="Q37" s="65"/>
      <c r="R37" s="46">
        <f t="shared" si="4"/>
        <v>796</v>
      </c>
      <c r="S37" s="64">
        <v>920385</v>
      </c>
      <c r="T37" s="65"/>
      <c r="U37" s="46">
        <f t="shared" si="5"/>
        <v>598</v>
      </c>
      <c r="V37" s="64">
        <v>934319</v>
      </c>
      <c r="W37" s="65"/>
      <c r="X37" s="46">
        <f t="shared" si="6"/>
        <v>384</v>
      </c>
      <c r="Y37" s="64">
        <v>945247</v>
      </c>
      <c r="Z37" s="65"/>
      <c r="AA37" s="46">
        <f t="shared" si="7"/>
        <v>359</v>
      </c>
      <c r="AB37" s="64"/>
      <c r="AC37" s="65"/>
      <c r="AD37" s="46" t="str">
        <f t="shared" si="8"/>
        <v/>
      </c>
      <c r="AE37" s="64"/>
      <c r="AF37" s="65"/>
      <c r="AG37" s="46" t="str">
        <f t="shared" si="9"/>
        <v/>
      </c>
      <c r="AH37" s="64"/>
      <c r="AI37" s="65"/>
      <c r="AJ37" s="46" t="str">
        <f t="shared" si="10"/>
        <v/>
      </c>
      <c r="AK37" s="64"/>
      <c r="AL37" s="65"/>
      <c r="AM37" s="52" t="str">
        <f t="shared" si="11"/>
        <v/>
      </c>
    </row>
    <row r="38" spans="2:39" ht="15.75" thickBot="1" x14ac:dyDescent="0.3">
      <c r="B38" s="53" t="s">
        <v>63</v>
      </c>
      <c r="C38" s="54"/>
      <c r="D38" s="60">
        <v>836906</v>
      </c>
      <c r="E38" s="61"/>
      <c r="F38" s="46">
        <f t="shared" si="0"/>
        <v>429</v>
      </c>
      <c r="G38" s="62"/>
      <c r="H38" s="63"/>
      <c r="I38" s="45"/>
      <c r="J38" s="60">
        <v>863204</v>
      </c>
      <c r="K38" s="61"/>
      <c r="L38" s="46">
        <f t="shared" si="2"/>
        <v>458</v>
      </c>
      <c r="M38" s="62"/>
      <c r="N38" s="63"/>
      <c r="O38" s="45"/>
      <c r="P38" s="60">
        <v>898870</v>
      </c>
      <c r="Q38" s="61"/>
      <c r="R38" s="46">
        <f t="shared" si="4"/>
        <v>686</v>
      </c>
      <c r="S38" s="62"/>
      <c r="T38" s="63"/>
      <c r="U38" s="45"/>
      <c r="V38" s="60">
        <v>934633</v>
      </c>
      <c r="W38" s="61"/>
      <c r="X38" s="46">
        <f t="shared" si="6"/>
        <v>314</v>
      </c>
      <c r="Y38" s="60">
        <v>945612</v>
      </c>
      <c r="Z38" s="61"/>
      <c r="AA38" s="46">
        <f t="shared" si="7"/>
        <v>365</v>
      </c>
      <c r="AB38" s="62"/>
      <c r="AC38" s="63"/>
      <c r="AD38" s="45"/>
      <c r="AE38" s="60"/>
      <c r="AF38" s="61"/>
      <c r="AG38" s="46" t="str">
        <f t="shared" si="9"/>
        <v/>
      </c>
      <c r="AH38" s="62"/>
      <c r="AI38" s="63"/>
      <c r="AJ38" s="45"/>
      <c r="AK38" s="60"/>
      <c r="AL38" s="61"/>
      <c r="AM38" s="4" t="str">
        <f t="shared" si="11"/>
        <v/>
      </c>
    </row>
    <row r="39" spans="2:39" ht="15.75" thickBot="1" x14ac:dyDescent="0.3">
      <c r="B39" s="58" t="s">
        <v>64</v>
      </c>
      <c r="C39" s="59"/>
      <c r="D39" s="57"/>
      <c r="E39" s="57"/>
      <c r="F39" s="43">
        <f>SUM(F8:F38)</f>
        <v>13176</v>
      </c>
      <c r="G39" s="57"/>
      <c r="H39" s="57"/>
      <c r="I39" s="43">
        <f>SUM(I8:I36)</f>
        <v>12130</v>
      </c>
      <c r="J39" s="57"/>
      <c r="K39" s="57"/>
      <c r="L39" s="43">
        <f>SUM(L8:L38)</f>
        <v>14168</v>
      </c>
      <c r="M39" s="57"/>
      <c r="N39" s="57"/>
      <c r="O39" s="43">
        <f>SUM(O8:O37)</f>
        <v>15734</v>
      </c>
      <c r="P39" s="57"/>
      <c r="Q39" s="57"/>
      <c r="R39" s="43">
        <f>SUM(R8:R38)</f>
        <v>19838</v>
      </c>
      <c r="S39" s="57"/>
      <c r="T39" s="57"/>
      <c r="U39" s="43">
        <f>SUM(U8:U37)</f>
        <v>21515</v>
      </c>
      <c r="V39" s="57"/>
      <c r="W39" s="57"/>
      <c r="X39" s="43">
        <f>SUM(X8:X38)</f>
        <v>14248</v>
      </c>
      <c r="Y39" s="57"/>
      <c r="Z39" s="57"/>
      <c r="AA39" s="43">
        <f>SUM(AA8:AA38)</f>
        <v>10979</v>
      </c>
      <c r="AB39" s="57"/>
      <c r="AC39" s="57"/>
      <c r="AD39" s="43">
        <f>SUM(AD8:AD37)</f>
        <v>0</v>
      </c>
      <c r="AE39" s="57"/>
      <c r="AF39" s="57"/>
      <c r="AG39" s="43">
        <f>SUM(AG8:AG38)</f>
        <v>0</v>
      </c>
      <c r="AH39" s="57"/>
      <c r="AI39" s="57"/>
      <c r="AJ39" s="43">
        <f>SUM(AJ8:AJ37)</f>
        <v>0</v>
      </c>
      <c r="AK39" s="57"/>
      <c r="AL39" s="57"/>
      <c r="AM39" s="51">
        <f>SUM(AM8:AM38)</f>
        <v>0</v>
      </c>
    </row>
    <row r="40" spans="2:39" ht="15.75" thickTop="1" x14ac:dyDescent="0.25"/>
    <row r="43" spans="2:39" x14ac:dyDescent="0.25">
      <c r="H43" s="1"/>
      <c r="I43" s="8"/>
      <c r="J43" s="8"/>
    </row>
    <row r="44" spans="2:39" x14ac:dyDescent="0.25">
      <c r="H44" s="1"/>
      <c r="I44" s="8"/>
      <c r="J44" s="8"/>
    </row>
    <row r="45" spans="2:39" x14ac:dyDescent="0.25">
      <c r="H45" s="1"/>
      <c r="I45" s="8"/>
      <c r="J45" s="8"/>
    </row>
    <row r="46" spans="2:39" x14ac:dyDescent="0.25">
      <c r="H46" s="1"/>
      <c r="I46" s="8"/>
      <c r="J46" s="8"/>
    </row>
    <row r="47" spans="2:39" x14ac:dyDescent="0.25">
      <c r="H47" s="1"/>
      <c r="I47" s="8"/>
      <c r="J47" s="8"/>
    </row>
    <row r="48" spans="2:39" x14ac:dyDescent="0.25">
      <c r="H48" s="1"/>
      <c r="I48" s="8"/>
      <c r="J48" s="8"/>
    </row>
    <row r="49" spans="8:10" x14ac:dyDescent="0.25">
      <c r="H49" s="1"/>
      <c r="I49" s="8"/>
      <c r="J49" s="8"/>
    </row>
    <row r="50" spans="8:10" x14ac:dyDescent="0.25">
      <c r="H50" s="1"/>
      <c r="I50" s="8"/>
      <c r="J50" s="8"/>
    </row>
    <row r="51" spans="8:10" x14ac:dyDescent="0.25">
      <c r="H51" s="1"/>
      <c r="I51" s="8"/>
      <c r="J51" s="8"/>
    </row>
    <row r="52" spans="8:10" x14ac:dyDescent="0.25">
      <c r="H52" s="1"/>
      <c r="I52" s="8"/>
      <c r="J52" s="8"/>
    </row>
    <row r="53" spans="8:10" x14ac:dyDescent="0.25">
      <c r="H53" s="1"/>
      <c r="I53" s="8"/>
      <c r="J53" s="8"/>
    </row>
    <row r="54" spans="8:10" x14ac:dyDescent="0.25">
      <c r="H54" s="1"/>
      <c r="I54" s="8"/>
      <c r="J54" s="8"/>
    </row>
    <row r="55" spans="8:10" x14ac:dyDescent="0.25">
      <c r="H55" s="1"/>
      <c r="I55" s="8"/>
      <c r="J55" s="8"/>
    </row>
    <row r="56" spans="8:10" x14ac:dyDescent="0.25">
      <c r="H56" s="1"/>
      <c r="I56" s="8"/>
      <c r="J56" s="8"/>
    </row>
  </sheetData>
  <mergeCells count="432">
    <mergeCell ref="B2:C2"/>
    <mergeCell ref="D7:E7"/>
    <mergeCell ref="G7:H7"/>
    <mergeCell ref="J7:K7"/>
    <mergeCell ref="M7:N7"/>
    <mergeCell ref="P7:Q7"/>
    <mergeCell ref="S7:T7"/>
    <mergeCell ref="V7:W7"/>
    <mergeCell ref="Y7:Z7"/>
    <mergeCell ref="B3:C3"/>
    <mergeCell ref="B5:AL5"/>
    <mergeCell ref="B6:AL6"/>
    <mergeCell ref="AB7:AC7"/>
    <mergeCell ref="AE7:AF7"/>
    <mergeCell ref="AH7:AI7"/>
    <mergeCell ref="AK7:AL7"/>
    <mergeCell ref="D8:E8"/>
    <mergeCell ref="G8:H8"/>
    <mergeCell ref="J8:K8"/>
    <mergeCell ref="M8:N8"/>
    <mergeCell ref="D10:E10"/>
    <mergeCell ref="G10:H10"/>
    <mergeCell ref="J10:K10"/>
    <mergeCell ref="M10:N10"/>
    <mergeCell ref="B8:C8"/>
    <mergeCell ref="B9:C9"/>
    <mergeCell ref="B10:C10"/>
    <mergeCell ref="P10:Q10"/>
    <mergeCell ref="S10:T10"/>
    <mergeCell ref="AH8:AI8"/>
    <mergeCell ref="AK8:AL8"/>
    <mergeCell ref="D9:E9"/>
    <mergeCell ref="G9:H9"/>
    <mergeCell ref="J9:K9"/>
    <mergeCell ref="M9:N9"/>
    <mergeCell ref="P9:Q9"/>
    <mergeCell ref="S9:T9"/>
    <mergeCell ref="V9:W9"/>
    <mergeCell ref="Y9:Z9"/>
    <mergeCell ref="P8:Q8"/>
    <mergeCell ref="S8:T8"/>
    <mergeCell ref="V8:W8"/>
    <mergeCell ref="Y8:Z8"/>
    <mergeCell ref="AB8:AC8"/>
    <mergeCell ref="AE8:AF8"/>
    <mergeCell ref="V10:W10"/>
    <mergeCell ref="Y10:Z10"/>
    <mergeCell ref="AB10:AC10"/>
    <mergeCell ref="AE10:AF10"/>
    <mergeCell ref="AH10:AI10"/>
    <mergeCell ref="AK10:AL10"/>
    <mergeCell ref="AB9:AC9"/>
    <mergeCell ref="AE9:AF9"/>
    <mergeCell ref="AH9:AI9"/>
    <mergeCell ref="AK9:AL9"/>
    <mergeCell ref="V11:W11"/>
    <mergeCell ref="Y11:Z11"/>
    <mergeCell ref="AB11:AC11"/>
    <mergeCell ref="AE11:AF11"/>
    <mergeCell ref="AH11:AI11"/>
    <mergeCell ref="AK11:AL11"/>
    <mergeCell ref="D11:E11"/>
    <mergeCell ref="G11:H11"/>
    <mergeCell ref="J11:K11"/>
    <mergeCell ref="M11:N11"/>
    <mergeCell ref="P11:Q11"/>
    <mergeCell ref="S11:T11"/>
    <mergeCell ref="V12:W12"/>
    <mergeCell ref="Y12:Z12"/>
    <mergeCell ref="AB12:AC12"/>
    <mergeCell ref="AE12:AF12"/>
    <mergeCell ref="AH12:AI12"/>
    <mergeCell ref="AK12:AL12"/>
    <mergeCell ref="D12:E12"/>
    <mergeCell ref="G12:H12"/>
    <mergeCell ref="J12:K12"/>
    <mergeCell ref="M12:N12"/>
    <mergeCell ref="P12:Q12"/>
    <mergeCell ref="S12:T12"/>
    <mergeCell ref="V13:W13"/>
    <mergeCell ref="Y13:Z13"/>
    <mergeCell ref="AB13:AC13"/>
    <mergeCell ref="AE13:AF13"/>
    <mergeCell ref="AH13:AI13"/>
    <mergeCell ref="AK13:AL13"/>
    <mergeCell ref="D13:E13"/>
    <mergeCell ref="G13:H13"/>
    <mergeCell ref="J13:K13"/>
    <mergeCell ref="M13:N13"/>
    <mergeCell ref="P13:Q13"/>
    <mergeCell ref="S13:T13"/>
    <mergeCell ref="V14:W14"/>
    <mergeCell ref="Y14:Z14"/>
    <mergeCell ref="AB14:AC14"/>
    <mergeCell ref="AE14:AF14"/>
    <mergeCell ref="AH14:AI14"/>
    <mergeCell ref="AK14:AL14"/>
    <mergeCell ref="D14:E14"/>
    <mergeCell ref="G14:H14"/>
    <mergeCell ref="J14:K14"/>
    <mergeCell ref="M14:N14"/>
    <mergeCell ref="P14:Q14"/>
    <mergeCell ref="S14:T14"/>
    <mergeCell ref="V15:W15"/>
    <mergeCell ref="Y15:Z15"/>
    <mergeCell ref="AB15:AC15"/>
    <mergeCell ref="AE15:AF15"/>
    <mergeCell ref="AH15:AI15"/>
    <mergeCell ref="AK15:AL15"/>
    <mergeCell ref="D15:E15"/>
    <mergeCell ref="G15:H15"/>
    <mergeCell ref="J15:K15"/>
    <mergeCell ref="M15:N15"/>
    <mergeCell ref="P15:Q15"/>
    <mergeCell ref="S15:T15"/>
    <mergeCell ref="V16:W16"/>
    <mergeCell ref="Y16:Z16"/>
    <mergeCell ref="AB16:AC16"/>
    <mergeCell ref="AE16:AF16"/>
    <mergeCell ref="AH16:AI16"/>
    <mergeCell ref="AK16:AL16"/>
    <mergeCell ref="D16:E16"/>
    <mergeCell ref="G16:H16"/>
    <mergeCell ref="J16:K16"/>
    <mergeCell ref="M16:N16"/>
    <mergeCell ref="P16:Q16"/>
    <mergeCell ref="S16:T16"/>
    <mergeCell ref="V17:W17"/>
    <mergeCell ref="Y17:Z17"/>
    <mergeCell ref="AB17:AC17"/>
    <mergeCell ref="AE17:AF17"/>
    <mergeCell ref="AH17:AI17"/>
    <mergeCell ref="AK17:AL17"/>
    <mergeCell ref="D17:E17"/>
    <mergeCell ref="G17:H17"/>
    <mergeCell ref="J17:K17"/>
    <mergeCell ref="M17:N17"/>
    <mergeCell ref="P17:Q17"/>
    <mergeCell ref="S17:T17"/>
    <mergeCell ref="V18:W18"/>
    <mergeCell ref="Y18:Z18"/>
    <mergeCell ref="AB18:AC18"/>
    <mergeCell ref="AE18:AF18"/>
    <mergeCell ref="AH18:AI18"/>
    <mergeCell ref="AK18:AL18"/>
    <mergeCell ref="D18:E18"/>
    <mergeCell ref="G18:H18"/>
    <mergeCell ref="J18:K18"/>
    <mergeCell ref="M18:N18"/>
    <mergeCell ref="P18:Q18"/>
    <mergeCell ref="S18:T18"/>
    <mergeCell ref="V19:W19"/>
    <mergeCell ref="Y19:Z19"/>
    <mergeCell ref="AB19:AC19"/>
    <mergeCell ref="AE19:AF19"/>
    <mergeCell ref="AH19:AI19"/>
    <mergeCell ref="AK19:AL19"/>
    <mergeCell ref="D19:E19"/>
    <mergeCell ref="G19:H19"/>
    <mergeCell ref="J19:K19"/>
    <mergeCell ref="M19:N19"/>
    <mergeCell ref="P19:Q19"/>
    <mergeCell ref="S19:T19"/>
    <mergeCell ref="V20:W20"/>
    <mergeCell ref="Y20:Z20"/>
    <mergeCell ref="AB20:AC20"/>
    <mergeCell ref="AE20:AF20"/>
    <mergeCell ref="AH20:AI20"/>
    <mergeCell ref="AK20:AL20"/>
    <mergeCell ref="D20:E20"/>
    <mergeCell ref="G20:H20"/>
    <mergeCell ref="J20:K20"/>
    <mergeCell ref="M20:N20"/>
    <mergeCell ref="P20:Q20"/>
    <mergeCell ref="S20:T20"/>
    <mergeCell ref="V21:W21"/>
    <mergeCell ref="Y21:Z21"/>
    <mergeCell ref="AB21:AC21"/>
    <mergeCell ref="AE21:AF21"/>
    <mergeCell ref="AH21:AI21"/>
    <mergeCell ref="AK21:AL21"/>
    <mergeCell ref="D21:E21"/>
    <mergeCell ref="G21:H21"/>
    <mergeCell ref="J21:K21"/>
    <mergeCell ref="M21:N21"/>
    <mergeCell ref="P21:Q21"/>
    <mergeCell ref="S21:T21"/>
    <mergeCell ref="V22:W22"/>
    <mergeCell ref="Y22:Z22"/>
    <mergeCell ref="AB22:AC22"/>
    <mergeCell ref="AE22:AF22"/>
    <mergeCell ref="AH22:AI22"/>
    <mergeCell ref="AK22:AL22"/>
    <mergeCell ref="D22:E22"/>
    <mergeCell ref="G22:H22"/>
    <mergeCell ref="J22:K22"/>
    <mergeCell ref="M22:N22"/>
    <mergeCell ref="P22:Q22"/>
    <mergeCell ref="S22:T22"/>
    <mergeCell ref="V23:W23"/>
    <mergeCell ref="Y23:Z23"/>
    <mergeCell ref="AB23:AC23"/>
    <mergeCell ref="AE23:AF23"/>
    <mergeCell ref="AH23:AI23"/>
    <mergeCell ref="AK23:AL23"/>
    <mergeCell ref="D23:E23"/>
    <mergeCell ref="G23:H23"/>
    <mergeCell ref="J23:K23"/>
    <mergeCell ref="M23:N23"/>
    <mergeCell ref="P23:Q23"/>
    <mergeCell ref="S23:T23"/>
    <mergeCell ref="V24:W24"/>
    <mergeCell ref="Y24:Z24"/>
    <mergeCell ref="AB24:AC24"/>
    <mergeCell ref="AE24:AF24"/>
    <mergeCell ref="AH24:AI24"/>
    <mergeCell ref="AK24:AL24"/>
    <mergeCell ref="D24:E24"/>
    <mergeCell ref="G24:H24"/>
    <mergeCell ref="J24:K24"/>
    <mergeCell ref="M24:N24"/>
    <mergeCell ref="P24:Q24"/>
    <mergeCell ref="S24:T24"/>
    <mergeCell ref="V25:W25"/>
    <mergeCell ref="Y25:Z25"/>
    <mergeCell ref="AB25:AC25"/>
    <mergeCell ref="AE25:AF25"/>
    <mergeCell ref="AH25:AI25"/>
    <mergeCell ref="AK25:AL25"/>
    <mergeCell ref="D25:E25"/>
    <mergeCell ref="G25:H25"/>
    <mergeCell ref="J25:K25"/>
    <mergeCell ref="M25:N25"/>
    <mergeCell ref="P25:Q25"/>
    <mergeCell ref="S25:T25"/>
    <mergeCell ref="V26:W26"/>
    <mergeCell ref="Y26:Z26"/>
    <mergeCell ref="AB26:AC26"/>
    <mergeCell ref="AE26:AF26"/>
    <mergeCell ref="AH26:AI26"/>
    <mergeCell ref="AK26:AL26"/>
    <mergeCell ref="D26:E26"/>
    <mergeCell ref="G26:H26"/>
    <mergeCell ref="J26:K26"/>
    <mergeCell ref="M26:N26"/>
    <mergeCell ref="P26:Q26"/>
    <mergeCell ref="S26:T26"/>
    <mergeCell ref="V27:W27"/>
    <mergeCell ref="Y27:Z27"/>
    <mergeCell ref="AB27:AC27"/>
    <mergeCell ref="AE27:AF27"/>
    <mergeCell ref="AH27:AI27"/>
    <mergeCell ref="AK27:AL27"/>
    <mergeCell ref="D27:E27"/>
    <mergeCell ref="G27:H27"/>
    <mergeCell ref="J27:K27"/>
    <mergeCell ref="M27:N27"/>
    <mergeCell ref="P27:Q27"/>
    <mergeCell ref="S27:T27"/>
    <mergeCell ref="V28:W28"/>
    <mergeCell ref="Y28:Z28"/>
    <mergeCell ref="AB28:AC28"/>
    <mergeCell ref="AE28:AF28"/>
    <mergeCell ref="AH28:AI28"/>
    <mergeCell ref="AK28:AL28"/>
    <mergeCell ref="D28:E28"/>
    <mergeCell ref="G28:H28"/>
    <mergeCell ref="J28:K28"/>
    <mergeCell ref="M28:N28"/>
    <mergeCell ref="P28:Q28"/>
    <mergeCell ref="S28:T28"/>
    <mergeCell ref="V29:W29"/>
    <mergeCell ref="Y29:Z29"/>
    <mergeCell ref="AB29:AC29"/>
    <mergeCell ref="AE29:AF29"/>
    <mergeCell ref="AH29:AI29"/>
    <mergeCell ref="AK29:AL29"/>
    <mergeCell ref="D29:E29"/>
    <mergeCell ref="G29:H29"/>
    <mergeCell ref="J29:K29"/>
    <mergeCell ref="M29:N29"/>
    <mergeCell ref="P29:Q29"/>
    <mergeCell ref="S29:T29"/>
    <mergeCell ref="V30:W30"/>
    <mergeCell ref="Y30:Z30"/>
    <mergeCell ref="AB30:AC30"/>
    <mergeCell ref="AE30:AF30"/>
    <mergeCell ref="AH30:AI30"/>
    <mergeCell ref="AK30:AL30"/>
    <mergeCell ref="D30:E30"/>
    <mergeCell ref="G30:H30"/>
    <mergeCell ref="J30:K30"/>
    <mergeCell ref="M30:N30"/>
    <mergeCell ref="P30:Q30"/>
    <mergeCell ref="S30:T30"/>
    <mergeCell ref="V31:W31"/>
    <mergeCell ref="Y31:Z31"/>
    <mergeCell ref="AB31:AC31"/>
    <mergeCell ref="AE31:AF31"/>
    <mergeCell ref="AH31:AI31"/>
    <mergeCell ref="AK31:AL31"/>
    <mergeCell ref="D31:E31"/>
    <mergeCell ref="G31:H31"/>
    <mergeCell ref="J31:K31"/>
    <mergeCell ref="M31:N31"/>
    <mergeCell ref="P31:Q31"/>
    <mergeCell ref="S31:T31"/>
    <mergeCell ref="V32:W32"/>
    <mergeCell ref="Y32:Z32"/>
    <mergeCell ref="AB32:AC32"/>
    <mergeCell ref="AE32:AF32"/>
    <mergeCell ref="AH32:AI32"/>
    <mergeCell ref="AK32:AL32"/>
    <mergeCell ref="D32:E32"/>
    <mergeCell ref="G32:H32"/>
    <mergeCell ref="J32:K32"/>
    <mergeCell ref="M32:N32"/>
    <mergeCell ref="P32:Q32"/>
    <mergeCell ref="S32:T32"/>
    <mergeCell ref="V33:W33"/>
    <mergeCell ref="Y33:Z33"/>
    <mergeCell ref="AB33:AC33"/>
    <mergeCell ref="AE33:AF33"/>
    <mergeCell ref="AH33:AI33"/>
    <mergeCell ref="AK33:AL33"/>
    <mergeCell ref="D33:E33"/>
    <mergeCell ref="G33:H33"/>
    <mergeCell ref="J33:K33"/>
    <mergeCell ref="M33:N33"/>
    <mergeCell ref="P33:Q33"/>
    <mergeCell ref="S33:T33"/>
    <mergeCell ref="V34:W34"/>
    <mergeCell ref="Y34:Z34"/>
    <mergeCell ref="AB34:AC34"/>
    <mergeCell ref="AE34:AF34"/>
    <mergeCell ref="AH34:AI34"/>
    <mergeCell ref="AK34:AL34"/>
    <mergeCell ref="D34:E34"/>
    <mergeCell ref="G34:H34"/>
    <mergeCell ref="J34:K34"/>
    <mergeCell ref="M34:N34"/>
    <mergeCell ref="P34:Q34"/>
    <mergeCell ref="S34:T34"/>
    <mergeCell ref="V35:W35"/>
    <mergeCell ref="Y35:Z35"/>
    <mergeCell ref="AB35:AC35"/>
    <mergeCell ref="AE35:AF35"/>
    <mergeCell ref="AH35:AI35"/>
    <mergeCell ref="AK35:AL35"/>
    <mergeCell ref="D35:E35"/>
    <mergeCell ref="G35:H35"/>
    <mergeCell ref="J35:K35"/>
    <mergeCell ref="M35:N35"/>
    <mergeCell ref="P35:Q35"/>
    <mergeCell ref="S35:T35"/>
    <mergeCell ref="V36:W36"/>
    <mergeCell ref="Y36:Z36"/>
    <mergeCell ref="AB36:AC36"/>
    <mergeCell ref="AE36:AF36"/>
    <mergeCell ref="AH36:AI36"/>
    <mergeCell ref="AK36:AL36"/>
    <mergeCell ref="D36:E36"/>
    <mergeCell ref="G36:H36"/>
    <mergeCell ref="J36:K36"/>
    <mergeCell ref="M36:N36"/>
    <mergeCell ref="P36:Q36"/>
    <mergeCell ref="S36:T36"/>
    <mergeCell ref="V37:W37"/>
    <mergeCell ref="Y37:Z37"/>
    <mergeCell ref="AB37:AC37"/>
    <mergeCell ref="AE37:AF37"/>
    <mergeCell ref="AH37:AI37"/>
    <mergeCell ref="AK37:AL37"/>
    <mergeCell ref="D37:E37"/>
    <mergeCell ref="G37:H37"/>
    <mergeCell ref="J37:K37"/>
    <mergeCell ref="M37:N37"/>
    <mergeCell ref="P37:Q37"/>
    <mergeCell ref="S37:T37"/>
    <mergeCell ref="V38:W38"/>
    <mergeCell ref="Y38:Z38"/>
    <mergeCell ref="AB38:AC38"/>
    <mergeCell ref="AE38:AF38"/>
    <mergeCell ref="AH38:AI38"/>
    <mergeCell ref="AK38:AL38"/>
    <mergeCell ref="D38:E38"/>
    <mergeCell ref="G38:H38"/>
    <mergeCell ref="J38:K38"/>
    <mergeCell ref="M38:N38"/>
    <mergeCell ref="P38:Q38"/>
    <mergeCell ref="S38:T38"/>
    <mergeCell ref="AK39:AL39"/>
    <mergeCell ref="S39:T39"/>
    <mergeCell ref="V39:W39"/>
    <mergeCell ref="Y39:Z39"/>
    <mergeCell ref="AB39:AC39"/>
    <mergeCell ref="AE39:AF39"/>
    <mergeCell ref="AH39:AI39"/>
    <mergeCell ref="B39:C39"/>
    <mergeCell ref="D39:E39"/>
    <mergeCell ref="G39:H39"/>
    <mergeCell ref="J39:K39"/>
    <mergeCell ref="M39:N39"/>
    <mergeCell ref="P39:Q39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38:C3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K58"/>
  <sheetViews>
    <sheetView topLeftCell="AA24" zoomScale="70" zoomScaleNormal="70" workbookViewId="0">
      <selection activeCell="AO41" sqref="AO41:AP41"/>
    </sheetView>
  </sheetViews>
  <sheetFormatPr defaultRowHeight="15" x14ac:dyDescent="0.25"/>
  <cols>
    <col min="3" max="3" width="11.5703125" customWidth="1"/>
  </cols>
  <sheetData>
    <row r="2" spans="2:63" ht="15.75" thickBot="1" x14ac:dyDescent="0.3"/>
    <row r="3" spans="2:63" ht="15.75" thickTop="1" x14ac:dyDescent="0.25">
      <c r="B3" s="68" t="s">
        <v>18</v>
      </c>
      <c r="C3" s="82"/>
      <c r="D3" s="82"/>
      <c r="E3" s="69"/>
      <c r="W3" s="9"/>
      <c r="X3" s="10"/>
      <c r="Y3" s="10"/>
      <c r="Z3" s="10"/>
      <c r="AA3" s="10"/>
    </row>
    <row r="4" spans="2:63" x14ac:dyDescent="0.25">
      <c r="B4" s="76" t="s">
        <v>65</v>
      </c>
      <c r="C4" s="65"/>
      <c r="D4" s="65" t="s">
        <v>66</v>
      </c>
      <c r="E4" s="83"/>
      <c r="W4" s="9"/>
      <c r="X4" s="10"/>
      <c r="Y4" s="10"/>
      <c r="Z4" s="10"/>
      <c r="AA4" s="10"/>
    </row>
    <row r="5" spans="2:63" ht="15.75" thickBot="1" x14ac:dyDescent="0.3">
      <c r="B5" s="58">
        <v>5914.3</v>
      </c>
      <c r="C5" s="59"/>
      <c r="D5" s="59">
        <v>2312.9</v>
      </c>
      <c r="E5" s="79"/>
      <c r="W5" s="9"/>
      <c r="X5" s="10"/>
      <c r="Y5" s="10"/>
      <c r="Z5" s="10"/>
      <c r="AA5" s="10"/>
    </row>
    <row r="6" spans="2:63" ht="16.5" thickTop="1" thickBot="1" x14ac:dyDescent="0.3"/>
    <row r="7" spans="2:63" ht="15.75" thickTop="1" x14ac:dyDescent="0.25">
      <c r="B7" s="74" t="s">
        <v>19</v>
      </c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5"/>
      <c r="BF7" s="75"/>
      <c r="BG7" s="75"/>
      <c r="BH7" s="75"/>
      <c r="BI7" s="49"/>
      <c r="BJ7" s="49"/>
      <c r="BK7" s="6"/>
    </row>
    <row r="8" spans="2:63" ht="6.75" customHeight="1" x14ac:dyDescent="0.25">
      <c r="B8" s="76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5"/>
      <c r="BF8" s="65"/>
      <c r="BG8" s="65"/>
      <c r="BH8" s="65"/>
      <c r="BI8" s="46"/>
      <c r="BJ8" s="46"/>
      <c r="BK8" s="52"/>
    </row>
    <row r="9" spans="2:63" x14ac:dyDescent="0.25">
      <c r="B9" s="85" t="s">
        <v>67</v>
      </c>
      <c r="C9" s="86"/>
      <c r="D9" s="70" t="s">
        <v>20</v>
      </c>
      <c r="E9" s="71"/>
      <c r="F9" s="71"/>
      <c r="G9" s="71"/>
      <c r="H9" s="48" t="s">
        <v>68</v>
      </c>
      <c r="I9" s="70" t="s">
        <v>22</v>
      </c>
      <c r="J9" s="71"/>
      <c r="K9" s="71"/>
      <c r="L9" s="71"/>
      <c r="M9" s="48" t="s">
        <v>68</v>
      </c>
      <c r="N9" s="70" t="s">
        <v>23</v>
      </c>
      <c r="O9" s="71"/>
      <c r="P9" s="71"/>
      <c r="Q9" s="71"/>
      <c r="R9" s="48" t="s">
        <v>68</v>
      </c>
      <c r="S9" s="70" t="s">
        <v>24</v>
      </c>
      <c r="T9" s="71"/>
      <c r="U9" s="71"/>
      <c r="V9" s="71"/>
      <c r="W9" s="48" t="s">
        <v>68</v>
      </c>
      <c r="X9" s="70" t="s">
        <v>25</v>
      </c>
      <c r="Y9" s="71"/>
      <c r="Z9" s="71"/>
      <c r="AA9" s="71"/>
      <c r="AB9" s="48" t="s">
        <v>68</v>
      </c>
      <c r="AC9" s="70" t="s">
        <v>26</v>
      </c>
      <c r="AD9" s="71"/>
      <c r="AE9" s="71"/>
      <c r="AF9" s="71"/>
      <c r="AG9" s="48" t="s">
        <v>68</v>
      </c>
      <c r="AH9" s="70" t="s">
        <v>27</v>
      </c>
      <c r="AI9" s="71"/>
      <c r="AJ9" s="71"/>
      <c r="AK9" s="71"/>
      <c r="AL9" s="48" t="s">
        <v>68</v>
      </c>
      <c r="AM9" s="70" t="s">
        <v>28</v>
      </c>
      <c r="AN9" s="71"/>
      <c r="AO9" s="71"/>
      <c r="AP9" s="71"/>
      <c r="AQ9" s="48" t="s">
        <v>68</v>
      </c>
      <c r="AR9" s="70" t="s">
        <v>29</v>
      </c>
      <c r="AS9" s="71"/>
      <c r="AT9" s="71"/>
      <c r="AU9" s="71"/>
      <c r="AV9" s="48" t="s">
        <v>68</v>
      </c>
      <c r="AW9" s="70" t="s">
        <v>30</v>
      </c>
      <c r="AX9" s="71"/>
      <c r="AY9" s="71"/>
      <c r="AZ9" s="71"/>
      <c r="BA9" s="48" t="s">
        <v>68</v>
      </c>
      <c r="BB9" s="70" t="s">
        <v>31</v>
      </c>
      <c r="BC9" s="71"/>
      <c r="BD9" s="71"/>
      <c r="BE9" s="71"/>
      <c r="BF9" s="48" t="s">
        <v>68</v>
      </c>
      <c r="BG9" s="70" t="s">
        <v>32</v>
      </c>
      <c r="BH9" s="71"/>
      <c r="BI9" s="71"/>
      <c r="BJ9" s="71"/>
      <c r="BK9" s="7" t="s">
        <v>68</v>
      </c>
    </row>
    <row r="10" spans="2:63" x14ac:dyDescent="0.25">
      <c r="B10" s="55"/>
      <c r="C10" s="56"/>
      <c r="D10" s="80" t="s">
        <v>65</v>
      </c>
      <c r="E10" s="81"/>
      <c r="F10" s="81" t="s">
        <v>66</v>
      </c>
      <c r="G10" s="81"/>
      <c r="H10" s="50"/>
      <c r="I10" s="80" t="s">
        <v>69</v>
      </c>
      <c r="J10" s="81"/>
      <c r="K10" s="81" t="s">
        <v>66</v>
      </c>
      <c r="L10" s="81"/>
      <c r="M10" s="50"/>
      <c r="N10" s="80" t="s">
        <v>69</v>
      </c>
      <c r="O10" s="81"/>
      <c r="P10" s="81" t="s">
        <v>66</v>
      </c>
      <c r="Q10" s="81"/>
      <c r="R10" s="50"/>
      <c r="S10" s="80" t="s">
        <v>69</v>
      </c>
      <c r="T10" s="81"/>
      <c r="U10" s="81" t="s">
        <v>66</v>
      </c>
      <c r="V10" s="81"/>
      <c r="W10" s="50"/>
      <c r="X10" s="80" t="s">
        <v>69</v>
      </c>
      <c r="Y10" s="81"/>
      <c r="Z10" s="81" t="s">
        <v>66</v>
      </c>
      <c r="AA10" s="81"/>
      <c r="AB10" s="50"/>
      <c r="AC10" s="80" t="s">
        <v>69</v>
      </c>
      <c r="AD10" s="81"/>
      <c r="AE10" s="81" t="s">
        <v>66</v>
      </c>
      <c r="AF10" s="81"/>
      <c r="AG10" s="50"/>
      <c r="AH10" s="80" t="s">
        <v>69</v>
      </c>
      <c r="AI10" s="81"/>
      <c r="AJ10" s="81" t="s">
        <v>66</v>
      </c>
      <c r="AK10" s="81"/>
      <c r="AL10" s="50"/>
      <c r="AM10" s="80" t="s">
        <v>69</v>
      </c>
      <c r="AN10" s="81"/>
      <c r="AO10" s="81" t="s">
        <v>66</v>
      </c>
      <c r="AP10" s="81"/>
      <c r="AQ10" s="50"/>
      <c r="AR10" s="80" t="s">
        <v>69</v>
      </c>
      <c r="AS10" s="81"/>
      <c r="AT10" s="81" t="s">
        <v>66</v>
      </c>
      <c r="AU10" s="81"/>
      <c r="AV10" s="50"/>
      <c r="AW10" s="80" t="s">
        <v>69</v>
      </c>
      <c r="AX10" s="81"/>
      <c r="AY10" s="81" t="s">
        <v>66</v>
      </c>
      <c r="AZ10" s="81"/>
      <c r="BA10" s="50"/>
      <c r="BB10" s="80" t="s">
        <v>69</v>
      </c>
      <c r="BC10" s="81"/>
      <c r="BD10" s="81" t="s">
        <v>66</v>
      </c>
      <c r="BE10" s="81"/>
      <c r="BF10" s="50"/>
      <c r="BG10" s="80" t="s">
        <v>69</v>
      </c>
      <c r="BH10" s="81"/>
      <c r="BI10" s="81" t="s">
        <v>66</v>
      </c>
      <c r="BJ10" s="81"/>
      <c r="BK10" s="5"/>
    </row>
    <row r="11" spans="2:63" x14ac:dyDescent="0.25">
      <c r="B11" s="55" t="s">
        <v>33</v>
      </c>
      <c r="C11" s="56"/>
      <c r="D11" s="64">
        <v>5944.1</v>
      </c>
      <c r="E11" s="65"/>
      <c r="F11" s="65">
        <v>2326.1</v>
      </c>
      <c r="G11" s="65"/>
      <c r="H11" s="46">
        <f>IF(COUNT(B5,D5,D11,F11)=4,(D11+F11)-(B5+D5),"")</f>
        <v>43</v>
      </c>
      <c r="I11" s="64">
        <v>6726.5</v>
      </c>
      <c r="J11" s="65"/>
      <c r="K11" s="77">
        <v>2817.5</v>
      </c>
      <c r="L11" s="77"/>
      <c r="M11" s="46">
        <f>IF(COUNT(D41,F41,I11,K11)=4,(I11+K11)-(D41+F41),"")</f>
        <v>47.600000000000364</v>
      </c>
      <c r="N11" s="64">
        <v>7455.8</v>
      </c>
      <c r="O11" s="65"/>
      <c r="P11" s="77">
        <v>3271.5</v>
      </c>
      <c r="Q11" s="77"/>
      <c r="R11" s="46">
        <f>IF(COUNT(I38,K38,N11,P11)=4,(N11+P11)-(I38+K38),"")</f>
        <v>48.799999999999272</v>
      </c>
      <c r="S11" s="64">
        <v>8279.2000000000007</v>
      </c>
      <c r="T11" s="65"/>
      <c r="U11" s="77">
        <v>3727.5</v>
      </c>
      <c r="V11" s="77"/>
      <c r="W11" s="46">
        <f>IF(COUNT(N41,P41,S11,U11)=4,(S11+U11)-(N41+P41),"")</f>
        <v>40.300000000001091</v>
      </c>
      <c r="X11" s="64">
        <v>9080.9</v>
      </c>
      <c r="Y11" s="65"/>
      <c r="Z11" s="77">
        <v>4121.1000000000004</v>
      </c>
      <c r="AA11" s="77"/>
      <c r="AB11" s="46">
        <f>IF(COUNT(S40,U40,X11,Z11)=4,(X11+Z11)-(S40+U40),"")</f>
        <v>38.199999999998909</v>
      </c>
      <c r="AC11" s="64">
        <v>9931.9</v>
      </c>
      <c r="AD11" s="65"/>
      <c r="AE11" s="77">
        <v>4454.1000000000004</v>
      </c>
      <c r="AF11" s="77"/>
      <c r="AG11" s="46">
        <f>IF(COUNT(X41,Z41,AC11,AE11)=4,(AC11+AE11)-(X41+Z41),"")</f>
        <v>27.399999999999636</v>
      </c>
      <c r="AH11" s="64">
        <v>10700.8</v>
      </c>
      <c r="AI11" s="65"/>
      <c r="AJ11" s="77">
        <v>4700.5</v>
      </c>
      <c r="AK11" s="77"/>
      <c r="AL11" s="46">
        <f>IF(COUNT(AC40,AE40,AH11,AJ11)=4,(AH11+AJ11)-(AC40+AE40),"")</f>
        <v>26.299999999999272</v>
      </c>
      <c r="AM11" s="64">
        <v>11214.7</v>
      </c>
      <c r="AN11" s="65"/>
      <c r="AO11" s="77">
        <v>4850.3</v>
      </c>
      <c r="AP11" s="77"/>
      <c r="AQ11" s="46">
        <f>IF(COUNT(AH41,AJ41,AM11,AO11)=4,(AM11+AO11)-(AH41+AJ41),"")</f>
        <v>16.900000000001455</v>
      </c>
      <c r="AR11" s="64"/>
      <c r="AS11" s="65"/>
      <c r="AT11" s="77"/>
      <c r="AU11" s="77"/>
      <c r="AV11" s="46" t="str">
        <f>IF(COUNT(AM41,AO41,AR11,AT11)=4,(AR11+AT11)-(AM41+AO41),"")</f>
        <v/>
      </c>
      <c r="AW11" s="64"/>
      <c r="AX11" s="65"/>
      <c r="AY11" s="77"/>
      <c r="AZ11" s="77"/>
      <c r="BA11" s="46" t="str">
        <f>IF(COUNT(AR40,AT40,AW11,AY11)=4,(AW11+AY11)-(AR40+AT40),"")</f>
        <v/>
      </c>
      <c r="BB11" s="64"/>
      <c r="BC11" s="65"/>
      <c r="BD11" s="77"/>
      <c r="BE11" s="77"/>
      <c r="BF11" s="46" t="str">
        <f>IF(COUNT(AW41,AY41,BB11,BD11)=4,(BB11+BD11)-(AW41+AY41),"")</f>
        <v/>
      </c>
      <c r="BG11" s="64"/>
      <c r="BH11" s="65"/>
      <c r="BI11" s="77"/>
      <c r="BJ11" s="77"/>
      <c r="BK11" s="52" t="str">
        <f>IF(COUNT(BB40,BD40,BG11,BI11)=4,(BG11+BI11)-(BB40+BD40),"")</f>
        <v/>
      </c>
    </row>
    <row r="12" spans="2:63" x14ac:dyDescent="0.25">
      <c r="B12" s="55" t="s">
        <v>34</v>
      </c>
      <c r="C12" s="56"/>
      <c r="D12" s="64">
        <v>5966.2</v>
      </c>
      <c r="E12" s="65"/>
      <c r="F12" s="65">
        <v>2335.6</v>
      </c>
      <c r="G12" s="65"/>
      <c r="H12" s="46">
        <f>IF(COUNT(D11,D12,F11,F12)=4,(D12+F12)-(D11+F11),"")</f>
        <v>31.599999999998545</v>
      </c>
      <c r="I12" s="64">
        <v>6750.3</v>
      </c>
      <c r="J12" s="65"/>
      <c r="K12" s="77">
        <v>2829.7</v>
      </c>
      <c r="L12" s="77"/>
      <c r="M12" s="46">
        <f>IF(COUNT(I11,I12,K11,K12)=4,(I12+K12)-(I11+K11),"")</f>
        <v>36</v>
      </c>
      <c r="N12" s="64">
        <v>7481</v>
      </c>
      <c r="O12" s="65"/>
      <c r="P12" s="77">
        <v>3286</v>
      </c>
      <c r="Q12" s="77"/>
      <c r="R12" s="46">
        <f>IF(COUNT(N11,N12,P11,P12)=4,(N12+P12)-(N11+P11),"")</f>
        <v>39.700000000000728</v>
      </c>
      <c r="S12" s="64">
        <v>8304.9</v>
      </c>
      <c r="T12" s="65"/>
      <c r="U12" s="77">
        <v>3742.5</v>
      </c>
      <c r="V12" s="77"/>
      <c r="W12" s="46">
        <f>IF(COUNT(S11,S12,U11,U12)=4,(S12+U12)-(S11+U11),"")</f>
        <v>40.699999999998909</v>
      </c>
      <c r="X12" s="64">
        <v>9108.1</v>
      </c>
      <c r="Y12" s="65"/>
      <c r="Z12" s="77">
        <v>4134.2</v>
      </c>
      <c r="AA12" s="77"/>
      <c r="AB12" s="46">
        <f>IF(COUNT(X11,X12,Z11,Z12)=4,(X12+Z12)-(X11+Z11),"")</f>
        <v>40.299999999999272</v>
      </c>
      <c r="AC12" s="64">
        <v>9958.4</v>
      </c>
      <c r="AD12" s="65"/>
      <c r="AE12" s="77">
        <v>4463.5</v>
      </c>
      <c r="AF12" s="77"/>
      <c r="AG12" s="46">
        <f>IF(COUNT(AC11,AC12,AE11,AE12)=4,(AC12+AE12)-(AC11+AE11),"")</f>
        <v>35.899999999999636</v>
      </c>
      <c r="AH12" s="64">
        <v>10721.1</v>
      </c>
      <c r="AI12" s="65"/>
      <c r="AJ12" s="77">
        <v>4706.8999999999996</v>
      </c>
      <c r="AK12" s="77"/>
      <c r="AL12" s="46">
        <f>IF(COUNT(AH11,AH12,AJ11,AJ12)=4,(AH12+AJ12)-(AH11+AJ11),"")</f>
        <v>26.700000000000728</v>
      </c>
      <c r="AM12" s="64">
        <v>11229.5</v>
      </c>
      <c r="AN12" s="65"/>
      <c r="AO12" s="77">
        <v>4854.3999999999996</v>
      </c>
      <c r="AP12" s="77"/>
      <c r="AQ12" s="46">
        <f>IF(COUNT(AM11,AM12,AO11,AO12)=4,(AM12+AO12)-(AM11+AO11),"")</f>
        <v>18.899999999999636</v>
      </c>
      <c r="AR12" s="64"/>
      <c r="AS12" s="65"/>
      <c r="AT12" s="77"/>
      <c r="AU12" s="77"/>
      <c r="AV12" s="46" t="str">
        <f>IF(COUNT(AR11,AR12,AT11,AT12)=4,(AR12+AT12)-(AR11+AT11),"")</f>
        <v/>
      </c>
      <c r="AW12" s="64"/>
      <c r="AX12" s="65"/>
      <c r="AY12" s="77"/>
      <c r="AZ12" s="77"/>
      <c r="BA12" s="46" t="str">
        <f>IF(COUNT(AW11,AW12,AY11,AY12)=4,(AW12+AY12)-(AW11+AY11),"")</f>
        <v/>
      </c>
      <c r="BB12" s="64"/>
      <c r="BC12" s="65"/>
      <c r="BD12" s="77"/>
      <c r="BE12" s="77"/>
      <c r="BF12" s="46" t="str">
        <f>IF(COUNT(BB11,BB12,BD11,BD12)=4,(BB12+BD12)-(BB11+BD11),"")</f>
        <v/>
      </c>
      <c r="BG12" s="64"/>
      <c r="BH12" s="65"/>
      <c r="BI12" s="77"/>
      <c r="BJ12" s="77"/>
      <c r="BK12" s="52" t="str">
        <f>IF(COUNT(BG11,BG12,BI11,BI12)=4,(BG12+BI12)-(BG11+BI11),"")</f>
        <v/>
      </c>
    </row>
    <row r="13" spans="2:63" x14ac:dyDescent="0.25">
      <c r="B13" s="55" t="s">
        <v>35</v>
      </c>
      <c r="C13" s="56"/>
      <c r="D13" s="64">
        <v>5991.2</v>
      </c>
      <c r="E13" s="65"/>
      <c r="F13" s="65">
        <v>2349.6</v>
      </c>
      <c r="G13" s="65"/>
      <c r="H13" s="46">
        <f t="shared" ref="H13:H41" si="0">IF(COUNT(D12,D13,F12,F13)=4,(D13+F13)-(D12+F12),"")</f>
        <v>39</v>
      </c>
      <c r="I13" s="64">
        <v>6772.8</v>
      </c>
      <c r="J13" s="65"/>
      <c r="K13" s="77">
        <v>2841.1</v>
      </c>
      <c r="L13" s="77"/>
      <c r="M13" s="46">
        <f t="shared" ref="M13:M39" si="1">IF(COUNT(I12,I13,K12,K13)=4,(I13+K13)-(I12+K12),"")</f>
        <v>33.899999999999636</v>
      </c>
      <c r="N13" s="64">
        <v>7511</v>
      </c>
      <c r="O13" s="65"/>
      <c r="P13" s="77">
        <v>3300.4</v>
      </c>
      <c r="Q13" s="77"/>
      <c r="R13" s="46">
        <f t="shared" ref="R13:R41" si="2">IF(COUNT(N12,N13,P12,P13)=4,(N13+P13)-(N12+P12),"")</f>
        <v>44.399999999999636</v>
      </c>
      <c r="S13" s="64">
        <v>8331.4</v>
      </c>
      <c r="T13" s="65"/>
      <c r="U13" s="77">
        <v>3758.8</v>
      </c>
      <c r="V13" s="77"/>
      <c r="W13" s="46">
        <f t="shared" ref="W13:W40" si="3">IF(COUNT(S12,S13,U12,U13)=4,(S13+U13)-(S12+U12),"")</f>
        <v>42.800000000001091</v>
      </c>
      <c r="X13" s="64">
        <v>9134.7999999999993</v>
      </c>
      <c r="Y13" s="65"/>
      <c r="Z13" s="77">
        <v>4146.3999999999996</v>
      </c>
      <c r="AA13" s="77"/>
      <c r="AB13" s="46">
        <f t="shared" ref="AB13:AB41" si="4">IF(COUNT(X12,X13,Z12,Z13)=4,(X13+Z13)-(X12+Z12),"")</f>
        <v>38.899999999999636</v>
      </c>
      <c r="AC13" s="64">
        <v>9985.5</v>
      </c>
      <c r="AD13" s="65"/>
      <c r="AE13" s="77">
        <v>4472.8</v>
      </c>
      <c r="AF13" s="77"/>
      <c r="AG13" s="46">
        <f t="shared" ref="AG13:AG40" si="5">IF(COUNT(AC12,AC13,AE12,AE13)=4,(AC13+AE13)-(AC12+AE12),"")</f>
        <v>36.399999999999636</v>
      </c>
      <c r="AH13" s="64">
        <v>10741</v>
      </c>
      <c r="AI13" s="65"/>
      <c r="AJ13" s="77">
        <v>4713.1000000000004</v>
      </c>
      <c r="AK13" s="77"/>
      <c r="AL13" s="46">
        <f t="shared" ref="AL13:AL41" si="6">IF(COUNT(AH12,AH13,AJ12,AJ13)=4,(AH13+AJ13)-(AH12+AJ12),"")</f>
        <v>26.100000000000364</v>
      </c>
      <c r="AM13" s="64">
        <v>11243</v>
      </c>
      <c r="AN13" s="65"/>
      <c r="AO13" s="77">
        <v>4858.1000000000004</v>
      </c>
      <c r="AP13" s="77"/>
      <c r="AQ13" s="46">
        <f t="shared" ref="AQ13:AQ41" si="7">IF(COUNT(AM12,AM13,AO12,AO13)=4,(AM13+AO13)-(AM12+AO12),"")</f>
        <v>17.200000000000728</v>
      </c>
      <c r="AR13" s="64"/>
      <c r="AS13" s="65"/>
      <c r="AT13" s="77"/>
      <c r="AU13" s="77"/>
      <c r="AV13" s="46" t="str">
        <f t="shared" ref="AV13:AV40" si="8">IF(COUNT(AR12,AR13,AT12,AT13)=4,(AR13+AT13)-(AR12+AT12),"")</f>
        <v/>
      </c>
      <c r="AW13" s="64"/>
      <c r="AX13" s="65"/>
      <c r="AY13" s="77"/>
      <c r="AZ13" s="77"/>
      <c r="BA13" s="46" t="str">
        <f t="shared" ref="BA13:BA41" si="9">IF(COUNT(AW12,AW13,AY12,AY13)=4,(AW13+AY13)-(AW12+AY12),"")</f>
        <v/>
      </c>
      <c r="BB13" s="64"/>
      <c r="BC13" s="65"/>
      <c r="BD13" s="77"/>
      <c r="BE13" s="77"/>
      <c r="BF13" s="46" t="str">
        <f t="shared" ref="BF13:BF40" si="10">IF(COUNT(BB12,BB13,BD12,BD13)=4,(BB13+BD13)-(BB12+BD12),"")</f>
        <v/>
      </c>
      <c r="BG13" s="64"/>
      <c r="BH13" s="65"/>
      <c r="BI13" s="77"/>
      <c r="BJ13" s="77"/>
      <c r="BK13" s="52" t="str">
        <f t="shared" ref="BK13:BK41" si="11">IF(COUNT(BG12,BG13,BI12,BI13)=4,(BG13+BI13)-(BG12+BI12),"")</f>
        <v/>
      </c>
    </row>
    <row r="14" spans="2:63" x14ac:dyDescent="0.25">
      <c r="B14" s="55" t="s">
        <v>36</v>
      </c>
      <c r="C14" s="56"/>
      <c r="D14" s="64">
        <v>6019.5</v>
      </c>
      <c r="E14" s="65"/>
      <c r="F14" s="65">
        <v>2367</v>
      </c>
      <c r="G14" s="65"/>
      <c r="H14" s="46">
        <f t="shared" si="0"/>
        <v>45.700000000000728</v>
      </c>
      <c r="I14" s="64">
        <v>6794.5</v>
      </c>
      <c r="J14" s="65"/>
      <c r="K14" s="77">
        <v>2856.1</v>
      </c>
      <c r="L14" s="77"/>
      <c r="M14" s="46">
        <f t="shared" si="1"/>
        <v>36.700000000000728</v>
      </c>
      <c r="N14" s="64">
        <v>7531.3</v>
      </c>
      <c r="O14" s="65"/>
      <c r="P14" s="77">
        <v>3312.3</v>
      </c>
      <c r="Q14" s="77"/>
      <c r="R14" s="46">
        <f t="shared" si="2"/>
        <v>32.200000000000728</v>
      </c>
      <c r="S14" s="64">
        <v>8359.7999999999993</v>
      </c>
      <c r="T14" s="65"/>
      <c r="U14" s="77">
        <v>3777</v>
      </c>
      <c r="V14" s="77"/>
      <c r="W14" s="46">
        <f t="shared" si="3"/>
        <v>46.599999999998545</v>
      </c>
      <c r="X14" s="64">
        <v>9162.7000000000007</v>
      </c>
      <c r="Y14" s="65"/>
      <c r="Z14" s="77">
        <v>4157.3999999999996</v>
      </c>
      <c r="AA14" s="77"/>
      <c r="AB14" s="46">
        <f t="shared" si="4"/>
        <v>38.900000000001455</v>
      </c>
      <c r="AC14" s="64">
        <v>10012.700000000001</v>
      </c>
      <c r="AD14" s="65"/>
      <c r="AE14" s="77">
        <v>4482.1000000000004</v>
      </c>
      <c r="AF14" s="77"/>
      <c r="AG14" s="46">
        <f t="shared" si="5"/>
        <v>36.500000000001819</v>
      </c>
      <c r="AH14" s="64">
        <v>10762.9</v>
      </c>
      <c r="AI14" s="65"/>
      <c r="AJ14" s="77">
        <v>4719.8</v>
      </c>
      <c r="AK14" s="77"/>
      <c r="AL14" s="46">
        <f t="shared" si="6"/>
        <v>28.600000000000364</v>
      </c>
      <c r="AM14" s="64">
        <v>11256.8</v>
      </c>
      <c r="AN14" s="65"/>
      <c r="AO14" s="77">
        <v>4861.8</v>
      </c>
      <c r="AP14" s="77"/>
      <c r="AQ14" s="46">
        <f t="shared" si="7"/>
        <v>17.499999999998181</v>
      </c>
      <c r="AR14" s="64"/>
      <c r="AS14" s="65"/>
      <c r="AT14" s="77"/>
      <c r="AU14" s="77"/>
      <c r="AV14" s="46" t="str">
        <f t="shared" si="8"/>
        <v/>
      </c>
      <c r="AW14" s="64"/>
      <c r="AX14" s="65"/>
      <c r="AY14" s="77"/>
      <c r="AZ14" s="77"/>
      <c r="BA14" s="46" t="str">
        <f t="shared" si="9"/>
        <v/>
      </c>
      <c r="BB14" s="64"/>
      <c r="BC14" s="65"/>
      <c r="BD14" s="77"/>
      <c r="BE14" s="77"/>
      <c r="BF14" s="46" t="str">
        <f t="shared" si="10"/>
        <v/>
      </c>
      <c r="BG14" s="64"/>
      <c r="BH14" s="65"/>
      <c r="BI14" s="77"/>
      <c r="BJ14" s="77"/>
      <c r="BK14" s="52" t="str">
        <f t="shared" si="11"/>
        <v/>
      </c>
    </row>
    <row r="15" spans="2:63" x14ac:dyDescent="0.25">
      <c r="B15" s="55" t="s">
        <v>37</v>
      </c>
      <c r="C15" s="56"/>
      <c r="D15" s="64">
        <v>6045.7</v>
      </c>
      <c r="E15" s="65"/>
      <c r="F15" s="65">
        <v>2383.8000000000002</v>
      </c>
      <c r="G15" s="65"/>
      <c r="H15" s="46">
        <f t="shared" si="0"/>
        <v>43</v>
      </c>
      <c r="I15" s="64">
        <v>6822.1</v>
      </c>
      <c r="J15" s="65"/>
      <c r="K15" s="77">
        <v>2877.7</v>
      </c>
      <c r="L15" s="77"/>
      <c r="M15" s="46">
        <f t="shared" si="1"/>
        <v>49.199999999998909</v>
      </c>
      <c r="N15" s="64">
        <v>7557.7</v>
      </c>
      <c r="O15" s="65"/>
      <c r="P15" s="77">
        <v>3326.5</v>
      </c>
      <c r="Q15" s="77"/>
      <c r="R15" s="46">
        <f t="shared" si="2"/>
        <v>40.600000000000364</v>
      </c>
      <c r="S15" s="64">
        <v>8383.4</v>
      </c>
      <c r="T15" s="65"/>
      <c r="U15" s="77">
        <v>3792.9</v>
      </c>
      <c r="V15" s="77"/>
      <c r="W15" s="46">
        <f t="shared" si="3"/>
        <v>39.5</v>
      </c>
      <c r="X15" s="64">
        <v>9190.2000000000007</v>
      </c>
      <c r="Y15" s="65"/>
      <c r="Z15" s="77">
        <v>4168.8999999999996</v>
      </c>
      <c r="AA15" s="77"/>
      <c r="AB15" s="46">
        <f t="shared" si="4"/>
        <v>39</v>
      </c>
      <c r="AC15" s="64">
        <v>10038.4</v>
      </c>
      <c r="AD15" s="65"/>
      <c r="AE15" s="77">
        <v>4490.7</v>
      </c>
      <c r="AF15" s="77"/>
      <c r="AG15" s="46">
        <f t="shared" si="5"/>
        <v>34.299999999997453</v>
      </c>
      <c r="AH15" s="64">
        <v>10783.7</v>
      </c>
      <c r="AI15" s="65"/>
      <c r="AJ15" s="77">
        <v>4726.2</v>
      </c>
      <c r="AK15" s="77"/>
      <c r="AL15" s="46">
        <f t="shared" si="6"/>
        <v>27.200000000000728</v>
      </c>
      <c r="AM15" s="64">
        <v>11270.2</v>
      </c>
      <c r="AN15" s="65"/>
      <c r="AO15" s="77">
        <v>4865.5</v>
      </c>
      <c r="AP15" s="77"/>
      <c r="AQ15" s="46">
        <f t="shared" si="7"/>
        <v>17.100000000002183</v>
      </c>
      <c r="AR15" s="64"/>
      <c r="AS15" s="65"/>
      <c r="AT15" s="77"/>
      <c r="AU15" s="77"/>
      <c r="AV15" s="46" t="str">
        <f t="shared" si="8"/>
        <v/>
      </c>
      <c r="AW15" s="64"/>
      <c r="AX15" s="65"/>
      <c r="AY15" s="77"/>
      <c r="AZ15" s="77"/>
      <c r="BA15" s="46" t="str">
        <f t="shared" si="9"/>
        <v/>
      </c>
      <c r="BB15" s="64"/>
      <c r="BC15" s="65"/>
      <c r="BD15" s="77"/>
      <c r="BE15" s="77"/>
      <c r="BF15" s="46" t="str">
        <f t="shared" si="10"/>
        <v/>
      </c>
      <c r="BG15" s="64"/>
      <c r="BH15" s="65"/>
      <c r="BI15" s="77"/>
      <c r="BJ15" s="77"/>
      <c r="BK15" s="52" t="str">
        <f t="shared" si="11"/>
        <v/>
      </c>
    </row>
    <row r="16" spans="2:63" x14ac:dyDescent="0.25">
      <c r="B16" s="55" t="s">
        <v>38</v>
      </c>
      <c r="C16" s="56"/>
      <c r="D16" s="64">
        <v>6071.2</v>
      </c>
      <c r="E16" s="65"/>
      <c r="F16" s="65">
        <v>2398.6</v>
      </c>
      <c r="G16" s="65"/>
      <c r="H16" s="46">
        <f t="shared" si="0"/>
        <v>40.299999999999272</v>
      </c>
      <c r="I16" s="64">
        <v>6846.2</v>
      </c>
      <c r="J16" s="65"/>
      <c r="K16" s="77">
        <v>2891.8</v>
      </c>
      <c r="L16" s="77"/>
      <c r="M16" s="46">
        <f t="shared" si="1"/>
        <v>38.200000000000728</v>
      </c>
      <c r="N16" s="64">
        <v>7585.6</v>
      </c>
      <c r="O16" s="65"/>
      <c r="P16" s="77">
        <v>3340.6</v>
      </c>
      <c r="Q16" s="77"/>
      <c r="R16" s="46">
        <f t="shared" si="2"/>
        <v>42</v>
      </c>
      <c r="S16" s="64">
        <v>8413.9</v>
      </c>
      <c r="T16" s="65"/>
      <c r="U16" s="77">
        <v>3814.5</v>
      </c>
      <c r="V16" s="77"/>
      <c r="W16" s="46">
        <f t="shared" si="3"/>
        <v>52.100000000000364</v>
      </c>
      <c r="X16" s="64">
        <v>9217.6</v>
      </c>
      <c r="Y16" s="65"/>
      <c r="Z16" s="77">
        <v>4182.6000000000004</v>
      </c>
      <c r="AA16" s="77"/>
      <c r="AB16" s="46">
        <f t="shared" si="4"/>
        <v>41.100000000000364</v>
      </c>
      <c r="AC16" s="64">
        <v>10063.700000000001</v>
      </c>
      <c r="AD16" s="65"/>
      <c r="AE16" s="77">
        <v>4499.1000000000004</v>
      </c>
      <c r="AF16" s="77"/>
      <c r="AG16" s="46">
        <f t="shared" si="5"/>
        <v>33.700000000002547</v>
      </c>
      <c r="AH16" s="64">
        <v>10804.4</v>
      </c>
      <c r="AI16" s="65"/>
      <c r="AJ16" s="77">
        <v>4732.3999999999996</v>
      </c>
      <c r="AK16" s="77"/>
      <c r="AL16" s="46">
        <f t="shared" si="6"/>
        <v>26.899999999997817</v>
      </c>
      <c r="AM16" s="64">
        <v>11284.6</v>
      </c>
      <c r="AN16" s="65"/>
      <c r="AO16" s="77">
        <v>4869.5</v>
      </c>
      <c r="AP16" s="77"/>
      <c r="AQ16" s="46">
        <f t="shared" si="7"/>
        <v>18.399999999999636</v>
      </c>
      <c r="AR16" s="64"/>
      <c r="AS16" s="65"/>
      <c r="AT16" s="77"/>
      <c r="AU16" s="77"/>
      <c r="AV16" s="46" t="str">
        <f t="shared" si="8"/>
        <v/>
      </c>
      <c r="AW16" s="64"/>
      <c r="AX16" s="65"/>
      <c r="AY16" s="77"/>
      <c r="AZ16" s="77"/>
      <c r="BA16" s="46" t="str">
        <f t="shared" si="9"/>
        <v/>
      </c>
      <c r="BB16" s="64"/>
      <c r="BC16" s="65"/>
      <c r="BD16" s="77"/>
      <c r="BE16" s="77"/>
      <c r="BF16" s="46" t="str">
        <f t="shared" si="10"/>
        <v/>
      </c>
      <c r="BG16" s="64"/>
      <c r="BH16" s="65"/>
      <c r="BI16" s="77"/>
      <c r="BJ16" s="77"/>
      <c r="BK16" s="52" t="str">
        <f t="shared" si="11"/>
        <v/>
      </c>
    </row>
    <row r="17" spans="2:63" x14ac:dyDescent="0.25">
      <c r="B17" s="55" t="s">
        <v>39</v>
      </c>
      <c r="C17" s="56"/>
      <c r="D17" s="64">
        <v>6094.4</v>
      </c>
      <c r="E17" s="65"/>
      <c r="F17" s="65">
        <v>2409.5</v>
      </c>
      <c r="G17" s="65"/>
      <c r="H17" s="46">
        <f t="shared" si="0"/>
        <v>34.100000000000364</v>
      </c>
      <c r="I17" s="64">
        <v>6872.3</v>
      </c>
      <c r="J17" s="65"/>
      <c r="K17" s="77">
        <v>2909.2</v>
      </c>
      <c r="L17" s="77"/>
      <c r="M17" s="46">
        <f t="shared" si="1"/>
        <v>43.5</v>
      </c>
      <c r="N17" s="64">
        <v>7612</v>
      </c>
      <c r="O17" s="65"/>
      <c r="P17" s="77">
        <v>3355.6</v>
      </c>
      <c r="Q17" s="77"/>
      <c r="R17" s="46">
        <f t="shared" si="2"/>
        <v>41.399999999999636</v>
      </c>
      <c r="S17" s="64">
        <v>8439.6</v>
      </c>
      <c r="T17" s="65"/>
      <c r="U17" s="77">
        <v>3831.6</v>
      </c>
      <c r="V17" s="77"/>
      <c r="W17" s="46">
        <f t="shared" si="3"/>
        <v>42.800000000001091</v>
      </c>
      <c r="X17" s="64">
        <v>9242.7000000000007</v>
      </c>
      <c r="Y17" s="65"/>
      <c r="Z17" s="77">
        <v>4195.6000000000004</v>
      </c>
      <c r="AA17" s="77"/>
      <c r="AB17" s="46">
        <f t="shared" si="4"/>
        <v>38.100000000000364</v>
      </c>
      <c r="AC17" s="64">
        <v>10092.5</v>
      </c>
      <c r="AD17" s="65"/>
      <c r="AE17" s="77">
        <v>4508.3</v>
      </c>
      <c r="AF17" s="77"/>
      <c r="AG17" s="46">
        <f t="shared" si="5"/>
        <v>37.999999999998181</v>
      </c>
      <c r="AH17" s="64">
        <v>10824.7</v>
      </c>
      <c r="AI17" s="65"/>
      <c r="AJ17" s="77">
        <v>4738.3999999999996</v>
      </c>
      <c r="AK17" s="77"/>
      <c r="AL17" s="46">
        <f t="shared" si="6"/>
        <v>26.300000000001091</v>
      </c>
      <c r="AM17" s="64">
        <v>11298.3</v>
      </c>
      <c r="AN17" s="65"/>
      <c r="AO17" s="77">
        <v>4873.7</v>
      </c>
      <c r="AP17" s="77"/>
      <c r="AQ17" s="46">
        <f t="shared" si="7"/>
        <v>17.899999999999636</v>
      </c>
      <c r="AR17" s="64"/>
      <c r="AS17" s="65"/>
      <c r="AT17" s="77"/>
      <c r="AU17" s="77"/>
      <c r="AV17" s="46" t="str">
        <f t="shared" si="8"/>
        <v/>
      </c>
      <c r="AW17" s="64"/>
      <c r="AX17" s="65"/>
      <c r="AY17" s="77"/>
      <c r="AZ17" s="77"/>
      <c r="BA17" s="46" t="str">
        <f t="shared" si="9"/>
        <v/>
      </c>
      <c r="BB17" s="64"/>
      <c r="BC17" s="65"/>
      <c r="BD17" s="77"/>
      <c r="BE17" s="77"/>
      <c r="BF17" s="46" t="str">
        <f t="shared" si="10"/>
        <v/>
      </c>
      <c r="BG17" s="64"/>
      <c r="BH17" s="65"/>
      <c r="BI17" s="77"/>
      <c r="BJ17" s="77"/>
      <c r="BK17" s="52" t="str">
        <f t="shared" si="11"/>
        <v/>
      </c>
    </row>
    <row r="18" spans="2:63" x14ac:dyDescent="0.25">
      <c r="B18" s="55" t="s">
        <v>40</v>
      </c>
      <c r="C18" s="56"/>
      <c r="D18" s="64">
        <v>6120.4</v>
      </c>
      <c r="E18" s="65"/>
      <c r="F18" s="65">
        <v>2420.6</v>
      </c>
      <c r="G18" s="65"/>
      <c r="H18" s="46">
        <f t="shared" si="0"/>
        <v>37.100000000000364</v>
      </c>
      <c r="I18" s="64">
        <v>6899.1</v>
      </c>
      <c r="J18" s="65"/>
      <c r="K18" s="77">
        <v>2923.4</v>
      </c>
      <c r="L18" s="77"/>
      <c r="M18" s="46">
        <f t="shared" si="1"/>
        <v>41</v>
      </c>
      <c r="N18" s="64">
        <v>7638.1</v>
      </c>
      <c r="O18" s="65"/>
      <c r="P18" s="77">
        <v>3372.5</v>
      </c>
      <c r="Q18" s="77"/>
      <c r="R18" s="46">
        <f t="shared" si="2"/>
        <v>43</v>
      </c>
      <c r="S18" s="64">
        <v>8466.7999999999993</v>
      </c>
      <c r="T18" s="65"/>
      <c r="U18" s="77">
        <v>3850.1</v>
      </c>
      <c r="V18" s="77"/>
      <c r="W18" s="46">
        <f t="shared" si="3"/>
        <v>45.699999999998909</v>
      </c>
      <c r="X18" s="64">
        <v>9269.7000000000007</v>
      </c>
      <c r="Y18" s="65"/>
      <c r="Z18" s="77">
        <v>4208.8999999999996</v>
      </c>
      <c r="AA18" s="77"/>
      <c r="AB18" s="46">
        <f t="shared" si="4"/>
        <v>40.299999999999272</v>
      </c>
      <c r="AC18" s="64">
        <v>10118.4</v>
      </c>
      <c r="AD18" s="65"/>
      <c r="AE18" s="77">
        <v>4516.6000000000004</v>
      </c>
      <c r="AF18" s="77"/>
      <c r="AG18" s="46">
        <f t="shared" si="5"/>
        <v>34.200000000000728</v>
      </c>
      <c r="AH18" s="64">
        <v>10845.9</v>
      </c>
      <c r="AI18" s="65"/>
      <c r="AJ18" s="77">
        <v>4744.8</v>
      </c>
      <c r="AK18" s="77"/>
      <c r="AL18" s="46">
        <f t="shared" si="6"/>
        <v>27.600000000000364</v>
      </c>
      <c r="AM18" s="64">
        <v>11312</v>
      </c>
      <c r="AN18" s="65"/>
      <c r="AO18" s="77">
        <v>4876.8999999999996</v>
      </c>
      <c r="AP18" s="77"/>
      <c r="AQ18" s="46">
        <f t="shared" si="7"/>
        <v>16.899999999999636</v>
      </c>
      <c r="AR18" s="64"/>
      <c r="AS18" s="65"/>
      <c r="AT18" s="77"/>
      <c r="AU18" s="77"/>
      <c r="AV18" s="46" t="str">
        <f t="shared" si="8"/>
        <v/>
      </c>
      <c r="AW18" s="64"/>
      <c r="AX18" s="65"/>
      <c r="AY18" s="77"/>
      <c r="AZ18" s="77"/>
      <c r="BA18" s="46" t="str">
        <f t="shared" si="9"/>
        <v/>
      </c>
      <c r="BB18" s="64"/>
      <c r="BC18" s="65"/>
      <c r="BD18" s="77"/>
      <c r="BE18" s="77"/>
      <c r="BF18" s="46" t="str">
        <f t="shared" si="10"/>
        <v/>
      </c>
      <c r="BG18" s="64"/>
      <c r="BH18" s="65"/>
      <c r="BI18" s="77"/>
      <c r="BJ18" s="77"/>
      <c r="BK18" s="52" t="str">
        <f t="shared" si="11"/>
        <v/>
      </c>
    </row>
    <row r="19" spans="2:63" x14ac:dyDescent="0.25">
      <c r="B19" s="55" t="s">
        <v>41</v>
      </c>
      <c r="C19" s="56"/>
      <c r="D19" s="64">
        <v>6150.1</v>
      </c>
      <c r="E19" s="65"/>
      <c r="F19" s="65">
        <v>2435.6999999999998</v>
      </c>
      <c r="G19" s="65"/>
      <c r="H19" s="46">
        <f t="shared" si="0"/>
        <v>44.799999999999272</v>
      </c>
      <c r="I19" s="64">
        <v>6920.3</v>
      </c>
      <c r="J19" s="65"/>
      <c r="K19" s="77">
        <v>2934.8</v>
      </c>
      <c r="L19" s="77"/>
      <c r="M19" s="46">
        <f t="shared" si="1"/>
        <v>32.600000000000364</v>
      </c>
      <c r="N19" s="64">
        <v>7664.7</v>
      </c>
      <c r="O19" s="65"/>
      <c r="P19" s="77">
        <v>3390.1</v>
      </c>
      <c r="Q19" s="77"/>
      <c r="R19" s="46">
        <f t="shared" si="2"/>
        <v>44.199999999998909</v>
      </c>
      <c r="S19" s="64">
        <v>8494.1</v>
      </c>
      <c r="T19" s="65"/>
      <c r="U19" s="77">
        <v>3866.2</v>
      </c>
      <c r="V19" s="77"/>
      <c r="W19" s="46">
        <f t="shared" si="3"/>
        <v>43.399999999999636</v>
      </c>
      <c r="X19" s="64">
        <v>9295.6</v>
      </c>
      <c r="Y19" s="65"/>
      <c r="Z19" s="77">
        <v>4219.7</v>
      </c>
      <c r="AA19" s="77"/>
      <c r="AB19" s="46">
        <f t="shared" si="4"/>
        <v>36.699999999998909</v>
      </c>
      <c r="AC19" s="64">
        <v>10146.1</v>
      </c>
      <c r="AD19" s="65"/>
      <c r="AE19" s="77">
        <v>4525.1000000000004</v>
      </c>
      <c r="AF19" s="77"/>
      <c r="AG19" s="46">
        <f t="shared" si="5"/>
        <v>36.200000000000728</v>
      </c>
      <c r="AH19" s="64">
        <v>10864.1</v>
      </c>
      <c r="AI19" s="65"/>
      <c r="AJ19" s="77">
        <v>4750.2</v>
      </c>
      <c r="AK19" s="77"/>
      <c r="AL19" s="46">
        <f t="shared" si="6"/>
        <v>23.599999999998545</v>
      </c>
      <c r="AM19" s="64">
        <v>11325.7</v>
      </c>
      <c r="AN19" s="65"/>
      <c r="AO19" s="77">
        <v>4880.7</v>
      </c>
      <c r="AP19" s="77"/>
      <c r="AQ19" s="46">
        <f t="shared" si="7"/>
        <v>17.500000000001819</v>
      </c>
      <c r="AR19" s="64"/>
      <c r="AS19" s="65"/>
      <c r="AT19" s="77"/>
      <c r="AU19" s="77"/>
      <c r="AV19" s="46" t="str">
        <f t="shared" si="8"/>
        <v/>
      </c>
      <c r="AW19" s="64"/>
      <c r="AX19" s="65"/>
      <c r="AY19" s="77"/>
      <c r="AZ19" s="77"/>
      <c r="BA19" s="46" t="str">
        <f t="shared" si="9"/>
        <v/>
      </c>
      <c r="BB19" s="64"/>
      <c r="BC19" s="65"/>
      <c r="BD19" s="77"/>
      <c r="BE19" s="77"/>
      <c r="BF19" s="46" t="str">
        <f t="shared" si="10"/>
        <v/>
      </c>
      <c r="BG19" s="64"/>
      <c r="BH19" s="65"/>
      <c r="BI19" s="77"/>
      <c r="BJ19" s="77"/>
      <c r="BK19" s="52" t="str">
        <f t="shared" si="11"/>
        <v/>
      </c>
    </row>
    <row r="20" spans="2:63" x14ac:dyDescent="0.25">
      <c r="B20" s="55" t="s">
        <v>42</v>
      </c>
      <c r="C20" s="56"/>
      <c r="D20" s="64">
        <v>6177.3</v>
      </c>
      <c r="E20" s="65"/>
      <c r="F20" s="65">
        <v>2451.1</v>
      </c>
      <c r="G20" s="65"/>
      <c r="H20" s="46">
        <f t="shared" si="0"/>
        <v>42.600000000000364</v>
      </c>
      <c r="I20" s="64">
        <v>6949.3</v>
      </c>
      <c r="J20" s="65"/>
      <c r="K20" s="77">
        <v>2950.8</v>
      </c>
      <c r="L20" s="77"/>
      <c r="M20" s="46">
        <f t="shared" si="1"/>
        <v>45</v>
      </c>
      <c r="N20" s="64">
        <v>7690.3</v>
      </c>
      <c r="O20" s="65"/>
      <c r="P20" s="77">
        <v>3406.1</v>
      </c>
      <c r="Q20" s="77"/>
      <c r="R20" s="46">
        <f t="shared" si="2"/>
        <v>41.600000000000364</v>
      </c>
      <c r="S20" s="64">
        <v>8518.7999999999993</v>
      </c>
      <c r="T20" s="65"/>
      <c r="U20" s="77">
        <v>3878.5</v>
      </c>
      <c r="V20" s="77"/>
      <c r="W20" s="46">
        <f t="shared" si="3"/>
        <v>37</v>
      </c>
      <c r="X20" s="64">
        <v>9321.1</v>
      </c>
      <c r="Y20" s="65"/>
      <c r="Z20" s="77">
        <v>4231.2</v>
      </c>
      <c r="AA20" s="77"/>
      <c r="AB20" s="46">
        <f t="shared" si="4"/>
        <v>37</v>
      </c>
      <c r="AC20" s="64">
        <v>10173.799999999999</v>
      </c>
      <c r="AD20" s="65"/>
      <c r="AE20" s="77">
        <v>4532.6000000000004</v>
      </c>
      <c r="AF20" s="77"/>
      <c r="AG20" s="46">
        <f t="shared" si="5"/>
        <v>35.199999999998909</v>
      </c>
      <c r="AH20" s="64">
        <v>10881.7</v>
      </c>
      <c r="AI20" s="65"/>
      <c r="AJ20" s="77">
        <v>4755.5</v>
      </c>
      <c r="AK20" s="77"/>
      <c r="AL20" s="46">
        <f t="shared" si="6"/>
        <v>22.900000000001455</v>
      </c>
      <c r="AM20" s="64">
        <v>11340.4</v>
      </c>
      <c r="AN20" s="65"/>
      <c r="AO20" s="77">
        <v>4885</v>
      </c>
      <c r="AP20" s="77"/>
      <c r="AQ20" s="46">
        <f t="shared" si="7"/>
        <v>18.999999999998181</v>
      </c>
      <c r="AR20" s="64"/>
      <c r="AS20" s="65"/>
      <c r="AT20" s="77"/>
      <c r="AU20" s="77"/>
      <c r="AV20" s="46" t="str">
        <f t="shared" si="8"/>
        <v/>
      </c>
      <c r="AW20" s="64"/>
      <c r="AX20" s="65"/>
      <c r="AY20" s="77"/>
      <c r="AZ20" s="77"/>
      <c r="BA20" s="46" t="str">
        <f t="shared" si="9"/>
        <v/>
      </c>
      <c r="BB20" s="64"/>
      <c r="BC20" s="65"/>
      <c r="BD20" s="77"/>
      <c r="BE20" s="77"/>
      <c r="BF20" s="46" t="str">
        <f t="shared" si="10"/>
        <v/>
      </c>
      <c r="BG20" s="64"/>
      <c r="BH20" s="65"/>
      <c r="BI20" s="77"/>
      <c r="BJ20" s="77"/>
      <c r="BK20" s="52" t="str">
        <f t="shared" si="11"/>
        <v/>
      </c>
    </row>
    <row r="21" spans="2:63" x14ac:dyDescent="0.25">
      <c r="B21" s="55" t="s">
        <v>43</v>
      </c>
      <c r="C21" s="56"/>
      <c r="D21" s="64">
        <v>6198.3</v>
      </c>
      <c r="E21" s="65"/>
      <c r="F21" s="65">
        <v>2463.6</v>
      </c>
      <c r="G21" s="65"/>
      <c r="H21" s="46">
        <f t="shared" si="0"/>
        <v>33.5</v>
      </c>
      <c r="I21" s="64">
        <v>6977.8</v>
      </c>
      <c r="J21" s="65"/>
      <c r="K21" s="77">
        <v>2967.6</v>
      </c>
      <c r="L21" s="77"/>
      <c r="M21" s="46">
        <f t="shared" si="1"/>
        <v>45.299999999999272</v>
      </c>
      <c r="N21" s="64">
        <v>7717.7</v>
      </c>
      <c r="O21" s="65"/>
      <c r="P21" s="77">
        <v>3424.1</v>
      </c>
      <c r="Q21" s="77"/>
      <c r="R21" s="46">
        <f t="shared" si="2"/>
        <v>45.399999999999636</v>
      </c>
      <c r="S21" s="64">
        <v>8548.2000000000007</v>
      </c>
      <c r="T21" s="65"/>
      <c r="U21" s="77">
        <v>3890.4</v>
      </c>
      <c r="V21" s="77"/>
      <c r="W21" s="46">
        <f t="shared" si="3"/>
        <v>41.300000000001091</v>
      </c>
      <c r="X21" s="64">
        <v>9347.5</v>
      </c>
      <c r="Y21" s="65"/>
      <c r="Z21" s="77">
        <v>4242.5</v>
      </c>
      <c r="AA21" s="77"/>
      <c r="AB21" s="46">
        <f t="shared" si="4"/>
        <v>37.700000000000728</v>
      </c>
      <c r="AC21" s="64">
        <v>10202.700000000001</v>
      </c>
      <c r="AD21" s="65"/>
      <c r="AE21" s="77">
        <v>4541.1000000000004</v>
      </c>
      <c r="AF21" s="77"/>
      <c r="AG21" s="46">
        <f t="shared" si="5"/>
        <v>37.400000000001455</v>
      </c>
      <c r="AH21" s="64">
        <v>10899.9</v>
      </c>
      <c r="AI21" s="65"/>
      <c r="AJ21" s="77">
        <v>4761.2</v>
      </c>
      <c r="AK21" s="77"/>
      <c r="AL21" s="46">
        <f t="shared" si="6"/>
        <v>23.899999999997817</v>
      </c>
      <c r="AM21" s="64">
        <v>11354.1</v>
      </c>
      <c r="AN21" s="65"/>
      <c r="AO21" s="77">
        <v>4889.6000000000004</v>
      </c>
      <c r="AP21" s="77"/>
      <c r="AQ21" s="46">
        <f t="shared" si="7"/>
        <v>18.300000000001091</v>
      </c>
      <c r="AR21" s="64"/>
      <c r="AS21" s="65"/>
      <c r="AT21" s="77"/>
      <c r="AU21" s="77"/>
      <c r="AV21" s="46" t="str">
        <f t="shared" si="8"/>
        <v/>
      </c>
      <c r="AW21" s="64"/>
      <c r="AX21" s="65"/>
      <c r="AY21" s="77"/>
      <c r="AZ21" s="77"/>
      <c r="BA21" s="46" t="str">
        <f t="shared" si="9"/>
        <v/>
      </c>
      <c r="BB21" s="64"/>
      <c r="BC21" s="65"/>
      <c r="BD21" s="77"/>
      <c r="BE21" s="77"/>
      <c r="BF21" s="46" t="str">
        <f t="shared" si="10"/>
        <v/>
      </c>
      <c r="BG21" s="64"/>
      <c r="BH21" s="65"/>
      <c r="BI21" s="77"/>
      <c r="BJ21" s="77"/>
      <c r="BK21" s="52" t="str">
        <f t="shared" si="11"/>
        <v/>
      </c>
    </row>
    <row r="22" spans="2:63" x14ac:dyDescent="0.25">
      <c r="B22" s="55" t="s">
        <v>44</v>
      </c>
      <c r="C22" s="56"/>
      <c r="D22" s="64">
        <v>6220.5</v>
      </c>
      <c r="E22" s="65"/>
      <c r="F22" s="65">
        <v>2478.6</v>
      </c>
      <c r="G22" s="65"/>
      <c r="H22" s="46">
        <f t="shared" si="0"/>
        <v>37.200000000000728</v>
      </c>
      <c r="I22" s="64">
        <v>6999.6</v>
      </c>
      <c r="J22" s="65"/>
      <c r="K22" s="77">
        <v>2982.6</v>
      </c>
      <c r="L22" s="77"/>
      <c r="M22" s="46">
        <f t="shared" si="1"/>
        <v>36.800000000001091</v>
      </c>
      <c r="N22" s="64">
        <v>7744.6</v>
      </c>
      <c r="O22" s="65"/>
      <c r="P22" s="77">
        <v>3443.1</v>
      </c>
      <c r="Q22" s="77"/>
      <c r="R22" s="46">
        <f t="shared" si="2"/>
        <v>45.900000000001455</v>
      </c>
      <c r="S22" s="64">
        <v>8574.6</v>
      </c>
      <c r="T22" s="65"/>
      <c r="U22" s="77">
        <v>3901.3</v>
      </c>
      <c r="V22" s="77"/>
      <c r="W22" s="46">
        <f t="shared" si="3"/>
        <v>37.300000000001091</v>
      </c>
      <c r="X22" s="64">
        <v>9372.7000000000007</v>
      </c>
      <c r="Y22" s="65"/>
      <c r="Z22" s="77">
        <v>4253.1000000000004</v>
      </c>
      <c r="AA22" s="77"/>
      <c r="AB22" s="46">
        <f t="shared" si="4"/>
        <v>35.800000000001091</v>
      </c>
      <c r="AC22" s="64">
        <v>10229.1</v>
      </c>
      <c r="AD22" s="65"/>
      <c r="AE22" s="77">
        <v>4549</v>
      </c>
      <c r="AF22" s="77"/>
      <c r="AG22" s="46">
        <f t="shared" si="5"/>
        <v>34.299999999999272</v>
      </c>
      <c r="AH22" s="64">
        <v>10916.1</v>
      </c>
      <c r="AI22" s="65"/>
      <c r="AJ22" s="77">
        <v>4766.1000000000004</v>
      </c>
      <c r="AK22" s="77"/>
      <c r="AL22" s="46">
        <f t="shared" si="6"/>
        <v>21.100000000002183</v>
      </c>
      <c r="AM22" s="64">
        <v>11368.1</v>
      </c>
      <c r="AN22" s="65"/>
      <c r="AO22" s="77">
        <v>4893.8</v>
      </c>
      <c r="AP22" s="77"/>
      <c r="AQ22" s="46">
        <f t="shared" si="7"/>
        <v>18.200000000000728</v>
      </c>
      <c r="AR22" s="64"/>
      <c r="AS22" s="65"/>
      <c r="AT22" s="77"/>
      <c r="AU22" s="77"/>
      <c r="AV22" s="46" t="str">
        <f t="shared" si="8"/>
        <v/>
      </c>
      <c r="AW22" s="64"/>
      <c r="AX22" s="65"/>
      <c r="AY22" s="77"/>
      <c r="AZ22" s="77"/>
      <c r="BA22" s="46" t="str">
        <f t="shared" si="9"/>
        <v/>
      </c>
      <c r="BB22" s="64"/>
      <c r="BC22" s="65"/>
      <c r="BD22" s="77"/>
      <c r="BE22" s="77"/>
      <c r="BF22" s="46" t="str">
        <f t="shared" si="10"/>
        <v/>
      </c>
      <c r="BG22" s="64"/>
      <c r="BH22" s="65"/>
      <c r="BI22" s="77"/>
      <c r="BJ22" s="77"/>
      <c r="BK22" s="52" t="str">
        <f t="shared" si="11"/>
        <v/>
      </c>
    </row>
    <row r="23" spans="2:63" x14ac:dyDescent="0.25">
      <c r="B23" s="55" t="s">
        <v>45</v>
      </c>
      <c r="C23" s="56"/>
      <c r="D23" s="64">
        <v>6246.7</v>
      </c>
      <c r="E23" s="65"/>
      <c r="F23" s="65">
        <v>2497.6</v>
      </c>
      <c r="G23" s="65"/>
      <c r="H23" s="46">
        <f t="shared" si="0"/>
        <v>45.199999999998909</v>
      </c>
      <c r="I23" s="64">
        <v>7030.2</v>
      </c>
      <c r="J23" s="65"/>
      <c r="K23" s="77">
        <v>3001.8</v>
      </c>
      <c r="L23" s="77"/>
      <c r="M23" s="46">
        <f t="shared" si="1"/>
        <v>49.799999999999272</v>
      </c>
      <c r="N23" s="64">
        <v>7769.3</v>
      </c>
      <c r="O23" s="65"/>
      <c r="P23" s="78">
        <v>3463</v>
      </c>
      <c r="Q23" s="78"/>
      <c r="R23" s="46">
        <f t="shared" si="2"/>
        <v>44.599999999998545</v>
      </c>
      <c r="S23" s="64">
        <v>8601.7999999999993</v>
      </c>
      <c r="T23" s="65"/>
      <c r="U23" s="77">
        <v>3913.1</v>
      </c>
      <c r="V23" s="77"/>
      <c r="W23" s="46">
        <f t="shared" si="3"/>
        <v>38.999999999998181</v>
      </c>
      <c r="X23" s="64">
        <v>9397.5</v>
      </c>
      <c r="Y23" s="65"/>
      <c r="Z23" s="77">
        <v>4264</v>
      </c>
      <c r="AA23" s="77"/>
      <c r="AB23" s="46">
        <f t="shared" si="4"/>
        <v>35.699999999998909</v>
      </c>
      <c r="AC23" s="64">
        <v>10260.4</v>
      </c>
      <c r="AD23" s="65"/>
      <c r="AE23" s="77">
        <v>4558.3</v>
      </c>
      <c r="AF23" s="77"/>
      <c r="AG23" s="46">
        <f t="shared" si="5"/>
        <v>40.600000000000364</v>
      </c>
      <c r="AH23" s="64">
        <v>10933.9</v>
      </c>
      <c r="AI23" s="65"/>
      <c r="AJ23" s="77">
        <v>4771.5</v>
      </c>
      <c r="AK23" s="77"/>
      <c r="AL23" s="46">
        <f t="shared" si="6"/>
        <v>23.199999999998909</v>
      </c>
      <c r="AM23" s="64">
        <v>11381.3</v>
      </c>
      <c r="AN23" s="65"/>
      <c r="AO23" s="77">
        <v>4897.7</v>
      </c>
      <c r="AP23" s="77"/>
      <c r="AQ23" s="46">
        <f t="shared" si="7"/>
        <v>17.099999999998545</v>
      </c>
      <c r="AR23" s="64"/>
      <c r="AS23" s="65"/>
      <c r="AT23" s="77"/>
      <c r="AU23" s="77"/>
      <c r="AV23" s="46" t="str">
        <f t="shared" si="8"/>
        <v/>
      </c>
      <c r="AW23" s="64"/>
      <c r="AX23" s="65"/>
      <c r="AY23" s="77"/>
      <c r="AZ23" s="77"/>
      <c r="BA23" s="46" t="str">
        <f t="shared" si="9"/>
        <v/>
      </c>
      <c r="BB23" s="64"/>
      <c r="BC23" s="65"/>
      <c r="BD23" s="77"/>
      <c r="BE23" s="77"/>
      <c r="BF23" s="46" t="str">
        <f t="shared" si="10"/>
        <v/>
      </c>
      <c r="BG23" s="64"/>
      <c r="BH23" s="65"/>
      <c r="BI23" s="77"/>
      <c r="BJ23" s="77"/>
      <c r="BK23" s="52" t="str">
        <f t="shared" si="11"/>
        <v/>
      </c>
    </row>
    <row r="24" spans="2:63" x14ac:dyDescent="0.25">
      <c r="B24" s="55" t="s">
        <v>46</v>
      </c>
      <c r="C24" s="56"/>
      <c r="D24" s="64">
        <v>6269.8</v>
      </c>
      <c r="E24" s="65"/>
      <c r="F24" s="65">
        <v>2515.4</v>
      </c>
      <c r="G24" s="65"/>
      <c r="H24" s="46">
        <f t="shared" si="0"/>
        <v>40.900000000001455</v>
      </c>
      <c r="I24" s="64">
        <v>7058.4</v>
      </c>
      <c r="J24" s="65"/>
      <c r="K24" s="77">
        <v>3017.7</v>
      </c>
      <c r="L24" s="77"/>
      <c r="M24" s="46">
        <f t="shared" si="1"/>
        <v>44.099999999998545</v>
      </c>
      <c r="N24" s="64">
        <v>7797.2</v>
      </c>
      <c r="O24" s="65"/>
      <c r="P24" s="77">
        <v>3480.7</v>
      </c>
      <c r="Q24" s="77"/>
      <c r="R24" s="46">
        <f t="shared" si="2"/>
        <v>45.600000000000364</v>
      </c>
      <c r="S24" s="64">
        <v>8629.2000000000007</v>
      </c>
      <c r="T24" s="65"/>
      <c r="U24" s="77">
        <v>3926</v>
      </c>
      <c r="V24" s="77"/>
      <c r="W24" s="46">
        <f t="shared" si="3"/>
        <v>40.300000000001091</v>
      </c>
      <c r="X24" s="64">
        <v>9425.2999999999993</v>
      </c>
      <c r="Y24" s="65"/>
      <c r="Z24" s="77">
        <v>4274.5</v>
      </c>
      <c r="AA24" s="77"/>
      <c r="AB24" s="46">
        <f t="shared" si="4"/>
        <v>38.299999999999272</v>
      </c>
      <c r="AC24" s="64">
        <v>10288.4</v>
      </c>
      <c r="AD24" s="65"/>
      <c r="AE24" s="77">
        <v>4567.1000000000004</v>
      </c>
      <c r="AF24" s="77"/>
      <c r="AG24" s="46">
        <f t="shared" si="5"/>
        <v>36.799999999999272</v>
      </c>
      <c r="AH24" s="64">
        <v>10951.1</v>
      </c>
      <c r="AI24" s="65"/>
      <c r="AJ24" s="77">
        <v>4776.3</v>
      </c>
      <c r="AK24" s="77"/>
      <c r="AL24" s="46">
        <f t="shared" si="6"/>
        <v>22.000000000001819</v>
      </c>
      <c r="AM24" s="64">
        <v>11394.8</v>
      </c>
      <c r="AN24" s="65"/>
      <c r="AO24" s="77">
        <v>4901.7</v>
      </c>
      <c r="AP24" s="77"/>
      <c r="AQ24" s="46">
        <f t="shared" si="7"/>
        <v>17.5</v>
      </c>
      <c r="AR24" s="64"/>
      <c r="AS24" s="65"/>
      <c r="AT24" s="77"/>
      <c r="AU24" s="77"/>
      <c r="AV24" s="46" t="str">
        <f t="shared" si="8"/>
        <v/>
      </c>
      <c r="AW24" s="64"/>
      <c r="AX24" s="65"/>
      <c r="AY24" s="77"/>
      <c r="AZ24" s="77"/>
      <c r="BA24" s="46" t="str">
        <f t="shared" si="9"/>
        <v/>
      </c>
      <c r="BB24" s="64"/>
      <c r="BC24" s="65"/>
      <c r="BD24" s="77"/>
      <c r="BE24" s="77"/>
      <c r="BF24" s="46" t="str">
        <f t="shared" si="10"/>
        <v/>
      </c>
      <c r="BG24" s="64"/>
      <c r="BH24" s="65"/>
      <c r="BI24" s="77"/>
      <c r="BJ24" s="77"/>
      <c r="BK24" s="52" t="str">
        <f t="shared" si="11"/>
        <v/>
      </c>
    </row>
    <row r="25" spans="2:63" x14ac:dyDescent="0.25">
      <c r="B25" s="55" t="s">
        <v>47</v>
      </c>
      <c r="C25" s="56"/>
      <c r="D25" s="64">
        <v>6293.7</v>
      </c>
      <c r="E25" s="65"/>
      <c r="F25" s="65">
        <v>2532.6</v>
      </c>
      <c r="G25" s="65"/>
      <c r="H25" s="46">
        <f t="shared" si="0"/>
        <v>41.099999999998545</v>
      </c>
      <c r="I25" s="64">
        <v>7088.2</v>
      </c>
      <c r="J25" s="65"/>
      <c r="K25" s="77">
        <v>3033.8</v>
      </c>
      <c r="L25" s="77"/>
      <c r="M25" s="46">
        <f t="shared" si="1"/>
        <v>45.900000000001455</v>
      </c>
      <c r="N25" s="64">
        <v>7823.1</v>
      </c>
      <c r="O25" s="65"/>
      <c r="P25" s="77">
        <v>3492.7</v>
      </c>
      <c r="Q25" s="77"/>
      <c r="R25" s="46">
        <f t="shared" si="2"/>
        <v>37.899999999999636</v>
      </c>
      <c r="S25" s="64">
        <v>8654.2999999999993</v>
      </c>
      <c r="T25" s="65"/>
      <c r="U25" s="77">
        <v>3938.6</v>
      </c>
      <c r="V25" s="77"/>
      <c r="W25" s="46">
        <f t="shared" si="3"/>
        <v>37.699999999998909</v>
      </c>
      <c r="X25" s="64">
        <v>9455.1</v>
      </c>
      <c r="Y25" s="65"/>
      <c r="Z25" s="77">
        <v>4284.7</v>
      </c>
      <c r="AA25" s="77"/>
      <c r="AB25" s="46">
        <f t="shared" si="4"/>
        <v>40</v>
      </c>
      <c r="AC25" s="64">
        <v>10314.6</v>
      </c>
      <c r="AD25" s="65"/>
      <c r="AE25" s="77">
        <v>4575.7</v>
      </c>
      <c r="AF25" s="77"/>
      <c r="AG25" s="46">
        <f t="shared" si="5"/>
        <v>34.799999999999272</v>
      </c>
      <c r="AH25" s="64">
        <v>10967.7</v>
      </c>
      <c r="AI25" s="65"/>
      <c r="AJ25" s="77">
        <v>4781.3999999999996</v>
      </c>
      <c r="AK25" s="77"/>
      <c r="AL25" s="46">
        <f t="shared" si="6"/>
        <v>21.699999999998909</v>
      </c>
      <c r="AM25" s="64">
        <v>11408.5</v>
      </c>
      <c r="AN25" s="65"/>
      <c r="AO25" s="77">
        <v>4905.6000000000004</v>
      </c>
      <c r="AP25" s="77"/>
      <c r="AQ25" s="46">
        <f t="shared" si="7"/>
        <v>17.600000000000364</v>
      </c>
      <c r="AR25" s="64"/>
      <c r="AS25" s="65"/>
      <c r="AT25" s="77"/>
      <c r="AU25" s="77"/>
      <c r="AV25" s="46" t="str">
        <f t="shared" si="8"/>
        <v/>
      </c>
      <c r="AW25" s="64"/>
      <c r="AX25" s="65"/>
      <c r="AY25" s="77"/>
      <c r="AZ25" s="77"/>
      <c r="BA25" s="46" t="str">
        <f t="shared" si="9"/>
        <v/>
      </c>
      <c r="BB25" s="64"/>
      <c r="BC25" s="65"/>
      <c r="BD25" s="77"/>
      <c r="BE25" s="77"/>
      <c r="BF25" s="46" t="str">
        <f t="shared" si="10"/>
        <v/>
      </c>
      <c r="BG25" s="64"/>
      <c r="BH25" s="65"/>
      <c r="BI25" s="77"/>
      <c r="BJ25" s="77"/>
      <c r="BK25" s="52" t="str">
        <f t="shared" si="11"/>
        <v/>
      </c>
    </row>
    <row r="26" spans="2:63" x14ac:dyDescent="0.25">
      <c r="B26" s="55" t="s">
        <v>48</v>
      </c>
      <c r="C26" s="56"/>
      <c r="D26" s="64">
        <v>6325.9</v>
      </c>
      <c r="E26" s="65"/>
      <c r="F26" s="65">
        <v>2548.9</v>
      </c>
      <c r="G26" s="65"/>
      <c r="H26" s="46">
        <f t="shared" si="0"/>
        <v>48.5</v>
      </c>
      <c r="I26" s="64">
        <v>7109.5</v>
      </c>
      <c r="J26" s="65"/>
      <c r="K26" s="77">
        <v>3047.3</v>
      </c>
      <c r="L26" s="77"/>
      <c r="M26" s="46">
        <f t="shared" si="1"/>
        <v>34.799999999999272</v>
      </c>
      <c r="N26" s="64">
        <v>7848.5</v>
      </c>
      <c r="O26" s="65"/>
      <c r="P26" s="77">
        <v>3504.1</v>
      </c>
      <c r="Q26" s="77"/>
      <c r="R26" s="46">
        <f t="shared" si="2"/>
        <v>36.800000000001091</v>
      </c>
      <c r="S26" s="64">
        <v>8681.2000000000007</v>
      </c>
      <c r="T26" s="65"/>
      <c r="U26" s="77">
        <v>3950.5</v>
      </c>
      <c r="V26" s="77"/>
      <c r="W26" s="46">
        <f t="shared" si="3"/>
        <v>38.800000000001091</v>
      </c>
      <c r="X26" s="64">
        <v>9482.1</v>
      </c>
      <c r="Y26" s="65"/>
      <c r="Z26" s="77">
        <v>4294.3</v>
      </c>
      <c r="AA26" s="77"/>
      <c r="AB26" s="46">
        <f t="shared" si="4"/>
        <v>36.600000000002183</v>
      </c>
      <c r="AC26" s="64">
        <v>10340.1</v>
      </c>
      <c r="AD26" s="65"/>
      <c r="AE26" s="77">
        <v>4584.7</v>
      </c>
      <c r="AF26" s="77"/>
      <c r="AG26" s="46">
        <f t="shared" si="5"/>
        <v>34.5</v>
      </c>
      <c r="AH26" s="64">
        <v>10985.8</v>
      </c>
      <c r="AI26" s="65"/>
      <c r="AJ26" s="77">
        <v>4786.8999999999996</v>
      </c>
      <c r="AK26" s="77"/>
      <c r="AL26" s="46">
        <f t="shared" si="6"/>
        <v>23.599999999998545</v>
      </c>
      <c r="AM26" s="64">
        <v>11423.1</v>
      </c>
      <c r="AN26" s="65"/>
      <c r="AO26" s="77">
        <v>4909.8</v>
      </c>
      <c r="AP26" s="77"/>
      <c r="AQ26" s="46">
        <f t="shared" si="7"/>
        <v>18.800000000001091</v>
      </c>
      <c r="AR26" s="64"/>
      <c r="AS26" s="65"/>
      <c r="AT26" s="77"/>
      <c r="AU26" s="77"/>
      <c r="AV26" s="46" t="str">
        <f t="shared" si="8"/>
        <v/>
      </c>
      <c r="AW26" s="64"/>
      <c r="AX26" s="65"/>
      <c r="AY26" s="77"/>
      <c r="AZ26" s="77"/>
      <c r="BA26" s="46" t="str">
        <f t="shared" si="9"/>
        <v/>
      </c>
      <c r="BB26" s="64"/>
      <c r="BC26" s="65"/>
      <c r="BD26" s="77"/>
      <c r="BE26" s="77"/>
      <c r="BF26" s="46" t="str">
        <f t="shared" si="10"/>
        <v/>
      </c>
      <c r="BG26" s="64"/>
      <c r="BH26" s="65"/>
      <c r="BI26" s="77"/>
      <c r="BJ26" s="77"/>
      <c r="BK26" s="52" t="str">
        <f t="shared" si="11"/>
        <v/>
      </c>
    </row>
    <row r="27" spans="2:63" x14ac:dyDescent="0.25">
      <c r="B27" s="55" t="s">
        <v>49</v>
      </c>
      <c r="C27" s="56"/>
      <c r="D27" s="64">
        <v>6345.9</v>
      </c>
      <c r="E27" s="65"/>
      <c r="F27" s="65">
        <v>2560.1999999999998</v>
      </c>
      <c r="G27" s="65"/>
      <c r="H27" s="46">
        <f t="shared" si="0"/>
        <v>31.299999999999272</v>
      </c>
      <c r="I27" s="64">
        <v>7135.2</v>
      </c>
      <c r="J27" s="65"/>
      <c r="K27" s="77">
        <v>3062.2</v>
      </c>
      <c r="L27" s="77"/>
      <c r="M27" s="46">
        <f t="shared" si="1"/>
        <v>40.600000000000364</v>
      </c>
      <c r="N27" s="64">
        <v>7874.1</v>
      </c>
      <c r="O27" s="65"/>
      <c r="P27" s="77">
        <v>3516.3</v>
      </c>
      <c r="Q27" s="77"/>
      <c r="R27" s="46">
        <f t="shared" si="2"/>
        <v>37.800000000001091</v>
      </c>
      <c r="S27" s="64">
        <v>8707.5</v>
      </c>
      <c r="T27" s="65"/>
      <c r="U27" s="77">
        <v>3961.4</v>
      </c>
      <c r="V27" s="77"/>
      <c r="W27" s="46">
        <f t="shared" si="3"/>
        <v>37.199999999998909</v>
      </c>
      <c r="X27" s="64">
        <v>9508.9</v>
      </c>
      <c r="Y27" s="65"/>
      <c r="Z27" s="77">
        <v>4304.1000000000004</v>
      </c>
      <c r="AA27" s="77"/>
      <c r="AB27" s="46">
        <f t="shared" si="4"/>
        <v>36.599999999998545</v>
      </c>
      <c r="AC27" s="64">
        <v>10367.200000000001</v>
      </c>
      <c r="AD27" s="65"/>
      <c r="AE27" s="77">
        <v>4593.2</v>
      </c>
      <c r="AF27" s="77"/>
      <c r="AG27" s="46">
        <f t="shared" si="5"/>
        <v>35.600000000002183</v>
      </c>
      <c r="AH27" s="64">
        <v>11000.8</v>
      </c>
      <c r="AI27" s="65"/>
      <c r="AJ27" s="77">
        <v>4791.2</v>
      </c>
      <c r="AK27" s="77"/>
      <c r="AL27" s="46">
        <f t="shared" si="6"/>
        <v>19.300000000001091</v>
      </c>
      <c r="AM27" s="64">
        <v>11437.5</v>
      </c>
      <c r="AN27" s="65"/>
      <c r="AO27" s="77">
        <v>4913.8999999999996</v>
      </c>
      <c r="AP27" s="77"/>
      <c r="AQ27" s="46">
        <f t="shared" si="7"/>
        <v>18.499999999998181</v>
      </c>
      <c r="AR27" s="64"/>
      <c r="AS27" s="65"/>
      <c r="AT27" s="77"/>
      <c r="AU27" s="77"/>
      <c r="AV27" s="46" t="str">
        <f t="shared" si="8"/>
        <v/>
      </c>
      <c r="AW27" s="64"/>
      <c r="AX27" s="65"/>
      <c r="AY27" s="77"/>
      <c r="AZ27" s="77"/>
      <c r="BA27" s="46" t="str">
        <f t="shared" si="9"/>
        <v/>
      </c>
      <c r="BB27" s="64"/>
      <c r="BC27" s="65"/>
      <c r="BD27" s="77"/>
      <c r="BE27" s="77"/>
      <c r="BF27" s="46" t="str">
        <f t="shared" si="10"/>
        <v/>
      </c>
      <c r="BG27" s="64"/>
      <c r="BH27" s="65"/>
      <c r="BI27" s="77"/>
      <c r="BJ27" s="77"/>
      <c r="BK27" s="52" t="str">
        <f t="shared" si="11"/>
        <v/>
      </c>
    </row>
    <row r="28" spans="2:63" x14ac:dyDescent="0.25">
      <c r="B28" s="55" t="s">
        <v>50</v>
      </c>
      <c r="C28" s="56"/>
      <c r="D28" s="64">
        <v>6369.3</v>
      </c>
      <c r="E28" s="65"/>
      <c r="F28" s="65">
        <v>2575.6999999999998</v>
      </c>
      <c r="G28" s="65"/>
      <c r="H28" s="46">
        <f t="shared" si="0"/>
        <v>38.900000000001455</v>
      </c>
      <c r="I28" s="64">
        <v>7165.7</v>
      </c>
      <c r="J28" s="65"/>
      <c r="K28" s="77">
        <v>3079.2</v>
      </c>
      <c r="L28" s="77"/>
      <c r="M28" s="46">
        <f t="shared" si="1"/>
        <v>47.5</v>
      </c>
      <c r="N28" s="64">
        <v>7901.2</v>
      </c>
      <c r="O28" s="65"/>
      <c r="P28" s="77">
        <v>3529.7</v>
      </c>
      <c r="Q28" s="77"/>
      <c r="R28" s="46">
        <f t="shared" si="2"/>
        <v>40.499999999998181</v>
      </c>
      <c r="S28" s="64">
        <v>8734.7000000000007</v>
      </c>
      <c r="T28" s="65"/>
      <c r="U28" s="77">
        <v>3973.1</v>
      </c>
      <c r="V28" s="77"/>
      <c r="W28" s="46">
        <f t="shared" si="3"/>
        <v>38.900000000001455</v>
      </c>
      <c r="X28" s="64">
        <v>9534.4</v>
      </c>
      <c r="Y28" s="65"/>
      <c r="Z28" s="77">
        <v>4313.8</v>
      </c>
      <c r="AA28" s="77"/>
      <c r="AB28" s="46">
        <f t="shared" si="4"/>
        <v>35.200000000000728</v>
      </c>
      <c r="AC28" s="64">
        <v>10394.200000000001</v>
      </c>
      <c r="AD28" s="65"/>
      <c r="AE28" s="77">
        <v>4602.1000000000004</v>
      </c>
      <c r="AF28" s="77"/>
      <c r="AG28" s="46">
        <f t="shared" si="5"/>
        <v>35.899999999999636</v>
      </c>
      <c r="AH28" s="64">
        <v>11017.5</v>
      </c>
      <c r="AI28" s="65"/>
      <c r="AJ28" s="77">
        <v>4796</v>
      </c>
      <c r="AK28" s="77"/>
      <c r="AL28" s="46">
        <f t="shared" si="6"/>
        <v>21.5</v>
      </c>
      <c r="AM28" s="64">
        <v>11451.8</v>
      </c>
      <c r="AN28" s="65"/>
      <c r="AO28" s="77">
        <v>4917.8</v>
      </c>
      <c r="AP28" s="77"/>
      <c r="AQ28" s="46">
        <f t="shared" si="7"/>
        <v>18.199999999998909</v>
      </c>
      <c r="AR28" s="64"/>
      <c r="AS28" s="65"/>
      <c r="AT28" s="77"/>
      <c r="AU28" s="77"/>
      <c r="AV28" s="46" t="str">
        <f t="shared" si="8"/>
        <v/>
      </c>
      <c r="AW28" s="64"/>
      <c r="AX28" s="65"/>
      <c r="AY28" s="77"/>
      <c r="AZ28" s="77"/>
      <c r="BA28" s="46" t="str">
        <f t="shared" si="9"/>
        <v/>
      </c>
      <c r="BB28" s="64"/>
      <c r="BC28" s="65"/>
      <c r="BD28" s="77"/>
      <c r="BE28" s="77"/>
      <c r="BF28" s="46" t="str">
        <f t="shared" si="10"/>
        <v/>
      </c>
      <c r="BG28" s="64"/>
      <c r="BH28" s="65"/>
      <c r="BI28" s="77"/>
      <c r="BJ28" s="77"/>
      <c r="BK28" s="52" t="str">
        <f t="shared" si="11"/>
        <v/>
      </c>
    </row>
    <row r="29" spans="2:63" x14ac:dyDescent="0.25">
      <c r="B29" s="55" t="s">
        <v>51</v>
      </c>
      <c r="C29" s="56"/>
      <c r="D29" s="64">
        <v>6393.1</v>
      </c>
      <c r="E29" s="65"/>
      <c r="F29" s="65">
        <v>2590</v>
      </c>
      <c r="G29" s="65"/>
      <c r="H29" s="46">
        <f t="shared" si="0"/>
        <v>38.100000000000364</v>
      </c>
      <c r="I29" s="64">
        <v>7190.3</v>
      </c>
      <c r="J29" s="65"/>
      <c r="K29" s="77">
        <v>3097.5</v>
      </c>
      <c r="L29" s="77"/>
      <c r="M29" s="46">
        <f t="shared" si="1"/>
        <v>42.899999999999636</v>
      </c>
      <c r="N29" s="64">
        <v>7929.2</v>
      </c>
      <c r="O29" s="65"/>
      <c r="P29" s="77">
        <v>3544.7</v>
      </c>
      <c r="Q29" s="77"/>
      <c r="R29" s="46">
        <f t="shared" si="2"/>
        <v>43</v>
      </c>
      <c r="S29" s="64">
        <v>8760.2000000000007</v>
      </c>
      <c r="T29" s="65"/>
      <c r="U29" s="77">
        <v>3984</v>
      </c>
      <c r="V29" s="77"/>
      <c r="W29" s="46">
        <f t="shared" si="3"/>
        <v>36.399999999999636</v>
      </c>
      <c r="X29" s="64">
        <v>9562.9</v>
      </c>
      <c r="Y29" s="65"/>
      <c r="Z29" s="77">
        <v>4324.3999999999996</v>
      </c>
      <c r="AA29" s="77"/>
      <c r="AB29" s="46">
        <f t="shared" si="4"/>
        <v>39.099999999998545</v>
      </c>
      <c r="AC29" s="64">
        <v>10420.299999999999</v>
      </c>
      <c r="AD29" s="65"/>
      <c r="AE29" s="77">
        <v>4610.6000000000004</v>
      </c>
      <c r="AF29" s="77"/>
      <c r="AG29" s="46">
        <f t="shared" si="5"/>
        <v>34.599999999998545</v>
      </c>
      <c r="AH29" s="64">
        <v>11034.9</v>
      </c>
      <c r="AI29" s="65"/>
      <c r="AJ29" s="77">
        <v>4801.04</v>
      </c>
      <c r="AK29" s="77"/>
      <c r="AL29" s="46">
        <f t="shared" si="6"/>
        <v>22.43999999999869</v>
      </c>
      <c r="AM29" s="64">
        <v>11466.5</v>
      </c>
      <c r="AN29" s="65"/>
      <c r="AO29" s="77">
        <v>4922</v>
      </c>
      <c r="AP29" s="77"/>
      <c r="AQ29" s="46">
        <f t="shared" si="7"/>
        <v>18.900000000001455</v>
      </c>
      <c r="AR29" s="64"/>
      <c r="AS29" s="65"/>
      <c r="AT29" s="77"/>
      <c r="AU29" s="77"/>
      <c r="AV29" s="46" t="str">
        <f t="shared" si="8"/>
        <v/>
      </c>
      <c r="AW29" s="64"/>
      <c r="AX29" s="65"/>
      <c r="AY29" s="77"/>
      <c r="AZ29" s="77"/>
      <c r="BA29" s="46" t="str">
        <f t="shared" si="9"/>
        <v/>
      </c>
      <c r="BB29" s="64"/>
      <c r="BC29" s="65"/>
      <c r="BD29" s="77"/>
      <c r="BE29" s="77"/>
      <c r="BF29" s="46" t="str">
        <f t="shared" si="10"/>
        <v/>
      </c>
      <c r="BG29" s="64"/>
      <c r="BH29" s="65"/>
      <c r="BI29" s="77"/>
      <c r="BJ29" s="77"/>
      <c r="BK29" s="52" t="str">
        <f t="shared" si="11"/>
        <v/>
      </c>
    </row>
    <row r="30" spans="2:63" x14ac:dyDescent="0.25">
      <c r="B30" s="55" t="s">
        <v>52</v>
      </c>
      <c r="C30" s="56"/>
      <c r="D30" s="64">
        <v>6417.4</v>
      </c>
      <c r="E30" s="65"/>
      <c r="F30" s="65">
        <v>2601.3000000000002</v>
      </c>
      <c r="G30" s="65"/>
      <c r="H30" s="46">
        <f t="shared" si="0"/>
        <v>35.600000000000364</v>
      </c>
      <c r="I30" s="64">
        <v>7218.6</v>
      </c>
      <c r="J30" s="65"/>
      <c r="K30" s="77">
        <v>3118.4</v>
      </c>
      <c r="L30" s="77"/>
      <c r="M30" s="46">
        <f t="shared" si="1"/>
        <v>49.200000000000728</v>
      </c>
      <c r="N30" s="64">
        <v>7953.8</v>
      </c>
      <c r="O30" s="65"/>
      <c r="P30" s="77">
        <v>3556.4</v>
      </c>
      <c r="Q30" s="77"/>
      <c r="R30" s="46">
        <f t="shared" si="2"/>
        <v>36.300000000001091</v>
      </c>
      <c r="S30" s="64">
        <v>8786</v>
      </c>
      <c r="T30" s="65"/>
      <c r="U30" s="77">
        <v>3995.1</v>
      </c>
      <c r="V30" s="77"/>
      <c r="W30" s="46">
        <f t="shared" si="3"/>
        <v>36.899999999999636</v>
      </c>
      <c r="X30" s="64">
        <v>9592.7999999999993</v>
      </c>
      <c r="Y30" s="65"/>
      <c r="Z30" s="77">
        <v>4334.7</v>
      </c>
      <c r="AA30" s="77"/>
      <c r="AB30" s="46">
        <f t="shared" si="4"/>
        <v>40.200000000000728</v>
      </c>
      <c r="AC30" s="64">
        <v>10448.1</v>
      </c>
      <c r="AD30" s="65"/>
      <c r="AE30" s="77">
        <v>4619.8</v>
      </c>
      <c r="AF30" s="77"/>
      <c r="AG30" s="46">
        <f t="shared" si="5"/>
        <v>37.000000000001819</v>
      </c>
      <c r="AH30" s="64">
        <v>11052</v>
      </c>
      <c r="AI30" s="65"/>
      <c r="AJ30" s="77">
        <v>4805.8</v>
      </c>
      <c r="AK30" s="77"/>
      <c r="AL30" s="46">
        <f t="shared" si="6"/>
        <v>21.860000000000582</v>
      </c>
      <c r="AM30" s="64">
        <v>11480.2</v>
      </c>
      <c r="AN30" s="65"/>
      <c r="AO30" s="77">
        <v>4926.1000000000004</v>
      </c>
      <c r="AP30" s="77"/>
      <c r="AQ30" s="46">
        <f t="shared" si="7"/>
        <v>17.80000000000291</v>
      </c>
      <c r="AR30" s="64"/>
      <c r="AS30" s="65"/>
      <c r="AT30" s="77"/>
      <c r="AU30" s="77"/>
      <c r="AV30" s="46" t="str">
        <f t="shared" si="8"/>
        <v/>
      </c>
      <c r="AW30" s="64"/>
      <c r="AX30" s="65"/>
      <c r="AY30" s="77"/>
      <c r="AZ30" s="77"/>
      <c r="BA30" s="46" t="str">
        <f t="shared" si="9"/>
        <v/>
      </c>
      <c r="BB30" s="64"/>
      <c r="BC30" s="65"/>
      <c r="BD30" s="77"/>
      <c r="BE30" s="77"/>
      <c r="BF30" s="46" t="str">
        <f t="shared" si="10"/>
        <v/>
      </c>
      <c r="BG30" s="64"/>
      <c r="BH30" s="65"/>
      <c r="BI30" s="77"/>
      <c r="BJ30" s="77"/>
      <c r="BK30" s="52" t="str">
        <f t="shared" si="11"/>
        <v/>
      </c>
    </row>
    <row r="31" spans="2:63" x14ac:dyDescent="0.25">
      <c r="B31" s="55" t="s">
        <v>53</v>
      </c>
      <c r="C31" s="56"/>
      <c r="D31" s="64">
        <v>6441.3</v>
      </c>
      <c r="E31" s="65"/>
      <c r="F31" s="65">
        <v>2613.4</v>
      </c>
      <c r="G31" s="65"/>
      <c r="H31" s="46">
        <f t="shared" si="0"/>
        <v>36</v>
      </c>
      <c r="I31" s="64">
        <v>7244</v>
      </c>
      <c r="J31" s="65"/>
      <c r="K31" s="77">
        <v>3138.2</v>
      </c>
      <c r="L31" s="77"/>
      <c r="M31" s="46">
        <f t="shared" si="1"/>
        <v>45.200000000000728</v>
      </c>
      <c r="N31" s="64">
        <v>7982.3</v>
      </c>
      <c r="O31" s="65"/>
      <c r="P31" s="77">
        <v>3573.1</v>
      </c>
      <c r="Q31" s="77"/>
      <c r="R31" s="46">
        <f t="shared" si="2"/>
        <v>45.199999999998909</v>
      </c>
      <c r="S31" s="64">
        <v>8812.7000000000007</v>
      </c>
      <c r="T31" s="65"/>
      <c r="U31" s="77">
        <v>4006.2</v>
      </c>
      <c r="V31" s="77"/>
      <c r="W31" s="46">
        <f t="shared" si="3"/>
        <v>37.800000000001091</v>
      </c>
      <c r="X31" s="64">
        <v>9622.1</v>
      </c>
      <c r="Y31" s="65"/>
      <c r="Z31" s="77">
        <v>4344.3999999999996</v>
      </c>
      <c r="AA31" s="77"/>
      <c r="AB31" s="46">
        <f t="shared" si="4"/>
        <v>39</v>
      </c>
      <c r="AC31" s="64">
        <v>10474.299999999999</v>
      </c>
      <c r="AD31" s="65"/>
      <c r="AE31" s="77">
        <v>4628.8</v>
      </c>
      <c r="AF31" s="77"/>
      <c r="AG31" s="46">
        <f t="shared" si="5"/>
        <v>35.19999999999709</v>
      </c>
      <c r="AH31" s="64">
        <v>11066.1</v>
      </c>
      <c r="AI31" s="65"/>
      <c r="AJ31" s="77">
        <v>4809.3999999999996</v>
      </c>
      <c r="AK31" s="77"/>
      <c r="AL31" s="46">
        <f t="shared" si="6"/>
        <v>17.700000000000728</v>
      </c>
      <c r="AM31" s="64">
        <v>11494.1</v>
      </c>
      <c r="AN31" s="65"/>
      <c r="AO31" s="77">
        <v>4930.3</v>
      </c>
      <c r="AP31" s="77"/>
      <c r="AQ31" s="46">
        <f t="shared" si="7"/>
        <v>18.099999999998545</v>
      </c>
      <c r="AR31" s="64"/>
      <c r="AS31" s="65"/>
      <c r="AT31" s="77"/>
      <c r="AU31" s="77"/>
      <c r="AV31" s="46" t="str">
        <f t="shared" si="8"/>
        <v/>
      </c>
      <c r="AW31" s="64"/>
      <c r="AX31" s="65"/>
      <c r="AY31" s="77"/>
      <c r="AZ31" s="77"/>
      <c r="BA31" s="46" t="str">
        <f t="shared" si="9"/>
        <v/>
      </c>
      <c r="BB31" s="64"/>
      <c r="BC31" s="65"/>
      <c r="BD31" s="77"/>
      <c r="BE31" s="77"/>
      <c r="BF31" s="46" t="str">
        <f t="shared" si="10"/>
        <v/>
      </c>
      <c r="BG31" s="64"/>
      <c r="BH31" s="65"/>
      <c r="BI31" s="77"/>
      <c r="BJ31" s="77"/>
      <c r="BK31" s="52" t="str">
        <f t="shared" si="11"/>
        <v/>
      </c>
    </row>
    <row r="32" spans="2:63" x14ac:dyDescent="0.25">
      <c r="B32" s="55" t="s">
        <v>54</v>
      </c>
      <c r="C32" s="56"/>
      <c r="D32" s="64">
        <v>6467</v>
      </c>
      <c r="E32" s="65"/>
      <c r="F32" s="65">
        <v>2630.4</v>
      </c>
      <c r="G32" s="65"/>
      <c r="H32" s="46">
        <f t="shared" si="0"/>
        <v>42.699999999998909</v>
      </c>
      <c r="I32" s="64">
        <v>7266.8</v>
      </c>
      <c r="J32" s="65"/>
      <c r="K32" s="77">
        <v>3155</v>
      </c>
      <c r="L32" s="77"/>
      <c r="M32" s="46">
        <f t="shared" si="1"/>
        <v>39.599999999998545</v>
      </c>
      <c r="N32" s="64">
        <v>8011.1</v>
      </c>
      <c r="O32" s="65"/>
      <c r="P32" s="77">
        <v>3587.4</v>
      </c>
      <c r="Q32" s="77"/>
      <c r="R32" s="46">
        <f t="shared" si="2"/>
        <v>43.100000000000364</v>
      </c>
      <c r="S32" s="64">
        <v>8840.2999999999993</v>
      </c>
      <c r="T32" s="65"/>
      <c r="U32" s="77">
        <v>4016.6</v>
      </c>
      <c r="V32" s="77"/>
      <c r="W32" s="46">
        <f t="shared" si="3"/>
        <v>37.999999999998181</v>
      </c>
      <c r="X32" s="64">
        <v>9650.7999999999993</v>
      </c>
      <c r="Y32" s="65"/>
      <c r="Z32" s="77">
        <v>4355.2</v>
      </c>
      <c r="AA32" s="77"/>
      <c r="AB32" s="46">
        <f t="shared" si="4"/>
        <v>39.5</v>
      </c>
      <c r="AC32" s="64">
        <v>10502.2</v>
      </c>
      <c r="AD32" s="65"/>
      <c r="AE32" s="77">
        <v>4637.8</v>
      </c>
      <c r="AF32" s="77"/>
      <c r="AG32" s="46">
        <f t="shared" si="5"/>
        <v>36.900000000001455</v>
      </c>
      <c r="AH32" s="64">
        <v>11078.2</v>
      </c>
      <c r="AI32" s="65"/>
      <c r="AJ32" s="77">
        <v>4812.6000000000004</v>
      </c>
      <c r="AK32" s="77"/>
      <c r="AL32" s="46">
        <f t="shared" si="6"/>
        <v>15.300000000001091</v>
      </c>
      <c r="AM32" s="64">
        <v>11507.5</v>
      </c>
      <c r="AN32" s="65"/>
      <c r="AO32" s="77">
        <v>4934.8</v>
      </c>
      <c r="AP32" s="77"/>
      <c r="AQ32" s="46">
        <f t="shared" si="7"/>
        <v>17.899999999997817</v>
      </c>
      <c r="AR32" s="64"/>
      <c r="AS32" s="65"/>
      <c r="AT32" s="77"/>
      <c r="AU32" s="77"/>
      <c r="AV32" s="46" t="str">
        <f t="shared" si="8"/>
        <v/>
      </c>
      <c r="AW32" s="64"/>
      <c r="AX32" s="65"/>
      <c r="AY32" s="77"/>
      <c r="AZ32" s="77"/>
      <c r="BA32" s="46" t="str">
        <f t="shared" si="9"/>
        <v/>
      </c>
      <c r="BB32" s="64"/>
      <c r="BC32" s="65"/>
      <c r="BD32" s="77"/>
      <c r="BE32" s="77"/>
      <c r="BF32" s="46" t="str">
        <f t="shared" si="10"/>
        <v/>
      </c>
      <c r="BG32" s="64"/>
      <c r="BH32" s="65"/>
      <c r="BI32" s="77"/>
      <c r="BJ32" s="77"/>
      <c r="BK32" s="52" t="str">
        <f t="shared" si="11"/>
        <v/>
      </c>
    </row>
    <row r="33" spans="2:63" x14ac:dyDescent="0.25">
      <c r="B33" s="55" t="s">
        <v>55</v>
      </c>
      <c r="C33" s="56"/>
      <c r="D33" s="64">
        <v>6495.3</v>
      </c>
      <c r="E33" s="65"/>
      <c r="F33" s="65">
        <v>2653.1</v>
      </c>
      <c r="G33" s="65"/>
      <c r="H33" s="46">
        <f t="shared" si="0"/>
        <v>51</v>
      </c>
      <c r="I33" s="64">
        <v>7274.2</v>
      </c>
      <c r="J33" s="65"/>
      <c r="K33" s="77">
        <v>3168.8</v>
      </c>
      <c r="L33" s="77"/>
      <c r="M33" s="46">
        <f t="shared" si="1"/>
        <v>21.200000000000728</v>
      </c>
      <c r="N33" s="64">
        <v>8038.2</v>
      </c>
      <c r="O33" s="65"/>
      <c r="P33" s="77">
        <v>3601.2</v>
      </c>
      <c r="Q33" s="77"/>
      <c r="R33" s="46">
        <f t="shared" si="2"/>
        <v>40.899999999999636</v>
      </c>
      <c r="S33" s="64">
        <v>8867.6</v>
      </c>
      <c r="T33" s="65"/>
      <c r="U33" s="77">
        <v>4027.2</v>
      </c>
      <c r="V33" s="77"/>
      <c r="W33" s="46">
        <f t="shared" si="3"/>
        <v>37.899999999999636</v>
      </c>
      <c r="X33" s="64">
        <v>9680.2999999999993</v>
      </c>
      <c r="Y33" s="65"/>
      <c r="Z33" s="77">
        <v>4366.6000000000004</v>
      </c>
      <c r="AA33" s="77"/>
      <c r="AB33" s="46">
        <f t="shared" si="4"/>
        <v>40.899999999999636</v>
      </c>
      <c r="AC33" s="64">
        <v>10526.1</v>
      </c>
      <c r="AD33" s="65"/>
      <c r="AE33" s="77">
        <v>4645.2</v>
      </c>
      <c r="AF33" s="77"/>
      <c r="AG33" s="46">
        <f t="shared" si="5"/>
        <v>31.299999999999272</v>
      </c>
      <c r="AH33" s="64">
        <v>11094.8</v>
      </c>
      <c r="AI33" s="65"/>
      <c r="AJ33" s="77">
        <v>4816.8999999999996</v>
      </c>
      <c r="AK33" s="77"/>
      <c r="AL33" s="46">
        <f t="shared" si="6"/>
        <v>20.899999999997817</v>
      </c>
      <c r="AM33" s="64">
        <v>11520.4</v>
      </c>
      <c r="AN33" s="65"/>
      <c r="AO33" s="77">
        <v>4939.3999999999996</v>
      </c>
      <c r="AP33" s="77"/>
      <c r="AQ33" s="46">
        <f t="shared" si="7"/>
        <v>17.5</v>
      </c>
      <c r="AR33" s="64"/>
      <c r="AS33" s="65"/>
      <c r="AT33" s="77"/>
      <c r="AU33" s="77"/>
      <c r="AV33" s="46" t="str">
        <f t="shared" si="8"/>
        <v/>
      </c>
      <c r="AW33" s="64"/>
      <c r="AX33" s="65"/>
      <c r="AY33" s="77"/>
      <c r="AZ33" s="77"/>
      <c r="BA33" s="46" t="str">
        <f t="shared" si="9"/>
        <v/>
      </c>
      <c r="BB33" s="64"/>
      <c r="BC33" s="65"/>
      <c r="BD33" s="77"/>
      <c r="BE33" s="77"/>
      <c r="BF33" s="46" t="str">
        <f t="shared" si="10"/>
        <v/>
      </c>
      <c r="BG33" s="64"/>
      <c r="BH33" s="65"/>
      <c r="BI33" s="77"/>
      <c r="BJ33" s="77"/>
      <c r="BK33" s="52" t="str">
        <f t="shared" si="11"/>
        <v/>
      </c>
    </row>
    <row r="34" spans="2:63" x14ac:dyDescent="0.25">
      <c r="B34" s="55" t="s">
        <v>56</v>
      </c>
      <c r="C34" s="56"/>
      <c r="D34" s="64">
        <v>6520.6</v>
      </c>
      <c r="E34" s="65"/>
      <c r="F34" s="65">
        <v>2673.6</v>
      </c>
      <c r="G34" s="65"/>
      <c r="H34" s="46">
        <f t="shared" si="0"/>
        <v>45.800000000001091</v>
      </c>
      <c r="I34" s="64">
        <v>7321.2</v>
      </c>
      <c r="J34" s="65"/>
      <c r="K34" s="77">
        <v>3182.6</v>
      </c>
      <c r="L34" s="77"/>
      <c r="M34" s="46">
        <f t="shared" si="1"/>
        <v>60.799999999999272</v>
      </c>
      <c r="N34" s="64">
        <v>8065.6</v>
      </c>
      <c r="O34" s="65"/>
      <c r="P34" s="77">
        <v>3616.8</v>
      </c>
      <c r="Q34" s="77"/>
      <c r="R34" s="46">
        <f t="shared" si="2"/>
        <v>43.000000000001819</v>
      </c>
      <c r="S34" s="64">
        <v>8895.5</v>
      </c>
      <c r="T34" s="65"/>
      <c r="U34" s="77">
        <v>4038.9</v>
      </c>
      <c r="V34" s="77"/>
      <c r="W34" s="46">
        <f t="shared" si="3"/>
        <v>39.600000000000364</v>
      </c>
      <c r="X34" s="64">
        <v>9708.1</v>
      </c>
      <c r="Y34" s="65"/>
      <c r="Z34" s="77">
        <v>4377.3999999999996</v>
      </c>
      <c r="AA34" s="77"/>
      <c r="AB34" s="46">
        <f t="shared" si="4"/>
        <v>38.600000000000364</v>
      </c>
      <c r="AC34" s="64">
        <v>10549.9</v>
      </c>
      <c r="AD34" s="65"/>
      <c r="AE34" s="77">
        <v>4652.8</v>
      </c>
      <c r="AF34" s="77"/>
      <c r="AG34" s="46">
        <f t="shared" si="5"/>
        <v>31.400000000001455</v>
      </c>
      <c r="AH34" s="64">
        <v>11104.3</v>
      </c>
      <c r="AI34" s="65"/>
      <c r="AJ34" s="77">
        <v>4819.3999999999996</v>
      </c>
      <c r="AK34" s="77"/>
      <c r="AL34" s="46">
        <f t="shared" si="6"/>
        <v>12</v>
      </c>
      <c r="AM34" s="64">
        <v>11534.9</v>
      </c>
      <c r="AN34" s="65"/>
      <c r="AO34" s="77">
        <v>4943.5</v>
      </c>
      <c r="AP34" s="77"/>
      <c r="AQ34" s="46">
        <f t="shared" si="7"/>
        <v>18.600000000002183</v>
      </c>
      <c r="AR34" s="64"/>
      <c r="AS34" s="65"/>
      <c r="AT34" s="77"/>
      <c r="AU34" s="77"/>
      <c r="AV34" s="46" t="str">
        <f t="shared" si="8"/>
        <v/>
      </c>
      <c r="AW34" s="64"/>
      <c r="AX34" s="65"/>
      <c r="AY34" s="77"/>
      <c r="AZ34" s="77"/>
      <c r="BA34" s="46" t="str">
        <f t="shared" si="9"/>
        <v/>
      </c>
      <c r="BB34" s="64"/>
      <c r="BC34" s="65"/>
      <c r="BD34" s="77"/>
      <c r="BE34" s="77"/>
      <c r="BF34" s="46" t="str">
        <f t="shared" si="10"/>
        <v/>
      </c>
      <c r="BG34" s="64"/>
      <c r="BH34" s="65"/>
      <c r="BI34" s="77"/>
      <c r="BJ34" s="77"/>
      <c r="BK34" s="52" t="str">
        <f t="shared" si="11"/>
        <v/>
      </c>
    </row>
    <row r="35" spans="2:63" x14ac:dyDescent="0.25">
      <c r="B35" s="55" t="s">
        <v>57</v>
      </c>
      <c r="C35" s="56"/>
      <c r="D35" s="64">
        <v>6546.8</v>
      </c>
      <c r="E35" s="65"/>
      <c r="F35" s="65">
        <v>2695.1</v>
      </c>
      <c r="G35" s="65"/>
      <c r="H35" s="46">
        <f t="shared" si="0"/>
        <v>47.699999999998909</v>
      </c>
      <c r="I35" s="64">
        <v>7348.4</v>
      </c>
      <c r="J35" s="65"/>
      <c r="K35" s="77">
        <v>3198.1</v>
      </c>
      <c r="L35" s="77"/>
      <c r="M35" s="46">
        <f t="shared" si="1"/>
        <v>42.700000000000728</v>
      </c>
      <c r="N35" s="64">
        <v>8093.2</v>
      </c>
      <c r="O35" s="65"/>
      <c r="P35" s="77">
        <v>3632.1</v>
      </c>
      <c r="Q35" s="77"/>
      <c r="R35" s="46">
        <f t="shared" si="2"/>
        <v>42.899999999997817</v>
      </c>
      <c r="S35" s="64">
        <v>8921.1</v>
      </c>
      <c r="T35" s="65"/>
      <c r="U35" s="77">
        <v>4044.5</v>
      </c>
      <c r="V35" s="77"/>
      <c r="W35" s="46">
        <f t="shared" si="3"/>
        <v>31.200000000000728</v>
      </c>
      <c r="X35" s="64">
        <v>9736.7000000000007</v>
      </c>
      <c r="Y35" s="65"/>
      <c r="Z35" s="77">
        <v>4388.8</v>
      </c>
      <c r="AA35" s="77"/>
      <c r="AB35" s="46">
        <f t="shared" si="4"/>
        <v>40</v>
      </c>
      <c r="AC35" s="64">
        <v>10573.2</v>
      </c>
      <c r="AD35" s="65"/>
      <c r="AE35" s="77">
        <v>4660.3999999999996</v>
      </c>
      <c r="AF35" s="77"/>
      <c r="AG35" s="46">
        <f t="shared" si="5"/>
        <v>30.899999999999636</v>
      </c>
      <c r="AH35" s="64">
        <v>11118.4</v>
      </c>
      <c r="AI35" s="65"/>
      <c r="AJ35" s="77">
        <v>4823.1000000000004</v>
      </c>
      <c r="AK35" s="77"/>
      <c r="AL35" s="46">
        <f t="shared" si="6"/>
        <v>17.800000000001091</v>
      </c>
      <c r="AM35" s="64">
        <v>11547.6</v>
      </c>
      <c r="AN35" s="65"/>
      <c r="AO35" s="77">
        <v>4947.1000000000004</v>
      </c>
      <c r="AP35" s="77"/>
      <c r="AQ35" s="46">
        <f t="shared" si="7"/>
        <v>16.299999999999272</v>
      </c>
      <c r="AR35" s="64"/>
      <c r="AS35" s="65"/>
      <c r="AT35" s="77"/>
      <c r="AU35" s="77"/>
      <c r="AV35" s="46" t="str">
        <f t="shared" si="8"/>
        <v/>
      </c>
      <c r="AW35" s="64"/>
      <c r="AX35" s="65"/>
      <c r="AY35" s="77"/>
      <c r="AZ35" s="77"/>
      <c r="BA35" s="46" t="str">
        <f t="shared" si="9"/>
        <v/>
      </c>
      <c r="BB35" s="64"/>
      <c r="BC35" s="65"/>
      <c r="BD35" s="77"/>
      <c r="BE35" s="77"/>
      <c r="BF35" s="46" t="str">
        <f t="shared" si="10"/>
        <v/>
      </c>
      <c r="BG35" s="64"/>
      <c r="BH35" s="65"/>
      <c r="BI35" s="77"/>
      <c r="BJ35" s="77"/>
      <c r="BK35" s="52" t="str">
        <f t="shared" si="11"/>
        <v/>
      </c>
    </row>
    <row r="36" spans="2:63" x14ac:dyDescent="0.25">
      <c r="B36" s="55" t="s">
        <v>58</v>
      </c>
      <c r="C36" s="56"/>
      <c r="D36" s="64">
        <v>6570.9</v>
      </c>
      <c r="E36" s="65"/>
      <c r="F36" s="65">
        <v>2715.9</v>
      </c>
      <c r="G36" s="65"/>
      <c r="H36" s="46">
        <f t="shared" si="0"/>
        <v>44.899999999999636</v>
      </c>
      <c r="I36" s="64">
        <v>7380.7</v>
      </c>
      <c r="J36" s="65"/>
      <c r="K36" s="77">
        <v>3218.3</v>
      </c>
      <c r="L36" s="77"/>
      <c r="M36" s="46">
        <f t="shared" si="1"/>
        <v>52.5</v>
      </c>
      <c r="N36" s="64">
        <v>8121.1</v>
      </c>
      <c r="O36" s="65"/>
      <c r="P36" s="77">
        <v>3646.7</v>
      </c>
      <c r="Q36" s="77"/>
      <c r="R36" s="46">
        <f t="shared" si="2"/>
        <v>42.5</v>
      </c>
      <c r="S36" s="64">
        <v>8947.2999999999993</v>
      </c>
      <c r="T36" s="65"/>
      <c r="U36" s="77">
        <v>4060.9</v>
      </c>
      <c r="V36" s="77"/>
      <c r="W36" s="46">
        <f t="shared" si="3"/>
        <v>42.599999999998545</v>
      </c>
      <c r="X36" s="64">
        <v>9764.2000000000007</v>
      </c>
      <c r="Y36" s="65"/>
      <c r="Z36" s="77">
        <v>4399.1000000000004</v>
      </c>
      <c r="AA36" s="77"/>
      <c r="AB36" s="46">
        <f t="shared" si="4"/>
        <v>37.800000000001091</v>
      </c>
      <c r="AC36" s="64">
        <v>10595.7</v>
      </c>
      <c r="AD36" s="65"/>
      <c r="AE36" s="77">
        <v>4667.5</v>
      </c>
      <c r="AF36" s="77"/>
      <c r="AG36" s="46">
        <f t="shared" si="5"/>
        <v>29.600000000000364</v>
      </c>
      <c r="AH36" s="64">
        <v>11132.1</v>
      </c>
      <c r="AI36" s="65"/>
      <c r="AJ36" s="77">
        <v>4826.7</v>
      </c>
      <c r="AK36" s="77"/>
      <c r="AL36" s="46">
        <f t="shared" si="6"/>
        <v>17.299999999999272</v>
      </c>
      <c r="AM36" s="64">
        <v>11561</v>
      </c>
      <c r="AN36" s="65"/>
      <c r="AO36" s="77">
        <v>4951.3</v>
      </c>
      <c r="AP36" s="77"/>
      <c r="AQ36" s="46">
        <f t="shared" si="7"/>
        <v>17.599999999998545</v>
      </c>
      <c r="AR36" s="64"/>
      <c r="AS36" s="65"/>
      <c r="AT36" s="77"/>
      <c r="AU36" s="77"/>
      <c r="AV36" s="46" t="str">
        <f t="shared" si="8"/>
        <v/>
      </c>
      <c r="AW36" s="64"/>
      <c r="AX36" s="65"/>
      <c r="AY36" s="77"/>
      <c r="AZ36" s="77"/>
      <c r="BA36" s="46" t="str">
        <f t="shared" si="9"/>
        <v/>
      </c>
      <c r="BB36" s="64"/>
      <c r="BC36" s="65"/>
      <c r="BD36" s="77"/>
      <c r="BE36" s="77"/>
      <c r="BF36" s="46" t="str">
        <f t="shared" si="10"/>
        <v/>
      </c>
      <c r="BG36" s="64"/>
      <c r="BH36" s="65"/>
      <c r="BI36" s="77"/>
      <c r="BJ36" s="77"/>
      <c r="BK36" s="52" t="str">
        <f t="shared" si="11"/>
        <v/>
      </c>
    </row>
    <row r="37" spans="2:63" x14ac:dyDescent="0.25">
      <c r="B37" s="55" t="s">
        <v>59</v>
      </c>
      <c r="C37" s="56"/>
      <c r="D37" s="64">
        <v>6600.6</v>
      </c>
      <c r="E37" s="65"/>
      <c r="F37" s="65">
        <v>2737.2</v>
      </c>
      <c r="G37" s="65"/>
      <c r="H37" s="46">
        <f t="shared" si="0"/>
        <v>51</v>
      </c>
      <c r="I37" s="64">
        <v>7403.6</v>
      </c>
      <c r="J37" s="65"/>
      <c r="K37" s="77">
        <v>3232.6</v>
      </c>
      <c r="L37" s="77"/>
      <c r="M37" s="46">
        <f t="shared" si="1"/>
        <v>37.200000000000728</v>
      </c>
      <c r="N37" s="64">
        <v>8149.2</v>
      </c>
      <c r="O37" s="65"/>
      <c r="P37" s="77">
        <v>3662.2</v>
      </c>
      <c r="Q37" s="77"/>
      <c r="R37" s="46">
        <f t="shared" si="2"/>
        <v>43.600000000000364</v>
      </c>
      <c r="S37" s="64">
        <v>8972.4</v>
      </c>
      <c r="T37" s="65"/>
      <c r="U37" s="77">
        <v>4072.2</v>
      </c>
      <c r="V37" s="77"/>
      <c r="W37" s="46">
        <f t="shared" si="3"/>
        <v>36.399999999999636</v>
      </c>
      <c r="X37" s="64">
        <v>9792.1</v>
      </c>
      <c r="Y37" s="65"/>
      <c r="Z37" s="77">
        <v>4408.3999999999996</v>
      </c>
      <c r="AA37" s="77"/>
      <c r="AB37" s="46">
        <f t="shared" si="4"/>
        <v>37.199999999998909</v>
      </c>
      <c r="AC37" s="64">
        <v>10614</v>
      </c>
      <c r="AD37" s="65"/>
      <c r="AE37" s="77">
        <v>4673.3999999999996</v>
      </c>
      <c r="AF37" s="77"/>
      <c r="AG37" s="46">
        <f t="shared" si="5"/>
        <v>24.199999999998909</v>
      </c>
      <c r="AH37" s="64">
        <v>11145.2</v>
      </c>
      <c r="AI37" s="65"/>
      <c r="AJ37" s="77">
        <v>4830.3</v>
      </c>
      <c r="AK37" s="77"/>
      <c r="AL37" s="46">
        <f t="shared" si="6"/>
        <v>16.700000000000728</v>
      </c>
      <c r="AM37" s="64">
        <v>11574.5</v>
      </c>
      <c r="AN37" s="65"/>
      <c r="AO37" s="77">
        <v>4955.6000000000004</v>
      </c>
      <c r="AP37" s="77"/>
      <c r="AQ37" s="46">
        <f t="shared" si="7"/>
        <v>17.799999999999272</v>
      </c>
      <c r="AR37" s="64"/>
      <c r="AS37" s="65"/>
      <c r="AT37" s="77"/>
      <c r="AU37" s="77"/>
      <c r="AV37" s="46" t="str">
        <f t="shared" si="8"/>
        <v/>
      </c>
      <c r="AW37" s="64"/>
      <c r="AX37" s="65"/>
      <c r="AY37" s="77"/>
      <c r="AZ37" s="77"/>
      <c r="BA37" s="46" t="str">
        <f t="shared" si="9"/>
        <v/>
      </c>
      <c r="BB37" s="64"/>
      <c r="BC37" s="65"/>
      <c r="BD37" s="77"/>
      <c r="BE37" s="77"/>
      <c r="BF37" s="46" t="str">
        <f t="shared" si="10"/>
        <v/>
      </c>
      <c r="BG37" s="64"/>
      <c r="BH37" s="65"/>
      <c r="BI37" s="77"/>
      <c r="BJ37" s="77"/>
      <c r="BK37" s="52" t="str">
        <f t="shared" si="11"/>
        <v/>
      </c>
    </row>
    <row r="38" spans="2:63" x14ac:dyDescent="0.25">
      <c r="B38" s="55" t="s">
        <v>60</v>
      </c>
      <c r="C38" s="56"/>
      <c r="D38" s="64">
        <v>6621.2</v>
      </c>
      <c r="E38" s="65"/>
      <c r="F38" s="65">
        <v>2748.8</v>
      </c>
      <c r="G38" s="65"/>
      <c r="H38" s="46">
        <f t="shared" si="0"/>
        <v>32.200000000000728</v>
      </c>
      <c r="I38" s="64">
        <v>7428.4</v>
      </c>
      <c r="J38" s="65"/>
      <c r="K38" s="77">
        <v>3250.1</v>
      </c>
      <c r="L38" s="77"/>
      <c r="M38" s="46">
        <f t="shared" si="1"/>
        <v>42.299999999999272</v>
      </c>
      <c r="N38" s="64">
        <v>8175.1</v>
      </c>
      <c r="O38" s="65"/>
      <c r="P38" s="77">
        <v>3676.5</v>
      </c>
      <c r="Q38" s="77"/>
      <c r="R38" s="46">
        <f t="shared" si="2"/>
        <v>40.200000000000728</v>
      </c>
      <c r="S38" s="64">
        <v>8999.4</v>
      </c>
      <c r="T38" s="65"/>
      <c r="U38" s="77">
        <v>4085.1</v>
      </c>
      <c r="V38" s="77"/>
      <c r="W38" s="46">
        <f t="shared" si="3"/>
        <v>39.900000000001455</v>
      </c>
      <c r="X38" s="64">
        <v>9822.4</v>
      </c>
      <c r="Y38" s="65"/>
      <c r="Z38" s="77">
        <v>4418.8999999999996</v>
      </c>
      <c r="AA38" s="77"/>
      <c r="AB38" s="46">
        <f t="shared" si="4"/>
        <v>40.799999999999272</v>
      </c>
      <c r="AC38" s="64">
        <v>10642.3</v>
      </c>
      <c r="AD38" s="65"/>
      <c r="AE38" s="77">
        <v>4682.5</v>
      </c>
      <c r="AF38" s="77"/>
      <c r="AG38" s="46">
        <f t="shared" si="5"/>
        <v>37.399999999999636</v>
      </c>
      <c r="AH38" s="64">
        <v>11158.9</v>
      </c>
      <c r="AI38" s="65"/>
      <c r="AJ38" s="77">
        <v>4834.2</v>
      </c>
      <c r="AK38" s="77"/>
      <c r="AL38" s="46">
        <f t="shared" si="6"/>
        <v>17.599999999998545</v>
      </c>
      <c r="AM38" s="64">
        <v>11587.9</v>
      </c>
      <c r="AN38" s="65"/>
      <c r="AO38" s="77">
        <v>4959.3999999999996</v>
      </c>
      <c r="AP38" s="77"/>
      <c r="AQ38" s="46">
        <f t="shared" si="7"/>
        <v>17.200000000000728</v>
      </c>
      <c r="AR38" s="64"/>
      <c r="AS38" s="65"/>
      <c r="AT38" s="77"/>
      <c r="AU38" s="77"/>
      <c r="AV38" s="46" t="str">
        <f t="shared" si="8"/>
        <v/>
      </c>
      <c r="AW38" s="64"/>
      <c r="AX38" s="65"/>
      <c r="AY38" s="77"/>
      <c r="AZ38" s="77"/>
      <c r="BA38" s="46" t="str">
        <f t="shared" si="9"/>
        <v/>
      </c>
      <c r="BB38" s="64"/>
      <c r="BC38" s="65"/>
      <c r="BD38" s="77"/>
      <c r="BE38" s="77"/>
      <c r="BF38" s="46" t="str">
        <f t="shared" si="10"/>
        <v/>
      </c>
      <c r="BG38" s="64"/>
      <c r="BH38" s="65"/>
      <c r="BI38" s="77"/>
      <c r="BJ38" s="77"/>
      <c r="BK38" s="52" t="str">
        <f t="shared" si="11"/>
        <v/>
      </c>
    </row>
    <row r="39" spans="2:63" x14ac:dyDescent="0.25">
      <c r="B39" s="55" t="s">
        <v>61</v>
      </c>
      <c r="C39" s="56"/>
      <c r="D39" s="64">
        <v>6651.2</v>
      </c>
      <c r="E39" s="65"/>
      <c r="F39" s="65">
        <v>2766.3</v>
      </c>
      <c r="G39" s="65"/>
      <c r="H39" s="46">
        <f t="shared" si="0"/>
        <v>47.5</v>
      </c>
      <c r="I39" s="66"/>
      <c r="J39" s="67"/>
      <c r="K39" s="67"/>
      <c r="L39" s="67"/>
      <c r="M39" s="47" t="str">
        <f t="shared" si="1"/>
        <v/>
      </c>
      <c r="N39" s="64">
        <v>8201.1</v>
      </c>
      <c r="O39" s="65"/>
      <c r="P39" s="77">
        <v>3691</v>
      </c>
      <c r="Q39" s="77"/>
      <c r="R39" s="46">
        <f t="shared" si="2"/>
        <v>40.5</v>
      </c>
      <c r="S39" s="64">
        <v>9026.7999999999993</v>
      </c>
      <c r="T39" s="65"/>
      <c r="U39" s="77">
        <v>4096.3999999999996</v>
      </c>
      <c r="V39" s="77"/>
      <c r="W39" s="46">
        <f t="shared" si="3"/>
        <v>38.699999999998909</v>
      </c>
      <c r="X39" s="64">
        <v>9852.9</v>
      </c>
      <c r="Y39" s="65"/>
      <c r="Z39" s="77">
        <v>4428.5</v>
      </c>
      <c r="AA39" s="77"/>
      <c r="AB39" s="46">
        <f t="shared" si="4"/>
        <v>40.100000000000364</v>
      </c>
      <c r="AC39" s="64">
        <v>10659.2</v>
      </c>
      <c r="AD39" s="65"/>
      <c r="AE39" s="77">
        <v>4687.7</v>
      </c>
      <c r="AF39" s="77"/>
      <c r="AG39" s="46">
        <f t="shared" si="5"/>
        <v>22.100000000002183</v>
      </c>
      <c r="AH39" s="64">
        <v>11172.4</v>
      </c>
      <c r="AI39" s="65"/>
      <c r="AJ39" s="77">
        <v>4838</v>
      </c>
      <c r="AK39" s="77"/>
      <c r="AL39" s="46">
        <f t="shared" si="6"/>
        <v>17.300000000001091</v>
      </c>
      <c r="AM39" s="64">
        <v>11601.4</v>
      </c>
      <c r="AN39" s="65"/>
      <c r="AO39" s="77">
        <v>4963.2</v>
      </c>
      <c r="AP39" s="77"/>
      <c r="AQ39" s="46">
        <f t="shared" si="7"/>
        <v>17.299999999999272</v>
      </c>
      <c r="AR39" s="64"/>
      <c r="AS39" s="65"/>
      <c r="AT39" s="77"/>
      <c r="AU39" s="77"/>
      <c r="AV39" s="46" t="str">
        <f t="shared" si="8"/>
        <v/>
      </c>
      <c r="AW39" s="64"/>
      <c r="AX39" s="65"/>
      <c r="AY39" s="77"/>
      <c r="AZ39" s="77"/>
      <c r="BA39" s="46" t="str">
        <f t="shared" si="9"/>
        <v/>
      </c>
      <c r="BB39" s="64"/>
      <c r="BC39" s="65"/>
      <c r="BD39" s="77"/>
      <c r="BE39" s="77"/>
      <c r="BF39" s="46" t="str">
        <f t="shared" si="10"/>
        <v/>
      </c>
      <c r="BG39" s="64"/>
      <c r="BH39" s="65"/>
      <c r="BI39" s="77"/>
      <c r="BJ39" s="77"/>
      <c r="BK39" s="52" t="str">
        <f t="shared" si="11"/>
        <v/>
      </c>
    </row>
    <row r="40" spans="2:63" x14ac:dyDescent="0.25">
      <c r="B40" s="55" t="s">
        <v>62</v>
      </c>
      <c r="C40" s="56"/>
      <c r="D40" s="64">
        <v>6672.9</v>
      </c>
      <c r="E40" s="65"/>
      <c r="F40" s="65">
        <v>2782.6</v>
      </c>
      <c r="G40" s="65"/>
      <c r="H40" s="46">
        <f t="shared" si="0"/>
        <v>38</v>
      </c>
      <c r="I40" s="66"/>
      <c r="J40" s="67"/>
      <c r="K40" s="47"/>
      <c r="L40" s="47"/>
      <c r="M40" s="47" t="str">
        <f t="shared" ref="M40:M41" si="12">IF(COUNT(I39,I40)=2,I40-I39,"")</f>
        <v/>
      </c>
      <c r="N40" s="64">
        <v>8225.7999999999993</v>
      </c>
      <c r="O40" s="65"/>
      <c r="P40" s="77">
        <v>3702.3</v>
      </c>
      <c r="Q40" s="77"/>
      <c r="R40" s="46">
        <f t="shared" si="2"/>
        <v>35.999999999998181</v>
      </c>
      <c r="S40" s="64">
        <v>9055.2000000000007</v>
      </c>
      <c r="T40" s="65"/>
      <c r="U40" s="77">
        <v>4108.6000000000004</v>
      </c>
      <c r="V40" s="77"/>
      <c r="W40" s="46">
        <f t="shared" si="3"/>
        <v>40.600000000002183</v>
      </c>
      <c r="X40" s="64">
        <v>9878.7999999999993</v>
      </c>
      <c r="Y40" s="65"/>
      <c r="Z40" s="77">
        <v>4436.8999999999996</v>
      </c>
      <c r="AA40" s="77"/>
      <c r="AB40" s="46">
        <f t="shared" si="4"/>
        <v>34.299999999999272</v>
      </c>
      <c r="AC40" s="64">
        <v>10680.8</v>
      </c>
      <c r="AD40" s="65"/>
      <c r="AE40" s="77">
        <v>4694.2</v>
      </c>
      <c r="AF40" s="77"/>
      <c r="AG40" s="46">
        <f t="shared" si="5"/>
        <v>28.099999999998545</v>
      </c>
      <c r="AH40" s="64">
        <v>11186.2</v>
      </c>
      <c r="AI40" s="65"/>
      <c r="AJ40" s="77">
        <v>4841.8</v>
      </c>
      <c r="AK40" s="77"/>
      <c r="AL40" s="46">
        <f t="shared" si="6"/>
        <v>17.600000000000364</v>
      </c>
      <c r="AM40" s="64">
        <v>11613.9</v>
      </c>
      <c r="AN40" s="65"/>
      <c r="AO40" s="77">
        <v>4966.8</v>
      </c>
      <c r="AP40" s="77"/>
      <c r="AQ40" s="46">
        <f t="shared" si="7"/>
        <v>16.100000000002183</v>
      </c>
      <c r="AR40" s="64"/>
      <c r="AS40" s="65"/>
      <c r="AT40" s="77"/>
      <c r="AU40" s="77"/>
      <c r="AV40" s="46" t="str">
        <f t="shared" si="8"/>
        <v/>
      </c>
      <c r="AW40" s="64"/>
      <c r="AX40" s="65"/>
      <c r="AY40" s="77"/>
      <c r="AZ40" s="77"/>
      <c r="BA40" s="46" t="str">
        <f t="shared" si="9"/>
        <v/>
      </c>
      <c r="BB40" s="64"/>
      <c r="BC40" s="65"/>
      <c r="BD40" s="77"/>
      <c r="BE40" s="77"/>
      <c r="BF40" s="46" t="str">
        <f t="shared" si="10"/>
        <v/>
      </c>
      <c r="BG40" s="64"/>
      <c r="BH40" s="65"/>
      <c r="BI40" s="77"/>
      <c r="BJ40" s="77"/>
      <c r="BK40" s="52" t="str">
        <f t="shared" si="11"/>
        <v/>
      </c>
    </row>
    <row r="41" spans="2:63" ht="15.75" thickBot="1" x14ac:dyDescent="0.3">
      <c r="B41" s="53" t="s">
        <v>63</v>
      </c>
      <c r="C41" s="54"/>
      <c r="D41" s="60">
        <v>6697.7</v>
      </c>
      <c r="E41" s="61"/>
      <c r="F41" s="65">
        <v>2798.7</v>
      </c>
      <c r="G41" s="65"/>
      <c r="H41" s="46">
        <f t="shared" si="0"/>
        <v>40.899999999999636</v>
      </c>
      <c r="I41" s="62"/>
      <c r="J41" s="63"/>
      <c r="K41" s="47"/>
      <c r="L41" s="47"/>
      <c r="M41" s="47" t="str">
        <f t="shared" si="12"/>
        <v/>
      </c>
      <c r="N41" s="64">
        <v>8252.2999999999993</v>
      </c>
      <c r="O41" s="65"/>
      <c r="P41" s="77">
        <v>3714.1</v>
      </c>
      <c r="Q41" s="77"/>
      <c r="R41" s="46">
        <f t="shared" si="2"/>
        <v>38.300000000001091</v>
      </c>
      <c r="S41" s="62"/>
      <c r="T41" s="63"/>
      <c r="U41" s="45"/>
      <c r="V41" s="45"/>
      <c r="W41" s="45"/>
      <c r="X41" s="60">
        <v>9904.6</v>
      </c>
      <c r="Y41" s="61"/>
      <c r="Z41" s="77">
        <v>4454</v>
      </c>
      <c r="AA41" s="77"/>
      <c r="AB41" s="46">
        <f t="shared" si="4"/>
        <v>42.900000000001455</v>
      </c>
      <c r="AC41" s="62"/>
      <c r="AD41" s="63"/>
      <c r="AE41" s="45"/>
      <c r="AF41" s="45"/>
      <c r="AG41" s="45"/>
      <c r="AH41" s="60">
        <v>11201.9</v>
      </c>
      <c r="AI41" s="61"/>
      <c r="AJ41" s="77">
        <v>4846.2</v>
      </c>
      <c r="AK41" s="77"/>
      <c r="AL41" s="46">
        <f t="shared" si="6"/>
        <v>20.099999999998545</v>
      </c>
      <c r="AM41" s="60">
        <v>11628.1</v>
      </c>
      <c r="AN41" s="61"/>
      <c r="AO41" s="77">
        <v>4971.1000000000004</v>
      </c>
      <c r="AP41" s="77"/>
      <c r="AQ41" s="46">
        <f t="shared" si="7"/>
        <v>18.5</v>
      </c>
      <c r="AR41" s="62"/>
      <c r="AS41" s="63"/>
      <c r="AT41" s="45"/>
      <c r="AU41" s="45"/>
      <c r="AV41" s="45"/>
      <c r="AW41" s="60"/>
      <c r="AX41" s="61"/>
      <c r="AY41" s="77"/>
      <c r="AZ41" s="77"/>
      <c r="BA41" s="46" t="str">
        <f t="shared" si="9"/>
        <v/>
      </c>
      <c r="BB41" s="62"/>
      <c r="BC41" s="63"/>
      <c r="BD41" s="45"/>
      <c r="BE41" s="45"/>
      <c r="BF41" s="45"/>
      <c r="BG41" s="60"/>
      <c r="BH41" s="61"/>
      <c r="BI41" s="84"/>
      <c r="BJ41" s="84"/>
      <c r="BK41" s="4" t="str">
        <f t="shared" si="11"/>
        <v/>
      </c>
    </row>
    <row r="42" spans="2:63" ht="15.75" thickBot="1" x14ac:dyDescent="0.3">
      <c r="B42" s="58" t="s">
        <v>70</v>
      </c>
      <c r="C42" s="59"/>
      <c r="D42" s="57"/>
      <c r="E42" s="57"/>
      <c r="F42" s="43"/>
      <c r="G42" s="43"/>
      <c r="H42" s="43">
        <f>SUM(H11:H41)*400</f>
        <v>507679.99999999953</v>
      </c>
      <c r="I42" s="57"/>
      <c r="J42" s="57"/>
      <c r="K42" s="43"/>
      <c r="L42" s="43"/>
      <c r="M42" s="43">
        <f>SUM(M11:M41)*400</f>
        <v>472840.00000000012</v>
      </c>
      <c r="N42" s="57"/>
      <c r="O42" s="57"/>
      <c r="P42" s="43"/>
      <c r="Q42" s="43"/>
      <c r="R42" s="43">
        <f>SUM(R10:R41)*400</f>
        <v>515159.99999999988</v>
      </c>
      <c r="S42" s="57"/>
      <c r="T42" s="57"/>
      <c r="U42" s="43"/>
      <c r="V42" s="43"/>
      <c r="W42" s="43">
        <f>SUM(W11:W40)*400</f>
        <v>478960.00000000058</v>
      </c>
      <c r="X42" s="57"/>
      <c r="Y42" s="57"/>
      <c r="Z42" s="43"/>
      <c r="AA42" s="43"/>
      <c r="AB42" s="43">
        <f>SUM(AB11:AB41)*400</f>
        <v>477919.99999999971</v>
      </c>
      <c r="AC42" s="57"/>
      <c r="AD42" s="57"/>
      <c r="AE42" s="43"/>
      <c r="AF42" s="43"/>
      <c r="AG42" s="43">
        <f>SUM(AG11:AG40)*400</f>
        <v>406559.99999999988</v>
      </c>
      <c r="AH42" s="57"/>
      <c r="AI42" s="57"/>
      <c r="AJ42" s="43"/>
      <c r="AK42" s="43"/>
      <c r="AL42" s="43">
        <f>SUM(AL11:AL41)*400</f>
        <v>269239.99999999942</v>
      </c>
      <c r="AM42" s="57"/>
      <c r="AN42" s="57"/>
      <c r="AO42" s="43"/>
      <c r="AP42" s="43"/>
      <c r="AQ42" s="43">
        <f>SUM(AQ11:AQ41)*400</f>
        <v>220440.00000000087</v>
      </c>
      <c r="AR42" s="57"/>
      <c r="AS42" s="57"/>
      <c r="AT42" s="43"/>
      <c r="AU42" s="43"/>
      <c r="AV42" s="43">
        <f>SUM(AV11:AV40)*400</f>
        <v>0</v>
      </c>
      <c r="AW42" s="57"/>
      <c r="AX42" s="57"/>
      <c r="AY42" s="43"/>
      <c r="AZ42" s="43"/>
      <c r="BA42" s="43">
        <f>SUM(BA11:BA41)*400</f>
        <v>0</v>
      </c>
      <c r="BB42" s="57"/>
      <c r="BC42" s="57"/>
      <c r="BD42" s="43"/>
      <c r="BE42" s="43"/>
      <c r="BF42" s="43">
        <f>SUM(BF11:BF40)*400</f>
        <v>0</v>
      </c>
      <c r="BG42" s="57"/>
      <c r="BH42" s="57"/>
      <c r="BI42" s="44"/>
      <c r="BJ42" s="44"/>
      <c r="BK42" s="51">
        <f>SUM(BK11:BK41)*400</f>
        <v>0</v>
      </c>
    </row>
    <row r="43" spans="2:63" ht="15.75" thickTop="1" x14ac:dyDescent="0.25"/>
    <row r="45" spans="2:63" x14ac:dyDescent="0.25">
      <c r="J45" s="1"/>
      <c r="K45" s="65"/>
      <c r="L45" s="65"/>
      <c r="M45" s="77"/>
      <c r="N45" s="77"/>
    </row>
    <row r="46" spans="2:63" x14ac:dyDescent="0.25">
      <c r="J46" s="1"/>
      <c r="K46" s="65"/>
      <c r="L46" s="65"/>
      <c r="M46" s="77"/>
      <c r="N46" s="77"/>
    </row>
    <row r="47" spans="2:63" x14ac:dyDescent="0.25">
      <c r="J47" s="1"/>
      <c r="K47" s="65"/>
      <c r="L47" s="65"/>
      <c r="M47" s="77"/>
      <c r="N47" s="77"/>
    </row>
    <row r="48" spans="2:63" x14ac:dyDescent="0.25">
      <c r="J48" s="1"/>
      <c r="K48" s="65"/>
      <c r="L48" s="65"/>
      <c r="M48" s="77"/>
      <c r="N48" s="77"/>
    </row>
    <row r="49" spans="10:14" x14ac:dyDescent="0.25">
      <c r="J49" s="1"/>
      <c r="K49" s="65"/>
      <c r="L49" s="65"/>
      <c r="M49" s="77"/>
      <c r="N49" s="77"/>
    </row>
    <row r="50" spans="10:14" x14ac:dyDescent="0.25">
      <c r="J50" s="1"/>
      <c r="K50" s="65"/>
      <c r="L50" s="65"/>
      <c r="M50" s="77"/>
      <c r="N50" s="77"/>
    </row>
    <row r="51" spans="10:14" x14ac:dyDescent="0.25">
      <c r="J51" s="1"/>
      <c r="K51" s="65"/>
      <c r="L51" s="65"/>
      <c r="M51" s="77"/>
      <c r="N51" s="77"/>
    </row>
    <row r="52" spans="10:14" x14ac:dyDescent="0.25">
      <c r="J52" s="1"/>
      <c r="K52" s="65"/>
      <c r="L52" s="65"/>
      <c r="M52" s="77"/>
      <c r="N52" s="77"/>
    </row>
    <row r="53" spans="10:14" x14ac:dyDescent="0.25">
      <c r="J53" s="1"/>
      <c r="K53" s="65"/>
      <c r="L53" s="65"/>
      <c r="M53" s="77"/>
      <c r="N53" s="77"/>
    </row>
    <row r="54" spans="10:14" x14ac:dyDescent="0.25">
      <c r="J54" s="1"/>
      <c r="K54" s="65"/>
      <c r="L54" s="65"/>
      <c r="M54" s="77"/>
      <c r="N54" s="77"/>
    </row>
    <row r="55" spans="10:14" x14ac:dyDescent="0.25">
      <c r="J55" s="1"/>
      <c r="K55" s="65"/>
      <c r="L55" s="65"/>
      <c r="M55" s="77"/>
      <c r="N55" s="77"/>
    </row>
    <row r="56" spans="10:14" x14ac:dyDescent="0.25">
      <c r="J56" s="1"/>
      <c r="K56" s="65"/>
      <c r="L56" s="65"/>
      <c r="M56" s="77"/>
      <c r="N56" s="77"/>
    </row>
    <row r="57" spans="10:14" x14ac:dyDescent="0.25">
      <c r="J57" s="1"/>
      <c r="K57" s="65"/>
      <c r="L57" s="65"/>
      <c r="M57" s="77"/>
      <c r="N57" s="77"/>
    </row>
    <row r="58" spans="10:14" x14ac:dyDescent="0.25">
      <c r="J58" s="1"/>
      <c r="K58" s="65"/>
      <c r="L58" s="65"/>
      <c r="M58" s="77"/>
      <c r="N58" s="77"/>
    </row>
  </sheetData>
  <mergeCells count="855">
    <mergeCell ref="B40:C40"/>
    <mergeCell ref="B41:C41"/>
    <mergeCell ref="B11:C11"/>
    <mergeCell ref="B12:C1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9:C9"/>
    <mergeCell ref="B10:C10"/>
    <mergeCell ref="BI36:BJ36"/>
    <mergeCell ref="BI37:BJ37"/>
    <mergeCell ref="BI38:BJ38"/>
    <mergeCell ref="BI39:BJ39"/>
    <mergeCell ref="BI40:BJ40"/>
    <mergeCell ref="BI41:BJ41"/>
    <mergeCell ref="AW9:AZ9"/>
    <mergeCell ref="BB9:BE9"/>
    <mergeCell ref="BG9:BJ9"/>
    <mergeCell ref="BI27:BJ27"/>
    <mergeCell ref="BI28:BJ28"/>
    <mergeCell ref="BI29:BJ29"/>
    <mergeCell ref="BI30:BJ30"/>
    <mergeCell ref="BI31:BJ31"/>
    <mergeCell ref="BI32:BJ32"/>
    <mergeCell ref="BI33:BJ33"/>
    <mergeCell ref="BI34:BJ34"/>
    <mergeCell ref="BI35:BJ35"/>
    <mergeCell ref="BI18:BJ18"/>
    <mergeCell ref="BI19:BJ19"/>
    <mergeCell ref="BI20:BJ20"/>
    <mergeCell ref="BI21:BJ21"/>
    <mergeCell ref="BI22:BJ22"/>
    <mergeCell ref="BI23:BJ23"/>
    <mergeCell ref="BI24:BJ24"/>
    <mergeCell ref="BI25:BJ25"/>
    <mergeCell ref="BI26:BJ26"/>
    <mergeCell ref="BG10:BH10"/>
    <mergeCell ref="BI10:BJ10"/>
    <mergeCell ref="BI11:BJ11"/>
    <mergeCell ref="BI12:BJ12"/>
    <mergeCell ref="BI13:BJ13"/>
    <mergeCell ref="BI14:BJ14"/>
    <mergeCell ref="BI15:BJ15"/>
    <mergeCell ref="BI16:BJ16"/>
    <mergeCell ref="BI17:BJ17"/>
    <mergeCell ref="BG11:BH11"/>
    <mergeCell ref="BG13:BH13"/>
    <mergeCell ref="BG12:BH12"/>
    <mergeCell ref="BG14:BH14"/>
    <mergeCell ref="BG15:BH15"/>
    <mergeCell ref="BG16:BH16"/>
    <mergeCell ref="BG17:BH17"/>
    <mergeCell ref="BB10:BC10"/>
    <mergeCell ref="BD10:BE10"/>
    <mergeCell ref="BD11:BE11"/>
    <mergeCell ref="BD12:BE12"/>
    <mergeCell ref="BD13:BE13"/>
    <mergeCell ref="BD14:BE14"/>
    <mergeCell ref="BD15:BE15"/>
    <mergeCell ref="BD16:BE16"/>
    <mergeCell ref="BD17:BE17"/>
    <mergeCell ref="BB11:BC11"/>
    <mergeCell ref="BB13:BC13"/>
    <mergeCell ref="BB12:BC12"/>
    <mergeCell ref="BB14:BC14"/>
    <mergeCell ref="BB15:BC15"/>
    <mergeCell ref="BB16:BC16"/>
    <mergeCell ref="BB17:BC17"/>
    <mergeCell ref="AY11:AZ11"/>
    <mergeCell ref="AY12:AZ12"/>
    <mergeCell ref="AY13:AZ13"/>
    <mergeCell ref="AY14:AZ14"/>
    <mergeCell ref="AY15:AZ15"/>
    <mergeCell ref="AY16:AZ16"/>
    <mergeCell ref="AY17:AZ17"/>
    <mergeCell ref="AW11:AX11"/>
    <mergeCell ref="AW13:AX13"/>
    <mergeCell ref="AW12:AX12"/>
    <mergeCell ref="AW14:AX14"/>
    <mergeCell ref="AW15:AX15"/>
    <mergeCell ref="AW16:AX16"/>
    <mergeCell ref="AW17:AX17"/>
    <mergeCell ref="AT11:AU11"/>
    <mergeCell ref="AT12:AU12"/>
    <mergeCell ref="AT13:AU13"/>
    <mergeCell ref="AT14:AU14"/>
    <mergeCell ref="AT15:AU15"/>
    <mergeCell ref="AT16:AU16"/>
    <mergeCell ref="AT17:AU17"/>
    <mergeCell ref="AR11:AS11"/>
    <mergeCell ref="AR13:AS13"/>
    <mergeCell ref="AR12:AS12"/>
    <mergeCell ref="AR14:AS14"/>
    <mergeCell ref="AR15:AS15"/>
    <mergeCell ref="AR16:AS16"/>
    <mergeCell ref="AR17:AS17"/>
    <mergeCell ref="AO11:AP11"/>
    <mergeCell ref="AO12:AP12"/>
    <mergeCell ref="AO13:AP13"/>
    <mergeCell ref="AO14:AP14"/>
    <mergeCell ref="AO15:AP15"/>
    <mergeCell ref="AO16:AP16"/>
    <mergeCell ref="AO17:AP17"/>
    <mergeCell ref="AM12:AN12"/>
    <mergeCell ref="AM11:AN11"/>
    <mergeCell ref="AM13:AN13"/>
    <mergeCell ref="AM14:AN14"/>
    <mergeCell ref="AM16:AN16"/>
    <mergeCell ref="AM15:AN15"/>
    <mergeCell ref="AM17:AN17"/>
    <mergeCell ref="AE11:AF11"/>
    <mergeCell ref="AE12:AF12"/>
    <mergeCell ref="AE13:AF13"/>
    <mergeCell ref="AE14:AF14"/>
    <mergeCell ref="AE15:AF15"/>
    <mergeCell ref="AE16:AF16"/>
    <mergeCell ref="AE17:AF17"/>
    <mergeCell ref="AH10:AI10"/>
    <mergeCell ref="AJ10:AK10"/>
    <mergeCell ref="AJ11:AK11"/>
    <mergeCell ref="AJ12:AK12"/>
    <mergeCell ref="AJ13:AK13"/>
    <mergeCell ref="AJ14:AK14"/>
    <mergeCell ref="AJ15:AK15"/>
    <mergeCell ref="AJ16:AK16"/>
    <mergeCell ref="AJ17:AK17"/>
    <mergeCell ref="AH12:AI12"/>
    <mergeCell ref="AH11:AI11"/>
    <mergeCell ref="AH13:AI13"/>
    <mergeCell ref="AH14:AI14"/>
    <mergeCell ref="AH16:AI16"/>
    <mergeCell ref="AH15:AI15"/>
    <mergeCell ref="AH17:AI17"/>
    <mergeCell ref="AC10:AD10"/>
    <mergeCell ref="U12:V12"/>
    <mergeCell ref="U13:V13"/>
    <mergeCell ref="U14:V14"/>
    <mergeCell ref="U15:V15"/>
    <mergeCell ref="U16:V16"/>
    <mergeCell ref="U17:V17"/>
    <mergeCell ref="U18:V18"/>
    <mergeCell ref="U19:V19"/>
    <mergeCell ref="U10:V10"/>
    <mergeCell ref="U11:V11"/>
    <mergeCell ref="X10:Y10"/>
    <mergeCell ref="X11:Y11"/>
    <mergeCell ref="AC11:AD11"/>
    <mergeCell ref="Z11:AA11"/>
    <mergeCell ref="Z12:AA12"/>
    <mergeCell ref="Z13:AA13"/>
    <mergeCell ref="Z14:AA14"/>
    <mergeCell ref="Z15:AA15"/>
    <mergeCell ref="Z16:AA16"/>
    <mergeCell ref="Z17:AA17"/>
    <mergeCell ref="Z18:AA18"/>
    <mergeCell ref="P14:Q14"/>
    <mergeCell ref="P15:Q15"/>
    <mergeCell ref="P16:Q16"/>
    <mergeCell ref="P17:Q17"/>
    <mergeCell ref="P18:Q18"/>
    <mergeCell ref="P19:Q19"/>
    <mergeCell ref="P20:Q20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P12:Q12"/>
    <mergeCell ref="S10:T10"/>
    <mergeCell ref="B7:BH7"/>
    <mergeCell ref="B8:BH8"/>
    <mergeCell ref="B3:E3"/>
    <mergeCell ref="D9:G9"/>
    <mergeCell ref="I9:L9"/>
    <mergeCell ref="N9:Q9"/>
    <mergeCell ref="B4:C4"/>
    <mergeCell ref="D4:E4"/>
    <mergeCell ref="S9:V9"/>
    <mergeCell ref="X9:AA9"/>
    <mergeCell ref="AC9:AF9"/>
    <mergeCell ref="AH9:AK9"/>
    <mergeCell ref="AR9:AU9"/>
    <mergeCell ref="B5:C5"/>
    <mergeCell ref="AM9:AP9"/>
    <mergeCell ref="Z10:AA10"/>
    <mergeCell ref="AE10:AF10"/>
    <mergeCell ref="AM10:AN10"/>
    <mergeCell ref="AO10:AP10"/>
    <mergeCell ref="AR10:AS10"/>
    <mergeCell ref="AT10:AU10"/>
    <mergeCell ref="AW10:AX10"/>
    <mergeCell ref="AY10:AZ10"/>
    <mergeCell ref="D5:E5"/>
    <mergeCell ref="D10:E10"/>
    <mergeCell ref="F10:G10"/>
    <mergeCell ref="I10:J10"/>
    <mergeCell ref="K10:L10"/>
    <mergeCell ref="K11:L11"/>
    <mergeCell ref="N10:O10"/>
    <mergeCell ref="P10:Q10"/>
    <mergeCell ref="P11:Q11"/>
    <mergeCell ref="D11:E11"/>
    <mergeCell ref="I11:J11"/>
    <mergeCell ref="N11:O11"/>
    <mergeCell ref="S11:T11"/>
    <mergeCell ref="F11:G11"/>
    <mergeCell ref="D14:E14"/>
    <mergeCell ref="I14:J14"/>
    <mergeCell ref="N14:O14"/>
    <mergeCell ref="S14:T14"/>
    <mergeCell ref="X14:Y14"/>
    <mergeCell ref="AC14:AD14"/>
    <mergeCell ref="F14:G14"/>
    <mergeCell ref="D13:E13"/>
    <mergeCell ref="I13:J13"/>
    <mergeCell ref="N13:O13"/>
    <mergeCell ref="S13:T13"/>
    <mergeCell ref="X13:Y13"/>
    <mergeCell ref="AC13:AD13"/>
    <mergeCell ref="D12:E12"/>
    <mergeCell ref="I12:J12"/>
    <mergeCell ref="N12:O12"/>
    <mergeCell ref="S12:T12"/>
    <mergeCell ref="X12:Y12"/>
    <mergeCell ref="AC12:AD12"/>
    <mergeCell ref="F12:G12"/>
    <mergeCell ref="F13:G13"/>
    <mergeCell ref="P13:Q13"/>
    <mergeCell ref="D15:E15"/>
    <mergeCell ref="I15:J15"/>
    <mergeCell ref="N15:O15"/>
    <mergeCell ref="S15:T15"/>
    <mergeCell ref="X15:Y15"/>
    <mergeCell ref="AC15:AD15"/>
    <mergeCell ref="F15:G15"/>
    <mergeCell ref="D16:E16"/>
    <mergeCell ref="I16:J16"/>
    <mergeCell ref="N16:O16"/>
    <mergeCell ref="S16:T16"/>
    <mergeCell ref="X16:Y16"/>
    <mergeCell ref="AC16:AD16"/>
    <mergeCell ref="F16:G16"/>
    <mergeCell ref="D17:E17"/>
    <mergeCell ref="I17:J17"/>
    <mergeCell ref="N17:O17"/>
    <mergeCell ref="S17:T17"/>
    <mergeCell ref="X17:Y17"/>
    <mergeCell ref="AC17:AD17"/>
    <mergeCell ref="F17:G17"/>
    <mergeCell ref="AH18:AI18"/>
    <mergeCell ref="AM18:AN18"/>
    <mergeCell ref="AR18:AS18"/>
    <mergeCell ref="AW18:AX18"/>
    <mergeCell ref="BB18:BC18"/>
    <mergeCell ref="BG18:BH18"/>
    <mergeCell ref="D18:E18"/>
    <mergeCell ref="I18:J18"/>
    <mergeCell ref="N18:O18"/>
    <mergeCell ref="S18:T18"/>
    <mergeCell ref="X18:Y18"/>
    <mergeCell ref="AC18:AD18"/>
    <mergeCell ref="F18:G18"/>
    <mergeCell ref="AE18:AF18"/>
    <mergeCell ref="AJ18:AK18"/>
    <mergeCell ref="AO18:AP18"/>
    <mergeCell ref="AT18:AU18"/>
    <mergeCell ref="AY18:AZ18"/>
    <mergeCell ref="BD18:BE18"/>
    <mergeCell ref="AH19:AI19"/>
    <mergeCell ref="AM19:AN19"/>
    <mergeCell ref="AR19:AS19"/>
    <mergeCell ref="AW19:AX19"/>
    <mergeCell ref="BB19:BC19"/>
    <mergeCell ref="BG19:BH19"/>
    <mergeCell ref="D19:E19"/>
    <mergeCell ref="I19:J19"/>
    <mergeCell ref="N19:O19"/>
    <mergeCell ref="S19:T19"/>
    <mergeCell ref="X19:Y19"/>
    <mergeCell ref="AC19:AD19"/>
    <mergeCell ref="F19:G19"/>
    <mergeCell ref="Z19:AA19"/>
    <mergeCell ref="AE19:AF19"/>
    <mergeCell ref="AJ19:AK19"/>
    <mergeCell ref="AO19:AP19"/>
    <mergeCell ref="AT19:AU19"/>
    <mergeCell ref="AY19:AZ19"/>
    <mergeCell ref="BD19:BE19"/>
    <mergeCell ref="AH20:AI20"/>
    <mergeCell ref="AM20:AN20"/>
    <mergeCell ref="AR20:AS20"/>
    <mergeCell ref="AW20:AX20"/>
    <mergeCell ref="BB20:BC20"/>
    <mergeCell ref="BG20:BH20"/>
    <mergeCell ref="D20:E20"/>
    <mergeCell ref="I20:J20"/>
    <mergeCell ref="N20:O20"/>
    <mergeCell ref="S20:T20"/>
    <mergeCell ref="X20:Y20"/>
    <mergeCell ref="AC20:AD20"/>
    <mergeCell ref="F20:G20"/>
    <mergeCell ref="Z20:AA20"/>
    <mergeCell ref="AE20:AF20"/>
    <mergeCell ref="AJ20:AK20"/>
    <mergeCell ref="AO20:AP20"/>
    <mergeCell ref="AT20:AU20"/>
    <mergeCell ref="AY20:AZ20"/>
    <mergeCell ref="BD20:BE20"/>
    <mergeCell ref="U20:V20"/>
    <mergeCell ref="AH21:AI21"/>
    <mergeCell ref="AM21:AN21"/>
    <mergeCell ref="AR21:AS21"/>
    <mergeCell ref="AW21:AX21"/>
    <mergeCell ref="BB21:BC21"/>
    <mergeCell ref="BG21:BH21"/>
    <mergeCell ref="D21:E21"/>
    <mergeCell ref="I21:J21"/>
    <mergeCell ref="N21:O21"/>
    <mergeCell ref="S21:T21"/>
    <mergeCell ref="X21:Y21"/>
    <mergeCell ref="AC21:AD21"/>
    <mergeCell ref="F21:G21"/>
    <mergeCell ref="K21:L21"/>
    <mergeCell ref="P21:Q21"/>
    <mergeCell ref="U21:V21"/>
    <mergeCell ref="Z21:AA21"/>
    <mergeCell ref="AE21:AF21"/>
    <mergeCell ref="AJ21:AK21"/>
    <mergeCell ref="AO21:AP21"/>
    <mergeCell ref="AT21:AU21"/>
    <mergeCell ref="AY21:AZ21"/>
    <mergeCell ref="BD21:BE21"/>
    <mergeCell ref="AH22:AI22"/>
    <mergeCell ref="AM22:AN22"/>
    <mergeCell ref="AR22:AS22"/>
    <mergeCell ref="AW22:AX22"/>
    <mergeCell ref="BB22:BC22"/>
    <mergeCell ref="BG22:BH22"/>
    <mergeCell ref="D22:E22"/>
    <mergeCell ref="I22:J22"/>
    <mergeCell ref="N22:O22"/>
    <mergeCell ref="S22:T22"/>
    <mergeCell ref="X22:Y22"/>
    <mergeCell ref="AC22:AD22"/>
    <mergeCell ref="F22:G22"/>
    <mergeCell ref="K22:L22"/>
    <mergeCell ref="P22:Q22"/>
    <mergeCell ref="U22:V22"/>
    <mergeCell ref="Z22:AA22"/>
    <mergeCell ref="AE22:AF22"/>
    <mergeCell ref="AJ22:AK22"/>
    <mergeCell ref="AO22:AP22"/>
    <mergeCell ref="AT22:AU22"/>
    <mergeCell ref="AY22:AZ22"/>
    <mergeCell ref="BD22:BE22"/>
    <mergeCell ref="AH23:AI23"/>
    <mergeCell ref="AM23:AN23"/>
    <mergeCell ref="AR23:AS23"/>
    <mergeCell ref="AW23:AX23"/>
    <mergeCell ref="BB23:BC23"/>
    <mergeCell ref="BG23:BH23"/>
    <mergeCell ref="D23:E23"/>
    <mergeCell ref="I23:J23"/>
    <mergeCell ref="N23:O23"/>
    <mergeCell ref="S23:T23"/>
    <mergeCell ref="X23:Y23"/>
    <mergeCell ref="AC23:AD23"/>
    <mergeCell ref="F23:G23"/>
    <mergeCell ref="K23:L23"/>
    <mergeCell ref="P23:Q23"/>
    <mergeCell ref="U23:V23"/>
    <mergeCell ref="Z23:AA23"/>
    <mergeCell ref="AE23:AF23"/>
    <mergeCell ref="AJ23:AK23"/>
    <mergeCell ref="AO23:AP23"/>
    <mergeCell ref="AT23:AU23"/>
    <mergeCell ref="AY23:AZ23"/>
    <mergeCell ref="BD23:BE23"/>
    <mergeCell ref="AH24:AI24"/>
    <mergeCell ref="AM24:AN24"/>
    <mergeCell ref="AR24:AS24"/>
    <mergeCell ref="AW24:AX24"/>
    <mergeCell ref="BB24:BC24"/>
    <mergeCell ref="BG24:BH24"/>
    <mergeCell ref="D24:E24"/>
    <mergeCell ref="I24:J24"/>
    <mergeCell ref="N24:O24"/>
    <mergeCell ref="S24:T24"/>
    <mergeCell ref="X24:Y24"/>
    <mergeCell ref="AC24:AD24"/>
    <mergeCell ref="F24:G24"/>
    <mergeCell ref="K24:L24"/>
    <mergeCell ref="P24:Q24"/>
    <mergeCell ref="U24:V24"/>
    <mergeCell ref="Z24:AA24"/>
    <mergeCell ref="AE24:AF24"/>
    <mergeCell ref="AJ24:AK24"/>
    <mergeCell ref="AO24:AP24"/>
    <mergeCell ref="AT24:AU24"/>
    <mergeCell ref="AY24:AZ24"/>
    <mergeCell ref="BD24:BE24"/>
    <mergeCell ref="AH25:AI25"/>
    <mergeCell ref="AM25:AN25"/>
    <mergeCell ref="AR25:AS25"/>
    <mergeCell ref="AW25:AX25"/>
    <mergeCell ref="BB25:BC25"/>
    <mergeCell ref="BG25:BH25"/>
    <mergeCell ref="D25:E25"/>
    <mergeCell ref="I25:J25"/>
    <mergeCell ref="N25:O25"/>
    <mergeCell ref="S25:T25"/>
    <mergeCell ref="X25:Y25"/>
    <mergeCell ref="AC25:AD25"/>
    <mergeCell ref="F25:G25"/>
    <mergeCell ref="K25:L25"/>
    <mergeCell ref="P25:Q25"/>
    <mergeCell ref="U25:V25"/>
    <mergeCell ref="Z25:AA25"/>
    <mergeCell ref="AE25:AF25"/>
    <mergeCell ref="AJ25:AK25"/>
    <mergeCell ref="AO25:AP25"/>
    <mergeCell ref="AT25:AU25"/>
    <mergeCell ref="AY25:AZ25"/>
    <mergeCell ref="BD25:BE25"/>
    <mergeCell ref="AH26:AI26"/>
    <mergeCell ref="AM26:AN26"/>
    <mergeCell ref="AR26:AS26"/>
    <mergeCell ref="AW26:AX26"/>
    <mergeCell ref="BB26:BC26"/>
    <mergeCell ref="BG26:BH26"/>
    <mergeCell ref="D26:E26"/>
    <mergeCell ref="I26:J26"/>
    <mergeCell ref="N26:O26"/>
    <mergeCell ref="S26:T26"/>
    <mergeCell ref="X26:Y26"/>
    <mergeCell ref="AC26:AD26"/>
    <mergeCell ref="F26:G26"/>
    <mergeCell ref="K26:L26"/>
    <mergeCell ref="P26:Q26"/>
    <mergeCell ref="U26:V26"/>
    <mergeCell ref="Z26:AA26"/>
    <mergeCell ref="AE26:AF26"/>
    <mergeCell ref="AJ26:AK26"/>
    <mergeCell ref="AO26:AP26"/>
    <mergeCell ref="AT26:AU26"/>
    <mergeCell ref="AY26:AZ26"/>
    <mergeCell ref="BD26:BE26"/>
    <mergeCell ref="AH27:AI27"/>
    <mergeCell ref="AM27:AN27"/>
    <mergeCell ref="AR27:AS27"/>
    <mergeCell ref="AW27:AX27"/>
    <mergeCell ref="BB27:BC27"/>
    <mergeCell ref="BG27:BH27"/>
    <mergeCell ref="D27:E27"/>
    <mergeCell ref="I27:J27"/>
    <mergeCell ref="N27:O27"/>
    <mergeCell ref="S27:T27"/>
    <mergeCell ref="X27:Y27"/>
    <mergeCell ref="AC27:AD27"/>
    <mergeCell ref="F27:G27"/>
    <mergeCell ref="K27:L27"/>
    <mergeCell ref="P27:Q27"/>
    <mergeCell ref="U27:V27"/>
    <mergeCell ref="Z27:AA27"/>
    <mergeCell ref="AE27:AF27"/>
    <mergeCell ref="AJ27:AK27"/>
    <mergeCell ref="AO27:AP27"/>
    <mergeCell ref="AT27:AU27"/>
    <mergeCell ref="AY27:AZ27"/>
    <mergeCell ref="BD27:BE27"/>
    <mergeCell ref="AH28:AI28"/>
    <mergeCell ref="AM28:AN28"/>
    <mergeCell ref="AR28:AS28"/>
    <mergeCell ref="AW28:AX28"/>
    <mergeCell ref="BB28:BC28"/>
    <mergeCell ref="BG28:BH28"/>
    <mergeCell ref="D28:E28"/>
    <mergeCell ref="I28:J28"/>
    <mergeCell ref="N28:O28"/>
    <mergeCell ref="S28:T28"/>
    <mergeCell ref="X28:Y28"/>
    <mergeCell ref="AC28:AD28"/>
    <mergeCell ref="F28:G28"/>
    <mergeCell ref="K28:L28"/>
    <mergeCell ref="P28:Q28"/>
    <mergeCell ref="U28:V28"/>
    <mergeCell ref="Z28:AA28"/>
    <mergeCell ref="AE28:AF28"/>
    <mergeCell ref="AJ28:AK28"/>
    <mergeCell ref="AO28:AP28"/>
    <mergeCell ref="AT28:AU28"/>
    <mergeCell ref="AY28:AZ28"/>
    <mergeCell ref="BD28:BE28"/>
    <mergeCell ref="AH29:AI29"/>
    <mergeCell ref="AM29:AN29"/>
    <mergeCell ref="AR29:AS29"/>
    <mergeCell ref="AW29:AX29"/>
    <mergeCell ref="BB29:BC29"/>
    <mergeCell ref="BG29:BH29"/>
    <mergeCell ref="D29:E29"/>
    <mergeCell ref="I29:J29"/>
    <mergeCell ref="N29:O29"/>
    <mergeCell ref="S29:T29"/>
    <mergeCell ref="X29:Y29"/>
    <mergeCell ref="AC29:AD29"/>
    <mergeCell ref="F29:G29"/>
    <mergeCell ref="K29:L29"/>
    <mergeCell ref="P29:Q29"/>
    <mergeCell ref="U29:V29"/>
    <mergeCell ref="Z29:AA29"/>
    <mergeCell ref="AE29:AF29"/>
    <mergeCell ref="AJ29:AK29"/>
    <mergeCell ref="AO29:AP29"/>
    <mergeCell ref="AT29:AU29"/>
    <mergeCell ref="AY29:AZ29"/>
    <mergeCell ref="BD29:BE29"/>
    <mergeCell ref="AH30:AI30"/>
    <mergeCell ref="AM30:AN30"/>
    <mergeCell ref="AR30:AS30"/>
    <mergeCell ref="AW30:AX30"/>
    <mergeCell ref="BB30:BC30"/>
    <mergeCell ref="BG30:BH30"/>
    <mergeCell ref="D30:E30"/>
    <mergeCell ref="I30:J30"/>
    <mergeCell ref="N30:O30"/>
    <mergeCell ref="S30:T30"/>
    <mergeCell ref="X30:Y30"/>
    <mergeCell ref="AC30:AD30"/>
    <mergeCell ref="F30:G30"/>
    <mergeCell ref="K30:L30"/>
    <mergeCell ref="P30:Q30"/>
    <mergeCell ref="U30:V30"/>
    <mergeCell ref="Z30:AA30"/>
    <mergeCell ref="AE30:AF30"/>
    <mergeCell ref="AJ30:AK30"/>
    <mergeCell ref="AO30:AP30"/>
    <mergeCell ref="AT30:AU30"/>
    <mergeCell ref="AY30:AZ30"/>
    <mergeCell ref="BD30:BE30"/>
    <mergeCell ref="AH31:AI31"/>
    <mergeCell ref="AM31:AN31"/>
    <mergeCell ref="AR31:AS31"/>
    <mergeCell ref="AW31:AX31"/>
    <mergeCell ref="BB31:BC31"/>
    <mergeCell ref="BG31:BH31"/>
    <mergeCell ref="D31:E31"/>
    <mergeCell ref="I31:J31"/>
    <mergeCell ref="N31:O31"/>
    <mergeCell ref="S31:T31"/>
    <mergeCell ref="X31:Y31"/>
    <mergeCell ref="AC31:AD31"/>
    <mergeCell ref="F31:G31"/>
    <mergeCell ref="K31:L31"/>
    <mergeCell ref="P31:Q31"/>
    <mergeCell ref="U31:V31"/>
    <mergeCell ref="Z31:AA31"/>
    <mergeCell ref="AE31:AF31"/>
    <mergeCell ref="AJ31:AK31"/>
    <mergeCell ref="AO31:AP31"/>
    <mergeCell ref="AT31:AU31"/>
    <mergeCell ref="AY31:AZ31"/>
    <mergeCell ref="BD31:BE31"/>
    <mergeCell ref="AH32:AI32"/>
    <mergeCell ref="AM32:AN32"/>
    <mergeCell ref="AR32:AS32"/>
    <mergeCell ref="AW32:AX32"/>
    <mergeCell ref="BB32:BC32"/>
    <mergeCell ref="BG32:BH32"/>
    <mergeCell ref="D32:E32"/>
    <mergeCell ref="I32:J32"/>
    <mergeCell ref="N32:O32"/>
    <mergeCell ref="S32:T32"/>
    <mergeCell ref="X32:Y32"/>
    <mergeCell ref="AC32:AD32"/>
    <mergeCell ref="F32:G32"/>
    <mergeCell ref="K32:L32"/>
    <mergeCell ref="P32:Q32"/>
    <mergeCell ref="U32:V32"/>
    <mergeCell ref="Z32:AA32"/>
    <mergeCell ref="AE32:AF32"/>
    <mergeCell ref="AJ32:AK32"/>
    <mergeCell ref="AO32:AP32"/>
    <mergeCell ref="AT32:AU32"/>
    <mergeCell ref="AY32:AZ32"/>
    <mergeCell ref="BD32:BE32"/>
    <mergeCell ref="AH33:AI33"/>
    <mergeCell ref="AM33:AN33"/>
    <mergeCell ref="AR33:AS33"/>
    <mergeCell ref="AW33:AX33"/>
    <mergeCell ref="BB33:BC33"/>
    <mergeCell ref="BG33:BH33"/>
    <mergeCell ref="D33:E33"/>
    <mergeCell ref="I33:J33"/>
    <mergeCell ref="N33:O33"/>
    <mergeCell ref="S33:T33"/>
    <mergeCell ref="X33:Y33"/>
    <mergeCell ref="AC33:AD33"/>
    <mergeCell ref="F33:G33"/>
    <mergeCell ref="K33:L33"/>
    <mergeCell ref="P33:Q33"/>
    <mergeCell ref="U33:V33"/>
    <mergeCell ref="Z33:AA33"/>
    <mergeCell ref="AE33:AF33"/>
    <mergeCell ref="AJ33:AK33"/>
    <mergeCell ref="AO33:AP33"/>
    <mergeCell ref="AT33:AU33"/>
    <mergeCell ref="AY33:AZ33"/>
    <mergeCell ref="BD33:BE33"/>
    <mergeCell ref="AH34:AI34"/>
    <mergeCell ref="AM34:AN34"/>
    <mergeCell ref="AR34:AS34"/>
    <mergeCell ref="AW34:AX34"/>
    <mergeCell ref="BB34:BC34"/>
    <mergeCell ref="BG34:BH34"/>
    <mergeCell ref="D34:E34"/>
    <mergeCell ref="I34:J34"/>
    <mergeCell ref="N34:O34"/>
    <mergeCell ref="S34:T34"/>
    <mergeCell ref="X34:Y34"/>
    <mergeCell ref="AC34:AD34"/>
    <mergeCell ref="F34:G34"/>
    <mergeCell ref="K34:L34"/>
    <mergeCell ref="P34:Q34"/>
    <mergeCell ref="U34:V34"/>
    <mergeCell ref="Z34:AA34"/>
    <mergeCell ref="AE34:AF34"/>
    <mergeCell ref="AJ34:AK34"/>
    <mergeCell ref="AO34:AP34"/>
    <mergeCell ref="AT34:AU34"/>
    <mergeCell ref="AY34:AZ34"/>
    <mergeCell ref="BD34:BE34"/>
    <mergeCell ref="AH35:AI35"/>
    <mergeCell ref="AM35:AN35"/>
    <mergeCell ref="AR35:AS35"/>
    <mergeCell ref="AW35:AX35"/>
    <mergeCell ref="BB35:BC35"/>
    <mergeCell ref="BG35:BH35"/>
    <mergeCell ref="D35:E35"/>
    <mergeCell ref="I35:J35"/>
    <mergeCell ref="N35:O35"/>
    <mergeCell ref="S35:T35"/>
    <mergeCell ref="X35:Y35"/>
    <mergeCell ref="AC35:AD35"/>
    <mergeCell ref="F35:G35"/>
    <mergeCell ref="K35:L35"/>
    <mergeCell ref="P35:Q35"/>
    <mergeCell ref="U35:V35"/>
    <mergeCell ref="Z35:AA35"/>
    <mergeCell ref="AE35:AF35"/>
    <mergeCell ref="AJ35:AK35"/>
    <mergeCell ref="AO35:AP35"/>
    <mergeCell ref="AT35:AU35"/>
    <mergeCell ref="AY35:AZ35"/>
    <mergeCell ref="BD35:BE35"/>
    <mergeCell ref="AH36:AI36"/>
    <mergeCell ref="AM36:AN36"/>
    <mergeCell ref="AR36:AS36"/>
    <mergeCell ref="AW36:AX36"/>
    <mergeCell ref="BB36:BC36"/>
    <mergeCell ref="BG36:BH36"/>
    <mergeCell ref="D36:E36"/>
    <mergeCell ref="I36:J36"/>
    <mergeCell ref="N36:O36"/>
    <mergeCell ref="S36:T36"/>
    <mergeCell ref="X36:Y36"/>
    <mergeCell ref="AC36:AD36"/>
    <mergeCell ref="F36:G36"/>
    <mergeCell ref="K36:L36"/>
    <mergeCell ref="P36:Q36"/>
    <mergeCell ref="U36:V36"/>
    <mergeCell ref="Z36:AA36"/>
    <mergeCell ref="AE36:AF36"/>
    <mergeCell ref="AJ36:AK36"/>
    <mergeCell ref="AO36:AP36"/>
    <mergeCell ref="AT36:AU36"/>
    <mergeCell ref="AY36:AZ36"/>
    <mergeCell ref="BD36:BE36"/>
    <mergeCell ref="AH37:AI37"/>
    <mergeCell ref="AM37:AN37"/>
    <mergeCell ref="AR37:AS37"/>
    <mergeCell ref="AW37:AX37"/>
    <mergeCell ref="BB37:BC37"/>
    <mergeCell ref="BG37:BH37"/>
    <mergeCell ref="D37:E37"/>
    <mergeCell ref="I37:J37"/>
    <mergeCell ref="N37:O37"/>
    <mergeCell ref="S37:T37"/>
    <mergeCell ref="X37:Y37"/>
    <mergeCell ref="AC37:AD37"/>
    <mergeCell ref="F37:G37"/>
    <mergeCell ref="K37:L37"/>
    <mergeCell ref="P37:Q37"/>
    <mergeCell ref="U37:V37"/>
    <mergeCell ref="Z37:AA37"/>
    <mergeCell ref="AE37:AF37"/>
    <mergeCell ref="AJ37:AK37"/>
    <mergeCell ref="AO37:AP37"/>
    <mergeCell ref="AT37:AU37"/>
    <mergeCell ref="AY37:AZ37"/>
    <mergeCell ref="BD37:BE37"/>
    <mergeCell ref="AH38:AI38"/>
    <mergeCell ref="AM38:AN38"/>
    <mergeCell ref="AR38:AS38"/>
    <mergeCell ref="AW38:AX38"/>
    <mergeCell ref="BB38:BC38"/>
    <mergeCell ref="BG38:BH38"/>
    <mergeCell ref="D38:E38"/>
    <mergeCell ref="I38:J38"/>
    <mergeCell ref="N38:O38"/>
    <mergeCell ref="S38:T38"/>
    <mergeCell ref="X38:Y38"/>
    <mergeCell ref="AC38:AD38"/>
    <mergeCell ref="F38:G38"/>
    <mergeCell ref="K38:L38"/>
    <mergeCell ref="P38:Q38"/>
    <mergeCell ref="U38:V38"/>
    <mergeCell ref="Z38:AA38"/>
    <mergeCell ref="AE38:AF38"/>
    <mergeCell ref="AJ38:AK38"/>
    <mergeCell ref="AO38:AP38"/>
    <mergeCell ref="AT38:AU38"/>
    <mergeCell ref="AY38:AZ38"/>
    <mergeCell ref="BD38:BE38"/>
    <mergeCell ref="AH39:AI39"/>
    <mergeCell ref="AM39:AN39"/>
    <mergeCell ref="AR39:AS39"/>
    <mergeCell ref="AW39:AX39"/>
    <mergeCell ref="BB39:BC39"/>
    <mergeCell ref="BG39:BH39"/>
    <mergeCell ref="D39:E39"/>
    <mergeCell ref="I39:J39"/>
    <mergeCell ref="N39:O39"/>
    <mergeCell ref="S39:T39"/>
    <mergeCell ref="X39:Y39"/>
    <mergeCell ref="AC39:AD39"/>
    <mergeCell ref="F39:G39"/>
    <mergeCell ref="K39:L39"/>
    <mergeCell ref="P39:Q39"/>
    <mergeCell ref="U39:V39"/>
    <mergeCell ref="Z39:AA39"/>
    <mergeCell ref="AE39:AF39"/>
    <mergeCell ref="AJ39:AK39"/>
    <mergeCell ref="AO39:AP39"/>
    <mergeCell ref="AT39:AU39"/>
    <mergeCell ref="AY39:AZ39"/>
    <mergeCell ref="BD39:BE39"/>
    <mergeCell ref="AH40:AI40"/>
    <mergeCell ref="AM40:AN40"/>
    <mergeCell ref="AR40:AS40"/>
    <mergeCell ref="AW40:AX40"/>
    <mergeCell ref="BB40:BC40"/>
    <mergeCell ref="BG40:BH40"/>
    <mergeCell ref="D40:E40"/>
    <mergeCell ref="I40:J40"/>
    <mergeCell ref="N40:O40"/>
    <mergeCell ref="S40:T40"/>
    <mergeCell ref="X40:Y40"/>
    <mergeCell ref="AC40:AD40"/>
    <mergeCell ref="F40:G40"/>
    <mergeCell ref="P40:Q40"/>
    <mergeCell ref="U40:V40"/>
    <mergeCell ref="Z40:AA40"/>
    <mergeCell ref="AE40:AF40"/>
    <mergeCell ref="AJ40:AK40"/>
    <mergeCell ref="AO40:AP40"/>
    <mergeCell ref="AT40:AU40"/>
    <mergeCell ref="AY40:AZ40"/>
    <mergeCell ref="BD40:BE40"/>
    <mergeCell ref="AW41:AX41"/>
    <mergeCell ref="BB41:BC41"/>
    <mergeCell ref="BG41:BH41"/>
    <mergeCell ref="D41:E41"/>
    <mergeCell ref="I41:J41"/>
    <mergeCell ref="N41:O41"/>
    <mergeCell ref="S41:T41"/>
    <mergeCell ref="X41:Y41"/>
    <mergeCell ref="AC41:AD41"/>
    <mergeCell ref="F41:G41"/>
    <mergeCell ref="P41:Q41"/>
    <mergeCell ref="Z41:AA41"/>
    <mergeCell ref="AJ41:AK41"/>
    <mergeCell ref="AO41:AP41"/>
    <mergeCell ref="AY41:AZ41"/>
    <mergeCell ref="B42:C42"/>
    <mergeCell ref="D42:E42"/>
    <mergeCell ref="I42:J42"/>
    <mergeCell ref="N42:O42"/>
    <mergeCell ref="S42:T42"/>
    <mergeCell ref="X42:Y42"/>
    <mergeCell ref="AH41:AI41"/>
    <mergeCell ref="AM41:AN41"/>
    <mergeCell ref="AR41:AS41"/>
    <mergeCell ref="K54:L54"/>
    <mergeCell ref="K55:L55"/>
    <mergeCell ref="K56:L56"/>
    <mergeCell ref="K57:L57"/>
    <mergeCell ref="K58:L58"/>
    <mergeCell ref="BG42:BH42"/>
    <mergeCell ref="AC42:AD42"/>
    <mergeCell ref="AH42:AI42"/>
    <mergeCell ref="AM42:AN42"/>
    <mergeCell ref="AR42:AS42"/>
    <mergeCell ref="AW42:AX42"/>
    <mergeCell ref="BB42:BC42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M54:N54"/>
    <mergeCell ref="M55:N55"/>
    <mergeCell ref="M56:N56"/>
    <mergeCell ref="M57:N57"/>
    <mergeCell ref="M58:N58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64"/>
  <sheetViews>
    <sheetView topLeftCell="K1" zoomScale="70" zoomScaleNormal="70" workbookViewId="0">
      <selection activeCell="Y38" sqref="Y38:Z38"/>
    </sheetView>
  </sheetViews>
  <sheetFormatPr defaultRowHeight="15" x14ac:dyDescent="0.25"/>
  <sheetData>
    <row r="1" spans="2:39" ht="15.75" thickBot="1" x14ac:dyDescent="0.3"/>
    <row r="2" spans="2:39" ht="15.75" thickTop="1" x14ac:dyDescent="0.25">
      <c r="B2" s="68" t="s">
        <v>18</v>
      </c>
      <c r="C2" s="69"/>
    </row>
    <row r="3" spans="2:39" ht="15.75" thickBot="1" x14ac:dyDescent="0.3">
      <c r="B3" s="72">
        <v>356738</v>
      </c>
      <c r="C3" s="73"/>
    </row>
    <row r="4" spans="2:39" ht="16.5" thickTop="1" thickBot="1" x14ac:dyDescent="0.3"/>
    <row r="5" spans="2:39" ht="15.75" thickTop="1" x14ac:dyDescent="0.25">
      <c r="B5" s="74" t="s">
        <v>19</v>
      </c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6"/>
    </row>
    <row r="6" spans="2:39" ht="6.75" customHeight="1" x14ac:dyDescent="0.25">
      <c r="B6" s="76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52"/>
    </row>
    <row r="7" spans="2:39" x14ac:dyDescent="0.25">
      <c r="B7" s="2"/>
      <c r="C7" s="3"/>
      <c r="D7" s="70" t="s">
        <v>20</v>
      </c>
      <c r="E7" s="71"/>
      <c r="F7" s="48" t="s">
        <v>71</v>
      </c>
      <c r="G7" s="70" t="s">
        <v>22</v>
      </c>
      <c r="H7" s="71"/>
      <c r="I7" s="48" t="s">
        <v>71</v>
      </c>
      <c r="J7" s="70" t="s">
        <v>23</v>
      </c>
      <c r="K7" s="71"/>
      <c r="L7" s="48" t="s">
        <v>71</v>
      </c>
      <c r="M7" s="70" t="s">
        <v>24</v>
      </c>
      <c r="N7" s="71"/>
      <c r="O7" s="48" t="s">
        <v>71</v>
      </c>
      <c r="P7" s="70" t="s">
        <v>25</v>
      </c>
      <c r="Q7" s="71"/>
      <c r="R7" s="48" t="s">
        <v>71</v>
      </c>
      <c r="S7" s="70" t="s">
        <v>26</v>
      </c>
      <c r="T7" s="71"/>
      <c r="U7" s="48" t="s">
        <v>71</v>
      </c>
      <c r="V7" s="70" t="s">
        <v>27</v>
      </c>
      <c r="W7" s="71"/>
      <c r="X7" s="48" t="s">
        <v>71</v>
      </c>
      <c r="Y7" s="70" t="s">
        <v>28</v>
      </c>
      <c r="Z7" s="71"/>
      <c r="AA7" s="48" t="s">
        <v>71</v>
      </c>
      <c r="AB7" s="70" t="s">
        <v>29</v>
      </c>
      <c r="AC7" s="71"/>
      <c r="AD7" s="48" t="s">
        <v>71</v>
      </c>
      <c r="AE7" s="70" t="s">
        <v>30</v>
      </c>
      <c r="AF7" s="71"/>
      <c r="AG7" s="48" t="s">
        <v>71</v>
      </c>
      <c r="AH7" s="70" t="s">
        <v>31</v>
      </c>
      <c r="AI7" s="71"/>
      <c r="AJ7" s="48" t="s">
        <v>71</v>
      </c>
      <c r="AK7" s="70" t="s">
        <v>32</v>
      </c>
      <c r="AL7" s="71"/>
      <c r="AM7" s="7" t="s">
        <v>71</v>
      </c>
    </row>
    <row r="8" spans="2:39" x14ac:dyDescent="0.25">
      <c r="B8" s="55" t="s">
        <v>33</v>
      </c>
      <c r="C8" s="56"/>
      <c r="D8" s="64">
        <v>356880</v>
      </c>
      <c r="E8" s="65"/>
      <c r="F8" s="46">
        <f>IF(COUNT(B3,D8)=2,D8-B3,"")</f>
        <v>142</v>
      </c>
      <c r="G8" s="64">
        <v>361145</v>
      </c>
      <c r="H8" s="65"/>
      <c r="I8" s="46">
        <f>IF(COUNT(D38,G8)=2,G8-D38,"")</f>
        <v>178</v>
      </c>
      <c r="J8" s="64">
        <v>365466</v>
      </c>
      <c r="K8" s="65"/>
      <c r="L8" s="46">
        <f>IF(COUNT(G35,J8)=2,J8-G35,"")</f>
        <v>177</v>
      </c>
      <c r="M8" s="64">
        <v>370243</v>
      </c>
      <c r="N8" s="65"/>
      <c r="O8" s="46">
        <f>IF(COUNT(J38,M8)=2,M8-J38,"")</f>
        <v>136</v>
      </c>
      <c r="P8" s="64">
        <v>375422</v>
      </c>
      <c r="Q8" s="65"/>
      <c r="R8" s="46">
        <f>IF(COUNT(M37,P8)=2,P8-M37,"")</f>
        <v>200</v>
      </c>
      <c r="S8" s="64">
        <v>379952</v>
      </c>
      <c r="T8" s="65"/>
      <c r="U8" s="46">
        <f>IF(COUNT(P38,S8)=2,S8-P38,"")</f>
        <v>102</v>
      </c>
      <c r="V8" s="64">
        <v>382874</v>
      </c>
      <c r="W8" s="65"/>
      <c r="X8" s="46">
        <f>IF(COUNT(S37,V8)=2,V8-S37,"")</f>
        <v>28</v>
      </c>
      <c r="Y8" s="64">
        <v>383764</v>
      </c>
      <c r="Z8" s="65"/>
      <c r="AA8" s="46">
        <f>IF(COUNT(V38,Y8)=2,Y8-V38,"")</f>
        <v>21</v>
      </c>
      <c r="AB8" s="64"/>
      <c r="AC8" s="65"/>
      <c r="AD8" s="46" t="str">
        <f>IF(COUNT(Y38,AB8)=2,AB8-Y38,"")</f>
        <v/>
      </c>
      <c r="AE8" s="64"/>
      <c r="AF8" s="65"/>
      <c r="AG8" s="46" t="str">
        <f>IF(COUNT(AB37,AE8)=2,AE8-AB37,"")</f>
        <v/>
      </c>
      <c r="AH8" s="64"/>
      <c r="AI8" s="65"/>
      <c r="AJ8" s="46" t="str">
        <f>IF(COUNT(AE38,AH8)=2,AH8-AE38,"")</f>
        <v/>
      </c>
      <c r="AK8" s="64"/>
      <c r="AL8" s="65"/>
      <c r="AM8" s="52" t="str">
        <f>IF(COUNT(AH37,AK8)=2,AK8-AH37,"")</f>
        <v/>
      </c>
    </row>
    <row r="9" spans="2:39" x14ac:dyDescent="0.25">
      <c r="B9" s="55" t="s">
        <v>34</v>
      </c>
      <c r="C9" s="56"/>
      <c r="D9" s="64">
        <v>357009</v>
      </c>
      <c r="E9" s="65"/>
      <c r="F9" s="46">
        <f>IF(COUNT(D8,D9)=2,D9-D8,"")</f>
        <v>129</v>
      </c>
      <c r="G9" s="64">
        <v>361250</v>
      </c>
      <c r="H9" s="65"/>
      <c r="I9" s="46">
        <f>IF(COUNT(G8,G9)=2,G9-G8,"")</f>
        <v>105</v>
      </c>
      <c r="J9" s="64">
        <v>365578</v>
      </c>
      <c r="K9" s="65"/>
      <c r="L9" s="46">
        <f>IF(COUNT(J8,J9)=2,J9-J8,"")</f>
        <v>112</v>
      </c>
      <c r="M9" s="64">
        <v>370435</v>
      </c>
      <c r="N9" s="65"/>
      <c r="O9" s="46">
        <f>IF(COUNT(M8,M9)=2,M9-M8,"")</f>
        <v>192</v>
      </c>
      <c r="P9" s="64">
        <v>375602</v>
      </c>
      <c r="Q9" s="65"/>
      <c r="R9" s="46">
        <f>IF(COUNT(P8,P9)=2,P9-P8,"")</f>
        <v>180</v>
      </c>
      <c r="S9" s="64">
        <v>380061</v>
      </c>
      <c r="T9" s="65"/>
      <c r="U9" s="46">
        <f>IF(COUNT(S8,S9)=2,S9-S8,"")</f>
        <v>109</v>
      </c>
      <c r="V9" s="64">
        <v>382905</v>
      </c>
      <c r="W9" s="65"/>
      <c r="X9" s="46">
        <f>IF(COUNT(V8,V9)=2,V9-V8,"")</f>
        <v>31</v>
      </c>
      <c r="Y9" s="64">
        <v>383791</v>
      </c>
      <c r="Z9" s="65"/>
      <c r="AA9" s="46">
        <f>IF(COUNT(Y8,Y9)=2,Y9-Y8,"")</f>
        <v>27</v>
      </c>
      <c r="AB9" s="64"/>
      <c r="AC9" s="65"/>
      <c r="AD9" s="46" t="str">
        <f>IF(COUNT(AB8,AB9)=2,AB9-AB8,"")</f>
        <v/>
      </c>
      <c r="AE9" s="64"/>
      <c r="AF9" s="65"/>
      <c r="AG9" s="46" t="str">
        <f>IF(COUNT(AE8,AE9)=2,AE9-AE8,"")</f>
        <v/>
      </c>
      <c r="AH9" s="64"/>
      <c r="AI9" s="65"/>
      <c r="AJ9" s="46" t="str">
        <f>IF(COUNT(AH8,AH9)=2,AH9-AH8,"")</f>
        <v/>
      </c>
      <c r="AK9" s="64"/>
      <c r="AL9" s="65"/>
      <c r="AM9" s="52" t="str">
        <f>IF(COUNT(AK8,AK9)=2,AK9-AK8,"")</f>
        <v/>
      </c>
    </row>
    <row r="10" spans="2:39" x14ac:dyDescent="0.25">
      <c r="B10" s="55" t="s">
        <v>35</v>
      </c>
      <c r="C10" s="56"/>
      <c r="D10" s="64">
        <v>357114</v>
      </c>
      <c r="E10" s="65"/>
      <c r="F10" s="46">
        <f t="shared" ref="F10:F38" si="0">IF(COUNT(D9,D10)=2,D10-D9,"")</f>
        <v>105</v>
      </c>
      <c r="G10" s="64">
        <v>361359</v>
      </c>
      <c r="H10" s="65"/>
      <c r="I10" s="46">
        <f t="shared" ref="I10:I38" si="1">IF(COUNT(G9,G10)=2,G10-G9,"")</f>
        <v>109</v>
      </c>
      <c r="J10" s="64">
        <v>365739</v>
      </c>
      <c r="K10" s="65"/>
      <c r="L10" s="46">
        <f t="shared" ref="L10:L38" si="2">IF(COUNT(J9,J10)=2,J10-J9,"")</f>
        <v>161</v>
      </c>
      <c r="M10" s="64">
        <v>370660</v>
      </c>
      <c r="N10" s="65"/>
      <c r="O10" s="46">
        <f t="shared" ref="O10:O37" si="3">IF(COUNT(M9,M10)=2,M10-M9,"")</f>
        <v>225</v>
      </c>
      <c r="P10" s="64">
        <v>375734</v>
      </c>
      <c r="Q10" s="65"/>
      <c r="R10" s="46">
        <f t="shared" ref="R10:R38" si="4">IF(COUNT(P9,P10)=2,P10-P9,"")</f>
        <v>132</v>
      </c>
      <c r="S10" s="64">
        <v>380162</v>
      </c>
      <c r="T10" s="65"/>
      <c r="U10" s="46">
        <f t="shared" ref="U10:U37" si="5">IF(COUNT(S9,S10)=2,S10-S9,"")</f>
        <v>101</v>
      </c>
      <c r="V10" s="64">
        <v>382932</v>
      </c>
      <c r="W10" s="65"/>
      <c r="X10" s="46">
        <f t="shared" ref="X10:X37" si="6">IF(COUNT(V9,V10)=2,V10-V9,"")</f>
        <v>27</v>
      </c>
      <c r="Y10" s="64">
        <v>383817</v>
      </c>
      <c r="Z10" s="65"/>
      <c r="AA10" s="46">
        <f t="shared" ref="AA10:AA38" si="7">IF(COUNT(Y9,Y10)=2,Y10-Y9,"")</f>
        <v>26</v>
      </c>
      <c r="AB10" s="64"/>
      <c r="AC10" s="65"/>
      <c r="AD10" s="46" t="str">
        <f t="shared" ref="AD10:AD37" si="8">IF(COUNT(AB9,AB10)=2,AB10-AB9,"")</f>
        <v/>
      </c>
      <c r="AE10" s="64"/>
      <c r="AF10" s="65"/>
      <c r="AG10" s="46" t="str">
        <f t="shared" ref="AG10:AG38" si="9">IF(COUNT(AE9,AE10)=2,AE10-AE9,"")</f>
        <v/>
      </c>
      <c r="AH10" s="64"/>
      <c r="AI10" s="65"/>
      <c r="AJ10" s="46" t="str">
        <f t="shared" ref="AJ10:AJ37" si="10">IF(COUNT(AH9,AH10)=2,AH10-AH9,"")</f>
        <v/>
      </c>
      <c r="AK10" s="64"/>
      <c r="AL10" s="65"/>
      <c r="AM10" s="52" t="str">
        <f t="shared" ref="AM10:AM38" si="11">IF(COUNT(AK9,AK10)=2,AK10-AK9,"")</f>
        <v/>
      </c>
    </row>
    <row r="11" spans="2:39" x14ac:dyDescent="0.25">
      <c r="B11" s="55" t="s">
        <v>36</v>
      </c>
      <c r="C11" s="56"/>
      <c r="D11" s="64">
        <v>357284</v>
      </c>
      <c r="E11" s="65"/>
      <c r="F11" s="46">
        <f t="shared" si="0"/>
        <v>170</v>
      </c>
      <c r="G11" s="64">
        <v>361476</v>
      </c>
      <c r="H11" s="65"/>
      <c r="I11" s="46">
        <f t="shared" si="1"/>
        <v>117</v>
      </c>
      <c r="J11" s="64">
        <v>365897</v>
      </c>
      <c r="K11" s="65"/>
      <c r="L11" s="46">
        <f t="shared" si="2"/>
        <v>158</v>
      </c>
      <c r="M11" s="64">
        <v>370900</v>
      </c>
      <c r="N11" s="65"/>
      <c r="O11" s="46">
        <f t="shared" si="3"/>
        <v>240</v>
      </c>
      <c r="P11" s="64">
        <v>375883</v>
      </c>
      <c r="Q11" s="65"/>
      <c r="R11" s="46">
        <f t="shared" si="4"/>
        <v>149</v>
      </c>
      <c r="S11" s="64">
        <v>380279</v>
      </c>
      <c r="T11" s="65"/>
      <c r="U11" s="46">
        <f t="shared" si="5"/>
        <v>117</v>
      </c>
      <c r="V11" s="64">
        <v>382960</v>
      </c>
      <c r="W11" s="65"/>
      <c r="X11" s="46">
        <f t="shared" si="6"/>
        <v>28</v>
      </c>
      <c r="Y11" s="64">
        <v>383844</v>
      </c>
      <c r="Z11" s="65"/>
      <c r="AA11" s="46">
        <f t="shared" si="7"/>
        <v>27</v>
      </c>
      <c r="AB11" s="64"/>
      <c r="AC11" s="65"/>
      <c r="AD11" s="46" t="str">
        <f t="shared" si="8"/>
        <v/>
      </c>
      <c r="AE11" s="64"/>
      <c r="AF11" s="65"/>
      <c r="AG11" s="46" t="str">
        <f t="shared" si="9"/>
        <v/>
      </c>
      <c r="AH11" s="64"/>
      <c r="AI11" s="65"/>
      <c r="AJ11" s="46" t="str">
        <f t="shared" si="10"/>
        <v/>
      </c>
      <c r="AK11" s="64"/>
      <c r="AL11" s="65"/>
      <c r="AM11" s="52" t="str">
        <f t="shared" si="11"/>
        <v/>
      </c>
    </row>
    <row r="12" spans="2:39" x14ac:dyDescent="0.25">
      <c r="B12" s="55" t="s">
        <v>37</v>
      </c>
      <c r="C12" s="56"/>
      <c r="D12" s="64">
        <v>357431</v>
      </c>
      <c r="E12" s="65"/>
      <c r="F12" s="46">
        <f t="shared" si="0"/>
        <v>147</v>
      </c>
      <c r="G12" s="64">
        <v>361620</v>
      </c>
      <c r="H12" s="65"/>
      <c r="I12" s="46">
        <f t="shared" si="1"/>
        <v>144</v>
      </c>
      <c r="J12" s="64">
        <v>366051</v>
      </c>
      <c r="K12" s="65"/>
      <c r="L12" s="46">
        <f t="shared" si="2"/>
        <v>154</v>
      </c>
      <c r="M12" s="64">
        <v>371062</v>
      </c>
      <c r="N12" s="65"/>
      <c r="O12" s="46">
        <v>162</v>
      </c>
      <c r="P12" s="64">
        <v>376020</v>
      </c>
      <c r="Q12" s="65"/>
      <c r="R12" s="46">
        <f t="shared" si="4"/>
        <v>137</v>
      </c>
      <c r="S12" s="64">
        <v>380406</v>
      </c>
      <c r="T12" s="65"/>
      <c r="U12" s="46">
        <f t="shared" si="5"/>
        <v>127</v>
      </c>
      <c r="V12" s="64">
        <v>383010</v>
      </c>
      <c r="W12" s="65"/>
      <c r="X12" s="46">
        <f t="shared" si="6"/>
        <v>50</v>
      </c>
      <c r="Y12" s="64">
        <v>383869</v>
      </c>
      <c r="Z12" s="65"/>
      <c r="AA12" s="46">
        <f t="shared" si="7"/>
        <v>25</v>
      </c>
      <c r="AB12" s="64"/>
      <c r="AC12" s="65"/>
      <c r="AD12" s="46" t="str">
        <f t="shared" si="8"/>
        <v/>
      </c>
      <c r="AE12" s="64"/>
      <c r="AF12" s="65"/>
      <c r="AG12" s="46" t="str">
        <f t="shared" si="9"/>
        <v/>
      </c>
      <c r="AH12" s="64"/>
      <c r="AI12" s="65"/>
      <c r="AJ12" s="46" t="str">
        <f t="shared" si="10"/>
        <v/>
      </c>
      <c r="AK12" s="64"/>
      <c r="AL12" s="65"/>
      <c r="AM12" s="52" t="str">
        <f t="shared" si="11"/>
        <v/>
      </c>
    </row>
    <row r="13" spans="2:39" x14ac:dyDescent="0.25">
      <c r="B13" s="55" t="s">
        <v>38</v>
      </c>
      <c r="C13" s="56"/>
      <c r="D13" s="64">
        <v>357554</v>
      </c>
      <c r="E13" s="65"/>
      <c r="F13" s="46">
        <f t="shared" si="0"/>
        <v>123</v>
      </c>
      <c r="G13" s="64">
        <v>361780</v>
      </c>
      <c r="H13" s="65"/>
      <c r="I13" s="46">
        <f t="shared" si="1"/>
        <v>160</v>
      </c>
      <c r="J13" s="64">
        <v>366214</v>
      </c>
      <c r="K13" s="65"/>
      <c r="L13" s="46">
        <f t="shared" si="2"/>
        <v>163</v>
      </c>
      <c r="M13" s="64">
        <v>371229</v>
      </c>
      <c r="N13" s="65"/>
      <c r="O13" s="46">
        <f t="shared" si="3"/>
        <v>167</v>
      </c>
      <c r="P13" s="64">
        <v>376184</v>
      </c>
      <c r="Q13" s="65"/>
      <c r="R13" s="46">
        <f t="shared" si="4"/>
        <v>164</v>
      </c>
      <c r="S13" s="64">
        <v>380545</v>
      </c>
      <c r="T13" s="65"/>
      <c r="U13" s="46">
        <f t="shared" si="5"/>
        <v>139</v>
      </c>
      <c r="V13" s="64">
        <v>383055</v>
      </c>
      <c r="W13" s="65"/>
      <c r="X13" s="46">
        <f t="shared" si="6"/>
        <v>45</v>
      </c>
      <c r="Y13" s="64">
        <v>383990</v>
      </c>
      <c r="Z13" s="65"/>
      <c r="AA13" s="46">
        <f t="shared" si="7"/>
        <v>121</v>
      </c>
      <c r="AB13" s="64"/>
      <c r="AC13" s="65"/>
      <c r="AD13" s="46" t="str">
        <f t="shared" si="8"/>
        <v/>
      </c>
      <c r="AE13" s="64"/>
      <c r="AF13" s="65"/>
      <c r="AG13" s="46" t="str">
        <f t="shared" si="9"/>
        <v/>
      </c>
      <c r="AH13" s="64"/>
      <c r="AI13" s="65"/>
      <c r="AJ13" s="46" t="str">
        <f t="shared" si="10"/>
        <v/>
      </c>
      <c r="AK13" s="64"/>
      <c r="AL13" s="65"/>
      <c r="AM13" s="52" t="str">
        <f t="shared" si="11"/>
        <v/>
      </c>
    </row>
    <row r="14" spans="2:39" x14ac:dyDescent="0.25">
      <c r="B14" s="55" t="s">
        <v>39</v>
      </c>
      <c r="C14" s="56"/>
      <c r="D14" s="64">
        <v>357682</v>
      </c>
      <c r="E14" s="65"/>
      <c r="F14" s="46">
        <f t="shared" si="0"/>
        <v>128</v>
      </c>
      <c r="G14" s="64">
        <v>361927</v>
      </c>
      <c r="H14" s="65"/>
      <c r="I14" s="46">
        <f t="shared" si="1"/>
        <v>147</v>
      </c>
      <c r="J14" s="64">
        <v>366399</v>
      </c>
      <c r="K14" s="65"/>
      <c r="L14" s="46">
        <f t="shared" si="2"/>
        <v>185</v>
      </c>
      <c r="M14" s="64">
        <v>371460</v>
      </c>
      <c r="N14" s="65"/>
      <c r="O14" s="46">
        <f t="shared" si="3"/>
        <v>231</v>
      </c>
      <c r="P14" s="64">
        <v>376325</v>
      </c>
      <c r="Q14" s="65"/>
      <c r="R14" s="46">
        <f t="shared" si="4"/>
        <v>141</v>
      </c>
      <c r="S14" s="64">
        <v>380660</v>
      </c>
      <c r="T14" s="65"/>
      <c r="U14" s="46">
        <f t="shared" si="5"/>
        <v>115</v>
      </c>
      <c r="V14" s="64">
        <v>383093</v>
      </c>
      <c r="W14" s="65"/>
      <c r="X14" s="46">
        <f t="shared" si="6"/>
        <v>38</v>
      </c>
      <c r="Y14" s="64">
        <v>384046</v>
      </c>
      <c r="Z14" s="65"/>
      <c r="AA14" s="46">
        <f t="shared" si="7"/>
        <v>56</v>
      </c>
      <c r="AB14" s="64"/>
      <c r="AC14" s="65"/>
      <c r="AD14" s="46" t="str">
        <f t="shared" si="8"/>
        <v/>
      </c>
      <c r="AE14" s="64"/>
      <c r="AF14" s="65"/>
      <c r="AG14" s="46" t="str">
        <f t="shared" si="9"/>
        <v/>
      </c>
      <c r="AH14" s="64"/>
      <c r="AI14" s="65"/>
      <c r="AJ14" s="46" t="str">
        <f t="shared" si="10"/>
        <v/>
      </c>
      <c r="AK14" s="64"/>
      <c r="AL14" s="65"/>
      <c r="AM14" s="52" t="str">
        <f t="shared" si="11"/>
        <v/>
      </c>
    </row>
    <row r="15" spans="2:39" x14ac:dyDescent="0.25">
      <c r="B15" s="55" t="s">
        <v>40</v>
      </c>
      <c r="C15" s="56"/>
      <c r="D15" s="64">
        <v>357831</v>
      </c>
      <c r="E15" s="65"/>
      <c r="F15" s="46">
        <f t="shared" si="0"/>
        <v>149</v>
      </c>
      <c r="G15" s="64">
        <v>362070</v>
      </c>
      <c r="H15" s="65"/>
      <c r="I15" s="46">
        <f t="shared" si="1"/>
        <v>143</v>
      </c>
      <c r="J15" s="64">
        <v>366581</v>
      </c>
      <c r="K15" s="65"/>
      <c r="L15" s="46">
        <f t="shared" si="2"/>
        <v>182</v>
      </c>
      <c r="M15" s="64">
        <v>371634</v>
      </c>
      <c r="N15" s="65"/>
      <c r="O15" s="46">
        <f t="shared" si="3"/>
        <v>174</v>
      </c>
      <c r="P15" s="64">
        <v>376500</v>
      </c>
      <c r="Q15" s="65"/>
      <c r="R15" s="46">
        <f t="shared" si="4"/>
        <v>175</v>
      </c>
      <c r="S15" s="64">
        <v>380761</v>
      </c>
      <c r="T15" s="65"/>
      <c r="U15" s="46">
        <f t="shared" si="5"/>
        <v>101</v>
      </c>
      <c r="V15" s="64">
        <v>383139</v>
      </c>
      <c r="W15" s="65"/>
      <c r="X15" s="46">
        <f t="shared" si="6"/>
        <v>46</v>
      </c>
      <c r="Y15" s="64">
        <v>384072</v>
      </c>
      <c r="Z15" s="65"/>
      <c r="AA15" s="46">
        <f t="shared" si="7"/>
        <v>26</v>
      </c>
      <c r="AB15" s="64"/>
      <c r="AC15" s="65"/>
      <c r="AD15" s="46" t="str">
        <f t="shared" si="8"/>
        <v/>
      </c>
      <c r="AE15" s="64"/>
      <c r="AF15" s="65"/>
      <c r="AG15" s="46" t="str">
        <f t="shared" si="9"/>
        <v/>
      </c>
      <c r="AH15" s="64"/>
      <c r="AI15" s="65"/>
      <c r="AJ15" s="46" t="str">
        <f t="shared" si="10"/>
        <v/>
      </c>
      <c r="AK15" s="64"/>
      <c r="AL15" s="65"/>
      <c r="AM15" s="52" t="str">
        <f t="shared" si="11"/>
        <v/>
      </c>
    </row>
    <row r="16" spans="2:39" x14ac:dyDescent="0.25">
      <c r="B16" s="55" t="s">
        <v>41</v>
      </c>
      <c r="C16" s="56"/>
      <c r="D16" s="64">
        <v>357978</v>
      </c>
      <c r="E16" s="65"/>
      <c r="F16" s="46">
        <f t="shared" si="0"/>
        <v>147</v>
      </c>
      <c r="G16" s="64">
        <v>362178</v>
      </c>
      <c r="H16" s="65"/>
      <c r="I16" s="46">
        <f t="shared" si="1"/>
        <v>108</v>
      </c>
      <c r="J16" s="64">
        <v>366719</v>
      </c>
      <c r="K16" s="65"/>
      <c r="L16" s="46">
        <f t="shared" si="2"/>
        <v>138</v>
      </c>
      <c r="M16" s="64">
        <v>371840</v>
      </c>
      <c r="N16" s="65"/>
      <c r="O16" s="46">
        <f t="shared" si="3"/>
        <v>206</v>
      </c>
      <c r="P16" s="64">
        <v>376645</v>
      </c>
      <c r="Q16" s="65"/>
      <c r="R16" s="46">
        <f t="shared" si="4"/>
        <v>145</v>
      </c>
      <c r="S16" s="64">
        <v>380862</v>
      </c>
      <c r="T16" s="65"/>
      <c r="U16" s="46">
        <f t="shared" si="5"/>
        <v>101</v>
      </c>
      <c r="V16" s="64">
        <v>383162</v>
      </c>
      <c r="W16" s="65"/>
      <c r="X16" s="46">
        <f t="shared" si="6"/>
        <v>23</v>
      </c>
      <c r="Y16" s="64">
        <v>384100</v>
      </c>
      <c r="Z16" s="65"/>
      <c r="AA16" s="46">
        <f t="shared" si="7"/>
        <v>28</v>
      </c>
      <c r="AB16" s="64"/>
      <c r="AC16" s="65"/>
      <c r="AD16" s="46" t="str">
        <f t="shared" si="8"/>
        <v/>
      </c>
      <c r="AE16" s="64"/>
      <c r="AF16" s="65"/>
      <c r="AG16" s="46" t="str">
        <f t="shared" si="9"/>
        <v/>
      </c>
      <c r="AH16" s="64"/>
      <c r="AI16" s="65"/>
      <c r="AJ16" s="46" t="str">
        <f t="shared" si="10"/>
        <v/>
      </c>
      <c r="AK16" s="64"/>
      <c r="AL16" s="65"/>
      <c r="AM16" s="52" t="str">
        <f t="shared" si="11"/>
        <v/>
      </c>
    </row>
    <row r="17" spans="2:39" x14ac:dyDescent="0.25">
      <c r="B17" s="55" t="s">
        <v>42</v>
      </c>
      <c r="C17" s="56"/>
      <c r="D17" s="64">
        <v>358116</v>
      </c>
      <c r="E17" s="65"/>
      <c r="F17" s="46">
        <f t="shared" si="0"/>
        <v>138</v>
      </c>
      <c r="G17" s="64">
        <v>362332</v>
      </c>
      <c r="H17" s="65"/>
      <c r="I17" s="46">
        <f t="shared" si="1"/>
        <v>154</v>
      </c>
      <c r="J17" s="64">
        <v>366869</v>
      </c>
      <c r="K17" s="65"/>
      <c r="L17" s="46">
        <f t="shared" si="2"/>
        <v>150</v>
      </c>
      <c r="M17" s="64">
        <v>372022</v>
      </c>
      <c r="N17" s="65"/>
      <c r="O17" s="46">
        <f t="shared" si="3"/>
        <v>182</v>
      </c>
      <c r="P17" s="64">
        <v>376803</v>
      </c>
      <c r="Q17" s="65"/>
      <c r="R17" s="46">
        <f t="shared" si="4"/>
        <v>158</v>
      </c>
      <c r="S17" s="64">
        <v>380949</v>
      </c>
      <c r="T17" s="65"/>
      <c r="U17" s="46">
        <f t="shared" si="5"/>
        <v>87</v>
      </c>
      <c r="V17" s="64">
        <v>383187</v>
      </c>
      <c r="W17" s="65"/>
      <c r="X17" s="46">
        <f t="shared" si="6"/>
        <v>25</v>
      </c>
      <c r="Y17" s="64">
        <v>384119</v>
      </c>
      <c r="Z17" s="65"/>
      <c r="AA17" s="46">
        <f t="shared" si="7"/>
        <v>19</v>
      </c>
      <c r="AB17" s="64"/>
      <c r="AC17" s="65"/>
      <c r="AD17" s="46" t="str">
        <f t="shared" si="8"/>
        <v/>
      </c>
      <c r="AE17" s="64"/>
      <c r="AF17" s="65"/>
      <c r="AG17" s="46" t="str">
        <f t="shared" si="9"/>
        <v/>
      </c>
      <c r="AH17" s="64"/>
      <c r="AI17" s="65"/>
      <c r="AJ17" s="46" t="str">
        <f t="shared" si="10"/>
        <v/>
      </c>
      <c r="AK17" s="64"/>
      <c r="AL17" s="65"/>
      <c r="AM17" s="52" t="str">
        <f t="shared" si="11"/>
        <v/>
      </c>
    </row>
    <row r="18" spans="2:39" x14ac:dyDescent="0.25">
      <c r="B18" s="55" t="s">
        <v>43</v>
      </c>
      <c r="C18" s="56"/>
      <c r="D18" s="64">
        <v>358214</v>
      </c>
      <c r="E18" s="65"/>
      <c r="F18" s="46">
        <f t="shared" si="0"/>
        <v>98</v>
      </c>
      <c r="G18" s="64">
        <v>362420</v>
      </c>
      <c r="H18" s="65"/>
      <c r="I18" s="46">
        <f t="shared" si="1"/>
        <v>88</v>
      </c>
      <c r="J18" s="64">
        <v>367026</v>
      </c>
      <c r="K18" s="65"/>
      <c r="L18" s="46">
        <f t="shared" si="2"/>
        <v>157</v>
      </c>
      <c r="M18" s="64">
        <v>372230</v>
      </c>
      <c r="N18" s="65"/>
      <c r="O18" s="46">
        <f t="shared" si="3"/>
        <v>208</v>
      </c>
      <c r="P18" s="64">
        <v>376911</v>
      </c>
      <c r="Q18" s="65"/>
      <c r="R18" s="46">
        <f t="shared" si="4"/>
        <v>108</v>
      </c>
      <c r="S18" s="64">
        <v>381065</v>
      </c>
      <c r="T18" s="65"/>
      <c r="U18" s="46">
        <f t="shared" si="5"/>
        <v>116</v>
      </c>
      <c r="V18" s="64">
        <v>383211</v>
      </c>
      <c r="W18" s="65"/>
      <c r="X18" s="46">
        <f t="shared" si="6"/>
        <v>24</v>
      </c>
      <c r="Y18" s="64">
        <v>384139</v>
      </c>
      <c r="Z18" s="65"/>
      <c r="AA18" s="46">
        <f t="shared" si="7"/>
        <v>20</v>
      </c>
      <c r="AB18" s="64"/>
      <c r="AC18" s="65"/>
      <c r="AD18" s="46" t="str">
        <f t="shared" si="8"/>
        <v/>
      </c>
      <c r="AE18" s="64"/>
      <c r="AF18" s="65"/>
      <c r="AG18" s="46" t="str">
        <f t="shared" si="9"/>
        <v/>
      </c>
      <c r="AH18" s="64"/>
      <c r="AI18" s="65"/>
      <c r="AJ18" s="46" t="str">
        <f t="shared" si="10"/>
        <v/>
      </c>
      <c r="AK18" s="64"/>
      <c r="AL18" s="65"/>
      <c r="AM18" s="52" t="str">
        <f t="shared" si="11"/>
        <v/>
      </c>
    </row>
    <row r="19" spans="2:39" x14ac:dyDescent="0.25">
      <c r="B19" s="55" t="s">
        <v>44</v>
      </c>
      <c r="C19" s="56"/>
      <c r="D19" s="64">
        <v>358331</v>
      </c>
      <c r="E19" s="65"/>
      <c r="F19" s="46">
        <f t="shared" si="0"/>
        <v>117</v>
      </c>
      <c r="G19" s="64">
        <v>362574</v>
      </c>
      <c r="H19" s="65"/>
      <c r="I19" s="46">
        <f t="shared" si="1"/>
        <v>154</v>
      </c>
      <c r="J19" s="64">
        <v>367192</v>
      </c>
      <c r="K19" s="65"/>
      <c r="L19" s="46">
        <f t="shared" si="2"/>
        <v>166</v>
      </c>
      <c r="M19" s="64">
        <v>372401</v>
      </c>
      <c r="N19" s="65"/>
      <c r="O19" s="46">
        <f t="shared" si="3"/>
        <v>171</v>
      </c>
      <c r="P19" s="64">
        <v>377033</v>
      </c>
      <c r="Q19" s="65"/>
      <c r="R19" s="46">
        <f t="shared" si="4"/>
        <v>122</v>
      </c>
      <c r="S19" s="64">
        <v>381215</v>
      </c>
      <c r="T19" s="65"/>
      <c r="U19" s="46">
        <f t="shared" si="5"/>
        <v>150</v>
      </c>
      <c r="V19" s="64">
        <v>383234</v>
      </c>
      <c r="W19" s="65"/>
      <c r="X19" s="46">
        <f t="shared" si="6"/>
        <v>23</v>
      </c>
      <c r="Y19" s="64">
        <v>384156</v>
      </c>
      <c r="Z19" s="65"/>
      <c r="AA19" s="46">
        <f t="shared" si="7"/>
        <v>17</v>
      </c>
      <c r="AB19" s="64"/>
      <c r="AC19" s="65"/>
      <c r="AD19" s="46" t="str">
        <f t="shared" si="8"/>
        <v/>
      </c>
      <c r="AE19" s="64"/>
      <c r="AF19" s="65"/>
      <c r="AG19" s="46" t="str">
        <f t="shared" si="9"/>
        <v/>
      </c>
      <c r="AH19" s="64"/>
      <c r="AI19" s="65"/>
      <c r="AJ19" s="46" t="str">
        <f t="shared" si="10"/>
        <v/>
      </c>
      <c r="AK19" s="64"/>
      <c r="AL19" s="65"/>
      <c r="AM19" s="52" t="str">
        <f t="shared" si="11"/>
        <v/>
      </c>
    </row>
    <row r="20" spans="2:39" x14ac:dyDescent="0.25">
      <c r="B20" s="55" t="s">
        <v>45</v>
      </c>
      <c r="C20" s="56"/>
      <c r="D20" s="64">
        <v>358455</v>
      </c>
      <c r="E20" s="65"/>
      <c r="F20" s="46">
        <f t="shared" si="0"/>
        <v>124</v>
      </c>
      <c r="G20" s="64">
        <v>362804</v>
      </c>
      <c r="H20" s="65"/>
      <c r="I20" s="46">
        <f t="shared" si="1"/>
        <v>230</v>
      </c>
      <c r="J20" s="64">
        <v>367401</v>
      </c>
      <c r="K20" s="65"/>
      <c r="L20" s="46">
        <f t="shared" si="2"/>
        <v>209</v>
      </c>
      <c r="M20" s="64">
        <v>372530</v>
      </c>
      <c r="N20" s="65"/>
      <c r="O20" s="46">
        <f t="shared" si="3"/>
        <v>129</v>
      </c>
      <c r="P20" s="64">
        <v>377144</v>
      </c>
      <c r="Q20" s="65"/>
      <c r="R20" s="46">
        <f t="shared" si="4"/>
        <v>111</v>
      </c>
      <c r="S20" s="64">
        <v>381383</v>
      </c>
      <c r="T20" s="65"/>
      <c r="U20" s="46">
        <f t="shared" si="5"/>
        <v>168</v>
      </c>
      <c r="V20" s="64">
        <v>383259</v>
      </c>
      <c r="W20" s="65"/>
      <c r="X20" s="46">
        <f t="shared" si="6"/>
        <v>25</v>
      </c>
      <c r="Y20" s="64">
        <v>384182</v>
      </c>
      <c r="Z20" s="65"/>
      <c r="AA20" s="46">
        <f t="shared" si="7"/>
        <v>26</v>
      </c>
      <c r="AB20" s="64"/>
      <c r="AC20" s="65"/>
      <c r="AD20" s="46" t="str">
        <f t="shared" si="8"/>
        <v/>
      </c>
      <c r="AE20" s="64"/>
      <c r="AF20" s="65"/>
      <c r="AG20" s="46" t="str">
        <f t="shared" si="9"/>
        <v/>
      </c>
      <c r="AH20" s="64"/>
      <c r="AI20" s="65"/>
      <c r="AJ20" s="46" t="str">
        <f t="shared" si="10"/>
        <v/>
      </c>
      <c r="AK20" s="64"/>
      <c r="AL20" s="65"/>
      <c r="AM20" s="52" t="str">
        <f t="shared" si="11"/>
        <v/>
      </c>
    </row>
    <row r="21" spans="2:39" x14ac:dyDescent="0.25">
      <c r="B21" s="55" t="s">
        <v>46</v>
      </c>
      <c r="C21" s="56"/>
      <c r="D21" s="64">
        <v>358581</v>
      </c>
      <c r="E21" s="65"/>
      <c r="F21" s="46">
        <f t="shared" si="0"/>
        <v>126</v>
      </c>
      <c r="G21" s="64">
        <v>363016</v>
      </c>
      <c r="H21" s="65"/>
      <c r="I21" s="46">
        <f t="shared" si="1"/>
        <v>212</v>
      </c>
      <c r="J21" s="64">
        <v>367590</v>
      </c>
      <c r="K21" s="65"/>
      <c r="L21" s="46">
        <f t="shared" si="2"/>
        <v>189</v>
      </c>
      <c r="M21" s="64">
        <v>372699</v>
      </c>
      <c r="N21" s="65"/>
      <c r="O21" s="46">
        <f t="shared" si="3"/>
        <v>169</v>
      </c>
      <c r="P21" s="64">
        <v>377297</v>
      </c>
      <c r="Q21" s="65"/>
      <c r="R21" s="46">
        <f t="shared" si="4"/>
        <v>153</v>
      </c>
      <c r="S21" s="64">
        <v>381531</v>
      </c>
      <c r="T21" s="65"/>
      <c r="U21" s="46">
        <f t="shared" si="5"/>
        <v>148</v>
      </c>
      <c r="V21" s="64">
        <v>383315</v>
      </c>
      <c r="W21" s="65"/>
      <c r="X21" s="46">
        <f t="shared" si="6"/>
        <v>56</v>
      </c>
      <c r="Y21" s="64">
        <v>384193</v>
      </c>
      <c r="Z21" s="65"/>
      <c r="AA21" s="46">
        <f t="shared" si="7"/>
        <v>11</v>
      </c>
      <c r="AB21" s="64"/>
      <c r="AC21" s="65"/>
      <c r="AD21" s="46" t="str">
        <f t="shared" si="8"/>
        <v/>
      </c>
      <c r="AE21" s="64"/>
      <c r="AF21" s="65"/>
      <c r="AG21" s="46" t="str">
        <f t="shared" si="9"/>
        <v/>
      </c>
      <c r="AH21" s="64"/>
      <c r="AI21" s="65"/>
      <c r="AJ21" s="46" t="str">
        <f t="shared" si="10"/>
        <v/>
      </c>
      <c r="AK21" s="64"/>
      <c r="AL21" s="65"/>
      <c r="AM21" s="52" t="str">
        <f t="shared" si="11"/>
        <v/>
      </c>
    </row>
    <row r="22" spans="2:39" x14ac:dyDescent="0.25">
      <c r="B22" s="55" t="s">
        <v>47</v>
      </c>
      <c r="C22" s="56"/>
      <c r="D22" s="64">
        <v>358706</v>
      </c>
      <c r="E22" s="65"/>
      <c r="F22" s="46">
        <f t="shared" si="0"/>
        <v>125</v>
      </c>
      <c r="G22" s="64">
        <v>363204</v>
      </c>
      <c r="H22" s="65"/>
      <c r="I22" s="46">
        <f t="shared" si="1"/>
        <v>188</v>
      </c>
      <c r="J22" s="64">
        <v>367719</v>
      </c>
      <c r="K22" s="65"/>
      <c r="L22" s="46">
        <f t="shared" si="2"/>
        <v>129</v>
      </c>
      <c r="M22" s="64">
        <v>372868</v>
      </c>
      <c r="N22" s="65"/>
      <c r="O22" s="46">
        <f t="shared" si="3"/>
        <v>169</v>
      </c>
      <c r="P22" s="64">
        <v>377472</v>
      </c>
      <c r="Q22" s="65"/>
      <c r="R22" s="46">
        <f t="shared" si="4"/>
        <v>175</v>
      </c>
      <c r="S22" s="64">
        <v>381630</v>
      </c>
      <c r="T22" s="65"/>
      <c r="U22" s="46">
        <f t="shared" si="5"/>
        <v>99</v>
      </c>
      <c r="V22" s="64">
        <v>383371</v>
      </c>
      <c r="W22" s="65"/>
      <c r="X22" s="46">
        <f t="shared" si="6"/>
        <v>56</v>
      </c>
      <c r="Y22" s="64">
        <v>384204</v>
      </c>
      <c r="Z22" s="65"/>
      <c r="AA22" s="46">
        <f t="shared" si="7"/>
        <v>11</v>
      </c>
      <c r="AB22" s="64"/>
      <c r="AC22" s="65"/>
      <c r="AD22" s="46" t="str">
        <f t="shared" si="8"/>
        <v/>
      </c>
      <c r="AE22" s="64"/>
      <c r="AF22" s="65"/>
      <c r="AG22" s="46" t="str">
        <f t="shared" si="9"/>
        <v/>
      </c>
      <c r="AH22" s="64"/>
      <c r="AI22" s="65"/>
      <c r="AJ22" s="46" t="str">
        <f t="shared" si="10"/>
        <v/>
      </c>
      <c r="AK22" s="64"/>
      <c r="AL22" s="65"/>
      <c r="AM22" s="52" t="str">
        <f t="shared" si="11"/>
        <v/>
      </c>
    </row>
    <row r="23" spans="2:39" x14ac:dyDescent="0.25">
      <c r="B23" s="55" t="s">
        <v>48</v>
      </c>
      <c r="C23" s="56"/>
      <c r="D23" s="64">
        <v>358867</v>
      </c>
      <c r="E23" s="65"/>
      <c r="F23" s="46">
        <f t="shared" si="0"/>
        <v>161</v>
      </c>
      <c r="G23" s="64">
        <v>363322</v>
      </c>
      <c r="H23" s="65"/>
      <c r="I23" s="46">
        <f t="shared" si="1"/>
        <v>118</v>
      </c>
      <c r="J23" s="64">
        <v>367837</v>
      </c>
      <c r="K23" s="65"/>
      <c r="L23" s="46">
        <f t="shared" si="2"/>
        <v>118</v>
      </c>
      <c r="M23" s="64">
        <v>373037</v>
      </c>
      <c r="N23" s="65"/>
      <c r="O23" s="46">
        <f t="shared" si="3"/>
        <v>169</v>
      </c>
      <c r="P23" s="64">
        <v>377635</v>
      </c>
      <c r="Q23" s="65"/>
      <c r="R23" s="46">
        <f t="shared" si="4"/>
        <v>163</v>
      </c>
      <c r="S23" s="64">
        <v>381728</v>
      </c>
      <c r="T23" s="65"/>
      <c r="U23" s="46">
        <f t="shared" si="5"/>
        <v>98</v>
      </c>
      <c r="V23" s="64">
        <v>383418</v>
      </c>
      <c r="W23" s="65"/>
      <c r="X23" s="46">
        <f t="shared" si="6"/>
        <v>47</v>
      </c>
      <c r="Y23" s="64">
        <v>384231</v>
      </c>
      <c r="Z23" s="65"/>
      <c r="AA23" s="46">
        <f t="shared" si="7"/>
        <v>27</v>
      </c>
      <c r="AB23" s="64"/>
      <c r="AC23" s="65"/>
      <c r="AD23" s="46" t="str">
        <f t="shared" si="8"/>
        <v/>
      </c>
      <c r="AE23" s="64"/>
      <c r="AF23" s="65"/>
      <c r="AG23" s="46" t="str">
        <f t="shared" si="9"/>
        <v/>
      </c>
      <c r="AH23" s="64"/>
      <c r="AI23" s="65"/>
      <c r="AJ23" s="46" t="str">
        <f t="shared" si="10"/>
        <v/>
      </c>
      <c r="AK23" s="64"/>
      <c r="AL23" s="65"/>
      <c r="AM23" s="52" t="str">
        <f t="shared" si="11"/>
        <v/>
      </c>
    </row>
    <row r="24" spans="2:39" x14ac:dyDescent="0.25">
      <c r="B24" s="55" t="s">
        <v>49</v>
      </c>
      <c r="C24" s="56"/>
      <c r="D24" s="64">
        <v>359020</v>
      </c>
      <c r="E24" s="65"/>
      <c r="F24" s="46">
        <f t="shared" si="0"/>
        <v>153</v>
      </c>
      <c r="G24" s="64">
        <v>363456</v>
      </c>
      <c r="H24" s="65"/>
      <c r="I24" s="46">
        <f t="shared" si="1"/>
        <v>134</v>
      </c>
      <c r="J24" s="64">
        <v>367952</v>
      </c>
      <c r="K24" s="65"/>
      <c r="L24" s="46">
        <f t="shared" si="2"/>
        <v>115</v>
      </c>
      <c r="M24" s="64">
        <v>373215</v>
      </c>
      <c r="N24" s="65"/>
      <c r="O24" s="46">
        <f t="shared" si="3"/>
        <v>178</v>
      </c>
      <c r="P24" s="64">
        <v>377750</v>
      </c>
      <c r="Q24" s="65"/>
      <c r="R24" s="46">
        <f t="shared" si="4"/>
        <v>115</v>
      </c>
      <c r="S24" s="64">
        <v>381824</v>
      </c>
      <c r="T24" s="65"/>
      <c r="U24" s="46">
        <f t="shared" si="5"/>
        <v>96</v>
      </c>
      <c r="V24" s="64">
        <v>383465</v>
      </c>
      <c r="W24" s="65"/>
      <c r="X24" s="46">
        <f t="shared" si="6"/>
        <v>47</v>
      </c>
      <c r="Y24" s="64">
        <v>384265</v>
      </c>
      <c r="Z24" s="65"/>
      <c r="AA24" s="46">
        <f t="shared" si="7"/>
        <v>34</v>
      </c>
      <c r="AB24" s="64"/>
      <c r="AC24" s="65"/>
      <c r="AD24" s="46" t="str">
        <f t="shared" si="8"/>
        <v/>
      </c>
      <c r="AE24" s="64"/>
      <c r="AF24" s="65"/>
      <c r="AG24" s="46" t="str">
        <f t="shared" si="9"/>
        <v/>
      </c>
      <c r="AH24" s="64"/>
      <c r="AI24" s="65"/>
      <c r="AJ24" s="46" t="str">
        <f t="shared" si="10"/>
        <v/>
      </c>
      <c r="AK24" s="64"/>
      <c r="AL24" s="65"/>
      <c r="AM24" s="52" t="str">
        <f t="shared" si="11"/>
        <v/>
      </c>
    </row>
    <row r="25" spans="2:39" x14ac:dyDescent="0.25">
      <c r="B25" s="55" t="s">
        <v>50</v>
      </c>
      <c r="C25" s="56"/>
      <c r="D25" s="64">
        <v>359109</v>
      </c>
      <c r="E25" s="65"/>
      <c r="F25" s="46">
        <f t="shared" si="0"/>
        <v>89</v>
      </c>
      <c r="G25" s="64">
        <v>363626</v>
      </c>
      <c r="H25" s="65"/>
      <c r="I25" s="46">
        <f t="shared" si="1"/>
        <v>170</v>
      </c>
      <c r="J25" s="64">
        <v>368076</v>
      </c>
      <c r="K25" s="65"/>
      <c r="L25" s="46">
        <f t="shared" si="2"/>
        <v>124</v>
      </c>
      <c r="M25" s="64">
        <v>373380</v>
      </c>
      <c r="N25" s="65"/>
      <c r="O25" s="46">
        <f t="shared" si="3"/>
        <v>165</v>
      </c>
      <c r="P25" s="64">
        <v>377869</v>
      </c>
      <c r="Q25" s="65"/>
      <c r="R25" s="46">
        <f t="shared" si="4"/>
        <v>119</v>
      </c>
      <c r="S25" s="64">
        <v>381942</v>
      </c>
      <c r="T25" s="65"/>
      <c r="U25" s="46">
        <f t="shared" si="5"/>
        <v>118</v>
      </c>
      <c r="V25" s="64">
        <v>383512</v>
      </c>
      <c r="W25" s="65"/>
      <c r="X25" s="46">
        <f t="shared" si="6"/>
        <v>47</v>
      </c>
      <c r="Y25" s="64">
        <v>384292</v>
      </c>
      <c r="Z25" s="65"/>
      <c r="AA25" s="46">
        <f t="shared" si="7"/>
        <v>27</v>
      </c>
      <c r="AB25" s="64"/>
      <c r="AC25" s="65"/>
      <c r="AD25" s="46" t="str">
        <f t="shared" si="8"/>
        <v/>
      </c>
      <c r="AE25" s="64"/>
      <c r="AF25" s="65"/>
      <c r="AG25" s="46" t="str">
        <f t="shared" si="9"/>
        <v/>
      </c>
      <c r="AH25" s="64"/>
      <c r="AI25" s="65"/>
      <c r="AJ25" s="46" t="str">
        <f t="shared" si="10"/>
        <v/>
      </c>
      <c r="AK25" s="64"/>
      <c r="AL25" s="65"/>
      <c r="AM25" s="52" t="str">
        <f t="shared" si="11"/>
        <v/>
      </c>
    </row>
    <row r="26" spans="2:39" x14ac:dyDescent="0.25">
      <c r="B26" s="55" t="s">
        <v>51</v>
      </c>
      <c r="C26" s="56"/>
      <c r="D26" s="64">
        <v>359214</v>
      </c>
      <c r="E26" s="65"/>
      <c r="F26" s="46">
        <f t="shared" si="0"/>
        <v>105</v>
      </c>
      <c r="G26" s="64">
        <v>363793</v>
      </c>
      <c r="H26" s="65"/>
      <c r="I26" s="46">
        <f t="shared" si="1"/>
        <v>167</v>
      </c>
      <c r="J26" s="64">
        <v>368251</v>
      </c>
      <c r="K26" s="65"/>
      <c r="L26" s="46">
        <f t="shared" si="2"/>
        <v>175</v>
      </c>
      <c r="M26" s="64">
        <v>373507</v>
      </c>
      <c r="N26" s="65"/>
      <c r="O26" s="46">
        <f t="shared" si="3"/>
        <v>127</v>
      </c>
      <c r="P26" s="64">
        <v>378003</v>
      </c>
      <c r="Q26" s="65"/>
      <c r="R26" s="46">
        <f t="shared" si="4"/>
        <v>134</v>
      </c>
      <c r="S26" s="64">
        <v>382063</v>
      </c>
      <c r="T26" s="65"/>
      <c r="U26" s="46">
        <f t="shared" si="5"/>
        <v>121</v>
      </c>
      <c r="V26" s="64">
        <v>383557</v>
      </c>
      <c r="W26" s="65"/>
      <c r="X26" s="46">
        <f t="shared" si="6"/>
        <v>45</v>
      </c>
      <c r="Y26" s="64">
        <v>384319</v>
      </c>
      <c r="Z26" s="65"/>
      <c r="AA26" s="46">
        <f t="shared" si="7"/>
        <v>27</v>
      </c>
      <c r="AB26" s="64"/>
      <c r="AC26" s="65"/>
      <c r="AD26" s="46" t="str">
        <f t="shared" si="8"/>
        <v/>
      </c>
      <c r="AE26" s="64"/>
      <c r="AF26" s="65"/>
      <c r="AG26" s="46" t="str">
        <f t="shared" si="9"/>
        <v/>
      </c>
      <c r="AH26" s="64"/>
      <c r="AI26" s="65"/>
      <c r="AJ26" s="46" t="str">
        <f t="shared" si="10"/>
        <v/>
      </c>
      <c r="AK26" s="64"/>
      <c r="AL26" s="65"/>
      <c r="AM26" s="52" t="str">
        <f t="shared" si="11"/>
        <v/>
      </c>
    </row>
    <row r="27" spans="2:39" x14ac:dyDescent="0.25">
      <c r="B27" s="55" t="s">
        <v>52</v>
      </c>
      <c r="C27" s="56"/>
      <c r="D27" s="64">
        <v>359297</v>
      </c>
      <c r="E27" s="65"/>
      <c r="F27" s="46">
        <f t="shared" si="0"/>
        <v>83</v>
      </c>
      <c r="G27" s="64">
        <v>364008</v>
      </c>
      <c r="H27" s="65"/>
      <c r="I27" s="46">
        <f t="shared" si="1"/>
        <v>215</v>
      </c>
      <c r="J27" s="64">
        <v>368434</v>
      </c>
      <c r="K27" s="65"/>
      <c r="L27" s="46">
        <f t="shared" si="2"/>
        <v>183</v>
      </c>
      <c r="M27" s="64">
        <v>373634</v>
      </c>
      <c r="N27" s="65"/>
      <c r="O27" s="46">
        <f t="shared" si="3"/>
        <v>127</v>
      </c>
      <c r="P27" s="64">
        <v>378151</v>
      </c>
      <c r="Q27" s="65"/>
      <c r="R27" s="46">
        <f t="shared" si="4"/>
        <v>148</v>
      </c>
      <c r="S27" s="64">
        <v>382189</v>
      </c>
      <c r="T27" s="65"/>
      <c r="U27" s="46">
        <f t="shared" si="5"/>
        <v>126</v>
      </c>
      <c r="V27" s="64">
        <v>383570</v>
      </c>
      <c r="W27" s="65"/>
      <c r="X27" s="46">
        <f t="shared" si="6"/>
        <v>13</v>
      </c>
      <c r="Y27" s="64">
        <v>384344</v>
      </c>
      <c r="Z27" s="65"/>
      <c r="AA27" s="46">
        <f t="shared" si="7"/>
        <v>25</v>
      </c>
      <c r="AB27" s="64"/>
      <c r="AC27" s="65"/>
      <c r="AD27" s="46" t="str">
        <f t="shared" si="8"/>
        <v/>
      </c>
      <c r="AE27" s="64"/>
      <c r="AF27" s="65"/>
      <c r="AG27" s="46" t="str">
        <f t="shared" si="9"/>
        <v/>
      </c>
      <c r="AH27" s="64"/>
      <c r="AI27" s="65"/>
      <c r="AJ27" s="46" t="str">
        <f t="shared" si="10"/>
        <v/>
      </c>
      <c r="AK27" s="64"/>
      <c r="AL27" s="65"/>
      <c r="AM27" s="52" t="str">
        <f t="shared" si="11"/>
        <v/>
      </c>
    </row>
    <row r="28" spans="2:39" x14ac:dyDescent="0.25">
      <c r="B28" s="55" t="s">
        <v>53</v>
      </c>
      <c r="C28" s="56"/>
      <c r="D28" s="64">
        <v>359393</v>
      </c>
      <c r="E28" s="65"/>
      <c r="F28" s="46">
        <f t="shared" si="0"/>
        <v>96</v>
      </c>
      <c r="G28" s="64">
        <v>364207</v>
      </c>
      <c r="H28" s="65"/>
      <c r="I28" s="46">
        <f t="shared" si="1"/>
        <v>199</v>
      </c>
      <c r="J28" s="64">
        <v>368615</v>
      </c>
      <c r="K28" s="65"/>
      <c r="L28" s="46">
        <f t="shared" si="2"/>
        <v>181</v>
      </c>
      <c r="M28" s="64">
        <v>373780</v>
      </c>
      <c r="N28" s="65"/>
      <c r="O28" s="46">
        <f t="shared" si="3"/>
        <v>146</v>
      </c>
      <c r="P28" s="64">
        <v>378324</v>
      </c>
      <c r="Q28" s="65"/>
      <c r="R28" s="46">
        <f t="shared" si="4"/>
        <v>173</v>
      </c>
      <c r="S28" s="64">
        <v>382285</v>
      </c>
      <c r="T28" s="65"/>
      <c r="U28" s="46">
        <f t="shared" si="5"/>
        <v>96</v>
      </c>
      <c r="V28" s="64">
        <v>383584</v>
      </c>
      <c r="W28" s="65"/>
      <c r="X28" s="46">
        <f t="shared" si="6"/>
        <v>14</v>
      </c>
      <c r="Y28" s="64">
        <v>384358</v>
      </c>
      <c r="Z28" s="65"/>
      <c r="AA28" s="46">
        <f t="shared" si="7"/>
        <v>14</v>
      </c>
      <c r="AB28" s="64"/>
      <c r="AC28" s="65"/>
      <c r="AD28" s="46" t="str">
        <f t="shared" si="8"/>
        <v/>
      </c>
      <c r="AE28" s="64"/>
      <c r="AF28" s="65"/>
      <c r="AG28" s="46" t="str">
        <f t="shared" si="9"/>
        <v/>
      </c>
      <c r="AH28" s="64"/>
      <c r="AI28" s="65"/>
      <c r="AJ28" s="46" t="str">
        <f t="shared" si="10"/>
        <v/>
      </c>
      <c r="AK28" s="64"/>
      <c r="AL28" s="65"/>
      <c r="AM28" s="52" t="str">
        <f t="shared" si="11"/>
        <v/>
      </c>
    </row>
    <row r="29" spans="2:39" x14ac:dyDescent="0.25">
      <c r="B29" s="55" t="s">
        <v>54</v>
      </c>
      <c r="C29" s="56"/>
      <c r="D29" s="64">
        <v>359528</v>
      </c>
      <c r="E29" s="65"/>
      <c r="F29" s="46">
        <f t="shared" si="0"/>
        <v>135</v>
      </c>
      <c r="G29" s="64">
        <v>364352</v>
      </c>
      <c r="H29" s="65"/>
      <c r="I29" s="46">
        <f t="shared" si="1"/>
        <v>145</v>
      </c>
      <c r="J29" s="64">
        <v>368753</v>
      </c>
      <c r="K29" s="65"/>
      <c r="L29" s="46">
        <f t="shared" si="2"/>
        <v>138</v>
      </c>
      <c r="M29" s="64">
        <v>373944</v>
      </c>
      <c r="N29" s="65"/>
      <c r="O29" s="46">
        <f t="shared" si="3"/>
        <v>164</v>
      </c>
      <c r="P29" s="64">
        <v>378507</v>
      </c>
      <c r="Q29" s="65"/>
      <c r="R29" s="46">
        <f t="shared" si="4"/>
        <v>183</v>
      </c>
      <c r="S29" s="64">
        <v>382393</v>
      </c>
      <c r="T29" s="65"/>
      <c r="U29" s="46">
        <f t="shared" si="5"/>
        <v>108</v>
      </c>
      <c r="V29" s="64">
        <v>383597</v>
      </c>
      <c r="W29" s="65"/>
      <c r="X29" s="46">
        <f t="shared" si="6"/>
        <v>13</v>
      </c>
      <c r="Y29" s="64">
        <v>384373</v>
      </c>
      <c r="Z29" s="65"/>
      <c r="AA29" s="46">
        <f t="shared" si="7"/>
        <v>15</v>
      </c>
      <c r="AB29" s="64"/>
      <c r="AC29" s="65"/>
      <c r="AD29" s="46" t="str">
        <f t="shared" si="8"/>
        <v/>
      </c>
      <c r="AE29" s="64"/>
      <c r="AF29" s="65"/>
      <c r="AG29" s="46" t="str">
        <f t="shared" si="9"/>
        <v/>
      </c>
      <c r="AH29" s="64"/>
      <c r="AI29" s="65"/>
      <c r="AJ29" s="46" t="str">
        <f t="shared" si="10"/>
        <v/>
      </c>
      <c r="AK29" s="64"/>
      <c r="AL29" s="65"/>
      <c r="AM29" s="52" t="str">
        <f t="shared" si="11"/>
        <v/>
      </c>
    </row>
    <row r="30" spans="2:39" x14ac:dyDescent="0.25">
      <c r="B30" s="55" t="s">
        <v>55</v>
      </c>
      <c r="C30" s="56"/>
      <c r="D30" s="64">
        <v>359733</v>
      </c>
      <c r="E30" s="65"/>
      <c r="F30" s="46">
        <f t="shared" si="0"/>
        <v>205</v>
      </c>
      <c r="G30" s="64">
        <v>364477</v>
      </c>
      <c r="H30" s="65"/>
      <c r="I30" s="46">
        <f t="shared" si="1"/>
        <v>125</v>
      </c>
      <c r="J30" s="64">
        <v>368878</v>
      </c>
      <c r="K30" s="65"/>
      <c r="L30" s="46">
        <f t="shared" si="2"/>
        <v>125</v>
      </c>
      <c r="M30" s="64">
        <v>374110</v>
      </c>
      <c r="N30" s="65"/>
      <c r="O30" s="46">
        <f t="shared" si="3"/>
        <v>166</v>
      </c>
      <c r="P30" s="64">
        <v>378685</v>
      </c>
      <c r="Q30" s="65"/>
      <c r="R30" s="46">
        <f t="shared" si="4"/>
        <v>178</v>
      </c>
      <c r="S30" s="64">
        <v>382436</v>
      </c>
      <c r="T30" s="65"/>
      <c r="U30" s="46">
        <f t="shared" si="5"/>
        <v>43</v>
      </c>
      <c r="V30" s="64">
        <v>383609</v>
      </c>
      <c r="W30" s="65"/>
      <c r="X30" s="46">
        <f t="shared" si="6"/>
        <v>12</v>
      </c>
      <c r="Y30" s="64">
        <v>384384</v>
      </c>
      <c r="Z30" s="65"/>
      <c r="AA30" s="46">
        <f t="shared" si="7"/>
        <v>11</v>
      </c>
      <c r="AB30" s="64"/>
      <c r="AC30" s="65"/>
      <c r="AD30" s="46" t="str">
        <f t="shared" si="8"/>
        <v/>
      </c>
      <c r="AE30" s="64"/>
      <c r="AF30" s="65"/>
      <c r="AG30" s="46" t="str">
        <f t="shared" si="9"/>
        <v/>
      </c>
      <c r="AH30" s="64"/>
      <c r="AI30" s="65"/>
      <c r="AJ30" s="46" t="str">
        <f t="shared" si="10"/>
        <v/>
      </c>
      <c r="AK30" s="64"/>
      <c r="AL30" s="65"/>
      <c r="AM30" s="52" t="str">
        <f t="shared" si="11"/>
        <v/>
      </c>
    </row>
    <row r="31" spans="2:39" x14ac:dyDescent="0.25">
      <c r="B31" s="55" t="s">
        <v>56</v>
      </c>
      <c r="C31" s="56"/>
      <c r="D31" s="64">
        <v>359956</v>
      </c>
      <c r="E31" s="65"/>
      <c r="F31" s="46">
        <f>IF(COUNT(D30,D31)=2,D31-D30,"")</f>
        <v>223</v>
      </c>
      <c r="G31" s="64">
        <v>364609</v>
      </c>
      <c r="H31" s="65"/>
      <c r="I31" s="46">
        <f t="shared" si="1"/>
        <v>132</v>
      </c>
      <c r="J31" s="64">
        <v>369029</v>
      </c>
      <c r="K31" s="65"/>
      <c r="L31" s="46">
        <f t="shared" si="2"/>
        <v>151</v>
      </c>
      <c r="M31" s="64">
        <v>374316</v>
      </c>
      <c r="N31" s="65"/>
      <c r="O31" s="46">
        <f t="shared" si="3"/>
        <v>206</v>
      </c>
      <c r="P31" s="64">
        <v>378825</v>
      </c>
      <c r="Q31" s="65"/>
      <c r="R31" s="46">
        <f t="shared" si="4"/>
        <v>140</v>
      </c>
      <c r="S31" s="64">
        <v>382512</v>
      </c>
      <c r="T31" s="65"/>
      <c r="U31" s="46">
        <f t="shared" si="5"/>
        <v>76</v>
      </c>
      <c r="V31" s="64">
        <v>383633</v>
      </c>
      <c r="W31" s="65"/>
      <c r="X31" s="46">
        <f t="shared" si="6"/>
        <v>24</v>
      </c>
      <c r="Y31" s="64">
        <v>384396</v>
      </c>
      <c r="Z31" s="65"/>
      <c r="AA31" s="46">
        <f t="shared" si="7"/>
        <v>12</v>
      </c>
      <c r="AB31" s="64"/>
      <c r="AC31" s="65"/>
      <c r="AD31" s="46" t="str">
        <f t="shared" si="8"/>
        <v/>
      </c>
      <c r="AE31" s="64"/>
      <c r="AF31" s="65"/>
      <c r="AG31" s="46" t="str">
        <f t="shared" si="9"/>
        <v/>
      </c>
      <c r="AH31" s="64"/>
      <c r="AI31" s="65"/>
      <c r="AJ31" s="46" t="str">
        <f t="shared" si="10"/>
        <v/>
      </c>
      <c r="AK31" s="64"/>
      <c r="AL31" s="65"/>
      <c r="AM31" s="52" t="str">
        <f t="shared" si="11"/>
        <v/>
      </c>
    </row>
    <row r="32" spans="2:39" x14ac:dyDescent="0.25">
      <c r="B32" s="55" t="s">
        <v>57</v>
      </c>
      <c r="C32" s="56"/>
      <c r="D32" s="64">
        <v>360157</v>
      </c>
      <c r="E32" s="65"/>
      <c r="F32" s="46">
        <f>IF(COUNT(D31,D32)=2,D32-D31,"")</f>
        <v>201</v>
      </c>
      <c r="G32" s="64">
        <v>364762</v>
      </c>
      <c r="H32" s="65"/>
      <c r="I32" s="46">
        <f t="shared" si="1"/>
        <v>153</v>
      </c>
      <c r="J32" s="64">
        <v>369181</v>
      </c>
      <c r="K32" s="65"/>
      <c r="L32" s="46">
        <f t="shared" si="2"/>
        <v>152</v>
      </c>
      <c r="M32" s="64">
        <v>374491</v>
      </c>
      <c r="N32" s="65"/>
      <c r="O32" s="46">
        <f t="shared" si="3"/>
        <v>175</v>
      </c>
      <c r="P32" s="64">
        <v>378957</v>
      </c>
      <c r="Q32" s="65"/>
      <c r="R32" s="46">
        <f t="shared" si="4"/>
        <v>132</v>
      </c>
      <c r="S32" s="64">
        <v>382594</v>
      </c>
      <c r="T32" s="65"/>
      <c r="U32" s="46">
        <f t="shared" si="5"/>
        <v>82</v>
      </c>
      <c r="V32" s="64">
        <v>383646</v>
      </c>
      <c r="W32" s="65"/>
      <c r="X32" s="46">
        <f t="shared" si="6"/>
        <v>13</v>
      </c>
      <c r="Y32" s="64">
        <v>384407</v>
      </c>
      <c r="Z32" s="65"/>
      <c r="AA32" s="46">
        <f t="shared" si="7"/>
        <v>11</v>
      </c>
      <c r="AB32" s="64"/>
      <c r="AC32" s="65"/>
      <c r="AD32" s="46" t="str">
        <f t="shared" si="8"/>
        <v/>
      </c>
      <c r="AE32" s="64"/>
      <c r="AF32" s="65"/>
      <c r="AG32" s="46" t="str">
        <f t="shared" si="9"/>
        <v/>
      </c>
      <c r="AH32" s="64"/>
      <c r="AI32" s="65"/>
      <c r="AJ32" s="46" t="str">
        <f t="shared" si="10"/>
        <v/>
      </c>
      <c r="AK32" s="64"/>
      <c r="AL32" s="65"/>
      <c r="AM32" s="52" t="str">
        <f t="shared" si="11"/>
        <v/>
      </c>
    </row>
    <row r="33" spans="2:39" x14ac:dyDescent="0.25">
      <c r="B33" s="55" t="s">
        <v>58</v>
      </c>
      <c r="C33" s="56"/>
      <c r="D33" s="64">
        <v>360323</v>
      </c>
      <c r="E33" s="65"/>
      <c r="F33" s="46">
        <f>IF(COUNT(D32,D33)=2,D33-D32,"")</f>
        <v>166</v>
      </c>
      <c r="G33" s="64">
        <v>364921</v>
      </c>
      <c r="H33" s="65"/>
      <c r="I33" s="46">
        <f t="shared" si="1"/>
        <v>159</v>
      </c>
      <c r="J33" s="64">
        <v>369350</v>
      </c>
      <c r="K33" s="65"/>
      <c r="L33" s="46">
        <f t="shared" si="2"/>
        <v>169</v>
      </c>
      <c r="M33" s="64">
        <v>374628</v>
      </c>
      <c r="N33" s="65"/>
      <c r="O33" s="46">
        <f t="shared" si="3"/>
        <v>137</v>
      </c>
      <c r="P33" s="64">
        <v>379113</v>
      </c>
      <c r="Q33" s="65"/>
      <c r="R33" s="46">
        <f t="shared" si="4"/>
        <v>156</v>
      </c>
      <c r="S33" s="64">
        <v>382640</v>
      </c>
      <c r="T33" s="65"/>
      <c r="U33" s="46">
        <f t="shared" si="5"/>
        <v>46</v>
      </c>
      <c r="V33" s="64">
        <v>383659</v>
      </c>
      <c r="W33" s="65"/>
      <c r="X33" s="46">
        <f t="shared" si="6"/>
        <v>13</v>
      </c>
      <c r="Y33" s="64">
        <v>384432</v>
      </c>
      <c r="Z33" s="65"/>
      <c r="AA33" s="46">
        <f t="shared" si="7"/>
        <v>25</v>
      </c>
      <c r="AB33" s="64"/>
      <c r="AC33" s="65"/>
      <c r="AD33" s="46" t="str">
        <f t="shared" si="8"/>
        <v/>
      </c>
      <c r="AE33" s="64"/>
      <c r="AF33" s="65"/>
      <c r="AG33" s="46" t="str">
        <f t="shared" si="9"/>
        <v/>
      </c>
      <c r="AH33" s="64"/>
      <c r="AI33" s="65"/>
      <c r="AJ33" s="46" t="str">
        <f t="shared" si="10"/>
        <v/>
      </c>
      <c r="AK33" s="64"/>
      <c r="AL33" s="65"/>
      <c r="AM33" s="52" t="str">
        <f t="shared" si="11"/>
        <v/>
      </c>
    </row>
    <row r="34" spans="2:39" x14ac:dyDescent="0.25">
      <c r="B34" s="55" t="s">
        <v>59</v>
      </c>
      <c r="C34" s="56"/>
      <c r="D34" s="64">
        <v>360477</v>
      </c>
      <c r="E34" s="65"/>
      <c r="F34" s="46">
        <f t="shared" si="0"/>
        <v>154</v>
      </c>
      <c r="G34" s="64">
        <v>365098</v>
      </c>
      <c r="H34" s="65"/>
      <c r="I34" s="46">
        <f t="shared" si="1"/>
        <v>177</v>
      </c>
      <c r="J34" s="64">
        <v>369543</v>
      </c>
      <c r="K34" s="65"/>
      <c r="L34" s="46">
        <f t="shared" si="2"/>
        <v>193</v>
      </c>
      <c r="M34" s="64">
        <v>374759</v>
      </c>
      <c r="N34" s="65"/>
      <c r="O34" s="46">
        <f t="shared" si="3"/>
        <v>131</v>
      </c>
      <c r="P34" s="64">
        <v>379257</v>
      </c>
      <c r="Q34" s="65"/>
      <c r="R34" s="46">
        <f t="shared" si="4"/>
        <v>144</v>
      </c>
      <c r="S34" s="64">
        <v>382704</v>
      </c>
      <c r="T34" s="65"/>
      <c r="U34" s="46">
        <f t="shared" si="5"/>
        <v>64</v>
      </c>
      <c r="V34" s="64">
        <v>383672</v>
      </c>
      <c r="W34" s="65"/>
      <c r="X34" s="46">
        <f t="shared" si="6"/>
        <v>13</v>
      </c>
      <c r="Y34" s="64">
        <v>384451</v>
      </c>
      <c r="Z34" s="65"/>
      <c r="AA34" s="46">
        <f t="shared" si="7"/>
        <v>19</v>
      </c>
      <c r="AB34" s="64"/>
      <c r="AC34" s="65"/>
      <c r="AD34" s="46" t="str">
        <f t="shared" si="8"/>
        <v/>
      </c>
      <c r="AE34" s="64"/>
      <c r="AF34" s="65"/>
      <c r="AG34" s="46" t="str">
        <f t="shared" si="9"/>
        <v/>
      </c>
      <c r="AH34" s="64"/>
      <c r="AI34" s="65"/>
      <c r="AJ34" s="46" t="str">
        <f t="shared" si="10"/>
        <v/>
      </c>
      <c r="AK34" s="64"/>
      <c r="AL34" s="65"/>
      <c r="AM34" s="52" t="str">
        <f t="shared" si="11"/>
        <v/>
      </c>
    </row>
    <row r="35" spans="2:39" x14ac:dyDescent="0.25">
      <c r="B35" s="55" t="s">
        <v>60</v>
      </c>
      <c r="C35" s="56"/>
      <c r="D35" s="64">
        <v>360568</v>
      </c>
      <c r="E35" s="65"/>
      <c r="F35" s="46">
        <f t="shared" si="0"/>
        <v>91</v>
      </c>
      <c r="G35" s="64">
        <v>365289</v>
      </c>
      <c r="H35" s="65"/>
      <c r="I35" s="46">
        <f t="shared" si="1"/>
        <v>191</v>
      </c>
      <c r="J35" s="64">
        <v>369755</v>
      </c>
      <c r="K35" s="65"/>
      <c r="L35" s="46">
        <f t="shared" si="2"/>
        <v>212</v>
      </c>
      <c r="M35" s="64">
        <v>374912</v>
      </c>
      <c r="N35" s="65"/>
      <c r="O35" s="46">
        <f t="shared" si="3"/>
        <v>153</v>
      </c>
      <c r="P35" s="64">
        <v>379415</v>
      </c>
      <c r="Q35" s="65"/>
      <c r="R35" s="46">
        <f t="shared" si="4"/>
        <v>158</v>
      </c>
      <c r="S35" s="64">
        <v>382767</v>
      </c>
      <c r="T35" s="65"/>
      <c r="U35" s="46">
        <f t="shared" si="5"/>
        <v>63</v>
      </c>
      <c r="V35" s="64">
        <v>383684</v>
      </c>
      <c r="W35" s="65"/>
      <c r="X35" s="46">
        <f t="shared" si="6"/>
        <v>12</v>
      </c>
      <c r="Y35" s="64">
        <v>384465</v>
      </c>
      <c r="Z35" s="65"/>
      <c r="AA35" s="46">
        <f t="shared" si="7"/>
        <v>14</v>
      </c>
      <c r="AB35" s="64"/>
      <c r="AC35" s="65"/>
      <c r="AD35" s="46" t="str">
        <f t="shared" si="8"/>
        <v/>
      </c>
      <c r="AE35" s="64"/>
      <c r="AF35" s="65"/>
      <c r="AG35" s="46" t="str">
        <f t="shared" si="9"/>
        <v/>
      </c>
      <c r="AH35" s="64"/>
      <c r="AI35" s="65"/>
      <c r="AJ35" s="46" t="str">
        <f t="shared" si="10"/>
        <v/>
      </c>
      <c r="AK35" s="64"/>
      <c r="AL35" s="65"/>
      <c r="AM35" s="52" t="str">
        <f t="shared" si="11"/>
        <v/>
      </c>
    </row>
    <row r="36" spans="2:39" x14ac:dyDescent="0.25">
      <c r="B36" s="55" t="s">
        <v>61</v>
      </c>
      <c r="C36" s="56"/>
      <c r="D36" s="64">
        <v>360714</v>
      </c>
      <c r="E36" s="65"/>
      <c r="F36" s="46">
        <f t="shared" si="0"/>
        <v>146</v>
      </c>
      <c r="G36" s="66"/>
      <c r="H36" s="67"/>
      <c r="I36" s="47" t="str">
        <f t="shared" si="1"/>
        <v/>
      </c>
      <c r="J36" s="64">
        <v>369881</v>
      </c>
      <c r="K36" s="65"/>
      <c r="L36" s="46">
        <f t="shared" si="2"/>
        <v>126</v>
      </c>
      <c r="M36" s="64">
        <v>375040</v>
      </c>
      <c r="N36" s="65"/>
      <c r="O36" s="46">
        <f t="shared" si="3"/>
        <v>128</v>
      </c>
      <c r="P36" s="64">
        <v>379604</v>
      </c>
      <c r="Q36" s="65"/>
      <c r="R36" s="46">
        <f t="shared" si="4"/>
        <v>189</v>
      </c>
      <c r="S36" s="64">
        <v>382808</v>
      </c>
      <c r="T36" s="65"/>
      <c r="U36" s="46">
        <f t="shared" si="5"/>
        <v>41</v>
      </c>
      <c r="V36" s="64">
        <v>383705</v>
      </c>
      <c r="W36" s="65"/>
      <c r="X36" s="46">
        <f t="shared" si="6"/>
        <v>21</v>
      </c>
      <c r="Y36" s="64">
        <v>384483</v>
      </c>
      <c r="Z36" s="65"/>
      <c r="AA36" s="46">
        <f t="shared" si="7"/>
        <v>18</v>
      </c>
      <c r="AB36" s="64"/>
      <c r="AC36" s="65"/>
      <c r="AD36" s="46" t="str">
        <f t="shared" si="8"/>
        <v/>
      </c>
      <c r="AE36" s="64"/>
      <c r="AF36" s="65"/>
      <c r="AG36" s="46" t="str">
        <f t="shared" si="9"/>
        <v/>
      </c>
      <c r="AH36" s="64"/>
      <c r="AI36" s="65"/>
      <c r="AJ36" s="46" t="str">
        <f t="shared" si="10"/>
        <v/>
      </c>
      <c r="AK36" s="64"/>
      <c r="AL36" s="65"/>
      <c r="AM36" s="52" t="str">
        <f t="shared" si="11"/>
        <v/>
      </c>
    </row>
    <row r="37" spans="2:39" x14ac:dyDescent="0.25">
      <c r="B37" s="55" t="s">
        <v>62</v>
      </c>
      <c r="C37" s="56"/>
      <c r="D37" s="64">
        <v>360866</v>
      </c>
      <c r="E37" s="65"/>
      <c r="F37" s="46">
        <f t="shared" si="0"/>
        <v>152</v>
      </c>
      <c r="G37" s="66"/>
      <c r="H37" s="67"/>
      <c r="I37" s="47" t="str">
        <f t="shared" si="1"/>
        <v/>
      </c>
      <c r="J37" s="64">
        <v>369991</v>
      </c>
      <c r="K37" s="65"/>
      <c r="L37" s="46">
        <f t="shared" si="2"/>
        <v>110</v>
      </c>
      <c r="M37" s="64">
        <v>375222</v>
      </c>
      <c r="N37" s="65"/>
      <c r="O37" s="46">
        <f t="shared" si="3"/>
        <v>182</v>
      </c>
      <c r="P37" s="64">
        <v>379738</v>
      </c>
      <c r="Q37" s="65"/>
      <c r="R37" s="46">
        <f t="shared" si="4"/>
        <v>134</v>
      </c>
      <c r="S37" s="64">
        <v>382846</v>
      </c>
      <c r="T37" s="65"/>
      <c r="U37" s="46">
        <f t="shared" si="5"/>
        <v>38</v>
      </c>
      <c r="V37" s="64">
        <v>383724</v>
      </c>
      <c r="W37" s="65"/>
      <c r="X37" s="46">
        <f t="shared" si="6"/>
        <v>19</v>
      </c>
      <c r="Y37" s="64">
        <v>384502</v>
      </c>
      <c r="Z37" s="65"/>
      <c r="AA37" s="46">
        <f t="shared" si="7"/>
        <v>19</v>
      </c>
      <c r="AB37" s="64"/>
      <c r="AC37" s="65"/>
      <c r="AD37" s="46" t="str">
        <f t="shared" si="8"/>
        <v/>
      </c>
      <c r="AE37" s="64"/>
      <c r="AF37" s="65"/>
      <c r="AG37" s="46" t="str">
        <f t="shared" si="9"/>
        <v/>
      </c>
      <c r="AH37" s="64"/>
      <c r="AI37" s="65"/>
      <c r="AJ37" s="46" t="str">
        <f t="shared" si="10"/>
        <v/>
      </c>
      <c r="AK37" s="64"/>
      <c r="AL37" s="65"/>
      <c r="AM37" s="52" t="str">
        <f t="shared" si="11"/>
        <v/>
      </c>
    </row>
    <row r="38" spans="2:39" ht="15.75" thickBot="1" x14ac:dyDescent="0.3">
      <c r="B38" s="53" t="s">
        <v>63</v>
      </c>
      <c r="C38" s="54"/>
      <c r="D38" s="60">
        <v>360967</v>
      </c>
      <c r="E38" s="61"/>
      <c r="F38" s="46">
        <f t="shared" si="0"/>
        <v>101</v>
      </c>
      <c r="G38" s="62"/>
      <c r="H38" s="63"/>
      <c r="I38" s="47" t="str">
        <f t="shared" si="1"/>
        <v/>
      </c>
      <c r="J38" s="60">
        <v>370107</v>
      </c>
      <c r="K38" s="61"/>
      <c r="L38" s="46">
        <f t="shared" si="2"/>
        <v>116</v>
      </c>
      <c r="M38" s="62"/>
      <c r="N38" s="63"/>
      <c r="O38" s="45"/>
      <c r="P38" s="60">
        <v>379850</v>
      </c>
      <c r="Q38" s="61"/>
      <c r="R38" s="46">
        <f t="shared" si="4"/>
        <v>112</v>
      </c>
      <c r="S38" s="62"/>
      <c r="T38" s="63"/>
      <c r="U38" s="45"/>
      <c r="V38" s="60">
        <v>383743</v>
      </c>
      <c r="W38" s="61"/>
      <c r="X38" s="46">
        <f>IF(COUNT(V37,V38)=2,V38-V37,"")</f>
        <v>19</v>
      </c>
      <c r="Y38" s="60">
        <v>384521</v>
      </c>
      <c r="Z38" s="61"/>
      <c r="AA38" s="46">
        <f t="shared" si="7"/>
        <v>19</v>
      </c>
      <c r="AB38" s="62"/>
      <c r="AC38" s="63"/>
      <c r="AD38" s="45"/>
      <c r="AE38" s="60"/>
      <c r="AF38" s="61"/>
      <c r="AG38" s="46" t="str">
        <f t="shared" si="9"/>
        <v/>
      </c>
      <c r="AH38" s="62"/>
      <c r="AI38" s="63"/>
      <c r="AJ38" s="45"/>
      <c r="AK38" s="60"/>
      <c r="AL38" s="61"/>
      <c r="AM38" s="4" t="str">
        <f t="shared" si="11"/>
        <v/>
      </c>
    </row>
    <row r="39" spans="2:39" ht="15.75" thickBot="1" x14ac:dyDescent="0.3">
      <c r="B39" s="58" t="s">
        <v>72</v>
      </c>
      <c r="C39" s="59"/>
      <c r="D39" s="57"/>
      <c r="E39" s="57"/>
      <c r="F39" s="43">
        <f>SUM(F8:F38)</f>
        <v>4229</v>
      </c>
      <c r="G39" s="57"/>
      <c r="H39" s="57"/>
      <c r="I39" s="43">
        <f>SUM(I8:I38)</f>
        <v>4322</v>
      </c>
      <c r="J39" s="57"/>
      <c r="K39" s="57"/>
      <c r="L39" s="43">
        <f>SUM(L8:L38)</f>
        <v>4818</v>
      </c>
      <c r="M39" s="57"/>
      <c r="N39" s="57"/>
      <c r="O39" s="43">
        <f>SUM(O8:O37)</f>
        <v>5115</v>
      </c>
      <c r="P39" s="57"/>
      <c r="Q39" s="57"/>
      <c r="R39" s="43">
        <f>SUM(R8:R38)</f>
        <v>4628</v>
      </c>
      <c r="S39" s="57"/>
      <c r="T39" s="57"/>
      <c r="U39" s="43">
        <f>SUM(U8:U37)</f>
        <v>2996</v>
      </c>
      <c r="V39" s="57"/>
      <c r="W39" s="57"/>
      <c r="X39" s="43">
        <f>SUM(X8:X38)</f>
        <v>897</v>
      </c>
      <c r="Y39" s="57"/>
      <c r="Z39" s="57"/>
      <c r="AA39" s="43">
        <f>SUM(AA8:AA38)</f>
        <v>778</v>
      </c>
      <c r="AB39" s="57"/>
      <c r="AC39" s="57"/>
      <c r="AD39" s="43">
        <f>SUM(AD8:AD37)</f>
        <v>0</v>
      </c>
      <c r="AE39" s="57"/>
      <c r="AF39" s="57"/>
      <c r="AG39" s="43">
        <f>SUM(AG8:AG38)</f>
        <v>0</v>
      </c>
      <c r="AH39" s="57"/>
      <c r="AI39" s="57"/>
      <c r="AJ39" s="43">
        <f>SUM(AJ8:AJ37)</f>
        <v>0</v>
      </c>
      <c r="AK39" s="57"/>
      <c r="AL39" s="57"/>
      <c r="AM39" s="51">
        <f>SUM(AM8:AM38)</f>
        <v>0</v>
      </c>
    </row>
    <row r="40" spans="2:39" ht="15.75" thickTop="1" x14ac:dyDescent="0.25"/>
    <row r="44" spans="2:39" x14ac:dyDescent="0.25">
      <c r="P44" s="1"/>
      <c r="Q44" s="8"/>
      <c r="R44" s="8"/>
    </row>
    <row r="45" spans="2:39" x14ac:dyDescent="0.25">
      <c r="D45" s="1"/>
      <c r="E45" s="1"/>
      <c r="F45" s="1"/>
      <c r="P45" s="1"/>
      <c r="Q45" s="8"/>
      <c r="R45" s="8"/>
    </row>
    <row r="46" spans="2:39" x14ac:dyDescent="0.25">
      <c r="D46" s="1"/>
      <c r="E46" s="1"/>
      <c r="F46" s="1"/>
      <c r="P46" s="1"/>
      <c r="Q46" s="8"/>
      <c r="R46" s="8"/>
    </row>
    <row r="47" spans="2:39" x14ac:dyDescent="0.25">
      <c r="D47" s="1"/>
      <c r="E47" s="8"/>
      <c r="F47" s="8"/>
      <c r="P47" s="1"/>
      <c r="Q47" s="8"/>
      <c r="R47" s="8"/>
    </row>
    <row r="48" spans="2:39" x14ac:dyDescent="0.25">
      <c r="D48" s="1"/>
      <c r="E48" s="8"/>
      <c r="F48" s="8"/>
      <c r="P48" s="1"/>
      <c r="Q48" s="8"/>
      <c r="R48" s="8"/>
    </row>
    <row r="49" spans="4:18" x14ac:dyDescent="0.25">
      <c r="D49" s="1"/>
      <c r="E49" s="8"/>
      <c r="F49" s="8"/>
      <c r="P49" s="1"/>
      <c r="Q49" s="8"/>
      <c r="R49" s="8"/>
    </row>
    <row r="50" spans="4:18" x14ac:dyDescent="0.25">
      <c r="D50" s="1"/>
      <c r="E50" s="8"/>
      <c r="F50" s="8"/>
      <c r="P50" s="1"/>
      <c r="Q50" s="8"/>
      <c r="R50" s="8"/>
    </row>
    <row r="51" spans="4:18" x14ac:dyDescent="0.25">
      <c r="D51" s="1"/>
      <c r="E51" s="8"/>
      <c r="F51" s="8"/>
      <c r="P51" s="1"/>
      <c r="Q51" s="8"/>
      <c r="R51" s="8"/>
    </row>
    <row r="52" spans="4:18" x14ac:dyDescent="0.25">
      <c r="D52" s="1"/>
      <c r="E52" s="8"/>
      <c r="F52" s="8"/>
      <c r="P52" s="1"/>
      <c r="Q52" s="8"/>
      <c r="R52" s="8"/>
    </row>
    <row r="53" spans="4:18" x14ac:dyDescent="0.25">
      <c r="D53" s="1"/>
      <c r="E53" s="8"/>
      <c r="F53" s="8"/>
      <c r="P53" s="1"/>
      <c r="Q53" s="8"/>
      <c r="R53" s="8"/>
    </row>
    <row r="54" spans="4:18" x14ac:dyDescent="0.25">
      <c r="D54" s="1"/>
      <c r="E54" s="1"/>
      <c r="F54" s="1"/>
      <c r="P54" s="1"/>
      <c r="Q54" s="8"/>
      <c r="R54" s="8"/>
    </row>
    <row r="55" spans="4:18" x14ac:dyDescent="0.25">
      <c r="P55" s="1"/>
      <c r="Q55" s="8"/>
      <c r="R55" s="8"/>
    </row>
    <row r="56" spans="4:18" x14ac:dyDescent="0.25">
      <c r="P56" s="1"/>
      <c r="Q56" s="8"/>
      <c r="R56" s="8"/>
    </row>
    <row r="57" spans="4:18" x14ac:dyDescent="0.25">
      <c r="P57" s="1"/>
      <c r="Q57" s="8"/>
      <c r="R57" s="8"/>
    </row>
    <row r="58" spans="4:18" x14ac:dyDescent="0.25">
      <c r="P58" s="1"/>
      <c r="Q58" s="8"/>
      <c r="R58" s="8"/>
    </row>
    <row r="59" spans="4:18" x14ac:dyDescent="0.25">
      <c r="P59" s="1"/>
      <c r="Q59" s="8"/>
      <c r="R59" s="8"/>
    </row>
    <row r="60" spans="4:18" x14ac:dyDescent="0.25">
      <c r="P60" s="1"/>
      <c r="Q60" s="8"/>
      <c r="R60" s="8"/>
    </row>
    <row r="61" spans="4:18" x14ac:dyDescent="0.25">
      <c r="P61" s="1"/>
      <c r="Q61" s="8"/>
      <c r="R61" s="8"/>
    </row>
    <row r="62" spans="4:18" x14ac:dyDescent="0.25">
      <c r="P62" s="1"/>
      <c r="Q62" s="8"/>
      <c r="R62" s="8"/>
    </row>
    <row r="63" spans="4:18" x14ac:dyDescent="0.25">
      <c r="P63" s="1"/>
      <c r="Q63" s="8"/>
      <c r="R63" s="8"/>
    </row>
    <row r="64" spans="4:18" x14ac:dyDescent="0.25">
      <c r="P64" s="1"/>
      <c r="Q64" s="8"/>
      <c r="R64" s="8"/>
    </row>
  </sheetData>
  <mergeCells count="432">
    <mergeCell ref="B2:C2"/>
    <mergeCell ref="B3:C3"/>
    <mergeCell ref="B6:AL6"/>
    <mergeCell ref="V39:W39"/>
    <mergeCell ref="Y39:Z39"/>
    <mergeCell ref="AB39:AC39"/>
    <mergeCell ref="AE39:AF39"/>
    <mergeCell ref="AH39:AI39"/>
    <mergeCell ref="AK39:AL39"/>
    <mergeCell ref="B39:C39"/>
    <mergeCell ref="J37:K37"/>
    <mergeCell ref="M37:N37"/>
    <mergeCell ref="P37:Q37"/>
    <mergeCell ref="S37:T37"/>
    <mergeCell ref="V37:W37"/>
    <mergeCell ref="V36:W36"/>
    <mergeCell ref="Y36:Z36"/>
    <mergeCell ref="AB36:AC36"/>
    <mergeCell ref="AE36:AF36"/>
    <mergeCell ref="AH36:AI36"/>
    <mergeCell ref="AK36:AL36"/>
    <mergeCell ref="Y35:Z35"/>
    <mergeCell ref="AB35:AC35"/>
    <mergeCell ref="AE35:AF35"/>
    <mergeCell ref="B5:AL5"/>
    <mergeCell ref="D39:E39"/>
    <mergeCell ref="G39:H39"/>
    <mergeCell ref="J39:K39"/>
    <mergeCell ref="M39:N39"/>
    <mergeCell ref="P39:Q39"/>
    <mergeCell ref="S39:T39"/>
    <mergeCell ref="V38:W38"/>
    <mergeCell ref="Y38:Z38"/>
    <mergeCell ref="AB38:AC38"/>
    <mergeCell ref="AE38:AF38"/>
    <mergeCell ref="AH38:AI38"/>
    <mergeCell ref="AK38:AL38"/>
    <mergeCell ref="Y37:Z37"/>
    <mergeCell ref="AB37:AC37"/>
    <mergeCell ref="AE37:AF37"/>
    <mergeCell ref="AH37:AI37"/>
    <mergeCell ref="AK37:AL37"/>
    <mergeCell ref="G38:H38"/>
    <mergeCell ref="J38:K38"/>
    <mergeCell ref="M38:N38"/>
    <mergeCell ref="P38:Q38"/>
    <mergeCell ref="S38:T38"/>
    <mergeCell ref="G37:H37"/>
    <mergeCell ref="AH35:AI35"/>
    <mergeCell ref="AK35:AL35"/>
    <mergeCell ref="G36:H36"/>
    <mergeCell ref="J36:K36"/>
    <mergeCell ref="M36:N36"/>
    <mergeCell ref="P36:Q36"/>
    <mergeCell ref="S36:T36"/>
    <mergeCell ref="G35:H35"/>
    <mergeCell ref="J35:K35"/>
    <mergeCell ref="M35:N35"/>
    <mergeCell ref="P35:Q35"/>
    <mergeCell ref="S35:T35"/>
    <mergeCell ref="V35:W35"/>
    <mergeCell ref="V34:W34"/>
    <mergeCell ref="Y34:Z34"/>
    <mergeCell ref="AB34:AC34"/>
    <mergeCell ref="AE34:AF34"/>
    <mergeCell ref="AH34:AI34"/>
    <mergeCell ref="AK34:AL34"/>
    <mergeCell ref="Y33:Z33"/>
    <mergeCell ref="AB33:AC33"/>
    <mergeCell ref="AE33:AF33"/>
    <mergeCell ref="AH33:AI33"/>
    <mergeCell ref="AK33:AL33"/>
    <mergeCell ref="V33:W33"/>
    <mergeCell ref="G34:H34"/>
    <mergeCell ref="J34:K34"/>
    <mergeCell ref="M34:N34"/>
    <mergeCell ref="P34:Q34"/>
    <mergeCell ref="S34:T34"/>
    <mergeCell ref="G33:H33"/>
    <mergeCell ref="J33:K33"/>
    <mergeCell ref="M33:N33"/>
    <mergeCell ref="P33:Q33"/>
    <mergeCell ref="S33:T33"/>
    <mergeCell ref="V32:W32"/>
    <mergeCell ref="Y32:Z32"/>
    <mergeCell ref="AB32:AC32"/>
    <mergeCell ref="AE32:AF32"/>
    <mergeCell ref="AH32:AI32"/>
    <mergeCell ref="AK32:AL32"/>
    <mergeCell ref="Y31:Z31"/>
    <mergeCell ref="AB31:AC31"/>
    <mergeCell ref="AE31:AF31"/>
    <mergeCell ref="AH31:AI31"/>
    <mergeCell ref="AK31:AL31"/>
    <mergeCell ref="V31:W31"/>
    <mergeCell ref="G32:H32"/>
    <mergeCell ref="J32:K32"/>
    <mergeCell ref="M32:N32"/>
    <mergeCell ref="P32:Q32"/>
    <mergeCell ref="S32:T32"/>
    <mergeCell ref="G31:H31"/>
    <mergeCell ref="J31:K31"/>
    <mergeCell ref="M31:N31"/>
    <mergeCell ref="P31:Q31"/>
    <mergeCell ref="S31:T31"/>
    <mergeCell ref="V30:W30"/>
    <mergeCell ref="Y30:Z30"/>
    <mergeCell ref="AB30:AC30"/>
    <mergeCell ref="AE30:AF30"/>
    <mergeCell ref="AH30:AI30"/>
    <mergeCell ref="AK30:AL30"/>
    <mergeCell ref="Y29:Z29"/>
    <mergeCell ref="AB29:AC29"/>
    <mergeCell ref="AE29:AF29"/>
    <mergeCell ref="AH29:AI29"/>
    <mergeCell ref="AK29:AL29"/>
    <mergeCell ref="V29:W29"/>
    <mergeCell ref="G30:H30"/>
    <mergeCell ref="J30:K30"/>
    <mergeCell ref="M30:N30"/>
    <mergeCell ref="P30:Q30"/>
    <mergeCell ref="S30:T30"/>
    <mergeCell ref="G29:H29"/>
    <mergeCell ref="J29:K29"/>
    <mergeCell ref="M29:N29"/>
    <mergeCell ref="P29:Q29"/>
    <mergeCell ref="S29:T29"/>
    <mergeCell ref="V28:W28"/>
    <mergeCell ref="Y28:Z28"/>
    <mergeCell ref="AB28:AC28"/>
    <mergeCell ref="AE28:AF28"/>
    <mergeCell ref="AH28:AI28"/>
    <mergeCell ref="AK28:AL28"/>
    <mergeCell ref="Y27:Z27"/>
    <mergeCell ref="AB27:AC27"/>
    <mergeCell ref="AE27:AF27"/>
    <mergeCell ref="AH27:AI27"/>
    <mergeCell ref="AK27:AL27"/>
    <mergeCell ref="V27:W27"/>
    <mergeCell ref="G28:H28"/>
    <mergeCell ref="J28:K28"/>
    <mergeCell ref="M28:N28"/>
    <mergeCell ref="P28:Q28"/>
    <mergeCell ref="S28:T28"/>
    <mergeCell ref="G27:H27"/>
    <mergeCell ref="J27:K27"/>
    <mergeCell ref="M27:N27"/>
    <mergeCell ref="P27:Q27"/>
    <mergeCell ref="S27:T27"/>
    <mergeCell ref="V26:W26"/>
    <mergeCell ref="Y26:Z26"/>
    <mergeCell ref="AB26:AC26"/>
    <mergeCell ref="AE26:AF26"/>
    <mergeCell ref="AH26:AI26"/>
    <mergeCell ref="AK26:AL26"/>
    <mergeCell ref="Y25:Z25"/>
    <mergeCell ref="AB25:AC25"/>
    <mergeCell ref="AE25:AF25"/>
    <mergeCell ref="AH25:AI25"/>
    <mergeCell ref="AK25:AL25"/>
    <mergeCell ref="V25:W25"/>
    <mergeCell ref="G26:H26"/>
    <mergeCell ref="J26:K26"/>
    <mergeCell ref="M26:N26"/>
    <mergeCell ref="P26:Q26"/>
    <mergeCell ref="S26:T26"/>
    <mergeCell ref="G25:H25"/>
    <mergeCell ref="J25:K25"/>
    <mergeCell ref="M25:N25"/>
    <mergeCell ref="P25:Q25"/>
    <mergeCell ref="S25:T25"/>
    <mergeCell ref="V24:W24"/>
    <mergeCell ref="Y24:Z24"/>
    <mergeCell ref="AB24:AC24"/>
    <mergeCell ref="AE24:AF24"/>
    <mergeCell ref="AH24:AI24"/>
    <mergeCell ref="AK24:AL24"/>
    <mergeCell ref="Y23:Z23"/>
    <mergeCell ref="AB23:AC23"/>
    <mergeCell ref="AE23:AF23"/>
    <mergeCell ref="AH23:AI23"/>
    <mergeCell ref="AK23:AL23"/>
    <mergeCell ref="V23:W23"/>
    <mergeCell ref="G24:H24"/>
    <mergeCell ref="J24:K24"/>
    <mergeCell ref="M24:N24"/>
    <mergeCell ref="P24:Q24"/>
    <mergeCell ref="S24:T24"/>
    <mergeCell ref="G23:H23"/>
    <mergeCell ref="J23:K23"/>
    <mergeCell ref="M23:N23"/>
    <mergeCell ref="P23:Q23"/>
    <mergeCell ref="S23:T23"/>
    <mergeCell ref="V22:W22"/>
    <mergeCell ref="Y22:Z22"/>
    <mergeCell ref="AB22:AC22"/>
    <mergeCell ref="AE22:AF22"/>
    <mergeCell ref="AH22:AI22"/>
    <mergeCell ref="AK22:AL22"/>
    <mergeCell ref="Y21:Z21"/>
    <mergeCell ref="AB21:AC21"/>
    <mergeCell ref="AE21:AF21"/>
    <mergeCell ref="AH21:AI21"/>
    <mergeCell ref="AK21:AL21"/>
    <mergeCell ref="V21:W21"/>
    <mergeCell ref="G22:H22"/>
    <mergeCell ref="J22:K22"/>
    <mergeCell ref="M22:N22"/>
    <mergeCell ref="P22:Q22"/>
    <mergeCell ref="S22:T22"/>
    <mergeCell ref="G21:H21"/>
    <mergeCell ref="J21:K21"/>
    <mergeCell ref="M21:N21"/>
    <mergeCell ref="P21:Q21"/>
    <mergeCell ref="S21:T21"/>
    <mergeCell ref="V20:W20"/>
    <mergeCell ref="Y20:Z20"/>
    <mergeCell ref="AB20:AC20"/>
    <mergeCell ref="AE20:AF20"/>
    <mergeCell ref="AH20:AI20"/>
    <mergeCell ref="AK20:AL20"/>
    <mergeCell ref="Y19:Z19"/>
    <mergeCell ref="AB19:AC19"/>
    <mergeCell ref="AE19:AF19"/>
    <mergeCell ref="AH19:AI19"/>
    <mergeCell ref="AK19:AL19"/>
    <mergeCell ref="V19:W19"/>
    <mergeCell ref="G20:H20"/>
    <mergeCell ref="J20:K20"/>
    <mergeCell ref="M20:N20"/>
    <mergeCell ref="P20:Q20"/>
    <mergeCell ref="S20:T20"/>
    <mergeCell ref="G19:H19"/>
    <mergeCell ref="J19:K19"/>
    <mergeCell ref="M19:N19"/>
    <mergeCell ref="P19:Q19"/>
    <mergeCell ref="S19:T19"/>
    <mergeCell ref="V18:W18"/>
    <mergeCell ref="Y18:Z18"/>
    <mergeCell ref="AB18:AC18"/>
    <mergeCell ref="AE18:AF18"/>
    <mergeCell ref="AH18:AI18"/>
    <mergeCell ref="AK18:AL18"/>
    <mergeCell ref="Y17:Z17"/>
    <mergeCell ref="AB17:AC17"/>
    <mergeCell ref="AE17:AF17"/>
    <mergeCell ref="AH17:AI17"/>
    <mergeCell ref="AK17:AL17"/>
    <mergeCell ref="V17:W17"/>
    <mergeCell ref="G18:H18"/>
    <mergeCell ref="J18:K18"/>
    <mergeCell ref="M18:N18"/>
    <mergeCell ref="P18:Q18"/>
    <mergeCell ref="S18:T18"/>
    <mergeCell ref="G17:H17"/>
    <mergeCell ref="J17:K17"/>
    <mergeCell ref="M17:N17"/>
    <mergeCell ref="P17:Q17"/>
    <mergeCell ref="S17:T17"/>
    <mergeCell ref="AH13:AI13"/>
    <mergeCell ref="AK13:AL13"/>
    <mergeCell ref="G16:H16"/>
    <mergeCell ref="J16:K16"/>
    <mergeCell ref="M16:N16"/>
    <mergeCell ref="P16:Q16"/>
    <mergeCell ref="S16:T16"/>
    <mergeCell ref="G15:H15"/>
    <mergeCell ref="J15:K15"/>
    <mergeCell ref="M15:N15"/>
    <mergeCell ref="P15:Q15"/>
    <mergeCell ref="S15:T15"/>
    <mergeCell ref="V16:W16"/>
    <mergeCell ref="Y16:Z16"/>
    <mergeCell ref="AB16:AC16"/>
    <mergeCell ref="AE16:AF16"/>
    <mergeCell ref="AH16:AI16"/>
    <mergeCell ref="AK16:AL16"/>
    <mergeCell ref="Y15:Z15"/>
    <mergeCell ref="AB15:AC15"/>
    <mergeCell ref="AE15:AF15"/>
    <mergeCell ref="AH15:AI15"/>
    <mergeCell ref="AK15:AL15"/>
    <mergeCell ref="V15:W15"/>
    <mergeCell ref="G14:H14"/>
    <mergeCell ref="J14:K14"/>
    <mergeCell ref="M14:N14"/>
    <mergeCell ref="P14:Q14"/>
    <mergeCell ref="S14:T14"/>
    <mergeCell ref="AB12:AC12"/>
    <mergeCell ref="AE12:AF12"/>
    <mergeCell ref="AH12:AI12"/>
    <mergeCell ref="AK12:AL12"/>
    <mergeCell ref="G13:H13"/>
    <mergeCell ref="J13:K13"/>
    <mergeCell ref="M13:N13"/>
    <mergeCell ref="P13:Q13"/>
    <mergeCell ref="S13:T13"/>
    <mergeCell ref="V13:W13"/>
    <mergeCell ref="V14:W14"/>
    <mergeCell ref="Y14:Z14"/>
    <mergeCell ref="AB14:AC14"/>
    <mergeCell ref="AE14:AF14"/>
    <mergeCell ref="AH14:AI14"/>
    <mergeCell ref="AK14:AL14"/>
    <mergeCell ref="Y13:Z13"/>
    <mergeCell ref="AB13:AC13"/>
    <mergeCell ref="AE13:AF13"/>
    <mergeCell ref="AH11:AI11"/>
    <mergeCell ref="AK11:AL11"/>
    <mergeCell ref="G12:H12"/>
    <mergeCell ref="J12:K12"/>
    <mergeCell ref="M12:N12"/>
    <mergeCell ref="P12:Q12"/>
    <mergeCell ref="S12:T12"/>
    <mergeCell ref="V12:W12"/>
    <mergeCell ref="Y12:Z12"/>
    <mergeCell ref="G11:H11"/>
    <mergeCell ref="J11:K11"/>
    <mergeCell ref="M11:N11"/>
    <mergeCell ref="P11:Q11"/>
    <mergeCell ref="S11:T11"/>
    <mergeCell ref="V11:W11"/>
    <mergeCell ref="Y11:Z11"/>
    <mergeCell ref="AB11:AC11"/>
    <mergeCell ref="AE11:AF11"/>
    <mergeCell ref="G9:H9"/>
    <mergeCell ref="J9:K9"/>
    <mergeCell ref="M9:N9"/>
    <mergeCell ref="P9:Q9"/>
    <mergeCell ref="D26:E26"/>
    <mergeCell ref="D27:E27"/>
    <mergeCell ref="AK9:AL9"/>
    <mergeCell ref="G10:H10"/>
    <mergeCell ref="J10:K10"/>
    <mergeCell ref="M10:N10"/>
    <mergeCell ref="P10:Q10"/>
    <mergeCell ref="S10:T10"/>
    <mergeCell ref="V10:W10"/>
    <mergeCell ref="Y10:Z10"/>
    <mergeCell ref="AB10:AC10"/>
    <mergeCell ref="AE10:AF10"/>
    <mergeCell ref="S9:T9"/>
    <mergeCell ref="V9:W9"/>
    <mergeCell ref="Y9:Z9"/>
    <mergeCell ref="AB9:AC9"/>
    <mergeCell ref="AE9:AF9"/>
    <mergeCell ref="AH9:AI9"/>
    <mergeCell ref="AH10:AI10"/>
    <mergeCell ref="AK10:AL10"/>
    <mergeCell ref="V8:W8"/>
    <mergeCell ref="Y8:Z8"/>
    <mergeCell ref="AB8:AC8"/>
    <mergeCell ref="AE8:AF8"/>
    <mergeCell ref="AH8:AI8"/>
    <mergeCell ref="AK8:AL8"/>
    <mergeCell ref="G8:H8"/>
    <mergeCell ref="J8:K8"/>
    <mergeCell ref="M8:N8"/>
    <mergeCell ref="P8:Q8"/>
    <mergeCell ref="S8:T8"/>
    <mergeCell ref="D28:E28"/>
    <mergeCell ref="D29:E29"/>
    <mergeCell ref="D30:E30"/>
    <mergeCell ref="D20:E20"/>
    <mergeCell ref="D21:E21"/>
    <mergeCell ref="D22:E22"/>
    <mergeCell ref="D23:E23"/>
    <mergeCell ref="D24:E24"/>
    <mergeCell ref="D25:E25"/>
    <mergeCell ref="D14:E14"/>
    <mergeCell ref="D15:E15"/>
    <mergeCell ref="D16:E16"/>
    <mergeCell ref="D17:E17"/>
    <mergeCell ref="D18:E18"/>
    <mergeCell ref="D19:E19"/>
    <mergeCell ref="D8:E8"/>
    <mergeCell ref="D9:E9"/>
    <mergeCell ref="D10:E10"/>
    <mergeCell ref="D11:E11"/>
    <mergeCell ref="D12:E12"/>
    <mergeCell ref="D13:E13"/>
    <mergeCell ref="V7:W7"/>
    <mergeCell ref="Y7:Z7"/>
    <mergeCell ref="AB7:AC7"/>
    <mergeCell ref="AE7:AF7"/>
    <mergeCell ref="AH7:AI7"/>
    <mergeCell ref="AK7:AL7"/>
    <mergeCell ref="D7:E7"/>
    <mergeCell ref="G7:H7"/>
    <mergeCell ref="J7:K7"/>
    <mergeCell ref="M7:N7"/>
    <mergeCell ref="P7:Q7"/>
    <mergeCell ref="S7:T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D33:E33"/>
    <mergeCell ref="D32:E32"/>
    <mergeCell ref="D31:E31"/>
    <mergeCell ref="D37:E37"/>
    <mergeCell ref="D36:E36"/>
    <mergeCell ref="D35:E35"/>
    <mergeCell ref="D34:E34"/>
    <mergeCell ref="D38:E38"/>
    <mergeCell ref="B35:C35"/>
    <mergeCell ref="B36:C36"/>
    <mergeCell ref="B37:C37"/>
    <mergeCell ref="B38:C3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Gas</vt:lpstr>
      <vt:lpstr>Electric</vt:lpstr>
      <vt:lpstr>Water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Biagioni</dc:creator>
  <cp:keywords/>
  <dc:description/>
  <cp:lastModifiedBy>Anthony Biagioni</cp:lastModifiedBy>
  <cp:revision/>
  <dcterms:created xsi:type="dcterms:W3CDTF">2020-11-11T02:03:22Z</dcterms:created>
  <dcterms:modified xsi:type="dcterms:W3CDTF">2021-08-31T21:18:12Z</dcterms:modified>
  <cp:category/>
  <cp:contentStatus/>
</cp:coreProperties>
</file>