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9" l="1"/>
  <c r="R4" i="9"/>
  <c r="R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Q3" i="9"/>
  <c r="Q4" i="9"/>
  <c r="Q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3" i="9"/>
  <c r="P4" i="9"/>
  <c r="P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3" i="9"/>
  <c r="O4" i="9"/>
  <c r="O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3" i="9"/>
  <c r="N4" i="9"/>
  <c r="N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M3" i="9"/>
  <c r="M4" i="9"/>
  <c r="M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3" i="9"/>
  <c r="L4" i="9"/>
  <c r="L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3" i="9"/>
  <c r="K4" i="9"/>
  <c r="K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3" i="9"/>
  <c r="J4" i="9"/>
  <c r="J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3" i="9"/>
  <c r="I4" i="9"/>
  <c r="I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3" i="9"/>
  <c r="H4" i="9"/>
  <c r="H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3" i="9"/>
  <c r="G4" i="9"/>
  <c r="G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3" i="9"/>
  <c r="F4" i="9"/>
  <c r="F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3" i="9"/>
  <c r="E4" i="9"/>
  <c r="E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AB10" i="7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G3" i="5" s="1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AV22" i="7"/>
  <c r="AV23" i="7"/>
  <c r="AW23" i="7" s="1"/>
  <c r="AV24" i="7"/>
  <c r="AW24" i="7" s="1"/>
  <c r="AV25" i="7"/>
  <c r="G20" i="5" s="1"/>
  <c r="AV26" i="7"/>
  <c r="AW26" i="7" s="1"/>
  <c r="AV9" i="7"/>
  <c r="AW9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AH9" i="7" s="1"/>
  <c r="S10" i="7"/>
  <c r="AH10" i="7" s="1"/>
  <c r="S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U9" i="7"/>
  <c r="AJ9" i="7" s="1"/>
  <c r="V9" i="7"/>
  <c r="AK9" i="7" s="1"/>
  <c r="W9" i="7"/>
  <c r="X9" i="7"/>
  <c r="AM9" i="7" s="1"/>
  <c r="Y9" i="7"/>
  <c r="Z9" i="7"/>
  <c r="AO9" i="7" s="1"/>
  <c r="AA9" i="7"/>
  <c r="AC9" i="7"/>
  <c r="AR9" i="7" s="1"/>
  <c r="R10" i="7"/>
  <c r="T10" i="7"/>
  <c r="U10" i="7"/>
  <c r="AJ10" i="7" s="1"/>
  <c r="V10" i="7"/>
  <c r="AK10" i="7" s="1"/>
  <c r="W10" i="7"/>
  <c r="X10" i="7"/>
  <c r="AM10" i="7" s="1"/>
  <c r="Y10" i="7"/>
  <c r="AN10" i="7" s="1"/>
  <c r="Z10" i="7"/>
  <c r="AO10" i="7" s="1"/>
  <c r="AA10" i="7"/>
  <c r="AQ10" i="7"/>
  <c r="AC10" i="7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S21" i="7"/>
  <c r="U21" i="7"/>
  <c r="W21" i="7"/>
  <c r="X21" i="7"/>
  <c r="AM21" i="7" s="1"/>
  <c r="Y21" i="7"/>
  <c r="Z21" i="7"/>
  <c r="AA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Q22" i="7"/>
  <c r="R23" i="7"/>
  <c r="S23" i="7"/>
  <c r="AH23" i="7" s="1"/>
  <c r="T23" i="7"/>
  <c r="AI23" i="7" s="1"/>
  <c r="U23" i="7"/>
  <c r="AJ23" i="7" s="1"/>
  <c r="V23" i="7"/>
  <c r="AK23" i="7" s="1"/>
  <c r="W23" i="7"/>
  <c r="Y23" i="7"/>
  <c r="Z23" i="7"/>
  <c r="AA23" i="7"/>
  <c r="AQ23" i="7"/>
  <c r="R24" i="7"/>
  <c r="AG24" i="7" s="1"/>
  <c r="S24" i="7"/>
  <c r="AH24" i="7" s="1"/>
  <c r="T24" i="7"/>
  <c r="AI24" i="7" s="1"/>
  <c r="U24" i="7"/>
  <c r="V24" i="7"/>
  <c r="W24" i="7"/>
  <c r="AL24" i="7" s="1"/>
  <c r="X24" i="7"/>
  <c r="AM24" i="7" s="1"/>
  <c r="Y24" i="7"/>
  <c r="AN24" i="7" s="1"/>
  <c r="Z24" i="7"/>
  <c r="AA24" i="7"/>
  <c r="AC24" i="7"/>
  <c r="AR24" i="7" s="1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AI8" i="7" s="1"/>
  <c r="U8" i="7"/>
  <c r="V8" i="7"/>
  <c r="AK8" i="7" s="1"/>
  <c r="W8" i="7"/>
  <c r="X8" i="7"/>
  <c r="AM8" i="7" s="1"/>
  <c r="Y8" i="7"/>
  <c r="Z8" i="7"/>
  <c r="AO8" i="7" s="1"/>
  <c r="AA8" i="7"/>
  <c r="AP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Q10" i="7"/>
  <c r="AF10" i="7" s="1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AF21" i="7" s="1"/>
  <c r="Q23" i="7"/>
  <c r="AF23" i="7" s="1"/>
  <c r="Q24" i="7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X22" i="7"/>
  <c r="T20" i="7"/>
  <c r="H15" i="9" s="1"/>
  <c r="T21" i="7"/>
  <c r="AI21" i="7" s="1"/>
  <c r="AW20" i="7" l="1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G19" i="5"/>
  <c r="AW25" i="7"/>
  <c r="G18" i="5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<sst xmlns="http://schemas.openxmlformats.org/spreadsheetml/2006/main" count="128" uniqueCount="49">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</sst>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E23" sqref="E23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24870</v>
      </c>
      <c r="F2" s="11">
        <v>5.0000000000000001E-3</v>
      </c>
      <c r="G2" s="12">
        <f>Submetering!R2</f>
        <v>412.23114899999996</v>
      </c>
      <c r="H2" s="11">
        <v>0.52800000000000002</v>
      </c>
      <c r="I2" s="12">
        <f>Hotel!B7</f>
        <v>80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29670</v>
      </c>
      <c r="F3" s="11">
        <v>5.0000000000000001E-3</v>
      </c>
      <c r="G3" s="12">
        <f>Submetering!R3</f>
        <v>596.58061599999996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26930</v>
      </c>
      <c r="F4" s="11">
        <v>5.0000000000000001E-3</v>
      </c>
      <c r="G4" s="12">
        <f>Submetering!R4</f>
        <v>403.52470599999998</v>
      </c>
      <c r="H4" s="11">
        <v>0.52800000000000002</v>
      </c>
      <c r="I4" s="12">
        <f>Hotel!B9</f>
        <v>79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27540</v>
      </c>
      <c r="F5" s="11">
        <v>5.0000000000000001E-3</v>
      </c>
      <c r="G5" s="12">
        <f>Submetering!R5</f>
        <v>397.46805000000001</v>
      </c>
      <c r="H5" s="11">
        <v>0.52800000000000002</v>
      </c>
      <c r="I5" s="12">
        <f>Hotel!B10</f>
        <v>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29280</v>
      </c>
      <c r="F6" s="11">
        <v>5.0000000000000001E-3</v>
      </c>
      <c r="G6" s="12">
        <f>Submetering!R6</f>
        <v>46.560542999999996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27540</v>
      </c>
      <c r="F7" s="11">
        <v>5.0000000000000001E-3</v>
      </c>
      <c r="G7" s="12">
        <f>Submetering!R7</f>
        <v>52.995740000000005</v>
      </c>
      <c r="H7" s="11">
        <v>0.52800000000000002</v>
      </c>
      <c r="I7" s="12">
        <f>Hotel!B12</f>
        <v>7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32190</v>
      </c>
      <c r="F8" s="11">
        <v>5.0000000000000001E-3</v>
      </c>
      <c r="G8" s="12">
        <f>Submetering!R8</f>
        <v>1501.672147</v>
      </c>
      <c r="H8" s="11">
        <v>0.52800000000000002</v>
      </c>
      <c r="I8" s="12">
        <f>Hotel!B13</f>
        <v>4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29170</v>
      </c>
      <c r="F9" s="11">
        <v>5.0000000000000001E-3</v>
      </c>
      <c r="G9" s="12">
        <f>Submetering!R9</f>
        <v>155.58035100000001</v>
      </c>
      <c r="H9" s="11">
        <v>0.52800000000000002</v>
      </c>
      <c r="I9" s="12">
        <f>Hotel!B14</f>
        <v>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31160</v>
      </c>
      <c r="F10" s="11">
        <v>5.0000000000000001E-3</v>
      </c>
      <c r="G10" s="12">
        <f>Submetering!R10</f>
        <v>566.29733599999997</v>
      </c>
      <c r="H10" s="11">
        <v>0.52800000000000002</v>
      </c>
      <c r="I10" s="12">
        <f>Hotel!B15</f>
        <v>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31726</v>
      </c>
      <c r="F11" s="11">
        <v>5.0000000000000001E-3</v>
      </c>
      <c r="G11" s="12">
        <f>Submetering!R11</f>
        <v>418.66634600000003</v>
      </c>
      <c r="H11" s="11">
        <v>0.52800000000000002</v>
      </c>
      <c r="I11" s="12">
        <f>Hotel!B16</f>
        <v>13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32754</v>
      </c>
      <c r="F12" s="11">
        <v>5.0000000000000001E-3</v>
      </c>
      <c r="G12" s="12">
        <f>Submetering!R12</f>
        <v>540.93508899999995</v>
      </c>
      <c r="H12" s="11">
        <v>0.52800000000000002</v>
      </c>
      <c r="I12" s="12">
        <f>Hotel!B17</f>
        <v>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32180</v>
      </c>
      <c r="F13" s="11">
        <v>5.0000000000000001E-3</v>
      </c>
      <c r="G13" s="12">
        <f>Submetering!R13</f>
        <v>164.665335</v>
      </c>
      <c r="H13" s="11">
        <v>0.52800000000000002</v>
      </c>
      <c r="I13" s="12">
        <f>Hotel!B18</f>
        <v>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32170</v>
      </c>
      <c r="F14" s="11">
        <v>5.0000000000000001E-3</v>
      </c>
      <c r="G14" s="12">
        <f>Submetering!R14</f>
        <v>393.30409900000001</v>
      </c>
      <c r="H14" s="11">
        <v>0.52800000000000002</v>
      </c>
      <c r="I14" s="12">
        <f>Hotel!B19</f>
        <v>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2" sqref="S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4</v>
      </c>
      <c r="D2" s="2">
        <v>2020</v>
      </c>
      <c r="E2" s="4">
        <f>Hotel!Q7</f>
        <v>580</v>
      </c>
      <c r="F2" s="4">
        <f>Hotel!R7</f>
        <v>0</v>
      </c>
      <c r="G2" s="4">
        <f>Hotel!S7</f>
        <v>2510</v>
      </c>
      <c r="H2" s="4">
        <f>Hotel!T7</f>
        <v>1420</v>
      </c>
      <c r="I2" s="4">
        <f>Hotel!U7</f>
        <v>2640</v>
      </c>
      <c r="J2" s="4">
        <f>Hotel!V7</f>
        <v>2490</v>
      </c>
      <c r="K2" s="4">
        <f>Hotel!W7</f>
        <v>2090</v>
      </c>
      <c r="L2" s="4">
        <f>Hotel!X7</f>
        <v>940</v>
      </c>
      <c r="M2" s="4">
        <f>Hotel!Y7</f>
        <v>2120</v>
      </c>
      <c r="N2" s="4">
        <f>Hotel!Z7</f>
        <v>1900</v>
      </c>
      <c r="O2" s="4">
        <f>Hotel!AA7</f>
        <v>1020</v>
      </c>
      <c r="P2" s="4">
        <f>Hotel!AB7</f>
        <v>4090</v>
      </c>
      <c r="Q2" s="4">
        <f>Hotel!AC7</f>
        <v>3070</v>
      </c>
      <c r="R2" s="4">
        <f>Hotel!AV7*0.00378541*100</f>
        <v>412.23114899999996</v>
      </c>
      <c r="S2" s="4">
        <f>Hotel!B7</f>
        <v>80</v>
      </c>
    </row>
    <row r="3" spans="1:19" x14ac:dyDescent="0.25">
      <c r="A3" s="21" t="s">
        <v>31</v>
      </c>
      <c r="B3" s="2">
        <f>B2+1</f>
        <v>2</v>
      </c>
      <c r="C3" s="10">
        <v>4</v>
      </c>
      <c r="D3" s="2">
        <v>2020</v>
      </c>
      <c r="E3" s="4">
        <f>Hotel!Q8</f>
        <v>570</v>
      </c>
      <c r="F3" s="4">
        <f>Hotel!R8</f>
        <v>3860</v>
      </c>
      <c r="G3" s="4">
        <f>Hotel!S8</f>
        <v>2720</v>
      </c>
      <c r="H3" s="4">
        <f>Hotel!T8</f>
        <v>1420</v>
      </c>
      <c r="I3" s="4">
        <f>Hotel!U8</f>
        <v>2780</v>
      </c>
      <c r="J3" s="4">
        <f>Hotel!V8</f>
        <v>2280</v>
      </c>
      <c r="K3" s="4">
        <f>Hotel!W8</f>
        <v>2120</v>
      </c>
      <c r="L3" s="4">
        <f>Hotel!X8</f>
        <v>950</v>
      </c>
      <c r="M3" s="4">
        <f>Hotel!Y8</f>
        <v>2120</v>
      </c>
      <c r="N3" s="4">
        <f>Hotel!Z8</f>
        <v>2240</v>
      </c>
      <c r="O3" s="4">
        <f>Hotel!AA8</f>
        <v>1230</v>
      </c>
      <c r="P3" s="4">
        <f>Hotel!AB8</f>
        <v>4070</v>
      </c>
      <c r="Q3" s="4">
        <f>Hotel!AC8</f>
        <v>3310</v>
      </c>
      <c r="R3" s="4">
        <f>Hotel!AV8*0.00378541*100</f>
        <v>596.58061599999996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4</v>
      </c>
      <c r="D4" s="2">
        <v>2020</v>
      </c>
      <c r="E4" s="4">
        <f>Hotel!Q9</f>
        <v>540</v>
      </c>
      <c r="F4" s="4">
        <f>Hotel!R9</f>
        <v>1800</v>
      </c>
      <c r="G4" s="4">
        <f>Hotel!S9</f>
        <v>2570</v>
      </c>
      <c r="H4" s="4">
        <f>Hotel!T9</f>
        <v>1340</v>
      </c>
      <c r="I4" s="4">
        <f>Hotel!U9</f>
        <v>2540</v>
      </c>
      <c r="J4" s="4">
        <f>Hotel!V9</f>
        <v>2040</v>
      </c>
      <c r="K4" s="4">
        <f>Hotel!W9</f>
        <v>2010</v>
      </c>
      <c r="L4" s="4">
        <f>Hotel!X9</f>
        <v>950</v>
      </c>
      <c r="M4" s="4">
        <f>Hotel!Y9</f>
        <v>1980</v>
      </c>
      <c r="N4" s="4">
        <f>Hotel!Z9</f>
        <v>2060</v>
      </c>
      <c r="O4" s="4">
        <f>Hotel!AA9</f>
        <v>1510</v>
      </c>
      <c r="P4" s="4">
        <f>Hotel!AB9</f>
        <v>4060</v>
      </c>
      <c r="Q4" s="4">
        <f>Hotel!AC9</f>
        <v>3530</v>
      </c>
      <c r="R4" s="4">
        <f>Hotel!AV9*0.00378541*100</f>
        <v>403.52470599999998</v>
      </c>
      <c r="S4" s="4">
        <f>Hotel!B9</f>
        <v>79</v>
      </c>
    </row>
    <row r="5" spans="1:19" x14ac:dyDescent="0.25">
      <c r="A5" s="21" t="s">
        <v>31</v>
      </c>
      <c r="B5" s="2">
        <f t="shared" si="0"/>
        <v>4</v>
      </c>
      <c r="C5" s="10">
        <v>4</v>
      </c>
      <c r="D5" s="2">
        <v>2020</v>
      </c>
      <c r="E5" s="4">
        <f>Hotel!Q10</f>
        <v>560</v>
      </c>
      <c r="F5" s="4">
        <f>Hotel!R10</f>
        <v>1870</v>
      </c>
      <c r="G5" s="4">
        <f>Hotel!S10</f>
        <v>2660</v>
      </c>
      <c r="H5" s="4">
        <f>Hotel!T10</f>
        <v>1380</v>
      </c>
      <c r="I5" s="4">
        <f>Hotel!U10</f>
        <v>2730</v>
      </c>
      <c r="J5" s="4">
        <f>Hotel!V10</f>
        <v>2160</v>
      </c>
      <c r="K5" s="4">
        <f>Hotel!W10</f>
        <v>2080</v>
      </c>
      <c r="L5" s="4">
        <f>Hotel!X10</f>
        <v>990</v>
      </c>
      <c r="M5" s="4">
        <f>Hotel!Y10</f>
        <v>2140</v>
      </c>
      <c r="N5" s="4">
        <f>Hotel!Z10</f>
        <v>2030</v>
      </c>
      <c r="O5" s="4">
        <f>Hotel!AA10</f>
        <v>1460</v>
      </c>
      <c r="P5" s="4">
        <f>Hotel!AB10</f>
        <v>4100</v>
      </c>
      <c r="Q5" s="4">
        <f>Hotel!AC10</f>
        <v>3380</v>
      </c>
      <c r="R5" s="4">
        <f>Hotel!AV10*0.00378541*100</f>
        <v>397.46805000000001</v>
      </c>
      <c r="S5" s="4">
        <f>Hotel!B10</f>
        <v>6</v>
      </c>
    </row>
    <row r="6" spans="1:19" x14ac:dyDescent="0.25">
      <c r="A6" s="21" t="s">
        <v>31</v>
      </c>
      <c r="B6" s="2">
        <f t="shared" si="0"/>
        <v>5</v>
      </c>
      <c r="C6" s="10">
        <v>4</v>
      </c>
      <c r="D6" s="2">
        <v>2020</v>
      </c>
      <c r="E6" s="4">
        <f>Hotel!Q11</f>
        <v>560</v>
      </c>
      <c r="F6" s="4">
        <f>Hotel!R11</f>
        <v>1920</v>
      </c>
      <c r="G6" s="4">
        <f>Hotel!S11</f>
        <v>2930</v>
      </c>
      <c r="H6" s="4">
        <f>Hotel!T11</f>
        <v>1430</v>
      </c>
      <c r="I6" s="4">
        <f>Hotel!U11</f>
        <v>3010</v>
      </c>
      <c r="J6" s="4">
        <f>Hotel!V11</f>
        <v>2370</v>
      </c>
      <c r="K6" s="4">
        <f>Hotel!W11</f>
        <v>2140</v>
      </c>
      <c r="L6" s="4">
        <f>Hotel!X11</f>
        <v>1180</v>
      </c>
      <c r="M6" s="4">
        <f>Hotel!Y11</f>
        <v>2190</v>
      </c>
      <c r="N6" s="4">
        <f>Hotel!Z11</f>
        <v>2060</v>
      </c>
      <c r="O6" s="4">
        <f>Hotel!AA11</f>
        <v>1570</v>
      </c>
      <c r="P6" s="4">
        <f>Hotel!AB11</f>
        <v>4360</v>
      </c>
      <c r="Q6" s="4">
        <f>Hotel!AC11</f>
        <v>3560</v>
      </c>
      <c r="R6" s="4">
        <f>Hotel!AV11*0.00378541*100</f>
        <v>46.560542999999996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4</v>
      </c>
      <c r="D7" s="2">
        <v>2020</v>
      </c>
      <c r="E7" s="4">
        <f>Hotel!Q12</f>
        <v>560</v>
      </c>
      <c r="F7" s="4">
        <f>Hotel!R12</f>
        <v>1800</v>
      </c>
      <c r="G7" s="4">
        <f>Hotel!S12</f>
        <v>2500</v>
      </c>
      <c r="H7" s="4">
        <f>Hotel!T12</f>
        <v>1400</v>
      </c>
      <c r="I7" s="4">
        <f>Hotel!U12</f>
        <v>3000</v>
      </c>
      <c r="J7" s="4">
        <f>Hotel!V12</f>
        <v>2030</v>
      </c>
      <c r="K7" s="4">
        <f>Hotel!W12</f>
        <v>2090</v>
      </c>
      <c r="L7" s="4">
        <f>Hotel!X12</f>
        <v>1000</v>
      </c>
      <c r="M7" s="4">
        <f>Hotel!Y12</f>
        <v>2000</v>
      </c>
      <c r="N7" s="4">
        <f>Hotel!Z12</f>
        <v>2060</v>
      </c>
      <c r="O7" s="4">
        <f>Hotel!AA12</f>
        <v>1500</v>
      </c>
      <c r="P7" s="4">
        <f>Hotel!AB12</f>
        <v>4100</v>
      </c>
      <c r="Q7" s="4">
        <f>Hotel!AC12</f>
        <v>3500</v>
      </c>
      <c r="R7" s="4">
        <f>Hotel!AV12*0.00378541*100</f>
        <v>52.995740000000005</v>
      </c>
      <c r="S7" s="4">
        <f>Hotel!B12</f>
        <v>7</v>
      </c>
    </row>
    <row r="8" spans="1:19" x14ac:dyDescent="0.25">
      <c r="A8" s="21" t="s">
        <v>31</v>
      </c>
      <c r="B8" s="2">
        <f t="shared" si="0"/>
        <v>7</v>
      </c>
      <c r="C8" s="10">
        <v>4</v>
      </c>
      <c r="D8" s="2">
        <v>2020</v>
      </c>
      <c r="E8" s="4">
        <f>Hotel!Q13</f>
        <v>580</v>
      </c>
      <c r="F8" s="4">
        <f>Hotel!R13</f>
        <v>2010</v>
      </c>
      <c r="G8" s="4">
        <f>Hotel!S13</f>
        <v>3460</v>
      </c>
      <c r="H8" s="4">
        <f>Hotel!T13</f>
        <v>1430</v>
      </c>
      <c r="I8" s="4">
        <f>Hotel!U13</f>
        <v>2610</v>
      </c>
      <c r="J8" s="4">
        <f>Hotel!V13</f>
        <v>2760</v>
      </c>
      <c r="K8" s="4">
        <f>Hotel!W13</f>
        <v>2100</v>
      </c>
      <c r="L8" s="4">
        <f>Hotel!X13</f>
        <v>1890</v>
      </c>
      <c r="M8" s="4">
        <f>Hotel!Y13</f>
        <v>2170</v>
      </c>
      <c r="N8" s="4">
        <f>Hotel!Z13</f>
        <v>2340</v>
      </c>
      <c r="O8" s="4">
        <f>Hotel!AA13</f>
        <v>2730</v>
      </c>
      <c r="P8" s="4">
        <f>Hotel!AB13</f>
        <v>4140</v>
      </c>
      <c r="Q8" s="4">
        <f>Hotel!AC13</f>
        <v>3970</v>
      </c>
      <c r="R8" s="4">
        <f>Hotel!AV13*0.00378541*100</f>
        <v>1501.672147</v>
      </c>
      <c r="S8" s="4">
        <f>Hotel!B13</f>
        <v>4</v>
      </c>
    </row>
    <row r="9" spans="1:19" x14ac:dyDescent="0.25">
      <c r="A9" s="21" t="s">
        <v>31</v>
      </c>
      <c r="B9" s="2">
        <f t="shared" si="0"/>
        <v>8</v>
      </c>
      <c r="C9" s="10">
        <v>4</v>
      </c>
      <c r="D9" s="2">
        <v>2020</v>
      </c>
      <c r="E9" s="4">
        <f>Hotel!Q14</f>
        <v>530</v>
      </c>
      <c r="F9" s="4">
        <f>Hotel!R14</f>
        <v>1800</v>
      </c>
      <c r="G9" s="4">
        <f>Hotel!S14</f>
        <v>3080</v>
      </c>
      <c r="H9" s="4">
        <f>Hotel!T14</f>
        <v>1350</v>
      </c>
      <c r="I9" s="4">
        <f>Hotel!U14</f>
        <v>2690</v>
      </c>
      <c r="J9" s="4">
        <f>Hotel!V14</f>
        <v>2060</v>
      </c>
      <c r="K9" s="4">
        <f>Hotel!W14</f>
        <v>2000</v>
      </c>
      <c r="L9" s="4">
        <f>Hotel!X14</f>
        <v>1400</v>
      </c>
      <c r="M9" s="4">
        <f>Hotel!Y14</f>
        <v>2120</v>
      </c>
      <c r="N9" s="4">
        <f>Hotel!Z14</f>
        <v>2060</v>
      </c>
      <c r="O9" s="4">
        <f>Hotel!AA14</f>
        <v>2000</v>
      </c>
      <c r="P9" s="4">
        <f>Hotel!AB14</f>
        <v>4000</v>
      </c>
      <c r="Q9" s="4">
        <f>Hotel!AC14</f>
        <v>4080</v>
      </c>
      <c r="R9" s="4">
        <f>Hotel!AV14*0.00378541*100</f>
        <v>155.58035100000001</v>
      </c>
      <c r="S9" s="4">
        <f>Hotel!B14</f>
        <v>8</v>
      </c>
    </row>
    <row r="10" spans="1:19" x14ac:dyDescent="0.25">
      <c r="A10" s="21" t="s">
        <v>31</v>
      </c>
      <c r="B10" s="2">
        <f t="shared" si="0"/>
        <v>9</v>
      </c>
      <c r="C10" s="10">
        <v>4</v>
      </c>
      <c r="D10" s="2">
        <v>2020</v>
      </c>
      <c r="E10" s="4">
        <f>Hotel!Q15</f>
        <v>560</v>
      </c>
      <c r="F10" s="4">
        <f>Hotel!R15</f>
        <v>1910</v>
      </c>
      <c r="G10" s="4">
        <f>Hotel!S15</f>
        <v>3330</v>
      </c>
      <c r="H10" s="4">
        <f>Hotel!T15</f>
        <v>1380</v>
      </c>
      <c r="I10" s="4">
        <f>Hotel!U15</f>
        <v>2940</v>
      </c>
      <c r="J10" s="4">
        <f>Hotel!V15</f>
        <v>2270</v>
      </c>
      <c r="K10" s="4">
        <f>Hotel!W15</f>
        <v>2130</v>
      </c>
      <c r="L10" s="4">
        <f>Hotel!X15</f>
        <v>1480</v>
      </c>
      <c r="M10" s="4">
        <f>Hotel!Y15</f>
        <v>2280</v>
      </c>
      <c r="N10" s="4">
        <f>Hotel!Z15</f>
        <v>2360</v>
      </c>
      <c r="O10" s="4">
        <f>Hotel!AA15</f>
        <v>1920</v>
      </c>
      <c r="P10" s="4">
        <f>Hotel!AB15</f>
        <v>4230</v>
      </c>
      <c r="Q10" s="4">
        <f>Hotel!AC15</f>
        <v>4370</v>
      </c>
      <c r="R10" s="4">
        <f>Hotel!AV15*0.00378541*100</f>
        <v>566.29733599999997</v>
      </c>
      <c r="S10" s="4">
        <f>Hotel!B15</f>
        <v>14</v>
      </c>
    </row>
    <row r="11" spans="1:19" x14ac:dyDescent="0.25">
      <c r="A11" s="21" t="s">
        <v>31</v>
      </c>
      <c r="B11" s="2">
        <f t="shared" si="0"/>
        <v>10</v>
      </c>
      <c r="C11" s="10">
        <v>4</v>
      </c>
      <c r="D11" s="2">
        <v>2020</v>
      </c>
      <c r="E11" s="4">
        <f>Hotel!Q16</f>
        <v>570</v>
      </c>
      <c r="F11" s="4">
        <f>Hotel!R16</f>
        <v>1906</v>
      </c>
      <c r="G11" s="4">
        <f>Hotel!S16</f>
        <v>3510</v>
      </c>
      <c r="H11" s="4">
        <f>Hotel!T16</f>
        <v>1340</v>
      </c>
      <c r="I11" s="4">
        <f>Hotel!U16</f>
        <v>3040</v>
      </c>
      <c r="J11" s="4">
        <f>Hotel!V16</f>
        <v>2190</v>
      </c>
      <c r="K11" s="4">
        <f>Hotel!W16</f>
        <v>2100</v>
      </c>
      <c r="L11" s="4">
        <f>Hotel!X16</f>
        <v>1340</v>
      </c>
      <c r="M11" s="4">
        <f>Hotel!Y16</f>
        <v>2550</v>
      </c>
      <c r="N11" s="4">
        <f>Hotel!Z16</f>
        <v>2320</v>
      </c>
      <c r="O11" s="4">
        <f>Hotel!AA16</f>
        <v>2120</v>
      </c>
      <c r="P11" s="4">
        <f>Hotel!AB16</f>
        <v>4200</v>
      </c>
      <c r="Q11" s="4">
        <f>Hotel!AC16</f>
        <v>4540</v>
      </c>
      <c r="R11" s="4">
        <f>Hotel!AV16*0.00378541*100</f>
        <v>418.66634600000003</v>
      </c>
      <c r="S11" s="4">
        <f>Hotel!B16</f>
        <v>13</v>
      </c>
    </row>
    <row r="12" spans="1:19" x14ac:dyDescent="0.25">
      <c r="A12" s="21" t="s">
        <v>31</v>
      </c>
      <c r="B12" s="2">
        <f t="shared" si="0"/>
        <v>11</v>
      </c>
      <c r="C12" s="10">
        <v>4</v>
      </c>
      <c r="D12" s="2">
        <v>2020</v>
      </c>
      <c r="E12" s="4">
        <f>Hotel!Q17</f>
        <v>560</v>
      </c>
      <c r="F12" s="4">
        <f>Hotel!R17</f>
        <v>1914</v>
      </c>
      <c r="G12" s="4">
        <f>Hotel!S17</f>
        <v>3290</v>
      </c>
      <c r="H12" s="4">
        <f>Hotel!T17</f>
        <v>1440</v>
      </c>
      <c r="I12" s="4">
        <f>Hotel!U17</f>
        <v>3290</v>
      </c>
      <c r="J12" s="4">
        <f>Hotel!V17</f>
        <v>2380</v>
      </c>
      <c r="K12" s="4">
        <f>Hotel!W17</f>
        <v>2150</v>
      </c>
      <c r="L12" s="4">
        <f>Hotel!X17</f>
        <v>1400</v>
      </c>
      <c r="M12" s="4">
        <f>Hotel!Y17</f>
        <v>2830</v>
      </c>
      <c r="N12" s="4">
        <f>Hotel!Z17</f>
        <v>2300</v>
      </c>
      <c r="O12" s="4">
        <f>Hotel!AA17</f>
        <v>2410</v>
      </c>
      <c r="P12" s="4">
        <f>Hotel!AB17</f>
        <v>4060</v>
      </c>
      <c r="Q12" s="4">
        <f>Hotel!AC17</f>
        <v>4730</v>
      </c>
      <c r="R12" s="4">
        <f>Hotel!AV17*0.00378541*100</f>
        <v>540.93508899999995</v>
      </c>
      <c r="S12" s="4">
        <f>Hotel!B17</f>
        <v>5</v>
      </c>
    </row>
    <row r="13" spans="1:19" x14ac:dyDescent="0.25">
      <c r="A13" s="21" t="s">
        <v>31</v>
      </c>
      <c r="B13" s="2">
        <f t="shared" si="0"/>
        <v>12</v>
      </c>
      <c r="C13" s="10">
        <v>4</v>
      </c>
      <c r="D13" s="2">
        <v>2020</v>
      </c>
      <c r="E13" s="4">
        <f>Hotel!Q18</f>
        <v>570</v>
      </c>
      <c r="F13" s="4">
        <f>Hotel!R18</f>
        <v>1910</v>
      </c>
      <c r="G13" s="4">
        <f>Hotel!S18</f>
        <v>2910</v>
      </c>
      <c r="H13" s="4">
        <f>Hotel!T18</f>
        <v>1330</v>
      </c>
      <c r="I13" s="4">
        <f>Hotel!U18</f>
        <v>3070</v>
      </c>
      <c r="J13" s="4">
        <f>Hotel!V18</f>
        <v>2380</v>
      </c>
      <c r="K13" s="4">
        <f>Hotel!W18</f>
        <v>2130</v>
      </c>
      <c r="L13" s="4">
        <f>Hotel!X18</f>
        <v>1440</v>
      </c>
      <c r="M13" s="4">
        <f>Hotel!Y18</f>
        <v>2980</v>
      </c>
      <c r="N13" s="4">
        <f>Hotel!Z18</f>
        <v>2260</v>
      </c>
      <c r="O13" s="4">
        <f>Hotel!AA18</f>
        <v>2300</v>
      </c>
      <c r="P13" s="4">
        <f>Hotel!AB18</f>
        <v>3930</v>
      </c>
      <c r="Q13" s="4">
        <f>Hotel!AC18</f>
        <v>4970</v>
      </c>
      <c r="R13" s="4">
        <f>Hotel!AV18*0.00378541*100</f>
        <v>164.665335</v>
      </c>
      <c r="S13" s="4">
        <f>Hotel!B18</f>
        <v>5</v>
      </c>
    </row>
    <row r="14" spans="1:19" x14ac:dyDescent="0.25">
      <c r="A14" s="21" t="s">
        <v>31</v>
      </c>
      <c r="B14" s="2">
        <f t="shared" si="0"/>
        <v>13</v>
      </c>
      <c r="C14" s="10">
        <v>4</v>
      </c>
      <c r="D14" s="2">
        <v>2020</v>
      </c>
      <c r="E14" s="4">
        <f>Hotel!Q19</f>
        <v>550</v>
      </c>
      <c r="F14" s="4">
        <f>Hotel!R19</f>
        <v>1850</v>
      </c>
      <c r="G14" s="4">
        <f>Hotel!S19</f>
        <v>2790</v>
      </c>
      <c r="H14" s="4">
        <f>Hotel!T19</f>
        <v>1470</v>
      </c>
      <c r="I14" s="4">
        <f>Hotel!U19</f>
        <v>2810</v>
      </c>
      <c r="J14" s="4">
        <f>Hotel!V19</f>
        <v>2320</v>
      </c>
      <c r="K14" s="4">
        <f>Hotel!W19</f>
        <v>2040</v>
      </c>
      <c r="L14" s="4">
        <f>Hotel!X19</f>
        <v>1290</v>
      </c>
      <c r="M14" s="4">
        <f>Hotel!Y19</f>
        <v>2980</v>
      </c>
      <c r="N14" s="4">
        <f>Hotel!Z19</f>
        <v>2210</v>
      </c>
      <c r="O14" s="4">
        <f>Hotel!AA19</f>
        <v>2130</v>
      </c>
      <c r="P14" s="4">
        <f>Hotel!AB19</f>
        <v>4090</v>
      </c>
      <c r="Q14" s="4">
        <f>Hotel!AC19</f>
        <v>5640</v>
      </c>
      <c r="R14" s="4">
        <f>Hotel!AV19*0.00378541*100</f>
        <v>393.30409900000001</v>
      </c>
      <c r="S14" s="4">
        <f>Hotel!B19</f>
        <v>4</v>
      </c>
    </row>
    <row r="15" spans="1:19" x14ac:dyDescent="0.25">
      <c r="A15" s="21" t="s">
        <v>31</v>
      </c>
      <c r="B15" s="2">
        <f t="shared" si="0"/>
        <v>14</v>
      </c>
      <c r="C15" s="10">
        <v>4</v>
      </c>
      <c r="D15" s="2">
        <v>2020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4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4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4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4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4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4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4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4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4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4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4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4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4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4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4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4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4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22" sqref="AU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43921</v>
      </c>
      <c r="B2" s="40">
        <v>10</v>
      </c>
      <c r="C2" s="24">
        <v>5972110</v>
      </c>
      <c r="D2" s="24">
        <v>12917870</v>
      </c>
      <c r="E2" s="24">
        <v>1603830</v>
      </c>
      <c r="F2" s="24">
        <v>2774540</v>
      </c>
      <c r="G2" s="24">
        <v>8633410</v>
      </c>
      <c r="H2" s="24">
        <v>4267620</v>
      </c>
      <c r="I2" s="24">
        <v>4099910</v>
      </c>
      <c r="J2" s="24">
        <v>4698530</v>
      </c>
      <c r="K2" s="24">
        <v>7408570</v>
      </c>
      <c r="L2" s="24">
        <v>2755500</v>
      </c>
      <c r="M2" s="24">
        <v>6699730</v>
      </c>
      <c r="N2" s="24">
        <v>9438740</v>
      </c>
      <c r="O2" s="24">
        <v>12901680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873470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873470</v>
      </c>
    </row>
    <row r="7" spans="1:49" x14ac:dyDescent="0.25">
      <c r="A7" s="23">
        <v>43922</v>
      </c>
      <c r="B7" s="40">
        <v>80</v>
      </c>
      <c r="C7" s="24">
        <v>5972690</v>
      </c>
      <c r="D7" s="24">
        <v>12917870</v>
      </c>
      <c r="E7" s="24">
        <v>1606340</v>
      </c>
      <c r="F7" s="24">
        <v>2775960</v>
      </c>
      <c r="G7" s="24">
        <v>8636050</v>
      </c>
      <c r="H7" s="24">
        <v>4270110</v>
      </c>
      <c r="I7" s="24">
        <v>4102000</v>
      </c>
      <c r="J7" s="24">
        <v>4699470</v>
      </c>
      <c r="K7" s="24">
        <v>7410690</v>
      </c>
      <c r="L7" s="24">
        <v>2757400</v>
      </c>
      <c r="M7" s="24">
        <v>6700750</v>
      </c>
      <c r="N7" s="24">
        <v>9442830</v>
      </c>
      <c r="O7" s="24">
        <v>12904750</v>
      </c>
      <c r="Q7" s="37">
        <f>IF((C7-C2&lt;0), "0",C7-C2)</f>
        <v>580</v>
      </c>
      <c r="R7" s="37">
        <f t="shared" ref="R7:AC7" si="0">IF((D7-D2&lt;0), "0",D7-D2)</f>
        <v>0</v>
      </c>
      <c r="S7" s="37">
        <f>IF((E7-E2&lt;0), "0",E7-E2)</f>
        <v>2510</v>
      </c>
      <c r="T7" s="37">
        <f t="shared" si="0"/>
        <v>1420</v>
      </c>
      <c r="U7" s="37">
        <f t="shared" si="0"/>
        <v>2640</v>
      </c>
      <c r="V7" s="37">
        <f t="shared" si="0"/>
        <v>2490</v>
      </c>
      <c r="W7" s="37">
        <f t="shared" si="0"/>
        <v>2090</v>
      </c>
      <c r="X7" s="37">
        <f t="shared" si="0"/>
        <v>940</v>
      </c>
      <c r="Y7" s="37">
        <f t="shared" si="0"/>
        <v>2120</v>
      </c>
      <c r="Z7" s="37">
        <f t="shared" si="0"/>
        <v>1900</v>
      </c>
      <c r="AA7" s="37">
        <f t="shared" si="0"/>
        <v>1020</v>
      </c>
      <c r="AB7" s="37">
        <f t="shared" si="0"/>
        <v>4090</v>
      </c>
      <c r="AC7" s="37">
        <f t="shared" si="0"/>
        <v>3070</v>
      </c>
      <c r="AD7" s="34">
        <f>SUM(Q7:AC7)</f>
        <v>24870</v>
      </c>
      <c r="AF7" s="20">
        <f t="shared" ref="AF7:AF36" si="1">Q7*$D$39</f>
        <v>2.9</v>
      </c>
      <c r="AG7" s="20">
        <f t="shared" ref="AG7:AG36" si="2">R7*$D$39</f>
        <v>0</v>
      </c>
      <c r="AH7" s="20">
        <f t="shared" ref="AH7:AH36" si="3">S7*$D$39</f>
        <v>12.55</v>
      </c>
      <c r="AI7" s="20">
        <f t="shared" ref="AI7:AI36" si="4">T7*$D$39</f>
        <v>7.1000000000000005</v>
      </c>
      <c r="AJ7" s="20">
        <f t="shared" ref="AJ7:AJ36" si="5">U7*$D$39</f>
        <v>13.200000000000001</v>
      </c>
      <c r="AK7" s="20">
        <f t="shared" ref="AK7:AK36" si="6">V7*$D$39</f>
        <v>12.450000000000001</v>
      </c>
      <c r="AL7" s="20">
        <f t="shared" ref="AL7:AL36" si="7">W7*$D$39</f>
        <v>10.450000000000001</v>
      </c>
      <c r="AM7" s="20">
        <f t="shared" ref="AM7:AM36" si="8">X7*$D$39</f>
        <v>4.7</v>
      </c>
      <c r="AN7" s="20">
        <f t="shared" ref="AN7:AN36" si="9">Y7*$D$39</f>
        <v>10.6</v>
      </c>
      <c r="AO7" s="20">
        <f t="shared" ref="AO7:AO36" si="10">Z7*$D$39</f>
        <v>9.5</v>
      </c>
      <c r="AP7" s="20">
        <f t="shared" ref="AP7:AP36" si="11">AA7*$D$39</f>
        <v>5.1000000000000005</v>
      </c>
      <c r="AQ7" s="20">
        <f t="shared" ref="AQ7:AQ36" si="12">AB7*$D$39</f>
        <v>20.45</v>
      </c>
      <c r="AR7" s="20">
        <f t="shared" ref="AR7:AR36" si="13">AC7*$D$39</f>
        <v>15.35</v>
      </c>
      <c r="AS7" s="35">
        <f>SUM(AF7:AR7)</f>
        <v>124.35</v>
      </c>
      <c r="AU7" s="47">
        <v>874559</v>
      </c>
      <c r="AV7" s="37">
        <f>IF((AU7-AU6&lt;0),"0",AU7-AU6)</f>
        <v>1089</v>
      </c>
      <c r="AW7" s="50">
        <v>0</v>
      </c>
    </row>
    <row r="8" spans="1:49" x14ac:dyDescent="0.25">
      <c r="A8" s="23">
        <v>43923</v>
      </c>
      <c r="B8" s="40">
        <v>80</v>
      </c>
      <c r="C8" s="24">
        <v>5973260</v>
      </c>
      <c r="D8" s="24">
        <v>12921730</v>
      </c>
      <c r="E8" s="24">
        <v>1609060</v>
      </c>
      <c r="F8" s="24">
        <v>2777380</v>
      </c>
      <c r="G8" s="24">
        <v>8638830</v>
      </c>
      <c r="H8" s="24">
        <v>4272390</v>
      </c>
      <c r="I8" s="24">
        <v>4104120</v>
      </c>
      <c r="J8" s="24">
        <v>4700420</v>
      </c>
      <c r="K8" s="24">
        <v>7412810</v>
      </c>
      <c r="L8" s="24">
        <v>2759640</v>
      </c>
      <c r="M8" s="24">
        <v>6701980</v>
      </c>
      <c r="N8" s="24">
        <v>9446900</v>
      </c>
      <c r="O8" s="24">
        <v>12908060</v>
      </c>
      <c r="Q8" s="37">
        <f>IF((C8-C7&lt;0), "0",C8-C7)</f>
        <v>570</v>
      </c>
      <c r="R8" s="37">
        <f t="shared" ref="R8:AC8" si="14">IF((D8-D7&lt;0), "0",D8-D7)</f>
        <v>3860</v>
      </c>
      <c r="S8" s="37">
        <f t="shared" ref="S8:S35" si="15">IF((E8-E7&lt;0), "0",E8-E7)</f>
        <v>2720</v>
      </c>
      <c r="T8" s="37">
        <f t="shared" si="14"/>
        <v>1420</v>
      </c>
      <c r="U8" s="37">
        <f t="shared" si="14"/>
        <v>2780</v>
      </c>
      <c r="V8" s="37">
        <f t="shared" si="14"/>
        <v>2280</v>
      </c>
      <c r="W8" s="37">
        <f t="shared" si="14"/>
        <v>2120</v>
      </c>
      <c r="X8" s="37">
        <f t="shared" si="14"/>
        <v>950</v>
      </c>
      <c r="Y8" s="37">
        <f t="shared" si="14"/>
        <v>2120</v>
      </c>
      <c r="Z8" s="37">
        <f t="shared" si="14"/>
        <v>2240</v>
      </c>
      <c r="AA8" s="37">
        <f t="shared" si="14"/>
        <v>1230</v>
      </c>
      <c r="AB8" s="37">
        <f t="shared" si="14"/>
        <v>4070</v>
      </c>
      <c r="AC8" s="37">
        <f t="shared" si="14"/>
        <v>3310</v>
      </c>
      <c r="AD8" s="35">
        <f>SUM(Q8:AC8)</f>
        <v>29670</v>
      </c>
      <c r="AF8" s="20">
        <f t="shared" si="1"/>
        <v>2.85</v>
      </c>
      <c r="AG8" s="20">
        <f t="shared" si="2"/>
        <v>19.3</v>
      </c>
      <c r="AH8" s="20">
        <f t="shared" si="3"/>
        <v>13.6</v>
      </c>
      <c r="AI8" s="20">
        <f t="shared" si="4"/>
        <v>7.1000000000000005</v>
      </c>
      <c r="AJ8" s="20">
        <f t="shared" si="5"/>
        <v>13.9</v>
      </c>
      <c r="AK8" s="20">
        <f t="shared" si="6"/>
        <v>11.4</v>
      </c>
      <c r="AL8" s="20">
        <f t="shared" si="7"/>
        <v>10.6</v>
      </c>
      <c r="AM8" s="20">
        <f t="shared" si="8"/>
        <v>4.75</v>
      </c>
      <c r="AN8" s="20">
        <f t="shared" si="9"/>
        <v>10.6</v>
      </c>
      <c r="AO8" s="20">
        <f t="shared" si="10"/>
        <v>11.200000000000001</v>
      </c>
      <c r="AP8" s="20">
        <f t="shared" si="11"/>
        <v>6.15</v>
      </c>
      <c r="AQ8" s="20">
        <f t="shared" si="12"/>
        <v>20.350000000000001</v>
      </c>
      <c r="AR8" s="20">
        <f t="shared" si="13"/>
        <v>16.55</v>
      </c>
      <c r="AS8" s="35">
        <f>SUM(AF8:AR8)</f>
        <v>148.35000000000002</v>
      </c>
      <c r="AU8" s="47">
        <v>876135</v>
      </c>
      <c r="AV8" s="37">
        <f>IF((AU8-AU7&lt;0),"0",AU8-AU7)</f>
        <v>1576</v>
      </c>
      <c r="AW8" s="35">
        <v>0</v>
      </c>
    </row>
    <row r="9" spans="1:49" x14ac:dyDescent="0.25">
      <c r="A9" s="23">
        <v>43924</v>
      </c>
      <c r="B9" s="40">
        <v>79</v>
      </c>
      <c r="C9" s="24">
        <v>5973800</v>
      </c>
      <c r="D9" s="24">
        <v>12923530</v>
      </c>
      <c r="E9" s="24">
        <v>1611630</v>
      </c>
      <c r="F9" s="24">
        <v>2778720</v>
      </c>
      <c r="G9" s="24">
        <v>8641370</v>
      </c>
      <c r="H9" s="24">
        <v>4274430</v>
      </c>
      <c r="I9" s="24">
        <v>4106130</v>
      </c>
      <c r="J9" s="24">
        <v>4701370</v>
      </c>
      <c r="K9" s="24">
        <v>7414790</v>
      </c>
      <c r="L9" s="24">
        <v>2761700</v>
      </c>
      <c r="M9" s="24">
        <v>6703490</v>
      </c>
      <c r="N9" s="24">
        <v>9450960</v>
      </c>
      <c r="O9" s="24">
        <v>12911590</v>
      </c>
      <c r="Q9" s="37">
        <f t="shared" ref="Q9:Q30" si="16">IF((C9-C8&lt;0), "0",C9-C8)</f>
        <v>540</v>
      </c>
      <c r="R9" s="37">
        <f t="shared" ref="R9:R35" si="17">IF((D9-D8&lt;0), "0",D9-D8)</f>
        <v>1800</v>
      </c>
      <c r="S9" s="37">
        <f t="shared" si="15"/>
        <v>2570</v>
      </c>
      <c r="T9" s="37">
        <f t="shared" ref="T9:T35" si="18">IF((F9-F8&lt;0), "0",F9-F8)</f>
        <v>1340</v>
      </c>
      <c r="U9" s="37">
        <f t="shared" ref="U9:U35" si="19">IF((G9-G8&lt;0), "0",G9-G8)</f>
        <v>2540</v>
      </c>
      <c r="V9" s="37">
        <f t="shared" ref="V9:V35" si="20">IF((H9-H8&lt;0), "0",H9-H8)</f>
        <v>2040</v>
      </c>
      <c r="W9" s="37">
        <f t="shared" ref="W9:W35" si="21">IF((I9-I8&lt;0), "0",I9-I8)</f>
        <v>2010</v>
      </c>
      <c r="X9" s="37">
        <f t="shared" ref="X9:X35" si="22">IF((J9-J8&lt;0), "0",J9-J8)</f>
        <v>950</v>
      </c>
      <c r="Y9" s="37">
        <f t="shared" ref="Y9:Y35" si="23">IF((K9-K8&lt;0), "0",K9-K8)</f>
        <v>1980</v>
      </c>
      <c r="Z9" s="37">
        <f t="shared" ref="Z9:Z35" si="24">IF((L9-L8&lt;0), "0",L9-L8)</f>
        <v>2060</v>
      </c>
      <c r="AA9" s="37">
        <f t="shared" ref="AA9:AA35" si="25">IF((M9-M8&lt;0), "0",M9-M8)</f>
        <v>1510</v>
      </c>
      <c r="AB9" s="37">
        <f t="shared" ref="AB9:AB37" si="26">IF((N9-N8&lt;0), "0",N9-N8)</f>
        <v>4060</v>
      </c>
      <c r="AC9" s="37">
        <f t="shared" ref="AC9:AC37" si="27">IF((O9-O8&lt;0), "0",O9-O8)</f>
        <v>3530</v>
      </c>
      <c r="AD9" s="35">
        <f t="shared" ref="AD9:AD37" si="28">SUM(Q9:AC9)</f>
        <v>26930</v>
      </c>
      <c r="AF9" s="20">
        <f t="shared" si="1"/>
        <v>2.7</v>
      </c>
      <c r="AG9" s="20">
        <f t="shared" si="2"/>
        <v>9</v>
      </c>
      <c r="AH9" s="20">
        <f t="shared" si="3"/>
        <v>12.85</v>
      </c>
      <c r="AI9" s="20">
        <f t="shared" si="4"/>
        <v>6.7</v>
      </c>
      <c r="AJ9" s="20">
        <f t="shared" si="5"/>
        <v>12.700000000000001</v>
      </c>
      <c r="AK9" s="20">
        <f t="shared" si="6"/>
        <v>10.200000000000001</v>
      </c>
      <c r="AL9" s="20">
        <f t="shared" si="7"/>
        <v>10.050000000000001</v>
      </c>
      <c r="AM9" s="20">
        <f t="shared" si="8"/>
        <v>4.75</v>
      </c>
      <c r="AN9" s="20">
        <f t="shared" si="9"/>
        <v>9.9</v>
      </c>
      <c r="AO9" s="20">
        <f t="shared" si="10"/>
        <v>10.3</v>
      </c>
      <c r="AP9" s="20">
        <f t="shared" si="11"/>
        <v>7.55</v>
      </c>
      <c r="AQ9" s="20">
        <f t="shared" si="12"/>
        <v>20.3</v>
      </c>
      <c r="AR9" s="20">
        <f t="shared" si="13"/>
        <v>17.650000000000002</v>
      </c>
      <c r="AS9" s="35">
        <f t="shared" ref="AS9:AS33" si="29">SUM(AF9:AR9)</f>
        <v>134.65</v>
      </c>
      <c r="AU9" s="47">
        <v>877201</v>
      </c>
      <c r="AV9" s="37">
        <f>IF((AU9-AU8&lt;0),"0",AU9-AU8)</f>
        <v>1066</v>
      </c>
      <c r="AW9" s="35">
        <f t="shared" ref="AW9:AW35" si="30">AV9*$D$40</f>
        <v>2.1320000000000001</v>
      </c>
    </row>
    <row r="10" spans="1:49" x14ac:dyDescent="0.25">
      <c r="A10" s="23">
        <v>43925</v>
      </c>
      <c r="B10" s="40">
        <v>6</v>
      </c>
      <c r="C10" s="24">
        <v>5974360</v>
      </c>
      <c r="D10" s="24">
        <v>12925400</v>
      </c>
      <c r="E10" s="24">
        <v>1614290</v>
      </c>
      <c r="F10" s="24">
        <v>2780100</v>
      </c>
      <c r="G10" s="24">
        <v>8644100</v>
      </c>
      <c r="H10" s="24">
        <v>4276590</v>
      </c>
      <c r="I10" s="24">
        <v>4108210</v>
      </c>
      <c r="J10" s="24">
        <v>4702360</v>
      </c>
      <c r="K10" s="24">
        <v>7416930</v>
      </c>
      <c r="L10" s="24">
        <v>2763730</v>
      </c>
      <c r="M10" s="24">
        <v>6704950</v>
      </c>
      <c r="N10" s="24">
        <v>9455060</v>
      </c>
      <c r="O10" s="24">
        <v>12914970</v>
      </c>
      <c r="Q10" s="37">
        <f t="shared" si="16"/>
        <v>560</v>
      </c>
      <c r="R10" s="37">
        <f t="shared" si="17"/>
        <v>1870</v>
      </c>
      <c r="S10" s="37">
        <f t="shared" si="15"/>
        <v>2660</v>
      </c>
      <c r="T10" s="37">
        <f t="shared" si="18"/>
        <v>1380</v>
      </c>
      <c r="U10" s="37">
        <f t="shared" si="19"/>
        <v>2730</v>
      </c>
      <c r="V10" s="37">
        <f t="shared" si="20"/>
        <v>2160</v>
      </c>
      <c r="W10" s="37">
        <f t="shared" si="21"/>
        <v>2080</v>
      </c>
      <c r="X10" s="37">
        <f t="shared" si="22"/>
        <v>990</v>
      </c>
      <c r="Y10" s="37">
        <f t="shared" si="23"/>
        <v>2140</v>
      </c>
      <c r="Z10" s="37">
        <f t="shared" si="24"/>
        <v>2030</v>
      </c>
      <c r="AA10" s="37">
        <f t="shared" si="25"/>
        <v>1460</v>
      </c>
      <c r="AB10" s="37">
        <f t="shared" si="26"/>
        <v>4100</v>
      </c>
      <c r="AC10" s="37">
        <f t="shared" si="27"/>
        <v>3380</v>
      </c>
      <c r="AD10" s="35">
        <f t="shared" si="28"/>
        <v>27540</v>
      </c>
      <c r="AF10" s="20">
        <f t="shared" si="1"/>
        <v>2.8000000000000003</v>
      </c>
      <c r="AG10" s="20">
        <f t="shared" si="2"/>
        <v>9.35</v>
      </c>
      <c r="AH10" s="20">
        <f t="shared" si="3"/>
        <v>13.3</v>
      </c>
      <c r="AI10" s="20">
        <f t="shared" si="4"/>
        <v>6.9</v>
      </c>
      <c r="AJ10" s="20">
        <f t="shared" si="5"/>
        <v>13.65</v>
      </c>
      <c r="AK10" s="20">
        <f t="shared" si="6"/>
        <v>10.8</v>
      </c>
      <c r="AL10" s="20">
        <f t="shared" si="7"/>
        <v>10.4</v>
      </c>
      <c r="AM10" s="20">
        <f t="shared" si="8"/>
        <v>4.95</v>
      </c>
      <c r="AN10" s="20">
        <f t="shared" si="9"/>
        <v>10.700000000000001</v>
      </c>
      <c r="AO10" s="20">
        <f t="shared" si="10"/>
        <v>10.15</v>
      </c>
      <c r="AP10" s="20">
        <f t="shared" si="11"/>
        <v>7.3</v>
      </c>
      <c r="AQ10" s="20">
        <f t="shared" si="12"/>
        <v>20.5</v>
      </c>
      <c r="AR10" s="20">
        <f t="shared" si="13"/>
        <v>16.899999999999999</v>
      </c>
      <c r="AS10" s="35">
        <f t="shared" si="29"/>
        <v>137.70000000000002</v>
      </c>
      <c r="AU10" s="47">
        <v>878251</v>
      </c>
      <c r="AV10" s="37">
        <f t="shared" ref="AV10:AV26" si="31">IF((AU10-AU9&lt;0),"0",AU10-AU9)</f>
        <v>1050</v>
      </c>
      <c r="AW10" s="35">
        <f t="shared" si="30"/>
        <v>2.1</v>
      </c>
    </row>
    <row r="11" spans="1:49" x14ac:dyDescent="0.25">
      <c r="A11" s="23">
        <v>43926</v>
      </c>
      <c r="B11" s="40">
        <v>6</v>
      </c>
      <c r="C11" s="24">
        <v>5974920</v>
      </c>
      <c r="D11" s="24">
        <v>12927320</v>
      </c>
      <c r="E11" s="24">
        <v>1617220</v>
      </c>
      <c r="F11" s="24">
        <v>2781530</v>
      </c>
      <c r="G11" s="24">
        <v>8647110</v>
      </c>
      <c r="H11" s="24">
        <v>4278960</v>
      </c>
      <c r="I11" s="24">
        <v>4110350</v>
      </c>
      <c r="J11" s="24">
        <v>4703540</v>
      </c>
      <c r="K11" s="24">
        <v>7419120</v>
      </c>
      <c r="L11" s="24">
        <v>2765790</v>
      </c>
      <c r="M11" s="24">
        <v>6706520</v>
      </c>
      <c r="N11" s="24">
        <v>9459420</v>
      </c>
      <c r="O11" s="24">
        <v>12918530</v>
      </c>
      <c r="Q11" s="37">
        <f t="shared" si="16"/>
        <v>560</v>
      </c>
      <c r="R11" s="37">
        <f t="shared" si="17"/>
        <v>1920</v>
      </c>
      <c r="S11" s="37">
        <f t="shared" si="15"/>
        <v>2930</v>
      </c>
      <c r="T11" s="37">
        <f t="shared" si="18"/>
        <v>1430</v>
      </c>
      <c r="U11" s="37">
        <f t="shared" si="19"/>
        <v>3010</v>
      </c>
      <c r="V11" s="37">
        <f t="shared" si="20"/>
        <v>2370</v>
      </c>
      <c r="W11" s="37">
        <f t="shared" si="21"/>
        <v>2140</v>
      </c>
      <c r="X11" s="37">
        <f t="shared" si="22"/>
        <v>1180</v>
      </c>
      <c r="Y11" s="37">
        <f t="shared" si="23"/>
        <v>2190</v>
      </c>
      <c r="Z11" s="37">
        <f t="shared" si="24"/>
        <v>2060</v>
      </c>
      <c r="AA11" s="37">
        <f t="shared" si="25"/>
        <v>1570</v>
      </c>
      <c r="AB11" s="37">
        <f t="shared" si="26"/>
        <v>4360</v>
      </c>
      <c r="AC11" s="37">
        <f t="shared" si="27"/>
        <v>3560</v>
      </c>
      <c r="AD11" s="35">
        <f t="shared" si="28"/>
        <v>29280</v>
      </c>
      <c r="AF11" s="20">
        <f t="shared" si="1"/>
        <v>2.8000000000000003</v>
      </c>
      <c r="AG11" s="20">
        <f t="shared" si="2"/>
        <v>9.6</v>
      </c>
      <c r="AH11" s="20">
        <f t="shared" si="3"/>
        <v>14.65</v>
      </c>
      <c r="AI11" s="20">
        <f t="shared" si="4"/>
        <v>7.15</v>
      </c>
      <c r="AJ11" s="20">
        <f t="shared" si="5"/>
        <v>15.05</v>
      </c>
      <c r="AK11" s="20">
        <f t="shared" si="6"/>
        <v>11.85</v>
      </c>
      <c r="AL11" s="20">
        <f t="shared" si="7"/>
        <v>10.700000000000001</v>
      </c>
      <c r="AM11" s="20">
        <f t="shared" si="8"/>
        <v>5.9</v>
      </c>
      <c r="AN11" s="20">
        <f t="shared" si="9"/>
        <v>10.950000000000001</v>
      </c>
      <c r="AO11" s="20">
        <f t="shared" si="10"/>
        <v>10.3</v>
      </c>
      <c r="AP11" s="20">
        <f t="shared" si="11"/>
        <v>7.8500000000000005</v>
      </c>
      <c r="AQ11" s="20">
        <f t="shared" si="12"/>
        <v>21.8</v>
      </c>
      <c r="AR11" s="20">
        <f t="shared" si="13"/>
        <v>17.8</v>
      </c>
      <c r="AS11" s="35">
        <f t="shared" si="29"/>
        <v>146.4</v>
      </c>
      <c r="AU11" s="47">
        <v>878374</v>
      </c>
      <c r="AV11" s="37">
        <f t="shared" si="31"/>
        <v>123</v>
      </c>
      <c r="AW11" s="35">
        <f t="shared" si="30"/>
        <v>0.246</v>
      </c>
    </row>
    <row r="12" spans="1:49" x14ac:dyDescent="0.25">
      <c r="A12" s="23">
        <v>43927</v>
      </c>
      <c r="B12" s="40">
        <v>7</v>
      </c>
      <c r="C12" s="49">
        <v>5975480</v>
      </c>
      <c r="D12" s="24">
        <v>12929120</v>
      </c>
      <c r="E12" s="24">
        <v>1619720</v>
      </c>
      <c r="F12" s="24">
        <v>2782930</v>
      </c>
      <c r="G12" s="24">
        <v>8650110</v>
      </c>
      <c r="H12" s="24">
        <v>4280990</v>
      </c>
      <c r="I12" s="24">
        <v>4112440</v>
      </c>
      <c r="J12" s="24">
        <v>4704540</v>
      </c>
      <c r="K12" s="24">
        <v>7421120</v>
      </c>
      <c r="L12" s="24">
        <v>2767850</v>
      </c>
      <c r="M12" s="24">
        <v>6708020</v>
      </c>
      <c r="N12" s="24">
        <v>9463520</v>
      </c>
      <c r="O12" s="24">
        <v>12922030</v>
      </c>
      <c r="Q12" s="37">
        <f t="shared" si="16"/>
        <v>560</v>
      </c>
      <c r="R12" s="37">
        <f t="shared" si="17"/>
        <v>1800</v>
      </c>
      <c r="S12" s="37">
        <f t="shared" si="15"/>
        <v>2500</v>
      </c>
      <c r="T12" s="37">
        <f t="shared" ref="T12:W14" si="32">IF((F12-F11&lt;0), "0",F12-F11)</f>
        <v>1400</v>
      </c>
      <c r="U12" s="37">
        <f t="shared" si="32"/>
        <v>3000</v>
      </c>
      <c r="V12" s="37">
        <f t="shared" si="32"/>
        <v>2030</v>
      </c>
      <c r="W12" s="37">
        <f t="shared" si="32"/>
        <v>2090</v>
      </c>
      <c r="X12" s="37">
        <f t="shared" si="22"/>
        <v>1000</v>
      </c>
      <c r="Y12" s="37">
        <f t="shared" si="23"/>
        <v>2000</v>
      </c>
      <c r="Z12" s="37">
        <f>IF((L12-L11&lt;0), "0",L12-L11)</f>
        <v>2060</v>
      </c>
      <c r="AA12" s="37">
        <f t="shared" si="25"/>
        <v>1500</v>
      </c>
      <c r="AB12" s="37">
        <f t="shared" si="26"/>
        <v>4100</v>
      </c>
      <c r="AC12" s="37">
        <f t="shared" si="27"/>
        <v>3500</v>
      </c>
      <c r="AD12" s="35">
        <f t="shared" si="28"/>
        <v>27540</v>
      </c>
      <c r="AF12" s="20">
        <f t="shared" si="1"/>
        <v>2.8000000000000003</v>
      </c>
      <c r="AG12" s="20">
        <f t="shared" si="2"/>
        <v>9</v>
      </c>
      <c r="AH12" s="20">
        <f t="shared" si="3"/>
        <v>12.5</v>
      </c>
      <c r="AI12" s="20">
        <f t="shared" si="4"/>
        <v>7</v>
      </c>
      <c r="AJ12" s="20">
        <f t="shared" si="5"/>
        <v>15</v>
      </c>
      <c r="AK12" s="20">
        <f t="shared" si="6"/>
        <v>10.15</v>
      </c>
      <c r="AL12" s="20">
        <f t="shared" si="7"/>
        <v>10.450000000000001</v>
      </c>
      <c r="AM12" s="20">
        <f t="shared" si="8"/>
        <v>5</v>
      </c>
      <c r="AN12" s="20">
        <f t="shared" si="9"/>
        <v>10</v>
      </c>
      <c r="AO12" s="20">
        <f t="shared" si="10"/>
        <v>10.3</v>
      </c>
      <c r="AP12" s="20">
        <f t="shared" si="11"/>
        <v>7.5</v>
      </c>
      <c r="AQ12" s="20">
        <f t="shared" si="12"/>
        <v>20.5</v>
      </c>
      <c r="AR12" s="20">
        <f t="shared" si="13"/>
        <v>17.5</v>
      </c>
      <c r="AS12" s="35">
        <f t="shared" si="29"/>
        <v>137.69999999999999</v>
      </c>
      <c r="AU12" s="47">
        <v>878514</v>
      </c>
      <c r="AV12" s="37">
        <f t="shared" si="31"/>
        <v>140</v>
      </c>
      <c r="AW12" s="35">
        <f t="shared" si="30"/>
        <v>0.28000000000000003</v>
      </c>
    </row>
    <row r="13" spans="1:49" x14ac:dyDescent="0.25">
      <c r="A13" s="23">
        <v>43928</v>
      </c>
      <c r="B13" s="40">
        <v>4</v>
      </c>
      <c r="C13" s="24">
        <v>5976060</v>
      </c>
      <c r="D13" s="24">
        <v>12931130</v>
      </c>
      <c r="E13" s="24">
        <v>1623180</v>
      </c>
      <c r="F13" s="24">
        <v>2784360</v>
      </c>
      <c r="G13" s="24">
        <v>8652720</v>
      </c>
      <c r="H13" s="24">
        <v>4283750</v>
      </c>
      <c r="I13" s="24">
        <v>4114540</v>
      </c>
      <c r="J13" s="24">
        <v>4706430</v>
      </c>
      <c r="K13" s="24">
        <v>7423290</v>
      </c>
      <c r="L13" s="24">
        <v>2770190</v>
      </c>
      <c r="M13" s="24">
        <v>6710750</v>
      </c>
      <c r="N13" s="24">
        <v>9467660</v>
      </c>
      <c r="O13" s="24">
        <v>12926000</v>
      </c>
      <c r="Q13" s="37">
        <f t="shared" si="16"/>
        <v>580</v>
      </c>
      <c r="R13" s="37">
        <f t="shared" si="17"/>
        <v>2010</v>
      </c>
      <c r="S13" s="37">
        <f t="shared" si="15"/>
        <v>3460</v>
      </c>
      <c r="T13" s="37">
        <f t="shared" si="32"/>
        <v>1430</v>
      </c>
      <c r="U13" s="37">
        <f t="shared" si="32"/>
        <v>2610</v>
      </c>
      <c r="V13" s="37">
        <f t="shared" si="32"/>
        <v>2760</v>
      </c>
      <c r="W13" s="37">
        <f t="shared" si="32"/>
        <v>2100</v>
      </c>
      <c r="X13" s="37">
        <f t="shared" si="22"/>
        <v>1890</v>
      </c>
      <c r="Y13" s="37">
        <f t="shared" si="23"/>
        <v>2170</v>
      </c>
      <c r="Z13" s="37">
        <f>IF((L13-L12&lt;0), "0",L13-L12)</f>
        <v>2340</v>
      </c>
      <c r="AA13" s="37">
        <f t="shared" si="25"/>
        <v>2730</v>
      </c>
      <c r="AB13" s="37">
        <f t="shared" si="26"/>
        <v>4140</v>
      </c>
      <c r="AC13" s="37">
        <f t="shared" si="27"/>
        <v>3970</v>
      </c>
      <c r="AD13" s="35">
        <f t="shared" si="28"/>
        <v>32190</v>
      </c>
      <c r="AF13" s="20">
        <f t="shared" si="1"/>
        <v>2.9</v>
      </c>
      <c r="AG13" s="20">
        <f t="shared" si="2"/>
        <v>10.050000000000001</v>
      </c>
      <c r="AH13" s="20">
        <f t="shared" si="3"/>
        <v>17.3</v>
      </c>
      <c r="AI13" s="20">
        <f t="shared" si="4"/>
        <v>7.15</v>
      </c>
      <c r="AJ13" s="20">
        <f t="shared" si="5"/>
        <v>13.05</v>
      </c>
      <c r="AK13" s="20">
        <f t="shared" si="6"/>
        <v>13.8</v>
      </c>
      <c r="AL13" s="20">
        <f t="shared" si="7"/>
        <v>10.5</v>
      </c>
      <c r="AM13" s="20">
        <f t="shared" si="8"/>
        <v>9.4500000000000011</v>
      </c>
      <c r="AN13" s="20">
        <f t="shared" si="9"/>
        <v>10.85</v>
      </c>
      <c r="AO13" s="20">
        <f t="shared" si="10"/>
        <v>11.700000000000001</v>
      </c>
      <c r="AP13" s="20">
        <f t="shared" si="11"/>
        <v>13.65</v>
      </c>
      <c r="AQ13" s="20">
        <f t="shared" si="12"/>
        <v>20.7</v>
      </c>
      <c r="AR13" s="20">
        <f t="shared" si="13"/>
        <v>19.850000000000001</v>
      </c>
      <c r="AS13" s="35">
        <f t="shared" si="29"/>
        <v>160.94999999999999</v>
      </c>
      <c r="AU13" s="47">
        <v>882481</v>
      </c>
      <c r="AV13" s="37">
        <f t="shared" si="31"/>
        <v>3967</v>
      </c>
      <c r="AW13" s="35">
        <f t="shared" si="30"/>
        <v>7.9340000000000002</v>
      </c>
    </row>
    <row r="14" spans="1:49" x14ac:dyDescent="0.25">
      <c r="A14" s="23">
        <v>43929</v>
      </c>
      <c r="B14" s="40">
        <v>8</v>
      </c>
      <c r="C14" s="24">
        <v>5976590</v>
      </c>
      <c r="D14" s="24">
        <v>12932930</v>
      </c>
      <c r="E14" s="24">
        <v>1626260</v>
      </c>
      <c r="F14" s="24">
        <v>2785710</v>
      </c>
      <c r="G14" s="24">
        <v>8655410</v>
      </c>
      <c r="H14" s="24">
        <v>4285810</v>
      </c>
      <c r="I14" s="24">
        <v>4116540</v>
      </c>
      <c r="J14" s="24">
        <v>4707830</v>
      </c>
      <c r="K14" s="24">
        <v>7425410</v>
      </c>
      <c r="L14" s="24">
        <v>2772250</v>
      </c>
      <c r="M14" s="24">
        <v>6712750</v>
      </c>
      <c r="N14" s="24">
        <v>9471660</v>
      </c>
      <c r="O14" s="24">
        <v>12930080</v>
      </c>
      <c r="P14" s="54"/>
      <c r="Q14" s="37">
        <f t="shared" si="16"/>
        <v>530</v>
      </c>
      <c r="R14" s="37">
        <f t="shared" si="17"/>
        <v>1800</v>
      </c>
      <c r="S14" s="37">
        <f t="shared" si="15"/>
        <v>3080</v>
      </c>
      <c r="T14" s="37">
        <f t="shared" si="32"/>
        <v>1350</v>
      </c>
      <c r="U14" s="37">
        <f t="shared" si="32"/>
        <v>2690</v>
      </c>
      <c r="V14" s="37">
        <f t="shared" si="32"/>
        <v>2060</v>
      </c>
      <c r="W14" s="37">
        <f t="shared" si="32"/>
        <v>2000</v>
      </c>
      <c r="X14" s="37">
        <f t="shared" si="22"/>
        <v>1400</v>
      </c>
      <c r="Y14" s="37">
        <f t="shared" si="23"/>
        <v>2120</v>
      </c>
      <c r="Z14" s="37">
        <f>IF((L14-L13&lt;0), "0",L14-L13)</f>
        <v>2060</v>
      </c>
      <c r="AA14" s="37">
        <f t="shared" si="25"/>
        <v>2000</v>
      </c>
      <c r="AB14" s="37">
        <f t="shared" si="26"/>
        <v>4000</v>
      </c>
      <c r="AC14" s="37">
        <f t="shared" si="27"/>
        <v>4080</v>
      </c>
      <c r="AD14" s="35">
        <f t="shared" si="28"/>
        <v>29170</v>
      </c>
      <c r="AF14" s="20">
        <f t="shared" si="1"/>
        <v>2.65</v>
      </c>
      <c r="AG14" s="20">
        <f t="shared" si="2"/>
        <v>9</v>
      </c>
      <c r="AH14" s="20">
        <f t="shared" si="3"/>
        <v>15.4</v>
      </c>
      <c r="AI14" s="20">
        <f t="shared" si="4"/>
        <v>6.75</v>
      </c>
      <c r="AJ14" s="20">
        <f t="shared" si="5"/>
        <v>13.450000000000001</v>
      </c>
      <c r="AK14" s="20">
        <f t="shared" si="6"/>
        <v>10.3</v>
      </c>
      <c r="AL14" s="20">
        <f t="shared" si="7"/>
        <v>10</v>
      </c>
      <c r="AM14" s="20">
        <f t="shared" si="8"/>
        <v>7</v>
      </c>
      <c r="AN14" s="20">
        <f t="shared" si="9"/>
        <v>10.6</v>
      </c>
      <c r="AO14" s="20">
        <f t="shared" si="10"/>
        <v>10.3</v>
      </c>
      <c r="AP14" s="20">
        <f t="shared" si="11"/>
        <v>10</v>
      </c>
      <c r="AQ14" s="20">
        <f t="shared" si="12"/>
        <v>20</v>
      </c>
      <c r="AR14" s="20">
        <f t="shared" si="13"/>
        <v>20.400000000000002</v>
      </c>
      <c r="AS14" s="35">
        <f t="shared" si="29"/>
        <v>145.85</v>
      </c>
      <c r="AU14" s="47">
        <v>882892</v>
      </c>
      <c r="AV14" s="37">
        <f t="shared" si="31"/>
        <v>411</v>
      </c>
      <c r="AW14" s="35">
        <f t="shared" si="30"/>
        <v>0.82200000000000006</v>
      </c>
    </row>
    <row r="15" spans="1:49" x14ac:dyDescent="0.25">
      <c r="A15" s="23">
        <v>43930</v>
      </c>
      <c r="B15" s="40">
        <v>14</v>
      </c>
      <c r="C15" s="24">
        <v>5977150</v>
      </c>
      <c r="D15" s="24">
        <v>12934840</v>
      </c>
      <c r="E15" s="24">
        <v>1629590</v>
      </c>
      <c r="F15" s="24">
        <v>2787090</v>
      </c>
      <c r="G15" s="24">
        <v>8658350</v>
      </c>
      <c r="H15" s="24">
        <v>4288080</v>
      </c>
      <c r="I15" s="24">
        <v>4118670</v>
      </c>
      <c r="J15" s="24">
        <v>4709310</v>
      </c>
      <c r="K15" s="24">
        <v>7427690</v>
      </c>
      <c r="L15" s="24">
        <v>2774610</v>
      </c>
      <c r="M15" s="24">
        <v>6714670</v>
      </c>
      <c r="N15" s="24">
        <v>9475890</v>
      </c>
      <c r="O15" s="24">
        <v>12934450</v>
      </c>
      <c r="Q15" s="37">
        <f t="shared" si="16"/>
        <v>560</v>
      </c>
      <c r="R15" s="37">
        <f t="shared" si="17"/>
        <v>1910</v>
      </c>
      <c r="S15" s="37">
        <f t="shared" si="15"/>
        <v>3330</v>
      </c>
      <c r="T15" s="37">
        <f t="shared" si="18"/>
        <v>1380</v>
      </c>
      <c r="U15" s="37">
        <f t="shared" si="19"/>
        <v>2940</v>
      </c>
      <c r="V15" s="37">
        <f t="shared" si="20"/>
        <v>2270</v>
      </c>
      <c r="W15" s="37">
        <f t="shared" si="21"/>
        <v>2130</v>
      </c>
      <c r="X15" s="37">
        <f t="shared" si="22"/>
        <v>1480</v>
      </c>
      <c r="Y15" s="37">
        <f t="shared" si="23"/>
        <v>2280</v>
      </c>
      <c r="Z15" s="37">
        <f t="shared" si="24"/>
        <v>2360</v>
      </c>
      <c r="AA15" s="37">
        <f t="shared" si="25"/>
        <v>1920</v>
      </c>
      <c r="AB15" s="37">
        <f t="shared" si="26"/>
        <v>4230</v>
      </c>
      <c r="AC15" s="37">
        <f t="shared" si="27"/>
        <v>4370</v>
      </c>
      <c r="AD15" s="35">
        <f t="shared" si="28"/>
        <v>31160</v>
      </c>
      <c r="AF15" s="20">
        <f t="shared" si="1"/>
        <v>2.8000000000000003</v>
      </c>
      <c r="AG15" s="20">
        <f t="shared" si="2"/>
        <v>9.5500000000000007</v>
      </c>
      <c r="AH15" s="20">
        <f t="shared" si="3"/>
        <v>16.649999999999999</v>
      </c>
      <c r="AI15" s="20">
        <f t="shared" si="4"/>
        <v>6.9</v>
      </c>
      <c r="AJ15" s="20">
        <f t="shared" si="5"/>
        <v>14.700000000000001</v>
      </c>
      <c r="AK15" s="20">
        <f t="shared" si="6"/>
        <v>11.35</v>
      </c>
      <c r="AL15" s="20">
        <f t="shared" si="7"/>
        <v>10.65</v>
      </c>
      <c r="AM15" s="20">
        <f t="shared" si="8"/>
        <v>7.4</v>
      </c>
      <c r="AN15" s="20">
        <f t="shared" si="9"/>
        <v>11.4</v>
      </c>
      <c r="AO15" s="20">
        <f t="shared" si="10"/>
        <v>11.8</v>
      </c>
      <c r="AP15" s="20">
        <f t="shared" si="11"/>
        <v>9.6</v>
      </c>
      <c r="AQ15" s="20">
        <f t="shared" si="12"/>
        <v>21.150000000000002</v>
      </c>
      <c r="AR15" s="20">
        <f t="shared" si="13"/>
        <v>21.85</v>
      </c>
      <c r="AS15" s="35">
        <f t="shared" si="29"/>
        <v>155.80000000000001</v>
      </c>
      <c r="AU15" s="47">
        <v>884388</v>
      </c>
      <c r="AV15" s="37">
        <f t="shared" si="31"/>
        <v>1496</v>
      </c>
      <c r="AW15" s="35">
        <f t="shared" si="30"/>
        <v>2.992</v>
      </c>
    </row>
    <row r="16" spans="1:49" x14ac:dyDescent="0.25">
      <c r="A16" s="23">
        <v>43931</v>
      </c>
      <c r="B16" s="40">
        <v>13</v>
      </c>
      <c r="C16" s="24">
        <v>5977720</v>
      </c>
      <c r="D16" s="24">
        <v>12936746</v>
      </c>
      <c r="E16" s="24">
        <v>1633100</v>
      </c>
      <c r="F16" s="24">
        <v>2788430</v>
      </c>
      <c r="G16" s="24">
        <v>8661390</v>
      </c>
      <c r="H16" s="24">
        <v>4290270</v>
      </c>
      <c r="I16" s="24">
        <v>4120770</v>
      </c>
      <c r="J16" s="24">
        <v>4710650</v>
      </c>
      <c r="K16" s="24">
        <v>7430240</v>
      </c>
      <c r="L16" s="24">
        <v>2776930</v>
      </c>
      <c r="M16" s="24">
        <v>6716790</v>
      </c>
      <c r="N16" s="24">
        <v>9480090</v>
      </c>
      <c r="O16" s="24">
        <v>12938990</v>
      </c>
      <c r="Q16" s="37">
        <f t="shared" si="16"/>
        <v>570</v>
      </c>
      <c r="R16" s="37">
        <f t="shared" si="17"/>
        <v>1906</v>
      </c>
      <c r="S16" s="37">
        <f t="shared" si="15"/>
        <v>3510</v>
      </c>
      <c r="T16" s="37">
        <f t="shared" si="18"/>
        <v>1340</v>
      </c>
      <c r="U16" s="37">
        <f t="shared" si="19"/>
        <v>3040</v>
      </c>
      <c r="V16" s="37">
        <f t="shared" si="20"/>
        <v>2190</v>
      </c>
      <c r="W16" s="37">
        <f t="shared" si="21"/>
        <v>2100</v>
      </c>
      <c r="X16" s="37">
        <f t="shared" si="22"/>
        <v>1340</v>
      </c>
      <c r="Y16" s="37">
        <f t="shared" si="23"/>
        <v>2550</v>
      </c>
      <c r="Z16" s="37">
        <f t="shared" si="24"/>
        <v>2320</v>
      </c>
      <c r="AA16" s="37">
        <f t="shared" si="25"/>
        <v>2120</v>
      </c>
      <c r="AB16" s="37">
        <f t="shared" si="26"/>
        <v>4200</v>
      </c>
      <c r="AC16" s="37">
        <f t="shared" si="27"/>
        <v>4540</v>
      </c>
      <c r="AD16" s="35">
        <f t="shared" si="28"/>
        <v>31726</v>
      </c>
      <c r="AF16" s="20">
        <f t="shared" si="1"/>
        <v>2.85</v>
      </c>
      <c r="AG16" s="20">
        <f t="shared" si="2"/>
        <v>9.5299999999999994</v>
      </c>
      <c r="AH16" s="20">
        <f t="shared" si="3"/>
        <v>17.55</v>
      </c>
      <c r="AI16" s="20">
        <f t="shared" si="4"/>
        <v>6.7</v>
      </c>
      <c r="AJ16" s="20">
        <f t="shared" si="5"/>
        <v>15.200000000000001</v>
      </c>
      <c r="AK16" s="20">
        <f t="shared" si="6"/>
        <v>10.950000000000001</v>
      </c>
      <c r="AL16" s="20">
        <f t="shared" si="7"/>
        <v>10.5</v>
      </c>
      <c r="AM16" s="20">
        <f t="shared" si="8"/>
        <v>6.7</v>
      </c>
      <c r="AN16" s="20">
        <f t="shared" si="9"/>
        <v>12.75</v>
      </c>
      <c r="AO16" s="20">
        <f t="shared" si="10"/>
        <v>11.6</v>
      </c>
      <c r="AP16" s="20">
        <f t="shared" si="11"/>
        <v>10.6</v>
      </c>
      <c r="AQ16" s="20">
        <f t="shared" si="12"/>
        <v>21</v>
      </c>
      <c r="AR16" s="20">
        <f t="shared" si="13"/>
        <v>22.7</v>
      </c>
      <c r="AS16" s="35">
        <f t="shared" si="29"/>
        <v>158.63</v>
      </c>
      <c r="AU16" s="47">
        <v>885494</v>
      </c>
      <c r="AV16" s="37">
        <f t="shared" si="31"/>
        <v>1106</v>
      </c>
      <c r="AW16" s="35">
        <f t="shared" si="30"/>
        <v>2.2120000000000002</v>
      </c>
    </row>
    <row r="17" spans="1:49" x14ac:dyDescent="0.25">
      <c r="A17" s="23">
        <v>43932</v>
      </c>
      <c r="B17" s="40">
        <v>5</v>
      </c>
      <c r="C17" s="24">
        <v>5978280</v>
      </c>
      <c r="D17" s="24">
        <v>12938660</v>
      </c>
      <c r="E17" s="24">
        <v>1636390</v>
      </c>
      <c r="F17" s="24">
        <v>2789870</v>
      </c>
      <c r="G17" s="24">
        <v>8664680</v>
      </c>
      <c r="H17" s="24">
        <v>4292650</v>
      </c>
      <c r="I17" s="24">
        <v>4122920</v>
      </c>
      <c r="J17" s="24">
        <v>4712050</v>
      </c>
      <c r="K17" s="24">
        <v>7433070</v>
      </c>
      <c r="L17" s="24">
        <v>2779230</v>
      </c>
      <c r="M17" s="24">
        <v>6719200</v>
      </c>
      <c r="N17" s="24">
        <v>9484150</v>
      </c>
      <c r="O17" s="24">
        <v>12943720</v>
      </c>
      <c r="Q17" s="37">
        <f t="shared" si="16"/>
        <v>560</v>
      </c>
      <c r="R17" s="37">
        <f t="shared" si="17"/>
        <v>1914</v>
      </c>
      <c r="S17" s="37">
        <f t="shared" si="15"/>
        <v>3290</v>
      </c>
      <c r="T17" s="37">
        <f t="shared" si="18"/>
        <v>1440</v>
      </c>
      <c r="U17" s="37">
        <f t="shared" si="19"/>
        <v>3290</v>
      </c>
      <c r="V17" s="37">
        <f t="shared" si="20"/>
        <v>2380</v>
      </c>
      <c r="W17" s="37">
        <f t="shared" si="21"/>
        <v>2150</v>
      </c>
      <c r="X17" s="37">
        <f t="shared" si="22"/>
        <v>1400</v>
      </c>
      <c r="Y17" s="37">
        <f t="shared" si="23"/>
        <v>2830</v>
      </c>
      <c r="Z17" s="37">
        <f t="shared" si="24"/>
        <v>2300</v>
      </c>
      <c r="AA17" s="37">
        <f t="shared" si="25"/>
        <v>2410</v>
      </c>
      <c r="AB17" s="37">
        <f t="shared" si="26"/>
        <v>4060</v>
      </c>
      <c r="AC17" s="37">
        <f t="shared" si="27"/>
        <v>4730</v>
      </c>
      <c r="AD17" s="35">
        <f t="shared" si="28"/>
        <v>32754</v>
      </c>
      <c r="AF17" s="20">
        <f t="shared" si="1"/>
        <v>2.8000000000000003</v>
      </c>
      <c r="AG17" s="20">
        <f t="shared" si="2"/>
        <v>9.57</v>
      </c>
      <c r="AH17" s="20">
        <f t="shared" si="3"/>
        <v>16.45</v>
      </c>
      <c r="AI17" s="20">
        <f t="shared" si="4"/>
        <v>7.2</v>
      </c>
      <c r="AJ17" s="20">
        <f t="shared" si="5"/>
        <v>16.45</v>
      </c>
      <c r="AK17" s="20">
        <f t="shared" si="6"/>
        <v>11.9</v>
      </c>
      <c r="AL17" s="20">
        <f t="shared" si="7"/>
        <v>10.75</v>
      </c>
      <c r="AM17" s="20">
        <f t="shared" si="8"/>
        <v>7</v>
      </c>
      <c r="AN17" s="20">
        <f t="shared" si="9"/>
        <v>14.15</v>
      </c>
      <c r="AO17" s="20">
        <f t="shared" si="10"/>
        <v>11.5</v>
      </c>
      <c r="AP17" s="20">
        <f t="shared" si="11"/>
        <v>12.05</v>
      </c>
      <c r="AQ17" s="20">
        <f t="shared" si="12"/>
        <v>20.3</v>
      </c>
      <c r="AR17" s="20">
        <f t="shared" si="13"/>
        <v>23.650000000000002</v>
      </c>
      <c r="AS17" s="35">
        <f t="shared" si="29"/>
        <v>163.77000000000001</v>
      </c>
      <c r="AU17" s="47">
        <v>886923</v>
      </c>
      <c r="AV17" s="37">
        <f t="shared" si="31"/>
        <v>1429</v>
      </c>
      <c r="AW17" s="35">
        <f t="shared" si="30"/>
        <v>2.8580000000000001</v>
      </c>
    </row>
    <row r="18" spans="1:49" x14ac:dyDescent="0.25">
      <c r="A18" s="23">
        <v>43933</v>
      </c>
      <c r="B18" s="40">
        <v>5</v>
      </c>
      <c r="C18" s="24">
        <v>5978850</v>
      </c>
      <c r="D18" s="24">
        <v>12940570</v>
      </c>
      <c r="E18" s="24">
        <v>1639300</v>
      </c>
      <c r="F18" s="24">
        <v>2791200</v>
      </c>
      <c r="G18" s="24">
        <v>8667750</v>
      </c>
      <c r="H18" s="24">
        <v>4295030</v>
      </c>
      <c r="I18" s="24">
        <v>4125050</v>
      </c>
      <c r="J18" s="24">
        <v>4713490</v>
      </c>
      <c r="K18" s="24">
        <v>7436050</v>
      </c>
      <c r="L18" s="24">
        <v>2781490</v>
      </c>
      <c r="M18" s="24">
        <v>6721500</v>
      </c>
      <c r="N18" s="24">
        <v>9488080</v>
      </c>
      <c r="O18" s="24">
        <v>12948690</v>
      </c>
      <c r="Q18" s="37">
        <f t="shared" si="16"/>
        <v>570</v>
      </c>
      <c r="R18" s="37">
        <f t="shared" si="17"/>
        <v>1910</v>
      </c>
      <c r="S18" s="37">
        <f t="shared" si="15"/>
        <v>2910</v>
      </c>
      <c r="T18" s="37">
        <f t="shared" si="18"/>
        <v>1330</v>
      </c>
      <c r="U18" s="37">
        <f t="shared" si="19"/>
        <v>3070</v>
      </c>
      <c r="V18" s="37">
        <f t="shared" si="20"/>
        <v>2380</v>
      </c>
      <c r="W18" s="37">
        <f t="shared" si="21"/>
        <v>2130</v>
      </c>
      <c r="X18" s="37">
        <f t="shared" si="22"/>
        <v>1440</v>
      </c>
      <c r="Y18" s="37">
        <f t="shared" si="23"/>
        <v>2980</v>
      </c>
      <c r="Z18" s="37">
        <f t="shared" si="24"/>
        <v>2260</v>
      </c>
      <c r="AA18" s="37">
        <f t="shared" si="25"/>
        <v>2300</v>
      </c>
      <c r="AB18" s="37">
        <f t="shared" si="26"/>
        <v>3930</v>
      </c>
      <c r="AC18" s="37">
        <f t="shared" si="27"/>
        <v>4970</v>
      </c>
      <c r="AD18" s="35">
        <f t="shared" si="28"/>
        <v>32180</v>
      </c>
      <c r="AF18" s="20">
        <f t="shared" si="1"/>
        <v>2.85</v>
      </c>
      <c r="AG18" s="20">
        <f t="shared" si="2"/>
        <v>9.5500000000000007</v>
      </c>
      <c r="AH18" s="20">
        <f t="shared" si="3"/>
        <v>14.55</v>
      </c>
      <c r="AI18" s="20">
        <f t="shared" si="4"/>
        <v>6.65</v>
      </c>
      <c r="AJ18" s="20">
        <f t="shared" si="5"/>
        <v>15.35</v>
      </c>
      <c r="AK18" s="20">
        <f t="shared" si="6"/>
        <v>11.9</v>
      </c>
      <c r="AL18" s="20">
        <f t="shared" si="7"/>
        <v>10.65</v>
      </c>
      <c r="AM18" s="20">
        <f t="shared" si="8"/>
        <v>7.2</v>
      </c>
      <c r="AN18" s="20">
        <f t="shared" si="9"/>
        <v>14.9</v>
      </c>
      <c r="AO18" s="20">
        <f t="shared" si="10"/>
        <v>11.3</v>
      </c>
      <c r="AP18" s="20">
        <f t="shared" si="11"/>
        <v>11.5</v>
      </c>
      <c r="AQ18" s="20">
        <f t="shared" si="12"/>
        <v>19.650000000000002</v>
      </c>
      <c r="AR18" s="20">
        <f t="shared" si="13"/>
        <v>24.85</v>
      </c>
      <c r="AS18" s="35">
        <f t="shared" si="29"/>
        <v>160.9</v>
      </c>
      <c r="AU18" s="47">
        <v>887358</v>
      </c>
      <c r="AV18" s="37">
        <f t="shared" si="31"/>
        <v>435</v>
      </c>
      <c r="AW18" s="35">
        <f t="shared" si="30"/>
        <v>0.87</v>
      </c>
    </row>
    <row r="19" spans="1:49" x14ac:dyDescent="0.25">
      <c r="A19" s="23">
        <v>43934</v>
      </c>
      <c r="B19" s="40">
        <v>4</v>
      </c>
      <c r="C19" s="24">
        <v>5979400</v>
      </c>
      <c r="D19" s="24">
        <v>12942420</v>
      </c>
      <c r="E19" s="24">
        <v>1642090</v>
      </c>
      <c r="F19" s="24">
        <v>2792670</v>
      </c>
      <c r="G19" s="24">
        <v>8670560</v>
      </c>
      <c r="H19" s="24">
        <v>4297350</v>
      </c>
      <c r="I19" s="24">
        <v>4127090</v>
      </c>
      <c r="J19" s="24">
        <v>4714780</v>
      </c>
      <c r="K19" s="24">
        <v>7439030</v>
      </c>
      <c r="L19" s="24">
        <v>2783700</v>
      </c>
      <c r="M19" s="24">
        <v>6723630</v>
      </c>
      <c r="N19" s="24">
        <v>9492170</v>
      </c>
      <c r="O19" s="24">
        <v>12954330</v>
      </c>
      <c r="Q19" s="37">
        <f t="shared" si="16"/>
        <v>550</v>
      </c>
      <c r="R19" s="37">
        <f t="shared" si="17"/>
        <v>1850</v>
      </c>
      <c r="S19" s="37">
        <f t="shared" si="15"/>
        <v>2790</v>
      </c>
      <c r="T19" s="37">
        <f t="shared" si="18"/>
        <v>1470</v>
      </c>
      <c r="U19" s="37">
        <f t="shared" si="19"/>
        <v>2810</v>
      </c>
      <c r="V19" s="37">
        <f t="shared" si="20"/>
        <v>2320</v>
      </c>
      <c r="W19" s="37">
        <f t="shared" si="21"/>
        <v>2040</v>
      </c>
      <c r="X19" s="37">
        <f t="shared" si="22"/>
        <v>1290</v>
      </c>
      <c r="Y19" s="37">
        <f t="shared" si="23"/>
        <v>2980</v>
      </c>
      <c r="Z19" s="37">
        <f t="shared" si="24"/>
        <v>2210</v>
      </c>
      <c r="AA19" s="37">
        <f t="shared" si="25"/>
        <v>2130</v>
      </c>
      <c r="AB19" s="37">
        <f t="shared" si="26"/>
        <v>4090</v>
      </c>
      <c r="AC19" s="37">
        <f t="shared" si="27"/>
        <v>5640</v>
      </c>
      <c r="AD19" s="35">
        <f t="shared" si="28"/>
        <v>32170</v>
      </c>
      <c r="AF19" s="20">
        <f t="shared" si="1"/>
        <v>2.75</v>
      </c>
      <c r="AG19" s="20">
        <f t="shared" si="2"/>
        <v>9.25</v>
      </c>
      <c r="AH19" s="20">
        <f t="shared" si="3"/>
        <v>13.950000000000001</v>
      </c>
      <c r="AI19" s="20">
        <f t="shared" si="4"/>
        <v>7.3500000000000005</v>
      </c>
      <c r="AJ19" s="20">
        <f t="shared" si="5"/>
        <v>14.05</v>
      </c>
      <c r="AK19" s="20">
        <f t="shared" si="6"/>
        <v>11.6</v>
      </c>
      <c r="AL19" s="20">
        <f t="shared" si="7"/>
        <v>10.200000000000001</v>
      </c>
      <c r="AM19" s="20">
        <f t="shared" si="8"/>
        <v>6.45</v>
      </c>
      <c r="AN19" s="20">
        <f t="shared" si="9"/>
        <v>14.9</v>
      </c>
      <c r="AO19" s="20">
        <f t="shared" si="10"/>
        <v>11.05</v>
      </c>
      <c r="AP19" s="20">
        <f t="shared" si="11"/>
        <v>10.65</v>
      </c>
      <c r="AQ19" s="20">
        <f t="shared" si="12"/>
        <v>20.45</v>
      </c>
      <c r="AR19" s="20">
        <f t="shared" si="13"/>
        <v>28.2</v>
      </c>
      <c r="AS19" s="35">
        <f t="shared" si="29"/>
        <v>160.85</v>
      </c>
      <c r="AU19" s="47">
        <v>888397</v>
      </c>
      <c r="AV19" s="37">
        <f t="shared" si="31"/>
        <v>1039</v>
      </c>
      <c r="AW19" s="35">
        <f t="shared" si="30"/>
        <v>2.0779999999999998</v>
      </c>
    </row>
    <row r="20" spans="1:49" x14ac:dyDescent="0.25">
      <c r="A20" s="23">
        <v>43935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6"/>
        <v>0</v>
      </c>
      <c r="R20" s="37" t="str">
        <f t="shared" si="17"/>
        <v>0</v>
      </c>
      <c r="S20" s="37" t="str">
        <f t="shared" si="15"/>
        <v>0</v>
      </c>
      <c r="T20" s="37" t="str">
        <f t="shared" si="18"/>
        <v>0</v>
      </c>
      <c r="U20" s="37" t="str">
        <f t="shared" si="19"/>
        <v>0</v>
      </c>
      <c r="V20" s="37" t="str">
        <f t="shared" si="20"/>
        <v>0</v>
      </c>
      <c r="W20" s="37" t="str">
        <f t="shared" si="21"/>
        <v>0</v>
      </c>
      <c r="X20" s="37" t="str">
        <f t="shared" si="22"/>
        <v>0</v>
      </c>
      <c r="Y20" s="37" t="str">
        <f t="shared" si="23"/>
        <v>0</v>
      </c>
      <c r="Z20" s="37" t="str">
        <f t="shared" si="24"/>
        <v>0</v>
      </c>
      <c r="AA20" s="37" t="str">
        <f t="shared" si="25"/>
        <v>0</v>
      </c>
      <c r="AB20" s="37" t="str">
        <f t="shared" si="26"/>
        <v>0</v>
      </c>
      <c r="AC20" s="37" t="str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 t="str">
        <f t="shared" si="31"/>
        <v>0</v>
      </c>
      <c r="AW20" s="35">
        <f t="shared" si="30"/>
        <v>0</v>
      </c>
    </row>
    <row r="21" spans="1:49" x14ac:dyDescent="0.25">
      <c r="A21" s="23">
        <v>43936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43937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43938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43939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43940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43941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43942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43943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43944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43945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43946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43947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43948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43949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43950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43951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7290</v>
      </c>
      <c r="R38" s="30">
        <f t="shared" si="62"/>
        <v>24550</v>
      </c>
      <c r="S38" s="30">
        <f t="shared" si="62"/>
        <v>38260</v>
      </c>
      <c r="T38" s="30">
        <f t="shared" si="62"/>
        <v>18130</v>
      </c>
      <c r="U38" s="30">
        <f t="shared" si="62"/>
        <v>37150</v>
      </c>
      <c r="V38" s="30">
        <f t="shared" si="62"/>
        <v>29730</v>
      </c>
      <c r="W38" s="30">
        <f t="shared" si="62"/>
        <v>27180</v>
      </c>
      <c r="X38" s="30">
        <f t="shared" si="62"/>
        <v>16250</v>
      </c>
      <c r="Y38" s="30">
        <f t="shared" si="62"/>
        <v>30460</v>
      </c>
      <c r="Z38" s="30">
        <f t="shared" si="62"/>
        <v>28200</v>
      </c>
      <c r="AA38" s="30">
        <f t="shared" si="62"/>
        <v>23900</v>
      </c>
      <c r="AB38" s="30">
        <f t="shared" si="62"/>
        <v>53430</v>
      </c>
      <c r="AC38" s="30">
        <f t="shared" si="62"/>
        <v>52650</v>
      </c>
      <c r="AD38" s="35">
        <f t="shared" si="62"/>
        <v>387180</v>
      </c>
      <c r="AF38" s="35">
        <f t="shared" ref="AF38:AS38" si="63">SUM(AF7:AF34)</f>
        <v>36.450000000000003</v>
      </c>
      <c r="AG38" s="35">
        <f t="shared" si="63"/>
        <v>122.74999999999999</v>
      </c>
      <c r="AH38" s="35">
        <f t="shared" si="63"/>
        <v>191.3</v>
      </c>
      <c r="AI38" s="35">
        <f t="shared" si="63"/>
        <v>90.65</v>
      </c>
      <c r="AJ38" s="35">
        <f t="shared" si="63"/>
        <v>185.75</v>
      </c>
      <c r="AK38" s="35">
        <f t="shared" si="63"/>
        <v>148.65</v>
      </c>
      <c r="AL38" s="35">
        <f t="shared" si="63"/>
        <v>135.9</v>
      </c>
      <c r="AM38" s="35">
        <f t="shared" si="63"/>
        <v>81.25</v>
      </c>
      <c r="AN38" s="35">
        <f t="shared" si="63"/>
        <v>152.30000000000001</v>
      </c>
      <c r="AO38" s="35">
        <f t="shared" si="63"/>
        <v>141</v>
      </c>
      <c r="AP38" s="35">
        <f t="shared" si="63"/>
        <v>119.49999999999999</v>
      </c>
      <c r="AQ38" s="35">
        <f t="shared" si="63"/>
        <v>267.15000000000003</v>
      </c>
      <c r="AR38" s="35">
        <f t="shared" si="63"/>
        <v>263.25</v>
      </c>
      <c r="AS38" s="35">
        <f t="shared" si="63"/>
        <v>1935.9</v>
      </c>
      <c r="AU38" s="48"/>
      <c r="AV38" s="35">
        <f>SUM(AV7:AV34)</f>
        <v>14927</v>
      </c>
      <c r="AW38" s="35">
        <f>SUM(AW7:AW34)</f>
        <v>24.524000000000001</v>
      </c>
    </row>
    <row r="39" spans="1:49" x14ac:dyDescent="0.25">
      <c r="D39">
        <v>5.0000000000000001E-3</v>
      </c>
      <c r="AV39" s="36">
        <f>AV38*0.00378541*1000</f>
        <v>56504.815069999997</v>
      </c>
    </row>
    <row r="40" spans="1:49" x14ac:dyDescent="0.25">
      <c r="D40">
        <v>2E-3</v>
      </c>
      <c r="AV40">
        <f>AV39/31</f>
        <v>1822.73597</v>
      </c>
    </row>
    <row r="41" spans="1:49" x14ac:dyDescent="0.25">
      <c r="AV41">
        <f>AV38*0.00378541</f>
        <v>56.504815069999999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2020-04-14T16:14:58Z</dcterms:modified>
</cp:coreProperties>
</file>