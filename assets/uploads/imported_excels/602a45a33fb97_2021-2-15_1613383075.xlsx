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showInkAnnotation="0" codeName="ThisWorkbook" defaultThemeVersion="124226"/>
  <bookViews>
    <workbookView xWindow="4695" yWindow="7425" windowWidth="24105" windowHeight="1185" tabRatio="604"/>
  </bookViews>
  <sheets>
    <sheet name="TOTAL" sheetId="13" r:id="rId1"/>
    <sheet name="Consommation du 01.02 au 29.01" sheetId="10" r:id="rId2"/>
    <sheet name="Suivi Gaz" sheetId="4" r:id="rId3"/>
    <sheet name="Suivi EAU-ELEC" sheetId="6" r:id="rId4"/>
    <sheet name="Feuil1" sheetId="8" state="hidden" r:id="rId5"/>
  </sheets>
  <definedNames>
    <definedName name="_xlnm.Print_Area" localSheetId="1">'Consommation du 01.02 au 29.01'!$A$1:$AE$49</definedName>
    <definedName name="_xlnm.Print_Area" localSheetId="3">'Suivi EAU-ELEC'!$A$1:$I$47</definedName>
  </definedNames>
  <calcPr calcId="145621"/>
</workbook>
</file>

<file path=xl/calcChain.xml><?xml version="1.0" encoding="utf-8"?>
<calcChain xmlns="http://schemas.openxmlformats.org/spreadsheetml/2006/main">
  <c r="G30" i="6" l="1"/>
  <c r="E30" i="6"/>
  <c r="C30" i="6"/>
  <c r="G25" i="4"/>
  <c r="E25" i="4"/>
  <c r="C25" i="4"/>
  <c r="G29" i="6" l="1"/>
  <c r="E29" i="6"/>
  <c r="C29" i="6"/>
  <c r="G28" i="6"/>
  <c r="E28" i="6"/>
  <c r="C28" i="6"/>
  <c r="G27" i="6"/>
  <c r="E27" i="6"/>
  <c r="C27" i="6"/>
  <c r="G26" i="6"/>
  <c r="E26" i="6"/>
  <c r="C26" i="6"/>
  <c r="G24" i="4"/>
  <c r="E24" i="4"/>
  <c r="C24" i="4"/>
  <c r="G23" i="4"/>
  <c r="E23" i="4"/>
  <c r="C23" i="4"/>
  <c r="G21" i="4"/>
  <c r="E21" i="4"/>
  <c r="C21" i="4"/>
  <c r="G20" i="4"/>
  <c r="E20" i="4"/>
  <c r="C20" i="4"/>
  <c r="W11" i="10" l="1"/>
  <c r="W12" i="10"/>
  <c r="W13" i="10"/>
  <c r="W14" i="10"/>
  <c r="W15" i="10"/>
  <c r="W16" i="10"/>
  <c r="W17" i="10"/>
  <c r="W25" i="10"/>
  <c r="W26" i="10"/>
  <c r="W27" i="10"/>
  <c r="W28" i="10"/>
  <c r="W29" i="10"/>
  <c r="W30" i="10"/>
  <c r="W31" i="10"/>
  <c r="W32" i="10"/>
  <c r="W33" i="10"/>
  <c r="W34" i="10"/>
  <c r="W35" i="10"/>
  <c r="W36" i="10"/>
  <c r="W37" i="10"/>
  <c r="W38" i="10"/>
  <c r="W39" i="10"/>
  <c r="W40" i="10"/>
  <c r="W10" i="10"/>
  <c r="M48" i="4"/>
  <c r="P12" i="4"/>
  <c r="P13" i="4"/>
  <c r="P14" i="4"/>
  <c r="P15" i="4"/>
  <c r="P16" i="4"/>
  <c r="P17" i="4"/>
  <c r="P18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1" i="4"/>
  <c r="P42" i="4"/>
  <c r="P11" i="4"/>
  <c r="G25" i="6" l="1"/>
  <c r="E25" i="6"/>
  <c r="C25" i="6"/>
  <c r="G24" i="6" l="1"/>
  <c r="E24" i="6"/>
  <c r="C24" i="6"/>
  <c r="M19" i="4"/>
  <c r="J19" i="4"/>
  <c r="K19" i="4" s="1"/>
  <c r="M18" i="4"/>
  <c r="K18" i="4"/>
  <c r="J18" i="4"/>
  <c r="G23" i="6" l="1"/>
  <c r="E23" i="6"/>
  <c r="C23" i="6"/>
  <c r="G22" i="6"/>
  <c r="E22" i="6"/>
  <c r="C22" i="6"/>
  <c r="G17" i="4"/>
  <c r="E17" i="4"/>
  <c r="C17" i="4"/>
  <c r="G21" i="6" l="1"/>
  <c r="E21" i="6"/>
  <c r="C21" i="6"/>
  <c r="G20" i="6"/>
  <c r="E20" i="6"/>
  <c r="C20" i="6"/>
  <c r="G19" i="6"/>
  <c r="E19" i="6"/>
  <c r="C19" i="6"/>
  <c r="G16" i="4"/>
  <c r="E16" i="4"/>
  <c r="C16" i="4"/>
  <c r="G14" i="4"/>
  <c r="E14" i="4"/>
  <c r="C14" i="4"/>
  <c r="E13" i="4"/>
  <c r="G18" i="6" l="1"/>
  <c r="E18" i="6"/>
  <c r="C18" i="6"/>
  <c r="M13" i="4"/>
  <c r="J13" i="4"/>
  <c r="K13" i="4" s="1"/>
  <c r="M12" i="4"/>
  <c r="J12" i="4"/>
  <c r="K12" i="4" s="1"/>
  <c r="Z43" i="4" l="1"/>
  <c r="W43" i="4"/>
  <c r="T43" i="4"/>
  <c r="Q43" i="4"/>
  <c r="G17" i="6"/>
  <c r="G48" i="6" s="1"/>
  <c r="E17" i="6"/>
  <c r="E48" i="6" s="1"/>
  <c r="C17" i="6"/>
  <c r="C48" i="6" s="1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E31" i="6"/>
  <c r="G31" i="6"/>
  <c r="E32" i="6"/>
  <c r="G32" i="6"/>
  <c r="E33" i="6"/>
  <c r="G33" i="6"/>
  <c r="E34" i="6"/>
  <c r="G34" i="6"/>
  <c r="E35" i="6"/>
  <c r="G35" i="6"/>
  <c r="E36" i="6"/>
  <c r="G36" i="6"/>
  <c r="E37" i="6"/>
  <c r="G37" i="6"/>
  <c r="E38" i="6"/>
  <c r="G38" i="6"/>
  <c r="E39" i="6"/>
  <c r="G39" i="6"/>
  <c r="E40" i="6"/>
  <c r="G40" i="6"/>
  <c r="E41" i="6"/>
  <c r="G41" i="6"/>
  <c r="E42" i="6"/>
  <c r="G42" i="6"/>
  <c r="E43" i="6"/>
  <c r="G43" i="6"/>
  <c r="E44" i="6"/>
  <c r="G44" i="6"/>
  <c r="E45" i="6"/>
  <c r="G45" i="6"/>
  <c r="E46" i="6"/>
  <c r="G46" i="6"/>
  <c r="E47" i="6"/>
  <c r="G47" i="6"/>
  <c r="G16" i="6"/>
  <c r="E16" i="6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C32" i="4"/>
  <c r="E32" i="4"/>
  <c r="G32" i="4"/>
  <c r="C33" i="4"/>
  <c r="E33" i="4"/>
  <c r="G33" i="4"/>
  <c r="C37" i="4"/>
  <c r="E37" i="4"/>
  <c r="G37" i="4"/>
  <c r="C38" i="4"/>
  <c r="E38" i="4"/>
  <c r="G38" i="4"/>
  <c r="C39" i="4"/>
  <c r="E39" i="4"/>
  <c r="G39" i="4"/>
  <c r="C40" i="4"/>
  <c r="E40" i="4"/>
  <c r="G40" i="4"/>
  <c r="C41" i="4"/>
  <c r="E41" i="4"/>
  <c r="G41" i="4"/>
  <c r="C42" i="4"/>
  <c r="E42" i="4"/>
  <c r="G42" i="4"/>
  <c r="M11" i="4"/>
  <c r="J11" i="4"/>
  <c r="K11" i="4" s="1"/>
  <c r="M10" i="4"/>
  <c r="K10" i="4"/>
  <c r="J10" i="4"/>
  <c r="M9" i="4"/>
  <c r="J9" i="4"/>
  <c r="K9" i="4" s="1"/>
  <c r="M8" i="4"/>
  <c r="J8" i="4"/>
  <c r="K8" i="4" s="1"/>
  <c r="M7" i="4"/>
  <c r="J7" i="4"/>
  <c r="K7" i="4" s="1"/>
  <c r="M6" i="4"/>
  <c r="J6" i="4"/>
  <c r="K6" i="4" s="1"/>
  <c r="M5" i="4"/>
  <c r="J5" i="4"/>
  <c r="K5" i="4" s="1"/>
  <c r="M4" i="4"/>
  <c r="K4" i="4"/>
  <c r="J4" i="4"/>
  <c r="M37" i="4" l="1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K31" i="4"/>
  <c r="J31" i="4"/>
  <c r="M30" i="4"/>
  <c r="J30" i="4"/>
  <c r="K30" i="4" s="1"/>
  <c r="M28" i="4" l="1"/>
  <c r="J28" i="4"/>
  <c r="K28" i="4" s="1"/>
  <c r="M27" i="4"/>
  <c r="J27" i="4"/>
  <c r="K27" i="4" s="1"/>
  <c r="M26" i="4"/>
  <c r="J26" i="4"/>
  <c r="K26" i="4" s="1"/>
  <c r="M17" i="4" l="1"/>
  <c r="J17" i="4"/>
  <c r="K17" i="4" s="1"/>
  <c r="D14" i="10" l="1"/>
  <c r="D13" i="10"/>
  <c r="K11" i="10"/>
  <c r="J12" i="10"/>
  <c r="K12" i="10"/>
  <c r="J13" i="10"/>
  <c r="K13" i="10"/>
  <c r="J14" i="10"/>
  <c r="K14" i="10"/>
  <c r="J15" i="10"/>
  <c r="K15" i="10"/>
  <c r="J16" i="10"/>
  <c r="K16" i="10"/>
  <c r="J17" i="10"/>
  <c r="K17" i="10"/>
  <c r="J18" i="10"/>
  <c r="K18" i="10"/>
  <c r="J19" i="10"/>
  <c r="K19" i="10"/>
  <c r="J20" i="10"/>
  <c r="K20" i="10"/>
  <c r="J21" i="10"/>
  <c r="K21" i="10"/>
  <c r="J22" i="10"/>
  <c r="K22" i="10"/>
  <c r="J23" i="10"/>
  <c r="K23" i="10"/>
  <c r="J24" i="10"/>
  <c r="K24" i="10"/>
  <c r="J25" i="10"/>
  <c r="K25" i="10"/>
  <c r="J26" i="10"/>
  <c r="K26" i="10"/>
  <c r="J27" i="10"/>
  <c r="K27" i="10"/>
  <c r="J28" i="10"/>
  <c r="K28" i="10"/>
  <c r="J29" i="10"/>
  <c r="K29" i="10"/>
  <c r="J30" i="10"/>
  <c r="K30" i="10"/>
  <c r="J31" i="10"/>
  <c r="K31" i="10"/>
  <c r="J32" i="10"/>
  <c r="K32" i="10"/>
  <c r="J33" i="10"/>
  <c r="K33" i="10"/>
  <c r="J34" i="10"/>
  <c r="K34" i="10"/>
  <c r="J35" i="10"/>
  <c r="K35" i="10"/>
  <c r="J36" i="10"/>
  <c r="K36" i="10"/>
  <c r="J37" i="10"/>
  <c r="K37" i="10"/>
  <c r="J38" i="10"/>
  <c r="K38" i="10"/>
  <c r="J39" i="10"/>
  <c r="K39" i="10"/>
  <c r="J40" i="10"/>
  <c r="K40" i="10"/>
  <c r="D12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K10" i="10"/>
  <c r="J10" i="10"/>
  <c r="D10" i="10"/>
  <c r="K41" i="10" l="1"/>
  <c r="J11" i="10"/>
  <c r="J41" i="10" s="1"/>
  <c r="D11" i="10"/>
  <c r="D41" i="10" s="1"/>
  <c r="M41" i="4"/>
  <c r="J41" i="4"/>
  <c r="K41" i="4" s="1"/>
  <c r="M40" i="4"/>
  <c r="J40" i="4"/>
  <c r="K40" i="4" s="1"/>
  <c r="M39" i="4"/>
  <c r="J39" i="4"/>
  <c r="K39" i="4" s="1"/>
  <c r="AE13" i="4" l="1"/>
  <c r="AD13" i="4"/>
  <c r="AC13" i="4"/>
  <c r="AE19" i="4"/>
  <c r="AD19" i="4"/>
  <c r="AC19" i="4"/>
  <c r="I19" i="4" l="1"/>
  <c r="G19" i="4"/>
  <c r="E19" i="4"/>
  <c r="C19" i="4"/>
  <c r="I20" i="6"/>
  <c r="L14" i="10" s="1"/>
  <c r="M14" i="4" l="1"/>
  <c r="J14" i="4"/>
  <c r="K14" i="4" s="1"/>
  <c r="L13" i="4" s="1"/>
  <c r="N13" i="4" s="1"/>
  <c r="O13" i="4" s="1"/>
  <c r="Y34" i="10" l="1"/>
  <c r="Y35" i="10"/>
  <c r="Y36" i="10"/>
  <c r="Y37" i="10"/>
  <c r="Y38" i="10"/>
  <c r="Y39" i="10"/>
  <c r="Y40" i="10"/>
  <c r="Y31" i="10"/>
  <c r="Y32" i="10"/>
  <c r="Y33" i="10"/>
  <c r="AC5" i="4" l="1"/>
  <c r="AC6" i="4"/>
  <c r="AC7" i="4"/>
  <c r="AC8" i="4"/>
  <c r="AC9" i="4"/>
  <c r="AC10" i="4"/>
  <c r="AC11" i="4"/>
  <c r="AC12" i="4"/>
  <c r="AC14" i="4"/>
  <c r="AC15" i="4"/>
  <c r="AC16" i="4"/>
  <c r="AC17" i="4"/>
  <c r="AC18" i="4"/>
  <c r="AC20" i="4"/>
  <c r="AC21" i="4"/>
  <c r="AC22" i="4"/>
  <c r="AC23" i="4"/>
  <c r="AC24" i="4"/>
  <c r="AC25" i="4"/>
  <c r="AC26" i="4"/>
  <c r="AC27" i="4"/>
  <c r="AC28" i="4"/>
  <c r="AC29" i="4"/>
  <c r="AC30" i="4"/>
  <c r="AC31" i="4"/>
  <c r="AC32" i="4"/>
  <c r="AC33" i="4"/>
  <c r="AC34" i="4"/>
  <c r="AC35" i="4"/>
  <c r="AC36" i="4"/>
  <c r="AC37" i="4"/>
  <c r="AC38" i="4"/>
  <c r="AC39" i="4"/>
  <c r="AC40" i="4"/>
  <c r="AC41" i="4"/>
  <c r="AC42" i="4"/>
  <c r="I18" i="4" l="1"/>
  <c r="G18" i="4"/>
  <c r="E18" i="4"/>
  <c r="C18" i="4"/>
  <c r="G12" i="4"/>
  <c r="E12" i="4"/>
  <c r="C12" i="4"/>
  <c r="I12" i="4"/>
  <c r="AC43" i="4"/>
  <c r="G36" i="4"/>
  <c r="C36" i="4"/>
  <c r="E36" i="4"/>
  <c r="C35" i="4"/>
  <c r="E35" i="4"/>
  <c r="G35" i="4"/>
  <c r="G34" i="4"/>
  <c r="C34" i="4"/>
  <c r="E34" i="4"/>
  <c r="C29" i="4"/>
  <c r="E29" i="4"/>
  <c r="G29" i="4"/>
  <c r="G28" i="4"/>
  <c r="C28" i="4"/>
  <c r="E28" i="4"/>
  <c r="C27" i="4"/>
  <c r="E27" i="4"/>
  <c r="G27" i="4"/>
  <c r="G26" i="4"/>
  <c r="C26" i="4"/>
  <c r="E26" i="4"/>
  <c r="C31" i="4"/>
  <c r="E31" i="4"/>
  <c r="G31" i="4"/>
  <c r="G30" i="4"/>
  <c r="C30" i="4"/>
  <c r="E30" i="4"/>
  <c r="E7" i="4"/>
  <c r="L7" i="4"/>
  <c r="N7" i="4" s="1"/>
  <c r="O7" i="4" s="1"/>
  <c r="P7" i="4" s="1"/>
  <c r="C7" i="4"/>
  <c r="I7" i="4"/>
  <c r="G7" i="4"/>
  <c r="I9" i="4"/>
  <c r="G9" i="4"/>
  <c r="E9" i="4"/>
  <c r="L9" i="4"/>
  <c r="N9" i="4" s="1"/>
  <c r="O9" i="4" s="1"/>
  <c r="P9" i="4" s="1"/>
  <c r="C9" i="4"/>
  <c r="L6" i="4"/>
  <c r="N6" i="4" s="1"/>
  <c r="O6" i="4" s="1"/>
  <c r="P6" i="4" s="1"/>
  <c r="C6" i="4"/>
  <c r="I6" i="4"/>
  <c r="G6" i="4"/>
  <c r="E6" i="4"/>
  <c r="I10" i="4"/>
  <c r="G10" i="4"/>
  <c r="E10" i="4"/>
  <c r="L10" i="4"/>
  <c r="N10" i="4" s="1"/>
  <c r="O10" i="4" s="1"/>
  <c r="P10" i="4" s="1"/>
  <c r="C10" i="4"/>
  <c r="G8" i="4"/>
  <c r="E8" i="4"/>
  <c r="L8" i="4"/>
  <c r="N8" i="4" s="1"/>
  <c r="O8" i="4" s="1"/>
  <c r="P8" i="4" s="1"/>
  <c r="C8" i="4"/>
  <c r="I8" i="4"/>
  <c r="I11" i="4"/>
  <c r="G11" i="4"/>
  <c r="G43" i="4" s="1"/>
  <c r="E11" i="4"/>
  <c r="E43" i="4" s="1"/>
  <c r="L11" i="4"/>
  <c r="N11" i="4" s="1"/>
  <c r="C11" i="4"/>
  <c r="I5" i="4"/>
  <c r="G5" i="4"/>
  <c r="E5" i="4"/>
  <c r="L5" i="4"/>
  <c r="N5" i="4" s="1"/>
  <c r="O5" i="4" s="1"/>
  <c r="P5" i="4" s="1"/>
  <c r="C5" i="4"/>
  <c r="L33" i="4"/>
  <c r="N33" i="4" s="1"/>
  <c r="O33" i="4" s="1"/>
  <c r="I33" i="4"/>
  <c r="I30" i="4"/>
  <c r="L34" i="4"/>
  <c r="N34" i="4" s="1"/>
  <c r="O34" i="4" s="1"/>
  <c r="I34" i="4"/>
  <c r="I32" i="4"/>
  <c r="L32" i="4"/>
  <c r="N32" i="4" s="1"/>
  <c r="O32" i="4" s="1"/>
  <c r="I36" i="4"/>
  <c r="L36" i="4"/>
  <c r="N36" i="4" s="1"/>
  <c r="O36" i="4" s="1"/>
  <c r="I35" i="4"/>
  <c r="I37" i="4"/>
  <c r="I31" i="4"/>
  <c r="L31" i="4"/>
  <c r="N31" i="4" s="1"/>
  <c r="O31" i="4" s="1"/>
  <c r="I28" i="4"/>
  <c r="I27" i="4"/>
  <c r="L27" i="4"/>
  <c r="N27" i="4" s="1"/>
  <c r="O27" i="4" s="1"/>
  <c r="I26" i="4"/>
  <c r="I17" i="4"/>
  <c r="L17" i="4"/>
  <c r="N17" i="4" s="1"/>
  <c r="O17" i="4" s="1"/>
  <c r="I40" i="4"/>
  <c r="I39" i="4"/>
  <c r="L39" i="4"/>
  <c r="N39" i="4" s="1"/>
  <c r="O39" i="4" s="1"/>
  <c r="I41" i="4"/>
  <c r="I14" i="4"/>
  <c r="C43" i="4" l="1"/>
  <c r="O11" i="4"/>
  <c r="U38" i="10"/>
  <c r="U33" i="10"/>
  <c r="U30" i="10"/>
  <c r="U35" i="10"/>
  <c r="U31" i="10"/>
  <c r="U32" i="10"/>
  <c r="U26" i="10"/>
  <c r="U16" i="10"/>
  <c r="I23" i="6" l="1"/>
  <c r="L17" i="10" s="1"/>
  <c r="I24" i="6"/>
  <c r="I25" i="6"/>
  <c r="L19" i="10" s="1"/>
  <c r="I26" i="6"/>
  <c r="L20" i="10" s="1"/>
  <c r="I27" i="6"/>
  <c r="L21" i="10" s="1"/>
  <c r="I28" i="6"/>
  <c r="L22" i="10" s="1"/>
  <c r="I29" i="6"/>
  <c r="L23" i="10" s="1"/>
  <c r="I30" i="6"/>
  <c r="L24" i="10" s="1"/>
  <c r="I31" i="6"/>
  <c r="L25" i="10" s="1"/>
  <c r="I32" i="6"/>
  <c r="L26" i="10" s="1"/>
  <c r="I33" i="6"/>
  <c r="L27" i="10" s="1"/>
  <c r="I34" i="6"/>
  <c r="L28" i="10" s="1"/>
  <c r="I35" i="6"/>
  <c r="L29" i="10" s="1"/>
  <c r="I36" i="6"/>
  <c r="L30" i="10" s="1"/>
  <c r="I37" i="6"/>
  <c r="L31" i="10" s="1"/>
  <c r="I38" i="6"/>
  <c r="L32" i="10" s="1"/>
  <c r="I39" i="6"/>
  <c r="L33" i="10" s="1"/>
  <c r="I40" i="6"/>
  <c r="L34" i="10" s="1"/>
  <c r="I41" i="6"/>
  <c r="L35" i="10" s="1"/>
  <c r="I42" i="6"/>
  <c r="L36" i="10" s="1"/>
  <c r="I43" i="6"/>
  <c r="L37" i="10" s="1"/>
  <c r="I44" i="6"/>
  <c r="L38" i="10" s="1"/>
  <c r="I45" i="6"/>
  <c r="L39" i="10" s="1"/>
  <c r="I46" i="6"/>
  <c r="L40" i="10" s="1"/>
  <c r="I47" i="6"/>
  <c r="I21" i="6"/>
  <c r="L15" i="10" s="1"/>
  <c r="I22" i="6"/>
  <c r="L16" i="10" s="1"/>
  <c r="L18" i="10" l="1"/>
  <c r="I17" i="6"/>
  <c r="I18" i="6"/>
  <c r="L12" i="10" s="1"/>
  <c r="I19" i="6"/>
  <c r="L13" i="10" s="1"/>
  <c r="L11" i="10" l="1"/>
  <c r="L41" i="10" s="1"/>
  <c r="I48" i="6"/>
  <c r="I20" i="4"/>
  <c r="M3" i="13" l="1"/>
  <c r="M4" i="13"/>
  <c r="M5" i="13"/>
  <c r="M6" i="13"/>
  <c r="M7" i="13"/>
  <c r="M8" i="13"/>
  <c r="M9" i="13"/>
  <c r="M10" i="13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2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Y14" i="10" l="1"/>
  <c r="I6" i="13" s="1"/>
  <c r="Y15" i="10"/>
  <c r="Y16" i="10"/>
  <c r="I8" i="13" s="1"/>
  <c r="Y17" i="10"/>
  <c r="I9" i="13" s="1"/>
  <c r="Y18" i="10"/>
  <c r="I10" i="13" s="1"/>
  <c r="Y19" i="10"/>
  <c r="I11" i="13" s="1"/>
  <c r="Y20" i="10"/>
  <c r="I12" i="13" s="1"/>
  <c r="Y21" i="10"/>
  <c r="I13" i="13" s="1"/>
  <c r="Y22" i="10"/>
  <c r="I14" i="13" s="1"/>
  <c r="Y23" i="10"/>
  <c r="Y24" i="10"/>
  <c r="I16" i="13" s="1"/>
  <c r="Y25" i="10"/>
  <c r="Y26" i="10"/>
  <c r="I18" i="13" s="1"/>
  <c r="Y27" i="10"/>
  <c r="I19" i="13" s="1"/>
  <c r="Y28" i="10"/>
  <c r="Y29" i="10"/>
  <c r="I21" i="13" s="1"/>
  <c r="Y30" i="10"/>
  <c r="I23" i="13"/>
  <c r="I24" i="13"/>
  <c r="I26" i="13"/>
  <c r="I27" i="13"/>
  <c r="I28" i="13"/>
  <c r="I29" i="13"/>
  <c r="K3" i="13"/>
  <c r="B11" i="10"/>
  <c r="B12" i="10" s="1"/>
  <c r="K6" i="13"/>
  <c r="F25" i="10"/>
  <c r="F28" i="10"/>
  <c r="F30" i="10"/>
  <c r="F32" i="10"/>
  <c r="F36" i="10"/>
  <c r="F38" i="10"/>
  <c r="F37" i="10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I9" i="6"/>
  <c r="I10" i="6"/>
  <c r="I11" i="6"/>
  <c r="I12" i="6"/>
  <c r="I13" i="6"/>
  <c r="I14" i="6"/>
  <c r="I15" i="6"/>
  <c r="I16" i="6"/>
  <c r="AC4" i="4"/>
  <c r="AD4" i="4"/>
  <c r="AE4" i="4"/>
  <c r="AD5" i="4"/>
  <c r="AE5" i="4"/>
  <c r="AD6" i="4"/>
  <c r="AE6" i="4"/>
  <c r="AD7" i="4"/>
  <c r="AE7" i="4"/>
  <c r="AD8" i="4"/>
  <c r="AE8" i="4"/>
  <c r="AD9" i="4"/>
  <c r="AE9" i="4"/>
  <c r="AD10" i="4"/>
  <c r="AE10" i="4"/>
  <c r="AD11" i="4"/>
  <c r="AE11" i="4"/>
  <c r="AD12" i="4"/>
  <c r="AE12" i="4"/>
  <c r="AD14" i="4"/>
  <c r="AE14" i="4"/>
  <c r="J15" i="4"/>
  <c r="K15" i="4" s="1"/>
  <c r="L14" i="4" s="1"/>
  <c r="N14" i="4" s="1"/>
  <c r="O14" i="4" s="1"/>
  <c r="M15" i="4"/>
  <c r="AD15" i="4"/>
  <c r="AE15" i="4"/>
  <c r="J16" i="4"/>
  <c r="K16" i="4" s="1"/>
  <c r="M16" i="4"/>
  <c r="AD16" i="4"/>
  <c r="AE16" i="4"/>
  <c r="AD17" i="4"/>
  <c r="AE17" i="4"/>
  <c r="AD18" i="4"/>
  <c r="AE18" i="4"/>
  <c r="J20" i="4"/>
  <c r="K20" i="4" s="1"/>
  <c r="L19" i="4" s="1"/>
  <c r="N19" i="4" s="1"/>
  <c r="O19" i="4" s="1"/>
  <c r="P19" i="4" s="1"/>
  <c r="M20" i="4"/>
  <c r="AD20" i="4"/>
  <c r="AE20" i="4"/>
  <c r="J21" i="4"/>
  <c r="K21" i="4" s="1"/>
  <c r="M21" i="4"/>
  <c r="AD21" i="4"/>
  <c r="AE21" i="4"/>
  <c r="J22" i="4"/>
  <c r="K22" i="4" s="1"/>
  <c r="M22" i="4"/>
  <c r="AD22" i="4"/>
  <c r="AE22" i="4"/>
  <c r="J23" i="4"/>
  <c r="K23" i="4" s="1"/>
  <c r="M23" i="4"/>
  <c r="AD23" i="4"/>
  <c r="AE23" i="4"/>
  <c r="J24" i="4"/>
  <c r="K24" i="4" s="1"/>
  <c r="M24" i="4"/>
  <c r="AD24" i="4"/>
  <c r="AE24" i="4"/>
  <c r="J25" i="4"/>
  <c r="K25" i="4" s="1"/>
  <c r="M25" i="4"/>
  <c r="I25" i="4"/>
  <c r="AD25" i="4"/>
  <c r="AE25" i="4"/>
  <c r="AD26" i="4"/>
  <c r="AE26" i="4"/>
  <c r="AD27" i="4"/>
  <c r="AE27" i="4"/>
  <c r="AD28" i="4"/>
  <c r="AE28" i="4"/>
  <c r="J29" i="4"/>
  <c r="K29" i="4" s="1"/>
  <c r="L28" i="4" s="1"/>
  <c r="N28" i="4" s="1"/>
  <c r="O28" i="4" s="1"/>
  <c r="M29" i="4"/>
  <c r="AD29" i="4"/>
  <c r="AE29" i="4"/>
  <c r="AD30" i="4"/>
  <c r="L30" i="4" s="1"/>
  <c r="N30" i="4" s="1"/>
  <c r="O30" i="4" s="1"/>
  <c r="AE30" i="4"/>
  <c r="AD31" i="4"/>
  <c r="AE31" i="4"/>
  <c r="AD32" i="4"/>
  <c r="AE32" i="4"/>
  <c r="AD33" i="4"/>
  <c r="AE33" i="4"/>
  <c r="AD34" i="4"/>
  <c r="AE34" i="4"/>
  <c r="AD35" i="4"/>
  <c r="L35" i="4" s="1"/>
  <c r="N35" i="4" s="1"/>
  <c r="O35" i="4" s="1"/>
  <c r="AE35" i="4"/>
  <c r="AD36" i="4"/>
  <c r="AE36" i="4"/>
  <c r="AD37" i="4"/>
  <c r="AE37" i="4"/>
  <c r="J38" i="4"/>
  <c r="K38" i="4" s="1"/>
  <c r="L37" i="4" s="1"/>
  <c r="N37" i="4" s="1"/>
  <c r="O37" i="4" s="1"/>
  <c r="M38" i="4"/>
  <c r="AD38" i="4"/>
  <c r="AE38" i="4"/>
  <c r="AD39" i="4"/>
  <c r="AE39" i="4"/>
  <c r="AD40" i="4"/>
  <c r="AE40" i="4"/>
  <c r="AD41" i="4"/>
  <c r="AE41" i="4"/>
  <c r="J42" i="4"/>
  <c r="K42" i="4" s="1"/>
  <c r="L41" i="4" s="1"/>
  <c r="N41" i="4" s="1"/>
  <c r="O41" i="4" s="1"/>
  <c r="M42" i="4"/>
  <c r="AD42" i="4"/>
  <c r="AE42" i="4"/>
  <c r="Q44" i="4"/>
  <c r="Y10" i="10"/>
  <c r="I2" i="13" s="1"/>
  <c r="Y11" i="10"/>
  <c r="Y12" i="10"/>
  <c r="I4" i="13" s="1"/>
  <c r="Y13" i="10"/>
  <c r="I5" i="13" s="1"/>
  <c r="Q41" i="10"/>
  <c r="S41" i="10"/>
  <c r="I24" i="4"/>
  <c r="I23" i="4"/>
  <c r="F26" i="10"/>
  <c r="F29" i="10"/>
  <c r="F31" i="10"/>
  <c r="F35" i="10"/>
  <c r="K2" i="13"/>
  <c r="F27" i="10"/>
  <c r="F33" i="10"/>
  <c r="F10" i="10"/>
  <c r="K7" i="13"/>
  <c r="K14" i="13"/>
  <c r="K16" i="13"/>
  <c r="L18" i="4" l="1"/>
  <c r="N18" i="4" s="1"/>
  <c r="O18" i="4" s="1"/>
  <c r="L12" i="4"/>
  <c r="N12" i="4" s="1"/>
  <c r="I3" i="13"/>
  <c r="Y41" i="10"/>
  <c r="L10" i="10"/>
  <c r="U13" i="10"/>
  <c r="I4" i="4"/>
  <c r="G4" i="4"/>
  <c r="E4" i="4"/>
  <c r="L4" i="4"/>
  <c r="N4" i="4" s="1"/>
  <c r="O4" i="4" s="1"/>
  <c r="P4" i="4" s="1"/>
  <c r="C4" i="4"/>
  <c r="U40" i="10"/>
  <c r="U36" i="10"/>
  <c r="U29" i="10"/>
  <c r="U34" i="10"/>
  <c r="U27" i="10"/>
  <c r="L26" i="4"/>
  <c r="N26" i="4" s="1"/>
  <c r="O26" i="4" s="1"/>
  <c r="L40" i="4"/>
  <c r="N40" i="4" s="1"/>
  <c r="O40" i="4" s="1"/>
  <c r="U10" i="10"/>
  <c r="K48" i="4"/>
  <c r="L48" i="4" s="1"/>
  <c r="Z17" i="10"/>
  <c r="Z11" i="10"/>
  <c r="O13" i="10"/>
  <c r="O11" i="10"/>
  <c r="O12" i="10"/>
  <c r="O40" i="10"/>
  <c r="O38" i="10"/>
  <c r="O36" i="10"/>
  <c r="O37" i="10"/>
  <c r="O34" i="10"/>
  <c r="O35" i="10"/>
  <c r="Z36" i="10"/>
  <c r="Z31" i="10"/>
  <c r="O32" i="10"/>
  <c r="O33" i="10"/>
  <c r="O31" i="10"/>
  <c r="O26" i="10"/>
  <c r="O27" i="10"/>
  <c r="O30" i="10"/>
  <c r="O24" i="10"/>
  <c r="M25" i="10"/>
  <c r="E17" i="13" s="1"/>
  <c r="O28" i="10"/>
  <c r="O29" i="10"/>
  <c r="O22" i="10"/>
  <c r="M23" i="10"/>
  <c r="E15" i="13" s="1"/>
  <c r="O19" i="10"/>
  <c r="I7" i="13"/>
  <c r="O14" i="10"/>
  <c r="O15" i="10"/>
  <c r="M16" i="10"/>
  <c r="E8" i="13" s="1"/>
  <c r="M14" i="10"/>
  <c r="E6" i="13" s="1"/>
  <c r="Z10" i="10"/>
  <c r="Z15" i="10"/>
  <c r="Z37" i="10"/>
  <c r="M21" i="10"/>
  <c r="E13" i="13" s="1"/>
  <c r="O21" i="10"/>
  <c r="M20" i="10"/>
  <c r="E12" i="13" s="1"/>
  <c r="O20" i="10"/>
  <c r="M17" i="10"/>
  <c r="E9" i="13" s="1"/>
  <c r="O17" i="10"/>
  <c r="Z29" i="10"/>
  <c r="M30" i="10"/>
  <c r="E22" i="13" s="1"/>
  <c r="L25" i="4"/>
  <c r="N25" i="4" s="1"/>
  <c r="O25" i="4" s="1"/>
  <c r="P25" i="4" s="1"/>
  <c r="I21" i="4"/>
  <c r="I15" i="4"/>
  <c r="M40" i="10"/>
  <c r="Z38" i="10"/>
  <c r="L24" i="4"/>
  <c r="N24" i="4" s="1"/>
  <c r="O24" i="4" s="1"/>
  <c r="P24" i="4" s="1"/>
  <c r="L21" i="4"/>
  <c r="N21" i="4" s="1"/>
  <c r="O21" i="4" s="1"/>
  <c r="P21" i="4" s="1"/>
  <c r="Z34" i="10"/>
  <c r="L23" i="4"/>
  <c r="N23" i="4" s="1"/>
  <c r="O23" i="4" s="1"/>
  <c r="P23" i="4" s="1"/>
  <c r="Z20" i="10"/>
  <c r="Z27" i="10"/>
  <c r="Z22" i="10"/>
  <c r="Z19" i="10"/>
  <c r="Z18" i="10"/>
  <c r="M19" i="10"/>
  <c r="E11" i="13" s="1"/>
  <c r="O18" i="10"/>
  <c r="Z13" i="10"/>
  <c r="M11" i="10"/>
  <c r="O10" i="10"/>
  <c r="Z35" i="10"/>
  <c r="Z21" i="10"/>
  <c r="Z23" i="10"/>
  <c r="I15" i="13"/>
  <c r="Z12" i="10"/>
  <c r="Z16" i="10"/>
  <c r="Z14" i="10"/>
  <c r="Z26" i="10"/>
  <c r="F22" i="10"/>
  <c r="M24" i="10"/>
  <c r="E16" i="13" s="1"/>
  <c r="F17" i="10"/>
  <c r="K9" i="13"/>
  <c r="F21" i="10"/>
  <c r="K13" i="13"/>
  <c r="F13" i="10"/>
  <c r="K5" i="13"/>
  <c r="F20" i="10"/>
  <c r="K12" i="13"/>
  <c r="F14" i="10"/>
  <c r="M13" i="10"/>
  <c r="E5" i="13" s="1"/>
  <c r="F19" i="10"/>
  <c r="K11" i="13"/>
  <c r="F16" i="10"/>
  <c r="K8" i="13"/>
  <c r="F15" i="10"/>
  <c r="G44" i="10"/>
  <c r="J44" i="10" s="1"/>
  <c r="F18" i="10"/>
  <c r="K10" i="13"/>
  <c r="F11" i="10"/>
  <c r="F12" i="10"/>
  <c r="K4" i="13"/>
  <c r="L15" i="4"/>
  <c r="N15" i="4" s="1"/>
  <c r="O15" i="4" s="1"/>
  <c r="Z40" i="10"/>
  <c r="F39" i="10"/>
  <c r="F24" i="10"/>
  <c r="F40" i="10"/>
  <c r="L38" i="4"/>
  <c r="N38" i="4" s="1"/>
  <c r="O38" i="4" s="1"/>
  <c r="L29" i="4"/>
  <c r="N29" i="4" s="1"/>
  <c r="O29" i="4" s="1"/>
  <c r="Z32" i="10"/>
  <c r="Z33" i="10"/>
  <c r="I25" i="13"/>
  <c r="Z28" i="10"/>
  <c r="I20" i="13"/>
  <c r="Z25" i="10"/>
  <c r="I17" i="13"/>
  <c r="Z30" i="10"/>
  <c r="I22" i="13"/>
  <c r="Z24" i="10"/>
  <c r="B13" i="10"/>
  <c r="M10" i="10"/>
  <c r="E2" i="13" s="1"/>
  <c r="I29" i="4"/>
  <c r="AC44" i="4"/>
  <c r="I42" i="4"/>
  <c r="M28" i="10"/>
  <c r="E20" i="13" s="1"/>
  <c r="L42" i="4"/>
  <c r="N42" i="4" s="1"/>
  <c r="O42" i="4" s="1"/>
  <c r="I38" i="4"/>
  <c r="I22" i="4"/>
  <c r="L22" i="4"/>
  <c r="N22" i="4" s="1"/>
  <c r="O22" i="4" s="1"/>
  <c r="P22" i="4" s="1"/>
  <c r="F34" i="10"/>
  <c r="D5" i="6"/>
  <c r="L20" i="4"/>
  <c r="N20" i="4" s="1"/>
  <c r="O20" i="4" s="1"/>
  <c r="P20" i="4" s="1"/>
  <c r="L16" i="4"/>
  <c r="N16" i="4" s="1"/>
  <c r="O16" i="4" s="1"/>
  <c r="Z39" i="10"/>
  <c r="M32" i="10"/>
  <c r="E24" i="13" s="1"/>
  <c r="I16" i="4"/>
  <c r="M31" i="10"/>
  <c r="E23" i="13" s="1"/>
  <c r="M26" i="10"/>
  <c r="E18" i="13" s="1"/>
  <c r="M34" i="10"/>
  <c r="E26" i="13" s="1"/>
  <c r="M27" i="10"/>
  <c r="E19" i="13" s="1"/>
  <c r="M22" i="10"/>
  <c r="E14" i="13" s="1"/>
  <c r="M36" i="10"/>
  <c r="E28" i="13" s="1"/>
  <c r="I43" i="4" l="1"/>
  <c r="Z41" i="10"/>
  <c r="E3" i="13"/>
  <c r="F41" i="10"/>
  <c r="O41" i="10"/>
  <c r="O12" i="4"/>
  <c r="N43" i="4"/>
  <c r="U19" i="10"/>
  <c r="W19" i="10" s="1"/>
  <c r="U22" i="10"/>
  <c r="U12" i="10"/>
  <c r="U15" i="10"/>
  <c r="U20" i="10"/>
  <c r="W20" i="10" s="1"/>
  <c r="AJ20" i="10" s="1"/>
  <c r="AK20" i="10" s="1"/>
  <c r="U24" i="10"/>
  <c r="U21" i="10"/>
  <c r="W21" i="10" s="1"/>
  <c r="U23" i="10"/>
  <c r="W23" i="10" s="1"/>
  <c r="U25" i="10"/>
  <c r="U37" i="10"/>
  <c r="U39" i="10"/>
  <c r="U28" i="10"/>
  <c r="U18" i="10"/>
  <c r="W18" i="10" s="1"/>
  <c r="U17" i="10"/>
  <c r="U14" i="10"/>
  <c r="AJ28" i="10"/>
  <c r="AK28" i="10" s="1"/>
  <c r="AJ38" i="10"/>
  <c r="AK38" i="10" s="1"/>
  <c r="AJ35" i="10"/>
  <c r="AK35" i="10" s="1"/>
  <c r="AJ30" i="10"/>
  <c r="AK30" i="10" s="1"/>
  <c r="AJ31" i="10"/>
  <c r="AK31" i="10" s="1"/>
  <c r="G24" i="13"/>
  <c r="O24" i="13" s="1"/>
  <c r="G8" i="13"/>
  <c r="O8" i="13" s="1"/>
  <c r="O25" i="10"/>
  <c r="M37" i="10"/>
  <c r="E29" i="13" s="1"/>
  <c r="M33" i="10"/>
  <c r="E25" i="13" s="1"/>
  <c r="O23" i="10"/>
  <c r="M38" i="10"/>
  <c r="M35" i="10"/>
  <c r="E27" i="13" s="1"/>
  <c r="O16" i="10"/>
  <c r="G45" i="10"/>
  <c r="J45" i="10" s="1"/>
  <c r="M39" i="10"/>
  <c r="O39" i="10"/>
  <c r="M29" i="10"/>
  <c r="E21" i="13" s="1"/>
  <c r="M18" i="10"/>
  <c r="E10" i="13" s="1"/>
  <c r="M12" i="10"/>
  <c r="E4" i="13" s="1"/>
  <c r="F23" i="10"/>
  <c r="K15" i="13"/>
  <c r="B14" i="10"/>
  <c r="G43" i="10"/>
  <c r="J43" i="10" s="1"/>
  <c r="M15" i="10"/>
  <c r="E7" i="13" s="1"/>
  <c r="W24" i="10" l="1"/>
  <c r="AJ24" i="10" s="1"/>
  <c r="AK24" i="10" s="1"/>
  <c r="W22" i="10"/>
  <c r="AJ22" i="10" s="1"/>
  <c r="AK22" i="10" s="1"/>
  <c r="M41" i="10"/>
  <c r="U11" i="10"/>
  <c r="G17" i="13"/>
  <c r="O17" i="13" s="1"/>
  <c r="AJ29" i="10"/>
  <c r="AK29" i="10" s="1"/>
  <c r="AJ12" i="10"/>
  <c r="AK12" i="10" s="1"/>
  <c r="G19" i="13"/>
  <c r="O19" i="13" s="1"/>
  <c r="G28" i="13"/>
  <c r="O28" i="13" s="1"/>
  <c r="AJ25" i="10"/>
  <c r="AK25" i="10" s="1"/>
  <c r="G16" i="13"/>
  <c r="O16" i="13" s="1"/>
  <c r="G22" i="13"/>
  <c r="O22" i="13" s="1"/>
  <c r="G29" i="13"/>
  <c r="O29" i="13" s="1"/>
  <c r="G15" i="13"/>
  <c r="O15" i="13" s="1"/>
  <c r="G14" i="13"/>
  <c r="O14" i="13" s="1"/>
  <c r="G25" i="13"/>
  <c r="O25" i="13" s="1"/>
  <c r="G20" i="13"/>
  <c r="O20" i="13" s="1"/>
  <c r="G4" i="13"/>
  <c r="O4" i="13" s="1"/>
  <c r="G23" i="13"/>
  <c r="O23" i="13" s="1"/>
  <c r="G26" i="13"/>
  <c r="O26" i="13" s="1"/>
  <c r="AJ23" i="10"/>
  <c r="AK23" i="10" s="1"/>
  <c r="AJ16" i="10"/>
  <c r="AK16" i="10" s="1"/>
  <c r="AJ34" i="10"/>
  <c r="AK34" i="10" s="1"/>
  <c r="G27" i="13"/>
  <c r="O27" i="13" s="1"/>
  <c r="AJ36" i="10"/>
  <c r="AK36" i="10" s="1"/>
  <c r="AJ32" i="10"/>
  <c r="AK32" i="10" s="1"/>
  <c r="G12" i="13"/>
  <c r="O12" i="13" s="1"/>
  <c r="AJ39" i="10"/>
  <c r="AK39" i="10" s="1"/>
  <c r="AJ27" i="10"/>
  <c r="AK27" i="10" s="1"/>
  <c r="AJ33" i="10"/>
  <c r="AK33" i="10" s="1"/>
  <c r="G21" i="13"/>
  <c r="O21" i="13" s="1"/>
  <c r="AJ37" i="10"/>
  <c r="AK37" i="10" s="1"/>
  <c r="L43" i="10"/>
  <c r="G10" i="13"/>
  <c r="O10" i="13" s="1"/>
  <c r="AJ18" i="10"/>
  <c r="AK18" i="10" s="1"/>
  <c r="AJ17" i="10"/>
  <c r="AK17" i="10" s="1"/>
  <c r="G9" i="13"/>
  <c r="O9" i="13" s="1"/>
  <c r="AJ19" i="10"/>
  <c r="AK19" i="10" s="1"/>
  <c r="G11" i="13"/>
  <c r="O11" i="13" s="1"/>
  <c r="G6" i="13"/>
  <c r="O6" i="13" s="1"/>
  <c r="AJ15" i="10"/>
  <c r="AK15" i="10" s="1"/>
  <c r="G7" i="13"/>
  <c r="AJ21" i="10"/>
  <c r="AK21" i="10" s="1"/>
  <c r="G13" i="13"/>
  <c r="O13" i="13" s="1"/>
  <c r="AJ13" i="10"/>
  <c r="AK13" i="10" s="1"/>
  <c r="G5" i="13"/>
  <c r="O5" i="13" s="1"/>
  <c r="AJ40" i="10"/>
  <c r="AK40" i="10" s="1"/>
  <c r="AJ26" i="10"/>
  <c r="AK26" i="10" s="1"/>
  <c r="G18" i="13"/>
  <c r="O18" i="13" s="1"/>
  <c r="B15" i="10"/>
  <c r="K47" i="4"/>
  <c r="O43" i="4"/>
  <c r="P43" i="4" s="1"/>
  <c r="W41" i="10" l="1"/>
  <c r="U41" i="10"/>
  <c r="G47" i="10" s="1"/>
  <c r="J47" i="10" s="1"/>
  <c r="L47" i="10" s="1"/>
  <c r="G2" i="13"/>
  <c r="O2" i="13" s="1"/>
  <c r="AJ14" i="10"/>
  <c r="AK14" i="10" s="1"/>
  <c r="O7" i="13"/>
  <c r="AJ11" i="10"/>
  <c r="AK11" i="10" s="1"/>
  <c r="G3" i="13"/>
  <c r="O3" i="13" s="1"/>
  <c r="M47" i="4"/>
  <c r="L47" i="4"/>
  <c r="AJ10" i="10"/>
  <c r="B16" i="10"/>
  <c r="O30" i="13" l="1"/>
  <c r="AK10" i="10"/>
  <c r="AK41" i="10" s="1"/>
  <c r="AJ41" i="10"/>
  <c r="B17" i="10"/>
  <c r="B18" i="10" l="1"/>
  <c r="B19" i="10" l="1"/>
  <c r="B20" i="10" l="1"/>
  <c r="B21" i="10" l="1"/>
  <c r="B22" i="10" l="1"/>
  <c r="B23" i="10" l="1"/>
  <c r="B24" i="10" l="1"/>
  <c r="B25" i="10" l="1"/>
  <c r="B26" i="10" l="1"/>
  <c r="B27" i="10" l="1"/>
  <c r="B28" i="10" l="1"/>
  <c r="B29" i="10" l="1"/>
  <c r="B30" i="10" l="1"/>
  <c r="B31" i="10" l="1"/>
  <c r="B32" i="10" l="1"/>
  <c r="B33" i="10" l="1"/>
  <c r="B34" i="10" l="1"/>
  <c r="B35" i="10" l="1"/>
  <c r="B36" i="10" l="1"/>
  <c r="B37" i="10" l="1"/>
  <c r="B38" i="10" l="1"/>
  <c r="B39" i="10" l="1"/>
  <c r="B40" i="10" l="1"/>
  <c r="G46" i="10"/>
  <c r="J46" i="10" s="1"/>
  <c r="L46" i="10" s="1"/>
</calcChain>
</file>

<file path=xl/sharedStrings.xml><?xml version="1.0" encoding="utf-8"?>
<sst xmlns="http://schemas.openxmlformats.org/spreadsheetml/2006/main" count="140" uniqueCount="86">
  <si>
    <t xml:space="preserve"> </t>
  </si>
  <si>
    <t>Date</t>
  </si>
  <si>
    <t>total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</si>
  <si>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</si>
  <si>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</si>
  <si>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</si>
  <si>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</si>
  <si>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</si>
  <si>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</si>
  <si>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</si>
  <si>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</si>
  <si>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</si>
  <si>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</si>
  <si>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</si>
  <si>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</si>
  <si>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</si>
  <si>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</si>
  <si>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</si>
  <si>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</si>
  <si>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</si>
  <si>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</si>
  <si>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</si>
  <si>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</si>
  <si>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</si>
  <si>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</si>
  <si>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</si>
  <si>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</si>
  <si>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</si>
  <si>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</si>
  <si>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</si>
  <si>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</si>
  <si>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</si>
  <si>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</si>
  <si>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</si>
  <si>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</si>
  <si>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</si>
  <si>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</si>
  <si>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</si>
  <si>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</si>
  <si>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</si>
  <si>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</si>
  <si>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</si>
  <si>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</si>
  <si>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</si>
  <si>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</si>
  <si>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</si>
  <si>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</si>
  <si>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</si>
  <si>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</si>
  <si>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</si>
  <si>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</si>
  <si>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</si>
  <si>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</si>
  <si>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Température Piscine Adulte à  7h00 °C</t>
  </si>
  <si>
    <t>Température Piscine famille  à  07h00 ° C</t>
  </si>
  <si>
    <t>Température Piscine famille  à  15h00 ° C</t>
  </si>
  <si>
    <t>Température Piscine Adulte  à  15h00 °C</t>
  </si>
  <si>
    <t xml:space="preserve">suivi Gaz </t>
  </si>
  <si>
    <t xml:space="preserve">Suivi  Compteur  d'Eau- électricité RADEEMA -  </t>
  </si>
  <si>
    <t xml:space="preserve">                           </t>
  </si>
  <si>
    <t xml:space="preserve">                    </t>
  </si>
  <si>
    <t>Consommation/Chambre</t>
  </si>
  <si>
    <t>Consommation totale du jour</t>
  </si>
  <si>
    <t>% Occupation</t>
  </si>
  <si>
    <t>Total Occupation</t>
  </si>
  <si>
    <t>consommation du jour  en DH</t>
  </si>
  <si>
    <t>consommation  eau choud en            Mwh</t>
  </si>
  <si>
    <t>Compteur AVEO         Mwh</t>
  </si>
  <si>
    <r>
      <t xml:space="preserve">Température moyenne du jour </t>
    </r>
    <r>
      <rPr>
        <b/>
        <sz val="22"/>
        <rFont val="Times New Roman"/>
        <family val="1"/>
      </rPr>
      <t>°</t>
    </r>
    <r>
      <rPr>
        <b/>
        <sz val="14"/>
        <rFont val="Times New Roman"/>
        <family val="1"/>
      </rPr>
      <t>C</t>
    </r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</si>
  <si>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</si>
  <si>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</si>
  <si>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</si>
  <si>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</si>
  <si>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</si>
  <si>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</si>
  <si>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</si>
  <si>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</si>
  <si>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Heating Kwh</t>
  </si>
  <si>
    <t>District Energy Heating $/Kwh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</si>
  <si>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</si>
  <si>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</si>
  <si>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</si>
  <si>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</si>
  <si>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</si>
  <si>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Marrakech</t>
  </si>
  <si>
    <t>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</si>
</sst>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2" x14ac:knownFonts="1">
    <font>
      <sz val="10"/>
      <name val="Arial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36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sz val="18"/>
      <name val="Arial"/>
      <family val="2"/>
    </font>
    <font>
      <b/>
      <sz val="14"/>
      <name val="Times New Roman"/>
      <family val="1"/>
    </font>
    <font>
      <sz val="14"/>
      <name val="Times New Roman"/>
      <family val="1"/>
    </font>
    <font>
      <b/>
      <sz val="14"/>
      <color indexed="12"/>
      <name val="Times New Roman"/>
      <family val="1"/>
    </font>
    <font>
      <b/>
      <sz val="12"/>
      <name val="Times New Roman"/>
      <family val="1"/>
    </font>
    <font>
      <b/>
      <sz val="22"/>
      <name val="Times New Roman"/>
      <family val="1"/>
    </font>
    <font>
      <b/>
      <sz val="16"/>
      <color indexed="9"/>
      <name val="Times New Roman"/>
      <family val="1"/>
    </font>
    <font>
      <b/>
      <sz val="15"/>
      <name val="Times New Roman"/>
      <family val="1"/>
    </font>
    <font>
      <b/>
      <sz val="14"/>
      <color indexed="52"/>
      <name val="Times New Roman"/>
      <family val="1"/>
    </font>
    <font>
      <b/>
      <sz val="14"/>
      <color indexed="9"/>
      <name val="Times New Roman"/>
      <family val="1"/>
    </font>
    <font>
      <b/>
      <sz val="18"/>
      <color indexed="9"/>
      <name val="Times New Roman"/>
      <family val="1"/>
    </font>
    <font>
      <b/>
      <sz val="20"/>
      <color indexed="10"/>
      <name val="Times New Roman"/>
      <family val="1"/>
    </font>
    <font>
      <b/>
      <sz val="20"/>
      <name val="Times New Roman"/>
      <family val="1"/>
    </font>
    <font>
      <shadow/>
      <sz val="36"/>
      <color rgb="FF0000FF"/>
      <name val="Monotype Corsiva"/>
      <family val="4"/>
    </font>
    <font>
      <b/>
      <sz val="11"/>
      <color rgb="FF000000"/>
      <name val="Calibri"/>
      <family val="2"/>
    </font>
    <font>
      <b/>
      <sz val="11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5" fillId="0" borderId="0"/>
    <xf numFmtId="0" fontId="14" fillId="0" borderId="0"/>
  </cellStyleXfs>
  <cellXfs count="318">
    <xf numFmtId="0" fontId="0" fillId="0" borderId="0" xfId="0"/>
    <xf numFmtId="0" fontId="3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/>
    </xf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Alignment="1" applyProtection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0" xfId="0" applyFont="1" applyFill="1" applyBorder="1" applyAlignment="1" applyProtection="1">
      <alignment vertical="center"/>
    </xf>
    <xf numFmtId="14" fontId="10" fillId="0" borderId="0" xfId="0" applyNumberFormat="1" applyFont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/>
    <xf numFmtId="0" fontId="13" fillId="0" borderId="2" xfId="0" applyFont="1" applyBorder="1" applyAlignment="1">
      <alignment horizontal="center" vertical="center"/>
    </xf>
    <xf numFmtId="165" fontId="13" fillId="0" borderId="2" xfId="0" applyNumberFormat="1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/>
    </xf>
    <xf numFmtId="0" fontId="13" fillId="5" borderId="2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6" borderId="6" xfId="0" applyFont="1" applyFill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9" xfId="0" applyBorder="1" applyAlignment="1"/>
    <xf numFmtId="0" fontId="8" fillId="7" borderId="10" xfId="0" applyFont="1" applyFill="1" applyBorder="1" applyAlignment="1">
      <alignment horizontal="center" vertical="center" wrapText="1"/>
    </xf>
    <xf numFmtId="0" fontId="8" fillId="8" borderId="10" xfId="0" applyFont="1" applyFill="1" applyBorder="1" applyAlignment="1">
      <alignment horizontal="center" vertical="center" wrapText="1"/>
    </xf>
    <xf numFmtId="0" fontId="12" fillId="6" borderId="11" xfId="0" applyFont="1" applyFill="1" applyBorder="1" applyAlignment="1">
      <alignment horizontal="center" vertical="center"/>
    </xf>
    <xf numFmtId="0" fontId="12" fillId="6" borderId="12" xfId="0" applyFont="1" applyFill="1" applyBorder="1" applyAlignment="1">
      <alignment horizontal="center" vertical="center"/>
    </xf>
    <xf numFmtId="0" fontId="12" fillId="6" borderId="13" xfId="0" applyFont="1" applyFill="1" applyBorder="1" applyAlignment="1">
      <alignment horizontal="center" vertical="center"/>
    </xf>
    <xf numFmtId="14" fontId="15" fillId="0" borderId="10" xfId="0" applyNumberFormat="1" applyFont="1" applyBorder="1" applyAlignment="1">
      <alignment horizontal="center"/>
    </xf>
    <xf numFmtId="0" fontId="15" fillId="8" borderId="10" xfId="0" applyFont="1" applyFill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7" borderId="10" xfId="0" applyFont="1" applyFill="1" applyBorder="1" applyAlignment="1">
      <alignment horizontal="center" vertical="center" wrapText="1"/>
    </xf>
    <xf numFmtId="14" fontId="15" fillId="0" borderId="0" xfId="0" applyNumberFormat="1" applyFont="1" applyBorder="1" applyAlignment="1">
      <alignment horizontal="center"/>
    </xf>
    <xf numFmtId="2" fontId="4" fillId="0" borderId="0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14" fontId="10" fillId="0" borderId="17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6" borderId="18" xfId="0" applyFont="1" applyFill="1" applyBorder="1" applyAlignment="1">
      <alignment horizontal="center" vertical="center"/>
    </xf>
    <xf numFmtId="0" fontId="10" fillId="6" borderId="19" xfId="0" applyFont="1" applyFill="1" applyBorder="1" applyAlignment="1">
      <alignment horizontal="center" vertical="center"/>
    </xf>
    <xf numFmtId="0" fontId="12" fillId="9" borderId="19" xfId="0" applyFont="1" applyFill="1" applyBorder="1" applyAlignment="1">
      <alignment horizontal="center" vertical="center"/>
    </xf>
    <xf numFmtId="0" fontId="0" fillId="0" borderId="0" xfId="0" applyBorder="1"/>
    <xf numFmtId="0" fontId="15" fillId="0" borderId="0" xfId="0" applyFont="1" applyBorder="1" applyAlignment="1">
      <alignment horizontal="center" vertical="center" wrapText="1"/>
    </xf>
    <xf numFmtId="1" fontId="4" fillId="10" borderId="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2" fontId="4" fillId="5" borderId="21" xfId="0" applyNumberFormat="1" applyFont="1" applyFill="1" applyBorder="1" applyAlignment="1">
      <alignment horizontal="center" vertical="center"/>
    </xf>
    <xf numFmtId="2" fontId="4" fillId="7" borderId="21" xfId="0" applyNumberFormat="1" applyFont="1" applyFill="1" applyBorder="1" applyAlignment="1">
      <alignment horizontal="center" vertical="center"/>
    </xf>
    <xf numFmtId="0" fontId="4" fillId="11" borderId="22" xfId="0" applyNumberFormat="1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2" fontId="9" fillId="0" borderId="0" xfId="0" applyNumberFormat="1" applyFont="1" applyFill="1" applyBorder="1" applyAlignment="1">
      <alignment horizontal="center" vertical="center"/>
    </xf>
    <xf numFmtId="2" fontId="4" fillId="18" borderId="23" xfId="0" applyNumberFormat="1" applyFont="1" applyFill="1" applyBorder="1" applyAlignment="1">
      <alignment horizontal="center" vertical="center"/>
    </xf>
    <xf numFmtId="2" fontId="4" fillId="18" borderId="22" xfId="0" applyNumberFormat="1" applyFont="1" applyFill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2" fontId="4" fillId="0" borderId="18" xfId="0" applyNumberFormat="1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29" fillId="0" borderId="0" xfId="0" applyFont="1"/>
    <xf numFmtId="0" fontId="2" fillId="0" borderId="0" xfId="0" applyFont="1" applyAlignment="1">
      <alignment vertical="center"/>
    </xf>
    <xf numFmtId="0" fontId="18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 applyProtection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0" xfId="0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0" fontId="4" fillId="19" borderId="2" xfId="0" applyFont="1" applyFill="1" applyBorder="1" applyAlignment="1">
      <alignment horizontal="center" vertical="center"/>
    </xf>
    <xf numFmtId="10" fontId="4" fillId="12" borderId="2" xfId="0" applyNumberFormat="1" applyFont="1" applyFill="1" applyBorder="1" applyAlignment="1">
      <alignment horizontal="center" vertical="center"/>
    </xf>
    <xf numFmtId="0" fontId="4" fillId="20" borderId="2" xfId="0" applyFont="1" applyFill="1" applyBorder="1" applyAlignment="1">
      <alignment horizontal="center" vertical="center"/>
    </xf>
    <xf numFmtId="0" fontId="4" fillId="20" borderId="30" xfId="0" applyFont="1" applyFill="1" applyBorder="1" applyAlignment="1">
      <alignment horizontal="center" vertical="center"/>
    </xf>
    <xf numFmtId="164" fontId="4" fillId="10" borderId="30" xfId="1" applyNumberFormat="1" applyFont="1" applyFill="1" applyBorder="1" applyAlignment="1" applyProtection="1">
      <alignment horizontal="center" vertical="center"/>
      <protection hidden="1"/>
    </xf>
    <xf numFmtId="0" fontId="4" fillId="21" borderId="2" xfId="0" applyFont="1" applyFill="1" applyBorder="1" applyAlignment="1">
      <alignment horizontal="center" vertical="center"/>
    </xf>
    <xf numFmtId="0" fontId="4" fillId="2" borderId="14" xfId="0" applyFont="1" applyFill="1" applyBorder="1" applyAlignment="1" applyProtection="1">
      <alignment horizontal="center" vertical="center"/>
      <protection locked="0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17" fillId="2" borderId="0" xfId="0" applyFont="1" applyFill="1" applyBorder="1" applyAlignment="1" applyProtection="1">
      <alignment vertical="center"/>
    </xf>
    <xf numFmtId="0" fontId="17" fillId="10" borderId="5" xfId="0" applyFont="1" applyFill="1" applyBorder="1" applyAlignment="1" applyProtection="1">
      <alignment vertical="center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0" borderId="32" xfId="0" applyFont="1" applyFill="1" applyBorder="1" applyAlignment="1" applyProtection="1">
      <alignment horizontal="center" vertical="center"/>
    </xf>
    <xf numFmtId="14" fontId="19" fillId="13" borderId="19" xfId="0" applyNumberFormat="1" applyFont="1" applyFill="1" applyBorder="1" applyAlignment="1" applyProtection="1">
      <alignment horizontal="center" vertical="center"/>
    </xf>
    <xf numFmtId="14" fontId="19" fillId="2" borderId="0" xfId="0" applyNumberFormat="1" applyFont="1" applyFill="1" applyBorder="1" applyAlignment="1" applyProtection="1">
      <alignment horizontal="center" vertical="center"/>
    </xf>
    <xf numFmtId="164" fontId="4" fillId="10" borderId="35" xfId="1" applyNumberFormat="1" applyFont="1" applyFill="1" applyBorder="1" applyAlignment="1" applyProtection="1">
      <alignment horizontal="center" vertical="center"/>
      <protection hidden="1"/>
    </xf>
    <xf numFmtId="164" fontId="4" fillId="10" borderId="11" xfId="1" applyNumberFormat="1" applyFont="1" applyFill="1" applyBorder="1" applyAlignment="1" applyProtection="1">
      <alignment horizontal="center" vertical="center"/>
      <protection hidden="1"/>
    </xf>
    <xf numFmtId="0" fontId="4" fillId="2" borderId="16" xfId="0" applyFont="1" applyFill="1" applyBorder="1" applyAlignment="1">
      <alignment horizontal="center" vertical="center"/>
    </xf>
    <xf numFmtId="0" fontId="17" fillId="2" borderId="25" xfId="0" applyFont="1" applyFill="1" applyBorder="1" applyAlignment="1" applyProtection="1">
      <alignment horizontal="center" vertical="center"/>
    </xf>
    <xf numFmtId="14" fontId="19" fillId="2" borderId="25" xfId="0" applyNumberFormat="1" applyFont="1" applyFill="1" applyBorder="1" applyAlignment="1" applyProtection="1">
      <alignment horizontal="center" vertical="center"/>
    </xf>
    <xf numFmtId="0" fontId="17" fillId="2" borderId="0" xfId="0" quotePrefix="1" applyFont="1" applyFill="1" applyBorder="1" applyAlignment="1" applyProtection="1">
      <alignment horizontal="center" vertical="center"/>
    </xf>
    <xf numFmtId="14" fontId="24" fillId="15" borderId="19" xfId="0" applyNumberFormat="1" applyFont="1" applyFill="1" applyBorder="1" applyAlignment="1" applyProtection="1">
      <alignment horizontal="center" vertical="center"/>
    </xf>
    <xf numFmtId="14" fontId="24" fillId="2" borderId="0" xfId="0" applyNumberFormat="1" applyFont="1" applyFill="1" applyBorder="1" applyAlignment="1" applyProtection="1">
      <alignment horizontal="center" vertical="center"/>
    </xf>
    <xf numFmtId="0" fontId="25" fillId="2" borderId="0" xfId="0" applyFont="1" applyFill="1" applyBorder="1" applyAlignment="1">
      <alignment horizontal="center" vertical="center"/>
    </xf>
    <xf numFmtId="0" fontId="26" fillId="2" borderId="0" xfId="0" applyFont="1" applyFill="1" applyBorder="1" applyAlignment="1">
      <alignment horizontal="center" vertical="center"/>
    </xf>
    <xf numFmtId="2" fontId="26" fillId="14" borderId="32" xfId="0" applyNumberFormat="1" applyFont="1" applyFill="1" applyBorder="1" applyAlignment="1">
      <alignment horizontal="center" vertical="center"/>
    </xf>
    <xf numFmtId="0" fontId="26" fillId="14" borderId="32" xfId="0" applyFont="1" applyFill="1" applyBorder="1" applyAlignment="1">
      <alignment horizontal="center" vertical="center"/>
    </xf>
    <xf numFmtId="1" fontId="4" fillId="22" borderId="26" xfId="0" applyNumberFormat="1" applyFont="1" applyFill="1" applyBorder="1" applyAlignment="1">
      <alignment horizontal="center" vertical="center"/>
    </xf>
    <xf numFmtId="0" fontId="17" fillId="23" borderId="18" xfId="0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 wrapText="1"/>
    </xf>
    <xf numFmtId="0" fontId="17" fillId="20" borderId="19" xfId="0" applyFont="1" applyFill="1" applyBorder="1" applyAlignment="1">
      <alignment horizontal="center" vertical="center"/>
    </xf>
    <xf numFmtId="0" fontId="17" fillId="10" borderId="17" xfId="0" applyFont="1" applyFill="1" applyBorder="1" applyAlignment="1">
      <alignment horizontal="center" vertical="center" wrapText="1"/>
    </xf>
    <xf numFmtId="0" fontId="17" fillId="0" borderId="33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>
      <alignment horizontal="center" vertical="center" wrapText="1"/>
    </xf>
    <xf numFmtId="164" fontId="17" fillId="2" borderId="0" xfId="0" applyNumberFormat="1" applyFont="1" applyFill="1" applyBorder="1" applyAlignment="1">
      <alignment horizontal="center" vertical="center" wrapText="1"/>
    </xf>
    <xf numFmtId="10" fontId="17" fillId="23" borderId="32" xfId="0" applyNumberFormat="1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0" fontId="17" fillId="0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>
      <alignment horizontal="center" vertical="center" wrapText="1"/>
    </xf>
    <xf numFmtId="0" fontId="17" fillId="0" borderId="0" xfId="0" applyFont="1" applyFill="1" applyBorder="1" applyAlignment="1" applyProtection="1">
      <alignment vertical="center"/>
    </xf>
    <xf numFmtId="0" fontId="18" fillId="0" borderId="0" xfId="0" applyFont="1" applyFill="1" applyAlignment="1">
      <alignment horizontal="center" vertical="center" wrapText="1"/>
    </xf>
    <xf numFmtId="2" fontId="26" fillId="0" borderId="19" xfId="0" applyNumberFormat="1" applyFont="1" applyFill="1" applyBorder="1" applyAlignment="1">
      <alignment horizontal="center" vertical="center"/>
    </xf>
    <xf numFmtId="0" fontId="18" fillId="0" borderId="36" xfId="0" applyFont="1" applyBorder="1" applyAlignment="1">
      <alignment horizontal="center" vertical="center"/>
    </xf>
    <xf numFmtId="0" fontId="23" fillId="0" borderId="19" xfId="0" applyFont="1" applyFill="1" applyBorder="1" applyAlignment="1">
      <alignment horizontal="center" vertical="center" wrapText="1"/>
    </xf>
    <xf numFmtId="2" fontId="23" fillId="0" borderId="11" xfId="0" applyNumberFormat="1" applyFont="1" applyFill="1" applyBorder="1" applyAlignment="1">
      <alignment horizontal="center" vertical="center" wrapText="1"/>
    </xf>
    <xf numFmtId="2" fontId="23" fillId="0" borderId="2" xfId="0" applyNumberFormat="1" applyFont="1" applyFill="1" applyBorder="1" applyAlignment="1">
      <alignment horizontal="center" vertical="center"/>
    </xf>
    <xf numFmtId="2" fontId="23" fillId="0" borderId="2" xfId="0" applyNumberFormat="1" applyFont="1" applyFill="1" applyBorder="1" applyAlignment="1">
      <alignment horizontal="center" vertical="center" wrapText="1"/>
    </xf>
    <xf numFmtId="2" fontId="23" fillId="0" borderId="36" xfId="0" applyNumberFormat="1" applyFont="1" applyFill="1" applyBorder="1" applyAlignment="1">
      <alignment horizontal="center" vertical="center" wrapText="1"/>
    </xf>
    <xf numFmtId="0" fontId="17" fillId="23" borderId="37" xfId="0" applyFont="1" applyFill="1" applyBorder="1" applyAlignment="1">
      <alignment horizontal="center" vertical="center"/>
    </xf>
    <xf numFmtId="10" fontId="4" fillId="12" borderId="18" xfId="0" applyNumberFormat="1" applyFont="1" applyFill="1" applyBorder="1" applyAlignment="1">
      <alignment horizontal="center" vertical="center"/>
    </xf>
    <xf numFmtId="0" fontId="4" fillId="19" borderId="19" xfId="0" applyFont="1" applyFill="1" applyBorder="1" applyAlignment="1">
      <alignment horizontal="center" vertical="center"/>
    </xf>
    <xf numFmtId="0" fontId="4" fillId="21" borderId="38" xfId="0" applyFont="1" applyFill="1" applyBorder="1" applyAlignment="1">
      <alignment horizontal="center" vertical="center"/>
    </xf>
    <xf numFmtId="0" fontId="12" fillId="24" borderId="39" xfId="0" applyFont="1" applyFill="1" applyBorder="1" applyAlignment="1">
      <alignment vertical="center"/>
    </xf>
    <xf numFmtId="0" fontId="13" fillId="0" borderId="11" xfId="0" applyFont="1" applyBorder="1" applyAlignment="1">
      <alignment horizontal="center" vertical="center"/>
    </xf>
    <xf numFmtId="0" fontId="13" fillId="24" borderId="2" xfId="0" applyFont="1" applyFill="1" applyBorder="1" applyAlignment="1">
      <alignment horizontal="center" vertical="center"/>
    </xf>
    <xf numFmtId="0" fontId="12" fillId="24" borderId="2" xfId="0" applyFont="1" applyFill="1" applyBorder="1" applyAlignment="1">
      <alignment vertical="center"/>
    </xf>
    <xf numFmtId="2" fontId="4" fillId="18" borderId="19" xfId="0" applyNumberFormat="1" applyFont="1" applyFill="1" applyBorder="1" applyAlignment="1">
      <alignment horizontal="center" vertical="center"/>
    </xf>
    <xf numFmtId="0" fontId="4" fillId="23" borderId="19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 applyProtection="1">
      <alignment horizontal="center" vertical="center"/>
      <protection locked="0"/>
    </xf>
    <xf numFmtId="0" fontId="4" fillId="2" borderId="20" xfId="0" applyFont="1" applyFill="1" applyBorder="1" applyAlignment="1">
      <alignment horizontal="center" vertical="center"/>
    </xf>
    <xf numFmtId="2" fontId="4" fillId="0" borderId="41" xfId="0" applyNumberFormat="1" applyFont="1" applyFill="1" applyBorder="1" applyAlignment="1">
      <alignment horizontal="center" vertical="center"/>
    </xf>
    <xf numFmtId="0" fontId="18" fillId="2" borderId="4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23" fillId="18" borderId="2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/>
    </xf>
    <xf numFmtId="0" fontId="4" fillId="2" borderId="16" xfId="0" applyFont="1" applyFill="1" applyBorder="1" applyAlignment="1" applyProtection="1">
      <alignment horizontal="center" vertical="center"/>
      <protection locked="0"/>
    </xf>
    <xf numFmtId="0" fontId="4" fillId="2" borderId="43" xfId="0" applyFont="1" applyFill="1" applyBorder="1" applyAlignment="1">
      <alignment horizontal="center" vertical="center"/>
    </xf>
    <xf numFmtId="0" fontId="17" fillId="2" borderId="44" xfId="0" applyFont="1" applyFill="1" applyBorder="1" applyAlignment="1" applyProtection="1">
      <alignment horizontal="center" vertical="center"/>
    </xf>
    <xf numFmtId="0" fontId="23" fillId="18" borderId="12" xfId="0" applyFont="1" applyFill="1" applyBorder="1" applyAlignment="1">
      <alignment horizontal="center" vertical="center" wrapText="1"/>
    </xf>
    <xf numFmtId="0" fontId="30" fillId="0" borderId="46" xfId="0" applyFont="1" applyFill="1" applyBorder="1"/>
    <xf numFmtId="0" fontId="30" fillId="0" borderId="46" xfId="0" applyFont="1" applyFill="1" applyBorder="1" applyAlignment="1">
      <alignment wrapText="1"/>
    </xf>
    <xf numFmtId="2" fontId="31" fillId="0" borderId="46" xfId="0" applyNumberFormat="1" applyFont="1" applyFill="1" applyBorder="1" applyAlignment="1">
      <alignment wrapText="1"/>
    </xf>
    <xf numFmtId="0" fontId="5" fillId="0" borderId="0" xfId="0" applyFont="1" applyFill="1" applyBorder="1"/>
    <xf numFmtId="0" fontId="0" fillId="0" borderId="0" xfId="0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4" fillId="19" borderId="36" xfId="0" applyFont="1" applyFill="1" applyBorder="1" applyAlignment="1">
      <alignment horizontal="center" vertical="center"/>
    </xf>
    <xf numFmtId="2" fontId="4" fillId="3" borderId="3" xfId="0" applyNumberFormat="1" applyFont="1" applyFill="1" applyBorder="1" applyAlignment="1">
      <alignment horizontal="center" vertical="center"/>
    </xf>
    <xf numFmtId="0" fontId="4" fillId="20" borderId="11" xfId="0" applyFont="1" applyFill="1" applyBorder="1" applyAlignment="1">
      <alignment horizontal="center" vertical="center"/>
    </xf>
    <xf numFmtId="0" fontId="4" fillId="20" borderId="23" xfId="0" applyFont="1" applyFill="1" applyBorder="1" applyAlignment="1">
      <alignment horizontal="center" vertical="center"/>
    </xf>
    <xf numFmtId="2" fontId="4" fillId="18" borderId="35" xfId="0" applyNumberFormat="1" applyFont="1" applyFill="1" applyBorder="1" applyAlignment="1">
      <alignment horizontal="center" vertical="center"/>
    </xf>
    <xf numFmtId="0" fontId="4" fillId="21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7" fillId="3" borderId="26" xfId="0" applyFont="1" applyFill="1" applyBorder="1" applyAlignment="1">
      <alignment horizontal="center" vertical="center" wrapText="1"/>
    </xf>
    <xf numFmtId="0" fontId="17" fillId="3" borderId="37" xfId="0" applyFont="1" applyFill="1" applyBorder="1" applyAlignment="1">
      <alignment horizontal="center" vertical="center" wrapText="1"/>
    </xf>
    <xf numFmtId="0" fontId="17" fillId="3" borderId="18" xfId="0" applyFont="1" applyFill="1" applyBorder="1" applyAlignment="1">
      <alignment horizontal="center" vertical="center" wrapText="1"/>
    </xf>
    <xf numFmtId="2" fontId="17" fillId="3" borderId="26" xfId="0" applyNumberFormat="1" applyFont="1" applyFill="1" applyBorder="1" applyAlignment="1">
      <alignment horizontal="center" vertical="center" wrapText="1"/>
    </xf>
    <xf numFmtId="2" fontId="17" fillId="3" borderId="18" xfId="0" applyNumberFormat="1" applyFont="1" applyFill="1" applyBorder="1" applyAlignment="1">
      <alignment horizontal="center" vertical="center" wrapText="1"/>
    </xf>
    <xf numFmtId="2" fontId="27" fillId="3" borderId="26" xfId="0" applyNumberFormat="1" applyFont="1" applyFill="1" applyBorder="1" applyAlignment="1" applyProtection="1">
      <alignment horizontal="center" vertical="center" wrapText="1"/>
    </xf>
    <xf numFmtId="2" fontId="27" fillId="3" borderId="37" xfId="0" applyNumberFormat="1" applyFont="1" applyFill="1" applyBorder="1" applyAlignment="1" applyProtection="1">
      <alignment horizontal="center" vertical="center" wrapText="1"/>
    </xf>
    <xf numFmtId="2" fontId="27" fillId="3" borderId="18" xfId="0" applyNumberFormat="1" applyFont="1" applyFill="1" applyBorder="1" applyAlignment="1" applyProtection="1">
      <alignment horizontal="center" vertical="center" wrapText="1"/>
    </xf>
    <xf numFmtId="0" fontId="17" fillId="7" borderId="26" xfId="0" applyFont="1" applyFill="1" applyBorder="1" applyAlignment="1">
      <alignment horizontal="center" vertical="center" wrapText="1"/>
    </xf>
    <xf numFmtId="0" fontId="17" fillId="7" borderId="37" xfId="0" applyFont="1" applyFill="1" applyBorder="1" applyAlignment="1">
      <alignment horizontal="center" vertical="center" wrapText="1"/>
    </xf>
    <xf numFmtId="0" fontId="17" fillId="7" borderId="18" xfId="0" applyFont="1" applyFill="1" applyBorder="1" applyAlignment="1">
      <alignment horizontal="center" vertical="center" wrapText="1"/>
    </xf>
    <xf numFmtId="2" fontId="17" fillId="7" borderId="26" xfId="0" applyNumberFormat="1" applyFont="1" applyFill="1" applyBorder="1" applyAlignment="1">
      <alignment horizontal="center" vertical="center" wrapText="1"/>
    </xf>
    <xf numFmtId="2" fontId="17" fillId="7" borderId="37" xfId="0" applyNumberFormat="1" applyFont="1" applyFill="1" applyBorder="1" applyAlignment="1">
      <alignment horizontal="center" vertical="center" wrapText="1"/>
    </xf>
    <xf numFmtId="2" fontId="17" fillId="7" borderId="18" xfId="0" applyNumberFormat="1" applyFont="1" applyFill="1" applyBorder="1" applyAlignment="1">
      <alignment horizontal="center" vertical="center" wrapText="1"/>
    </xf>
    <xf numFmtId="2" fontId="28" fillId="7" borderId="26" xfId="0" applyNumberFormat="1" applyFont="1" applyFill="1" applyBorder="1" applyAlignment="1" applyProtection="1">
      <alignment horizontal="center" vertical="center" wrapText="1"/>
    </xf>
    <xf numFmtId="2" fontId="28" fillId="7" borderId="37" xfId="0" applyNumberFormat="1" applyFont="1" applyFill="1" applyBorder="1" applyAlignment="1" applyProtection="1">
      <alignment horizontal="center" vertical="center" wrapText="1"/>
    </xf>
    <xf numFmtId="2" fontId="28" fillId="7" borderId="18" xfId="0" applyNumberFormat="1" applyFont="1" applyFill="1" applyBorder="1" applyAlignment="1" applyProtection="1">
      <alignment horizontal="center" vertical="center" wrapText="1"/>
    </xf>
    <xf numFmtId="0" fontId="17" fillId="10" borderId="6" xfId="0" applyFont="1" applyFill="1" applyBorder="1" applyAlignment="1">
      <alignment horizontal="center" vertical="center" wrapText="1"/>
    </xf>
    <xf numFmtId="0" fontId="17" fillId="10" borderId="42" xfId="0" applyFont="1" applyFill="1" applyBorder="1" applyAlignment="1">
      <alignment horizontal="center" vertical="center" wrapText="1"/>
    </xf>
    <xf numFmtId="0" fontId="17" fillId="10" borderId="17" xfId="0" applyFont="1" applyFill="1" applyBorder="1" applyAlignment="1">
      <alignment horizontal="center" vertical="center" wrapText="1"/>
    </xf>
    <xf numFmtId="0" fontId="17" fillId="10" borderId="9" xfId="0" applyFont="1" applyFill="1" applyBorder="1" applyAlignment="1">
      <alignment horizontal="center" vertical="center" wrapText="1"/>
    </xf>
    <xf numFmtId="0" fontId="17" fillId="10" borderId="0" xfId="0" applyFont="1" applyFill="1" applyBorder="1" applyAlignment="1">
      <alignment horizontal="center" vertical="center" wrapText="1"/>
    </xf>
    <xf numFmtId="0" fontId="17" fillId="10" borderId="47" xfId="0" applyFont="1" applyFill="1" applyBorder="1" applyAlignment="1">
      <alignment horizontal="center" vertical="center" wrapText="1"/>
    </xf>
    <xf numFmtId="0" fontId="17" fillId="10" borderId="26" xfId="0" applyFont="1" applyFill="1" applyBorder="1" applyAlignment="1">
      <alignment horizontal="center" vertical="center" wrapText="1"/>
    </xf>
    <xf numFmtId="0" fontId="17" fillId="10" borderId="37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26" xfId="0" applyNumberFormat="1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2" fontId="27" fillId="10" borderId="6" xfId="0" applyNumberFormat="1" applyFont="1" applyFill="1" applyBorder="1" applyAlignment="1" applyProtection="1">
      <alignment horizontal="center" vertical="center" wrapText="1"/>
    </xf>
    <xf numFmtId="2" fontId="27" fillId="10" borderId="42" xfId="0" applyNumberFormat="1" applyFont="1" applyFill="1" applyBorder="1" applyAlignment="1" applyProtection="1">
      <alignment horizontal="center" vertical="center" wrapText="1"/>
    </xf>
    <xf numFmtId="2" fontId="27" fillId="10" borderId="17" xfId="0" applyNumberFormat="1" applyFont="1" applyFill="1" applyBorder="1" applyAlignment="1" applyProtection="1">
      <alignment horizontal="center" vertical="center" wrapText="1"/>
    </xf>
    <xf numFmtId="2" fontId="27" fillId="10" borderId="9" xfId="0" applyNumberFormat="1" applyFont="1" applyFill="1" applyBorder="1" applyAlignment="1" applyProtection="1">
      <alignment horizontal="center" vertical="center" wrapText="1"/>
    </xf>
    <xf numFmtId="2" fontId="27" fillId="10" borderId="0" xfId="0" applyNumberFormat="1" applyFont="1" applyFill="1" applyBorder="1" applyAlignment="1" applyProtection="1">
      <alignment horizontal="center" vertical="center" wrapText="1"/>
    </xf>
    <xf numFmtId="2" fontId="27" fillId="10" borderId="47" xfId="0" applyNumberFormat="1" applyFont="1" applyFill="1" applyBorder="1" applyAlignment="1" applyProtection="1">
      <alignment horizontal="center" vertical="center" wrapText="1"/>
    </xf>
    <xf numFmtId="2" fontId="27" fillId="10" borderId="45" xfId="0" applyNumberFormat="1" applyFont="1" applyFill="1" applyBorder="1" applyAlignment="1" applyProtection="1">
      <alignment horizontal="center" vertical="center" wrapText="1"/>
    </xf>
    <xf numFmtId="2" fontId="27" fillId="10" borderId="46" xfId="0" applyNumberFormat="1" applyFont="1" applyFill="1" applyBorder="1" applyAlignment="1" applyProtection="1">
      <alignment horizontal="center" vertical="center" wrapText="1"/>
    </xf>
    <xf numFmtId="2" fontId="27" fillId="10" borderId="34" xfId="0" applyNumberFormat="1" applyFont="1" applyFill="1" applyBorder="1" applyAlignment="1" applyProtection="1">
      <alignment horizontal="center" vertical="center" wrapText="1"/>
    </xf>
    <xf numFmtId="0" fontId="17" fillId="10" borderId="45" xfId="0" applyFont="1" applyFill="1" applyBorder="1" applyAlignment="1">
      <alignment horizontal="center" vertical="center" wrapText="1"/>
    </xf>
    <xf numFmtId="0" fontId="17" fillId="10" borderId="46" xfId="0" applyFont="1" applyFill="1" applyBorder="1" applyAlignment="1">
      <alignment horizontal="center" vertical="center" wrapText="1"/>
    </xf>
    <xf numFmtId="0" fontId="17" fillId="10" borderId="34" xfId="0" applyFont="1" applyFill="1" applyBorder="1" applyAlignment="1">
      <alignment horizontal="center" vertical="center" wrapText="1"/>
    </xf>
    <xf numFmtId="2" fontId="4" fillId="5" borderId="3" xfId="0" applyNumberFormat="1" applyFont="1" applyFill="1" applyBorder="1" applyAlignment="1">
      <alignment horizontal="center" vertical="center"/>
    </xf>
    <xf numFmtId="2" fontId="4" fillId="5" borderId="27" xfId="0" applyNumberFormat="1" applyFont="1" applyFill="1" applyBorder="1" applyAlignment="1">
      <alignment horizontal="center" vertical="center"/>
    </xf>
    <xf numFmtId="2" fontId="4" fillId="5" borderId="4" xfId="0" applyNumberFormat="1" applyFont="1" applyFill="1" applyBorder="1" applyAlignment="1">
      <alignment horizontal="center" vertical="center"/>
    </xf>
    <xf numFmtId="2" fontId="4" fillId="5" borderId="7" xfId="0" applyNumberFormat="1" applyFont="1" applyFill="1" applyBorder="1" applyAlignment="1">
      <alignment horizontal="center" vertical="center"/>
    </xf>
    <xf numFmtId="2" fontId="4" fillId="5" borderId="48" xfId="0" applyNumberFormat="1" applyFont="1" applyFill="1" applyBorder="1" applyAlignment="1">
      <alignment horizontal="center" vertical="center"/>
    </xf>
    <xf numFmtId="2" fontId="4" fillId="5" borderId="8" xfId="0" applyNumberFormat="1" applyFont="1" applyFill="1" applyBorder="1" applyAlignment="1">
      <alignment horizontal="center" vertical="center"/>
    </xf>
    <xf numFmtId="2" fontId="4" fillId="5" borderId="49" xfId="0" applyNumberFormat="1" applyFont="1" applyFill="1" applyBorder="1" applyAlignment="1">
      <alignment horizontal="center" vertical="center"/>
    </xf>
    <xf numFmtId="2" fontId="4" fillId="5" borderId="28" xfId="0" applyNumberFormat="1" applyFont="1" applyFill="1" applyBorder="1" applyAlignment="1">
      <alignment horizontal="center" vertical="center"/>
    </xf>
    <xf numFmtId="2" fontId="4" fillId="5" borderId="50" xfId="0" applyNumberFormat="1" applyFont="1" applyFill="1" applyBorder="1" applyAlignment="1">
      <alignment horizontal="center" vertical="center"/>
    </xf>
    <xf numFmtId="2" fontId="22" fillId="14" borderId="45" xfId="0" applyNumberFormat="1" applyFont="1" applyFill="1" applyBorder="1" applyAlignment="1">
      <alignment horizontal="center" vertical="center"/>
    </xf>
    <xf numFmtId="0" fontId="22" fillId="14" borderId="46" xfId="0" applyFont="1" applyFill="1" applyBorder="1" applyAlignment="1">
      <alignment horizontal="center" vertical="center"/>
    </xf>
    <xf numFmtId="0" fontId="22" fillId="14" borderId="34" xfId="0" applyFont="1" applyFill="1" applyBorder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2" fontId="4" fillId="5" borderId="29" xfId="0" applyNumberFormat="1" applyFont="1" applyFill="1" applyBorder="1" applyAlignment="1">
      <alignment horizontal="center" vertical="center"/>
    </xf>
    <xf numFmtId="2" fontId="4" fillId="5" borderId="12" xfId="0" applyNumberFormat="1" applyFont="1" applyFill="1" applyBorder="1" applyAlignment="1">
      <alignment horizontal="center" vertical="center"/>
    </xf>
    <xf numFmtId="2" fontId="4" fillId="5" borderId="13" xfId="0" applyNumberFormat="1" applyFont="1" applyFill="1" applyBorder="1" applyAlignment="1">
      <alignment horizontal="center" vertical="center"/>
    </xf>
    <xf numFmtId="2" fontId="4" fillId="5" borderId="24" xfId="0" applyNumberFormat="1" applyFont="1" applyFill="1" applyBorder="1" applyAlignment="1">
      <alignment horizontal="center" vertical="center"/>
    </xf>
    <xf numFmtId="2" fontId="4" fillId="5" borderId="31" xfId="0" applyNumberFormat="1" applyFont="1" applyFill="1" applyBorder="1" applyAlignment="1">
      <alignment horizontal="center" vertical="center"/>
    </xf>
    <xf numFmtId="2" fontId="4" fillId="5" borderId="51" xfId="0" applyNumberFormat="1" applyFont="1" applyFill="1" applyBorder="1" applyAlignment="1">
      <alignment horizontal="center" vertical="center"/>
    </xf>
    <xf numFmtId="0" fontId="4" fillId="18" borderId="17" xfId="0" applyFont="1" applyFill="1" applyBorder="1" applyAlignment="1">
      <alignment horizontal="center" vertical="center" wrapText="1"/>
    </xf>
    <xf numFmtId="0" fontId="4" fillId="18" borderId="34" xfId="0" applyFont="1" applyFill="1" applyBorder="1" applyAlignment="1">
      <alignment horizontal="center" vertical="center" wrapText="1"/>
    </xf>
    <xf numFmtId="0" fontId="17" fillId="2" borderId="0" xfId="0" applyFont="1" applyFill="1" applyBorder="1" applyAlignment="1" applyProtection="1">
      <alignment horizontal="center" vertical="center" wrapText="1"/>
    </xf>
    <xf numFmtId="0" fontId="17" fillId="11" borderId="5" xfId="0" applyFont="1" applyFill="1" applyBorder="1" applyAlignment="1" applyProtection="1">
      <alignment horizontal="center" vertical="center" wrapText="1"/>
    </xf>
    <xf numFmtId="0" fontId="18" fillId="11" borderId="32" xfId="0" applyFont="1" applyFill="1" applyBorder="1" applyAlignment="1">
      <alignment horizontal="center" vertical="center" wrapText="1"/>
    </xf>
    <xf numFmtId="0" fontId="17" fillId="5" borderId="5" xfId="0" applyFont="1" applyFill="1" applyBorder="1" applyAlignment="1" applyProtection="1">
      <alignment horizontal="center" vertical="center" wrapText="1"/>
    </xf>
    <xf numFmtId="0" fontId="18" fillId="5" borderId="32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 wrapText="1"/>
    </xf>
    <xf numFmtId="0" fontId="17" fillId="21" borderId="32" xfId="0" applyFont="1" applyFill="1" applyBorder="1" applyAlignment="1">
      <alignment horizontal="center" vertical="center" wrapText="1"/>
    </xf>
    <xf numFmtId="0" fontId="17" fillId="20" borderId="5" xfId="0" applyFont="1" applyFill="1" applyBorder="1" applyAlignment="1">
      <alignment horizontal="center" vertical="center" wrapText="1"/>
    </xf>
    <xf numFmtId="0" fontId="17" fillId="20" borderId="32" xfId="0" applyFont="1" applyFill="1" applyBorder="1" applyAlignment="1">
      <alignment horizontal="center" vertical="center" wrapText="1"/>
    </xf>
    <xf numFmtId="0" fontId="18" fillId="5" borderId="33" xfId="0" applyFont="1" applyFill="1" applyBorder="1" applyAlignment="1">
      <alignment horizontal="center" vertical="center" wrapText="1"/>
    </xf>
    <xf numFmtId="0" fontId="17" fillId="12" borderId="5" xfId="0" applyFont="1" applyFill="1" applyBorder="1" applyAlignment="1" applyProtection="1">
      <alignment horizontal="center" vertical="center" wrapText="1"/>
    </xf>
    <xf numFmtId="0" fontId="18" fillId="12" borderId="32" xfId="0" applyFont="1" applyFill="1" applyBorder="1" applyAlignment="1">
      <alignment horizontal="center" vertical="center" wrapText="1"/>
    </xf>
    <xf numFmtId="0" fontId="17" fillId="7" borderId="19" xfId="0" applyFont="1" applyFill="1" applyBorder="1" applyAlignment="1" applyProtection="1">
      <alignment horizontal="center" vertical="center"/>
    </xf>
    <xf numFmtId="0" fontId="18" fillId="7" borderId="5" xfId="0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 wrapText="1"/>
    </xf>
    <xf numFmtId="0" fontId="17" fillId="18" borderId="4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33" xfId="0" applyFont="1" applyFill="1" applyBorder="1" applyAlignment="1">
      <alignment horizontal="center" vertical="center" wrapText="1"/>
    </xf>
    <xf numFmtId="0" fontId="18" fillId="2" borderId="0" xfId="0" applyFont="1" applyFill="1" applyBorder="1" applyAlignment="1" applyProtection="1">
      <alignment horizontal="center" vertical="center"/>
    </xf>
    <xf numFmtId="0" fontId="19" fillId="13" borderId="19" xfId="0" applyFont="1" applyFill="1" applyBorder="1" applyAlignment="1" applyProtection="1">
      <alignment horizontal="center" vertical="center"/>
    </xf>
    <xf numFmtId="0" fontId="20" fillId="11" borderId="5" xfId="0" applyFont="1" applyFill="1" applyBorder="1" applyAlignment="1" applyProtection="1">
      <alignment horizontal="center" vertical="center" wrapText="1"/>
    </xf>
    <xf numFmtId="0" fontId="20" fillId="11" borderId="33" xfId="0" applyFont="1" applyFill="1" applyBorder="1" applyAlignment="1" applyProtection="1">
      <alignment horizontal="center" vertical="center" wrapText="1"/>
    </xf>
    <xf numFmtId="0" fontId="20" fillId="5" borderId="6" xfId="0" applyFont="1" applyFill="1" applyBorder="1" applyAlignment="1" applyProtection="1">
      <alignment horizontal="center" vertical="center" wrapText="1"/>
    </xf>
    <xf numFmtId="0" fontId="20" fillId="5" borderId="42" xfId="0" applyFont="1" applyFill="1" applyBorder="1" applyAlignment="1" applyProtection="1">
      <alignment horizontal="center" vertical="center" wrapText="1"/>
    </xf>
    <xf numFmtId="0" fontId="20" fillId="5" borderId="17" xfId="0" applyFont="1" applyFill="1" applyBorder="1" applyAlignment="1" applyProtection="1">
      <alignment horizontal="center" vertical="center" wrapText="1"/>
    </xf>
    <xf numFmtId="0" fontId="20" fillId="5" borderId="9" xfId="0" applyFont="1" applyFill="1" applyBorder="1" applyAlignment="1" applyProtection="1">
      <alignment horizontal="center" vertical="center" wrapText="1"/>
    </xf>
    <xf numFmtId="0" fontId="20" fillId="5" borderId="0" xfId="0" applyFont="1" applyFill="1" applyBorder="1" applyAlignment="1" applyProtection="1">
      <alignment horizontal="center" vertical="center" wrapText="1"/>
    </xf>
    <xf numFmtId="0" fontId="20" fillId="5" borderId="47" xfId="0" applyFont="1" applyFill="1" applyBorder="1" applyAlignment="1" applyProtection="1">
      <alignment horizontal="center" vertical="center" wrapText="1"/>
    </xf>
    <xf numFmtId="0" fontId="17" fillId="10" borderId="18" xfId="0" applyFont="1" applyFill="1" applyBorder="1" applyAlignment="1" applyProtection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6" fillId="13" borderId="26" xfId="0" applyFont="1" applyFill="1" applyBorder="1" applyAlignment="1">
      <alignment horizontal="center" vertical="center"/>
    </xf>
    <xf numFmtId="0" fontId="6" fillId="13" borderId="37" xfId="0" applyFont="1" applyFill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" fillId="2" borderId="0" xfId="0" applyFont="1" applyFill="1" applyAlignment="1" applyProtection="1">
      <alignment horizontal="center" vertical="center"/>
    </xf>
    <xf numFmtId="0" fontId="2" fillId="2" borderId="0" xfId="0" applyFont="1" applyFill="1" applyBorder="1" applyAlignment="1" applyProtection="1">
      <alignment horizontal="center" vertical="center"/>
    </xf>
    <xf numFmtId="0" fontId="2" fillId="2" borderId="46" xfId="0" applyFont="1" applyFill="1" applyBorder="1" applyAlignment="1" applyProtection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4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2" fillId="16" borderId="40" xfId="0" applyFont="1" applyFill="1" applyBorder="1" applyAlignment="1">
      <alignment horizontal="center" vertical="center"/>
    </xf>
    <xf numFmtId="0" fontId="12" fillId="16" borderId="52" xfId="0" applyFont="1" applyFill="1" applyBorder="1" applyAlignment="1">
      <alignment horizontal="center" vertical="center"/>
    </xf>
    <xf numFmtId="0" fontId="12" fillId="16" borderId="39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2" fillId="0" borderId="2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27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14" fontId="10" fillId="0" borderId="46" xfId="0" applyNumberFormat="1" applyFont="1" applyBorder="1" applyAlignment="1">
      <alignment horizontal="center" vertical="center"/>
    </xf>
    <xf numFmtId="14" fontId="10" fillId="0" borderId="34" xfId="0" applyNumberFormat="1" applyFont="1" applyBorder="1" applyAlignment="1">
      <alignment horizontal="center" vertical="center"/>
    </xf>
    <xf numFmtId="0" fontId="11" fillId="17" borderId="45" xfId="0" applyFont="1" applyFill="1" applyBorder="1" applyAlignment="1">
      <alignment horizontal="center" vertical="center"/>
    </xf>
    <xf numFmtId="0" fontId="11" fillId="17" borderId="46" xfId="0" applyFont="1" applyFill="1" applyBorder="1" applyAlignment="1">
      <alignment horizontal="center" vertical="center"/>
    </xf>
    <xf numFmtId="0" fontId="11" fillId="17" borderId="34" xfId="0" applyFont="1" applyFill="1" applyBorder="1" applyAlignment="1">
      <alignment horizontal="center" vertical="center"/>
    </xf>
    <xf numFmtId="0" fontId="10" fillId="0" borderId="45" xfId="0" applyFont="1" applyBorder="1" applyAlignment="1">
      <alignment horizontal="center"/>
    </xf>
    <xf numFmtId="0" fontId="10" fillId="0" borderId="46" xfId="0" applyFont="1" applyBorder="1" applyAlignment="1">
      <alignment horizontal="center"/>
    </xf>
    <xf numFmtId="0" fontId="12" fillId="0" borderId="7" xfId="0" applyFont="1" applyBorder="1" applyAlignment="1">
      <alignment horizontal="center"/>
    </xf>
    <xf numFmtId="0" fontId="12" fillId="0" borderId="48" xfId="0" applyFont="1" applyBorder="1" applyAlignment="1">
      <alignment horizontal="center"/>
    </xf>
    <xf numFmtId="0" fontId="10" fillId="0" borderId="37" xfId="0" applyFont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1" fillId="13" borderId="6" xfId="0" applyFont="1" applyFill="1" applyBorder="1" applyAlignment="1">
      <alignment horizontal="center" vertical="center" wrapText="1"/>
    </xf>
    <xf numFmtId="0" fontId="1" fillId="13" borderId="42" xfId="0" applyFont="1" applyFill="1" applyBorder="1" applyAlignment="1">
      <alignment horizontal="center" vertical="center" wrapText="1"/>
    </xf>
    <xf numFmtId="0" fontId="1" fillId="13" borderId="17" xfId="0" applyFont="1" applyFill="1" applyBorder="1" applyAlignment="1">
      <alignment horizontal="center" vertical="center" wrapText="1"/>
    </xf>
    <xf numFmtId="0" fontId="1" fillId="13" borderId="9" xfId="0" applyFont="1" applyFill="1" applyBorder="1" applyAlignment="1">
      <alignment horizontal="center" vertical="center" wrapText="1"/>
    </xf>
    <xf numFmtId="0" fontId="1" fillId="13" borderId="0" xfId="0" applyFont="1" applyFill="1" applyBorder="1" applyAlignment="1">
      <alignment horizontal="center" vertical="center" wrapText="1"/>
    </xf>
    <xf numFmtId="0" fontId="1" fillId="13" borderId="47" xfId="0" applyFont="1" applyFill="1" applyBorder="1" applyAlignment="1">
      <alignment horizontal="center" vertical="center" wrapText="1"/>
    </xf>
    <xf numFmtId="0" fontId="1" fillId="13" borderId="45" xfId="0" applyFont="1" applyFill="1" applyBorder="1" applyAlignment="1">
      <alignment horizontal="center" vertical="center" wrapText="1"/>
    </xf>
    <xf numFmtId="0" fontId="1" fillId="13" borderId="46" xfId="0" applyFont="1" applyFill="1" applyBorder="1" applyAlignment="1">
      <alignment horizontal="center" vertical="center" wrapText="1"/>
    </xf>
    <xf numFmtId="0" fontId="1" fillId="13" borderId="34" xfId="0" applyFont="1" applyFill="1" applyBorder="1" applyAlignment="1">
      <alignment horizontal="center" vertical="center" wrapText="1"/>
    </xf>
    <xf numFmtId="0" fontId="1" fillId="0" borderId="42" xfId="0" applyFont="1" applyFill="1" applyBorder="1" applyAlignment="1">
      <alignment horizontal="center" vertical="center"/>
    </xf>
    <xf numFmtId="0" fontId="1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7" xfId="0" applyFont="1" applyFill="1" applyBorder="1" applyAlignment="1">
      <alignment horizontal="center" vertical="center"/>
    </xf>
    <xf numFmtId="0" fontId="1" fillId="0" borderId="46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8" fillId="8" borderId="10" xfId="0" applyFont="1" applyFill="1" applyBorder="1" applyAlignment="1">
      <alignment horizontal="center"/>
    </xf>
    <xf numFmtId="0" fontId="8" fillId="7" borderId="10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4" xfId="0" applyBorder="1" applyAlignment="1">
      <alignment horizontal="center"/>
    </xf>
  </cellXfs>
  <cellStyles count="3">
    <cellStyle name="Normal" xfId="0" builtinId="0"/>
    <cellStyle name="Normal 2" xfId="1"/>
    <cellStyle name="Normal 3" xfId="2"/>
  </cellStyles>
  <dxfs count="69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175</c:v>
                </c:pt>
                <c:pt idx="1">
                  <c:v>407</c:v>
                </c:pt>
                <c:pt idx="2">
                  <c:v>200</c:v>
                </c:pt>
                <c:pt idx="3">
                  <c:v>188</c:v>
                </c:pt>
                <c:pt idx="4">
                  <c:v>438</c:v>
                </c:pt>
                <c:pt idx="5">
                  <c:v>188</c:v>
                </c:pt>
                <c:pt idx="6">
                  <c:v>184</c:v>
                </c:pt>
                <c:pt idx="7">
                  <c:v>371</c:v>
                </c:pt>
                <c:pt idx="8">
                  <c:v>330</c:v>
                </c:pt>
                <c:pt idx="9">
                  <c:v>185</c:v>
                </c:pt>
                <c:pt idx="10">
                  <c:v>228</c:v>
                </c:pt>
                <c:pt idx="11">
                  <c:v>356</c:v>
                </c:pt>
                <c:pt idx="12">
                  <c:v>264</c:v>
                </c:pt>
                <c:pt idx="13">
                  <c:v>274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DF8F-43DE-9A93-D4B7EFE4EC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388864"/>
        <c:axId val="250390400"/>
      </c:lineChart>
      <c:dateAx>
        <c:axId val="250388864"/>
        <c:scaling>
          <c:orientation val="minMax"/>
        </c:scaling>
        <c:delete val="0"/>
        <c:axPos val="b"/>
        <c:numFmt formatCode="dd/mm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390400"/>
        <c:crosses val="autoZero"/>
        <c:auto val="1"/>
        <c:lblOffset val="100"/>
        <c:baseTimeUnit val="days"/>
      </c:dateAx>
      <c:valAx>
        <c:axId val="250390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3888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3461</c:v>
                </c:pt>
                <c:pt idx="1">
                  <c:v>2875</c:v>
                </c:pt>
                <c:pt idx="2">
                  <c:v>3354</c:v>
                </c:pt>
                <c:pt idx="3">
                  <c:v>3313</c:v>
                </c:pt>
                <c:pt idx="4">
                  <c:v>3150</c:v>
                </c:pt>
                <c:pt idx="5">
                  <c:v>3145</c:v>
                </c:pt>
                <c:pt idx="6">
                  <c:v>3116</c:v>
                </c:pt>
                <c:pt idx="7">
                  <c:v>3181</c:v>
                </c:pt>
                <c:pt idx="8">
                  <c:v>3037</c:v>
                </c:pt>
                <c:pt idx="9">
                  <c:v>2898</c:v>
                </c:pt>
                <c:pt idx="10">
                  <c:v>2923</c:v>
                </c:pt>
                <c:pt idx="11">
                  <c:v>4143</c:v>
                </c:pt>
                <c:pt idx="12">
                  <c:v>3642</c:v>
                </c:pt>
                <c:pt idx="13">
                  <c:v>3094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73C-4CEE-A179-530DD629C8E2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4700</c:v>
                </c:pt>
                <c:pt idx="1">
                  <c:v>4572</c:v>
                </c:pt>
                <c:pt idx="2">
                  <c:v>4994</c:v>
                </c:pt>
                <c:pt idx="3">
                  <c:v>5166</c:v>
                </c:pt>
                <c:pt idx="4">
                  <c:v>4709</c:v>
                </c:pt>
                <c:pt idx="5">
                  <c:v>4868</c:v>
                </c:pt>
                <c:pt idx="6">
                  <c:v>5057</c:v>
                </c:pt>
                <c:pt idx="7">
                  <c:v>4491</c:v>
                </c:pt>
                <c:pt idx="8">
                  <c:v>4689</c:v>
                </c:pt>
                <c:pt idx="9">
                  <c:v>4330</c:v>
                </c:pt>
                <c:pt idx="10">
                  <c:v>4565</c:v>
                </c:pt>
                <c:pt idx="11">
                  <c:v>5018</c:v>
                </c:pt>
                <c:pt idx="12">
                  <c:v>6411</c:v>
                </c:pt>
                <c:pt idx="13">
                  <c:v>5466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673C-4CEE-A179-530DD629C8E2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44228</c:v>
                </c:pt>
                <c:pt idx="1">
                  <c:v>44229</c:v>
                </c:pt>
                <c:pt idx="2">
                  <c:v>44230</c:v>
                </c:pt>
                <c:pt idx="3">
                  <c:v>44231</c:v>
                </c:pt>
                <c:pt idx="4">
                  <c:v>44232</c:v>
                </c:pt>
                <c:pt idx="5">
                  <c:v>44233</c:v>
                </c:pt>
                <c:pt idx="6">
                  <c:v>44234</c:v>
                </c:pt>
                <c:pt idx="7">
                  <c:v>44235</c:v>
                </c:pt>
                <c:pt idx="8">
                  <c:v>44236</c:v>
                </c:pt>
                <c:pt idx="9">
                  <c:v>44237</c:v>
                </c:pt>
                <c:pt idx="10">
                  <c:v>44238</c:v>
                </c:pt>
                <c:pt idx="11">
                  <c:v>44239</c:v>
                </c:pt>
                <c:pt idx="12">
                  <c:v>44240</c:v>
                </c:pt>
                <c:pt idx="13">
                  <c:v>44241</c:v>
                </c:pt>
                <c:pt idx="14">
                  <c:v>44242</c:v>
                </c:pt>
                <c:pt idx="15">
                  <c:v>44243</c:v>
                </c:pt>
                <c:pt idx="16">
                  <c:v>44244</c:v>
                </c:pt>
                <c:pt idx="17">
                  <c:v>44245</c:v>
                </c:pt>
                <c:pt idx="18">
                  <c:v>44246</c:v>
                </c:pt>
                <c:pt idx="19">
                  <c:v>44247</c:v>
                </c:pt>
                <c:pt idx="20">
                  <c:v>44248</c:v>
                </c:pt>
                <c:pt idx="21">
                  <c:v>44249</c:v>
                </c:pt>
                <c:pt idx="22">
                  <c:v>44250</c:v>
                </c:pt>
                <c:pt idx="23">
                  <c:v>44251</c:v>
                </c:pt>
                <c:pt idx="24">
                  <c:v>44252</c:v>
                </c:pt>
                <c:pt idx="25">
                  <c:v>44253</c:v>
                </c:pt>
                <c:pt idx="26">
                  <c:v>44254</c:v>
                </c:pt>
                <c:pt idx="27">
                  <c:v>44255</c:v>
                </c:pt>
                <c:pt idx="28">
                  <c:v>44256</c:v>
                </c:pt>
                <c:pt idx="29">
                  <c:v>44257</c:v>
                </c:pt>
                <c:pt idx="30">
                  <c:v>44258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2184</c:v>
                </c:pt>
                <c:pt idx="1">
                  <c:v>1964</c:v>
                </c:pt>
                <c:pt idx="2">
                  <c:v>2078</c:v>
                </c:pt>
                <c:pt idx="3">
                  <c:v>2046</c:v>
                </c:pt>
                <c:pt idx="4">
                  <c:v>2005</c:v>
                </c:pt>
                <c:pt idx="5">
                  <c:v>2051</c:v>
                </c:pt>
                <c:pt idx="6">
                  <c:v>2018</c:v>
                </c:pt>
                <c:pt idx="7">
                  <c:v>1993</c:v>
                </c:pt>
                <c:pt idx="8">
                  <c:v>1862</c:v>
                </c:pt>
                <c:pt idx="9">
                  <c:v>1865</c:v>
                </c:pt>
                <c:pt idx="10">
                  <c:v>2103</c:v>
                </c:pt>
                <c:pt idx="11">
                  <c:v>2403</c:v>
                </c:pt>
                <c:pt idx="12">
                  <c:v>2640</c:v>
                </c:pt>
                <c:pt idx="13">
                  <c:v>2952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673C-4CEE-A179-530DD629C8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458496"/>
        <c:axId val="250460032"/>
      </c:lineChart>
      <c:dateAx>
        <c:axId val="250458496"/>
        <c:scaling>
          <c:orientation val="minMax"/>
        </c:scaling>
        <c:delete val="0"/>
        <c:axPos val="b"/>
        <c:numFmt formatCode="dd/mm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460032"/>
        <c:crosses val="autoZero"/>
        <c:auto val="1"/>
        <c:lblOffset val="100"/>
        <c:baseTimeUnit val="days"/>
      </c:dateAx>
      <c:valAx>
        <c:axId val="2504600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458496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fr-FR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'Suivi Gaz'!$A$10:$A$42</c:f>
              <c:numCache>
                <c:formatCode>[$-40C]d\-mmm;@</c:formatCode>
                <c:ptCount val="33"/>
                <c:pt idx="0">
                  <c:v>44227</c:v>
                </c:pt>
                <c:pt idx="1">
                  <c:v>44228</c:v>
                </c:pt>
                <c:pt idx="2">
                  <c:v>44229</c:v>
                </c:pt>
                <c:pt idx="3">
                  <c:v>44230</c:v>
                </c:pt>
                <c:pt idx="4">
                  <c:v>44231</c:v>
                </c:pt>
                <c:pt idx="5">
                  <c:v>44232</c:v>
                </c:pt>
                <c:pt idx="6">
                  <c:v>44233</c:v>
                </c:pt>
                <c:pt idx="7">
                  <c:v>44234</c:v>
                </c:pt>
                <c:pt idx="8">
                  <c:v>44235</c:v>
                </c:pt>
                <c:pt idx="9">
                  <c:v>44236</c:v>
                </c:pt>
                <c:pt idx="10">
                  <c:v>44237</c:v>
                </c:pt>
                <c:pt idx="11">
                  <c:v>44238</c:v>
                </c:pt>
                <c:pt idx="12">
                  <c:v>44239</c:v>
                </c:pt>
                <c:pt idx="13">
                  <c:v>44240</c:v>
                </c:pt>
                <c:pt idx="14">
                  <c:v>44241</c:v>
                </c:pt>
                <c:pt idx="15">
                  <c:v>44242</c:v>
                </c:pt>
                <c:pt idx="16">
                  <c:v>44243</c:v>
                </c:pt>
                <c:pt idx="17">
                  <c:v>44244</c:v>
                </c:pt>
                <c:pt idx="18">
                  <c:v>44245</c:v>
                </c:pt>
                <c:pt idx="19">
                  <c:v>44246</c:v>
                </c:pt>
                <c:pt idx="20">
                  <c:v>44247</c:v>
                </c:pt>
                <c:pt idx="21">
                  <c:v>44248</c:v>
                </c:pt>
                <c:pt idx="22">
                  <c:v>44249</c:v>
                </c:pt>
                <c:pt idx="23">
                  <c:v>44250</c:v>
                </c:pt>
                <c:pt idx="24">
                  <c:v>44251</c:v>
                </c:pt>
                <c:pt idx="25">
                  <c:v>44252</c:v>
                </c:pt>
                <c:pt idx="26">
                  <c:v>44253</c:v>
                </c:pt>
                <c:pt idx="27">
                  <c:v>44254</c:v>
                </c:pt>
                <c:pt idx="28">
                  <c:v>44255</c:v>
                </c:pt>
                <c:pt idx="29">
                  <c:v>44256</c:v>
                </c:pt>
                <c:pt idx="30">
                  <c:v>44257</c:v>
                </c:pt>
                <c:pt idx="31">
                  <c:v>44258</c:v>
                </c:pt>
                <c:pt idx="32">
                  <c:v>44259</c:v>
                </c:pt>
              </c:numCache>
            </c:numRef>
          </c:cat>
          <c:val>
            <c:numRef>
              <c:f>'Suivi Gaz'!$O$10:$O$42</c:f>
              <c:numCache>
                <c:formatCode>General</c:formatCode>
                <c:ptCount val="33"/>
                <c:pt idx="0">
                  <c:v>371</c:v>
                </c:pt>
                <c:pt idx="1">
                  <c:v>408.1</c:v>
                </c:pt>
                <c:pt idx="2">
                  <c:v>111.30000000000001</c:v>
                </c:pt>
                <c:pt idx="3">
                  <c:v>111.30000000000001</c:v>
                </c:pt>
                <c:pt idx="4">
                  <c:v>333.90000000000003</c:v>
                </c:pt>
                <c:pt idx="5">
                  <c:v>333.90000000000003</c:v>
                </c:pt>
                <c:pt idx="6">
                  <c:v>593.6</c:v>
                </c:pt>
                <c:pt idx="7">
                  <c:v>556.5</c:v>
                </c:pt>
                <c:pt idx="8">
                  <c:v>371</c:v>
                </c:pt>
                <c:pt idx="9">
                  <c:v>296.8</c:v>
                </c:pt>
                <c:pt idx="10">
                  <c:v>222.60000000000002</c:v>
                </c:pt>
                <c:pt idx="11">
                  <c:v>408.1</c:v>
                </c:pt>
                <c:pt idx="12">
                  <c:v>296.8</c:v>
                </c:pt>
                <c:pt idx="13">
                  <c:v>556.5</c:v>
                </c:pt>
                <c:pt idx="14">
                  <c:v>148.4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F1F-4C6D-B2A1-AA149547F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0751232"/>
        <c:axId val="250753024"/>
      </c:lineChart>
      <c:dateAx>
        <c:axId val="250751232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753024"/>
        <c:crosses val="autoZero"/>
        <c:auto val="1"/>
        <c:lblOffset val="100"/>
        <c:baseTimeUnit val="days"/>
      </c:dateAx>
      <c:valAx>
        <c:axId val="250753024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50751232"/>
        <c:crosses val="autoZero"/>
        <c:crossBetween val="between"/>
      </c:valAx>
    </c:plotArea>
    <c:legend>
      <c:legendPos val="b"/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1104900</xdr:colOff>
      <xdr:row>3</xdr:row>
      <xdr:rowOff>57150</xdr:rowOff>
    </xdr:from>
    <xdr:to>
      <xdr:col>32</xdr:col>
      <xdr:colOff>904875</xdr:colOff>
      <xdr:row>4</xdr:row>
      <xdr:rowOff>323850</xdr:rowOff>
    </xdr:to>
    <xdr:sp macro="" textlink="">
      <xdr:nvSpPr>
        <xdr:cNvPr id="58746317" name="WordArt 12"/>
        <xdr:cNvSpPr>
          <a:spLocks noChangeArrowheads="1" noChangeShapeType="1"/>
        </xdr:cNvSpPr>
      </xdr:nvSpPr>
      <xdr:spPr bwMode="auto">
        <a:xfrm>
          <a:off x="1362075" y="1895475"/>
          <a:ext cx="261080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400050</xdr:colOff>
      <xdr:row>1</xdr:row>
      <xdr:rowOff>190500</xdr:rowOff>
    </xdr:from>
    <xdr:to>
      <xdr:col>25</xdr:col>
      <xdr:colOff>76199</xdr:colOff>
      <xdr:row>1</xdr:row>
      <xdr:rowOff>1455061</xdr:rowOff>
    </xdr:to>
    <xdr:sp macro="" textlink="">
      <xdr:nvSpPr>
        <xdr:cNvPr id="3" name="WordArt 1"/>
        <xdr:cNvSpPr>
          <a:spLocks noChangeArrowheads="1" noChangeShapeType="1" noTextEdit="1"/>
        </xdr:cNvSpPr>
      </xdr:nvSpPr>
      <xdr:spPr bwMode="auto">
        <a:xfrm>
          <a:off x="8782050" y="352425"/>
          <a:ext cx="103441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1028700</xdr:colOff>
      <xdr:row>1</xdr:row>
      <xdr:rowOff>1581150</xdr:rowOff>
    </xdr:to>
    <xdr:pic>
      <xdr:nvPicPr>
        <xdr:cNvPr id="58746319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225"/>
          <a:ext cx="2695575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29</xdr:col>
      <xdr:colOff>76200</xdr:colOff>
      <xdr:row>1</xdr:row>
      <xdr:rowOff>38100</xdr:rowOff>
    </xdr:from>
    <xdr:to>
      <xdr:col>30</xdr:col>
      <xdr:colOff>1524000</xdr:colOff>
      <xdr:row>1</xdr:row>
      <xdr:rowOff>1619250</xdr:rowOff>
    </xdr:to>
    <xdr:pic>
      <xdr:nvPicPr>
        <xdr:cNvPr id="5874632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355175" y="276225"/>
          <a:ext cx="2762250" cy="1581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619125</xdr:colOff>
      <xdr:row>1</xdr:row>
      <xdr:rowOff>0</xdr:rowOff>
    </xdr:to>
    <xdr:pic>
      <xdr:nvPicPr>
        <xdr:cNvPr id="5875325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505075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990600</xdr:colOff>
      <xdr:row>1</xdr:row>
      <xdr:rowOff>0</xdr:rowOff>
    </xdr:to>
    <xdr:pic>
      <xdr:nvPicPr>
        <xdr:cNvPr id="58753255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35875" y="0"/>
          <a:ext cx="2209800" cy="790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180975</xdr:colOff>
      <xdr:row>7</xdr:row>
      <xdr:rowOff>295275</xdr:rowOff>
    </xdr:from>
    <xdr:to>
      <xdr:col>20</xdr:col>
      <xdr:colOff>9525</xdr:colOff>
      <xdr:row>28</xdr:row>
      <xdr:rowOff>247650</xdr:rowOff>
    </xdr:to>
    <xdr:graphicFrame macro="">
      <xdr:nvGraphicFramePr>
        <xdr:cNvPr id="59275330" name="Graphique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104775</xdr:colOff>
      <xdr:row>30</xdr:row>
      <xdr:rowOff>0</xdr:rowOff>
    </xdr:from>
    <xdr:to>
      <xdr:col>19</xdr:col>
      <xdr:colOff>695325</xdr:colOff>
      <xdr:row>52</xdr:row>
      <xdr:rowOff>123825</xdr:rowOff>
    </xdr:to>
    <xdr:graphicFrame macro="">
      <xdr:nvGraphicFramePr>
        <xdr:cNvPr id="59275331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66675</xdr:rowOff>
    </xdr:from>
    <xdr:to>
      <xdr:col>19</xdr:col>
      <xdr:colOff>590550</xdr:colOff>
      <xdr:row>91</xdr:row>
      <xdr:rowOff>38100</xdr:rowOff>
    </xdr:to>
    <xdr:graphicFrame macro="">
      <xdr:nvGraphicFramePr>
        <xdr:cNvPr id="59275332" name="Graphique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1047750</xdr:colOff>
      <xdr:row>2</xdr:row>
      <xdr:rowOff>552450</xdr:rowOff>
    </xdr:to>
    <xdr:pic>
      <xdr:nvPicPr>
        <xdr:cNvPr id="59275333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91475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1047750</xdr:colOff>
      <xdr:row>2</xdr:row>
      <xdr:rowOff>552450</xdr:rowOff>
    </xdr:to>
    <xdr:pic>
      <xdr:nvPicPr>
        <xdr:cNvPr id="59275334" name="Picture 23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162175" cy="9239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tabSelected="1" workbookViewId="0">
      <selection activeCell="N16" sqref="N16"/>
    </sheetView>
  </sheetViews>
  <sheetFormatPr defaultRowHeight="12.75" x14ac:dyDescent="0.2"/>
  <cols>
    <col min="1" max="1" width="23" style="158" customWidth="1"/>
    <col min="2" max="2" width="11.5703125" style="158" customWidth="1"/>
    <col min="3" max="3" width="11.5703125" style="158"/>
    <col min="4" max="4" width="13.42578125" style="158" customWidth="1"/>
    <col min="5" max="6" width="12.5703125" style="158" customWidth="1"/>
    <col min="7" max="13" width="11.5703125" style="158"/>
    <col min="14" max="15" width="11.5703125" style="158" customWidth="1"/>
  </cols>
  <sheetData>
    <row r="1" spans="1:15" ht="60.75" thickBot="1" x14ac:dyDescent="0.3">
      <c r="A1" s="154" t="s">
        <v>69</v>
      </c>
      <c r="B1" s="154" t="s">
        <v>70</v>
      </c>
      <c r="C1" s="154" t="s">
        <v>71</v>
      </c>
      <c r="D1" s="154" t="s">
        <v>72</v>
      </c>
      <c r="E1" s="155" t="s">
        <v>73</v>
      </c>
      <c r="F1" s="155" t="s">
        <v>74</v>
      </c>
      <c r="G1" s="155" t="s">
        <v>75</v>
      </c>
      <c r="H1" s="155" t="s">
        <v>76</v>
      </c>
      <c r="I1" s="156" t="s">
        <v>77</v>
      </c>
      <c r="J1" s="156" t="s">
        <v>78</v>
      </c>
      <c r="K1" s="155" t="s">
        <v>79</v>
      </c>
      <c r="L1" s="155" t="s">
        <v>80</v>
      </c>
      <c r="M1" s="155" t="s">
        <v>81</v>
      </c>
      <c r="N1" s="155" t="s">
        <v>82</v>
      </c>
      <c r="O1" s="155" t="s">
        <v>83</v>
      </c>
    </row>
    <row r="2" spans="1:15" x14ac:dyDescent="0.2">
      <c r="A2" s="157" t="s">
        <v>84</v>
      </c>
      <c r="B2" s="158">
        <v>1</v>
      </c>
      <c r="C2" s="158">
        <v>2</v>
      </c>
      <c r="D2" s="159">
        <v>2021</v>
      </c>
      <c r="E2" s="160">
        <f>'Consommation du 01.02 au 29.01'!M10</f>
        <v>10345</v>
      </c>
      <c r="F2" s="160">
        <v>0.99</v>
      </c>
      <c r="G2" s="160">
        <f>'Consommation du 01.02 au 29.01'!U10</f>
        <v>408.1</v>
      </c>
      <c r="H2" s="160">
        <v>9.2469999999999999</v>
      </c>
      <c r="I2" s="160">
        <f>'Consommation du 01.02 au 29.01'!Y10*1000</f>
        <v>9220.0000000011642</v>
      </c>
      <c r="J2" s="160">
        <v>0.53</v>
      </c>
      <c r="K2" s="160">
        <f>'Consommation du 01.02 au 29.01'!D10</f>
        <v>175</v>
      </c>
      <c r="L2" s="160">
        <v>12.67</v>
      </c>
      <c r="M2" s="159">
        <f>'Consommation du 01.02 au 29.01'!AC10</f>
        <v>27</v>
      </c>
      <c r="N2" s="159">
        <v>27</v>
      </c>
      <c r="O2" s="160">
        <f>E2*F2+G2*H2+I2*J2+K2*L2</f>
        <v>21119.100700000618</v>
      </c>
    </row>
    <row r="3" spans="1:15" x14ac:dyDescent="0.2">
      <c r="A3" s="157" t="s">
        <v>84</v>
      </c>
      <c r="B3" s="158">
        <f>B2+1</f>
        <v>2</v>
      </c>
      <c r="C3" s="158">
        <v>2</v>
      </c>
      <c r="D3" s="159">
        <v>2021</v>
      </c>
      <c r="E3" s="160">
        <f>'Consommation du 01.02 au 29.01'!M11</f>
        <v>9411</v>
      </c>
      <c r="F3" s="160">
        <v>0.99</v>
      </c>
      <c r="G3" s="160">
        <f>'Consommation du 01.02 au 29.01'!U11</f>
        <v>111.30000000000001</v>
      </c>
      <c r="H3" s="160">
        <v>9.2469999999999999</v>
      </c>
      <c r="I3" s="160">
        <f>'Consommation du 01.02 au 29.01'!Y11*1000</f>
        <v>9189.9999999986903</v>
      </c>
      <c r="J3" s="160">
        <v>0.53</v>
      </c>
      <c r="K3" s="160">
        <f>'Consommation du 01.02 au 29.01'!D11</f>
        <v>407</v>
      </c>
      <c r="L3" s="160">
        <v>12.67</v>
      </c>
      <c r="M3" s="159">
        <f>'Consommation du 01.02 au 29.01'!AC11</f>
        <v>21</v>
      </c>
      <c r="N3" s="159">
        <v>21</v>
      </c>
      <c r="O3" s="160">
        <f t="shared" ref="O3:O29" si="0">E3*F3+G3*H3+I3*J3+K3*L3</f>
        <v>20373.471099999304</v>
      </c>
    </row>
    <row r="4" spans="1:15" x14ac:dyDescent="0.2">
      <c r="A4" s="157" t="s">
        <v>84</v>
      </c>
      <c r="B4" s="158">
        <f t="shared" ref="B4:B29" si="1">B3+1</f>
        <v>3</v>
      </c>
      <c r="C4" s="158">
        <v>2</v>
      </c>
      <c r="D4" s="159">
        <v>2021</v>
      </c>
      <c r="E4" s="160">
        <f>'Consommation du 01.02 au 29.01'!M12</f>
        <v>10426</v>
      </c>
      <c r="F4" s="160">
        <v>0.99</v>
      </c>
      <c r="G4" s="160">
        <f>'Consommation du 01.02 au 29.01'!U12</f>
        <v>111.30000000000001</v>
      </c>
      <c r="H4" s="160">
        <v>9.2469999999999999</v>
      </c>
      <c r="I4" s="160">
        <f>'Consommation du 01.02 au 29.01'!Y12*1000</f>
        <v>13240.000000001601</v>
      </c>
      <c r="J4" s="160">
        <v>0.53</v>
      </c>
      <c r="K4" s="160">
        <f>'Consommation du 01.02 au 29.01'!D12</f>
        <v>200</v>
      </c>
      <c r="L4" s="160">
        <v>12.67</v>
      </c>
      <c r="M4" s="159">
        <f>'Consommation du 01.02 au 29.01'!AC12</f>
        <v>16</v>
      </c>
      <c r="N4" s="159">
        <v>16</v>
      </c>
      <c r="O4" s="160">
        <f t="shared" si="0"/>
        <v>20902.13110000085</v>
      </c>
    </row>
    <row r="5" spans="1:15" x14ac:dyDescent="0.2">
      <c r="A5" s="157" t="s">
        <v>84</v>
      </c>
      <c r="B5" s="158">
        <f t="shared" si="1"/>
        <v>4</v>
      </c>
      <c r="C5" s="158">
        <v>2</v>
      </c>
      <c r="D5" s="159">
        <v>2021</v>
      </c>
      <c r="E5" s="160">
        <f>'Consommation du 01.02 au 29.01'!M13</f>
        <v>10525</v>
      </c>
      <c r="F5" s="160">
        <v>0.99</v>
      </c>
      <c r="G5" s="160">
        <f>'Consommation du 01.02 au 29.01'!U13</f>
        <v>333.90000000000003</v>
      </c>
      <c r="H5" s="160">
        <v>9.2469999999999999</v>
      </c>
      <c r="I5" s="160">
        <f>'Consommation du 01.02 au 29.01'!Y13*1000</f>
        <v>13169.999999998254</v>
      </c>
      <c r="J5" s="160">
        <v>0.53</v>
      </c>
      <c r="K5" s="160">
        <f>'Consommation du 01.02 au 29.01'!D13</f>
        <v>188</v>
      </c>
      <c r="L5" s="160">
        <v>12.67</v>
      </c>
      <c r="M5" s="159">
        <f>'Consommation du 01.02 au 29.01'!AC13</f>
        <v>13</v>
      </c>
      <c r="N5" s="159">
        <v>13</v>
      </c>
      <c r="O5" s="160">
        <f t="shared" si="0"/>
        <v>22869.383299999074</v>
      </c>
    </row>
    <row r="6" spans="1:15" x14ac:dyDescent="0.2">
      <c r="A6" s="157" t="s">
        <v>84</v>
      </c>
      <c r="B6" s="158">
        <f t="shared" si="1"/>
        <v>5</v>
      </c>
      <c r="C6" s="158">
        <v>2</v>
      </c>
      <c r="D6" s="159">
        <v>2021</v>
      </c>
      <c r="E6" s="160">
        <f>'Consommation du 01.02 au 29.01'!M14</f>
        <v>9864</v>
      </c>
      <c r="F6" s="160">
        <v>0.99</v>
      </c>
      <c r="G6" s="160">
        <f>'Consommation du 01.02 au 29.01'!U14</f>
        <v>333.90000000000003</v>
      </c>
      <c r="H6" s="160">
        <v>9.2469999999999999</v>
      </c>
      <c r="I6" s="160">
        <f>'Consommation du 01.02 au 29.01'!Y14*1000</f>
        <v>11000</v>
      </c>
      <c r="J6" s="160">
        <v>0.53</v>
      </c>
      <c r="K6" s="160">
        <f>'Consommation du 01.02 au 29.01'!D14</f>
        <v>438</v>
      </c>
      <c r="L6" s="160">
        <v>12.67</v>
      </c>
      <c r="M6" s="159">
        <f>'Consommation du 01.02 au 29.01'!AC14</f>
        <v>17</v>
      </c>
      <c r="N6" s="159">
        <v>17</v>
      </c>
      <c r="O6" s="160">
        <f t="shared" si="0"/>
        <v>24232.3933</v>
      </c>
    </row>
    <row r="7" spans="1:15" x14ac:dyDescent="0.2">
      <c r="A7" s="157" t="s">
        <v>84</v>
      </c>
      <c r="B7" s="158">
        <f t="shared" si="1"/>
        <v>6</v>
      </c>
      <c r="C7" s="158">
        <v>2</v>
      </c>
      <c r="D7" s="159">
        <v>2021</v>
      </c>
      <c r="E7" s="160">
        <f>'Consommation du 01.02 au 29.01'!M15</f>
        <v>10064</v>
      </c>
      <c r="F7" s="160">
        <v>0.99</v>
      </c>
      <c r="G7" s="160">
        <f>'Consommation du 01.02 au 29.01'!U15</f>
        <v>593.6</v>
      </c>
      <c r="H7" s="160">
        <v>9.2469999999999999</v>
      </c>
      <c r="I7" s="160">
        <f>'Consommation du 01.02 au 29.01'!Y15*1000</f>
        <v>14150.000000001455</v>
      </c>
      <c r="J7" s="160">
        <v>0.53</v>
      </c>
      <c r="K7" s="160">
        <f>'Consommation du 01.02 au 29.01'!D15</f>
        <v>188</v>
      </c>
      <c r="L7" s="160">
        <v>12.67</v>
      </c>
      <c r="M7" s="159">
        <f>'Consommation du 01.02 au 29.01'!AC15</f>
        <v>16</v>
      </c>
      <c r="N7" s="159">
        <v>16</v>
      </c>
      <c r="O7" s="160">
        <f t="shared" si="0"/>
        <v>25333.83920000077</v>
      </c>
    </row>
    <row r="8" spans="1:15" x14ac:dyDescent="0.2">
      <c r="A8" s="157" t="s">
        <v>84</v>
      </c>
      <c r="B8" s="158">
        <f t="shared" si="1"/>
        <v>7</v>
      </c>
      <c r="C8" s="158">
        <v>2</v>
      </c>
      <c r="D8" s="159">
        <v>2021</v>
      </c>
      <c r="E8" s="160">
        <f>'Consommation du 01.02 au 29.01'!M16</f>
        <v>10191</v>
      </c>
      <c r="F8" s="160">
        <v>0.99</v>
      </c>
      <c r="G8" s="160">
        <f>'Consommation du 01.02 au 29.01'!U16</f>
        <v>556.5</v>
      </c>
      <c r="H8" s="160">
        <v>9.2469999999999999</v>
      </c>
      <c r="I8" s="160">
        <f>'Consommation du 01.02 au 29.01'!Y16*1000</f>
        <v>13520.000000000437</v>
      </c>
      <c r="J8" s="160">
        <v>0.53</v>
      </c>
      <c r="K8" s="160">
        <f>'Consommation du 01.02 au 29.01'!D16</f>
        <v>184</v>
      </c>
      <c r="L8" s="160">
        <v>12.67</v>
      </c>
      <c r="M8" s="159">
        <f>'Consommation du 01.02 au 29.01'!AC16</f>
        <v>11</v>
      </c>
      <c r="N8" s="159">
        <v>11</v>
      </c>
      <c r="O8" s="160">
        <f t="shared" si="0"/>
        <v>24731.92550000023</v>
      </c>
    </row>
    <row r="9" spans="1:15" x14ac:dyDescent="0.2">
      <c r="A9" s="157" t="s">
        <v>84</v>
      </c>
      <c r="B9" s="158">
        <f t="shared" si="1"/>
        <v>8</v>
      </c>
      <c r="C9" s="158">
        <v>2</v>
      </c>
      <c r="D9" s="159">
        <v>2021</v>
      </c>
      <c r="E9" s="160">
        <f>'Consommation du 01.02 au 29.01'!M17</f>
        <v>9665</v>
      </c>
      <c r="F9" s="160">
        <v>0.99</v>
      </c>
      <c r="G9" s="160">
        <f>'Consommation du 01.02 au 29.01'!U17</f>
        <v>371</v>
      </c>
      <c r="H9" s="160">
        <v>9.2469999999999999</v>
      </c>
      <c r="I9" s="160">
        <f>'Consommation du 01.02 au 29.01'!Y17*1000</f>
        <v>13020.000000000437</v>
      </c>
      <c r="J9" s="160">
        <v>0.53</v>
      </c>
      <c r="K9" s="160">
        <f>'Consommation du 01.02 au 29.01'!D17</f>
        <v>371</v>
      </c>
      <c r="L9" s="160">
        <v>12.67</v>
      </c>
      <c r="M9" s="159">
        <f>'Consommation du 01.02 au 29.01'!AC17</f>
        <v>9</v>
      </c>
      <c r="N9" s="159">
        <v>9</v>
      </c>
      <c r="O9" s="160">
        <f t="shared" si="0"/>
        <v>24600.157000000232</v>
      </c>
    </row>
    <row r="10" spans="1:15" x14ac:dyDescent="0.2">
      <c r="A10" s="157" t="s">
        <v>84</v>
      </c>
      <c r="B10" s="158">
        <f t="shared" si="1"/>
        <v>9</v>
      </c>
      <c r="C10" s="158">
        <v>2</v>
      </c>
      <c r="D10" s="159">
        <v>2021</v>
      </c>
      <c r="E10" s="160">
        <f>'Consommation du 01.02 au 29.01'!M18</f>
        <v>9588</v>
      </c>
      <c r="F10" s="160">
        <v>0.99</v>
      </c>
      <c r="G10" s="160">
        <f>'Consommation du 01.02 au 29.01'!U18</f>
        <v>296.8</v>
      </c>
      <c r="H10" s="160">
        <v>9.2469999999999999</v>
      </c>
      <c r="I10" s="160">
        <f>'Consommation du 01.02 au 29.01'!Y18*1000</f>
        <v>13659.999999999854</v>
      </c>
      <c r="J10" s="160">
        <v>0.53</v>
      </c>
      <c r="K10" s="160">
        <f>'Consommation du 01.02 au 29.01'!D18</f>
        <v>330</v>
      </c>
      <c r="L10" s="160">
        <v>12.67</v>
      </c>
      <c r="M10" s="159">
        <f>'Consommation du 01.02 au 29.01'!AC18</f>
        <v>11</v>
      </c>
      <c r="N10" s="159">
        <v>11</v>
      </c>
      <c r="O10" s="160">
        <f t="shared" si="0"/>
        <v>23657.529599999922</v>
      </c>
    </row>
    <row r="11" spans="1:15" x14ac:dyDescent="0.2">
      <c r="A11" s="157" t="s">
        <v>84</v>
      </c>
      <c r="B11" s="158">
        <f t="shared" si="1"/>
        <v>10</v>
      </c>
      <c r="C11" s="158">
        <v>2</v>
      </c>
      <c r="D11" s="159">
        <v>2021</v>
      </c>
      <c r="E11" s="160">
        <f>'Consommation du 01.02 au 29.01'!M19</f>
        <v>9093</v>
      </c>
      <c r="F11" s="160">
        <v>0.99</v>
      </c>
      <c r="G11" s="160">
        <f>'Consommation du 01.02 au 29.01'!U19</f>
        <v>222.60000000000002</v>
      </c>
      <c r="H11" s="160">
        <v>9.2469999999999999</v>
      </c>
      <c r="I11" s="160">
        <f>'Consommation du 01.02 au 29.01'!Y19*1000</f>
        <v>14399.999999997817</v>
      </c>
      <c r="J11" s="160">
        <v>0.53</v>
      </c>
      <c r="K11" s="160">
        <f>'Consommation du 01.02 au 29.01'!D19</f>
        <v>185</v>
      </c>
      <c r="L11" s="160">
        <v>12.67</v>
      </c>
      <c r="M11" s="159">
        <f>'Consommation du 01.02 au 29.01'!AC19</f>
        <v>11</v>
      </c>
      <c r="N11" s="159">
        <v>11</v>
      </c>
      <c r="O11" s="160">
        <f t="shared" si="0"/>
        <v>21036.402199998844</v>
      </c>
    </row>
    <row r="12" spans="1:15" x14ac:dyDescent="0.2">
      <c r="A12" s="157" t="s">
        <v>84</v>
      </c>
      <c r="B12" s="158">
        <f t="shared" si="1"/>
        <v>11</v>
      </c>
      <c r="C12" s="158">
        <v>2</v>
      </c>
      <c r="D12" s="159">
        <v>2021</v>
      </c>
      <c r="E12" s="160">
        <f>'Consommation du 01.02 au 29.01'!M20</f>
        <v>9591</v>
      </c>
      <c r="F12" s="160">
        <v>0.99</v>
      </c>
      <c r="G12" s="160">
        <f>'Consommation du 01.02 au 29.01'!U20</f>
        <v>408.1</v>
      </c>
      <c r="H12" s="160">
        <v>9.2469999999999999</v>
      </c>
      <c r="I12" s="160">
        <f>'Consommation du 01.02 au 29.01'!Y20*1000</f>
        <v>13720.000000001164</v>
      </c>
      <c r="J12" s="160">
        <v>0.53</v>
      </c>
      <c r="K12" s="160">
        <f>'Consommation du 01.02 au 29.01'!D20</f>
        <v>228</v>
      </c>
      <c r="L12" s="160">
        <v>12.67</v>
      </c>
      <c r="M12" s="159">
        <f>'Consommation du 01.02 au 29.01'!AC20</f>
        <v>10</v>
      </c>
      <c r="N12" s="159">
        <v>10</v>
      </c>
      <c r="O12" s="160">
        <f t="shared" si="0"/>
        <v>23429.150700000617</v>
      </c>
    </row>
    <row r="13" spans="1:15" x14ac:dyDescent="0.2">
      <c r="A13" s="157" t="s">
        <v>84</v>
      </c>
      <c r="B13" s="158">
        <f t="shared" si="1"/>
        <v>12</v>
      </c>
      <c r="C13" s="158">
        <v>2</v>
      </c>
      <c r="D13" s="159">
        <v>2021</v>
      </c>
      <c r="E13" s="160">
        <f>'Consommation du 01.02 au 29.01'!M21</f>
        <v>11564</v>
      </c>
      <c r="F13" s="160">
        <v>0.99</v>
      </c>
      <c r="G13" s="160">
        <f>'Consommation du 01.02 au 29.01'!U21</f>
        <v>296.8</v>
      </c>
      <c r="H13" s="160">
        <v>9.2469999999999999</v>
      </c>
      <c r="I13" s="160">
        <f>'Consommation du 01.02 au 29.01'!Y21*1000</f>
        <v>16310.00000000131</v>
      </c>
      <c r="J13" s="160">
        <v>0.53</v>
      </c>
      <c r="K13" s="160">
        <f>'Consommation du 01.02 au 29.01'!D21</f>
        <v>356</v>
      </c>
      <c r="L13" s="160">
        <v>12.67</v>
      </c>
      <c r="M13" s="159">
        <f>'Consommation du 01.02 au 29.01'!AC21</f>
        <v>35</v>
      </c>
      <c r="N13" s="159">
        <v>35</v>
      </c>
      <c r="O13" s="160">
        <f t="shared" si="0"/>
        <v>27347.689600000693</v>
      </c>
    </row>
    <row r="14" spans="1:15" x14ac:dyDescent="0.2">
      <c r="A14" s="157" t="s">
        <v>84</v>
      </c>
      <c r="B14" s="158">
        <f t="shared" si="1"/>
        <v>13</v>
      </c>
      <c r="C14" s="158">
        <v>2</v>
      </c>
      <c r="D14" s="159">
        <v>2021</v>
      </c>
      <c r="E14" s="160">
        <f>'Consommation du 01.02 au 29.01'!M22</f>
        <v>12693</v>
      </c>
      <c r="F14" s="160">
        <v>0.99</v>
      </c>
      <c r="G14" s="160">
        <f>'Consommation du 01.02 au 29.01'!U22</f>
        <v>556.5</v>
      </c>
      <c r="H14" s="160">
        <v>9.2469999999999999</v>
      </c>
      <c r="I14" s="160">
        <f>'Consommation du 01.02 au 29.01'!Y22*1000</f>
        <v>17689.99999999869</v>
      </c>
      <c r="J14" s="160">
        <v>0.53</v>
      </c>
      <c r="K14" s="160">
        <f>'Consommation du 01.02 au 29.01'!D22</f>
        <v>264</v>
      </c>
      <c r="L14" s="160">
        <v>12.67</v>
      </c>
      <c r="M14" s="159">
        <f>'Consommation du 01.02 au 29.01'!AC22</f>
        <v>63</v>
      </c>
      <c r="N14" s="159">
        <v>63</v>
      </c>
      <c r="O14" s="160">
        <f t="shared" si="0"/>
        <v>30432.605499999307</v>
      </c>
    </row>
    <row r="15" spans="1:15" x14ac:dyDescent="0.2">
      <c r="A15" s="157" t="s">
        <v>84</v>
      </c>
      <c r="B15" s="158">
        <f t="shared" si="1"/>
        <v>14</v>
      </c>
      <c r="C15" s="158">
        <v>2</v>
      </c>
      <c r="D15" s="159">
        <v>2021</v>
      </c>
      <c r="E15" s="160">
        <f>'Consommation du 01.02 au 29.01'!M23</f>
        <v>11512</v>
      </c>
      <c r="F15" s="160">
        <v>0.99</v>
      </c>
      <c r="G15" s="160">
        <f>'Consommation du 01.02 au 29.01'!U23</f>
        <v>148.4</v>
      </c>
      <c r="H15" s="160">
        <v>9.2469999999999999</v>
      </c>
      <c r="I15" s="160">
        <f>'Consommation du 01.02 au 29.01'!Y23*1000</f>
        <v>17989.999999997963</v>
      </c>
      <c r="J15" s="160">
        <v>0.53</v>
      </c>
      <c r="K15" s="160">
        <f>'Consommation du 01.02 au 29.01'!D23</f>
        <v>274</v>
      </c>
      <c r="L15" s="160">
        <v>12.67</v>
      </c>
      <c r="M15" s="159">
        <f>'Consommation du 01.02 au 29.01'!AC23</f>
        <v>45</v>
      </c>
      <c r="N15" s="159">
        <v>45</v>
      </c>
      <c r="O15" s="160">
        <f t="shared" si="0"/>
        <v>25775.414799998922</v>
      </c>
    </row>
    <row r="16" spans="1:15" x14ac:dyDescent="0.2">
      <c r="A16" s="157" t="s">
        <v>84</v>
      </c>
      <c r="B16" s="158">
        <f t="shared" si="1"/>
        <v>15</v>
      </c>
      <c r="C16" s="158">
        <v>2</v>
      </c>
      <c r="D16" s="159">
        <v>2021</v>
      </c>
      <c r="E16" s="160">
        <f>'Consommation du 01.02 au 29.01'!M24</f>
        <v>0</v>
      </c>
      <c r="F16" s="160">
        <v>0.99</v>
      </c>
      <c r="G16" s="160">
        <f>'Consommation du 01.02 au 29.01'!U24</f>
        <v>0</v>
      </c>
      <c r="H16" s="160">
        <v>9.2469999999999999</v>
      </c>
      <c r="I16" s="160">
        <f>'Consommation du 01.02 au 29.01'!Y24*1000</f>
        <v>0</v>
      </c>
      <c r="J16" s="160">
        <v>0.53</v>
      </c>
      <c r="K16" s="160">
        <f>'Consommation du 01.02 au 29.01'!D24</f>
        <v>0</v>
      </c>
      <c r="L16" s="160">
        <v>12.67</v>
      </c>
      <c r="M16" s="159">
        <f>'Consommation du 01.02 au 29.01'!AC24</f>
        <v>0</v>
      </c>
      <c r="N16" s="159"/>
      <c r="O16" s="160">
        <f t="shared" si="0"/>
        <v>0</v>
      </c>
    </row>
    <row r="17" spans="1:15" x14ac:dyDescent="0.2">
      <c r="A17" s="157" t="s">
        <v>84</v>
      </c>
      <c r="B17" s="158">
        <f t="shared" si="1"/>
        <v>16</v>
      </c>
      <c r="C17" s="158">
        <v>2</v>
      </c>
      <c r="D17" s="159">
        <v>2021</v>
      </c>
      <c r="E17" s="160">
        <f>'Consommation du 01.02 au 29.01'!M25</f>
        <v>0</v>
      </c>
      <c r="F17" s="160">
        <v>0.99</v>
      </c>
      <c r="G17" s="160">
        <f>'Consommation du 01.02 au 29.01'!U25</f>
        <v>0</v>
      </c>
      <c r="H17" s="160">
        <v>9.2469999999999999</v>
      </c>
      <c r="I17" s="160">
        <f>'Consommation du 01.02 au 29.01'!Y25*1000</f>
        <v>0</v>
      </c>
      <c r="J17" s="160">
        <v>0.53</v>
      </c>
      <c r="K17" s="160">
        <f>'Consommation du 01.02 au 29.01'!D25</f>
        <v>0</v>
      </c>
      <c r="L17" s="160">
        <v>12.67</v>
      </c>
      <c r="M17" s="159">
        <f>'Consommation du 01.02 au 29.01'!AC25</f>
        <v>0</v>
      </c>
      <c r="N17" s="159"/>
      <c r="O17" s="160">
        <f t="shared" si="0"/>
        <v>0</v>
      </c>
    </row>
    <row r="18" spans="1:15" x14ac:dyDescent="0.2">
      <c r="A18" s="157" t="s">
        <v>84</v>
      </c>
      <c r="B18" s="158">
        <f t="shared" si="1"/>
        <v>17</v>
      </c>
      <c r="C18" s="158">
        <v>2</v>
      </c>
      <c r="D18" s="159">
        <v>2021</v>
      </c>
      <c r="E18" s="160">
        <f>'Consommation du 01.02 au 29.01'!M26</f>
        <v>0</v>
      </c>
      <c r="F18" s="160">
        <v>0.99</v>
      </c>
      <c r="G18" s="160">
        <f>'Consommation du 01.02 au 29.01'!U26</f>
        <v>0</v>
      </c>
      <c r="H18" s="160">
        <v>9.2469999999999999</v>
      </c>
      <c r="I18" s="160">
        <f>'Consommation du 01.02 au 29.01'!Y26*1000</f>
        <v>0</v>
      </c>
      <c r="J18" s="160">
        <v>0.53</v>
      </c>
      <c r="K18" s="160">
        <f>'Consommation du 01.02 au 29.01'!D26</f>
        <v>0</v>
      </c>
      <c r="L18" s="160">
        <v>12.67</v>
      </c>
      <c r="M18" s="159">
        <f>'Consommation du 01.02 au 29.01'!AC26</f>
        <v>0</v>
      </c>
      <c r="N18" s="159"/>
      <c r="O18" s="160">
        <f t="shared" si="0"/>
        <v>0</v>
      </c>
    </row>
    <row r="19" spans="1:15" x14ac:dyDescent="0.2">
      <c r="A19" s="157" t="s">
        <v>84</v>
      </c>
      <c r="B19" s="158">
        <f t="shared" si="1"/>
        <v>18</v>
      </c>
      <c r="C19" s="158">
        <v>2</v>
      </c>
      <c r="D19" s="159">
        <v>2021</v>
      </c>
      <c r="E19" s="160">
        <f>'Consommation du 01.02 au 29.01'!M27</f>
        <v>0</v>
      </c>
      <c r="F19" s="160">
        <v>0.99</v>
      </c>
      <c r="G19" s="160">
        <f>'Consommation du 01.02 au 29.01'!U27</f>
        <v>0</v>
      </c>
      <c r="H19" s="160">
        <v>9.2469999999999999</v>
      </c>
      <c r="I19" s="160">
        <f>'Consommation du 01.02 au 29.01'!Y27*1000</f>
        <v>0</v>
      </c>
      <c r="J19" s="160">
        <v>0.53</v>
      </c>
      <c r="K19" s="160">
        <f>'Consommation du 01.02 au 29.01'!D27</f>
        <v>0</v>
      </c>
      <c r="L19" s="160">
        <v>12.67</v>
      </c>
      <c r="M19" s="159">
        <f>'Consommation du 01.02 au 29.01'!AC27</f>
        <v>0</v>
      </c>
      <c r="N19" s="159"/>
      <c r="O19" s="160">
        <f t="shared" si="0"/>
        <v>0</v>
      </c>
    </row>
    <row r="20" spans="1:15" x14ac:dyDescent="0.2">
      <c r="A20" s="157" t="s">
        <v>84</v>
      </c>
      <c r="B20" s="158">
        <f t="shared" si="1"/>
        <v>19</v>
      </c>
      <c r="C20" s="158">
        <v>2</v>
      </c>
      <c r="D20" s="159">
        <v>2021</v>
      </c>
      <c r="E20" s="160">
        <f>'Consommation du 01.02 au 29.01'!M28</f>
        <v>0</v>
      </c>
      <c r="F20" s="160">
        <v>0.99</v>
      </c>
      <c r="G20" s="160">
        <f>'Consommation du 01.02 au 29.01'!U28</f>
        <v>0</v>
      </c>
      <c r="H20" s="160">
        <v>9.2469999999999999</v>
      </c>
      <c r="I20" s="160">
        <f>'Consommation du 01.02 au 29.01'!Y28*1000</f>
        <v>0</v>
      </c>
      <c r="J20" s="160">
        <v>0.53</v>
      </c>
      <c r="K20" s="160">
        <f>'Consommation du 01.02 au 29.01'!D28</f>
        <v>0</v>
      </c>
      <c r="L20" s="160">
        <v>12.67</v>
      </c>
      <c r="M20" s="159">
        <f>'Consommation du 01.02 au 29.01'!AC28</f>
        <v>0</v>
      </c>
      <c r="N20" s="159"/>
      <c r="O20" s="160">
        <f t="shared" si="0"/>
        <v>0</v>
      </c>
    </row>
    <row r="21" spans="1:15" x14ac:dyDescent="0.2">
      <c r="A21" s="157" t="s">
        <v>84</v>
      </c>
      <c r="B21" s="158">
        <f t="shared" si="1"/>
        <v>20</v>
      </c>
      <c r="C21" s="158">
        <v>2</v>
      </c>
      <c r="D21" s="159">
        <v>2021</v>
      </c>
      <c r="E21" s="160">
        <f>'Consommation du 01.02 au 29.01'!M29</f>
        <v>0</v>
      </c>
      <c r="F21" s="160">
        <v>0.99</v>
      </c>
      <c r="G21" s="160">
        <f>'Consommation du 01.02 au 29.01'!U29</f>
        <v>0</v>
      </c>
      <c r="H21" s="160">
        <v>9.2469999999999999</v>
      </c>
      <c r="I21" s="160">
        <f>'Consommation du 01.02 au 29.01'!Y29*1000</f>
        <v>0</v>
      </c>
      <c r="J21" s="160">
        <v>0.53</v>
      </c>
      <c r="K21" s="160">
        <f>'Consommation du 01.02 au 29.01'!D29</f>
        <v>0</v>
      </c>
      <c r="L21" s="160">
        <v>12.67</v>
      </c>
      <c r="M21" s="159">
        <f>'Consommation du 01.02 au 29.01'!AC29</f>
        <v>0</v>
      </c>
      <c r="N21" s="159"/>
      <c r="O21" s="160">
        <f t="shared" si="0"/>
        <v>0</v>
      </c>
    </row>
    <row r="22" spans="1:15" x14ac:dyDescent="0.2">
      <c r="A22" s="157" t="s">
        <v>84</v>
      </c>
      <c r="B22" s="158">
        <f t="shared" si="1"/>
        <v>21</v>
      </c>
      <c r="C22" s="158">
        <v>2</v>
      </c>
      <c r="D22" s="159">
        <v>2021</v>
      </c>
      <c r="E22" s="160">
        <f>'Consommation du 01.02 au 29.01'!M30</f>
        <v>0</v>
      </c>
      <c r="F22" s="160">
        <v>0.99</v>
      </c>
      <c r="G22" s="160">
        <f>'Consommation du 01.02 au 29.01'!U30</f>
        <v>0</v>
      </c>
      <c r="H22" s="160">
        <v>9.2469999999999999</v>
      </c>
      <c r="I22" s="160">
        <f>'Consommation du 01.02 au 29.01'!Y30*1000</f>
        <v>0</v>
      </c>
      <c r="J22" s="160">
        <v>0.53</v>
      </c>
      <c r="K22" s="160">
        <f>'Consommation du 01.02 au 29.01'!D30</f>
        <v>0</v>
      </c>
      <c r="L22" s="160">
        <v>12.67</v>
      </c>
      <c r="M22" s="159">
        <f>'Consommation du 01.02 au 29.01'!AC30</f>
        <v>0</v>
      </c>
      <c r="N22" s="159"/>
      <c r="O22" s="160">
        <f t="shared" si="0"/>
        <v>0</v>
      </c>
    </row>
    <row r="23" spans="1:15" x14ac:dyDescent="0.2">
      <c r="A23" s="157" t="s">
        <v>84</v>
      </c>
      <c r="B23" s="158">
        <f t="shared" si="1"/>
        <v>22</v>
      </c>
      <c r="C23" s="158">
        <v>2</v>
      </c>
      <c r="D23" s="159">
        <v>2021</v>
      </c>
      <c r="E23" s="160">
        <f>'Consommation du 01.02 au 29.01'!M31</f>
        <v>0</v>
      </c>
      <c r="F23" s="160">
        <v>0.99</v>
      </c>
      <c r="G23" s="160">
        <f>'Consommation du 01.02 au 29.01'!U31</f>
        <v>0</v>
      </c>
      <c r="H23" s="160">
        <v>9.2469999999999999</v>
      </c>
      <c r="I23" s="160">
        <f>'Consommation du 01.02 au 29.01'!Y31*1000</f>
        <v>0</v>
      </c>
      <c r="J23" s="160">
        <v>0.53</v>
      </c>
      <c r="K23" s="160">
        <f>'Consommation du 01.02 au 29.01'!D31</f>
        <v>0</v>
      </c>
      <c r="L23" s="160">
        <v>12.67</v>
      </c>
      <c r="M23" s="159">
        <f>'Consommation du 01.02 au 29.01'!AC31</f>
        <v>0</v>
      </c>
      <c r="N23" s="159"/>
      <c r="O23" s="160">
        <f t="shared" si="0"/>
        <v>0</v>
      </c>
    </row>
    <row r="24" spans="1:15" x14ac:dyDescent="0.2">
      <c r="A24" s="157" t="s">
        <v>84</v>
      </c>
      <c r="B24" s="158">
        <f t="shared" si="1"/>
        <v>23</v>
      </c>
      <c r="C24" s="158">
        <v>2</v>
      </c>
      <c r="D24" s="159">
        <v>2021</v>
      </c>
      <c r="E24" s="160">
        <f>'Consommation du 01.02 au 29.01'!M32</f>
        <v>0</v>
      </c>
      <c r="F24" s="160">
        <v>0.99</v>
      </c>
      <c r="G24" s="160">
        <f>'Consommation du 01.02 au 29.01'!U32</f>
        <v>0</v>
      </c>
      <c r="H24" s="160">
        <v>9.2469999999999999</v>
      </c>
      <c r="I24" s="160">
        <f>'Consommation du 01.02 au 29.01'!Y32*1000</f>
        <v>0</v>
      </c>
      <c r="J24" s="160">
        <v>0.53</v>
      </c>
      <c r="K24" s="160">
        <f>'Consommation du 01.02 au 29.01'!D32</f>
        <v>0</v>
      </c>
      <c r="L24" s="160">
        <v>12.67</v>
      </c>
      <c r="M24" s="159">
        <f>'Consommation du 01.02 au 29.01'!AC32</f>
        <v>0</v>
      </c>
      <c r="N24" s="159"/>
      <c r="O24" s="160">
        <f t="shared" si="0"/>
        <v>0</v>
      </c>
    </row>
    <row r="25" spans="1:15" x14ac:dyDescent="0.2">
      <c r="A25" s="157" t="s">
        <v>84</v>
      </c>
      <c r="B25" s="158">
        <f t="shared" si="1"/>
        <v>24</v>
      </c>
      <c r="C25" s="158">
        <v>2</v>
      </c>
      <c r="D25" s="159">
        <v>2021</v>
      </c>
      <c r="E25" s="160">
        <f>'Consommation du 01.02 au 29.01'!M33</f>
        <v>0</v>
      </c>
      <c r="F25" s="160">
        <v>0.99</v>
      </c>
      <c r="G25" s="160">
        <f>'Consommation du 01.02 au 29.01'!U33</f>
        <v>0</v>
      </c>
      <c r="H25" s="160">
        <v>9.2469999999999999</v>
      </c>
      <c r="I25" s="160">
        <f>'Consommation du 01.02 au 29.01'!Y33*1000</f>
        <v>0</v>
      </c>
      <c r="J25" s="160">
        <v>0.53</v>
      </c>
      <c r="K25" s="160">
        <f>'Consommation du 01.02 au 29.01'!D33</f>
        <v>0</v>
      </c>
      <c r="L25" s="160">
        <v>12.67</v>
      </c>
      <c r="M25" s="159">
        <f>'Consommation du 01.02 au 29.01'!AC33</f>
        <v>0</v>
      </c>
      <c r="N25" s="159"/>
      <c r="O25" s="160">
        <f t="shared" si="0"/>
        <v>0</v>
      </c>
    </row>
    <row r="26" spans="1:15" x14ac:dyDescent="0.2">
      <c r="A26" s="157" t="s">
        <v>84</v>
      </c>
      <c r="B26" s="158">
        <f>B25+1</f>
        <v>25</v>
      </c>
      <c r="C26" s="158">
        <v>2</v>
      </c>
      <c r="D26" s="159">
        <v>2021</v>
      </c>
      <c r="E26" s="160">
        <f>'Consommation du 01.02 au 29.01'!M34</f>
        <v>0</v>
      </c>
      <c r="F26" s="160">
        <v>0.99</v>
      </c>
      <c r="G26" s="160">
        <f>'Consommation du 01.02 au 29.01'!U34</f>
        <v>0</v>
      </c>
      <c r="H26" s="160">
        <v>9.2469999999999999</v>
      </c>
      <c r="I26" s="160">
        <f>'Consommation du 01.02 au 29.01'!Y34*1000</f>
        <v>0</v>
      </c>
      <c r="J26" s="160">
        <v>0.53</v>
      </c>
      <c r="K26" s="160">
        <f>'Consommation du 01.02 au 29.01'!D34</f>
        <v>0</v>
      </c>
      <c r="L26" s="160">
        <v>12.67</v>
      </c>
      <c r="M26" s="159">
        <f>'Consommation du 01.02 au 29.01'!AC34</f>
        <v>0</v>
      </c>
      <c r="N26" s="159"/>
      <c r="O26" s="160">
        <f t="shared" si="0"/>
        <v>0</v>
      </c>
    </row>
    <row r="27" spans="1:15" x14ac:dyDescent="0.2">
      <c r="A27" s="157" t="s">
        <v>84</v>
      </c>
      <c r="B27" s="158">
        <f t="shared" si="1"/>
        <v>26</v>
      </c>
      <c r="C27" s="158">
        <v>2</v>
      </c>
      <c r="D27" s="159">
        <v>2021</v>
      </c>
      <c r="E27" s="160">
        <f>'Consommation du 01.02 au 29.01'!M35</f>
        <v>0</v>
      </c>
      <c r="F27" s="160">
        <v>0.99</v>
      </c>
      <c r="G27" s="160">
        <f>'Consommation du 01.02 au 29.01'!U35</f>
        <v>0</v>
      </c>
      <c r="H27" s="160">
        <v>9.2469999999999999</v>
      </c>
      <c r="I27" s="160">
        <f>'Consommation du 01.02 au 29.01'!Y35*1000</f>
        <v>0</v>
      </c>
      <c r="J27" s="160">
        <v>0.53</v>
      </c>
      <c r="K27" s="160">
        <f>'Consommation du 01.02 au 29.01'!D35</f>
        <v>0</v>
      </c>
      <c r="L27" s="160">
        <v>12.67</v>
      </c>
      <c r="M27" s="159">
        <f>'Consommation du 01.02 au 29.01'!AC35</f>
        <v>0</v>
      </c>
      <c r="N27" s="159"/>
      <c r="O27" s="160">
        <f t="shared" si="0"/>
        <v>0</v>
      </c>
    </row>
    <row r="28" spans="1:15" x14ac:dyDescent="0.2">
      <c r="A28" s="157" t="s">
        <v>84</v>
      </c>
      <c r="B28" s="158">
        <f t="shared" si="1"/>
        <v>27</v>
      </c>
      <c r="C28" s="158">
        <v>2</v>
      </c>
      <c r="D28" s="159">
        <v>2021</v>
      </c>
      <c r="E28" s="160">
        <f>'Consommation du 01.02 au 29.01'!M36</f>
        <v>0</v>
      </c>
      <c r="F28" s="160">
        <v>0.99</v>
      </c>
      <c r="G28" s="160">
        <f>'Consommation du 01.02 au 29.01'!U36</f>
        <v>0</v>
      </c>
      <c r="H28" s="160">
        <v>9.2469999999999999</v>
      </c>
      <c r="I28" s="160">
        <f>'Consommation du 01.02 au 29.01'!Y36*1000</f>
        <v>0</v>
      </c>
      <c r="J28" s="160">
        <v>0.53</v>
      </c>
      <c r="K28" s="160">
        <f>'Consommation du 01.02 au 29.01'!D36</f>
        <v>0</v>
      </c>
      <c r="L28" s="160">
        <v>12.67</v>
      </c>
      <c r="M28" s="159">
        <f>'Consommation du 01.02 au 29.01'!AC36</f>
        <v>0</v>
      </c>
      <c r="N28" s="159"/>
      <c r="O28" s="160">
        <f t="shared" si="0"/>
        <v>0</v>
      </c>
    </row>
    <row r="29" spans="1:15" x14ac:dyDescent="0.2">
      <c r="A29" s="157" t="s">
        <v>84</v>
      </c>
      <c r="B29" s="158">
        <f t="shared" si="1"/>
        <v>28</v>
      </c>
      <c r="C29" s="158">
        <v>2</v>
      </c>
      <c r="D29" s="159">
        <v>2021</v>
      </c>
      <c r="E29" s="160">
        <f>'Consommation du 01.02 au 29.01'!M37</f>
        <v>0</v>
      </c>
      <c r="F29" s="160">
        <v>0.99</v>
      </c>
      <c r="G29" s="160">
        <f>'Consommation du 01.02 au 29.01'!U37</f>
        <v>0</v>
      </c>
      <c r="H29" s="160">
        <v>9.2469999999999999</v>
      </c>
      <c r="I29" s="160">
        <f>'Consommation du 01.02 au 29.01'!Y37*1000</f>
        <v>0</v>
      </c>
      <c r="J29" s="160">
        <v>0.53</v>
      </c>
      <c r="K29" s="160">
        <f>'Consommation du 01.02 au 29.01'!D37</f>
        <v>0</v>
      </c>
      <c r="L29" s="160">
        <v>12.67</v>
      </c>
      <c r="M29" s="159">
        <f>'Consommation du 01.02 au 29.01'!AC37</f>
        <v>0</v>
      </c>
      <c r="N29" s="159"/>
      <c r="O29" s="160">
        <f t="shared" si="0"/>
        <v>0</v>
      </c>
    </row>
    <row r="30" spans="1:15" x14ac:dyDescent="0.2">
      <c r="A30" s="157"/>
      <c r="D30" s="159"/>
      <c r="E30" s="160"/>
      <c r="F30" s="160"/>
      <c r="G30" s="160"/>
      <c r="H30" s="160"/>
      <c r="I30" s="160"/>
      <c r="J30" s="160"/>
      <c r="K30" s="160"/>
      <c r="L30" s="160"/>
      <c r="M30" s="159"/>
      <c r="N30" s="159"/>
      <c r="O30" s="160">
        <f>SUM(O2:O29)</f>
        <v>335841.19359999936</v>
      </c>
    </row>
    <row r="31" spans="1:15" x14ac:dyDescent="0.2">
      <c r="A31" s="157"/>
      <c r="D31" s="159"/>
      <c r="E31" s="160"/>
      <c r="F31" s="160"/>
      <c r="G31" s="160"/>
      <c r="H31" s="160"/>
      <c r="I31" s="160"/>
      <c r="J31" s="160"/>
      <c r="K31" s="160"/>
      <c r="L31" s="160"/>
      <c r="M31" s="159"/>
      <c r="N31" s="159"/>
      <c r="O31" s="160"/>
    </row>
    <row r="32" spans="1:15" x14ac:dyDescent="0.2">
      <c r="A32" s="157"/>
      <c r="D32" s="159"/>
      <c r="E32" s="160"/>
      <c r="F32" s="160"/>
      <c r="G32" s="160"/>
      <c r="H32" s="160"/>
      <c r="I32" s="160"/>
      <c r="J32" s="160"/>
      <c r="K32" s="160"/>
      <c r="L32" s="160"/>
      <c r="M32" s="159"/>
      <c r="N32" s="159"/>
      <c r="O32" s="160"/>
    </row>
    <row r="33" spans="4:15" x14ac:dyDescent="0.2">
      <c r="D33" s="160"/>
      <c r="E33" s="160"/>
      <c r="F33" s="160"/>
      <c r="G33" s="160"/>
      <c r="H33" s="160"/>
      <c r="I33" s="160"/>
      <c r="J33" s="160"/>
      <c r="K33" s="160"/>
      <c r="L33" s="160"/>
      <c r="M33" s="160"/>
      <c r="N33" s="160"/>
      <c r="O33" s="160"/>
    </row>
    <row r="34" spans="4:15" x14ac:dyDescent="0.2">
      <c r="D34" s="160"/>
      <c r="E34" s="160"/>
      <c r="F34" s="160"/>
      <c r="G34" s="160"/>
      <c r="H34" s="160"/>
      <c r="I34" s="160"/>
      <c r="J34" s="160"/>
      <c r="K34" s="160"/>
      <c r="L34" s="160"/>
      <c r="M34" s="160"/>
      <c r="N34" s="160"/>
    </row>
    <row r="35" spans="4:15" x14ac:dyDescent="0.2">
      <c r="D35" s="160"/>
      <c r="E35" s="160"/>
      <c r="F35" s="160"/>
      <c r="G35" s="160"/>
      <c r="H35" s="160"/>
      <c r="I35" s="160"/>
      <c r="J35" s="160"/>
      <c r="K35" s="160"/>
      <c r="L35" s="160"/>
      <c r="M35" s="160"/>
      <c r="N35" s="160"/>
    </row>
    <row r="36" spans="4:15" x14ac:dyDescent="0.2">
      <c r="D36" s="160"/>
      <c r="E36" s="160"/>
      <c r="F36" s="160"/>
      <c r="G36" s="160"/>
      <c r="H36" s="160"/>
      <c r="I36" s="160"/>
      <c r="J36" s="160"/>
      <c r="K36" s="160"/>
      <c r="L36" s="160"/>
      <c r="M36" s="160"/>
      <c r="N36" s="160"/>
    </row>
    <row r="37" spans="4:15" x14ac:dyDescent="0.2">
      <c r="D37" s="160"/>
      <c r="E37" s="160"/>
      <c r="F37" s="160"/>
      <c r="G37" s="160"/>
      <c r="H37" s="160"/>
      <c r="I37" s="160"/>
      <c r="J37" s="160"/>
      <c r="K37" s="160"/>
      <c r="L37" s="160"/>
      <c r="M37" s="160"/>
      <c r="N37" s="160"/>
    </row>
    <row r="38" spans="4:15" x14ac:dyDescent="0.2">
      <c r="D38" s="160"/>
      <c r="E38" s="160"/>
      <c r="F38" s="160"/>
      <c r="G38" s="160"/>
      <c r="H38" s="160"/>
      <c r="I38" s="160"/>
      <c r="J38" s="160"/>
      <c r="K38" s="160"/>
      <c r="L38" s="160"/>
      <c r="M38" s="160"/>
      <c r="N38" s="160"/>
    </row>
    <row r="39" spans="4:15" x14ac:dyDescent="0.2">
      <c r="D39" s="160"/>
      <c r="E39" s="160"/>
      <c r="F39" s="160"/>
      <c r="G39" s="160"/>
      <c r="H39" s="160"/>
      <c r="I39" s="160"/>
      <c r="J39" s="160"/>
      <c r="K39" s="160"/>
      <c r="L39" s="160"/>
      <c r="M39" s="160"/>
      <c r="N39" s="16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9"/>
  </sheetPr>
  <dimension ref="A1:IV112"/>
  <sheetViews>
    <sheetView view="pageBreakPreview" topLeftCell="A6" zoomScale="60" zoomScaleNormal="60" workbookViewId="0">
      <selection activeCell="X25" sqref="X25"/>
    </sheetView>
  </sheetViews>
  <sheetFormatPr defaultColWidth="11.42578125" defaultRowHeight="18" x14ac:dyDescent="0.2"/>
  <cols>
    <col min="1" max="1" width="3.85546875" style="5" customWidth="1"/>
    <col min="2" max="2" width="19.42578125" style="5" customWidth="1"/>
    <col min="3" max="3" width="1.7109375" style="5" customWidth="1"/>
    <col min="4" max="4" width="18.42578125" style="5" customWidth="1"/>
    <col min="5" max="5" width="1.7109375" style="5" hidden="1" customWidth="1"/>
    <col min="6" max="6" width="13.28515625" style="5" customWidth="1"/>
    <col min="7" max="7" width="14.28515625" style="5" customWidth="1"/>
    <col min="8" max="8" width="12.85546875" style="5" hidden="1" customWidth="1"/>
    <col min="9" max="9" width="1.7109375" style="5" customWidth="1"/>
    <col min="10" max="12" width="17.85546875" style="5" customWidth="1"/>
    <col min="13" max="13" width="22" style="5" customWidth="1"/>
    <col min="14" max="14" width="1.5703125" style="5" customWidth="1"/>
    <col min="15" max="15" width="22.140625" style="5" customWidth="1"/>
    <col min="16" max="16" width="1.28515625" style="5" hidden="1" customWidth="1"/>
    <col min="17" max="17" width="16" style="5" hidden="1" customWidth="1"/>
    <col min="18" max="18" width="1" style="5" customWidth="1"/>
    <col min="19" max="19" width="14.42578125" style="5" hidden="1" customWidth="1"/>
    <col min="20" max="20" width="1.7109375" style="5" customWidth="1"/>
    <col min="21" max="21" width="22.42578125" style="5" customWidth="1"/>
    <col min="22" max="22" width="1.28515625" style="5" customWidth="1"/>
    <col min="23" max="26" width="24" style="5" customWidth="1"/>
    <col min="27" max="27" width="2.28515625" style="7" customWidth="1"/>
    <col min="28" max="28" width="18.85546875" style="5" customWidth="1"/>
    <col min="29" max="29" width="18.5703125" style="5" customWidth="1"/>
    <col min="30" max="30" width="19.7109375" style="5" customWidth="1"/>
    <col min="31" max="31" width="24.5703125" style="5" customWidth="1"/>
    <col min="32" max="33" width="20" style="5" customWidth="1"/>
    <col min="34" max="34" width="20.85546875" style="5" customWidth="1"/>
    <col min="35" max="35" width="21.42578125" style="5" customWidth="1"/>
    <col min="36" max="36" width="21.140625" style="5" customWidth="1"/>
    <col min="37" max="37" width="22.28515625" style="5" customWidth="1"/>
    <col min="38" max="16384" width="11.42578125" style="5"/>
  </cols>
  <sheetData>
    <row r="1" spans="1:40" ht="18.75" thickBot="1" x14ac:dyDescent="0.25"/>
    <row r="2" spans="1:40" ht="129" customHeight="1" thickBot="1" x14ac:dyDescent="0.75">
      <c r="A2" s="258"/>
      <c r="B2" s="259"/>
      <c r="C2" s="259"/>
      <c r="D2" s="259"/>
      <c r="E2" s="259"/>
      <c r="F2" s="260"/>
      <c r="G2" s="261"/>
      <c r="H2" s="262"/>
      <c r="I2" s="262"/>
      <c r="J2" s="262"/>
      <c r="K2" s="262"/>
      <c r="L2" s="262"/>
      <c r="M2" s="262"/>
      <c r="N2" s="262"/>
      <c r="O2" s="262"/>
      <c r="P2" s="262"/>
      <c r="Q2" s="262"/>
      <c r="R2" s="262"/>
      <c r="S2" s="262"/>
      <c r="T2" s="262"/>
      <c r="U2" s="262"/>
      <c r="V2" s="262"/>
      <c r="W2" s="262"/>
      <c r="X2" s="262"/>
      <c r="Y2" s="262"/>
      <c r="Z2" s="262"/>
      <c r="AA2" s="262"/>
      <c r="AB2" s="262"/>
      <c r="AC2" s="262"/>
      <c r="AD2" s="258"/>
      <c r="AE2" s="260"/>
      <c r="AF2" s="71"/>
      <c r="AH2" s="62"/>
      <c r="AJ2" s="70"/>
    </row>
    <row r="3" spans="1:40" ht="1.5" customHeight="1" x14ac:dyDescent="0.2"/>
    <row r="4" spans="1:40" ht="39" hidden="1" customHeight="1" x14ac:dyDescent="0.2">
      <c r="A4" s="263"/>
      <c r="B4" s="263"/>
      <c r="C4" s="263"/>
      <c r="D4" s="3"/>
      <c r="E4" s="3"/>
      <c r="F4" s="3"/>
      <c r="G4" s="3"/>
      <c r="H4" s="3"/>
      <c r="I4" s="3"/>
      <c r="J4" s="3"/>
      <c r="K4" s="2" t="s">
        <v>0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</row>
    <row r="5" spans="1:40" ht="37.5" hidden="1" customHeight="1" x14ac:dyDescent="0.2">
      <c r="A5" s="263"/>
      <c r="B5" s="263"/>
      <c r="C5" s="263"/>
      <c r="D5" s="3"/>
      <c r="E5" s="3"/>
      <c r="F5" s="3"/>
      <c r="G5" s="3"/>
      <c r="H5" s="3"/>
      <c r="I5" s="3"/>
      <c r="J5" s="3"/>
      <c r="K5" s="264"/>
      <c r="L5" s="264"/>
      <c r="M5" s="264"/>
      <c r="N5" s="264"/>
      <c r="O5" s="264"/>
      <c r="P5" s="264"/>
      <c r="Q5" s="264"/>
      <c r="R5" s="264"/>
      <c r="S5" s="264"/>
      <c r="T5" s="264"/>
      <c r="U5" s="264"/>
      <c r="V5" s="264"/>
      <c r="W5" s="264"/>
      <c r="X5" s="264"/>
      <c r="Y5" s="264"/>
      <c r="Z5" s="264"/>
      <c r="AA5" s="264"/>
      <c r="AB5" s="6"/>
      <c r="AC5" s="6"/>
      <c r="AE5" s="69"/>
    </row>
    <row r="6" spans="1:40" s="7" customFormat="1" ht="51" customHeight="1" thickBot="1" x14ac:dyDescent="0.25">
      <c r="A6" s="1"/>
      <c r="B6" s="1"/>
      <c r="C6" s="1"/>
      <c r="D6" s="3"/>
      <c r="E6" s="3"/>
      <c r="F6" s="3"/>
      <c r="G6" s="3"/>
      <c r="H6" s="3"/>
      <c r="I6" s="3"/>
      <c r="J6" s="3"/>
      <c r="K6" s="264"/>
      <c r="L6" s="264"/>
      <c r="M6" s="264"/>
      <c r="N6" s="264"/>
      <c r="O6" s="264"/>
      <c r="P6" s="264"/>
      <c r="Q6" s="264"/>
      <c r="R6" s="264"/>
      <c r="S6" s="264"/>
      <c r="T6" s="264"/>
      <c r="U6" s="264"/>
      <c r="V6" s="264"/>
      <c r="W6" s="264"/>
      <c r="X6" s="264"/>
      <c r="Y6" s="264"/>
      <c r="Z6" s="264"/>
      <c r="AA6" s="264"/>
      <c r="AB6" s="6"/>
      <c r="AC6" s="6"/>
      <c r="AI6" s="3"/>
      <c r="AJ6" s="3"/>
      <c r="AK6" s="3"/>
    </row>
    <row r="7" spans="1:40" s="7" customFormat="1" ht="3.75" hidden="1" customHeight="1" thickBot="1" x14ac:dyDescent="0.25">
      <c r="A7" s="6"/>
      <c r="B7" s="6"/>
      <c r="C7" s="6"/>
      <c r="D7" s="265"/>
      <c r="E7" s="265"/>
      <c r="F7" s="265"/>
      <c r="G7" s="265"/>
      <c r="H7" s="265"/>
      <c r="I7" s="265"/>
      <c r="J7" s="265"/>
      <c r="K7" s="265"/>
      <c r="L7" s="265"/>
      <c r="M7" s="266"/>
      <c r="N7" s="265"/>
      <c r="O7" s="265"/>
      <c r="P7" s="265"/>
      <c r="Q7" s="265"/>
      <c r="R7" s="265"/>
      <c r="S7" s="265"/>
      <c r="T7" s="265"/>
      <c r="U7" s="265"/>
      <c r="V7" s="265"/>
      <c r="W7" s="265"/>
      <c r="X7" s="265"/>
      <c r="Y7" s="265"/>
      <c r="Z7" s="265"/>
      <c r="AA7" s="265"/>
      <c r="AB7" s="8"/>
      <c r="AC7" s="8"/>
      <c r="AI7" s="3"/>
      <c r="AJ7" s="72"/>
      <c r="AK7" s="72"/>
      <c r="AL7" s="75"/>
    </row>
    <row r="8" spans="1:40" ht="2.25" customHeight="1" thickBot="1" x14ac:dyDescent="0.25">
      <c r="A8" s="247"/>
      <c r="B8" s="248" t="s">
        <v>1</v>
      </c>
      <c r="C8" s="77"/>
      <c r="D8" s="249" t="s">
        <v>3</v>
      </c>
      <c r="E8" s="73"/>
      <c r="F8" s="251" t="s">
        <v>11</v>
      </c>
      <c r="G8" s="252"/>
      <c r="H8" s="253"/>
      <c r="I8" s="73"/>
      <c r="J8" s="88"/>
      <c r="K8" s="88"/>
      <c r="L8" s="88"/>
      <c r="M8" s="257" t="s">
        <v>2</v>
      </c>
      <c r="N8" s="73"/>
      <c r="O8" s="232" t="s">
        <v>11</v>
      </c>
      <c r="P8" s="73"/>
      <c r="Q8" s="232" t="s">
        <v>4</v>
      </c>
      <c r="R8" s="73"/>
      <c r="S8" s="232" t="s">
        <v>5</v>
      </c>
      <c r="T8" s="73"/>
      <c r="U8" s="241" t="s">
        <v>38</v>
      </c>
      <c r="V8" s="73"/>
      <c r="W8" s="232" t="s">
        <v>11</v>
      </c>
      <c r="X8" s="243" t="s">
        <v>67</v>
      </c>
      <c r="Y8" s="245" t="s">
        <v>66</v>
      </c>
      <c r="Z8" s="227" t="s">
        <v>65</v>
      </c>
      <c r="AA8" s="229"/>
      <c r="AB8" s="230" t="s">
        <v>68</v>
      </c>
      <c r="AC8" s="232" t="s">
        <v>64</v>
      </c>
      <c r="AD8" s="239" t="s">
        <v>63</v>
      </c>
      <c r="AE8" s="234" t="s">
        <v>53</v>
      </c>
      <c r="AF8" s="234" t="s">
        <v>56</v>
      </c>
      <c r="AG8" s="236" t="s">
        <v>54</v>
      </c>
      <c r="AH8" s="236" t="s">
        <v>55</v>
      </c>
      <c r="AI8" s="62"/>
      <c r="AJ8" s="125"/>
      <c r="AK8" s="125"/>
      <c r="AL8" s="74"/>
    </row>
    <row r="9" spans="1:40" ht="77.25" customHeight="1" thickBot="1" x14ac:dyDescent="0.25">
      <c r="A9" s="247"/>
      <c r="B9" s="248"/>
      <c r="C9" s="77"/>
      <c r="D9" s="250"/>
      <c r="E9" s="73"/>
      <c r="F9" s="254"/>
      <c r="G9" s="255"/>
      <c r="H9" s="256"/>
      <c r="I9" s="152"/>
      <c r="J9" s="90" t="s">
        <v>6</v>
      </c>
      <c r="K9" s="90" t="s">
        <v>7</v>
      </c>
      <c r="L9" s="90" t="s">
        <v>8</v>
      </c>
      <c r="M9" s="257"/>
      <c r="N9" s="73"/>
      <c r="O9" s="238"/>
      <c r="P9" s="73"/>
      <c r="Q9" s="238"/>
      <c r="R9" s="73"/>
      <c r="S9" s="238"/>
      <c r="T9" s="73"/>
      <c r="U9" s="242"/>
      <c r="V9" s="73"/>
      <c r="W9" s="238"/>
      <c r="X9" s="244"/>
      <c r="Y9" s="246"/>
      <c r="Z9" s="228"/>
      <c r="AA9" s="229"/>
      <c r="AB9" s="231"/>
      <c r="AC9" s="233"/>
      <c r="AD9" s="240"/>
      <c r="AE9" s="235"/>
      <c r="AF9" s="235"/>
      <c r="AG9" s="237"/>
      <c r="AH9" s="237"/>
      <c r="AI9" s="44"/>
      <c r="AJ9" s="126" t="s">
        <v>62</v>
      </c>
      <c r="AK9" s="68" t="s">
        <v>61</v>
      </c>
      <c r="AL9" s="75"/>
      <c r="AM9" s="7"/>
      <c r="AN9" s="7"/>
    </row>
    <row r="10" spans="1:40" ht="32.25" customHeight="1" thickBot="1" x14ac:dyDescent="0.25">
      <c r="A10" s="76"/>
      <c r="B10" s="91">
        <v>44228</v>
      </c>
      <c r="C10" s="92"/>
      <c r="D10" s="147">
        <f>'Suivi EAU-ELEC'!C16</f>
        <v>175</v>
      </c>
      <c r="E10" s="151"/>
      <c r="F10" s="211">
        <f t="shared" ref="F10:F40" si="0">D10*12.67</f>
        <v>2217.25</v>
      </c>
      <c r="G10" s="212"/>
      <c r="H10" s="213"/>
      <c r="I10" s="142"/>
      <c r="J10" s="93">
        <f>'Suivi EAU-ELEC'!E16</f>
        <v>3461</v>
      </c>
      <c r="K10" s="94">
        <f>'Suivi EAU-ELEC'!G16</f>
        <v>4700</v>
      </c>
      <c r="L10" s="94">
        <f>'Suivi EAU-ELEC'!I16</f>
        <v>2184</v>
      </c>
      <c r="M10" s="82">
        <f>L10+K10+J10</f>
        <v>10345</v>
      </c>
      <c r="N10" s="58"/>
      <c r="O10" s="59">
        <f>J10*0.99+K10*0.99+L10*0.99</f>
        <v>10241.549999999999</v>
      </c>
      <c r="P10" s="57"/>
      <c r="Q10" s="55"/>
      <c r="R10" s="56"/>
      <c r="S10" s="55"/>
      <c r="T10" s="95"/>
      <c r="U10" s="60">
        <f>'Suivi Gaz'!O11</f>
        <v>408.1</v>
      </c>
      <c r="V10" s="58"/>
      <c r="W10" s="59">
        <f>U10*9.247</f>
        <v>3773.7007000000003</v>
      </c>
      <c r="X10" s="65">
        <v>18678.39</v>
      </c>
      <c r="Y10" s="153">
        <f t="shared" ref="Y10:Y40" si="1">IF(X11&lt;X10,0,X11-X10)</f>
        <v>9.2200000000011642</v>
      </c>
      <c r="Z10" s="64">
        <f>Y10*0.53*1000</f>
        <v>4886.600000000617</v>
      </c>
      <c r="AA10" s="58"/>
      <c r="AB10" s="61">
        <v>22</v>
      </c>
      <c r="AC10" s="161">
        <v>27</v>
      </c>
      <c r="AD10" s="79">
        <v>0.2109</v>
      </c>
      <c r="AE10" s="83">
        <v>26.5</v>
      </c>
      <c r="AF10" s="83">
        <v>27.5</v>
      </c>
      <c r="AG10" s="80" t="s">
        <v>85</v>
      </c>
      <c r="AH10" s="81" t="s">
        <v>85</v>
      </c>
      <c r="AI10" s="145"/>
      <c r="AJ10" s="127">
        <f t="shared" ref="AJ10:AJ40" si="2">(F10+O10+W10+Z10)</f>
        <v>21119.100700000618</v>
      </c>
      <c r="AK10" s="128">
        <f t="shared" ref="AK10:AK40" si="3">AJ10/AC10</f>
        <v>782.18891481483763</v>
      </c>
      <c r="AL10" s="75"/>
      <c r="AM10" s="7"/>
      <c r="AN10" s="7"/>
    </row>
    <row r="11" spans="1:40" ht="32.25" customHeight="1" thickBot="1" x14ac:dyDescent="0.25">
      <c r="A11" s="76"/>
      <c r="B11" s="91">
        <f>(B10+1)</f>
        <v>44229</v>
      </c>
      <c r="C11" s="92"/>
      <c r="D11" s="147">
        <f>'Suivi EAU-ELEC'!C17</f>
        <v>407</v>
      </c>
      <c r="E11" s="95"/>
      <c r="F11" s="211">
        <f t="shared" si="0"/>
        <v>5156.6899999999996</v>
      </c>
      <c r="G11" s="212"/>
      <c r="H11" s="213"/>
      <c r="I11" s="142"/>
      <c r="J11" s="93">
        <f>'Suivi EAU-ELEC'!E17</f>
        <v>2875</v>
      </c>
      <c r="K11" s="94">
        <f>'Suivi EAU-ELEC'!G17</f>
        <v>4572</v>
      </c>
      <c r="L11" s="94">
        <f>'Suivi EAU-ELEC'!I17</f>
        <v>1964</v>
      </c>
      <c r="M11" s="82">
        <f t="shared" ref="M11:M40" si="4">L11+K11+J11</f>
        <v>9411</v>
      </c>
      <c r="N11" s="58"/>
      <c r="O11" s="59">
        <f t="shared" ref="O11:O40" si="5">J11*0.99+K11*0.99+L11*0.99</f>
        <v>9316.89</v>
      </c>
      <c r="P11" s="57"/>
      <c r="Q11" s="55"/>
      <c r="R11" s="56"/>
      <c r="S11" s="55"/>
      <c r="T11" s="95"/>
      <c r="U11" s="60">
        <f>'Suivi Gaz'!O12</f>
        <v>111.30000000000001</v>
      </c>
      <c r="V11" s="58"/>
      <c r="W11" s="59">
        <f t="shared" ref="W11:W40" si="6">U11*9.247</f>
        <v>1029.1911</v>
      </c>
      <c r="X11" s="165">
        <v>18687.61</v>
      </c>
      <c r="Y11" s="148">
        <f t="shared" si="1"/>
        <v>9.1899999999986903</v>
      </c>
      <c r="Z11" s="64">
        <f t="shared" ref="Z11:Z40" si="7">Y11*0.53*1000</f>
        <v>4870.6999999993059</v>
      </c>
      <c r="AA11" s="58"/>
      <c r="AB11" s="61">
        <v>24</v>
      </c>
      <c r="AC11" s="161">
        <v>21</v>
      </c>
      <c r="AD11" s="79">
        <v>0.1721</v>
      </c>
      <c r="AE11" s="83">
        <v>26.3</v>
      </c>
      <c r="AF11" s="83">
        <v>27</v>
      </c>
      <c r="AG11" s="163" t="s">
        <v>85</v>
      </c>
      <c r="AH11" s="164" t="s">
        <v>85</v>
      </c>
      <c r="AI11" s="145"/>
      <c r="AJ11" s="129">
        <f t="shared" si="2"/>
        <v>20373.471099999304</v>
      </c>
      <c r="AK11" s="128">
        <f t="shared" si="3"/>
        <v>970.16529047615734</v>
      </c>
      <c r="AL11" s="75"/>
      <c r="AM11" s="7"/>
      <c r="AN11" s="7"/>
    </row>
    <row r="12" spans="1:40" s="7" customFormat="1" ht="32.25" customHeight="1" thickBot="1" x14ac:dyDescent="0.25">
      <c r="A12" s="73"/>
      <c r="B12" s="91">
        <f t="shared" ref="B12:B40" si="8">(B11+1)</f>
        <v>44230</v>
      </c>
      <c r="C12" s="92"/>
      <c r="D12" s="147">
        <f>'Suivi EAU-ELEC'!C18</f>
        <v>200</v>
      </c>
      <c r="E12" s="95"/>
      <c r="F12" s="211">
        <f t="shared" si="0"/>
        <v>2534</v>
      </c>
      <c r="G12" s="212"/>
      <c r="H12" s="213"/>
      <c r="I12" s="142"/>
      <c r="J12" s="93">
        <f>'Suivi EAU-ELEC'!E18</f>
        <v>3354</v>
      </c>
      <c r="K12" s="94">
        <f>'Suivi EAU-ELEC'!G18</f>
        <v>4994</v>
      </c>
      <c r="L12" s="94">
        <f>'Suivi EAU-ELEC'!I18</f>
        <v>2078</v>
      </c>
      <c r="M12" s="82">
        <f t="shared" si="4"/>
        <v>10426</v>
      </c>
      <c r="N12" s="58"/>
      <c r="O12" s="59">
        <f t="shared" si="5"/>
        <v>10321.74</v>
      </c>
      <c r="P12" s="57"/>
      <c r="Q12" s="55"/>
      <c r="R12" s="56"/>
      <c r="S12" s="55"/>
      <c r="T12" s="95"/>
      <c r="U12" s="60">
        <f>'Suivi Gaz'!O13</f>
        <v>111.30000000000001</v>
      </c>
      <c r="V12" s="58"/>
      <c r="W12" s="59">
        <f t="shared" si="6"/>
        <v>1029.1911</v>
      </c>
      <c r="X12" s="65">
        <v>18696.8</v>
      </c>
      <c r="Y12" s="148">
        <f t="shared" si="1"/>
        <v>13.240000000001601</v>
      </c>
      <c r="Z12" s="64">
        <f t="shared" si="7"/>
        <v>7017.2000000008493</v>
      </c>
      <c r="AA12" s="58"/>
      <c r="AB12" s="61">
        <v>23</v>
      </c>
      <c r="AC12" s="78">
        <v>16</v>
      </c>
      <c r="AD12" s="79">
        <v>0.1212</v>
      </c>
      <c r="AE12" s="83">
        <v>26.5</v>
      </c>
      <c r="AF12" s="83">
        <v>27</v>
      </c>
      <c r="AG12" s="80" t="s">
        <v>85</v>
      </c>
      <c r="AH12" s="81" t="s">
        <v>85</v>
      </c>
      <c r="AI12" s="44"/>
      <c r="AJ12" s="129">
        <f t="shared" si="2"/>
        <v>20902.13110000085</v>
      </c>
      <c r="AK12" s="128">
        <f t="shared" si="3"/>
        <v>1306.3831937500531</v>
      </c>
      <c r="AL12" s="75"/>
    </row>
    <row r="13" spans="1:40" ht="32.25" customHeight="1" thickBot="1" x14ac:dyDescent="0.25">
      <c r="A13" s="73"/>
      <c r="B13" s="91">
        <f t="shared" si="8"/>
        <v>44231</v>
      </c>
      <c r="C13" s="92"/>
      <c r="D13" s="147">
        <f>'Suivi EAU-ELEC'!C19</f>
        <v>188</v>
      </c>
      <c r="E13" s="95"/>
      <c r="F13" s="208">
        <f t="shared" si="0"/>
        <v>2381.96</v>
      </c>
      <c r="G13" s="209"/>
      <c r="H13" s="210"/>
      <c r="I13" s="142"/>
      <c r="J13" s="93">
        <f>'Suivi EAU-ELEC'!E19</f>
        <v>3313</v>
      </c>
      <c r="K13" s="94">
        <f>'Suivi EAU-ELEC'!G19</f>
        <v>5166</v>
      </c>
      <c r="L13" s="94">
        <f>'Suivi EAU-ELEC'!I19</f>
        <v>2046</v>
      </c>
      <c r="M13" s="82">
        <f t="shared" si="4"/>
        <v>10525</v>
      </c>
      <c r="N13" s="58"/>
      <c r="O13" s="59">
        <f t="shared" si="5"/>
        <v>10419.75</v>
      </c>
      <c r="P13" s="57"/>
      <c r="Q13" s="55"/>
      <c r="R13" s="56"/>
      <c r="S13" s="55"/>
      <c r="T13" s="95"/>
      <c r="U13" s="60">
        <f>'Suivi Gaz'!O14</f>
        <v>333.90000000000003</v>
      </c>
      <c r="V13" s="58"/>
      <c r="W13" s="59">
        <f t="shared" si="6"/>
        <v>3087.5733000000005</v>
      </c>
      <c r="X13" s="65">
        <v>18710.04</v>
      </c>
      <c r="Y13" s="148">
        <f t="shared" si="1"/>
        <v>13.169999999998254</v>
      </c>
      <c r="Z13" s="64">
        <f t="shared" si="7"/>
        <v>6980.0999999990745</v>
      </c>
      <c r="AA13" s="58"/>
      <c r="AB13" s="61">
        <v>21</v>
      </c>
      <c r="AC13" s="78">
        <v>13</v>
      </c>
      <c r="AD13" s="79">
        <v>9.5600000000000004E-2</v>
      </c>
      <c r="AE13" s="83">
        <v>26.5</v>
      </c>
      <c r="AF13" s="83">
        <v>26.5</v>
      </c>
      <c r="AG13" s="80" t="s">
        <v>85</v>
      </c>
      <c r="AH13" s="81" t="s">
        <v>85</v>
      </c>
      <c r="AI13" s="44"/>
      <c r="AJ13" s="129">
        <f t="shared" si="2"/>
        <v>22869.383299999074</v>
      </c>
      <c r="AK13" s="128">
        <f t="shared" si="3"/>
        <v>1759.1833307691595</v>
      </c>
      <c r="AL13" s="74"/>
    </row>
    <row r="14" spans="1:40" ht="32.25" customHeight="1" thickBot="1" x14ac:dyDescent="0.25">
      <c r="A14" s="73"/>
      <c r="B14" s="91">
        <f t="shared" si="8"/>
        <v>44232</v>
      </c>
      <c r="C14" s="92"/>
      <c r="D14" s="147">
        <f>'Suivi EAU-ELEC'!C20</f>
        <v>438</v>
      </c>
      <c r="E14" s="95"/>
      <c r="F14" s="211">
        <f t="shared" si="0"/>
        <v>5549.46</v>
      </c>
      <c r="G14" s="212"/>
      <c r="H14" s="213"/>
      <c r="I14" s="142"/>
      <c r="J14" s="93">
        <f>'Suivi EAU-ELEC'!E20</f>
        <v>3150</v>
      </c>
      <c r="K14" s="94">
        <f>'Suivi EAU-ELEC'!G20</f>
        <v>4709</v>
      </c>
      <c r="L14" s="94">
        <f>'Suivi EAU-ELEC'!I20</f>
        <v>2005</v>
      </c>
      <c r="M14" s="82">
        <f t="shared" si="4"/>
        <v>9864</v>
      </c>
      <c r="N14" s="58"/>
      <c r="O14" s="59">
        <f t="shared" si="5"/>
        <v>9765.36</v>
      </c>
      <c r="P14" s="57"/>
      <c r="Q14" s="55"/>
      <c r="R14" s="56"/>
      <c r="S14" s="55"/>
      <c r="T14" s="95"/>
      <c r="U14" s="60">
        <f>'Suivi Gaz'!O15</f>
        <v>333.90000000000003</v>
      </c>
      <c r="V14" s="58"/>
      <c r="W14" s="59">
        <f t="shared" si="6"/>
        <v>3087.5733000000005</v>
      </c>
      <c r="X14" s="65">
        <v>18723.21</v>
      </c>
      <c r="Y14" s="148">
        <f t="shared" si="1"/>
        <v>11</v>
      </c>
      <c r="Z14" s="64">
        <f t="shared" si="7"/>
        <v>5830</v>
      </c>
      <c r="AA14" s="58"/>
      <c r="AB14" s="61">
        <v>18</v>
      </c>
      <c r="AC14" s="78">
        <v>17</v>
      </c>
      <c r="AD14" s="79">
        <v>0.1241</v>
      </c>
      <c r="AE14" s="83">
        <v>26.5</v>
      </c>
      <c r="AF14" s="83">
        <v>26.6</v>
      </c>
      <c r="AG14" s="80" t="s">
        <v>85</v>
      </c>
      <c r="AH14" s="81" t="s">
        <v>85</v>
      </c>
      <c r="AI14" s="44"/>
      <c r="AJ14" s="129">
        <f t="shared" si="2"/>
        <v>24232.3933</v>
      </c>
      <c r="AK14" s="128">
        <f t="shared" si="3"/>
        <v>1425.4349</v>
      </c>
      <c r="AL14" s="74"/>
    </row>
    <row r="15" spans="1:40" ht="32.25" customHeight="1" thickBot="1" x14ac:dyDescent="0.25">
      <c r="A15" s="73"/>
      <c r="B15" s="91">
        <f t="shared" si="8"/>
        <v>44233</v>
      </c>
      <c r="C15" s="92"/>
      <c r="D15" s="147">
        <f>'Suivi EAU-ELEC'!C21</f>
        <v>188</v>
      </c>
      <c r="E15" s="95"/>
      <c r="F15" s="214">
        <f t="shared" si="0"/>
        <v>2381.96</v>
      </c>
      <c r="G15" s="215"/>
      <c r="H15" s="216"/>
      <c r="I15" s="144"/>
      <c r="J15" s="93">
        <f>'Suivi EAU-ELEC'!E21</f>
        <v>3145</v>
      </c>
      <c r="K15" s="94">
        <f>'Suivi EAU-ELEC'!G21</f>
        <v>4868</v>
      </c>
      <c r="L15" s="94">
        <f>'Suivi EAU-ELEC'!I21</f>
        <v>2051</v>
      </c>
      <c r="M15" s="82">
        <f t="shared" si="4"/>
        <v>10064</v>
      </c>
      <c r="N15" s="58"/>
      <c r="O15" s="59">
        <f t="shared" si="5"/>
        <v>9963.36</v>
      </c>
      <c r="P15" s="57"/>
      <c r="Q15" s="55"/>
      <c r="R15" s="56"/>
      <c r="S15" s="55"/>
      <c r="T15" s="95"/>
      <c r="U15" s="60">
        <f>'Suivi Gaz'!O16</f>
        <v>593.6</v>
      </c>
      <c r="V15" s="58"/>
      <c r="W15" s="59">
        <f t="shared" si="6"/>
        <v>5489.0191999999997</v>
      </c>
      <c r="X15" s="65">
        <v>18734.21</v>
      </c>
      <c r="Y15" s="148">
        <f t="shared" si="1"/>
        <v>14.150000000001455</v>
      </c>
      <c r="Z15" s="64">
        <f t="shared" si="7"/>
        <v>7499.5000000007713</v>
      </c>
      <c r="AA15" s="58"/>
      <c r="AB15" s="61">
        <v>14</v>
      </c>
      <c r="AC15" s="78">
        <v>16</v>
      </c>
      <c r="AD15" s="79">
        <v>0.1168</v>
      </c>
      <c r="AE15" s="83">
        <v>26</v>
      </c>
      <c r="AF15" s="83">
        <v>26.5</v>
      </c>
      <c r="AG15" s="80" t="s">
        <v>85</v>
      </c>
      <c r="AH15" s="81" t="s">
        <v>85</v>
      </c>
      <c r="AI15" s="44"/>
      <c r="AJ15" s="129">
        <f t="shared" si="2"/>
        <v>25333.83920000077</v>
      </c>
      <c r="AK15" s="128">
        <f t="shared" si="3"/>
        <v>1583.3649500000481</v>
      </c>
      <c r="AL15" s="74"/>
    </row>
    <row r="16" spans="1:40" ht="32.25" customHeight="1" thickBot="1" x14ac:dyDescent="0.25">
      <c r="A16" s="73"/>
      <c r="B16" s="91">
        <f t="shared" si="8"/>
        <v>44234</v>
      </c>
      <c r="C16" s="92"/>
      <c r="D16" s="147">
        <f>'Suivi EAU-ELEC'!C22</f>
        <v>184</v>
      </c>
      <c r="E16" s="95"/>
      <c r="F16" s="208">
        <f t="shared" si="0"/>
        <v>2331.2800000000002</v>
      </c>
      <c r="G16" s="209"/>
      <c r="H16" s="210"/>
      <c r="I16" s="141"/>
      <c r="J16" s="93">
        <f>'Suivi EAU-ELEC'!E22</f>
        <v>3116</v>
      </c>
      <c r="K16" s="94">
        <f>'Suivi EAU-ELEC'!G22</f>
        <v>5057</v>
      </c>
      <c r="L16" s="94">
        <f>'Suivi EAU-ELEC'!I22</f>
        <v>2018</v>
      </c>
      <c r="M16" s="82">
        <f t="shared" si="4"/>
        <v>10191</v>
      </c>
      <c r="N16" s="58"/>
      <c r="O16" s="59">
        <f t="shared" si="5"/>
        <v>10089.09</v>
      </c>
      <c r="P16" s="57"/>
      <c r="Q16" s="55"/>
      <c r="R16" s="56"/>
      <c r="S16" s="55"/>
      <c r="T16" s="95"/>
      <c r="U16" s="60">
        <f>'Suivi Gaz'!O17</f>
        <v>556.5</v>
      </c>
      <c r="V16" s="58"/>
      <c r="W16" s="59">
        <f t="shared" si="6"/>
        <v>5145.9555</v>
      </c>
      <c r="X16" s="65">
        <v>18748.36</v>
      </c>
      <c r="Y16" s="148">
        <f t="shared" si="1"/>
        <v>13.520000000000437</v>
      </c>
      <c r="Z16" s="64">
        <f t="shared" si="7"/>
        <v>7165.6000000002314</v>
      </c>
      <c r="AA16" s="58"/>
      <c r="AB16" s="61">
        <v>13</v>
      </c>
      <c r="AC16" s="78">
        <v>11</v>
      </c>
      <c r="AD16" s="79">
        <v>8.0299999999999996E-2</v>
      </c>
      <c r="AE16" s="83">
        <v>26</v>
      </c>
      <c r="AF16" s="83">
        <v>27</v>
      </c>
      <c r="AG16" s="80" t="s">
        <v>85</v>
      </c>
      <c r="AH16" s="81" t="s">
        <v>85</v>
      </c>
      <c r="AI16" s="44"/>
      <c r="AJ16" s="129">
        <f t="shared" si="2"/>
        <v>24731.92550000023</v>
      </c>
      <c r="AK16" s="128">
        <f t="shared" si="3"/>
        <v>2248.3568636363848</v>
      </c>
      <c r="AL16" s="74"/>
    </row>
    <row r="17" spans="1:256" ht="32.25" customHeight="1" thickBot="1" x14ac:dyDescent="0.25">
      <c r="A17" s="73"/>
      <c r="B17" s="91">
        <f t="shared" si="8"/>
        <v>44235</v>
      </c>
      <c r="C17" s="92"/>
      <c r="D17" s="147">
        <f>'Suivi EAU-ELEC'!C23</f>
        <v>371</v>
      </c>
      <c r="E17" s="95"/>
      <c r="F17" s="211">
        <f t="shared" si="0"/>
        <v>4700.57</v>
      </c>
      <c r="G17" s="212"/>
      <c r="H17" s="213"/>
      <c r="I17" s="142"/>
      <c r="J17" s="93">
        <f>'Suivi EAU-ELEC'!E23</f>
        <v>3181</v>
      </c>
      <c r="K17" s="94">
        <f>'Suivi EAU-ELEC'!G23</f>
        <v>4491</v>
      </c>
      <c r="L17" s="94">
        <f>'Suivi EAU-ELEC'!I23</f>
        <v>1993</v>
      </c>
      <c r="M17" s="82">
        <f t="shared" si="4"/>
        <v>9665</v>
      </c>
      <c r="N17" s="58"/>
      <c r="O17" s="59">
        <f t="shared" si="5"/>
        <v>9568.35</v>
      </c>
      <c r="P17" s="57"/>
      <c r="Q17" s="55"/>
      <c r="R17" s="56"/>
      <c r="S17" s="55"/>
      <c r="T17" s="95"/>
      <c r="U17" s="60">
        <f>'Suivi Gaz'!O18</f>
        <v>371</v>
      </c>
      <c r="V17" s="58"/>
      <c r="W17" s="59">
        <f t="shared" si="6"/>
        <v>3430.6370000000002</v>
      </c>
      <c r="X17" s="65">
        <v>18761.88</v>
      </c>
      <c r="Y17" s="148">
        <f t="shared" si="1"/>
        <v>13.020000000000437</v>
      </c>
      <c r="Z17" s="64">
        <f t="shared" si="7"/>
        <v>6900.6000000002314</v>
      </c>
      <c r="AA17" s="67"/>
      <c r="AB17" s="61">
        <v>16</v>
      </c>
      <c r="AC17" s="78">
        <v>9</v>
      </c>
      <c r="AD17" s="79">
        <v>6.7199999999999996E-2</v>
      </c>
      <c r="AE17" s="83">
        <v>26</v>
      </c>
      <c r="AF17" s="83">
        <v>27</v>
      </c>
      <c r="AG17" s="80" t="s">
        <v>85</v>
      </c>
      <c r="AH17" s="81" t="s">
        <v>85</v>
      </c>
      <c r="AI17" s="44"/>
      <c r="AJ17" s="129">
        <f t="shared" si="2"/>
        <v>24600.157000000232</v>
      </c>
      <c r="AK17" s="128">
        <f t="shared" si="3"/>
        <v>2733.3507777778036</v>
      </c>
      <c r="AL17" s="74"/>
    </row>
    <row r="18" spans="1:256" ht="32.25" customHeight="1" thickBot="1" x14ac:dyDescent="0.25">
      <c r="A18" s="73"/>
      <c r="B18" s="91">
        <f t="shared" si="8"/>
        <v>44236</v>
      </c>
      <c r="C18" s="92"/>
      <c r="D18" s="147">
        <f>'Suivi EAU-ELEC'!C24</f>
        <v>330</v>
      </c>
      <c r="E18" s="95"/>
      <c r="F18" s="214">
        <f t="shared" si="0"/>
        <v>4181.1000000000004</v>
      </c>
      <c r="G18" s="215"/>
      <c r="H18" s="216"/>
      <c r="I18" s="142"/>
      <c r="J18" s="93">
        <f>'Suivi EAU-ELEC'!E24</f>
        <v>3037</v>
      </c>
      <c r="K18" s="94">
        <f>'Suivi EAU-ELEC'!G24</f>
        <v>4689</v>
      </c>
      <c r="L18" s="94">
        <f>'Suivi EAU-ELEC'!I24</f>
        <v>1862</v>
      </c>
      <c r="M18" s="82">
        <f t="shared" si="4"/>
        <v>9588</v>
      </c>
      <c r="N18" s="58"/>
      <c r="O18" s="59">
        <f t="shared" si="5"/>
        <v>9492.119999999999</v>
      </c>
      <c r="P18" s="57"/>
      <c r="Q18" s="55"/>
      <c r="R18" s="56"/>
      <c r="S18" s="55"/>
      <c r="T18" s="95"/>
      <c r="U18" s="60">
        <f>'Suivi Gaz'!O19</f>
        <v>296.8</v>
      </c>
      <c r="V18" s="58"/>
      <c r="W18" s="59">
        <f t="shared" si="6"/>
        <v>2744.5095999999999</v>
      </c>
      <c r="X18" s="65">
        <v>18774.900000000001</v>
      </c>
      <c r="Y18" s="148">
        <f t="shared" si="1"/>
        <v>13.659999999999854</v>
      </c>
      <c r="Z18" s="64">
        <f t="shared" si="7"/>
        <v>7239.7999999999238</v>
      </c>
      <c r="AA18" s="67"/>
      <c r="AB18" s="61">
        <v>17</v>
      </c>
      <c r="AC18" s="78">
        <v>11</v>
      </c>
      <c r="AD18" s="79">
        <v>8.09E-2</v>
      </c>
      <c r="AE18" s="83">
        <v>27</v>
      </c>
      <c r="AF18" s="83">
        <v>27.5</v>
      </c>
      <c r="AG18" s="80">
        <v>22.5</v>
      </c>
      <c r="AH18" s="81">
        <v>22.5</v>
      </c>
      <c r="AI18" s="44"/>
      <c r="AJ18" s="129">
        <f t="shared" si="2"/>
        <v>23657.529599999922</v>
      </c>
      <c r="AK18" s="128">
        <f t="shared" si="3"/>
        <v>2150.6845090909019</v>
      </c>
      <c r="AL18" s="74"/>
    </row>
    <row r="19" spans="1:256" ht="32.25" customHeight="1" thickBot="1" x14ac:dyDescent="0.25">
      <c r="A19" s="73"/>
      <c r="B19" s="91">
        <f t="shared" si="8"/>
        <v>44237</v>
      </c>
      <c r="C19" s="92"/>
      <c r="D19" s="147">
        <f>'Suivi EAU-ELEC'!C25</f>
        <v>185</v>
      </c>
      <c r="E19" s="95"/>
      <c r="F19" s="211">
        <f t="shared" si="0"/>
        <v>2343.9499999999998</v>
      </c>
      <c r="G19" s="212"/>
      <c r="H19" s="213"/>
      <c r="I19" s="142"/>
      <c r="J19" s="93">
        <f>'Suivi EAU-ELEC'!E25</f>
        <v>2898</v>
      </c>
      <c r="K19" s="94">
        <f>'Suivi EAU-ELEC'!G25</f>
        <v>4330</v>
      </c>
      <c r="L19" s="94">
        <f>'Suivi EAU-ELEC'!I25</f>
        <v>1865</v>
      </c>
      <c r="M19" s="82">
        <f t="shared" si="4"/>
        <v>9093</v>
      </c>
      <c r="N19" s="58"/>
      <c r="O19" s="59">
        <f t="shared" si="5"/>
        <v>9002.07</v>
      </c>
      <c r="P19" s="57"/>
      <c r="Q19" s="55"/>
      <c r="R19" s="56"/>
      <c r="S19" s="55"/>
      <c r="T19" s="95"/>
      <c r="U19" s="60">
        <f>'Suivi Gaz'!O20</f>
        <v>222.60000000000002</v>
      </c>
      <c r="V19" s="58"/>
      <c r="W19" s="59">
        <f t="shared" si="6"/>
        <v>2058.3822</v>
      </c>
      <c r="X19" s="65">
        <v>18788.560000000001</v>
      </c>
      <c r="Y19" s="148">
        <f t="shared" si="1"/>
        <v>14.399999999997817</v>
      </c>
      <c r="Z19" s="64">
        <f t="shared" si="7"/>
        <v>7631.9999999988431</v>
      </c>
      <c r="AA19" s="67"/>
      <c r="AB19" s="61">
        <v>18</v>
      </c>
      <c r="AC19" s="78">
        <v>11</v>
      </c>
      <c r="AD19" s="79">
        <v>8.2100000000000006E-2</v>
      </c>
      <c r="AE19" s="83">
        <v>26</v>
      </c>
      <c r="AF19" s="83">
        <v>27.5</v>
      </c>
      <c r="AG19" s="80">
        <v>22</v>
      </c>
      <c r="AH19" s="81">
        <v>24</v>
      </c>
      <c r="AI19" s="44"/>
      <c r="AJ19" s="129">
        <f t="shared" si="2"/>
        <v>21036.402199998844</v>
      </c>
      <c r="AK19" s="128">
        <f t="shared" si="3"/>
        <v>1912.4001999998948</v>
      </c>
      <c r="AL19" s="74"/>
    </row>
    <row r="20" spans="1:256" ht="32.25" customHeight="1" thickBot="1" x14ac:dyDescent="0.25">
      <c r="A20" s="73"/>
      <c r="B20" s="91">
        <f t="shared" si="8"/>
        <v>44238</v>
      </c>
      <c r="C20" s="92"/>
      <c r="D20" s="147">
        <f>'Suivi EAU-ELEC'!C26</f>
        <v>228</v>
      </c>
      <c r="E20" s="95"/>
      <c r="F20" s="208">
        <f t="shared" si="0"/>
        <v>2888.7599999999998</v>
      </c>
      <c r="G20" s="209"/>
      <c r="H20" s="210"/>
      <c r="I20" s="142"/>
      <c r="J20" s="93">
        <f>'Suivi EAU-ELEC'!E26</f>
        <v>2923</v>
      </c>
      <c r="K20" s="94">
        <f>'Suivi EAU-ELEC'!G26</f>
        <v>4565</v>
      </c>
      <c r="L20" s="94">
        <f>'Suivi EAU-ELEC'!I26</f>
        <v>2103</v>
      </c>
      <c r="M20" s="82">
        <f t="shared" si="4"/>
        <v>9591</v>
      </c>
      <c r="N20" s="58"/>
      <c r="O20" s="59">
        <f t="shared" si="5"/>
        <v>9495.09</v>
      </c>
      <c r="P20" s="57"/>
      <c r="Q20" s="55"/>
      <c r="R20" s="56"/>
      <c r="S20" s="55"/>
      <c r="T20" s="95"/>
      <c r="U20" s="60">
        <f>'Suivi Gaz'!O21</f>
        <v>408.1</v>
      </c>
      <c r="V20" s="58"/>
      <c r="W20" s="59">
        <f t="shared" si="6"/>
        <v>3773.7007000000003</v>
      </c>
      <c r="X20" s="65">
        <v>18802.96</v>
      </c>
      <c r="Y20" s="148">
        <f t="shared" si="1"/>
        <v>13.720000000001164</v>
      </c>
      <c r="Z20" s="64">
        <f t="shared" si="7"/>
        <v>7271.6000000006179</v>
      </c>
      <c r="AA20" s="67">
        <v>14</v>
      </c>
      <c r="AB20" s="61">
        <v>18</v>
      </c>
      <c r="AC20" s="78">
        <v>10</v>
      </c>
      <c r="AD20" s="79">
        <v>7.4099999999999999E-2</v>
      </c>
      <c r="AE20" s="83">
        <v>26</v>
      </c>
      <c r="AF20" s="83">
        <v>27.5</v>
      </c>
      <c r="AG20" s="80">
        <v>25</v>
      </c>
      <c r="AH20" s="81">
        <v>25</v>
      </c>
      <c r="AI20" s="44"/>
      <c r="AJ20" s="129">
        <f t="shared" si="2"/>
        <v>23429.150700000617</v>
      </c>
      <c r="AK20" s="128">
        <f t="shared" si="3"/>
        <v>2342.9150700000619</v>
      </c>
      <c r="AL20" s="74"/>
    </row>
    <row r="21" spans="1:256" ht="32.25" customHeight="1" thickBot="1" x14ac:dyDescent="0.25">
      <c r="A21" s="73"/>
      <c r="B21" s="91">
        <f t="shared" si="8"/>
        <v>44239</v>
      </c>
      <c r="C21" s="92"/>
      <c r="D21" s="147">
        <f>'Suivi EAU-ELEC'!C27</f>
        <v>356</v>
      </c>
      <c r="E21" s="95"/>
      <c r="F21" s="211">
        <f t="shared" si="0"/>
        <v>4510.5199999999995</v>
      </c>
      <c r="G21" s="212"/>
      <c r="H21" s="213"/>
      <c r="I21" s="142"/>
      <c r="J21" s="93">
        <f>'Suivi EAU-ELEC'!E27</f>
        <v>4143</v>
      </c>
      <c r="K21" s="94">
        <f>'Suivi EAU-ELEC'!G27</f>
        <v>5018</v>
      </c>
      <c r="L21" s="94">
        <f>'Suivi EAU-ELEC'!I27</f>
        <v>2403</v>
      </c>
      <c r="M21" s="82">
        <f t="shared" si="4"/>
        <v>11564</v>
      </c>
      <c r="N21" s="58"/>
      <c r="O21" s="59">
        <f t="shared" si="5"/>
        <v>11448.359999999999</v>
      </c>
      <c r="P21" s="57"/>
      <c r="Q21" s="55"/>
      <c r="R21" s="56"/>
      <c r="S21" s="55"/>
      <c r="T21" s="95"/>
      <c r="U21" s="60">
        <f>'Suivi Gaz'!O22</f>
        <v>296.8</v>
      </c>
      <c r="V21" s="58"/>
      <c r="W21" s="59">
        <f t="shared" si="6"/>
        <v>2744.5095999999999</v>
      </c>
      <c r="X21" s="65">
        <v>18816.68</v>
      </c>
      <c r="Y21" s="148">
        <f t="shared" si="1"/>
        <v>16.31000000000131</v>
      </c>
      <c r="Z21" s="64">
        <f t="shared" si="7"/>
        <v>8644.3000000006941</v>
      </c>
      <c r="AA21" s="67">
        <v>14</v>
      </c>
      <c r="AB21" s="61">
        <v>20</v>
      </c>
      <c r="AC21" s="78">
        <v>35</v>
      </c>
      <c r="AD21" s="79">
        <v>0.25929999999999997</v>
      </c>
      <c r="AE21" s="83">
        <v>29</v>
      </c>
      <c r="AF21" s="166">
        <v>28.5</v>
      </c>
      <c r="AG21" s="80">
        <v>28.5</v>
      </c>
      <c r="AH21" s="81">
        <v>28.5</v>
      </c>
      <c r="AI21" s="44"/>
      <c r="AJ21" s="129">
        <f t="shared" si="2"/>
        <v>27347.689600000693</v>
      </c>
      <c r="AK21" s="128">
        <f>AJ21/AC21</f>
        <v>781.36256000001981</v>
      </c>
      <c r="AL21" s="74"/>
    </row>
    <row r="22" spans="1:256" ht="32.25" customHeight="1" thickBot="1" x14ac:dyDescent="0.25">
      <c r="A22" s="73"/>
      <c r="B22" s="91">
        <f t="shared" si="8"/>
        <v>44240</v>
      </c>
      <c r="C22" s="92"/>
      <c r="D22" s="147">
        <f>'Suivi EAU-ELEC'!C28</f>
        <v>264</v>
      </c>
      <c r="E22" s="95"/>
      <c r="F22" s="214">
        <f t="shared" si="0"/>
        <v>3344.88</v>
      </c>
      <c r="G22" s="215"/>
      <c r="H22" s="216"/>
      <c r="I22" s="142"/>
      <c r="J22" s="93">
        <f>'Suivi EAU-ELEC'!E28</f>
        <v>3642</v>
      </c>
      <c r="K22" s="94">
        <f>'Suivi EAU-ELEC'!G28</f>
        <v>6411</v>
      </c>
      <c r="L22" s="94">
        <f>'Suivi EAU-ELEC'!I28</f>
        <v>2640</v>
      </c>
      <c r="M22" s="82">
        <f t="shared" si="4"/>
        <v>12693</v>
      </c>
      <c r="N22" s="58"/>
      <c r="O22" s="59">
        <f t="shared" si="5"/>
        <v>12566.070000000002</v>
      </c>
      <c r="P22" s="57"/>
      <c r="Q22" s="55"/>
      <c r="R22" s="56"/>
      <c r="S22" s="55"/>
      <c r="T22" s="95"/>
      <c r="U22" s="60">
        <f>'Suivi Gaz'!O23</f>
        <v>556.5</v>
      </c>
      <c r="V22" s="58"/>
      <c r="W22" s="59">
        <f t="shared" si="6"/>
        <v>5145.9555</v>
      </c>
      <c r="X22" s="65">
        <v>18832.990000000002</v>
      </c>
      <c r="Y22" s="148">
        <f t="shared" si="1"/>
        <v>17.68999999999869</v>
      </c>
      <c r="Z22" s="64">
        <f t="shared" si="7"/>
        <v>9375.6999999993059</v>
      </c>
      <c r="AA22" s="58"/>
      <c r="AB22" s="61">
        <v>21</v>
      </c>
      <c r="AC22" s="78">
        <v>63</v>
      </c>
      <c r="AD22" s="79">
        <v>0.4667</v>
      </c>
      <c r="AE22" s="83">
        <v>27.5</v>
      </c>
      <c r="AF22" s="83">
        <v>28</v>
      </c>
      <c r="AG22" s="80">
        <v>28.5</v>
      </c>
      <c r="AH22" s="81">
        <v>28.5</v>
      </c>
      <c r="AI22" s="44"/>
      <c r="AJ22" s="129">
        <f t="shared" si="2"/>
        <v>30432.605499999307</v>
      </c>
      <c r="AK22" s="128">
        <f t="shared" si="3"/>
        <v>483.05723015871916</v>
      </c>
      <c r="AL22" s="74"/>
    </row>
    <row r="23" spans="1:256" ht="32.25" customHeight="1" thickBot="1" x14ac:dyDescent="0.25">
      <c r="A23" s="73"/>
      <c r="B23" s="91">
        <f t="shared" si="8"/>
        <v>44241</v>
      </c>
      <c r="C23" s="92"/>
      <c r="D23" s="147">
        <f>'Suivi EAU-ELEC'!C29</f>
        <v>274</v>
      </c>
      <c r="E23" s="95"/>
      <c r="F23" s="211">
        <f t="shared" si="0"/>
        <v>3471.58</v>
      </c>
      <c r="G23" s="212"/>
      <c r="H23" s="213"/>
      <c r="I23" s="142"/>
      <c r="J23" s="93">
        <f>'Suivi EAU-ELEC'!E29</f>
        <v>3094</v>
      </c>
      <c r="K23" s="94">
        <f>'Suivi EAU-ELEC'!G29</f>
        <v>5466</v>
      </c>
      <c r="L23" s="94">
        <f>'Suivi EAU-ELEC'!I29</f>
        <v>2952</v>
      </c>
      <c r="M23" s="82">
        <f t="shared" si="4"/>
        <v>11512</v>
      </c>
      <c r="N23" s="58"/>
      <c r="O23" s="59">
        <f t="shared" si="5"/>
        <v>11396.88</v>
      </c>
      <c r="P23" s="57"/>
      <c r="Q23" s="55"/>
      <c r="R23" s="56"/>
      <c r="S23" s="55"/>
      <c r="T23" s="95"/>
      <c r="U23" s="60">
        <f>'Suivi Gaz'!O24</f>
        <v>148.4</v>
      </c>
      <c r="V23" s="58"/>
      <c r="W23" s="59">
        <f t="shared" si="6"/>
        <v>1372.2547999999999</v>
      </c>
      <c r="X23" s="65">
        <v>18850.68</v>
      </c>
      <c r="Y23" s="148">
        <f t="shared" si="1"/>
        <v>17.989999999997963</v>
      </c>
      <c r="Z23" s="64">
        <f t="shared" si="7"/>
        <v>9534.6999999989202</v>
      </c>
      <c r="AA23" s="58"/>
      <c r="AB23" s="61">
        <v>23</v>
      </c>
      <c r="AC23" s="78">
        <v>45</v>
      </c>
      <c r="AD23" s="79">
        <v>0.33829999999999999</v>
      </c>
      <c r="AE23" s="83">
        <v>27.5</v>
      </c>
      <c r="AF23" s="83">
        <v>28.5</v>
      </c>
      <c r="AG23" s="80">
        <v>28.5</v>
      </c>
      <c r="AH23" s="81">
        <v>28.5</v>
      </c>
      <c r="AI23" s="44"/>
      <c r="AJ23" s="129">
        <f t="shared" si="2"/>
        <v>25775.414799998922</v>
      </c>
      <c r="AK23" s="128">
        <f t="shared" si="3"/>
        <v>572.78699555553158</v>
      </c>
      <c r="AL23" s="74"/>
    </row>
    <row r="24" spans="1:256" ht="32.25" customHeight="1" thickBot="1" x14ac:dyDescent="0.25">
      <c r="A24" s="73"/>
      <c r="B24" s="91">
        <f t="shared" si="8"/>
        <v>44242</v>
      </c>
      <c r="C24" s="92"/>
      <c r="D24" s="147">
        <f>'Suivi EAU-ELEC'!C30</f>
        <v>0</v>
      </c>
      <c r="E24" s="95"/>
      <c r="F24" s="211">
        <f t="shared" si="0"/>
        <v>0</v>
      </c>
      <c r="G24" s="212"/>
      <c r="H24" s="213"/>
      <c r="I24" s="142"/>
      <c r="J24" s="93">
        <f>'Suivi EAU-ELEC'!E30</f>
        <v>0</v>
      </c>
      <c r="K24" s="94">
        <f>'Suivi EAU-ELEC'!G30</f>
        <v>0</v>
      </c>
      <c r="L24" s="94">
        <f>'Suivi EAU-ELEC'!I30</f>
        <v>0</v>
      </c>
      <c r="M24" s="82">
        <f t="shared" si="4"/>
        <v>0</v>
      </c>
      <c r="N24" s="58"/>
      <c r="O24" s="59">
        <f t="shared" si="5"/>
        <v>0</v>
      </c>
      <c r="P24" s="57"/>
      <c r="Q24" s="55"/>
      <c r="R24" s="56"/>
      <c r="S24" s="55"/>
      <c r="T24" s="95"/>
      <c r="U24" s="60">
        <f>'Suivi Gaz'!O25</f>
        <v>0</v>
      </c>
      <c r="V24" s="58"/>
      <c r="W24" s="59">
        <f t="shared" si="6"/>
        <v>0</v>
      </c>
      <c r="X24" s="65">
        <v>18868.669999999998</v>
      </c>
      <c r="Y24" s="148">
        <f t="shared" si="1"/>
        <v>0</v>
      </c>
      <c r="Z24" s="64">
        <f t="shared" si="7"/>
        <v>0</v>
      </c>
      <c r="AA24" s="58"/>
      <c r="AB24" s="61"/>
      <c r="AC24" s="78"/>
      <c r="AD24" s="79"/>
      <c r="AE24" s="83"/>
      <c r="AF24" s="83"/>
      <c r="AG24" s="80"/>
      <c r="AH24" s="81"/>
      <c r="AJ24" s="129">
        <f>(F24+O24+W24+Z24)</f>
        <v>0</v>
      </c>
      <c r="AK24" s="128" t="e">
        <f t="shared" si="3"/>
        <v>#DIV/0!</v>
      </c>
      <c r="AL24" s="74"/>
    </row>
    <row r="25" spans="1:256" ht="32.25" customHeight="1" thickBot="1" x14ac:dyDescent="0.25">
      <c r="A25" s="73"/>
      <c r="B25" s="91">
        <f t="shared" si="8"/>
        <v>44243</v>
      </c>
      <c r="C25" s="92"/>
      <c r="D25" s="147">
        <f>'Suivi EAU-ELEC'!C31</f>
        <v>0</v>
      </c>
      <c r="E25" s="95"/>
      <c r="F25" s="211">
        <f t="shared" si="0"/>
        <v>0</v>
      </c>
      <c r="G25" s="212"/>
      <c r="H25" s="213"/>
      <c r="I25" s="142"/>
      <c r="J25" s="93">
        <f>'Suivi EAU-ELEC'!E31</f>
        <v>0</v>
      </c>
      <c r="K25" s="94">
        <f>'Suivi EAU-ELEC'!G31</f>
        <v>0</v>
      </c>
      <c r="L25" s="94">
        <f>'Suivi EAU-ELEC'!I31</f>
        <v>0</v>
      </c>
      <c r="M25" s="82">
        <f t="shared" si="4"/>
        <v>0</v>
      </c>
      <c r="N25" s="58"/>
      <c r="O25" s="59">
        <f t="shared" si="5"/>
        <v>0</v>
      </c>
      <c r="P25" s="57"/>
      <c r="Q25" s="55"/>
      <c r="R25" s="56"/>
      <c r="S25" s="55"/>
      <c r="T25" s="95"/>
      <c r="U25" s="60">
        <f>'Suivi Gaz'!O26</f>
        <v>0</v>
      </c>
      <c r="V25" s="58"/>
      <c r="W25" s="59">
        <f t="shared" si="6"/>
        <v>0</v>
      </c>
      <c r="X25" s="65"/>
      <c r="Y25" s="148">
        <f t="shared" si="1"/>
        <v>0</v>
      </c>
      <c r="Z25" s="64">
        <f t="shared" si="7"/>
        <v>0</v>
      </c>
      <c r="AA25" s="58"/>
      <c r="AB25" s="61"/>
      <c r="AC25" s="78"/>
      <c r="AD25" s="79"/>
      <c r="AE25" s="83"/>
      <c r="AF25" s="83"/>
      <c r="AG25" s="80"/>
      <c r="AH25" s="81"/>
      <c r="AI25" s="44"/>
      <c r="AJ25" s="129">
        <f>(F25+O25+W25+Z25)</f>
        <v>0</v>
      </c>
      <c r="AK25" s="128" t="e">
        <f t="shared" si="3"/>
        <v>#DIV/0!</v>
      </c>
      <c r="AL25" s="74"/>
    </row>
    <row r="26" spans="1:256" ht="32.25" customHeight="1" thickBot="1" x14ac:dyDescent="0.25">
      <c r="A26" s="73"/>
      <c r="B26" s="91">
        <f t="shared" si="8"/>
        <v>44244</v>
      </c>
      <c r="C26" s="92"/>
      <c r="D26" s="147">
        <f>'Suivi EAU-ELEC'!C32</f>
        <v>0</v>
      </c>
      <c r="E26" s="150"/>
      <c r="F26" s="211">
        <f t="shared" si="0"/>
        <v>0</v>
      </c>
      <c r="G26" s="212"/>
      <c r="H26" s="213"/>
      <c r="I26" s="142"/>
      <c r="J26" s="93">
        <f>'Suivi EAU-ELEC'!E32</f>
        <v>0</v>
      </c>
      <c r="K26" s="94">
        <f>'Suivi EAU-ELEC'!G32</f>
        <v>0</v>
      </c>
      <c r="L26" s="94">
        <f>'Suivi EAU-ELEC'!I32</f>
        <v>0</v>
      </c>
      <c r="M26" s="82">
        <f t="shared" si="4"/>
        <v>0</v>
      </c>
      <c r="N26" s="58"/>
      <c r="O26" s="59">
        <f t="shared" si="5"/>
        <v>0</v>
      </c>
      <c r="P26" s="57"/>
      <c r="Q26" s="55"/>
      <c r="R26" s="56"/>
      <c r="S26" s="55"/>
      <c r="T26" s="95"/>
      <c r="U26" s="60">
        <f>'Suivi Gaz'!O27</f>
        <v>0</v>
      </c>
      <c r="V26" s="84"/>
      <c r="W26" s="59">
        <f t="shared" si="6"/>
        <v>0</v>
      </c>
      <c r="X26" s="65"/>
      <c r="Y26" s="148">
        <f t="shared" si="1"/>
        <v>0</v>
      </c>
      <c r="Z26" s="64">
        <f t="shared" si="7"/>
        <v>0</v>
      </c>
      <c r="AA26" s="84"/>
      <c r="AB26" s="61"/>
      <c r="AC26" s="78"/>
      <c r="AD26" s="79"/>
      <c r="AE26" s="83"/>
      <c r="AF26" s="83"/>
      <c r="AG26" s="80"/>
      <c r="AH26" s="81"/>
      <c r="AI26" s="44"/>
      <c r="AJ26" s="129">
        <f>(F26+O26+W26+Z26)</f>
        <v>0</v>
      </c>
      <c r="AK26" s="128" t="e">
        <f t="shared" si="3"/>
        <v>#DIV/0!</v>
      </c>
      <c r="AL26" s="74"/>
    </row>
    <row r="27" spans="1:256" ht="32.25" customHeight="1" thickBot="1" x14ac:dyDescent="0.25">
      <c r="A27" s="73"/>
      <c r="B27" s="91">
        <f t="shared" si="8"/>
        <v>44245</v>
      </c>
      <c r="C27" s="92"/>
      <c r="D27" s="147">
        <f>'Suivi EAU-ELEC'!C33</f>
        <v>0</v>
      </c>
      <c r="E27" s="150"/>
      <c r="F27" s="211">
        <f t="shared" si="0"/>
        <v>0</v>
      </c>
      <c r="G27" s="212"/>
      <c r="H27" s="213"/>
      <c r="I27" s="142"/>
      <c r="J27" s="93">
        <f>'Suivi EAU-ELEC'!E33</f>
        <v>0</v>
      </c>
      <c r="K27" s="94">
        <f>'Suivi EAU-ELEC'!G33</f>
        <v>0</v>
      </c>
      <c r="L27" s="94">
        <f>'Suivi EAU-ELEC'!I33</f>
        <v>0</v>
      </c>
      <c r="M27" s="82">
        <f t="shared" si="4"/>
        <v>0</v>
      </c>
      <c r="N27" s="58"/>
      <c r="O27" s="59">
        <f t="shared" si="5"/>
        <v>0</v>
      </c>
      <c r="P27" s="57"/>
      <c r="Q27" s="55"/>
      <c r="R27" s="56"/>
      <c r="S27" s="55"/>
      <c r="T27" s="95"/>
      <c r="U27" s="60">
        <f>'Suivi Gaz'!O28</f>
        <v>0</v>
      </c>
      <c r="V27" s="84"/>
      <c r="W27" s="59">
        <f t="shared" si="6"/>
        <v>0</v>
      </c>
      <c r="X27" s="65"/>
      <c r="Y27" s="148">
        <f t="shared" si="1"/>
        <v>0</v>
      </c>
      <c r="Z27" s="64">
        <f t="shared" si="7"/>
        <v>0</v>
      </c>
      <c r="AA27" s="84"/>
      <c r="AB27" s="61"/>
      <c r="AC27" s="78"/>
      <c r="AD27" s="79"/>
      <c r="AE27" s="83"/>
      <c r="AF27" s="83"/>
      <c r="AG27" s="80"/>
      <c r="AH27" s="81"/>
      <c r="AI27" s="44"/>
      <c r="AJ27" s="129">
        <f t="shared" si="2"/>
        <v>0</v>
      </c>
      <c r="AK27" s="128" t="e">
        <f t="shared" si="3"/>
        <v>#DIV/0!</v>
      </c>
      <c r="AL27" s="74"/>
    </row>
    <row r="28" spans="1:256" ht="32.25" customHeight="1" thickBot="1" x14ac:dyDescent="0.25">
      <c r="A28" s="73"/>
      <c r="B28" s="91">
        <f t="shared" si="8"/>
        <v>44246</v>
      </c>
      <c r="C28" s="92"/>
      <c r="D28" s="147">
        <f>'Suivi EAU-ELEC'!C34</f>
        <v>0</v>
      </c>
      <c r="E28" s="150"/>
      <c r="F28" s="208">
        <f t="shared" si="0"/>
        <v>0</v>
      </c>
      <c r="G28" s="209"/>
      <c r="H28" s="210"/>
      <c r="I28" s="143"/>
      <c r="J28" s="93">
        <f>'Suivi EAU-ELEC'!E34</f>
        <v>0</v>
      </c>
      <c r="K28" s="94">
        <f>'Suivi EAU-ELEC'!G34</f>
        <v>0</v>
      </c>
      <c r="L28" s="94">
        <f>'Suivi EAU-ELEC'!I34</f>
        <v>0</v>
      </c>
      <c r="M28" s="82">
        <f t="shared" si="4"/>
        <v>0</v>
      </c>
      <c r="N28" s="58"/>
      <c r="O28" s="59">
        <f t="shared" si="5"/>
        <v>0</v>
      </c>
      <c r="P28" s="57"/>
      <c r="Q28" s="55"/>
      <c r="R28" s="56"/>
      <c r="S28" s="55"/>
      <c r="T28" s="95"/>
      <c r="U28" s="60">
        <f>'Suivi Gaz'!O29</f>
        <v>0</v>
      </c>
      <c r="V28" s="84"/>
      <c r="W28" s="59">
        <f t="shared" si="6"/>
        <v>0</v>
      </c>
      <c r="X28" s="65"/>
      <c r="Y28" s="148">
        <f t="shared" si="1"/>
        <v>0</v>
      </c>
      <c r="Z28" s="64">
        <f t="shared" si="7"/>
        <v>0</v>
      </c>
      <c r="AA28" s="84"/>
      <c r="AB28" s="61"/>
      <c r="AC28" s="78"/>
      <c r="AD28" s="79"/>
      <c r="AE28" s="83"/>
      <c r="AF28" s="83"/>
      <c r="AG28" s="80"/>
      <c r="AH28" s="81"/>
      <c r="AI28" s="44"/>
      <c r="AJ28" s="129">
        <f>(F28+O28+W28+Z28)</f>
        <v>0</v>
      </c>
      <c r="AK28" s="128" t="e">
        <f t="shared" si="3"/>
        <v>#DIV/0!</v>
      </c>
      <c r="AL28" s="74"/>
    </row>
    <row r="29" spans="1:256" ht="32.25" customHeight="1" thickBot="1" x14ac:dyDescent="0.25">
      <c r="A29" s="73"/>
      <c r="B29" s="91">
        <f t="shared" si="8"/>
        <v>44247</v>
      </c>
      <c r="C29" s="92"/>
      <c r="D29" s="147">
        <f>'Suivi EAU-ELEC'!C35</f>
        <v>0</v>
      </c>
      <c r="E29" s="150"/>
      <c r="F29" s="211">
        <f t="shared" si="0"/>
        <v>0</v>
      </c>
      <c r="G29" s="212"/>
      <c r="H29" s="213"/>
      <c r="I29" s="143"/>
      <c r="J29" s="93">
        <f>'Suivi EAU-ELEC'!E35</f>
        <v>0</v>
      </c>
      <c r="K29" s="94">
        <f>'Suivi EAU-ELEC'!G35</f>
        <v>0</v>
      </c>
      <c r="L29" s="94">
        <f>'Suivi EAU-ELEC'!I35</f>
        <v>0</v>
      </c>
      <c r="M29" s="82">
        <f t="shared" si="4"/>
        <v>0</v>
      </c>
      <c r="N29" s="58"/>
      <c r="O29" s="59">
        <f t="shared" si="5"/>
        <v>0</v>
      </c>
      <c r="P29" s="57"/>
      <c r="Q29" s="55"/>
      <c r="R29" s="56"/>
      <c r="S29" s="55"/>
      <c r="T29" s="95"/>
      <c r="U29" s="60">
        <f>'Suivi Gaz'!O30</f>
        <v>0</v>
      </c>
      <c r="V29" s="84"/>
      <c r="W29" s="59">
        <f t="shared" si="6"/>
        <v>0</v>
      </c>
      <c r="X29" s="65"/>
      <c r="Y29" s="148">
        <f t="shared" si="1"/>
        <v>0</v>
      </c>
      <c r="Z29" s="64">
        <f t="shared" si="7"/>
        <v>0</v>
      </c>
      <c r="AA29" s="84"/>
      <c r="AB29" s="61"/>
      <c r="AC29" s="78"/>
      <c r="AD29" s="79"/>
      <c r="AE29" s="83"/>
      <c r="AF29" s="83"/>
      <c r="AG29" s="80"/>
      <c r="AH29" s="81"/>
      <c r="AI29" s="44"/>
      <c r="AJ29" s="129">
        <f t="shared" si="2"/>
        <v>0</v>
      </c>
      <c r="AK29" s="128" t="e">
        <f t="shared" si="3"/>
        <v>#DIV/0!</v>
      </c>
      <c r="AL29" s="74"/>
    </row>
    <row r="30" spans="1:256" s="66" customFormat="1" ht="32.25" customHeight="1" thickBot="1" x14ac:dyDescent="0.25">
      <c r="A30" s="96"/>
      <c r="B30" s="91">
        <f t="shared" si="8"/>
        <v>44248</v>
      </c>
      <c r="C30" s="97"/>
      <c r="D30" s="147">
        <f>'Suivi EAU-ELEC'!C36</f>
        <v>0</v>
      </c>
      <c r="E30" s="150"/>
      <c r="F30" s="208">
        <f t="shared" si="0"/>
        <v>0</v>
      </c>
      <c r="G30" s="209"/>
      <c r="H30" s="210"/>
      <c r="I30" s="143"/>
      <c r="J30" s="93">
        <f>'Suivi EAU-ELEC'!E36</f>
        <v>0</v>
      </c>
      <c r="K30" s="94">
        <f>'Suivi EAU-ELEC'!G36</f>
        <v>0</v>
      </c>
      <c r="L30" s="94">
        <f>'Suivi EAU-ELEC'!I36</f>
        <v>0</v>
      </c>
      <c r="M30" s="82">
        <f t="shared" si="4"/>
        <v>0</v>
      </c>
      <c r="N30" s="58"/>
      <c r="O30" s="59">
        <f t="shared" si="5"/>
        <v>0</v>
      </c>
      <c r="P30" s="57"/>
      <c r="Q30" s="55"/>
      <c r="R30" s="56"/>
      <c r="S30" s="55"/>
      <c r="T30" s="95"/>
      <c r="U30" s="60">
        <f>'Suivi Gaz'!O31</f>
        <v>0</v>
      </c>
      <c r="V30" s="84"/>
      <c r="W30" s="59">
        <f t="shared" si="6"/>
        <v>0</v>
      </c>
      <c r="X30" s="65"/>
      <c r="Y30" s="148">
        <f t="shared" si="1"/>
        <v>0</v>
      </c>
      <c r="Z30" s="64">
        <f t="shared" si="7"/>
        <v>0</v>
      </c>
      <c r="AA30" s="84"/>
      <c r="AB30" s="61"/>
      <c r="AC30" s="78"/>
      <c r="AD30" s="79"/>
      <c r="AE30" s="83"/>
      <c r="AF30" s="83"/>
      <c r="AG30" s="80"/>
      <c r="AH30" s="81"/>
      <c r="AI30" s="44"/>
      <c r="AJ30" s="129">
        <f t="shared" si="2"/>
        <v>0</v>
      </c>
      <c r="AK30" s="128" t="e">
        <f t="shared" si="3"/>
        <v>#DIV/0!</v>
      </c>
      <c r="AL30" s="74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32.25" customHeight="1" thickBot="1" x14ac:dyDescent="0.25">
      <c r="A31" s="73"/>
      <c r="B31" s="91">
        <f t="shared" si="8"/>
        <v>44249</v>
      </c>
      <c r="C31" s="92"/>
      <c r="D31" s="147">
        <f>'Suivi EAU-ELEC'!C37</f>
        <v>0</v>
      </c>
      <c r="E31" s="95"/>
      <c r="F31" s="211">
        <f t="shared" si="0"/>
        <v>0</v>
      </c>
      <c r="G31" s="212"/>
      <c r="H31" s="213"/>
      <c r="I31" s="144"/>
      <c r="J31" s="93">
        <f>'Suivi EAU-ELEC'!E37</f>
        <v>0</v>
      </c>
      <c r="K31" s="94">
        <f>'Suivi EAU-ELEC'!G37</f>
        <v>0</v>
      </c>
      <c r="L31" s="94">
        <f>'Suivi EAU-ELEC'!I37</f>
        <v>0</v>
      </c>
      <c r="M31" s="82">
        <f t="shared" si="4"/>
        <v>0</v>
      </c>
      <c r="N31" s="58"/>
      <c r="O31" s="59">
        <f t="shared" si="5"/>
        <v>0</v>
      </c>
      <c r="P31" s="57"/>
      <c r="Q31" s="55"/>
      <c r="R31" s="56"/>
      <c r="S31" s="55"/>
      <c r="T31" s="95"/>
      <c r="U31" s="60">
        <f>'Suivi Gaz'!O32</f>
        <v>0</v>
      </c>
      <c r="V31" s="58"/>
      <c r="W31" s="59">
        <f t="shared" si="6"/>
        <v>0</v>
      </c>
      <c r="X31" s="65"/>
      <c r="Y31" s="148">
        <f t="shared" si="1"/>
        <v>0</v>
      </c>
      <c r="Z31" s="64">
        <f t="shared" si="7"/>
        <v>0</v>
      </c>
      <c r="AA31" s="58"/>
      <c r="AB31" s="61"/>
      <c r="AC31" s="78"/>
      <c r="AD31" s="79"/>
      <c r="AE31" s="83"/>
      <c r="AF31" s="83"/>
      <c r="AG31" s="80"/>
      <c r="AH31" s="81"/>
      <c r="AI31" s="44"/>
      <c r="AJ31" s="129">
        <f t="shared" si="2"/>
        <v>0</v>
      </c>
      <c r="AK31" s="128" t="e">
        <f t="shared" si="3"/>
        <v>#DIV/0!</v>
      </c>
      <c r="AL31" s="74"/>
    </row>
    <row r="32" spans="1:256" ht="32.25" customHeight="1" thickBot="1" x14ac:dyDescent="0.25">
      <c r="A32" s="73"/>
      <c r="B32" s="91">
        <f t="shared" si="8"/>
        <v>44250</v>
      </c>
      <c r="C32" s="92"/>
      <c r="D32" s="147">
        <f>'Suivi EAU-ELEC'!C38</f>
        <v>0</v>
      </c>
      <c r="E32" s="95"/>
      <c r="F32" s="211">
        <f t="shared" si="0"/>
        <v>0</v>
      </c>
      <c r="G32" s="212"/>
      <c r="H32" s="213"/>
      <c r="I32" s="141"/>
      <c r="J32" s="93">
        <f>'Suivi EAU-ELEC'!E38</f>
        <v>0</v>
      </c>
      <c r="K32" s="94">
        <f>'Suivi EAU-ELEC'!G38</f>
        <v>0</v>
      </c>
      <c r="L32" s="94">
        <f>'Suivi EAU-ELEC'!I38</f>
        <v>0</v>
      </c>
      <c r="M32" s="82">
        <f t="shared" si="4"/>
        <v>0</v>
      </c>
      <c r="N32" s="58"/>
      <c r="O32" s="59">
        <f t="shared" si="5"/>
        <v>0</v>
      </c>
      <c r="P32" s="57"/>
      <c r="Q32" s="55"/>
      <c r="R32" s="56"/>
      <c r="S32" s="55"/>
      <c r="T32" s="95"/>
      <c r="U32" s="60">
        <f>'Suivi Gaz'!O33</f>
        <v>0</v>
      </c>
      <c r="V32" s="58"/>
      <c r="W32" s="59">
        <f t="shared" si="6"/>
        <v>0</v>
      </c>
      <c r="X32" s="65"/>
      <c r="Y32" s="148">
        <f t="shared" si="1"/>
        <v>0</v>
      </c>
      <c r="Z32" s="64">
        <f t="shared" si="7"/>
        <v>0</v>
      </c>
      <c r="AA32" s="58"/>
      <c r="AB32" s="61"/>
      <c r="AC32" s="78"/>
      <c r="AD32" s="79"/>
      <c r="AE32" s="83"/>
      <c r="AF32" s="83"/>
      <c r="AG32" s="80"/>
      <c r="AH32" s="81"/>
      <c r="AI32" s="44"/>
      <c r="AJ32" s="129">
        <f t="shared" si="2"/>
        <v>0</v>
      </c>
      <c r="AK32" s="128" t="e">
        <f t="shared" si="3"/>
        <v>#DIV/0!</v>
      </c>
      <c r="AL32" s="74"/>
    </row>
    <row r="33" spans="1:38" ht="32.25" customHeight="1" thickBot="1" x14ac:dyDescent="0.25">
      <c r="A33" s="73"/>
      <c r="B33" s="91">
        <f t="shared" si="8"/>
        <v>44251</v>
      </c>
      <c r="C33" s="92"/>
      <c r="D33" s="147">
        <f>'Suivi EAU-ELEC'!C39</f>
        <v>0</v>
      </c>
      <c r="E33" s="95"/>
      <c r="F33" s="211">
        <f t="shared" si="0"/>
        <v>0</v>
      </c>
      <c r="G33" s="212"/>
      <c r="H33" s="213"/>
      <c r="I33" s="142"/>
      <c r="J33" s="93">
        <f>'Suivi EAU-ELEC'!E39</f>
        <v>0</v>
      </c>
      <c r="K33" s="94">
        <f>'Suivi EAU-ELEC'!G39</f>
        <v>0</v>
      </c>
      <c r="L33" s="94">
        <f>'Suivi EAU-ELEC'!I39</f>
        <v>0</v>
      </c>
      <c r="M33" s="82">
        <f t="shared" si="4"/>
        <v>0</v>
      </c>
      <c r="N33" s="58"/>
      <c r="O33" s="59">
        <f t="shared" si="5"/>
        <v>0</v>
      </c>
      <c r="P33" s="57"/>
      <c r="Q33" s="55"/>
      <c r="R33" s="56"/>
      <c r="S33" s="55"/>
      <c r="T33" s="95"/>
      <c r="U33" s="60">
        <f>'Suivi Gaz'!O34</f>
        <v>0</v>
      </c>
      <c r="V33" s="58"/>
      <c r="W33" s="59">
        <f t="shared" si="6"/>
        <v>0</v>
      </c>
      <c r="X33" s="65"/>
      <c r="Y33" s="148">
        <f t="shared" si="1"/>
        <v>0</v>
      </c>
      <c r="Z33" s="64">
        <f t="shared" si="7"/>
        <v>0</v>
      </c>
      <c r="AA33" s="58"/>
      <c r="AB33" s="61"/>
      <c r="AC33" s="78"/>
      <c r="AD33" s="79"/>
      <c r="AE33" s="83"/>
      <c r="AF33" s="83"/>
      <c r="AG33" s="80"/>
      <c r="AH33" s="81"/>
      <c r="AI33" s="44"/>
      <c r="AJ33" s="129">
        <f t="shared" si="2"/>
        <v>0</v>
      </c>
      <c r="AK33" s="128" t="e">
        <f t="shared" si="3"/>
        <v>#DIV/0!</v>
      </c>
      <c r="AL33" s="74"/>
    </row>
    <row r="34" spans="1:38" ht="32.25" customHeight="1" thickBot="1" x14ac:dyDescent="0.25">
      <c r="A34" s="98"/>
      <c r="B34" s="91">
        <f t="shared" si="8"/>
        <v>44252</v>
      </c>
      <c r="C34" s="92"/>
      <c r="D34" s="147">
        <f>'Suivi EAU-ELEC'!C40</f>
        <v>0</v>
      </c>
      <c r="E34" s="95"/>
      <c r="F34" s="211">
        <f t="shared" si="0"/>
        <v>0</v>
      </c>
      <c r="G34" s="212"/>
      <c r="H34" s="213"/>
      <c r="I34" s="142"/>
      <c r="J34" s="93">
        <f>'Suivi EAU-ELEC'!E40</f>
        <v>0</v>
      </c>
      <c r="K34" s="94">
        <f>'Suivi EAU-ELEC'!G40</f>
        <v>0</v>
      </c>
      <c r="L34" s="94">
        <f>'Suivi EAU-ELEC'!I40</f>
        <v>0</v>
      </c>
      <c r="M34" s="82">
        <f t="shared" si="4"/>
        <v>0</v>
      </c>
      <c r="N34" s="58"/>
      <c r="O34" s="59">
        <f t="shared" si="5"/>
        <v>0</v>
      </c>
      <c r="P34" s="57"/>
      <c r="Q34" s="55"/>
      <c r="R34" s="56"/>
      <c r="S34" s="55"/>
      <c r="T34" s="95"/>
      <c r="U34" s="60">
        <f>'Suivi Gaz'!O35</f>
        <v>0</v>
      </c>
      <c r="V34" s="58"/>
      <c r="W34" s="59">
        <f t="shared" si="6"/>
        <v>0</v>
      </c>
      <c r="X34" s="65"/>
      <c r="Y34" s="148">
        <f t="shared" si="1"/>
        <v>0</v>
      </c>
      <c r="Z34" s="64">
        <f t="shared" si="7"/>
        <v>0</v>
      </c>
      <c r="AA34" s="58"/>
      <c r="AB34" s="61"/>
      <c r="AC34" s="78"/>
      <c r="AD34" s="79"/>
      <c r="AE34" s="83"/>
      <c r="AF34" s="83"/>
      <c r="AG34" s="80"/>
      <c r="AH34" s="81"/>
      <c r="AI34" s="44"/>
      <c r="AJ34" s="129">
        <f t="shared" si="2"/>
        <v>0</v>
      </c>
      <c r="AK34" s="128" t="e">
        <f t="shared" si="3"/>
        <v>#DIV/0!</v>
      </c>
      <c r="AL34" s="74"/>
    </row>
    <row r="35" spans="1:38" ht="32.25" customHeight="1" thickBot="1" x14ac:dyDescent="0.25">
      <c r="A35" s="73"/>
      <c r="B35" s="91">
        <f t="shared" si="8"/>
        <v>44253</v>
      </c>
      <c r="C35" s="92"/>
      <c r="D35" s="147">
        <f>'Suivi EAU-ELEC'!C41</f>
        <v>0</v>
      </c>
      <c r="E35" s="95"/>
      <c r="F35" s="214">
        <f t="shared" si="0"/>
        <v>0</v>
      </c>
      <c r="G35" s="215"/>
      <c r="H35" s="216"/>
      <c r="I35" s="142"/>
      <c r="J35" s="93">
        <f>'Suivi EAU-ELEC'!E41</f>
        <v>0</v>
      </c>
      <c r="K35" s="94">
        <f>'Suivi EAU-ELEC'!G41</f>
        <v>0</v>
      </c>
      <c r="L35" s="94">
        <f>'Suivi EAU-ELEC'!I41</f>
        <v>0</v>
      </c>
      <c r="M35" s="82">
        <f t="shared" si="4"/>
        <v>0</v>
      </c>
      <c r="N35" s="58"/>
      <c r="O35" s="59">
        <f t="shared" si="5"/>
        <v>0</v>
      </c>
      <c r="P35" s="57"/>
      <c r="Q35" s="55"/>
      <c r="R35" s="56"/>
      <c r="S35" s="55"/>
      <c r="T35" s="95"/>
      <c r="U35" s="60">
        <f>'Suivi Gaz'!O36</f>
        <v>0</v>
      </c>
      <c r="V35" s="58"/>
      <c r="W35" s="59">
        <f t="shared" si="6"/>
        <v>0</v>
      </c>
      <c r="X35" s="65"/>
      <c r="Y35" s="148">
        <f t="shared" si="1"/>
        <v>0</v>
      </c>
      <c r="Z35" s="64">
        <f t="shared" si="7"/>
        <v>0</v>
      </c>
      <c r="AA35" s="58"/>
      <c r="AB35" s="61"/>
      <c r="AC35" s="78"/>
      <c r="AD35" s="79"/>
      <c r="AE35" s="83"/>
      <c r="AF35" s="83"/>
      <c r="AG35" s="80"/>
      <c r="AH35" s="81"/>
      <c r="AI35" s="44"/>
      <c r="AJ35" s="129">
        <f t="shared" si="2"/>
        <v>0</v>
      </c>
      <c r="AK35" s="128" t="e">
        <f t="shared" si="3"/>
        <v>#DIV/0!</v>
      </c>
      <c r="AL35" s="74"/>
    </row>
    <row r="36" spans="1:38" ht="32.25" customHeight="1" thickBot="1" x14ac:dyDescent="0.25">
      <c r="A36" s="73"/>
      <c r="B36" s="91">
        <f t="shared" si="8"/>
        <v>44254</v>
      </c>
      <c r="C36" s="92"/>
      <c r="D36" s="147">
        <f>'Suivi EAU-ELEC'!C42</f>
        <v>0</v>
      </c>
      <c r="E36" s="95"/>
      <c r="F36" s="221">
        <f t="shared" si="0"/>
        <v>0</v>
      </c>
      <c r="G36" s="222"/>
      <c r="H36" s="223"/>
      <c r="I36" s="142"/>
      <c r="J36" s="93">
        <f>'Suivi EAU-ELEC'!E42</f>
        <v>0</v>
      </c>
      <c r="K36" s="94">
        <f>'Suivi EAU-ELEC'!G42</f>
        <v>0</v>
      </c>
      <c r="L36" s="94">
        <f>'Suivi EAU-ELEC'!I42</f>
        <v>0</v>
      </c>
      <c r="M36" s="82">
        <f t="shared" si="4"/>
        <v>0</v>
      </c>
      <c r="N36" s="58"/>
      <c r="O36" s="59">
        <f t="shared" si="5"/>
        <v>0</v>
      </c>
      <c r="P36" s="57"/>
      <c r="Q36" s="55"/>
      <c r="R36" s="56"/>
      <c r="S36" s="55"/>
      <c r="T36" s="95"/>
      <c r="U36" s="60">
        <f>'Suivi Gaz'!O37</f>
        <v>0</v>
      </c>
      <c r="V36" s="58"/>
      <c r="W36" s="59">
        <f t="shared" si="6"/>
        <v>0</v>
      </c>
      <c r="X36" s="65"/>
      <c r="Y36" s="148">
        <f t="shared" si="1"/>
        <v>0</v>
      </c>
      <c r="Z36" s="64">
        <f t="shared" si="7"/>
        <v>0</v>
      </c>
      <c r="AA36" s="58"/>
      <c r="AB36" s="61"/>
      <c r="AC36" s="78"/>
      <c r="AD36" s="79"/>
      <c r="AE36" s="83"/>
      <c r="AF36" s="83"/>
      <c r="AG36" s="80"/>
      <c r="AH36" s="81"/>
      <c r="AI36" s="44"/>
      <c r="AJ36" s="129">
        <f t="shared" si="2"/>
        <v>0</v>
      </c>
      <c r="AK36" s="128" t="e">
        <f t="shared" si="3"/>
        <v>#DIV/0!</v>
      </c>
      <c r="AL36" s="74"/>
    </row>
    <row r="37" spans="1:38" ht="32.25" customHeight="1" thickBot="1" x14ac:dyDescent="0.25">
      <c r="A37" s="73"/>
      <c r="B37" s="91">
        <f t="shared" si="8"/>
        <v>44255</v>
      </c>
      <c r="C37" s="92"/>
      <c r="D37" s="147">
        <f>'Suivi EAU-ELEC'!C43</f>
        <v>0</v>
      </c>
      <c r="E37" s="95"/>
      <c r="F37" s="224">
        <f t="shared" si="0"/>
        <v>0</v>
      </c>
      <c r="G37" s="225"/>
      <c r="H37" s="226"/>
      <c r="I37" s="142"/>
      <c r="J37" s="93">
        <f>'Suivi EAU-ELEC'!E43</f>
        <v>0</v>
      </c>
      <c r="K37" s="94">
        <f>'Suivi EAU-ELEC'!G43</f>
        <v>0</v>
      </c>
      <c r="L37" s="94">
        <f>'Suivi EAU-ELEC'!I43</f>
        <v>0</v>
      </c>
      <c r="M37" s="82">
        <f t="shared" si="4"/>
        <v>0</v>
      </c>
      <c r="N37" s="58"/>
      <c r="O37" s="59">
        <f t="shared" si="5"/>
        <v>0</v>
      </c>
      <c r="P37" s="57"/>
      <c r="Q37" s="55"/>
      <c r="R37" s="56"/>
      <c r="S37" s="55"/>
      <c r="T37" s="95"/>
      <c r="U37" s="60">
        <f>'Suivi Gaz'!O38</f>
        <v>0</v>
      </c>
      <c r="V37" s="58"/>
      <c r="W37" s="59">
        <f t="shared" si="6"/>
        <v>0</v>
      </c>
      <c r="X37" s="65"/>
      <c r="Y37" s="148">
        <f t="shared" si="1"/>
        <v>0</v>
      </c>
      <c r="Z37" s="64">
        <f t="shared" si="7"/>
        <v>0</v>
      </c>
      <c r="AA37" s="58"/>
      <c r="AB37" s="61"/>
      <c r="AC37" s="78"/>
      <c r="AD37" s="79"/>
      <c r="AE37" s="83"/>
      <c r="AF37" s="83"/>
      <c r="AG37" s="80"/>
      <c r="AH37" s="81"/>
      <c r="AI37" s="44"/>
      <c r="AJ37" s="129">
        <f t="shared" si="2"/>
        <v>0</v>
      </c>
      <c r="AK37" s="128" t="e">
        <f t="shared" si="3"/>
        <v>#DIV/0!</v>
      </c>
      <c r="AL37" s="74"/>
    </row>
    <row r="38" spans="1:38" ht="32.25" customHeight="1" thickBot="1" x14ac:dyDescent="0.25">
      <c r="A38" s="73"/>
      <c r="B38" s="91">
        <f t="shared" si="8"/>
        <v>44256</v>
      </c>
      <c r="C38" s="92"/>
      <c r="D38" s="147">
        <f>'Suivi EAU-ELEC'!C44</f>
        <v>0</v>
      </c>
      <c r="E38" s="95"/>
      <c r="F38" s="208">
        <f t="shared" si="0"/>
        <v>0</v>
      </c>
      <c r="G38" s="209"/>
      <c r="H38" s="210"/>
      <c r="I38" s="142"/>
      <c r="J38" s="93">
        <f>'Suivi EAU-ELEC'!E44</f>
        <v>0</v>
      </c>
      <c r="K38" s="94">
        <f>'Suivi EAU-ELEC'!G44</f>
        <v>0</v>
      </c>
      <c r="L38" s="94">
        <f>'Suivi EAU-ELEC'!I44</f>
        <v>0</v>
      </c>
      <c r="M38" s="82">
        <f t="shared" si="4"/>
        <v>0</v>
      </c>
      <c r="N38" s="58"/>
      <c r="O38" s="59">
        <f t="shared" si="5"/>
        <v>0</v>
      </c>
      <c r="P38" s="57"/>
      <c r="Q38" s="55"/>
      <c r="R38" s="56"/>
      <c r="S38" s="55"/>
      <c r="T38" s="95"/>
      <c r="U38" s="60">
        <f>'Suivi Gaz'!O39</f>
        <v>0</v>
      </c>
      <c r="V38" s="58"/>
      <c r="W38" s="59">
        <f t="shared" si="6"/>
        <v>0</v>
      </c>
      <c r="X38" s="65"/>
      <c r="Y38" s="148">
        <f t="shared" si="1"/>
        <v>0</v>
      </c>
      <c r="Z38" s="64">
        <f t="shared" si="7"/>
        <v>0</v>
      </c>
      <c r="AA38" s="58"/>
      <c r="AB38" s="61"/>
      <c r="AC38" s="78"/>
      <c r="AD38" s="79"/>
      <c r="AE38" s="83"/>
      <c r="AF38" s="83"/>
      <c r="AG38" s="80"/>
      <c r="AH38" s="81"/>
      <c r="AI38" s="44"/>
      <c r="AJ38" s="129">
        <f t="shared" si="2"/>
        <v>0</v>
      </c>
      <c r="AK38" s="128" t="e">
        <f t="shared" si="3"/>
        <v>#DIV/0!</v>
      </c>
      <c r="AL38" s="74"/>
    </row>
    <row r="39" spans="1:38" ht="32.25" customHeight="1" thickBot="1" x14ac:dyDescent="0.25">
      <c r="A39" s="73"/>
      <c r="B39" s="91">
        <f t="shared" si="8"/>
        <v>44257</v>
      </c>
      <c r="C39" s="92"/>
      <c r="D39" s="147">
        <f>'Suivi EAU-ELEC'!C45</f>
        <v>0</v>
      </c>
      <c r="E39" s="95"/>
      <c r="F39" s="211">
        <f t="shared" si="0"/>
        <v>0</v>
      </c>
      <c r="G39" s="212"/>
      <c r="H39" s="213"/>
      <c r="I39" s="142"/>
      <c r="J39" s="93">
        <f>'Suivi EAU-ELEC'!E45</f>
        <v>0</v>
      </c>
      <c r="K39" s="94">
        <f>'Suivi EAU-ELEC'!G45</f>
        <v>0</v>
      </c>
      <c r="L39" s="94">
        <f>'Suivi EAU-ELEC'!I45</f>
        <v>0</v>
      </c>
      <c r="M39" s="82">
        <f t="shared" si="4"/>
        <v>0</v>
      </c>
      <c r="N39" s="58"/>
      <c r="O39" s="59">
        <f t="shared" si="5"/>
        <v>0</v>
      </c>
      <c r="P39" s="57"/>
      <c r="Q39" s="55"/>
      <c r="R39" s="56"/>
      <c r="S39" s="55"/>
      <c r="T39" s="95"/>
      <c r="U39" s="60">
        <f>'Suivi Gaz'!O40</f>
        <v>0</v>
      </c>
      <c r="V39" s="58"/>
      <c r="W39" s="59">
        <f t="shared" si="6"/>
        <v>0</v>
      </c>
      <c r="X39" s="65"/>
      <c r="Y39" s="148">
        <f t="shared" si="1"/>
        <v>0</v>
      </c>
      <c r="Z39" s="64">
        <f t="shared" si="7"/>
        <v>0</v>
      </c>
      <c r="AA39" s="58"/>
      <c r="AB39" s="61"/>
      <c r="AC39" s="78"/>
      <c r="AD39" s="79"/>
      <c r="AE39" s="83"/>
      <c r="AF39" s="83"/>
      <c r="AG39" s="80"/>
      <c r="AH39" s="81"/>
      <c r="AI39" s="44"/>
      <c r="AJ39" s="129">
        <f t="shared" si="2"/>
        <v>0</v>
      </c>
      <c r="AK39" s="128" t="e">
        <f t="shared" si="3"/>
        <v>#DIV/0!</v>
      </c>
      <c r="AL39" s="74"/>
    </row>
    <row r="40" spans="1:38" ht="32.25" customHeight="1" thickBot="1" x14ac:dyDescent="0.25">
      <c r="A40" s="73"/>
      <c r="B40" s="91">
        <f t="shared" si="8"/>
        <v>44258</v>
      </c>
      <c r="C40" s="92"/>
      <c r="D40" s="147">
        <f>'Suivi EAU-ELEC'!C46</f>
        <v>0</v>
      </c>
      <c r="E40" s="149"/>
      <c r="F40" s="214">
        <f t="shared" si="0"/>
        <v>0</v>
      </c>
      <c r="G40" s="215"/>
      <c r="H40" s="216"/>
      <c r="I40" s="142"/>
      <c r="J40" s="93">
        <f>'Suivi EAU-ELEC'!E46</f>
        <v>0</v>
      </c>
      <c r="K40" s="94">
        <f>'Suivi EAU-ELEC'!G46</f>
        <v>0</v>
      </c>
      <c r="L40" s="94">
        <f>'Suivi EAU-ELEC'!I46</f>
        <v>0</v>
      </c>
      <c r="M40" s="82">
        <f t="shared" si="4"/>
        <v>0</v>
      </c>
      <c r="N40" s="58"/>
      <c r="O40" s="59">
        <f t="shared" si="5"/>
        <v>0</v>
      </c>
      <c r="P40" s="57"/>
      <c r="Q40" s="55"/>
      <c r="R40" s="56"/>
      <c r="S40" s="55"/>
      <c r="T40" s="95"/>
      <c r="U40" s="60">
        <f>'Suivi Gaz'!O41</f>
        <v>0</v>
      </c>
      <c r="V40" s="58"/>
      <c r="W40" s="59">
        <f t="shared" si="6"/>
        <v>0</v>
      </c>
      <c r="X40" s="65"/>
      <c r="Y40" s="148">
        <f t="shared" si="1"/>
        <v>0</v>
      </c>
      <c r="Z40" s="64">
        <f t="shared" si="7"/>
        <v>0</v>
      </c>
      <c r="AA40" s="58"/>
      <c r="AB40" s="61"/>
      <c r="AC40" s="161"/>
      <c r="AD40" s="79"/>
      <c r="AE40" s="83"/>
      <c r="AF40" s="83"/>
      <c r="AG40" s="80"/>
      <c r="AH40" s="81"/>
      <c r="AI40" s="44"/>
      <c r="AJ40" s="130">
        <f t="shared" si="2"/>
        <v>0</v>
      </c>
      <c r="AK40" s="128" t="e">
        <f t="shared" si="3"/>
        <v>#DIV/0!</v>
      </c>
      <c r="AL40" s="74"/>
    </row>
    <row r="41" spans="1:38" ht="44.25" customHeight="1" thickBot="1" x14ac:dyDescent="0.25">
      <c r="A41" s="73"/>
      <c r="B41" s="99"/>
      <c r="C41" s="100"/>
      <c r="D41" s="162">
        <f>SUM(D10:D37)</f>
        <v>3788</v>
      </c>
      <c r="E41" s="101"/>
      <c r="F41" s="217">
        <f>SUM(F10:H37)</f>
        <v>47993.959999999992</v>
      </c>
      <c r="G41" s="218"/>
      <c r="H41" s="219"/>
      <c r="I41" s="101"/>
      <c r="J41" s="103">
        <f>SUM(J10:J37)</f>
        <v>45332</v>
      </c>
      <c r="K41" s="103">
        <f>SUM(K10:K37)</f>
        <v>69036</v>
      </c>
      <c r="L41" s="103">
        <f>SUM(L10:L37)</f>
        <v>30164</v>
      </c>
      <c r="M41" s="103">
        <f>SUM(M10:M37)</f>
        <v>144532</v>
      </c>
      <c r="N41" s="102"/>
      <c r="O41" s="103">
        <f>SUM(O10:O37)</f>
        <v>143086.68</v>
      </c>
      <c r="P41" s="102"/>
      <c r="Q41" s="104">
        <f>SUM(Q10:Q40)</f>
        <v>0</v>
      </c>
      <c r="R41" s="102"/>
      <c r="S41" s="104">
        <f>SUM(S10:S40)</f>
        <v>0</v>
      </c>
      <c r="T41" s="102"/>
      <c r="U41" s="103">
        <f>SUM(U10:U37)</f>
        <v>4748.8</v>
      </c>
      <c r="V41" s="58"/>
      <c r="W41" s="103">
        <f>SUM(W10:W37)</f>
        <v>43912.153599999998</v>
      </c>
      <c r="X41" s="139"/>
      <c r="Y41" s="103">
        <f>SUM(Y10:Y37)</f>
        <v>190.27999999999884</v>
      </c>
      <c r="Z41" s="103">
        <f>SUM(Z10:Z37)</f>
        <v>100848.3999999994</v>
      </c>
      <c r="AA41" s="101"/>
      <c r="AB41" s="105"/>
      <c r="AC41" s="133"/>
      <c r="AD41" s="132"/>
      <c r="AE41" s="134"/>
      <c r="AF41" s="131"/>
      <c r="AG41" s="140"/>
      <c r="AH41" s="106"/>
      <c r="AI41" s="63"/>
      <c r="AJ41" s="124">
        <f>SUM(AJ10:AJ38)</f>
        <v>335841.19359999936</v>
      </c>
      <c r="AK41" s="124" t="e">
        <f>SUM(AK10:AK38)</f>
        <v>#DIV/0!</v>
      </c>
      <c r="AL41" s="74"/>
    </row>
    <row r="42" spans="1:38" s="7" customFormat="1" ht="30.75" customHeight="1" thickBot="1" x14ac:dyDescent="0.25">
      <c r="A42" s="85"/>
      <c r="B42" s="85"/>
      <c r="C42" s="85"/>
      <c r="D42" s="85"/>
      <c r="E42" s="85"/>
      <c r="F42" s="220"/>
      <c r="G42" s="220"/>
      <c r="H42" s="220"/>
      <c r="I42" s="85"/>
      <c r="J42" s="75"/>
      <c r="K42" s="75"/>
      <c r="L42" s="75"/>
      <c r="M42" s="101"/>
      <c r="N42" s="101"/>
      <c r="O42" s="85"/>
      <c r="P42" s="101"/>
      <c r="Q42" s="85"/>
      <c r="R42" s="101"/>
      <c r="S42" s="85"/>
      <c r="T42" s="101"/>
      <c r="U42" s="85"/>
      <c r="V42" s="101"/>
      <c r="W42" s="85"/>
      <c r="X42" s="72"/>
      <c r="Y42" s="146"/>
      <c r="Z42" s="85"/>
      <c r="AA42" s="85"/>
      <c r="AB42" s="85"/>
      <c r="AC42" s="85"/>
      <c r="AD42" s="107"/>
      <c r="AE42" s="75"/>
      <c r="AF42" s="75"/>
      <c r="AG42" s="75"/>
      <c r="AH42" s="108"/>
      <c r="AI42" s="45"/>
      <c r="AJ42" s="45"/>
      <c r="AK42" s="45"/>
    </row>
    <row r="43" spans="1:38" s="10" customFormat="1" ht="36.75" customHeight="1" thickBot="1" x14ac:dyDescent="0.25">
      <c r="A43" s="185" t="s">
        <v>9</v>
      </c>
      <c r="B43" s="186"/>
      <c r="C43" s="187"/>
      <c r="D43" s="109" t="s">
        <v>6</v>
      </c>
      <c r="E43" s="110"/>
      <c r="F43" s="111">
        <v>0.64895000000000003</v>
      </c>
      <c r="G43" s="191">
        <f>J41</f>
        <v>45332</v>
      </c>
      <c r="H43" s="192"/>
      <c r="I43" s="193"/>
      <c r="J43" s="194">
        <f>G43*F43</f>
        <v>29418.201400000002</v>
      </c>
      <c r="K43" s="195"/>
      <c r="L43" s="196">
        <f>J43+J44+J45</f>
        <v>128046.41096000001</v>
      </c>
      <c r="M43" s="197"/>
      <c r="N43" s="197"/>
      <c r="O43" s="197"/>
      <c r="P43" s="197"/>
      <c r="Q43" s="197"/>
      <c r="R43" s="197"/>
      <c r="S43" s="197"/>
      <c r="T43" s="197"/>
      <c r="U43" s="198"/>
      <c r="V43" s="89"/>
      <c r="W43" s="89"/>
      <c r="X43" s="85"/>
      <c r="Y43" s="89"/>
      <c r="Z43" s="89"/>
      <c r="AA43" s="113"/>
      <c r="AB43" s="89"/>
      <c r="AC43" s="114"/>
      <c r="AD43" s="89"/>
      <c r="AE43" s="107"/>
      <c r="AF43" s="107"/>
      <c r="AG43" s="75"/>
      <c r="AH43" s="115"/>
      <c r="AJ43" s="46"/>
      <c r="AK43" s="46"/>
    </row>
    <row r="44" spans="1:38" s="10" customFormat="1" ht="36.75" customHeight="1" thickBot="1" x14ac:dyDescent="0.25">
      <c r="A44" s="188"/>
      <c r="B44" s="189"/>
      <c r="C44" s="190"/>
      <c r="D44" s="112" t="s">
        <v>7</v>
      </c>
      <c r="E44" s="110"/>
      <c r="F44" s="116">
        <v>0.88605</v>
      </c>
      <c r="G44" s="191">
        <f>K41</f>
        <v>69036</v>
      </c>
      <c r="H44" s="192"/>
      <c r="I44" s="193"/>
      <c r="J44" s="194">
        <f>G44*F44</f>
        <v>61169.347800000003</v>
      </c>
      <c r="K44" s="195"/>
      <c r="L44" s="199"/>
      <c r="M44" s="200"/>
      <c r="N44" s="200"/>
      <c r="O44" s="200"/>
      <c r="P44" s="200"/>
      <c r="Q44" s="200"/>
      <c r="R44" s="200"/>
      <c r="S44" s="200"/>
      <c r="T44" s="200"/>
      <c r="U44" s="201"/>
      <c r="V44" s="89"/>
      <c r="W44" s="89"/>
      <c r="X44" s="89"/>
      <c r="Y44" s="89"/>
      <c r="Z44" s="89"/>
      <c r="AA44" s="113"/>
      <c r="AB44" s="89"/>
      <c r="AC44" s="113"/>
      <c r="AD44" s="89"/>
      <c r="AE44" s="89"/>
      <c r="AF44" s="113"/>
      <c r="AG44" s="89"/>
      <c r="AH44" s="75"/>
      <c r="AK44" s="46"/>
    </row>
    <row r="45" spans="1:38" s="10" customFormat="1" ht="36.75" customHeight="1" thickBot="1" x14ac:dyDescent="0.25">
      <c r="A45" s="188"/>
      <c r="B45" s="189"/>
      <c r="C45" s="190"/>
      <c r="D45" s="117" t="s">
        <v>8</v>
      </c>
      <c r="E45" s="118"/>
      <c r="F45" s="119">
        <v>1.2418400000000001</v>
      </c>
      <c r="G45" s="205">
        <f>L41</f>
        <v>30164</v>
      </c>
      <c r="H45" s="206"/>
      <c r="I45" s="207"/>
      <c r="J45" s="194">
        <f>G45*F45</f>
        <v>37458.86176</v>
      </c>
      <c r="K45" s="195"/>
      <c r="L45" s="202"/>
      <c r="M45" s="203"/>
      <c r="N45" s="203"/>
      <c r="O45" s="203"/>
      <c r="P45" s="203"/>
      <c r="Q45" s="203"/>
      <c r="R45" s="203"/>
      <c r="S45" s="203"/>
      <c r="T45" s="203"/>
      <c r="U45" s="204"/>
      <c r="V45" s="89"/>
      <c r="W45" s="89"/>
      <c r="X45" s="89"/>
      <c r="Y45" s="89"/>
      <c r="Z45" s="89"/>
      <c r="AA45" s="113"/>
      <c r="AB45" s="89"/>
      <c r="AC45" s="113"/>
      <c r="AD45" s="89"/>
      <c r="AE45" s="89"/>
      <c r="AF45" s="113" t="s">
        <v>60</v>
      </c>
      <c r="AG45" s="89"/>
      <c r="AH45" s="107"/>
      <c r="AK45" s="46"/>
    </row>
    <row r="46" spans="1:38" s="11" customFormat="1" ht="59.25" customHeight="1" thickBot="1" x14ac:dyDescent="0.25">
      <c r="A46" s="168" t="s">
        <v>10</v>
      </c>
      <c r="B46" s="169"/>
      <c r="C46" s="169"/>
      <c r="D46" s="170"/>
      <c r="E46" s="110"/>
      <c r="F46" s="120">
        <v>12.67</v>
      </c>
      <c r="G46" s="168">
        <f>D41</f>
        <v>3788</v>
      </c>
      <c r="H46" s="169"/>
      <c r="I46" s="170"/>
      <c r="J46" s="171">
        <f>G46*F46</f>
        <v>47993.96</v>
      </c>
      <c r="K46" s="172"/>
      <c r="L46" s="173">
        <f>J46</f>
        <v>47993.96</v>
      </c>
      <c r="M46" s="174"/>
      <c r="N46" s="174"/>
      <c r="O46" s="174"/>
      <c r="P46" s="174"/>
      <c r="Q46" s="174"/>
      <c r="R46" s="174"/>
      <c r="S46" s="174"/>
      <c r="T46" s="174"/>
      <c r="U46" s="175"/>
      <c r="V46" s="89"/>
      <c r="W46" s="89"/>
      <c r="X46" s="89"/>
      <c r="Y46" s="89"/>
      <c r="Z46" s="89"/>
      <c r="AA46" s="113"/>
      <c r="AB46" s="89"/>
      <c r="AC46" s="113"/>
      <c r="AD46" s="89"/>
      <c r="AE46" s="89"/>
      <c r="AF46" s="113" t="s">
        <v>59</v>
      </c>
      <c r="AG46" s="89"/>
      <c r="AH46" s="89"/>
      <c r="AK46" s="47"/>
    </row>
    <row r="47" spans="1:38" s="11" customFormat="1" ht="69.75" customHeight="1" thickBot="1" x14ac:dyDescent="0.25">
      <c r="A47" s="176" t="s">
        <v>12</v>
      </c>
      <c r="B47" s="177"/>
      <c r="C47" s="177"/>
      <c r="D47" s="178"/>
      <c r="E47" s="110"/>
      <c r="F47" s="121">
        <v>9.2469999999999999</v>
      </c>
      <c r="G47" s="179">
        <f>U41</f>
        <v>4748.8</v>
      </c>
      <c r="H47" s="180"/>
      <c r="I47" s="181"/>
      <c r="J47" s="179">
        <f>G47*F47</f>
        <v>43912.153599999998</v>
      </c>
      <c r="K47" s="181"/>
      <c r="L47" s="182">
        <f>J47</f>
        <v>43912.153599999998</v>
      </c>
      <c r="M47" s="183"/>
      <c r="N47" s="183"/>
      <c r="O47" s="183"/>
      <c r="P47" s="183"/>
      <c r="Q47" s="183"/>
      <c r="R47" s="183"/>
      <c r="S47" s="183"/>
      <c r="T47" s="183"/>
      <c r="U47" s="184"/>
      <c r="V47" s="89"/>
      <c r="W47" s="89"/>
      <c r="X47" s="89"/>
      <c r="Y47" s="89"/>
      <c r="Z47" s="89"/>
      <c r="AA47" s="113"/>
      <c r="AB47" s="89"/>
      <c r="AC47" s="113"/>
      <c r="AD47" s="87"/>
      <c r="AE47" s="89"/>
      <c r="AF47" s="113"/>
      <c r="AG47" s="89"/>
      <c r="AH47" s="89"/>
      <c r="AI47" s="123"/>
      <c r="AK47" s="47"/>
    </row>
    <row r="48" spans="1:38" s="9" customFormat="1" ht="27" customHeight="1" x14ac:dyDescent="0.2">
      <c r="A48" s="85"/>
      <c r="B48" s="85"/>
      <c r="C48" s="85"/>
      <c r="D48" s="85"/>
      <c r="E48" s="86"/>
      <c r="F48" s="86"/>
      <c r="G48" s="85"/>
      <c r="H48" s="85"/>
      <c r="I48" s="85"/>
      <c r="J48" s="85"/>
      <c r="K48" s="85"/>
      <c r="L48" s="73"/>
      <c r="M48" s="73"/>
      <c r="N48" s="73"/>
      <c r="O48" s="73"/>
      <c r="P48" s="73"/>
      <c r="Q48" s="73"/>
      <c r="R48" s="87"/>
      <c r="S48" s="87"/>
      <c r="T48" s="87"/>
      <c r="U48" s="87"/>
      <c r="V48" s="122"/>
      <c r="W48" s="87"/>
      <c r="X48" s="87"/>
      <c r="Y48" s="87"/>
      <c r="Z48" s="87"/>
      <c r="AA48" s="85"/>
      <c r="AB48" s="87"/>
      <c r="AC48" s="85"/>
      <c r="AD48" s="72"/>
      <c r="AE48" s="87"/>
      <c r="AF48" s="85"/>
      <c r="AG48" s="87"/>
      <c r="AH48" s="89"/>
      <c r="AK48" s="45"/>
    </row>
    <row r="49" spans="1:37" s="7" customFormat="1" ht="18.75" x14ac:dyDescent="0.2">
      <c r="A49" s="75"/>
      <c r="B49" s="75"/>
      <c r="C49" s="75"/>
      <c r="D49" s="75"/>
      <c r="E49" s="75"/>
      <c r="F49" s="75"/>
      <c r="G49" s="75"/>
      <c r="H49" s="75"/>
      <c r="I49" s="75"/>
      <c r="J49" s="75"/>
      <c r="K49" s="75"/>
      <c r="L49" s="75"/>
      <c r="M49" s="75"/>
      <c r="N49" s="75"/>
      <c r="O49" s="75"/>
      <c r="P49" s="75"/>
      <c r="Q49" s="75"/>
      <c r="R49" s="75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5"/>
      <c r="AE49" s="72"/>
      <c r="AF49" s="72"/>
      <c r="AG49" s="72"/>
      <c r="AH49" s="89"/>
      <c r="AK49" s="3"/>
    </row>
    <row r="50" spans="1:37" s="7" customFormat="1" x14ac:dyDescent="0.2">
      <c r="AD50" s="5"/>
      <c r="AH50" s="13"/>
      <c r="AK50" s="3"/>
    </row>
    <row r="51" spans="1:37" ht="18.75" customHeight="1" x14ac:dyDescent="0.2">
      <c r="AH51" s="3"/>
      <c r="AK51" s="62"/>
    </row>
    <row r="52" spans="1:37" x14ac:dyDescent="0.2">
      <c r="AH52" s="7"/>
      <c r="AK52" s="62"/>
    </row>
    <row r="53" spans="1:37" x14ac:dyDescent="0.2">
      <c r="AK53" s="62"/>
    </row>
    <row r="54" spans="1:37" x14ac:dyDescent="0.2">
      <c r="AK54" s="62"/>
    </row>
    <row r="55" spans="1:37" ht="39" customHeight="1" x14ac:dyDescent="0.2">
      <c r="B55" s="167"/>
      <c r="C55" s="167"/>
      <c r="D55" s="167"/>
      <c r="E55" s="167"/>
      <c r="F55" s="167"/>
      <c r="G55" s="167"/>
      <c r="H55" s="167"/>
      <c r="I55" s="167"/>
      <c r="J55" s="167"/>
      <c r="K55" s="167"/>
      <c r="L55" s="167"/>
      <c r="M55" s="167"/>
      <c r="N55" s="167"/>
      <c r="O55" s="167"/>
      <c r="P55" s="167"/>
      <c r="Q55" s="167"/>
      <c r="R55" s="167"/>
      <c r="S55" s="167"/>
      <c r="T55" s="167"/>
      <c r="U55" s="167"/>
      <c r="V55" s="167"/>
      <c r="W55" s="167"/>
      <c r="X55" s="167"/>
      <c r="Y55" s="167"/>
      <c r="Z55" s="167"/>
      <c r="AA55" s="167"/>
      <c r="AK55" s="62"/>
    </row>
    <row r="56" spans="1:37" x14ac:dyDescent="0.2">
      <c r="AK56" s="62"/>
    </row>
    <row r="57" spans="1:37" x14ac:dyDescent="0.2">
      <c r="AK57" s="62"/>
    </row>
    <row r="58" spans="1:37" x14ac:dyDescent="0.2">
      <c r="AK58" s="62"/>
    </row>
    <row r="59" spans="1:37" x14ac:dyDescent="0.2">
      <c r="AK59" s="62"/>
    </row>
    <row r="60" spans="1:37" x14ac:dyDescent="0.2">
      <c r="AK60" s="62"/>
    </row>
    <row r="61" spans="1:37" x14ac:dyDescent="0.2">
      <c r="AK61" s="62"/>
    </row>
    <row r="62" spans="1:37" x14ac:dyDescent="0.2">
      <c r="AK62" s="62"/>
    </row>
    <row r="63" spans="1:37" x14ac:dyDescent="0.2">
      <c r="AK63" s="62"/>
    </row>
    <row r="64" spans="1:37" x14ac:dyDescent="0.2">
      <c r="AK64" s="62"/>
    </row>
    <row r="65" spans="37:37" x14ac:dyDescent="0.2">
      <c r="AK65" s="62"/>
    </row>
    <row r="66" spans="37:37" x14ac:dyDescent="0.2">
      <c r="AK66" s="62"/>
    </row>
    <row r="67" spans="37:37" x14ac:dyDescent="0.2">
      <c r="AK67" s="62"/>
    </row>
    <row r="68" spans="37:37" x14ac:dyDescent="0.2">
      <c r="AK68" s="62"/>
    </row>
    <row r="69" spans="37:37" x14ac:dyDescent="0.2">
      <c r="AK69" s="62"/>
    </row>
    <row r="70" spans="37:37" x14ac:dyDescent="0.2">
      <c r="AK70" s="62"/>
    </row>
    <row r="71" spans="37:37" x14ac:dyDescent="0.2">
      <c r="AK71" s="62"/>
    </row>
    <row r="72" spans="37:37" x14ac:dyDescent="0.2">
      <c r="AK72" s="62"/>
    </row>
    <row r="73" spans="37:37" x14ac:dyDescent="0.2">
      <c r="AK73" s="62"/>
    </row>
    <row r="74" spans="37:37" x14ac:dyDescent="0.2">
      <c r="AK74" s="62"/>
    </row>
    <row r="75" spans="37:37" x14ac:dyDescent="0.2">
      <c r="AK75" s="62"/>
    </row>
    <row r="76" spans="37:37" x14ac:dyDescent="0.2">
      <c r="AK76" s="62"/>
    </row>
    <row r="77" spans="37:37" x14ac:dyDescent="0.2">
      <c r="AK77" s="62"/>
    </row>
    <row r="78" spans="37:37" x14ac:dyDescent="0.2">
      <c r="AK78" s="62"/>
    </row>
    <row r="79" spans="37:37" x14ac:dyDescent="0.2">
      <c r="AK79" s="62"/>
    </row>
    <row r="80" spans="37:37" x14ac:dyDescent="0.2">
      <c r="AK80" s="62"/>
    </row>
    <row r="81" spans="37:37" x14ac:dyDescent="0.2">
      <c r="AK81" s="62"/>
    </row>
    <row r="82" spans="37:37" x14ac:dyDescent="0.2">
      <c r="AK82" s="62"/>
    </row>
    <row r="83" spans="37:37" x14ac:dyDescent="0.2">
      <c r="AK83" s="62"/>
    </row>
    <row r="84" spans="37:37" x14ac:dyDescent="0.2">
      <c r="AK84" s="62"/>
    </row>
    <row r="85" spans="37:37" x14ac:dyDescent="0.2">
      <c r="AK85" s="62"/>
    </row>
    <row r="86" spans="37:37" x14ac:dyDescent="0.2">
      <c r="AK86" s="62"/>
    </row>
    <row r="87" spans="37:37" x14ac:dyDescent="0.2">
      <c r="AK87" s="62"/>
    </row>
    <row r="88" spans="37:37" x14ac:dyDescent="0.2">
      <c r="AK88" s="62"/>
    </row>
    <row r="89" spans="37:37" x14ac:dyDescent="0.2">
      <c r="AK89" s="62"/>
    </row>
    <row r="90" spans="37:37" x14ac:dyDescent="0.2">
      <c r="AK90" s="62"/>
    </row>
    <row r="91" spans="37:37" x14ac:dyDescent="0.2">
      <c r="AK91" s="62"/>
    </row>
    <row r="92" spans="37:37" x14ac:dyDescent="0.2">
      <c r="AK92" s="62"/>
    </row>
    <row r="93" spans="37:37" x14ac:dyDescent="0.2">
      <c r="AK93" s="62"/>
    </row>
    <row r="94" spans="37:37" x14ac:dyDescent="0.2">
      <c r="AK94" s="62"/>
    </row>
    <row r="95" spans="37:37" x14ac:dyDescent="0.2">
      <c r="AK95" s="62"/>
    </row>
    <row r="96" spans="37:37" x14ac:dyDescent="0.2">
      <c r="AK96" s="62"/>
    </row>
    <row r="97" spans="37:37" x14ac:dyDescent="0.2">
      <c r="AK97" s="62"/>
    </row>
    <row r="98" spans="37:37" x14ac:dyDescent="0.2">
      <c r="AK98" s="62"/>
    </row>
    <row r="99" spans="37:37" x14ac:dyDescent="0.2">
      <c r="AK99" s="62"/>
    </row>
    <row r="100" spans="37:37" x14ac:dyDescent="0.2">
      <c r="AK100" s="62"/>
    </row>
    <row r="101" spans="37:37" x14ac:dyDescent="0.2">
      <c r="AK101" s="62"/>
    </row>
    <row r="102" spans="37:37" x14ac:dyDescent="0.2">
      <c r="AK102" s="62"/>
    </row>
    <row r="103" spans="37:37" x14ac:dyDescent="0.2">
      <c r="AK103" s="62"/>
    </row>
    <row r="104" spans="37:37" x14ac:dyDescent="0.2">
      <c r="AK104" s="62"/>
    </row>
    <row r="105" spans="37:37" x14ac:dyDescent="0.2">
      <c r="AK105" s="62"/>
    </row>
    <row r="106" spans="37:37" x14ac:dyDescent="0.2">
      <c r="AK106" s="62"/>
    </row>
    <row r="107" spans="37:37" x14ac:dyDescent="0.2">
      <c r="AK107" s="62"/>
    </row>
    <row r="108" spans="37:37" x14ac:dyDescent="0.2">
      <c r="AK108" s="62"/>
    </row>
    <row r="109" spans="37:37" x14ac:dyDescent="0.2">
      <c r="AK109" s="62"/>
    </row>
    <row r="110" spans="37:37" x14ac:dyDescent="0.2">
      <c r="AK110" s="62"/>
    </row>
    <row r="111" spans="37:37" x14ac:dyDescent="0.2">
      <c r="AK111" s="62"/>
    </row>
    <row r="112" spans="37:37" x14ac:dyDescent="0.2">
      <c r="AK112" s="62"/>
    </row>
  </sheetData>
  <mergeCells count="77">
    <mergeCell ref="A2:F2"/>
    <mergeCell ref="G2:AC2"/>
    <mergeCell ref="AD2:AE2"/>
    <mergeCell ref="A4:C5"/>
    <mergeCell ref="K5:AA7"/>
    <mergeCell ref="D7:J7"/>
    <mergeCell ref="A8:A9"/>
    <mergeCell ref="B8:B9"/>
    <mergeCell ref="D8:D9"/>
    <mergeCell ref="F8:H9"/>
    <mergeCell ref="M8:M9"/>
    <mergeCell ref="AF8:AF9"/>
    <mergeCell ref="AG8:AG9"/>
    <mergeCell ref="AH8:AH9"/>
    <mergeCell ref="F10:H10"/>
    <mergeCell ref="F11:H11"/>
    <mergeCell ref="O8:O9"/>
    <mergeCell ref="AD8:AD9"/>
    <mergeCell ref="AE8:AE9"/>
    <mergeCell ref="Q8:Q9"/>
    <mergeCell ref="S8:S9"/>
    <mergeCell ref="U8:U9"/>
    <mergeCell ref="W8:W9"/>
    <mergeCell ref="X8:X9"/>
    <mergeCell ref="Y8:Y9"/>
    <mergeCell ref="F12:H12"/>
    <mergeCell ref="Z8:Z9"/>
    <mergeCell ref="AA8:AA9"/>
    <mergeCell ref="AB8:AB9"/>
    <mergeCell ref="AC8:AC9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A43:C45"/>
    <mergeCell ref="G43:I43"/>
    <mergeCell ref="J43:K43"/>
    <mergeCell ref="L43:U45"/>
    <mergeCell ref="G44:I44"/>
    <mergeCell ref="J44:K44"/>
    <mergeCell ref="G45:I45"/>
    <mergeCell ref="J45:K45"/>
    <mergeCell ref="B55:AA55"/>
    <mergeCell ref="A46:D46"/>
    <mergeCell ref="G46:I46"/>
    <mergeCell ref="J46:K46"/>
    <mergeCell ref="L46:U46"/>
    <mergeCell ref="A47:D47"/>
    <mergeCell ref="G47:I47"/>
    <mergeCell ref="J47:K47"/>
    <mergeCell ref="L47:U47"/>
  </mergeCells>
  <printOptions gridLines="1"/>
  <pageMargins left="1.73" right="0.19685039370078741" top="0.2" bottom="0.2" header="0.15748031496062992" footer="0.23622047244094491"/>
  <pageSetup paperSize="9" scale="32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48"/>
  <sheetViews>
    <sheetView zoomScale="80" zoomScaleNormal="80" zoomScaleSheetLayoutView="70" workbookViewId="0">
      <pane xSplit="1" ySplit="3" topLeftCell="B14" activePane="bottomRight" state="frozen"/>
      <selection pane="topRight" activeCell="B1" sqref="B1"/>
      <selection pane="bottomLeft" activeCell="A4" sqref="A4"/>
      <selection pane="bottomRight" activeCell="B26" sqref="B26"/>
    </sheetView>
  </sheetViews>
  <sheetFormatPr defaultColWidth="11.42578125" defaultRowHeight="15" x14ac:dyDescent="0.3"/>
  <cols>
    <col min="1" max="1" width="18.7109375" style="14" customWidth="1"/>
    <col min="2" max="3" width="9.5703125" style="15" customWidth="1"/>
    <col min="4" max="4" width="9.85546875" style="15" customWidth="1"/>
    <col min="5" max="5" width="8.85546875" style="15" customWidth="1"/>
    <col min="6" max="6" width="11.42578125" style="15" customWidth="1"/>
    <col min="7" max="7" width="8.85546875" style="15" customWidth="1"/>
    <col min="8" max="9" width="9.85546875" style="15" customWidth="1"/>
    <col min="10" max="10" width="16.140625" style="15" customWidth="1"/>
    <col min="11" max="11" width="17.28515625" style="15" customWidth="1"/>
    <col min="12" max="12" width="14.28515625" style="15" customWidth="1"/>
    <col min="13" max="13" width="16.28515625" style="15" customWidth="1"/>
    <col min="14" max="14" width="14.140625" style="15" customWidth="1"/>
    <col min="15" max="15" width="14.42578125" style="15" customWidth="1"/>
    <col min="16" max="16" width="15.85546875" style="15" customWidth="1"/>
    <col min="17" max="17" width="11.28515625" style="15" customWidth="1"/>
    <col min="18" max="18" width="8.42578125" style="15" customWidth="1"/>
    <col min="19" max="19" width="9.85546875" style="15" customWidth="1"/>
    <col min="20" max="20" width="11.28515625" style="15" customWidth="1"/>
    <col min="21" max="21" width="8.42578125" style="15" customWidth="1"/>
    <col min="22" max="22" width="9.85546875" style="15" customWidth="1"/>
    <col min="23" max="23" width="11.28515625" style="15" customWidth="1"/>
    <col min="24" max="24" width="8.42578125" style="15" customWidth="1"/>
    <col min="25" max="25" width="9.85546875" style="15" customWidth="1"/>
    <col min="26" max="26" width="11.28515625" style="15" customWidth="1"/>
    <col min="27" max="27" width="8.42578125" style="15" customWidth="1"/>
    <col min="28" max="28" width="9.85546875" style="15" customWidth="1"/>
    <col min="29" max="29" width="15.28515625" style="16" customWidth="1"/>
    <col min="30" max="30" width="20.140625" style="15" customWidth="1"/>
    <col min="31" max="31" width="24.5703125" style="15" customWidth="1"/>
    <col min="32" max="16384" width="11.42578125" style="15"/>
  </cols>
  <sheetData>
    <row r="1" spans="1:31" ht="62.25" customHeight="1" thickBot="1" x14ac:dyDescent="0.35">
      <c r="A1" s="282"/>
      <c r="B1" s="282"/>
      <c r="C1" s="283"/>
      <c r="D1" s="284" t="s">
        <v>57</v>
      </c>
      <c r="E1" s="285"/>
      <c r="F1" s="285"/>
      <c r="G1" s="285"/>
      <c r="H1" s="285"/>
      <c r="I1" s="285"/>
      <c r="J1" s="285"/>
      <c r="K1" s="285"/>
      <c r="L1" s="285"/>
      <c r="M1" s="285"/>
      <c r="N1" s="285"/>
      <c r="O1" s="285"/>
      <c r="P1" s="285"/>
      <c r="Q1" s="285"/>
      <c r="R1" s="285"/>
      <c r="S1" s="285"/>
      <c r="T1" s="285"/>
      <c r="U1" s="285"/>
      <c r="V1" s="285"/>
      <c r="W1" s="285"/>
      <c r="X1" s="285"/>
      <c r="Y1" s="285"/>
      <c r="Z1" s="286"/>
      <c r="AA1" s="287"/>
      <c r="AB1" s="288"/>
      <c r="AC1" s="288"/>
    </row>
    <row r="2" spans="1:31" ht="41.25" customHeight="1" thickBot="1" x14ac:dyDescent="0.4">
      <c r="A2" s="48"/>
      <c r="B2" s="291"/>
      <c r="C2" s="291"/>
      <c r="D2" s="291"/>
      <c r="E2" s="291"/>
      <c r="F2" s="291"/>
      <c r="G2" s="291"/>
      <c r="H2" s="291"/>
      <c r="I2" s="291"/>
      <c r="J2" s="291"/>
      <c r="K2" s="291"/>
      <c r="L2" s="291"/>
      <c r="M2" s="291"/>
      <c r="N2" s="291"/>
      <c r="O2" s="291"/>
      <c r="P2" s="292"/>
      <c r="Q2" s="289">
        <v>803</v>
      </c>
      <c r="R2" s="290"/>
      <c r="S2" s="290"/>
      <c r="T2" s="290">
        <v>519</v>
      </c>
      <c r="U2" s="290"/>
      <c r="V2" s="290"/>
      <c r="W2" s="290">
        <v>800</v>
      </c>
      <c r="X2" s="290"/>
      <c r="Y2" s="290"/>
      <c r="Z2" s="290">
        <v>802</v>
      </c>
      <c r="AA2" s="290"/>
      <c r="AB2" s="293"/>
      <c r="AC2" s="17"/>
    </row>
    <row r="3" spans="1:31" ht="50.25" customHeight="1" thickBot="1" x14ac:dyDescent="0.35">
      <c r="B3" s="22" t="s">
        <v>49</v>
      </c>
      <c r="C3" s="23" t="s">
        <v>13</v>
      </c>
      <c r="D3" s="22" t="s">
        <v>50</v>
      </c>
      <c r="E3" s="23" t="s">
        <v>14</v>
      </c>
      <c r="F3" s="22" t="s">
        <v>51</v>
      </c>
      <c r="G3" s="23" t="s">
        <v>15</v>
      </c>
      <c r="H3" s="22" t="s">
        <v>52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5" t="s">
        <v>22</v>
      </c>
      <c r="P3" s="25" t="s">
        <v>23</v>
      </c>
      <c r="Q3" s="36" t="s">
        <v>24</v>
      </c>
      <c r="R3" s="36" t="s">
        <v>25</v>
      </c>
      <c r="S3" s="36" t="s">
        <v>26</v>
      </c>
      <c r="T3" s="37" t="s">
        <v>27</v>
      </c>
      <c r="U3" s="37" t="s">
        <v>25</v>
      </c>
      <c r="V3" s="37" t="s">
        <v>26</v>
      </c>
      <c r="W3" s="37" t="s">
        <v>28</v>
      </c>
      <c r="X3" s="37" t="s">
        <v>25</v>
      </c>
      <c r="Y3" s="37" t="s">
        <v>26</v>
      </c>
      <c r="Z3" s="37" t="s">
        <v>29</v>
      </c>
      <c r="AA3" s="37" t="s">
        <v>25</v>
      </c>
      <c r="AB3" s="38" t="s">
        <v>26</v>
      </c>
      <c r="AC3" s="52" t="s">
        <v>30</v>
      </c>
      <c r="AD3" s="51" t="s">
        <v>31</v>
      </c>
      <c r="AE3" s="50" t="s">
        <v>32</v>
      </c>
    </row>
    <row r="4" spans="1:31" ht="32.25" customHeight="1" x14ac:dyDescent="0.3">
      <c r="A4" s="19">
        <v>44221</v>
      </c>
      <c r="B4" s="20">
        <v>62</v>
      </c>
      <c r="C4" s="18">
        <f t="shared" ref="C4:C12" si="0">IF(AC4&gt;0,((B4-R4)+(S4-B5)),IF(B5=0, ,(B4-B5)))</f>
        <v>2</v>
      </c>
      <c r="D4" s="20">
        <v>64</v>
      </c>
      <c r="E4" s="18">
        <f t="shared" ref="E4:E25" si="1">IF(AC4&gt;0,((D4-U4)+(V4-D5)),IF(D5=0, ,(D4-D5)))</f>
        <v>1</v>
      </c>
      <c r="F4" s="20">
        <v>60</v>
      </c>
      <c r="G4" s="18">
        <f t="shared" ref="G4:G12" si="2">IF(AC4&gt;0,((F4-X4)+(Y4-F5)),IF(F5=0, ,(F4-F5)))</f>
        <v>1</v>
      </c>
      <c r="H4" s="20">
        <v>63</v>
      </c>
      <c r="I4" s="18">
        <f t="shared" ref="I4:I12" si="3">IF(AC4&gt;0,((H4-AA4)+(AB4-H5)),IF(H5=0, ,(H4-H5)))</f>
        <v>3</v>
      </c>
      <c r="J4" s="18">
        <f t="shared" ref="J4:J13" si="4">B4+D4+F4+H4</f>
        <v>249</v>
      </c>
      <c r="K4" s="18">
        <f t="shared" ref="K4:K13" si="5">J4/4</f>
        <v>62.25</v>
      </c>
      <c r="L4" s="18">
        <f t="shared" ref="L4:L13" si="6">IF(AC4&gt;0,((K4-AD4)+(AE4-K5)),IF(K5=0, ,(K4-K5)))</f>
        <v>1.75</v>
      </c>
      <c r="M4" s="18">
        <f t="shared" ref="M4:M42" si="7">7000*4</f>
        <v>28000</v>
      </c>
      <c r="N4" s="18">
        <f t="shared" ref="N4:N13" si="8">L4*M4/100</f>
        <v>490</v>
      </c>
      <c r="O4" s="18">
        <f t="shared" ref="O4:O13" si="9">N4*0.53</f>
        <v>259.7</v>
      </c>
      <c r="P4" s="21">
        <f t="shared" ref="P4:P10" si="10">O4*9.157</f>
        <v>2378.0729000000001</v>
      </c>
      <c r="Q4" s="18">
        <v>2146</v>
      </c>
      <c r="R4" s="18">
        <v>60</v>
      </c>
      <c r="S4" s="18">
        <v>85</v>
      </c>
      <c r="T4" s="18">
        <v>2013</v>
      </c>
      <c r="U4" s="18">
        <v>64</v>
      </c>
      <c r="V4" s="18">
        <v>86</v>
      </c>
      <c r="W4" s="18">
        <v>2297</v>
      </c>
      <c r="X4" s="18">
        <v>60</v>
      </c>
      <c r="Y4" s="18">
        <v>86</v>
      </c>
      <c r="Z4" s="18">
        <v>2531</v>
      </c>
      <c r="AA4" s="18">
        <v>62</v>
      </c>
      <c r="AB4" s="18">
        <v>87</v>
      </c>
      <c r="AC4" s="18">
        <f>Q4+T4+W4+Z4</f>
        <v>8987</v>
      </c>
      <c r="AD4" s="49">
        <f t="shared" ref="AD4:AD9" si="11">(R4+U4+X4+AA4)/4</f>
        <v>61.5</v>
      </c>
      <c r="AE4" s="49">
        <f t="shared" ref="AE4:AE9" si="12">(S4+V4+Y4+AB4)/4</f>
        <v>86</v>
      </c>
    </row>
    <row r="5" spans="1:31" ht="32.25" customHeight="1" x14ac:dyDescent="0.3">
      <c r="A5" s="19">
        <f>(A4+1)</f>
        <v>44222</v>
      </c>
      <c r="B5" s="20">
        <v>85</v>
      </c>
      <c r="C5" s="18">
        <f t="shared" si="0"/>
        <v>1</v>
      </c>
      <c r="D5" s="20">
        <v>85</v>
      </c>
      <c r="E5" s="18">
        <f t="shared" si="1"/>
        <v>1</v>
      </c>
      <c r="F5" s="20">
        <v>85</v>
      </c>
      <c r="G5" s="18">
        <f t="shared" si="2"/>
        <v>1</v>
      </c>
      <c r="H5" s="20">
        <v>85</v>
      </c>
      <c r="I5" s="18">
        <f t="shared" si="3"/>
        <v>1</v>
      </c>
      <c r="J5" s="18">
        <f t="shared" si="4"/>
        <v>340</v>
      </c>
      <c r="K5" s="18">
        <f t="shared" si="5"/>
        <v>85</v>
      </c>
      <c r="L5" s="18">
        <f t="shared" si="6"/>
        <v>1</v>
      </c>
      <c r="M5" s="18">
        <f t="shared" si="7"/>
        <v>28000</v>
      </c>
      <c r="N5" s="18">
        <f t="shared" si="8"/>
        <v>280</v>
      </c>
      <c r="O5" s="18">
        <f t="shared" si="9"/>
        <v>148.4</v>
      </c>
      <c r="P5" s="21">
        <f t="shared" si="10"/>
        <v>1358.8988000000002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>
        <f t="shared" ref="AC5:AC42" si="13">Q5+T5+W5+Z5</f>
        <v>0</v>
      </c>
      <c r="AD5" s="49">
        <f t="shared" si="11"/>
        <v>0</v>
      </c>
      <c r="AE5" s="49">
        <f t="shared" si="12"/>
        <v>0</v>
      </c>
    </row>
    <row r="6" spans="1:31" ht="32.25" customHeight="1" x14ac:dyDescent="0.3">
      <c r="A6" s="19">
        <f t="shared" ref="A6:A42" si="14">(A5+1)</f>
        <v>44223</v>
      </c>
      <c r="B6" s="20">
        <v>84</v>
      </c>
      <c r="C6" s="18">
        <f t="shared" si="0"/>
        <v>0</v>
      </c>
      <c r="D6" s="20">
        <v>84</v>
      </c>
      <c r="E6" s="18">
        <f t="shared" si="1"/>
        <v>0</v>
      </c>
      <c r="F6" s="20">
        <v>84</v>
      </c>
      <c r="G6" s="18">
        <f t="shared" si="2"/>
        <v>4</v>
      </c>
      <c r="H6" s="20">
        <v>84</v>
      </c>
      <c r="I6" s="18">
        <f t="shared" si="3"/>
        <v>4</v>
      </c>
      <c r="J6" s="18">
        <f t="shared" si="4"/>
        <v>336</v>
      </c>
      <c r="K6" s="18">
        <f t="shared" si="5"/>
        <v>84</v>
      </c>
      <c r="L6" s="18">
        <f t="shared" si="6"/>
        <v>2</v>
      </c>
      <c r="M6" s="18">
        <f t="shared" si="7"/>
        <v>28000</v>
      </c>
      <c r="N6" s="18">
        <f t="shared" si="8"/>
        <v>560</v>
      </c>
      <c r="O6" s="18">
        <f t="shared" si="9"/>
        <v>296.8</v>
      </c>
      <c r="P6" s="21">
        <f t="shared" si="10"/>
        <v>2717.7976000000003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>
        <f t="shared" si="13"/>
        <v>0</v>
      </c>
      <c r="AD6" s="49">
        <f t="shared" si="11"/>
        <v>0</v>
      </c>
      <c r="AE6" s="49">
        <f t="shared" si="12"/>
        <v>0</v>
      </c>
    </row>
    <row r="7" spans="1:31" ht="32.25" customHeight="1" x14ac:dyDescent="0.3">
      <c r="A7" s="19">
        <f t="shared" si="14"/>
        <v>44224</v>
      </c>
      <c r="B7" s="20">
        <v>84</v>
      </c>
      <c r="C7" s="18">
        <f t="shared" si="0"/>
        <v>4</v>
      </c>
      <c r="D7" s="20">
        <v>84</v>
      </c>
      <c r="E7" s="18">
        <f t="shared" si="1"/>
        <v>2</v>
      </c>
      <c r="F7" s="20">
        <v>80</v>
      </c>
      <c r="G7" s="18">
        <f t="shared" si="2"/>
        <v>1</v>
      </c>
      <c r="H7" s="20">
        <v>80</v>
      </c>
      <c r="I7" s="18">
        <f t="shared" si="3"/>
        <v>0</v>
      </c>
      <c r="J7" s="18">
        <f t="shared" si="4"/>
        <v>328</v>
      </c>
      <c r="K7" s="18">
        <f t="shared" si="5"/>
        <v>82</v>
      </c>
      <c r="L7" s="18">
        <f t="shared" si="6"/>
        <v>1.75</v>
      </c>
      <c r="M7" s="18">
        <f t="shared" si="7"/>
        <v>28000</v>
      </c>
      <c r="N7" s="18">
        <f t="shared" si="8"/>
        <v>490</v>
      </c>
      <c r="O7" s="18">
        <f t="shared" si="9"/>
        <v>259.7</v>
      </c>
      <c r="P7" s="21">
        <f t="shared" si="10"/>
        <v>2378.0729000000001</v>
      </c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>
        <f t="shared" si="13"/>
        <v>0</v>
      </c>
      <c r="AD7" s="49">
        <f t="shared" si="11"/>
        <v>0</v>
      </c>
      <c r="AE7" s="49">
        <f t="shared" si="12"/>
        <v>0</v>
      </c>
    </row>
    <row r="8" spans="1:31" ht="32.25" customHeight="1" x14ac:dyDescent="0.3">
      <c r="A8" s="19">
        <f t="shared" si="14"/>
        <v>44225</v>
      </c>
      <c r="B8" s="20">
        <v>80</v>
      </c>
      <c r="C8" s="18">
        <f t="shared" si="0"/>
        <v>1</v>
      </c>
      <c r="D8" s="20">
        <v>82</v>
      </c>
      <c r="E8" s="18">
        <f t="shared" si="1"/>
        <v>2</v>
      </c>
      <c r="F8" s="20">
        <v>79</v>
      </c>
      <c r="G8" s="18">
        <f t="shared" si="2"/>
        <v>4</v>
      </c>
      <c r="H8" s="20">
        <v>80</v>
      </c>
      <c r="I8" s="18">
        <f t="shared" si="3"/>
        <v>3</v>
      </c>
      <c r="J8" s="18">
        <f t="shared" si="4"/>
        <v>321</v>
      </c>
      <c r="K8" s="18">
        <f t="shared" si="5"/>
        <v>80.25</v>
      </c>
      <c r="L8" s="18">
        <f t="shared" si="6"/>
        <v>2.5</v>
      </c>
      <c r="M8" s="18">
        <f t="shared" si="7"/>
        <v>28000</v>
      </c>
      <c r="N8" s="18">
        <f t="shared" si="8"/>
        <v>700</v>
      </c>
      <c r="O8" s="18">
        <f t="shared" si="9"/>
        <v>371</v>
      </c>
      <c r="P8" s="21">
        <f t="shared" si="10"/>
        <v>3397.2469999999998</v>
      </c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>
        <f t="shared" si="13"/>
        <v>0</v>
      </c>
      <c r="AD8" s="49">
        <f t="shared" si="11"/>
        <v>0</v>
      </c>
      <c r="AE8" s="49">
        <f t="shared" si="12"/>
        <v>0</v>
      </c>
    </row>
    <row r="9" spans="1:31" ht="32.25" customHeight="1" x14ac:dyDescent="0.3">
      <c r="A9" s="19">
        <f t="shared" si="14"/>
        <v>44226</v>
      </c>
      <c r="B9" s="20">
        <v>79</v>
      </c>
      <c r="C9" s="18">
        <f t="shared" si="0"/>
        <v>4</v>
      </c>
      <c r="D9" s="20">
        <v>80</v>
      </c>
      <c r="E9" s="18">
        <f t="shared" si="1"/>
        <v>1</v>
      </c>
      <c r="F9" s="20">
        <v>75</v>
      </c>
      <c r="G9" s="18">
        <f t="shared" si="2"/>
        <v>3</v>
      </c>
      <c r="H9" s="20">
        <v>77</v>
      </c>
      <c r="I9" s="18">
        <f t="shared" si="3"/>
        <v>2</v>
      </c>
      <c r="J9" s="18">
        <f t="shared" si="4"/>
        <v>311</v>
      </c>
      <c r="K9" s="18">
        <f t="shared" si="5"/>
        <v>77.75</v>
      </c>
      <c r="L9" s="18">
        <f t="shared" si="6"/>
        <v>2.5</v>
      </c>
      <c r="M9" s="18">
        <f t="shared" si="7"/>
        <v>28000</v>
      </c>
      <c r="N9" s="18">
        <f t="shared" si="8"/>
        <v>700</v>
      </c>
      <c r="O9" s="18">
        <f t="shared" si="9"/>
        <v>371</v>
      </c>
      <c r="P9" s="21">
        <f t="shared" si="10"/>
        <v>3397.2469999999998</v>
      </c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>
        <f t="shared" si="13"/>
        <v>0</v>
      </c>
      <c r="AD9" s="49">
        <f t="shared" si="11"/>
        <v>0</v>
      </c>
      <c r="AE9" s="49">
        <f t="shared" si="12"/>
        <v>0</v>
      </c>
    </row>
    <row r="10" spans="1:31" ht="32.25" customHeight="1" x14ac:dyDescent="0.3">
      <c r="A10" s="19">
        <f t="shared" si="14"/>
        <v>44227</v>
      </c>
      <c r="B10" s="20">
        <v>75</v>
      </c>
      <c r="C10" s="18">
        <f t="shared" si="0"/>
        <v>3</v>
      </c>
      <c r="D10" s="20">
        <v>79</v>
      </c>
      <c r="E10" s="18">
        <f t="shared" si="1"/>
        <v>4</v>
      </c>
      <c r="F10" s="20">
        <v>72</v>
      </c>
      <c r="G10" s="18">
        <f t="shared" si="2"/>
        <v>1</v>
      </c>
      <c r="H10" s="20">
        <v>75</v>
      </c>
      <c r="I10" s="18">
        <f t="shared" si="3"/>
        <v>2</v>
      </c>
      <c r="J10" s="18">
        <f t="shared" si="4"/>
        <v>301</v>
      </c>
      <c r="K10" s="18">
        <f t="shared" si="5"/>
        <v>75.25</v>
      </c>
      <c r="L10" s="18">
        <f t="shared" si="6"/>
        <v>2.5</v>
      </c>
      <c r="M10" s="18">
        <f t="shared" si="7"/>
        <v>28000</v>
      </c>
      <c r="N10" s="18">
        <f t="shared" si="8"/>
        <v>700</v>
      </c>
      <c r="O10" s="18">
        <f t="shared" si="9"/>
        <v>371</v>
      </c>
      <c r="P10" s="21">
        <f t="shared" si="10"/>
        <v>3397.2469999999998</v>
      </c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>
        <f t="shared" si="13"/>
        <v>0</v>
      </c>
      <c r="AD10" s="49">
        <f>(R10+U10+X10+AA10)/4</f>
        <v>0</v>
      </c>
      <c r="AE10" s="49">
        <f>(S10+V10+Y10+AB10)/4</f>
        <v>0</v>
      </c>
    </row>
    <row r="11" spans="1:31" ht="32.25" customHeight="1" x14ac:dyDescent="0.3">
      <c r="A11" s="19">
        <f t="shared" si="14"/>
        <v>44228</v>
      </c>
      <c r="B11" s="20">
        <v>72</v>
      </c>
      <c r="C11" s="18">
        <f t="shared" si="0"/>
        <v>2</v>
      </c>
      <c r="D11" s="20">
        <v>75</v>
      </c>
      <c r="E11" s="18">
        <f t="shared" si="1"/>
        <v>3</v>
      </c>
      <c r="F11" s="20">
        <v>71</v>
      </c>
      <c r="G11" s="18">
        <f t="shared" si="2"/>
        <v>3</v>
      </c>
      <c r="H11" s="20">
        <v>73</v>
      </c>
      <c r="I11" s="18">
        <f t="shared" si="3"/>
        <v>3</v>
      </c>
      <c r="J11" s="18">
        <f t="shared" si="4"/>
        <v>291</v>
      </c>
      <c r="K11" s="18">
        <f t="shared" si="5"/>
        <v>72.75</v>
      </c>
      <c r="L11" s="18">
        <f t="shared" si="6"/>
        <v>2.75</v>
      </c>
      <c r="M11" s="18">
        <f t="shared" si="7"/>
        <v>28000</v>
      </c>
      <c r="N11" s="18">
        <f t="shared" si="8"/>
        <v>770</v>
      </c>
      <c r="O11" s="18">
        <f t="shared" si="9"/>
        <v>408.1</v>
      </c>
      <c r="P11" s="21">
        <f>O11*9.247</f>
        <v>3773.7007000000003</v>
      </c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>
        <f t="shared" si="13"/>
        <v>0</v>
      </c>
      <c r="AD11" s="49">
        <f t="shared" ref="AD11:AE13" si="15">(R11+U11+X11+AA11)/4</f>
        <v>0</v>
      </c>
      <c r="AE11" s="49">
        <f t="shared" si="15"/>
        <v>0</v>
      </c>
    </row>
    <row r="12" spans="1:31" ht="32.25" customHeight="1" x14ac:dyDescent="0.3">
      <c r="A12" s="19">
        <f t="shared" si="14"/>
        <v>44229</v>
      </c>
      <c r="B12" s="20">
        <v>70</v>
      </c>
      <c r="C12" s="18">
        <f t="shared" si="0"/>
        <v>0</v>
      </c>
      <c r="D12" s="20">
        <v>72</v>
      </c>
      <c r="E12" s="18">
        <f t="shared" si="1"/>
        <v>2</v>
      </c>
      <c r="F12" s="20">
        <v>68</v>
      </c>
      <c r="G12" s="18">
        <f t="shared" si="2"/>
        <v>1</v>
      </c>
      <c r="H12" s="20">
        <v>70</v>
      </c>
      <c r="I12" s="18">
        <f t="shared" si="3"/>
        <v>0</v>
      </c>
      <c r="J12" s="18">
        <f t="shared" si="4"/>
        <v>280</v>
      </c>
      <c r="K12" s="18">
        <f t="shared" si="5"/>
        <v>70</v>
      </c>
      <c r="L12" s="18">
        <f t="shared" si="6"/>
        <v>0.75</v>
      </c>
      <c r="M12" s="18">
        <f t="shared" si="7"/>
        <v>28000</v>
      </c>
      <c r="N12" s="18">
        <f t="shared" si="8"/>
        <v>210</v>
      </c>
      <c r="O12" s="18">
        <f t="shared" si="9"/>
        <v>111.30000000000001</v>
      </c>
      <c r="P12" s="21">
        <f t="shared" ref="P12:P43" si="16">O12*9.247</f>
        <v>1029.1911</v>
      </c>
      <c r="Q12" s="18">
        <v>1474</v>
      </c>
      <c r="R12" s="18">
        <v>70</v>
      </c>
      <c r="S12" s="18">
        <v>85</v>
      </c>
      <c r="T12" s="18">
        <v>1377</v>
      </c>
      <c r="U12" s="18">
        <v>70</v>
      </c>
      <c r="V12" s="18">
        <v>85</v>
      </c>
      <c r="W12" s="18">
        <v>1561</v>
      </c>
      <c r="X12" s="18">
        <v>68</v>
      </c>
      <c r="Y12" s="18">
        <v>85</v>
      </c>
      <c r="Z12" s="18">
        <v>1522</v>
      </c>
      <c r="AA12" s="18">
        <v>70</v>
      </c>
      <c r="AB12" s="18">
        <v>85</v>
      </c>
      <c r="AC12" s="18">
        <f t="shared" si="13"/>
        <v>5934</v>
      </c>
      <c r="AD12" s="49">
        <f t="shared" si="15"/>
        <v>69.5</v>
      </c>
      <c r="AE12" s="49">
        <f t="shared" si="15"/>
        <v>85</v>
      </c>
    </row>
    <row r="13" spans="1:31" ht="32.25" customHeight="1" x14ac:dyDescent="0.3">
      <c r="A13" s="19">
        <f t="shared" si="14"/>
        <v>44230</v>
      </c>
      <c r="B13" s="20">
        <v>85</v>
      </c>
      <c r="C13" s="18">
        <v>0</v>
      </c>
      <c r="D13" s="20">
        <v>85</v>
      </c>
      <c r="E13" s="18">
        <f t="shared" si="1"/>
        <v>1</v>
      </c>
      <c r="F13" s="20">
        <v>84</v>
      </c>
      <c r="G13" s="18">
        <v>0</v>
      </c>
      <c r="H13" s="20">
        <v>85</v>
      </c>
      <c r="I13" s="18">
        <v>0</v>
      </c>
      <c r="J13" s="18">
        <f t="shared" si="4"/>
        <v>339</v>
      </c>
      <c r="K13" s="18">
        <f t="shared" si="5"/>
        <v>84.75</v>
      </c>
      <c r="L13" s="18">
        <f t="shared" si="6"/>
        <v>0.75</v>
      </c>
      <c r="M13" s="18">
        <f t="shared" si="7"/>
        <v>28000</v>
      </c>
      <c r="N13" s="18">
        <f t="shared" si="8"/>
        <v>210</v>
      </c>
      <c r="O13" s="18">
        <f t="shared" si="9"/>
        <v>111.30000000000001</v>
      </c>
      <c r="P13" s="21">
        <f t="shared" si="16"/>
        <v>1029.1911</v>
      </c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>
        <f t="shared" si="13"/>
        <v>0</v>
      </c>
      <c r="AD13" s="49">
        <f t="shared" si="15"/>
        <v>0</v>
      </c>
      <c r="AE13" s="49">
        <f t="shared" si="15"/>
        <v>0</v>
      </c>
    </row>
    <row r="14" spans="1:31" ht="32.25" customHeight="1" x14ac:dyDescent="0.3">
      <c r="A14" s="19">
        <f t="shared" si="14"/>
        <v>44231</v>
      </c>
      <c r="B14" s="20">
        <v>85</v>
      </c>
      <c r="C14" s="18">
        <f t="shared" ref="C14:C25" si="17">IF(AC14&gt;0,((B14-R14)+(S14-B15)),IF(B15=0, ,(B14-B15)))</f>
        <v>2</v>
      </c>
      <c r="D14" s="20">
        <v>84</v>
      </c>
      <c r="E14" s="18">
        <f t="shared" si="1"/>
        <v>0</v>
      </c>
      <c r="F14" s="20">
        <v>83</v>
      </c>
      <c r="G14" s="18">
        <f t="shared" ref="G14:G25" si="18">IF(AC14&gt;0,((F14-X14)+(Y14-F15)),IF(F15=0, ,(F14-F15)))</f>
        <v>3</v>
      </c>
      <c r="H14" s="20">
        <v>84</v>
      </c>
      <c r="I14" s="18">
        <f t="shared" ref="I14" si="19">IF(AC14&gt;0,((H14-AA14)+(AB14-H15)),IF(H15=0, ,(H14-H15)))</f>
        <v>4</v>
      </c>
      <c r="J14" s="18">
        <f t="shared" ref="J14" si="20">B14+D14+F14+H14</f>
        <v>336</v>
      </c>
      <c r="K14" s="18">
        <f t="shared" ref="K14" si="21">J14/4</f>
        <v>84</v>
      </c>
      <c r="L14" s="18">
        <f t="shared" ref="L14" si="22">IF(AC14&gt;0,((K14-AD14)+(AE14-K15)),IF(K15=0, ,(K14-K15)))</f>
        <v>2.25</v>
      </c>
      <c r="M14" s="18">
        <f t="shared" si="7"/>
        <v>28000</v>
      </c>
      <c r="N14" s="18">
        <f t="shared" ref="N14" si="23">L14*M14/100</f>
        <v>630</v>
      </c>
      <c r="O14" s="18">
        <f t="shared" ref="O14" si="24">N14*0.53</f>
        <v>333.90000000000003</v>
      </c>
      <c r="P14" s="21">
        <f t="shared" si="16"/>
        <v>3087.5733000000005</v>
      </c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>
        <f t="shared" si="13"/>
        <v>0</v>
      </c>
      <c r="AD14" s="49">
        <f t="shared" ref="AD14:AD42" si="25">(R14+U14+X14+AA14)/4</f>
        <v>0</v>
      </c>
      <c r="AE14" s="49">
        <f t="shared" ref="AE14:AE42" si="26">(S14+V14+Y14+AB14)/4</f>
        <v>0</v>
      </c>
    </row>
    <row r="15" spans="1:31" ht="32.25" customHeight="1" x14ac:dyDescent="0.3">
      <c r="A15" s="19">
        <f t="shared" si="14"/>
        <v>44232</v>
      </c>
      <c r="B15" s="20">
        <v>83</v>
      </c>
      <c r="C15" s="18">
        <v>0</v>
      </c>
      <c r="D15" s="20">
        <v>84</v>
      </c>
      <c r="E15" s="18">
        <v>0</v>
      </c>
      <c r="F15" s="20">
        <v>80</v>
      </c>
      <c r="G15" s="18">
        <v>0</v>
      </c>
      <c r="H15" s="20">
        <v>80</v>
      </c>
      <c r="I15" s="18">
        <f t="shared" ref="I15:I19" si="27">IF(AC15&gt;0,((H15-AA15)+(AB15-H16)),IF(H16=0, ,(H15-H16)))</f>
        <v>2</v>
      </c>
      <c r="J15" s="18">
        <f t="shared" ref="J15:J42" si="28">B15+D15+F15+H15</f>
        <v>327</v>
      </c>
      <c r="K15" s="18">
        <f t="shared" ref="K15:K42" si="29">J15/4</f>
        <v>81.75</v>
      </c>
      <c r="L15" s="18">
        <f t="shared" ref="L15:L19" si="30">IF(AC15&gt;0,((K15-AD15)+(AE15-K16)),IF(K16=0, ,(K15-K16)))</f>
        <v>2.25</v>
      </c>
      <c r="M15" s="18">
        <f t="shared" si="7"/>
        <v>28000</v>
      </c>
      <c r="N15" s="18">
        <f t="shared" ref="N15" si="31">L15*M15/100</f>
        <v>630</v>
      </c>
      <c r="O15" s="18">
        <f t="shared" ref="O15" si="32">N15*0.53</f>
        <v>333.90000000000003</v>
      </c>
      <c r="P15" s="21">
        <f t="shared" si="16"/>
        <v>3087.5733000000005</v>
      </c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>
        <f t="shared" si="13"/>
        <v>0</v>
      </c>
      <c r="AD15" s="49">
        <f t="shared" si="25"/>
        <v>0</v>
      </c>
      <c r="AE15" s="49">
        <f t="shared" si="26"/>
        <v>0</v>
      </c>
    </row>
    <row r="16" spans="1:31" ht="32.25" customHeight="1" x14ac:dyDescent="0.3">
      <c r="A16" s="19">
        <f t="shared" si="14"/>
        <v>44233</v>
      </c>
      <c r="B16" s="20">
        <v>80</v>
      </c>
      <c r="C16" s="18">
        <f t="shared" si="17"/>
        <v>3</v>
      </c>
      <c r="D16" s="20">
        <v>82</v>
      </c>
      <c r="E16" s="18">
        <f t="shared" si="1"/>
        <v>3</v>
      </c>
      <c r="F16" s="20">
        <v>78</v>
      </c>
      <c r="G16" s="18">
        <f t="shared" si="18"/>
        <v>5</v>
      </c>
      <c r="H16" s="20">
        <v>78</v>
      </c>
      <c r="I16" s="18">
        <f t="shared" si="27"/>
        <v>5</v>
      </c>
      <c r="J16" s="18">
        <f t="shared" si="28"/>
        <v>318</v>
      </c>
      <c r="K16" s="18">
        <f t="shared" si="29"/>
        <v>79.5</v>
      </c>
      <c r="L16" s="18">
        <f t="shared" si="30"/>
        <v>4</v>
      </c>
      <c r="M16" s="18">
        <f t="shared" si="7"/>
        <v>28000</v>
      </c>
      <c r="N16" s="18">
        <f t="shared" ref="N16:N42" si="33">L16*M16/100</f>
        <v>1120</v>
      </c>
      <c r="O16" s="18">
        <f t="shared" ref="O16:O42" si="34">N16*0.53</f>
        <v>593.6</v>
      </c>
      <c r="P16" s="21">
        <f t="shared" si="16"/>
        <v>5489.0191999999997</v>
      </c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>
        <f t="shared" si="13"/>
        <v>0</v>
      </c>
      <c r="AD16" s="49">
        <f t="shared" si="25"/>
        <v>0</v>
      </c>
      <c r="AE16" s="49">
        <f t="shared" si="26"/>
        <v>0</v>
      </c>
    </row>
    <row r="17" spans="1:31" ht="32.25" customHeight="1" x14ac:dyDescent="0.3">
      <c r="A17" s="19">
        <f t="shared" si="14"/>
        <v>44234</v>
      </c>
      <c r="B17" s="20">
        <v>77</v>
      </c>
      <c r="C17" s="18">
        <f t="shared" si="17"/>
        <v>5</v>
      </c>
      <c r="D17" s="20">
        <v>79</v>
      </c>
      <c r="E17" s="18">
        <f t="shared" si="1"/>
        <v>5</v>
      </c>
      <c r="F17" s="20">
        <v>73</v>
      </c>
      <c r="G17" s="18">
        <f t="shared" si="18"/>
        <v>3</v>
      </c>
      <c r="H17" s="20">
        <v>73</v>
      </c>
      <c r="I17" s="18">
        <f t="shared" si="27"/>
        <v>2</v>
      </c>
      <c r="J17" s="18">
        <f t="shared" si="28"/>
        <v>302</v>
      </c>
      <c r="K17" s="18">
        <f t="shared" si="29"/>
        <v>75.5</v>
      </c>
      <c r="L17" s="18">
        <f t="shared" si="30"/>
        <v>3.75</v>
      </c>
      <c r="M17" s="18">
        <f t="shared" si="7"/>
        <v>28000</v>
      </c>
      <c r="N17" s="18">
        <f t="shared" si="33"/>
        <v>1050</v>
      </c>
      <c r="O17" s="18">
        <f t="shared" si="34"/>
        <v>556.5</v>
      </c>
      <c r="P17" s="21">
        <f t="shared" si="16"/>
        <v>5145.9555</v>
      </c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>
        <f t="shared" si="13"/>
        <v>0</v>
      </c>
      <c r="AD17" s="49">
        <f t="shared" si="25"/>
        <v>0</v>
      </c>
      <c r="AE17" s="49">
        <f t="shared" si="26"/>
        <v>0</v>
      </c>
    </row>
    <row r="18" spans="1:31" ht="32.25" customHeight="1" x14ac:dyDescent="0.3">
      <c r="A18" s="19">
        <f t="shared" si="14"/>
        <v>44235</v>
      </c>
      <c r="B18" s="20">
        <v>72</v>
      </c>
      <c r="C18" s="18">
        <f t="shared" si="17"/>
        <v>0</v>
      </c>
      <c r="D18" s="20">
        <v>74</v>
      </c>
      <c r="E18" s="18">
        <f t="shared" si="1"/>
        <v>0</v>
      </c>
      <c r="F18" s="20">
        <v>70</v>
      </c>
      <c r="G18" s="18">
        <f t="shared" si="18"/>
        <v>3</v>
      </c>
      <c r="H18" s="20">
        <v>71</v>
      </c>
      <c r="I18" s="18">
        <f t="shared" si="27"/>
        <v>7</v>
      </c>
      <c r="J18" s="18">
        <f t="shared" si="28"/>
        <v>287</v>
      </c>
      <c r="K18" s="18">
        <f t="shared" si="29"/>
        <v>71.75</v>
      </c>
      <c r="L18" s="18">
        <f t="shared" si="30"/>
        <v>2.5</v>
      </c>
      <c r="M18" s="18">
        <f t="shared" si="7"/>
        <v>28000</v>
      </c>
      <c r="N18" s="18">
        <f t="shared" si="33"/>
        <v>700</v>
      </c>
      <c r="O18" s="18">
        <f t="shared" si="34"/>
        <v>371</v>
      </c>
      <c r="P18" s="21">
        <f t="shared" si="16"/>
        <v>3430.6370000000002</v>
      </c>
      <c r="Q18" s="18">
        <v>1018</v>
      </c>
      <c r="R18" s="18">
        <v>74</v>
      </c>
      <c r="S18" s="18">
        <v>85</v>
      </c>
      <c r="T18" s="18">
        <v>969</v>
      </c>
      <c r="U18" s="18">
        <v>75</v>
      </c>
      <c r="V18" s="18">
        <v>85</v>
      </c>
      <c r="W18" s="18">
        <v>1189</v>
      </c>
      <c r="X18" s="18">
        <v>68</v>
      </c>
      <c r="Y18" s="18">
        <v>85</v>
      </c>
      <c r="Z18" s="18">
        <v>1172</v>
      </c>
      <c r="AA18" s="18">
        <v>67</v>
      </c>
      <c r="AB18" s="18">
        <v>85</v>
      </c>
      <c r="AC18" s="18">
        <f t="shared" si="13"/>
        <v>4348</v>
      </c>
      <c r="AD18" s="49">
        <f t="shared" si="25"/>
        <v>71</v>
      </c>
      <c r="AE18" s="49">
        <f t="shared" si="26"/>
        <v>85</v>
      </c>
    </row>
    <row r="19" spans="1:31" ht="32.25" customHeight="1" x14ac:dyDescent="0.3">
      <c r="A19" s="19">
        <f t="shared" si="14"/>
        <v>44236</v>
      </c>
      <c r="B19" s="20">
        <v>83</v>
      </c>
      <c r="C19" s="18">
        <f t="shared" si="17"/>
        <v>2</v>
      </c>
      <c r="D19" s="20">
        <v>84</v>
      </c>
      <c r="E19" s="18">
        <f t="shared" si="1"/>
        <v>0</v>
      </c>
      <c r="F19" s="20">
        <v>84</v>
      </c>
      <c r="G19" s="18">
        <f t="shared" si="18"/>
        <v>4</v>
      </c>
      <c r="H19" s="20">
        <v>82</v>
      </c>
      <c r="I19" s="18">
        <f t="shared" si="27"/>
        <v>2</v>
      </c>
      <c r="J19" s="18">
        <f t="shared" si="28"/>
        <v>333</v>
      </c>
      <c r="K19" s="18">
        <f t="shared" si="29"/>
        <v>83.25</v>
      </c>
      <c r="L19" s="18">
        <f t="shared" si="30"/>
        <v>2</v>
      </c>
      <c r="M19" s="18">
        <f t="shared" si="7"/>
        <v>28000</v>
      </c>
      <c r="N19" s="18">
        <f t="shared" si="33"/>
        <v>560</v>
      </c>
      <c r="O19" s="18">
        <f t="shared" si="34"/>
        <v>296.8</v>
      </c>
      <c r="P19" s="21">
        <f t="shared" si="16"/>
        <v>2744.5095999999999</v>
      </c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>
        <f t="shared" si="13"/>
        <v>0</v>
      </c>
      <c r="AD19" s="49">
        <f t="shared" si="25"/>
        <v>0</v>
      </c>
      <c r="AE19" s="49">
        <f t="shared" si="26"/>
        <v>0</v>
      </c>
    </row>
    <row r="20" spans="1:31" ht="32.25" customHeight="1" x14ac:dyDescent="0.3">
      <c r="A20" s="19">
        <f t="shared" si="14"/>
        <v>44237</v>
      </c>
      <c r="B20" s="20">
        <v>81</v>
      </c>
      <c r="C20" s="18">
        <f t="shared" si="17"/>
        <v>1</v>
      </c>
      <c r="D20" s="20">
        <v>84</v>
      </c>
      <c r="E20" s="18">
        <f t="shared" si="1"/>
        <v>3</v>
      </c>
      <c r="F20" s="20">
        <v>80</v>
      </c>
      <c r="G20" s="18">
        <f t="shared" si="18"/>
        <v>2</v>
      </c>
      <c r="H20" s="20">
        <v>80</v>
      </c>
      <c r="I20" s="18">
        <f t="shared" ref="I20:I42" si="35">IF(AC20&gt;0,((H20-AA20)+(AB20-H21)),IF(H21=0, ,(H20-H21)))</f>
        <v>0</v>
      </c>
      <c r="J20" s="18">
        <f t="shared" si="28"/>
        <v>325</v>
      </c>
      <c r="K20" s="18">
        <f t="shared" si="29"/>
        <v>81.25</v>
      </c>
      <c r="L20" s="18">
        <f t="shared" ref="L20:L42" si="36">IF(AC20&gt;0,((K20-AD20)+(AE20-K21)),IF(K21=0, ,(K20-K21)))</f>
        <v>1.5</v>
      </c>
      <c r="M20" s="18">
        <f t="shared" si="7"/>
        <v>28000</v>
      </c>
      <c r="N20" s="18">
        <f t="shared" si="33"/>
        <v>420</v>
      </c>
      <c r="O20" s="18">
        <f t="shared" si="34"/>
        <v>222.60000000000002</v>
      </c>
      <c r="P20" s="21">
        <f t="shared" si="16"/>
        <v>2058.3822</v>
      </c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>
        <f t="shared" si="13"/>
        <v>0</v>
      </c>
      <c r="AD20" s="49">
        <f t="shared" si="25"/>
        <v>0</v>
      </c>
      <c r="AE20" s="49">
        <f t="shared" si="26"/>
        <v>0</v>
      </c>
    </row>
    <row r="21" spans="1:31" ht="32.25" customHeight="1" x14ac:dyDescent="0.3">
      <c r="A21" s="19">
        <f t="shared" si="14"/>
        <v>44238</v>
      </c>
      <c r="B21" s="20">
        <v>80</v>
      </c>
      <c r="C21" s="18">
        <f t="shared" si="17"/>
        <v>2</v>
      </c>
      <c r="D21" s="20">
        <v>81</v>
      </c>
      <c r="E21" s="18">
        <f t="shared" si="1"/>
        <v>1</v>
      </c>
      <c r="F21" s="20">
        <v>78</v>
      </c>
      <c r="G21" s="18">
        <f t="shared" si="18"/>
        <v>3</v>
      </c>
      <c r="H21" s="20">
        <v>80</v>
      </c>
      <c r="I21" s="18">
        <f t="shared" si="35"/>
        <v>5</v>
      </c>
      <c r="J21" s="18">
        <f t="shared" si="28"/>
        <v>319</v>
      </c>
      <c r="K21" s="18">
        <f t="shared" si="29"/>
        <v>79.75</v>
      </c>
      <c r="L21" s="18">
        <f t="shared" si="36"/>
        <v>2.75</v>
      </c>
      <c r="M21" s="18">
        <f t="shared" si="7"/>
        <v>28000</v>
      </c>
      <c r="N21" s="18">
        <f t="shared" si="33"/>
        <v>770</v>
      </c>
      <c r="O21" s="18">
        <f t="shared" si="34"/>
        <v>408.1</v>
      </c>
      <c r="P21" s="21">
        <f t="shared" si="16"/>
        <v>3773.7007000000003</v>
      </c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>
        <f t="shared" si="13"/>
        <v>0</v>
      </c>
      <c r="AD21" s="49">
        <f t="shared" si="25"/>
        <v>0</v>
      </c>
      <c r="AE21" s="49">
        <f t="shared" si="26"/>
        <v>0</v>
      </c>
    </row>
    <row r="22" spans="1:31" ht="32.25" customHeight="1" x14ac:dyDescent="0.3">
      <c r="A22" s="19">
        <f t="shared" si="14"/>
        <v>44239</v>
      </c>
      <c r="B22" s="20">
        <v>78</v>
      </c>
      <c r="C22" s="18">
        <v>0</v>
      </c>
      <c r="D22" s="20">
        <v>80</v>
      </c>
      <c r="E22" s="18">
        <v>0</v>
      </c>
      <c r="F22" s="20">
        <v>75</v>
      </c>
      <c r="G22" s="18">
        <v>0</v>
      </c>
      <c r="H22" s="20">
        <v>75</v>
      </c>
      <c r="I22" s="18">
        <f t="shared" si="35"/>
        <v>0</v>
      </c>
      <c r="J22" s="18">
        <f t="shared" si="28"/>
        <v>308</v>
      </c>
      <c r="K22" s="18">
        <f t="shared" si="29"/>
        <v>77</v>
      </c>
      <c r="L22" s="18">
        <f t="shared" si="36"/>
        <v>2</v>
      </c>
      <c r="M22" s="18">
        <f t="shared" si="7"/>
        <v>28000</v>
      </c>
      <c r="N22" s="18">
        <f t="shared" si="33"/>
        <v>560</v>
      </c>
      <c r="O22" s="18">
        <f t="shared" si="34"/>
        <v>296.8</v>
      </c>
      <c r="P22" s="21">
        <f t="shared" si="16"/>
        <v>2744.5095999999999</v>
      </c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>
        <f t="shared" si="13"/>
        <v>0</v>
      </c>
      <c r="AD22" s="49">
        <f t="shared" si="25"/>
        <v>0</v>
      </c>
      <c r="AE22" s="49">
        <f t="shared" si="26"/>
        <v>0</v>
      </c>
    </row>
    <row r="23" spans="1:31" ht="32.25" customHeight="1" x14ac:dyDescent="0.3">
      <c r="A23" s="19">
        <f t="shared" si="14"/>
        <v>44240</v>
      </c>
      <c r="B23" s="20">
        <v>74</v>
      </c>
      <c r="C23" s="18">
        <f t="shared" si="17"/>
        <v>3</v>
      </c>
      <c r="D23" s="20">
        <v>78</v>
      </c>
      <c r="E23" s="18">
        <f t="shared" si="1"/>
        <v>5</v>
      </c>
      <c r="F23" s="20">
        <v>73</v>
      </c>
      <c r="G23" s="18">
        <f t="shared" si="18"/>
        <v>3</v>
      </c>
      <c r="H23" s="20">
        <v>75</v>
      </c>
      <c r="I23" s="18">
        <f t="shared" si="35"/>
        <v>4</v>
      </c>
      <c r="J23" s="18">
        <f t="shared" si="28"/>
        <v>300</v>
      </c>
      <c r="K23" s="18">
        <f t="shared" si="29"/>
        <v>75</v>
      </c>
      <c r="L23" s="18">
        <f t="shared" si="36"/>
        <v>3.75</v>
      </c>
      <c r="M23" s="18">
        <f t="shared" si="7"/>
        <v>28000</v>
      </c>
      <c r="N23" s="18">
        <f t="shared" si="33"/>
        <v>1050</v>
      </c>
      <c r="O23" s="18">
        <f t="shared" si="34"/>
        <v>556.5</v>
      </c>
      <c r="P23" s="21">
        <f t="shared" si="16"/>
        <v>5145.9555</v>
      </c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>
        <f t="shared" si="13"/>
        <v>0</v>
      </c>
      <c r="AD23" s="49">
        <f t="shared" si="25"/>
        <v>0</v>
      </c>
      <c r="AE23" s="49">
        <f t="shared" si="26"/>
        <v>0</v>
      </c>
    </row>
    <row r="24" spans="1:31" ht="32.25" customHeight="1" x14ac:dyDescent="0.3">
      <c r="A24" s="19">
        <f t="shared" si="14"/>
        <v>44241</v>
      </c>
      <c r="B24" s="20">
        <v>71</v>
      </c>
      <c r="C24" s="18">
        <f t="shared" si="17"/>
        <v>0</v>
      </c>
      <c r="D24" s="20">
        <v>73</v>
      </c>
      <c r="E24" s="18">
        <f t="shared" si="1"/>
        <v>1</v>
      </c>
      <c r="F24" s="20">
        <v>70</v>
      </c>
      <c r="G24" s="18">
        <f t="shared" si="18"/>
        <v>2</v>
      </c>
      <c r="H24" s="20">
        <v>71</v>
      </c>
      <c r="I24" s="18">
        <f t="shared" si="35"/>
        <v>1</v>
      </c>
      <c r="J24" s="18">
        <f t="shared" si="28"/>
        <v>285</v>
      </c>
      <c r="K24" s="18">
        <f t="shared" si="29"/>
        <v>71.25</v>
      </c>
      <c r="L24" s="18">
        <f t="shared" si="36"/>
        <v>1</v>
      </c>
      <c r="M24" s="18">
        <f t="shared" si="7"/>
        <v>28000</v>
      </c>
      <c r="N24" s="18">
        <f t="shared" si="33"/>
        <v>280</v>
      </c>
      <c r="O24" s="18">
        <f t="shared" si="34"/>
        <v>148.4</v>
      </c>
      <c r="P24" s="21">
        <f t="shared" si="16"/>
        <v>1372.2547999999999</v>
      </c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>
        <f t="shared" si="13"/>
        <v>0</v>
      </c>
      <c r="AD24" s="49">
        <f t="shared" si="25"/>
        <v>0</v>
      </c>
      <c r="AE24" s="49">
        <f t="shared" si="26"/>
        <v>0</v>
      </c>
    </row>
    <row r="25" spans="1:31" ht="32.25" customHeight="1" x14ac:dyDescent="0.3">
      <c r="A25" s="19">
        <f t="shared" si="14"/>
        <v>44242</v>
      </c>
      <c r="B25" s="20">
        <v>71</v>
      </c>
      <c r="C25" s="18">
        <f t="shared" si="17"/>
        <v>0</v>
      </c>
      <c r="D25" s="20">
        <v>72</v>
      </c>
      <c r="E25" s="18">
        <f t="shared" si="1"/>
        <v>0</v>
      </c>
      <c r="F25" s="20">
        <v>68</v>
      </c>
      <c r="G25" s="18">
        <f t="shared" si="18"/>
        <v>0</v>
      </c>
      <c r="H25" s="20">
        <v>70</v>
      </c>
      <c r="I25" s="18">
        <f t="shared" si="35"/>
        <v>0</v>
      </c>
      <c r="J25" s="18">
        <f t="shared" si="28"/>
        <v>281</v>
      </c>
      <c r="K25" s="18">
        <f t="shared" si="29"/>
        <v>70.25</v>
      </c>
      <c r="L25" s="18">
        <f t="shared" si="36"/>
        <v>0</v>
      </c>
      <c r="M25" s="18">
        <f t="shared" si="7"/>
        <v>28000</v>
      </c>
      <c r="N25" s="18">
        <f t="shared" si="33"/>
        <v>0</v>
      </c>
      <c r="O25" s="18">
        <f t="shared" si="34"/>
        <v>0</v>
      </c>
      <c r="P25" s="21">
        <f t="shared" si="16"/>
        <v>0</v>
      </c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>
        <f t="shared" si="13"/>
        <v>0</v>
      </c>
      <c r="AD25" s="49">
        <f t="shared" si="25"/>
        <v>0</v>
      </c>
      <c r="AE25" s="49">
        <f t="shared" si="26"/>
        <v>0</v>
      </c>
    </row>
    <row r="26" spans="1:31" ht="32.25" customHeight="1" x14ac:dyDescent="0.3">
      <c r="A26" s="19">
        <f t="shared" si="14"/>
        <v>44243</v>
      </c>
      <c r="B26" s="20"/>
      <c r="C26" s="18">
        <f t="shared" ref="C25:C42" si="37">IF(AC26&gt;0,((B26-R26)+(S26-B27)),IF(B27=0, ,(B26-B27)))</f>
        <v>0</v>
      </c>
      <c r="D26" s="20"/>
      <c r="E26" s="18">
        <f t="shared" ref="E25:E42" si="38">IF(AC26&gt;0,((D26-U26)+(V26-D27)),IF(D27=0, ,(D26-D27)))</f>
        <v>0</v>
      </c>
      <c r="F26" s="20"/>
      <c r="G26" s="18">
        <f t="shared" ref="G25:G42" si="39">IF(AC26&gt;0,((F26-X26)+(Y26-F27)),IF(F27=0, ,(F26-F27)))</f>
        <v>0</v>
      </c>
      <c r="H26" s="20"/>
      <c r="I26" s="18">
        <f t="shared" si="35"/>
        <v>0</v>
      </c>
      <c r="J26" s="18">
        <f t="shared" si="28"/>
        <v>0</v>
      </c>
      <c r="K26" s="18">
        <f t="shared" si="29"/>
        <v>0</v>
      </c>
      <c r="L26" s="18">
        <f t="shared" si="36"/>
        <v>0</v>
      </c>
      <c r="M26" s="18">
        <f t="shared" si="7"/>
        <v>28000</v>
      </c>
      <c r="N26" s="18">
        <f t="shared" si="33"/>
        <v>0</v>
      </c>
      <c r="O26" s="18">
        <f t="shared" si="34"/>
        <v>0</v>
      </c>
      <c r="P26" s="21">
        <f t="shared" si="16"/>
        <v>0</v>
      </c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>
        <f t="shared" si="13"/>
        <v>0</v>
      </c>
      <c r="AD26" s="49">
        <f t="shared" si="25"/>
        <v>0</v>
      </c>
      <c r="AE26" s="49">
        <f t="shared" si="26"/>
        <v>0</v>
      </c>
    </row>
    <row r="27" spans="1:31" ht="32.25" customHeight="1" x14ac:dyDescent="0.3">
      <c r="A27" s="19">
        <f t="shared" si="14"/>
        <v>44244</v>
      </c>
      <c r="B27" s="20"/>
      <c r="C27" s="18">
        <f t="shared" si="37"/>
        <v>0</v>
      </c>
      <c r="D27" s="20"/>
      <c r="E27" s="18">
        <f t="shared" si="38"/>
        <v>0</v>
      </c>
      <c r="F27" s="20"/>
      <c r="G27" s="18">
        <f t="shared" si="39"/>
        <v>0</v>
      </c>
      <c r="H27" s="20"/>
      <c r="I27" s="18">
        <f t="shared" si="35"/>
        <v>0</v>
      </c>
      <c r="J27" s="18">
        <f t="shared" si="28"/>
        <v>0</v>
      </c>
      <c r="K27" s="18">
        <f t="shared" si="29"/>
        <v>0</v>
      </c>
      <c r="L27" s="18">
        <f t="shared" si="36"/>
        <v>0</v>
      </c>
      <c r="M27" s="18">
        <f t="shared" si="7"/>
        <v>28000</v>
      </c>
      <c r="N27" s="18">
        <f t="shared" si="33"/>
        <v>0</v>
      </c>
      <c r="O27" s="18">
        <f t="shared" si="34"/>
        <v>0</v>
      </c>
      <c r="P27" s="21">
        <f t="shared" si="16"/>
        <v>0</v>
      </c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>
        <f t="shared" si="13"/>
        <v>0</v>
      </c>
      <c r="AD27" s="49">
        <f t="shared" si="25"/>
        <v>0</v>
      </c>
      <c r="AE27" s="49">
        <f t="shared" si="26"/>
        <v>0</v>
      </c>
    </row>
    <row r="28" spans="1:31" ht="32.25" customHeight="1" x14ac:dyDescent="0.3">
      <c r="A28" s="19">
        <f t="shared" si="14"/>
        <v>44245</v>
      </c>
      <c r="B28" s="20"/>
      <c r="C28" s="18">
        <f t="shared" si="37"/>
        <v>0</v>
      </c>
      <c r="D28" s="20"/>
      <c r="E28" s="18">
        <f t="shared" si="38"/>
        <v>0</v>
      </c>
      <c r="F28" s="20"/>
      <c r="G28" s="18">
        <f t="shared" si="39"/>
        <v>0</v>
      </c>
      <c r="H28" s="20"/>
      <c r="I28" s="18">
        <f t="shared" si="35"/>
        <v>0</v>
      </c>
      <c r="J28" s="18">
        <f t="shared" si="28"/>
        <v>0</v>
      </c>
      <c r="K28" s="18">
        <f t="shared" si="29"/>
        <v>0</v>
      </c>
      <c r="L28" s="18">
        <f t="shared" si="36"/>
        <v>0</v>
      </c>
      <c r="M28" s="18">
        <f t="shared" si="7"/>
        <v>28000</v>
      </c>
      <c r="N28" s="18">
        <f t="shared" si="33"/>
        <v>0</v>
      </c>
      <c r="O28" s="18">
        <f t="shared" si="34"/>
        <v>0</v>
      </c>
      <c r="P28" s="21">
        <f t="shared" si="16"/>
        <v>0</v>
      </c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>
        <f t="shared" si="13"/>
        <v>0</v>
      </c>
      <c r="AD28" s="49">
        <f t="shared" si="25"/>
        <v>0</v>
      </c>
      <c r="AE28" s="49">
        <f t="shared" si="26"/>
        <v>0</v>
      </c>
    </row>
    <row r="29" spans="1:31" ht="32.25" customHeight="1" x14ac:dyDescent="0.3">
      <c r="A29" s="19">
        <f t="shared" si="14"/>
        <v>44246</v>
      </c>
      <c r="B29" s="20"/>
      <c r="C29" s="18">
        <f t="shared" si="37"/>
        <v>0</v>
      </c>
      <c r="D29" s="20"/>
      <c r="E29" s="18">
        <f t="shared" si="38"/>
        <v>0</v>
      </c>
      <c r="F29" s="20"/>
      <c r="G29" s="18">
        <f t="shared" si="39"/>
        <v>0</v>
      </c>
      <c r="H29" s="20"/>
      <c r="I29" s="18">
        <f t="shared" si="35"/>
        <v>0</v>
      </c>
      <c r="J29" s="18">
        <f t="shared" si="28"/>
        <v>0</v>
      </c>
      <c r="K29" s="18">
        <f t="shared" si="29"/>
        <v>0</v>
      </c>
      <c r="L29" s="18">
        <f t="shared" si="36"/>
        <v>0</v>
      </c>
      <c r="M29" s="18">
        <f t="shared" si="7"/>
        <v>28000</v>
      </c>
      <c r="N29" s="18">
        <f t="shared" si="33"/>
        <v>0</v>
      </c>
      <c r="O29" s="18">
        <f t="shared" si="34"/>
        <v>0</v>
      </c>
      <c r="P29" s="21">
        <f t="shared" si="16"/>
        <v>0</v>
      </c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>
        <f t="shared" si="13"/>
        <v>0</v>
      </c>
      <c r="AD29" s="49">
        <f t="shared" si="25"/>
        <v>0</v>
      </c>
      <c r="AE29" s="49">
        <f t="shared" si="26"/>
        <v>0</v>
      </c>
    </row>
    <row r="30" spans="1:31" ht="32.25" customHeight="1" x14ac:dyDescent="0.3">
      <c r="A30" s="19">
        <f t="shared" si="14"/>
        <v>44247</v>
      </c>
      <c r="B30" s="20"/>
      <c r="C30" s="18">
        <f t="shared" si="37"/>
        <v>0</v>
      </c>
      <c r="D30" s="20"/>
      <c r="E30" s="18">
        <f t="shared" si="38"/>
        <v>0</v>
      </c>
      <c r="F30" s="20"/>
      <c r="G30" s="18">
        <f t="shared" si="39"/>
        <v>0</v>
      </c>
      <c r="H30" s="20"/>
      <c r="I30" s="18">
        <f t="shared" si="35"/>
        <v>0</v>
      </c>
      <c r="J30" s="18">
        <f t="shared" si="28"/>
        <v>0</v>
      </c>
      <c r="K30" s="18">
        <f t="shared" si="29"/>
        <v>0</v>
      </c>
      <c r="L30" s="18">
        <f t="shared" si="36"/>
        <v>0</v>
      </c>
      <c r="M30" s="18">
        <f t="shared" si="7"/>
        <v>28000</v>
      </c>
      <c r="N30" s="18">
        <f t="shared" si="33"/>
        <v>0</v>
      </c>
      <c r="O30" s="18">
        <f t="shared" si="34"/>
        <v>0</v>
      </c>
      <c r="P30" s="21">
        <f t="shared" si="16"/>
        <v>0</v>
      </c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>
        <f t="shared" si="13"/>
        <v>0</v>
      </c>
      <c r="AD30" s="49">
        <f t="shared" si="25"/>
        <v>0</v>
      </c>
      <c r="AE30" s="49">
        <f t="shared" si="26"/>
        <v>0</v>
      </c>
    </row>
    <row r="31" spans="1:31" ht="32.25" customHeight="1" x14ac:dyDescent="0.3">
      <c r="A31" s="19">
        <f t="shared" si="14"/>
        <v>44248</v>
      </c>
      <c r="B31" s="20"/>
      <c r="C31" s="18">
        <f t="shared" si="37"/>
        <v>0</v>
      </c>
      <c r="D31" s="20"/>
      <c r="E31" s="18">
        <f t="shared" si="38"/>
        <v>0</v>
      </c>
      <c r="F31" s="20"/>
      <c r="G31" s="18">
        <f t="shared" si="39"/>
        <v>0</v>
      </c>
      <c r="H31" s="20"/>
      <c r="I31" s="18">
        <f t="shared" si="35"/>
        <v>0</v>
      </c>
      <c r="J31" s="18">
        <f t="shared" si="28"/>
        <v>0</v>
      </c>
      <c r="K31" s="18">
        <f t="shared" si="29"/>
        <v>0</v>
      </c>
      <c r="L31" s="18">
        <f t="shared" si="36"/>
        <v>0</v>
      </c>
      <c r="M31" s="18">
        <f t="shared" si="7"/>
        <v>28000</v>
      </c>
      <c r="N31" s="18">
        <f t="shared" si="33"/>
        <v>0</v>
      </c>
      <c r="O31" s="18">
        <f t="shared" si="34"/>
        <v>0</v>
      </c>
      <c r="P31" s="21">
        <f t="shared" si="16"/>
        <v>0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>
        <f t="shared" si="13"/>
        <v>0</v>
      </c>
      <c r="AD31" s="49">
        <f t="shared" si="25"/>
        <v>0</v>
      </c>
      <c r="AE31" s="49">
        <f t="shared" si="26"/>
        <v>0</v>
      </c>
    </row>
    <row r="32" spans="1:31" ht="32.25" customHeight="1" x14ac:dyDescent="0.3">
      <c r="A32" s="19">
        <f t="shared" si="14"/>
        <v>44249</v>
      </c>
      <c r="B32" s="20"/>
      <c r="C32" s="18">
        <f t="shared" si="37"/>
        <v>0</v>
      </c>
      <c r="D32" s="20"/>
      <c r="E32" s="18">
        <f t="shared" si="38"/>
        <v>0</v>
      </c>
      <c r="F32" s="20"/>
      <c r="G32" s="18">
        <f t="shared" si="39"/>
        <v>0</v>
      </c>
      <c r="H32" s="20"/>
      <c r="I32" s="18">
        <f t="shared" si="35"/>
        <v>0</v>
      </c>
      <c r="J32" s="18">
        <f t="shared" si="28"/>
        <v>0</v>
      </c>
      <c r="K32" s="18">
        <f t="shared" si="29"/>
        <v>0</v>
      </c>
      <c r="L32" s="18">
        <f t="shared" si="36"/>
        <v>0</v>
      </c>
      <c r="M32" s="18">
        <f t="shared" si="7"/>
        <v>28000</v>
      </c>
      <c r="N32" s="18">
        <f t="shared" si="33"/>
        <v>0</v>
      </c>
      <c r="O32" s="18">
        <f t="shared" si="34"/>
        <v>0</v>
      </c>
      <c r="P32" s="21">
        <f t="shared" si="16"/>
        <v>0</v>
      </c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>
        <f t="shared" si="13"/>
        <v>0</v>
      </c>
      <c r="AD32" s="49">
        <f t="shared" si="25"/>
        <v>0</v>
      </c>
      <c r="AE32" s="49">
        <f t="shared" si="26"/>
        <v>0</v>
      </c>
    </row>
    <row r="33" spans="1:31" ht="32.25" customHeight="1" x14ac:dyDescent="0.3">
      <c r="A33" s="19">
        <f t="shared" si="14"/>
        <v>44250</v>
      </c>
      <c r="B33" s="20"/>
      <c r="C33" s="18">
        <f t="shared" si="37"/>
        <v>0</v>
      </c>
      <c r="D33" s="20"/>
      <c r="E33" s="18">
        <f t="shared" si="38"/>
        <v>0</v>
      </c>
      <c r="F33" s="20"/>
      <c r="G33" s="18">
        <f t="shared" si="39"/>
        <v>0</v>
      </c>
      <c r="H33" s="20"/>
      <c r="I33" s="18">
        <f t="shared" si="35"/>
        <v>0</v>
      </c>
      <c r="J33" s="18">
        <f t="shared" si="28"/>
        <v>0</v>
      </c>
      <c r="K33" s="18">
        <f t="shared" si="29"/>
        <v>0</v>
      </c>
      <c r="L33" s="18">
        <f t="shared" si="36"/>
        <v>0</v>
      </c>
      <c r="M33" s="18">
        <f t="shared" si="7"/>
        <v>28000</v>
      </c>
      <c r="N33" s="18">
        <f t="shared" si="33"/>
        <v>0</v>
      </c>
      <c r="O33" s="18">
        <f t="shared" si="34"/>
        <v>0</v>
      </c>
      <c r="P33" s="21">
        <f t="shared" si="16"/>
        <v>0</v>
      </c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>
        <f t="shared" si="13"/>
        <v>0</v>
      </c>
      <c r="AD33" s="49">
        <f t="shared" si="25"/>
        <v>0</v>
      </c>
      <c r="AE33" s="49">
        <f t="shared" si="26"/>
        <v>0</v>
      </c>
    </row>
    <row r="34" spans="1:31" ht="32.25" customHeight="1" x14ac:dyDescent="0.3">
      <c r="A34" s="19">
        <f t="shared" si="14"/>
        <v>44251</v>
      </c>
      <c r="B34" s="20"/>
      <c r="C34" s="18">
        <f t="shared" si="37"/>
        <v>0</v>
      </c>
      <c r="D34" s="20"/>
      <c r="E34" s="18">
        <f t="shared" si="38"/>
        <v>0</v>
      </c>
      <c r="F34" s="20"/>
      <c r="G34" s="18">
        <f t="shared" si="39"/>
        <v>0</v>
      </c>
      <c r="H34" s="20"/>
      <c r="I34" s="18">
        <f t="shared" si="35"/>
        <v>0</v>
      </c>
      <c r="J34" s="18">
        <f t="shared" si="28"/>
        <v>0</v>
      </c>
      <c r="K34" s="18">
        <f t="shared" si="29"/>
        <v>0</v>
      </c>
      <c r="L34" s="18">
        <f t="shared" si="36"/>
        <v>0</v>
      </c>
      <c r="M34" s="18">
        <f t="shared" si="7"/>
        <v>28000</v>
      </c>
      <c r="N34" s="18">
        <f t="shared" si="33"/>
        <v>0</v>
      </c>
      <c r="O34" s="18">
        <f t="shared" si="34"/>
        <v>0</v>
      </c>
      <c r="P34" s="21">
        <f t="shared" si="16"/>
        <v>0</v>
      </c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>
        <f t="shared" si="13"/>
        <v>0</v>
      </c>
      <c r="AD34" s="49">
        <f t="shared" si="25"/>
        <v>0</v>
      </c>
      <c r="AE34" s="49">
        <f t="shared" si="26"/>
        <v>0</v>
      </c>
    </row>
    <row r="35" spans="1:31" ht="32.25" customHeight="1" x14ac:dyDescent="0.3">
      <c r="A35" s="19">
        <f t="shared" si="14"/>
        <v>44252</v>
      </c>
      <c r="B35" s="20"/>
      <c r="C35" s="18">
        <f t="shared" si="37"/>
        <v>0</v>
      </c>
      <c r="D35" s="20"/>
      <c r="E35" s="18">
        <f t="shared" si="38"/>
        <v>0</v>
      </c>
      <c r="F35" s="20"/>
      <c r="G35" s="18">
        <f t="shared" si="39"/>
        <v>0</v>
      </c>
      <c r="H35" s="20"/>
      <c r="I35" s="18">
        <f t="shared" si="35"/>
        <v>0</v>
      </c>
      <c r="J35" s="18">
        <f t="shared" si="28"/>
        <v>0</v>
      </c>
      <c r="K35" s="18">
        <f t="shared" si="29"/>
        <v>0</v>
      </c>
      <c r="L35" s="18">
        <f t="shared" si="36"/>
        <v>0</v>
      </c>
      <c r="M35" s="18">
        <f t="shared" si="7"/>
        <v>28000</v>
      </c>
      <c r="N35" s="18">
        <f t="shared" si="33"/>
        <v>0</v>
      </c>
      <c r="O35" s="18">
        <f t="shared" si="34"/>
        <v>0</v>
      </c>
      <c r="P35" s="21">
        <f t="shared" si="16"/>
        <v>0</v>
      </c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>
        <f t="shared" si="13"/>
        <v>0</v>
      </c>
      <c r="AD35" s="49">
        <f t="shared" si="25"/>
        <v>0</v>
      </c>
      <c r="AE35" s="49">
        <f t="shared" si="26"/>
        <v>0</v>
      </c>
    </row>
    <row r="36" spans="1:31" ht="32.25" customHeight="1" x14ac:dyDescent="0.3">
      <c r="A36" s="19">
        <f t="shared" si="14"/>
        <v>44253</v>
      </c>
      <c r="B36" s="20"/>
      <c r="C36" s="18">
        <f t="shared" si="37"/>
        <v>0</v>
      </c>
      <c r="D36" s="20"/>
      <c r="E36" s="18">
        <f t="shared" si="38"/>
        <v>0</v>
      </c>
      <c r="F36" s="20"/>
      <c r="G36" s="18">
        <f t="shared" si="39"/>
        <v>0</v>
      </c>
      <c r="H36" s="20"/>
      <c r="I36" s="18">
        <f t="shared" si="35"/>
        <v>0</v>
      </c>
      <c r="J36" s="18">
        <f t="shared" si="28"/>
        <v>0</v>
      </c>
      <c r="K36" s="18">
        <f t="shared" si="29"/>
        <v>0</v>
      </c>
      <c r="L36" s="18">
        <f t="shared" si="36"/>
        <v>0</v>
      </c>
      <c r="M36" s="18">
        <f t="shared" si="7"/>
        <v>28000</v>
      </c>
      <c r="N36" s="18">
        <f t="shared" si="33"/>
        <v>0</v>
      </c>
      <c r="O36" s="18">
        <f t="shared" si="34"/>
        <v>0</v>
      </c>
      <c r="P36" s="21">
        <f t="shared" si="16"/>
        <v>0</v>
      </c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>
        <f t="shared" si="13"/>
        <v>0</v>
      </c>
      <c r="AD36" s="49">
        <f t="shared" si="25"/>
        <v>0</v>
      </c>
      <c r="AE36" s="49">
        <f t="shared" si="26"/>
        <v>0</v>
      </c>
    </row>
    <row r="37" spans="1:31" ht="32.25" customHeight="1" x14ac:dyDescent="0.3">
      <c r="A37" s="19">
        <f t="shared" si="14"/>
        <v>44254</v>
      </c>
      <c r="B37" s="20"/>
      <c r="C37" s="18">
        <f t="shared" si="37"/>
        <v>0</v>
      </c>
      <c r="D37" s="20"/>
      <c r="E37" s="18">
        <f t="shared" si="38"/>
        <v>0</v>
      </c>
      <c r="F37" s="20"/>
      <c r="G37" s="18">
        <f t="shared" si="39"/>
        <v>0</v>
      </c>
      <c r="H37" s="20"/>
      <c r="I37" s="18">
        <f t="shared" si="35"/>
        <v>0</v>
      </c>
      <c r="J37" s="18">
        <f t="shared" si="28"/>
        <v>0</v>
      </c>
      <c r="K37" s="18">
        <f t="shared" si="29"/>
        <v>0</v>
      </c>
      <c r="L37" s="18">
        <f t="shared" si="36"/>
        <v>0</v>
      </c>
      <c r="M37" s="18">
        <f t="shared" si="7"/>
        <v>28000</v>
      </c>
      <c r="N37" s="18">
        <f t="shared" si="33"/>
        <v>0</v>
      </c>
      <c r="O37" s="18">
        <f t="shared" si="34"/>
        <v>0</v>
      </c>
      <c r="P37" s="21">
        <f t="shared" si="16"/>
        <v>0</v>
      </c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>
        <f t="shared" si="13"/>
        <v>0</v>
      </c>
      <c r="AD37" s="49">
        <f t="shared" si="25"/>
        <v>0</v>
      </c>
      <c r="AE37" s="49">
        <f t="shared" si="26"/>
        <v>0</v>
      </c>
    </row>
    <row r="38" spans="1:31" ht="32.25" customHeight="1" x14ac:dyDescent="0.3">
      <c r="A38" s="19">
        <f t="shared" si="14"/>
        <v>44255</v>
      </c>
      <c r="B38" s="20"/>
      <c r="C38" s="18">
        <f t="shared" si="37"/>
        <v>0</v>
      </c>
      <c r="D38" s="20"/>
      <c r="E38" s="18">
        <f t="shared" si="38"/>
        <v>0</v>
      </c>
      <c r="F38" s="20"/>
      <c r="G38" s="18">
        <f t="shared" si="39"/>
        <v>0</v>
      </c>
      <c r="H38" s="20"/>
      <c r="I38" s="18">
        <f t="shared" si="35"/>
        <v>0</v>
      </c>
      <c r="J38" s="18">
        <f t="shared" si="28"/>
        <v>0</v>
      </c>
      <c r="K38" s="18">
        <f t="shared" si="29"/>
        <v>0</v>
      </c>
      <c r="L38" s="18">
        <f t="shared" si="36"/>
        <v>0</v>
      </c>
      <c r="M38" s="18">
        <f t="shared" si="7"/>
        <v>28000</v>
      </c>
      <c r="N38" s="18">
        <f t="shared" si="33"/>
        <v>0</v>
      </c>
      <c r="O38" s="18">
        <f t="shared" si="34"/>
        <v>0</v>
      </c>
      <c r="P38" s="21">
        <f t="shared" si="16"/>
        <v>0</v>
      </c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>
        <f t="shared" si="13"/>
        <v>0</v>
      </c>
      <c r="AD38" s="49">
        <f t="shared" si="25"/>
        <v>0</v>
      </c>
      <c r="AE38" s="49">
        <f t="shared" si="26"/>
        <v>0</v>
      </c>
    </row>
    <row r="39" spans="1:31" ht="32.25" customHeight="1" x14ac:dyDescent="0.3">
      <c r="A39" s="19">
        <f t="shared" si="14"/>
        <v>44256</v>
      </c>
      <c r="B39" s="20"/>
      <c r="C39" s="18">
        <f t="shared" si="37"/>
        <v>0</v>
      </c>
      <c r="D39" s="20"/>
      <c r="E39" s="18">
        <f t="shared" si="38"/>
        <v>0</v>
      </c>
      <c r="F39" s="20"/>
      <c r="G39" s="18">
        <f t="shared" si="39"/>
        <v>0</v>
      </c>
      <c r="H39" s="20"/>
      <c r="I39" s="18">
        <f t="shared" si="35"/>
        <v>0</v>
      </c>
      <c r="J39" s="18">
        <f t="shared" si="28"/>
        <v>0</v>
      </c>
      <c r="K39" s="18">
        <f t="shared" si="29"/>
        <v>0</v>
      </c>
      <c r="L39" s="18">
        <f t="shared" si="36"/>
        <v>0</v>
      </c>
      <c r="M39" s="18">
        <f t="shared" si="7"/>
        <v>28000</v>
      </c>
      <c r="N39" s="18">
        <f t="shared" si="33"/>
        <v>0</v>
      </c>
      <c r="O39" s="18">
        <f t="shared" si="34"/>
        <v>0</v>
      </c>
      <c r="P39" s="21">
        <f t="shared" si="16"/>
        <v>0</v>
      </c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>
        <f t="shared" si="13"/>
        <v>0</v>
      </c>
      <c r="AD39" s="49">
        <f t="shared" si="25"/>
        <v>0</v>
      </c>
      <c r="AE39" s="49">
        <f t="shared" si="26"/>
        <v>0</v>
      </c>
    </row>
    <row r="40" spans="1:31" ht="32.25" customHeight="1" x14ac:dyDescent="0.3">
      <c r="A40" s="19">
        <f t="shared" si="14"/>
        <v>44257</v>
      </c>
      <c r="B40" s="20"/>
      <c r="C40" s="18">
        <f t="shared" si="37"/>
        <v>0</v>
      </c>
      <c r="D40" s="20"/>
      <c r="E40" s="18">
        <f t="shared" si="38"/>
        <v>0</v>
      </c>
      <c r="F40" s="20"/>
      <c r="G40" s="18">
        <f t="shared" si="39"/>
        <v>0</v>
      </c>
      <c r="H40" s="20"/>
      <c r="I40" s="18">
        <f t="shared" si="35"/>
        <v>0</v>
      </c>
      <c r="J40" s="18">
        <f t="shared" si="28"/>
        <v>0</v>
      </c>
      <c r="K40" s="18">
        <f t="shared" si="29"/>
        <v>0</v>
      </c>
      <c r="L40" s="18">
        <f t="shared" si="36"/>
        <v>0</v>
      </c>
      <c r="M40" s="18">
        <f t="shared" si="7"/>
        <v>28000</v>
      </c>
      <c r="N40" s="18">
        <f t="shared" si="33"/>
        <v>0</v>
      </c>
      <c r="O40" s="18">
        <f t="shared" si="34"/>
        <v>0</v>
      </c>
      <c r="P40" s="21">
        <f t="shared" si="16"/>
        <v>0</v>
      </c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>
        <f t="shared" si="13"/>
        <v>0</v>
      </c>
      <c r="AD40" s="49">
        <f t="shared" si="25"/>
        <v>0</v>
      </c>
      <c r="AE40" s="49">
        <f t="shared" si="26"/>
        <v>0</v>
      </c>
    </row>
    <row r="41" spans="1:31" ht="32.25" customHeight="1" x14ac:dyDescent="0.3">
      <c r="A41" s="19">
        <f t="shared" si="14"/>
        <v>44258</v>
      </c>
      <c r="B41" s="20"/>
      <c r="C41" s="18">
        <f t="shared" si="37"/>
        <v>0</v>
      </c>
      <c r="D41" s="20"/>
      <c r="E41" s="18">
        <f t="shared" si="38"/>
        <v>0</v>
      </c>
      <c r="F41" s="20"/>
      <c r="G41" s="18">
        <f t="shared" si="39"/>
        <v>0</v>
      </c>
      <c r="H41" s="20"/>
      <c r="I41" s="18">
        <f t="shared" si="35"/>
        <v>0</v>
      </c>
      <c r="J41" s="18">
        <f t="shared" si="28"/>
        <v>0</v>
      </c>
      <c r="K41" s="18">
        <f t="shared" si="29"/>
        <v>0</v>
      </c>
      <c r="L41" s="18">
        <f t="shared" si="36"/>
        <v>0</v>
      </c>
      <c r="M41" s="18">
        <f t="shared" si="7"/>
        <v>28000</v>
      </c>
      <c r="N41" s="18">
        <f t="shared" si="33"/>
        <v>0</v>
      </c>
      <c r="O41" s="18">
        <f t="shared" si="34"/>
        <v>0</v>
      </c>
      <c r="P41" s="21">
        <f t="shared" si="16"/>
        <v>0</v>
      </c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>
        <f t="shared" si="13"/>
        <v>0</v>
      </c>
      <c r="AD41" s="49">
        <f t="shared" si="25"/>
        <v>0</v>
      </c>
      <c r="AE41" s="49">
        <f t="shared" si="26"/>
        <v>0</v>
      </c>
    </row>
    <row r="42" spans="1:31" ht="32.25" customHeight="1" x14ac:dyDescent="0.3">
      <c r="A42" s="19">
        <f t="shared" si="14"/>
        <v>44259</v>
      </c>
      <c r="B42" s="20"/>
      <c r="C42" s="18">
        <f t="shared" si="37"/>
        <v>0</v>
      </c>
      <c r="D42" s="20"/>
      <c r="E42" s="18">
        <f t="shared" si="38"/>
        <v>0</v>
      </c>
      <c r="F42" s="20"/>
      <c r="G42" s="18">
        <f t="shared" si="39"/>
        <v>0</v>
      </c>
      <c r="H42" s="20"/>
      <c r="I42" s="18">
        <f t="shared" si="35"/>
        <v>0</v>
      </c>
      <c r="J42" s="18">
        <f t="shared" si="28"/>
        <v>0</v>
      </c>
      <c r="K42" s="18">
        <f t="shared" si="29"/>
        <v>0</v>
      </c>
      <c r="L42" s="18">
        <f t="shared" si="36"/>
        <v>0</v>
      </c>
      <c r="M42" s="18">
        <f t="shared" si="7"/>
        <v>28000</v>
      </c>
      <c r="N42" s="18">
        <f t="shared" si="33"/>
        <v>0</v>
      </c>
      <c r="O42" s="18">
        <f t="shared" si="34"/>
        <v>0</v>
      </c>
      <c r="P42" s="21">
        <f t="shared" si="16"/>
        <v>0</v>
      </c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>
        <f t="shared" si="13"/>
        <v>0</v>
      </c>
      <c r="AD42" s="49">
        <f t="shared" si="25"/>
        <v>0</v>
      </c>
      <c r="AE42" s="49">
        <f t="shared" si="26"/>
        <v>0</v>
      </c>
    </row>
    <row r="43" spans="1:31" ht="32.25" customHeight="1" thickBot="1" x14ac:dyDescent="0.35">
      <c r="B43" s="20"/>
      <c r="C43" s="18">
        <f>SUM(C11:C38)</f>
        <v>20</v>
      </c>
      <c r="D43" s="20"/>
      <c r="E43" s="18">
        <f>SUM(E11:E38)</f>
        <v>24</v>
      </c>
      <c r="F43" s="20"/>
      <c r="G43" s="18">
        <f>SUM(G11:G38)</f>
        <v>32</v>
      </c>
      <c r="H43" s="20"/>
      <c r="I43" s="18">
        <f>SUM(I11:I38)</f>
        <v>35</v>
      </c>
      <c r="J43" s="16"/>
      <c r="K43" s="16"/>
      <c r="L43" s="16"/>
      <c r="M43" s="16"/>
      <c r="N43" s="18">
        <f>SUM(N11:N38)</f>
        <v>8960</v>
      </c>
      <c r="O43" s="18">
        <f>N43*0.53</f>
        <v>4748.8</v>
      </c>
      <c r="P43" s="21">
        <f t="shared" si="16"/>
        <v>43912.153599999998</v>
      </c>
      <c r="Q43" s="270">
        <f>SUM(Q11:Q38)</f>
        <v>2492</v>
      </c>
      <c r="R43" s="271"/>
      <c r="S43" s="272"/>
      <c r="T43" s="270">
        <f>SUM(T11:T38)</f>
        <v>2346</v>
      </c>
      <c r="U43" s="271"/>
      <c r="V43" s="272"/>
      <c r="W43" s="270">
        <f>SUM(W11:W38)</f>
        <v>2750</v>
      </c>
      <c r="X43" s="271"/>
      <c r="Y43" s="272"/>
      <c r="Z43" s="270">
        <f>SUM(Z11:Z38)</f>
        <v>2694</v>
      </c>
      <c r="AA43" s="271"/>
      <c r="AB43" s="272"/>
      <c r="AC43" s="137">
        <f>SUM(AC11:AC38)</f>
        <v>10282</v>
      </c>
      <c r="AD43" s="138"/>
      <c r="AE43" s="135"/>
    </row>
    <row r="44" spans="1:31" ht="35.25" customHeight="1" thickBot="1" x14ac:dyDescent="0.35">
      <c r="B44" s="273"/>
      <c r="C44" s="274"/>
      <c r="D44" s="274"/>
      <c r="E44" s="274"/>
      <c r="F44" s="274"/>
      <c r="G44" s="274"/>
      <c r="H44" s="274"/>
      <c r="I44" s="275"/>
      <c r="J44" s="16"/>
      <c r="K44" s="16"/>
      <c r="L44" s="16"/>
      <c r="M44" s="16"/>
      <c r="N44" s="16"/>
      <c r="O44" s="16"/>
      <c r="P44" s="16"/>
      <c r="Q44" s="276">
        <f>Q43+T43+W43+Z43</f>
        <v>10282</v>
      </c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8"/>
      <c r="AC44" s="136">
        <f>Q43+T43+W43+Z43</f>
        <v>10282</v>
      </c>
      <c r="AD44" s="16"/>
      <c r="AE44" s="16"/>
    </row>
    <row r="45" spans="1:31" ht="7.5" customHeight="1" thickBot="1" x14ac:dyDescent="0.35"/>
    <row r="46" spans="1:31" ht="51" customHeight="1" thickBot="1" x14ac:dyDescent="0.35">
      <c r="H46" s="16"/>
      <c r="I46" s="16"/>
      <c r="J46" s="16"/>
      <c r="K46" s="26" t="s">
        <v>33</v>
      </c>
      <c r="L46" s="27" t="s">
        <v>34</v>
      </c>
      <c r="M46" s="27" t="s">
        <v>35</v>
      </c>
    </row>
    <row r="47" spans="1:31" ht="48" customHeight="1" thickBot="1" x14ac:dyDescent="0.35">
      <c r="H47" s="279" t="s">
        <v>36</v>
      </c>
      <c r="I47" s="280"/>
      <c r="J47" s="281"/>
      <c r="K47" s="28">
        <f>N43</f>
        <v>8960</v>
      </c>
      <c r="L47" s="29">
        <f>O43</f>
        <v>4748.8</v>
      </c>
      <c r="M47" s="29">
        <f>P43</f>
        <v>43912.153599999998</v>
      </c>
    </row>
    <row r="48" spans="1:31" ht="54.75" customHeight="1" thickBot="1" x14ac:dyDescent="0.35">
      <c r="H48" s="267" t="s">
        <v>37</v>
      </c>
      <c r="I48" s="268"/>
      <c r="J48" s="269"/>
      <c r="K48" s="26">
        <f>AC43</f>
        <v>10282</v>
      </c>
      <c r="L48" s="27">
        <f>K48*0.53</f>
        <v>5449.46</v>
      </c>
      <c r="M48" s="27">
        <f>L48*9.247</f>
        <v>50391.156620000002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7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1"/>
  <sheetViews>
    <sheetView zoomScaleNormal="100" workbookViewId="0">
      <pane xSplit="1" ySplit="8" topLeftCell="B15" activePane="bottomRight" state="frozen"/>
      <selection pane="topRight" activeCell="B1" sqref="B1"/>
      <selection pane="bottomLeft" activeCell="A9" sqref="A9"/>
      <selection pane="bottomRight" activeCell="B31" sqref="B31"/>
    </sheetView>
  </sheetViews>
  <sheetFormatPr defaultColWidth="11.42578125" defaultRowHeight="12.75" x14ac:dyDescent="0.2"/>
  <cols>
    <col min="1" max="1" width="16.7109375" style="30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312"/>
      <c r="B1" s="313"/>
      <c r="C1" s="295" t="s">
        <v>58</v>
      </c>
      <c r="D1" s="296"/>
      <c r="E1" s="296"/>
      <c r="F1" s="296"/>
      <c r="G1" s="297"/>
      <c r="H1" s="304"/>
      <c r="I1" s="305"/>
      <c r="J1" s="33"/>
      <c r="K1" s="31"/>
      <c r="L1" s="31"/>
    </row>
    <row r="2" spans="1:20" ht="16.5" customHeight="1" x14ac:dyDescent="0.2">
      <c r="A2" s="314"/>
      <c r="B2" s="315"/>
      <c r="C2" s="298"/>
      <c r="D2" s="299"/>
      <c r="E2" s="299"/>
      <c r="F2" s="299"/>
      <c r="G2" s="300"/>
      <c r="H2" s="306"/>
      <c r="I2" s="307"/>
      <c r="J2" s="33"/>
      <c r="K2" s="31"/>
      <c r="L2" s="31"/>
    </row>
    <row r="3" spans="1:20" ht="48" customHeight="1" thickBot="1" x14ac:dyDescent="0.25">
      <c r="A3" s="316"/>
      <c r="B3" s="317"/>
      <c r="C3" s="301"/>
      <c r="D3" s="302"/>
      <c r="E3" s="302"/>
      <c r="F3" s="302"/>
      <c r="G3" s="303"/>
      <c r="H3" s="308"/>
      <c r="I3" s="309"/>
      <c r="J3" s="33"/>
      <c r="K3" s="31"/>
      <c r="L3" s="31"/>
      <c r="M3" s="31"/>
      <c r="N3" s="31"/>
      <c r="O3" s="31"/>
      <c r="P3" s="31"/>
      <c r="Q3" s="31"/>
      <c r="R3" s="31"/>
      <c r="S3" s="31"/>
      <c r="T3" s="31"/>
    </row>
    <row r="5" spans="1:20" x14ac:dyDescent="0.2">
      <c r="D5">
        <f>SUM(C16:C45)</f>
        <v>3788</v>
      </c>
    </row>
    <row r="6" spans="1:20" ht="10.5" customHeight="1" thickBot="1" x14ac:dyDescent="0.25"/>
    <row r="7" spans="1:20" ht="16.5" customHeight="1" thickTop="1" thickBot="1" x14ac:dyDescent="0.25">
      <c r="A7" s="294" t="s">
        <v>1</v>
      </c>
      <c r="B7" s="310" t="s">
        <v>41</v>
      </c>
      <c r="C7" s="310"/>
      <c r="D7" s="311" t="s">
        <v>42</v>
      </c>
      <c r="E7" s="311"/>
      <c r="F7" s="311"/>
      <c r="G7" s="311"/>
      <c r="H7" s="311"/>
      <c r="I7" s="311"/>
    </row>
    <row r="8" spans="1:20" s="12" customFormat="1" ht="28.5" customHeight="1" thickTop="1" thickBot="1" x14ac:dyDescent="0.25">
      <c r="A8" s="294"/>
      <c r="B8" s="35" t="s">
        <v>39</v>
      </c>
      <c r="C8" s="35" t="s">
        <v>40</v>
      </c>
      <c r="D8" s="34" t="s">
        <v>43</v>
      </c>
      <c r="E8" s="34" t="s">
        <v>48</v>
      </c>
      <c r="F8" s="34" t="s">
        <v>44</v>
      </c>
      <c r="G8" s="34" t="s">
        <v>45</v>
      </c>
      <c r="H8" s="34" t="s">
        <v>46</v>
      </c>
      <c r="I8" s="34" t="s">
        <v>47</v>
      </c>
    </row>
    <row r="9" spans="1:20" ht="21" thickTop="1" thickBot="1" x14ac:dyDescent="0.35">
      <c r="A9" s="39">
        <v>44221</v>
      </c>
      <c r="B9" s="40">
        <v>1893</v>
      </c>
      <c r="C9" s="41">
        <f t="shared" ref="C9:C47" si="0">IF(B10&lt;B9,0,B10-B9)</f>
        <v>406</v>
      </c>
      <c r="D9" s="42">
        <v>19006470</v>
      </c>
      <c r="E9" s="41">
        <f t="shared" ref="E9:E30" si="1">IF(D10&lt;D9,0,D10-D9)</f>
        <v>3048</v>
      </c>
      <c r="F9" s="42">
        <v>34032290</v>
      </c>
      <c r="G9" s="41">
        <f t="shared" ref="G9:G30" si="2">IF(F10&lt;F9,0,F10-F9)</f>
        <v>4845</v>
      </c>
      <c r="H9" s="42">
        <v>15074377</v>
      </c>
      <c r="I9" s="41">
        <f t="shared" ref="I9:I47" si="3">IF(H10&lt;H9,0,H10-H9)</f>
        <v>2102</v>
      </c>
    </row>
    <row r="10" spans="1:20" ht="21" thickTop="1" thickBot="1" x14ac:dyDescent="0.35">
      <c r="A10" s="39">
        <f>(A9+1)</f>
        <v>44222</v>
      </c>
      <c r="B10" s="40">
        <v>2299</v>
      </c>
      <c r="C10" s="41">
        <f t="shared" si="0"/>
        <v>295</v>
      </c>
      <c r="D10" s="42">
        <v>19009518</v>
      </c>
      <c r="E10" s="41">
        <f t="shared" si="1"/>
        <v>3534</v>
      </c>
      <c r="F10" s="42">
        <v>34037135</v>
      </c>
      <c r="G10" s="41">
        <f t="shared" si="2"/>
        <v>4778</v>
      </c>
      <c r="H10" s="42">
        <v>15076479</v>
      </c>
      <c r="I10" s="41">
        <f t="shared" si="3"/>
        <v>2076</v>
      </c>
    </row>
    <row r="11" spans="1:20" ht="21" thickTop="1" thickBot="1" x14ac:dyDescent="0.35">
      <c r="A11" s="39">
        <f t="shared" ref="A11:A47" si="4">(A10+1)</f>
        <v>44223</v>
      </c>
      <c r="B11" s="40">
        <v>2594</v>
      </c>
      <c r="C11" s="41">
        <f t="shared" si="0"/>
        <v>284</v>
      </c>
      <c r="D11" s="42">
        <v>19013052</v>
      </c>
      <c r="E11" s="41">
        <f t="shared" si="1"/>
        <v>3274</v>
      </c>
      <c r="F11" s="42">
        <v>34041913</v>
      </c>
      <c r="G11" s="41">
        <f t="shared" si="2"/>
        <v>5706</v>
      </c>
      <c r="H11" s="42">
        <v>15078555</v>
      </c>
      <c r="I11" s="41">
        <f t="shared" si="3"/>
        <v>2466</v>
      </c>
    </row>
    <row r="12" spans="1:20" ht="21" thickTop="1" thickBot="1" x14ac:dyDescent="0.35">
      <c r="A12" s="39">
        <f t="shared" si="4"/>
        <v>44224</v>
      </c>
      <c r="B12" s="40">
        <v>2878</v>
      </c>
      <c r="C12" s="41">
        <f t="shared" si="0"/>
        <v>233</v>
      </c>
      <c r="D12" s="42">
        <v>19016326</v>
      </c>
      <c r="E12" s="41">
        <f t="shared" si="1"/>
        <v>3755</v>
      </c>
      <c r="F12" s="42">
        <v>34047619</v>
      </c>
      <c r="G12" s="41">
        <f t="shared" si="2"/>
        <v>5364</v>
      </c>
      <c r="H12" s="42">
        <v>15081021</v>
      </c>
      <c r="I12" s="41">
        <f t="shared" si="3"/>
        <v>2415</v>
      </c>
    </row>
    <row r="13" spans="1:20" ht="21" thickTop="1" thickBot="1" x14ac:dyDescent="0.35">
      <c r="A13" s="39">
        <f t="shared" si="4"/>
        <v>44225</v>
      </c>
      <c r="B13" s="40">
        <v>3111</v>
      </c>
      <c r="C13" s="41">
        <f t="shared" si="0"/>
        <v>455</v>
      </c>
      <c r="D13" s="42">
        <v>19020081</v>
      </c>
      <c r="E13" s="41">
        <f t="shared" si="1"/>
        <v>3801</v>
      </c>
      <c r="F13" s="42">
        <v>34052983</v>
      </c>
      <c r="G13" s="41">
        <f t="shared" si="2"/>
        <v>5658</v>
      </c>
      <c r="H13" s="42">
        <v>15083436</v>
      </c>
      <c r="I13" s="41">
        <f t="shared" si="3"/>
        <v>2670</v>
      </c>
    </row>
    <row r="14" spans="1:20" ht="21" thickTop="1" thickBot="1" x14ac:dyDescent="0.35">
      <c r="A14" s="39">
        <f t="shared" si="4"/>
        <v>44226</v>
      </c>
      <c r="B14" s="40">
        <v>3566</v>
      </c>
      <c r="C14" s="41">
        <f t="shared" si="0"/>
        <v>250</v>
      </c>
      <c r="D14" s="42">
        <v>19023882</v>
      </c>
      <c r="E14" s="41">
        <f t="shared" si="1"/>
        <v>3232</v>
      </c>
      <c r="F14" s="42">
        <v>34058641</v>
      </c>
      <c r="G14" s="41">
        <f t="shared" si="2"/>
        <v>5083</v>
      </c>
      <c r="H14" s="42">
        <v>15086106</v>
      </c>
      <c r="I14" s="41">
        <f t="shared" si="3"/>
        <v>2216</v>
      </c>
    </row>
    <row r="15" spans="1:20" ht="21" thickTop="1" thickBot="1" x14ac:dyDescent="0.35">
      <c r="A15" s="39">
        <f t="shared" si="4"/>
        <v>44227</v>
      </c>
      <c r="B15" s="40">
        <v>3816</v>
      </c>
      <c r="C15" s="41">
        <f t="shared" si="0"/>
        <v>212</v>
      </c>
      <c r="D15" s="42">
        <v>19027114</v>
      </c>
      <c r="E15" s="41">
        <f t="shared" si="1"/>
        <v>3162</v>
      </c>
      <c r="F15" s="42">
        <v>34063724</v>
      </c>
      <c r="G15" s="41">
        <f t="shared" si="2"/>
        <v>4664</v>
      </c>
      <c r="H15" s="42">
        <v>15088322</v>
      </c>
      <c r="I15" s="41">
        <f t="shared" si="3"/>
        <v>2222</v>
      </c>
    </row>
    <row r="16" spans="1:20" ht="21" thickTop="1" thickBot="1" x14ac:dyDescent="0.35">
      <c r="A16" s="39">
        <f t="shared" si="4"/>
        <v>44228</v>
      </c>
      <c r="B16" s="40">
        <v>4028</v>
      </c>
      <c r="C16" s="41">
        <f t="shared" si="0"/>
        <v>175</v>
      </c>
      <c r="D16" s="42">
        <v>19030276</v>
      </c>
      <c r="E16" s="41">
        <f t="shared" si="1"/>
        <v>3461</v>
      </c>
      <c r="F16" s="42">
        <v>34068388</v>
      </c>
      <c r="G16" s="41">
        <f t="shared" si="2"/>
        <v>4700</v>
      </c>
      <c r="H16" s="42">
        <v>15090544</v>
      </c>
      <c r="I16" s="41">
        <f t="shared" si="3"/>
        <v>2184</v>
      </c>
    </row>
    <row r="17" spans="1:9" ht="21" thickTop="1" thickBot="1" x14ac:dyDescent="0.35">
      <c r="A17" s="39">
        <f t="shared" si="4"/>
        <v>44229</v>
      </c>
      <c r="B17" s="40">
        <v>4203</v>
      </c>
      <c r="C17" s="41">
        <f t="shared" si="0"/>
        <v>407</v>
      </c>
      <c r="D17" s="42">
        <v>19033737</v>
      </c>
      <c r="E17" s="41">
        <f t="shared" si="1"/>
        <v>2875</v>
      </c>
      <c r="F17" s="42">
        <v>34073088</v>
      </c>
      <c r="G17" s="41">
        <f t="shared" si="2"/>
        <v>4572</v>
      </c>
      <c r="H17" s="42">
        <v>15092728</v>
      </c>
      <c r="I17" s="41">
        <f t="shared" si="3"/>
        <v>1964</v>
      </c>
    </row>
    <row r="18" spans="1:9" ht="21" thickTop="1" thickBot="1" x14ac:dyDescent="0.35">
      <c r="A18" s="39">
        <f t="shared" si="4"/>
        <v>44230</v>
      </c>
      <c r="B18" s="40">
        <v>4610</v>
      </c>
      <c r="C18" s="41">
        <f t="shared" si="0"/>
        <v>200</v>
      </c>
      <c r="D18" s="42">
        <v>19036612</v>
      </c>
      <c r="E18" s="41">
        <f t="shared" si="1"/>
        <v>3354</v>
      </c>
      <c r="F18" s="42">
        <v>34077660</v>
      </c>
      <c r="G18" s="41">
        <f t="shared" si="2"/>
        <v>4994</v>
      </c>
      <c r="H18" s="42">
        <v>15094692</v>
      </c>
      <c r="I18" s="41">
        <f t="shared" si="3"/>
        <v>2078</v>
      </c>
    </row>
    <row r="19" spans="1:9" ht="21" thickTop="1" thickBot="1" x14ac:dyDescent="0.35">
      <c r="A19" s="39">
        <f t="shared" si="4"/>
        <v>44231</v>
      </c>
      <c r="B19" s="40">
        <v>4810</v>
      </c>
      <c r="C19" s="41">
        <f t="shared" si="0"/>
        <v>188</v>
      </c>
      <c r="D19" s="42">
        <v>19039966</v>
      </c>
      <c r="E19" s="41">
        <f t="shared" si="1"/>
        <v>3313</v>
      </c>
      <c r="F19" s="42">
        <v>34082654</v>
      </c>
      <c r="G19" s="41">
        <f t="shared" si="2"/>
        <v>5166</v>
      </c>
      <c r="H19" s="42">
        <v>15096770</v>
      </c>
      <c r="I19" s="41">
        <f t="shared" si="3"/>
        <v>2046</v>
      </c>
    </row>
    <row r="20" spans="1:9" ht="21" thickTop="1" thickBot="1" x14ac:dyDescent="0.35">
      <c r="A20" s="39">
        <f t="shared" si="4"/>
        <v>44232</v>
      </c>
      <c r="B20" s="40">
        <v>4998</v>
      </c>
      <c r="C20" s="41">
        <f t="shared" si="0"/>
        <v>438</v>
      </c>
      <c r="D20" s="42">
        <v>19043279</v>
      </c>
      <c r="E20" s="41">
        <f t="shared" si="1"/>
        <v>3150</v>
      </c>
      <c r="F20" s="42">
        <v>34087820</v>
      </c>
      <c r="G20" s="41">
        <f t="shared" si="2"/>
        <v>4709</v>
      </c>
      <c r="H20" s="42">
        <v>15098816</v>
      </c>
      <c r="I20" s="41">
        <f t="shared" si="3"/>
        <v>2005</v>
      </c>
    </row>
    <row r="21" spans="1:9" ht="21" thickTop="1" thickBot="1" x14ac:dyDescent="0.35">
      <c r="A21" s="39">
        <f t="shared" si="4"/>
        <v>44233</v>
      </c>
      <c r="B21" s="40">
        <v>5436</v>
      </c>
      <c r="C21" s="41">
        <f t="shared" si="0"/>
        <v>188</v>
      </c>
      <c r="D21" s="42">
        <v>19046429</v>
      </c>
      <c r="E21" s="41">
        <f t="shared" si="1"/>
        <v>3145</v>
      </c>
      <c r="F21" s="42">
        <v>34092529</v>
      </c>
      <c r="G21" s="41">
        <f t="shared" si="2"/>
        <v>4868</v>
      </c>
      <c r="H21" s="42">
        <v>15100821</v>
      </c>
      <c r="I21" s="41">
        <f t="shared" si="3"/>
        <v>2051</v>
      </c>
    </row>
    <row r="22" spans="1:9" ht="21" thickTop="1" thickBot="1" x14ac:dyDescent="0.35">
      <c r="A22" s="39">
        <f t="shared" si="4"/>
        <v>44234</v>
      </c>
      <c r="B22" s="40">
        <v>5624</v>
      </c>
      <c r="C22" s="41">
        <f t="shared" si="0"/>
        <v>184</v>
      </c>
      <c r="D22" s="42">
        <v>19049574</v>
      </c>
      <c r="E22" s="41">
        <f t="shared" si="1"/>
        <v>3116</v>
      </c>
      <c r="F22" s="42">
        <v>34097397</v>
      </c>
      <c r="G22" s="41">
        <f t="shared" si="2"/>
        <v>5057</v>
      </c>
      <c r="H22" s="42">
        <v>15102872</v>
      </c>
      <c r="I22" s="41">
        <f t="shared" si="3"/>
        <v>2018</v>
      </c>
    </row>
    <row r="23" spans="1:9" ht="21" thickTop="1" thickBot="1" x14ac:dyDescent="0.35">
      <c r="A23" s="39">
        <f t="shared" si="4"/>
        <v>44235</v>
      </c>
      <c r="B23" s="40">
        <v>5808</v>
      </c>
      <c r="C23" s="41">
        <f t="shared" si="0"/>
        <v>371</v>
      </c>
      <c r="D23" s="42">
        <v>19052690</v>
      </c>
      <c r="E23" s="41">
        <f t="shared" si="1"/>
        <v>3181</v>
      </c>
      <c r="F23" s="42">
        <v>34102454</v>
      </c>
      <c r="G23" s="41">
        <f t="shared" si="2"/>
        <v>4491</v>
      </c>
      <c r="H23" s="42">
        <v>15104890</v>
      </c>
      <c r="I23" s="41">
        <f t="shared" si="3"/>
        <v>1993</v>
      </c>
    </row>
    <row r="24" spans="1:9" ht="21" thickTop="1" thickBot="1" x14ac:dyDescent="0.35">
      <c r="A24" s="39">
        <f t="shared" si="4"/>
        <v>44236</v>
      </c>
      <c r="B24" s="40">
        <v>6179</v>
      </c>
      <c r="C24" s="41">
        <f t="shared" si="0"/>
        <v>330</v>
      </c>
      <c r="D24" s="42">
        <v>19055871</v>
      </c>
      <c r="E24" s="41">
        <f t="shared" si="1"/>
        <v>3037</v>
      </c>
      <c r="F24" s="42">
        <v>34106945</v>
      </c>
      <c r="G24" s="41">
        <f t="shared" si="2"/>
        <v>4689</v>
      </c>
      <c r="H24" s="42">
        <v>15106883</v>
      </c>
      <c r="I24" s="41">
        <f t="shared" si="3"/>
        <v>1862</v>
      </c>
    </row>
    <row r="25" spans="1:9" ht="21" thickTop="1" thickBot="1" x14ac:dyDescent="0.35">
      <c r="A25" s="39">
        <f t="shared" si="4"/>
        <v>44237</v>
      </c>
      <c r="B25" s="40">
        <v>6509</v>
      </c>
      <c r="C25" s="41">
        <f t="shared" si="0"/>
        <v>185</v>
      </c>
      <c r="D25" s="42">
        <v>19058908</v>
      </c>
      <c r="E25" s="41">
        <f t="shared" si="1"/>
        <v>2898</v>
      </c>
      <c r="F25" s="42">
        <v>34111634</v>
      </c>
      <c r="G25" s="41">
        <f t="shared" si="2"/>
        <v>4330</v>
      </c>
      <c r="H25" s="42">
        <v>15108745</v>
      </c>
      <c r="I25" s="41">
        <f t="shared" si="3"/>
        <v>1865</v>
      </c>
    </row>
    <row r="26" spans="1:9" ht="21" thickTop="1" thickBot="1" x14ac:dyDescent="0.35">
      <c r="A26" s="39">
        <f t="shared" si="4"/>
        <v>44238</v>
      </c>
      <c r="B26" s="40">
        <v>6694</v>
      </c>
      <c r="C26" s="41">
        <f t="shared" si="0"/>
        <v>228</v>
      </c>
      <c r="D26" s="42">
        <v>19061806</v>
      </c>
      <c r="E26" s="41">
        <f t="shared" si="1"/>
        <v>2923</v>
      </c>
      <c r="F26" s="42">
        <v>34115964</v>
      </c>
      <c r="G26" s="41">
        <f t="shared" si="2"/>
        <v>4565</v>
      </c>
      <c r="H26" s="42">
        <v>15110610</v>
      </c>
      <c r="I26" s="41">
        <f t="shared" si="3"/>
        <v>2103</v>
      </c>
    </row>
    <row r="27" spans="1:9" ht="21" thickTop="1" thickBot="1" x14ac:dyDescent="0.35">
      <c r="A27" s="39">
        <f t="shared" si="4"/>
        <v>44239</v>
      </c>
      <c r="B27" s="40">
        <v>6922</v>
      </c>
      <c r="C27" s="41">
        <f t="shared" si="0"/>
        <v>356</v>
      </c>
      <c r="D27" s="42">
        <v>19064729</v>
      </c>
      <c r="E27" s="41">
        <f t="shared" si="1"/>
        <v>4143</v>
      </c>
      <c r="F27" s="42">
        <v>34120529</v>
      </c>
      <c r="G27" s="41">
        <f t="shared" si="2"/>
        <v>5018</v>
      </c>
      <c r="H27" s="42">
        <v>15112713</v>
      </c>
      <c r="I27" s="41">
        <f t="shared" si="3"/>
        <v>2403</v>
      </c>
    </row>
    <row r="28" spans="1:9" ht="21" thickTop="1" thickBot="1" x14ac:dyDescent="0.35">
      <c r="A28" s="39">
        <f t="shared" si="4"/>
        <v>44240</v>
      </c>
      <c r="B28" s="40">
        <v>7278</v>
      </c>
      <c r="C28" s="41">
        <f t="shared" si="0"/>
        <v>264</v>
      </c>
      <c r="D28" s="42">
        <v>19068872</v>
      </c>
      <c r="E28" s="41">
        <f t="shared" si="1"/>
        <v>3642</v>
      </c>
      <c r="F28" s="42">
        <v>34125547</v>
      </c>
      <c r="G28" s="41">
        <f t="shared" si="2"/>
        <v>6411</v>
      </c>
      <c r="H28" s="42">
        <v>15115116</v>
      </c>
      <c r="I28" s="41">
        <f t="shared" si="3"/>
        <v>2640</v>
      </c>
    </row>
    <row r="29" spans="1:9" ht="21" thickTop="1" thickBot="1" x14ac:dyDescent="0.35">
      <c r="A29" s="39">
        <f t="shared" si="4"/>
        <v>44241</v>
      </c>
      <c r="B29" s="40">
        <v>7542</v>
      </c>
      <c r="C29" s="41">
        <f t="shared" si="0"/>
        <v>274</v>
      </c>
      <c r="D29" s="42">
        <v>19072514</v>
      </c>
      <c r="E29" s="41">
        <f t="shared" si="1"/>
        <v>3094</v>
      </c>
      <c r="F29" s="42">
        <v>34131958</v>
      </c>
      <c r="G29" s="41">
        <f t="shared" si="2"/>
        <v>5466</v>
      </c>
      <c r="H29" s="42">
        <v>15117756</v>
      </c>
      <c r="I29" s="41">
        <f t="shared" si="3"/>
        <v>2952</v>
      </c>
    </row>
    <row r="30" spans="1:9" ht="21" thickTop="1" thickBot="1" x14ac:dyDescent="0.35">
      <c r="A30" s="39">
        <f t="shared" si="4"/>
        <v>44242</v>
      </c>
      <c r="B30" s="40">
        <v>7816</v>
      </c>
      <c r="C30" s="41">
        <f t="shared" si="0"/>
        <v>0</v>
      </c>
      <c r="D30" s="42">
        <v>19075608</v>
      </c>
      <c r="E30" s="41">
        <f t="shared" si="1"/>
        <v>0</v>
      </c>
      <c r="F30" s="42">
        <v>34137424</v>
      </c>
      <c r="G30" s="41">
        <f t="shared" si="2"/>
        <v>0</v>
      </c>
      <c r="H30" s="42">
        <v>15120708</v>
      </c>
      <c r="I30" s="41">
        <f t="shared" si="3"/>
        <v>0</v>
      </c>
    </row>
    <row r="31" spans="1:9" ht="21" thickTop="1" thickBot="1" x14ac:dyDescent="0.35">
      <c r="A31" s="39">
        <f t="shared" si="4"/>
        <v>44243</v>
      </c>
      <c r="B31" s="40"/>
      <c r="C31" s="41">
        <f t="shared" si="0"/>
        <v>0</v>
      </c>
      <c r="D31" s="42"/>
      <c r="E31" s="41">
        <f t="shared" ref="E30:E47" si="5">IF(D32&lt;D31,0,D32-D31)</f>
        <v>0</v>
      </c>
      <c r="F31" s="42"/>
      <c r="G31" s="41">
        <f t="shared" ref="G30:G47" si="6">IF(F32&lt;F31,0,F32-F31)</f>
        <v>0</v>
      </c>
      <c r="H31" s="42"/>
      <c r="I31" s="41">
        <f t="shared" si="3"/>
        <v>0</v>
      </c>
    </row>
    <row r="32" spans="1:9" ht="21" thickTop="1" thickBot="1" x14ac:dyDescent="0.35">
      <c r="A32" s="39">
        <f t="shared" si="4"/>
        <v>44244</v>
      </c>
      <c r="B32" s="40"/>
      <c r="C32" s="41">
        <f t="shared" si="0"/>
        <v>0</v>
      </c>
      <c r="D32" s="42"/>
      <c r="E32" s="41">
        <f t="shared" si="5"/>
        <v>0</v>
      </c>
      <c r="F32" s="42"/>
      <c r="G32" s="41">
        <f t="shared" si="6"/>
        <v>0</v>
      </c>
      <c r="H32" s="42"/>
      <c r="I32" s="41">
        <f t="shared" si="3"/>
        <v>0</v>
      </c>
    </row>
    <row r="33" spans="1:9" ht="21" thickTop="1" thickBot="1" x14ac:dyDescent="0.35">
      <c r="A33" s="39">
        <f t="shared" si="4"/>
        <v>44245</v>
      </c>
      <c r="B33" s="40"/>
      <c r="C33" s="41">
        <f t="shared" si="0"/>
        <v>0</v>
      </c>
      <c r="D33" s="42"/>
      <c r="E33" s="41">
        <f t="shared" si="5"/>
        <v>0</v>
      </c>
      <c r="F33" s="42"/>
      <c r="G33" s="41">
        <f t="shared" si="6"/>
        <v>0</v>
      </c>
      <c r="H33" s="42"/>
      <c r="I33" s="41">
        <f t="shared" si="3"/>
        <v>0</v>
      </c>
    </row>
    <row r="34" spans="1:9" ht="21" thickTop="1" thickBot="1" x14ac:dyDescent="0.35">
      <c r="A34" s="39">
        <f t="shared" si="4"/>
        <v>44246</v>
      </c>
      <c r="B34" s="40"/>
      <c r="C34" s="41">
        <f t="shared" si="0"/>
        <v>0</v>
      </c>
      <c r="D34" s="42"/>
      <c r="E34" s="41">
        <f t="shared" si="5"/>
        <v>0</v>
      </c>
      <c r="F34" s="42"/>
      <c r="G34" s="41">
        <f t="shared" si="6"/>
        <v>0</v>
      </c>
      <c r="H34" s="42"/>
      <c r="I34" s="41">
        <f t="shared" si="3"/>
        <v>0</v>
      </c>
    </row>
    <row r="35" spans="1:9" ht="21" thickTop="1" thickBot="1" x14ac:dyDescent="0.35">
      <c r="A35" s="39">
        <f t="shared" si="4"/>
        <v>44247</v>
      </c>
      <c r="B35" s="40"/>
      <c r="C35" s="41">
        <f t="shared" si="0"/>
        <v>0</v>
      </c>
      <c r="D35" s="42"/>
      <c r="E35" s="41">
        <f t="shared" si="5"/>
        <v>0</v>
      </c>
      <c r="F35" s="42"/>
      <c r="G35" s="41">
        <f t="shared" si="6"/>
        <v>0</v>
      </c>
      <c r="H35" s="42"/>
      <c r="I35" s="41">
        <f t="shared" si="3"/>
        <v>0</v>
      </c>
    </row>
    <row r="36" spans="1:9" ht="21" thickTop="1" thickBot="1" x14ac:dyDescent="0.35">
      <c r="A36" s="39">
        <f t="shared" si="4"/>
        <v>44248</v>
      </c>
      <c r="B36" s="40"/>
      <c r="C36" s="41">
        <f t="shared" si="0"/>
        <v>0</v>
      </c>
      <c r="D36" s="42"/>
      <c r="E36" s="41">
        <f t="shared" si="5"/>
        <v>0</v>
      </c>
      <c r="F36" s="42"/>
      <c r="G36" s="41">
        <f t="shared" si="6"/>
        <v>0</v>
      </c>
      <c r="H36" s="42"/>
      <c r="I36" s="41">
        <f t="shared" si="3"/>
        <v>0</v>
      </c>
    </row>
    <row r="37" spans="1:9" ht="21" thickTop="1" thickBot="1" x14ac:dyDescent="0.35">
      <c r="A37" s="39">
        <f t="shared" si="4"/>
        <v>44249</v>
      </c>
      <c r="B37" s="40"/>
      <c r="C37" s="41">
        <f t="shared" si="0"/>
        <v>0</v>
      </c>
      <c r="D37" s="42"/>
      <c r="E37" s="41">
        <f t="shared" si="5"/>
        <v>0</v>
      </c>
      <c r="F37" s="42"/>
      <c r="G37" s="41">
        <f t="shared" si="6"/>
        <v>0</v>
      </c>
      <c r="H37" s="42"/>
      <c r="I37" s="41">
        <f t="shared" si="3"/>
        <v>0</v>
      </c>
    </row>
    <row r="38" spans="1:9" ht="21" thickTop="1" thickBot="1" x14ac:dyDescent="0.35">
      <c r="A38" s="39">
        <f t="shared" si="4"/>
        <v>44250</v>
      </c>
      <c r="B38" s="40"/>
      <c r="C38" s="41">
        <f t="shared" si="0"/>
        <v>0</v>
      </c>
      <c r="D38" s="42"/>
      <c r="E38" s="41">
        <f t="shared" si="5"/>
        <v>0</v>
      </c>
      <c r="F38" s="42"/>
      <c r="G38" s="41">
        <f t="shared" si="6"/>
        <v>0</v>
      </c>
      <c r="H38" s="42"/>
      <c r="I38" s="41">
        <f t="shared" si="3"/>
        <v>0</v>
      </c>
    </row>
    <row r="39" spans="1:9" ht="21" thickTop="1" thickBot="1" x14ac:dyDescent="0.35">
      <c r="A39" s="39">
        <f t="shared" si="4"/>
        <v>44251</v>
      </c>
      <c r="B39" s="40"/>
      <c r="C39" s="41">
        <f t="shared" si="0"/>
        <v>0</v>
      </c>
      <c r="D39" s="42"/>
      <c r="E39" s="41">
        <f t="shared" si="5"/>
        <v>0</v>
      </c>
      <c r="F39" s="42"/>
      <c r="G39" s="41">
        <f t="shared" si="6"/>
        <v>0</v>
      </c>
      <c r="H39" s="42"/>
      <c r="I39" s="41">
        <f t="shared" si="3"/>
        <v>0</v>
      </c>
    </row>
    <row r="40" spans="1:9" ht="21" thickTop="1" thickBot="1" x14ac:dyDescent="0.35">
      <c r="A40" s="39">
        <f t="shared" si="4"/>
        <v>44252</v>
      </c>
      <c r="B40" s="40"/>
      <c r="C40" s="41">
        <f t="shared" si="0"/>
        <v>0</v>
      </c>
      <c r="D40" s="42"/>
      <c r="E40" s="41">
        <f t="shared" si="5"/>
        <v>0</v>
      </c>
      <c r="F40" s="42"/>
      <c r="G40" s="41">
        <f t="shared" si="6"/>
        <v>0</v>
      </c>
      <c r="H40" s="42"/>
      <c r="I40" s="41">
        <f t="shared" si="3"/>
        <v>0</v>
      </c>
    </row>
    <row r="41" spans="1:9" ht="21" thickTop="1" thickBot="1" x14ac:dyDescent="0.35">
      <c r="A41" s="39">
        <f t="shared" si="4"/>
        <v>44253</v>
      </c>
      <c r="B41" s="40"/>
      <c r="C41" s="41">
        <f t="shared" si="0"/>
        <v>0</v>
      </c>
      <c r="D41" s="42"/>
      <c r="E41" s="41">
        <f t="shared" si="5"/>
        <v>0</v>
      </c>
      <c r="F41" s="42"/>
      <c r="G41" s="41">
        <f t="shared" si="6"/>
        <v>0</v>
      </c>
      <c r="H41" s="42"/>
      <c r="I41" s="41">
        <f t="shared" si="3"/>
        <v>0</v>
      </c>
    </row>
    <row r="42" spans="1:9" ht="21" thickTop="1" thickBot="1" x14ac:dyDescent="0.35">
      <c r="A42" s="39">
        <f t="shared" si="4"/>
        <v>44254</v>
      </c>
      <c r="B42" s="40"/>
      <c r="C42" s="41">
        <f t="shared" si="0"/>
        <v>0</v>
      </c>
      <c r="D42" s="42"/>
      <c r="E42" s="41">
        <f t="shared" si="5"/>
        <v>0</v>
      </c>
      <c r="F42" s="42"/>
      <c r="G42" s="41">
        <f t="shared" si="6"/>
        <v>0</v>
      </c>
      <c r="H42" s="42"/>
      <c r="I42" s="41">
        <f t="shared" si="3"/>
        <v>0</v>
      </c>
    </row>
    <row r="43" spans="1:9" ht="21" thickTop="1" thickBot="1" x14ac:dyDescent="0.35">
      <c r="A43" s="39">
        <f t="shared" si="4"/>
        <v>44255</v>
      </c>
      <c r="B43" s="40"/>
      <c r="C43" s="41">
        <f t="shared" si="0"/>
        <v>0</v>
      </c>
      <c r="D43" s="42"/>
      <c r="E43" s="41">
        <f t="shared" si="5"/>
        <v>0</v>
      </c>
      <c r="F43" s="42"/>
      <c r="G43" s="41">
        <f t="shared" si="6"/>
        <v>0</v>
      </c>
      <c r="H43" s="42"/>
      <c r="I43" s="41">
        <f t="shared" si="3"/>
        <v>0</v>
      </c>
    </row>
    <row r="44" spans="1:9" ht="21" thickTop="1" thickBot="1" x14ac:dyDescent="0.35">
      <c r="A44" s="39">
        <f t="shared" si="4"/>
        <v>44256</v>
      </c>
      <c r="B44" s="40"/>
      <c r="C44" s="41">
        <f t="shared" si="0"/>
        <v>0</v>
      </c>
      <c r="D44" s="42"/>
      <c r="E44" s="41">
        <f t="shared" si="5"/>
        <v>0</v>
      </c>
      <c r="F44" s="42"/>
      <c r="G44" s="41">
        <f t="shared" si="6"/>
        <v>0</v>
      </c>
      <c r="H44" s="42"/>
      <c r="I44" s="41">
        <f t="shared" si="3"/>
        <v>0</v>
      </c>
    </row>
    <row r="45" spans="1:9" ht="21" thickTop="1" thickBot="1" x14ac:dyDescent="0.35">
      <c r="A45" s="39">
        <f t="shared" si="4"/>
        <v>44257</v>
      </c>
      <c r="B45" s="40"/>
      <c r="C45" s="41">
        <f t="shared" si="0"/>
        <v>0</v>
      </c>
      <c r="D45" s="42"/>
      <c r="E45" s="41">
        <f t="shared" si="5"/>
        <v>0</v>
      </c>
      <c r="F45" s="42"/>
      <c r="G45" s="41">
        <f t="shared" si="6"/>
        <v>0</v>
      </c>
      <c r="H45" s="42"/>
      <c r="I45" s="41">
        <f t="shared" si="3"/>
        <v>0</v>
      </c>
    </row>
    <row r="46" spans="1:9" ht="21" thickTop="1" thickBot="1" x14ac:dyDescent="0.35">
      <c r="A46" s="39">
        <f t="shared" si="4"/>
        <v>44258</v>
      </c>
      <c r="B46" s="40"/>
      <c r="C46" s="41">
        <f t="shared" si="0"/>
        <v>0</v>
      </c>
      <c r="D46" s="42"/>
      <c r="E46" s="41">
        <f t="shared" si="5"/>
        <v>0</v>
      </c>
      <c r="F46" s="42"/>
      <c r="G46" s="41">
        <f t="shared" si="6"/>
        <v>0</v>
      </c>
      <c r="H46" s="42"/>
      <c r="I46" s="41">
        <f t="shared" si="3"/>
        <v>0</v>
      </c>
    </row>
    <row r="47" spans="1:9" ht="21" thickTop="1" thickBot="1" x14ac:dyDescent="0.35">
      <c r="A47" s="39">
        <f t="shared" si="4"/>
        <v>44259</v>
      </c>
      <c r="B47" s="40"/>
      <c r="C47" s="41">
        <f t="shared" si="0"/>
        <v>0</v>
      </c>
      <c r="D47" s="42"/>
      <c r="E47" s="41">
        <f t="shared" si="5"/>
        <v>0</v>
      </c>
      <c r="F47" s="42"/>
      <c r="G47" s="41">
        <f t="shared" si="6"/>
        <v>0</v>
      </c>
      <c r="H47" s="42"/>
      <c r="I47" s="41">
        <f t="shared" si="3"/>
        <v>0</v>
      </c>
    </row>
    <row r="48" spans="1:9" ht="21.75" customHeight="1" thickTop="1" thickBot="1" x14ac:dyDescent="0.35">
      <c r="A48" s="43"/>
      <c r="C48" s="41">
        <f>SUM(C16:C43)</f>
        <v>3788</v>
      </c>
      <c r="E48" s="41">
        <f>SUM(E16:E43)</f>
        <v>45332</v>
      </c>
      <c r="F48" s="53"/>
      <c r="G48" s="41">
        <f>SUM(G16:G43)</f>
        <v>69036</v>
      </c>
      <c r="H48" s="53"/>
      <c r="I48" s="41">
        <f>SUM(I16:I43)</f>
        <v>30164</v>
      </c>
    </row>
    <row r="49" spans="1:8" ht="24" customHeight="1" thickTop="1" x14ac:dyDescent="0.3">
      <c r="A49" s="43"/>
      <c r="F49" s="53"/>
      <c r="G49" s="54"/>
      <c r="H49" s="53"/>
    </row>
    <row r="50" spans="1:8" ht="19.5" x14ac:dyDescent="0.2">
      <c r="A50" s="32"/>
      <c r="F50" s="53"/>
      <c r="G50" s="54"/>
      <c r="H50" s="53"/>
    </row>
    <row r="51" spans="1:8" ht="19.5" x14ac:dyDescent="0.2">
      <c r="A51" s="32"/>
      <c r="F51" s="53"/>
      <c r="G51" s="54"/>
      <c r="H51" s="53"/>
    </row>
    <row r="52" spans="1:8" ht="19.5" x14ac:dyDescent="0.2">
      <c r="F52" s="53"/>
      <c r="G52" s="54"/>
      <c r="H52" s="53"/>
    </row>
    <row r="53" spans="1:8" ht="19.5" x14ac:dyDescent="0.2">
      <c r="F53" s="53"/>
      <c r="G53" s="54"/>
      <c r="H53" s="53"/>
    </row>
    <row r="54" spans="1:8" ht="19.5" x14ac:dyDescent="0.2">
      <c r="F54" s="53"/>
      <c r="G54" s="54"/>
      <c r="H54" s="53"/>
    </row>
    <row r="55" spans="1:8" ht="19.5" x14ac:dyDescent="0.2">
      <c r="F55" s="53"/>
      <c r="G55" s="54"/>
      <c r="H55" s="53"/>
    </row>
    <row r="56" spans="1:8" ht="19.5" x14ac:dyDescent="0.2">
      <c r="F56" s="53"/>
      <c r="G56" s="54"/>
      <c r="H56" s="53"/>
    </row>
    <row r="57" spans="1:8" ht="19.5" x14ac:dyDescent="0.2">
      <c r="F57" s="53"/>
      <c r="G57" s="54"/>
      <c r="H57" s="53"/>
    </row>
    <row r="58" spans="1:8" ht="19.5" x14ac:dyDescent="0.2">
      <c r="F58" s="53"/>
      <c r="G58" s="54"/>
      <c r="H58" s="53"/>
    </row>
    <row r="59" spans="1:8" x14ac:dyDescent="0.2">
      <c r="F59" s="53"/>
      <c r="G59" s="53"/>
      <c r="H59" s="53"/>
    </row>
    <row r="60" spans="1:8" x14ac:dyDescent="0.2">
      <c r="F60" s="53"/>
      <c r="G60" s="53"/>
      <c r="H60" s="53"/>
    </row>
    <row r="61" spans="1:8" x14ac:dyDescent="0.2">
      <c r="F61" s="53"/>
      <c r="G61" s="53"/>
      <c r="H61" s="53"/>
    </row>
  </sheetData>
  <mergeCells count="6">
    <mergeCell ref="A7:A8"/>
    <mergeCell ref="C1:G3"/>
    <mergeCell ref="H1:I3"/>
    <mergeCell ref="B7:C7"/>
    <mergeCell ref="D7:I7"/>
    <mergeCell ref="A1:B3"/>
  </mergeCells>
  <phoneticPr fontId="7" type="noConversion"/>
  <conditionalFormatting sqref="C1 C4:C8 C16740:C65536">
    <cfRule type="cellIs" dxfId="68" priority="1222" stopIfTrue="1" operator="lessThanOrEqual">
      <formula>0</formula>
    </cfRule>
  </conditionalFormatting>
  <conditionalFormatting sqref="C48">
    <cfRule type="cellIs" dxfId="67" priority="884" stopIfTrue="1" operator="lessThanOrEqual">
      <formula>0</formula>
    </cfRule>
  </conditionalFormatting>
  <conditionalFormatting sqref="C48">
    <cfRule type="cellIs" dxfId="66" priority="883" stopIfTrue="1" operator="lessThanOrEqual">
      <formula>0</formula>
    </cfRule>
  </conditionalFormatting>
  <conditionalFormatting sqref="C48">
    <cfRule type="cellIs" dxfId="65" priority="882" stopIfTrue="1" operator="lessThanOrEqual">
      <formula>0</formula>
    </cfRule>
  </conditionalFormatting>
  <conditionalFormatting sqref="C48">
    <cfRule type="cellIs" dxfId="64" priority="881" stopIfTrue="1" operator="lessThanOrEqual">
      <formula>0</formula>
    </cfRule>
  </conditionalFormatting>
  <conditionalFormatting sqref="C9:C10">
    <cfRule type="cellIs" dxfId="63" priority="72" stopIfTrue="1" operator="lessThanOrEqual">
      <formula>0</formula>
    </cfRule>
  </conditionalFormatting>
  <conditionalFormatting sqref="C9:C10">
    <cfRule type="cellIs" dxfId="62" priority="71" stopIfTrue="1" operator="lessThanOrEqual">
      <formula>0</formula>
    </cfRule>
  </conditionalFormatting>
  <conditionalFormatting sqref="C9:C10">
    <cfRule type="cellIs" dxfId="61" priority="70" stopIfTrue="1" operator="lessThanOrEqual">
      <formula>0</formula>
    </cfRule>
  </conditionalFormatting>
  <conditionalFormatting sqref="C9:C10">
    <cfRule type="cellIs" dxfId="60" priority="69" stopIfTrue="1" operator="lessThanOrEqual">
      <formula>0</formula>
    </cfRule>
  </conditionalFormatting>
  <conditionalFormatting sqref="C11:C14">
    <cfRule type="cellIs" dxfId="59" priority="68" stopIfTrue="1" operator="lessThanOrEqual">
      <formula>0</formula>
    </cfRule>
  </conditionalFormatting>
  <conditionalFormatting sqref="C11:C14">
    <cfRule type="cellIs" dxfId="58" priority="67" stopIfTrue="1" operator="lessThanOrEqual">
      <formula>0</formula>
    </cfRule>
  </conditionalFormatting>
  <conditionalFormatting sqref="C11:C14">
    <cfRule type="cellIs" dxfId="57" priority="66" stopIfTrue="1" operator="lessThanOrEqual">
      <formula>0</formula>
    </cfRule>
  </conditionalFormatting>
  <conditionalFormatting sqref="C11:C14">
    <cfRule type="cellIs" dxfId="56" priority="65" stopIfTrue="1" operator="lessThanOrEqual">
      <formula>0</formula>
    </cfRule>
  </conditionalFormatting>
  <conditionalFormatting sqref="C15">
    <cfRule type="cellIs" dxfId="55" priority="64" stopIfTrue="1" operator="lessThanOrEqual">
      <formula>0</formula>
    </cfRule>
  </conditionalFormatting>
  <conditionalFormatting sqref="C15">
    <cfRule type="cellIs" dxfId="54" priority="63" stopIfTrue="1" operator="lessThanOrEqual">
      <formula>0</formula>
    </cfRule>
  </conditionalFormatting>
  <conditionalFormatting sqref="C15">
    <cfRule type="cellIs" dxfId="53" priority="62" stopIfTrue="1" operator="lessThanOrEqual">
      <formula>0</formula>
    </cfRule>
  </conditionalFormatting>
  <conditionalFormatting sqref="C15">
    <cfRule type="cellIs" dxfId="52" priority="61" stopIfTrue="1" operator="lessThanOrEqual">
      <formula>0</formula>
    </cfRule>
  </conditionalFormatting>
  <conditionalFormatting sqref="C16 C31:C47">
    <cfRule type="cellIs" dxfId="51" priority="60" stopIfTrue="1" operator="lessThanOrEqual">
      <formula>0</formula>
    </cfRule>
  </conditionalFormatting>
  <conditionalFormatting sqref="C16 C31:C47">
    <cfRule type="cellIs" dxfId="50" priority="59" stopIfTrue="1" operator="lessThanOrEqual">
      <formula>0</formula>
    </cfRule>
  </conditionalFormatting>
  <conditionalFormatting sqref="C16 C31:C47">
    <cfRule type="cellIs" dxfId="49" priority="58" stopIfTrue="1" operator="lessThanOrEqual">
      <formula>0</formula>
    </cfRule>
  </conditionalFormatting>
  <conditionalFormatting sqref="C16 C31:C47">
    <cfRule type="cellIs" dxfId="48" priority="57" stopIfTrue="1" operator="lessThanOrEqual">
      <formula>0</formula>
    </cfRule>
  </conditionalFormatting>
  <conditionalFormatting sqref="C17">
    <cfRule type="cellIs" dxfId="47" priority="44" stopIfTrue="1" operator="lessThanOrEqual">
      <formula>0</formula>
    </cfRule>
  </conditionalFormatting>
  <conditionalFormatting sqref="C17">
    <cfRule type="cellIs" dxfId="46" priority="43" stopIfTrue="1" operator="lessThanOrEqual">
      <formula>0</formula>
    </cfRule>
  </conditionalFormatting>
  <conditionalFormatting sqref="C17">
    <cfRule type="cellIs" dxfId="45" priority="42" stopIfTrue="1" operator="lessThanOrEqual">
      <formula>0</formula>
    </cfRule>
  </conditionalFormatting>
  <conditionalFormatting sqref="C17">
    <cfRule type="cellIs" dxfId="44" priority="41" stopIfTrue="1" operator="lessThanOrEqual">
      <formula>0</formula>
    </cfRule>
  </conditionalFormatting>
  <conditionalFormatting sqref="E48">
    <cfRule type="cellIs" dxfId="43" priority="40" stopIfTrue="1" operator="lessThanOrEqual">
      <formula>0</formula>
    </cfRule>
  </conditionalFormatting>
  <conditionalFormatting sqref="E48">
    <cfRule type="cellIs" dxfId="42" priority="39" stopIfTrue="1" operator="lessThanOrEqual">
      <formula>0</formula>
    </cfRule>
  </conditionalFormatting>
  <conditionalFormatting sqref="E48">
    <cfRule type="cellIs" dxfId="41" priority="38" stopIfTrue="1" operator="lessThanOrEqual">
      <formula>0</formula>
    </cfRule>
  </conditionalFormatting>
  <conditionalFormatting sqref="E48">
    <cfRule type="cellIs" dxfId="40" priority="37" stopIfTrue="1" operator="lessThanOrEqual">
      <formula>0</formula>
    </cfRule>
  </conditionalFormatting>
  <conditionalFormatting sqref="G48">
    <cfRule type="cellIs" dxfId="39" priority="36" stopIfTrue="1" operator="lessThanOrEqual">
      <formula>0</formula>
    </cfRule>
  </conditionalFormatting>
  <conditionalFormatting sqref="G48">
    <cfRule type="cellIs" dxfId="38" priority="35" stopIfTrue="1" operator="lessThanOrEqual">
      <formula>0</formula>
    </cfRule>
  </conditionalFormatting>
  <conditionalFormatting sqref="G48">
    <cfRule type="cellIs" dxfId="37" priority="34" stopIfTrue="1" operator="lessThanOrEqual">
      <formula>0</formula>
    </cfRule>
  </conditionalFormatting>
  <conditionalFormatting sqref="G48">
    <cfRule type="cellIs" dxfId="36" priority="33" stopIfTrue="1" operator="lessThanOrEqual">
      <formula>0</formula>
    </cfRule>
  </conditionalFormatting>
  <conditionalFormatting sqref="I48">
    <cfRule type="cellIs" dxfId="35" priority="32" stopIfTrue="1" operator="lessThanOrEqual">
      <formula>0</formula>
    </cfRule>
  </conditionalFormatting>
  <conditionalFormatting sqref="I48">
    <cfRule type="cellIs" dxfId="34" priority="31" stopIfTrue="1" operator="lessThanOrEqual">
      <formula>0</formula>
    </cfRule>
  </conditionalFormatting>
  <conditionalFormatting sqref="I48">
    <cfRule type="cellIs" dxfId="33" priority="30" stopIfTrue="1" operator="lessThanOrEqual">
      <formula>0</formula>
    </cfRule>
  </conditionalFormatting>
  <conditionalFormatting sqref="I48">
    <cfRule type="cellIs" dxfId="32" priority="29" stopIfTrue="1" operator="lessThanOrEqual">
      <formula>0</formula>
    </cfRule>
  </conditionalFormatting>
  <conditionalFormatting sqref="C18">
    <cfRule type="cellIs" dxfId="31" priority="28" stopIfTrue="1" operator="lessThanOrEqual">
      <formula>0</formula>
    </cfRule>
  </conditionalFormatting>
  <conditionalFormatting sqref="C18">
    <cfRule type="cellIs" dxfId="30" priority="27" stopIfTrue="1" operator="lessThanOrEqual">
      <formula>0</formula>
    </cfRule>
  </conditionalFormatting>
  <conditionalFormatting sqref="C18">
    <cfRule type="cellIs" dxfId="29" priority="26" stopIfTrue="1" operator="lessThanOrEqual">
      <formula>0</formula>
    </cfRule>
  </conditionalFormatting>
  <conditionalFormatting sqref="C18">
    <cfRule type="cellIs" dxfId="28" priority="25" stopIfTrue="1" operator="lessThanOrEqual">
      <formula>0</formula>
    </cfRule>
  </conditionalFormatting>
  <conditionalFormatting sqref="C19:C21">
    <cfRule type="cellIs" dxfId="27" priority="24" stopIfTrue="1" operator="lessThanOrEqual">
      <formula>0</formula>
    </cfRule>
  </conditionalFormatting>
  <conditionalFormatting sqref="C19:C21">
    <cfRule type="cellIs" dxfId="26" priority="23" stopIfTrue="1" operator="lessThanOrEqual">
      <formula>0</formula>
    </cfRule>
  </conditionalFormatting>
  <conditionalFormatting sqref="C19:C21">
    <cfRule type="cellIs" dxfId="25" priority="22" stopIfTrue="1" operator="lessThanOrEqual">
      <formula>0</formula>
    </cfRule>
  </conditionalFormatting>
  <conditionalFormatting sqref="C19:C21">
    <cfRule type="cellIs" dxfId="24" priority="21" stopIfTrue="1" operator="lessThanOrEqual">
      <formula>0</formula>
    </cfRule>
  </conditionalFormatting>
  <conditionalFormatting sqref="C22:C23">
    <cfRule type="cellIs" dxfId="23" priority="20" stopIfTrue="1" operator="lessThanOrEqual">
      <formula>0</formula>
    </cfRule>
  </conditionalFormatting>
  <conditionalFormatting sqref="C22:C23">
    <cfRule type="cellIs" dxfId="22" priority="19" stopIfTrue="1" operator="lessThanOrEqual">
      <formula>0</formula>
    </cfRule>
  </conditionalFormatting>
  <conditionalFormatting sqref="C22:C23">
    <cfRule type="cellIs" dxfId="21" priority="18" stopIfTrue="1" operator="lessThanOrEqual">
      <formula>0</formula>
    </cfRule>
  </conditionalFormatting>
  <conditionalFormatting sqref="C22:C23">
    <cfRule type="cellIs" dxfId="20" priority="17" stopIfTrue="1" operator="lessThanOrEqual">
      <formula>0</formula>
    </cfRule>
  </conditionalFormatting>
  <conditionalFormatting sqref="C24">
    <cfRule type="cellIs" dxfId="19" priority="16" stopIfTrue="1" operator="lessThanOrEqual">
      <formula>0</formula>
    </cfRule>
  </conditionalFormatting>
  <conditionalFormatting sqref="C24">
    <cfRule type="cellIs" dxfId="18" priority="15" stopIfTrue="1" operator="lessThanOrEqual">
      <formula>0</formula>
    </cfRule>
  </conditionalFormatting>
  <conditionalFormatting sqref="C24">
    <cfRule type="cellIs" dxfId="17" priority="14" stopIfTrue="1" operator="lessThanOrEqual">
      <formula>0</formula>
    </cfRule>
  </conditionalFormatting>
  <conditionalFormatting sqref="C24">
    <cfRule type="cellIs" dxfId="16" priority="13" stopIfTrue="1" operator="lessThanOrEqual">
      <formula>0</formula>
    </cfRule>
  </conditionalFormatting>
  <conditionalFormatting sqref="C25">
    <cfRule type="cellIs" dxfId="15" priority="12" stopIfTrue="1" operator="lessThanOrEqual">
      <formula>0</formula>
    </cfRule>
  </conditionalFormatting>
  <conditionalFormatting sqref="C25">
    <cfRule type="cellIs" dxfId="14" priority="11" stopIfTrue="1" operator="lessThanOrEqual">
      <formula>0</formula>
    </cfRule>
  </conditionalFormatting>
  <conditionalFormatting sqref="C25">
    <cfRule type="cellIs" dxfId="13" priority="10" stopIfTrue="1" operator="lessThanOrEqual">
      <formula>0</formula>
    </cfRule>
  </conditionalFormatting>
  <conditionalFormatting sqref="C25">
    <cfRule type="cellIs" dxfId="12" priority="9" stopIfTrue="1" operator="lessThanOrEqual">
      <formula>0</formula>
    </cfRule>
  </conditionalFormatting>
  <conditionalFormatting sqref="C26:C29">
    <cfRule type="cellIs" dxfId="11" priority="8" stopIfTrue="1" operator="lessThanOrEqual">
      <formula>0</formula>
    </cfRule>
  </conditionalFormatting>
  <conditionalFormatting sqref="C26:C29">
    <cfRule type="cellIs" dxfId="10" priority="7" stopIfTrue="1" operator="lessThanOrEqual">
      <formula>0</formula>
    </cfRule>
  </conditionalFormatting>
  <conditionalFormatting sqref="C26:C29">
    <cfRule type="cellIs" dxfId="9" priority="6" stopIfTrue="1" operator="lessThanOrEqual">
      <formula>0</formula>
    </cfRule>
  </conditionalFormatting>
  <conditionalFormatting sqref="C26:C29">
    <cfRule type="cellIs" dxfId="8" priority="5" stopIfTrue="1" operator="lessThanOrEqual">
      <formula>0</formula>
    </cfRule>
  </conditionalFormatting>
  <conditionalFormatting sqref="C30">
    <cfRule type="cellIs" dxfId="7" priority="4" stopIfTrue="1" operator="lessThanOrEqual">
      <formula>0</formula>
    </cfRule>
  </conditionalFormatting>
  <conditionalFormatting sqref="C30">
    <cfRule type="cellIs" dxfId="5" priority="3" stopIfTrue="1" operator="lessThanOrEqual">
      <formula>0</formula>
    </cfRule>
  </conditionalFormatting>
  <conditionalFormatting sqref="C30">
    <cfRule type="cellIs" dxfId="3" priority="2" stopIfTrue="1" operator="lessThanOrEqual">
      <formula>0</formula>
    </cfRule>
  </conditionalFormatting>
  <conditionalFormatting sqref="C30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29.01</vt:lpstr>
      <vt:lpstr>Suivi Gaz</vt:lpstr>
      <vt:lpstr>Suivi EAU-ELEC</vt:lpstr>
      <vt:lpstr>Feuil1</vt:lpstr>
      <vt:lpstr>'Consommation du 01.02 au 29.01'!Print_Area</vt:lpstr>
      <vt:lpstr>'Suivi EAU-ELEC'!Print_Area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2020-01-07T10:49:37Z</cp:lastPrinted>
  <dcterms:created xsi:type="dcterms:W3CDTF">1996-10-21T11:03:58Z</dcterms:created>
  <dcterms:modified xsi:type="dcterms:W3CDTF">2021-02-15T09:54:52Z</dcterms:modified>
</cp:coreProperties>
</file>