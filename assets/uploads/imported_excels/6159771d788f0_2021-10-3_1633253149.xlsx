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K38" i="7" s="1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AH38" i="7" s="1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<sst xmlns="http://schemas.openxmlformats.org/spreadsheetml/2006/main" count="128" uniqueCount="49">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</sst>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V8" sqref="AV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7">IF((C9-C8&lt;0), "0",C9-C8)</f>
        <v>0</v>
      </c>
      <c r="R9" s="37" t="str">
        <f t="shared" ref="R9:R35" si="18">IF((D9-D8&lt;0), "0",D9-D8)</f>
        <v>0</v>
      </c>
      <c r="S9" s="37" t="str">
        <f t="shared" si="16"/>
        <v>0</v>
      </c>
      <c r="T9" s="37" t="str">
        <f t="shared" ref="T9:T35" si="19">IF((F9-F8&lt;0), "0",F9-F8)</f>
        <v>0</v>
      </c>
      <c r="U9" s="37" t="str">
        <f t="shared" ref="U9:U35" si="20">IF((G9-G8&lt;0), "0",G9-G8)</f>
        <v>0</v>
      </c>
      <c r="V9" s="37" t="str">
        <f t="shared" ref="V9:V35" si="21">IF((H9-H8&lt;0), "0",H9-H8)</f>
        <v>0</v>
      </c>
      <c r="W9" s="37" t="str">
        <f t="shared" ref="W9:W35" si="22">IF((I9-I8&lt;0), "0",I9-I8)</f>
        <v>0</v>
      </c>
      <c r="X9" s="37" t="str">
        <f t="shared" ref="X9:X35" si="23">IF((J9-J8&lt;0), "0",J9-J8)</f>
        <v>0</v>
      </c>
      <c r="Y9" s="37" t="str">
        <f t="shared" ref="Y9:Y35" si="24">IF((K9-K8&lt;0), "0",K9-K8)</f>
        <v>0</v>
      </c>
      <c r="Z9" s="37" t="str">
        <f t="shared" ref="Z9:Z35" si="25">IF((L9-L8&lt;0), "0",L9-L8)</f>
        <v>0</v>
      </c>
      <c r="AA9" s="37" t="str">
        <f t="shared" ref="AA9:AA35" si="26">IF((M9-M8&lt;0), "0",M9-M8)</f>
        <v>0</v>
      </c>
      <c r="AB9" s="37" t="str">
        <f t="shared" ref="AB9:AB37" si="27">IF((N9-N8&lt;0), "0",N9-N8)</f>
        <v>0</v>
      </c>
      <c r="AC9" s="37" t="str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47"/>
      <c r="AV9" s="37" t="str">
        <f>IF((AU9-AU8&lt;0),"0",AU9-AU8)</f>
        <v>0</v>
      </c>
      <c r="AW9" s="35">
        <f t="shared" si="14"/>
        <v>0</v>
      </c>
    </row>
    <row r="10" spans="1:49" x14ac:dyDescent="0.25">
      <c r="A10" s="23">
        <v>44473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47"/>
      <c r="AV10" s="37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44474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>
        <f t="shared" si="31"/>
        <v>0</v>
      </c>
      <c r="AW11" s="35">
        <f t="shared" si="14"/>
        <v>0</v>
      </c>
    </row>
    <row r="12" spans="1:49" x14ac:dyDescent="0.25">
      <c r="A12" s="23">
        <v>44475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5">
        <f t="shared" si="14"/>
        <v>0</v>
      </c>
    </row>
    <row r="13" spans="1:49" x14ac:dyDescent="0.25">
      <c r="A13" s="23">
        <v>44476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44477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44478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44479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44480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44481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44482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44483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44497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44499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18120</v>
      </c>
      <c r="R38" s="38">
        <f t="shared" ref="R38:AD38" si="62">SUM(R7:R37)</f>
        <v>24110</v>
      </c>
      <c r="S38" s="38">
        <f t="shared" si="62"/>
        <v>230</v>
      </c>
      <c r="T38" s="38">
        <f t="shared" si="62"/>
        <v>3200</v>
      </c>
      <c r="U38" s="38">
        <f t="shared" si="62"/>
        <v>8900</v>
      </c>
      <c r="V38" s="38">
        <f t="shared" si="62"/>
        <v>7380</v>
      </c>
      <c r="W38" s="38">
        <f t="shared" si="62"/>
        <v>4220</v>
      </c>
      <c r="X38" s="38">
        <f t="shared" si="62"/>
        <v>8860</v>
      </c>
      <c r="Y38" s="38">
        <f t="shared" si="62"/>
        <v>10850</v>
      </c>
      <c r="Z38" s="38">
        <f t="shared" si="62"/>
        <v>5180</v>
      </c>
      <c r="AA38" s="38">
        <f t="shared" si="62"/>
        <v>6360</v>
      </c>
      <c r="AB38" s="38">
        <f t="shared" si="62"/>
        <v>13640</v>
      </c>
      <c r="AC38" s="38">
        <f t="shared" si="62"/>
        <v>20050</v>
      </c>
      <c r="AD38" s="38">
        <f t="shared" si="62"/>
        <v>131100</v>
      </c>
      <c r="AF38" s="35">
        <f>SUM(AF7:AF37)</f>
        <v>90.6</v>
      </c>
      <c r="AG38" s="35">
        <f t="shared" ref="AG38:AS38" si="63">SUM(AG7:AG37)</f>
        <v>120.55000000000001</v>
      </c>
      <c r="AH38" s="35">
        <f t="shared" si="63"/>
        <v>1.1499999999999999</v>
      </c>
      <c r="AI38" s="35">
        <f t="shared" si="63"/>
        <v>16</v>
      </c>
      <c r="AJ38" s="35">
        <f t="shared" si="63"/>
        <v>44.5</v>
      </c>
      <c r="AK38" s="35">
        <f t="shared" si="63"/>
        <v>36.9</v>
      </c>
      <c r="AL38" s="35">
        <f t="shared" si="63"/>
        <v>21.1</v>
      </c>
      <c r="AM38" s="35">
        <f t="shared" si="63"/>
        <v>44.300000000000004</v>
      </c>
      <c r="AN38" s="35">
        <f t="shared" si="63"/>
        <v>54.25</v>
      </c>
      <c r="AO38" s="35">
        <f t="shared" si="63"/>
        <v>25.900000000000002</v>
      </c>
      <c r="AP38" s="35">
        <f t="shared" si="63"/>
        <v>31.8</v>
      </c>
      <c r="AQ38" s="35">
        <f t="shared" si="63"/>
        <v>68.2</v>
      </c>
      <c r="AR38" s="35">
        <f t="shared" si="63"/>
        <v>100.25</v>
      </c>
      <c r="AS38" s="35">
        <f t="shared" si="63"/>
        <v>655.5</v>
      </c>
      <c r="AU38" s="48"/>
      <c r="AV38" s="35">
        <f>SUM(AV7:AV34)</f>
        <v>4343</v>
      </c>
      <c r="AW38" s="35">
        <f>SUM(AW7:AW34)</f>
        <v>8.6859999999999999</v>
      </c>
    </row>
    <row r="39" spans="1:49" x14ac:dyDescent="0.25">
      <c r="D39">
        <v>5.0000000000000001E-3</v>
      </c>
      <c r="AV39" s="36">
        <f>AV38*0.00378541*1000</f>
        <v>16440.035630000002</v>
      </c>
    </row>
    <row r="40" spans="1:49" x14ac:dyDescent="0.25">
      <c r="D40">
        <v>2E-3</v>
      </c>
      <c r="AV40">
        <f>AV39/31</f>
        <v>530.32373000000007</v>
      </c>
    </row>
    <row r="41" spans="1:49" x14ac:dyDescent="0.25">
      <c r="AV41">
        <f>AV38*0.00378541</f>
        <v>16.440035630000001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2021-10-03T09:25:07Z</dcterms:modified>
</cp:coreProperties>
</file>