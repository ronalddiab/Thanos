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7"/>
  <workbookPr/>
  <mc:AlternateContent xmlns:mc="http://schemas.openxmlformats.org/markup-compatibility/2006">
    <mc:Choice Requires="x15">
      <x15ac:absPath xmlns:x15ac="http://schemas.microsoft.com/office/spreadsheetml/2010/11/ac" url="https://d.docs.live.net/a9752443a9c9f39d/EEG Docs/HEP/Four Seasons Files/New Files/Four Seasons/London Park Lane/"/>
    </mc:Choice>
  </mc:AlternateContent>
  <xr:revisionPtr revIDLastSave="48" documentId="13_ncr:1_{AD3B5EF6-CC33-47AB-9A7C-5E8CD46D378E}" xr6:coauthVersionLast="45" xr6:coauthVersionMax="45" xr10:uidLastSave="{BFA2E826-708C-413F-B4F1-17607F6040EC}"/>
  <bookViews>
    <workbookView xWindow="-110" yWindow="-110" windowWidth="19420" windowHeight="10420" tabRatio="193" xr2:uid="{00000000-000D-0000-FFFF-FFFF00000000}"/>
  </bookViews>
  <sheets>
    <sheet name="Monthly" sheetId="1" r:id="rId1"/>
    <sheet name="CHP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2" i="1" l="1"/>
  <c r="G40" i="1" l="1"/>
  <c r="G41" i="1" l="1"/>
  <c r="G38" i="1" l="1"/>
  <c r="G39" i="1"/>
  <c r="G28" i="1" l="1"/>
  <c r="G29" i="1"/>
  <c r="G30" i="1"/>
  <c r="G31" i="1"/>
  <c r="G32" i="1"/>
  <c r="G33" i="1"/>
  <c r="G34" i="1"/>
  <c r="G35" i="1"/>
  <c r="G36" i="1"/>
  <c r="G37" i="1"/>
  <c r="O38" i="1" l="1"/>
  <c r="G3" i="1" l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" i="1"/>
  <c r="D26" i="1" l="1"/>
  <c r="K5" i="2"/>
  <c r="K7" i="2" s="1"/>
  <c r="K10" i="2" s="1"/>
  <c r="J5" i="2"/>
  <c r="J7" i="2" s="1"/>
  <c r="J10" i="2" s="1"/>
  <c r="I5" i="2"/>
  <c r="I7" i="2" s="1"/>
  <c r="I10" i="2" s="1"/>
  <c r="H5" i="2"/>
  <c r="H7" i="2" s="1"/>
  <c r="H10" i="2" s="1"/>
  <c r="G5" i="2"/>
  <c r="G7" i="2" s="1"/>
  <c r="G10" i="2" s="1"/>
  <c r="F5" i="2"/>
  <c r="F7" i="2" s="1"/>
  <c r="F10" i="2" s="1"/>
  <c r="E5" i="2"/>
  <c r="E7" i="2" s="1"/>
  <c r="Q4" i="2"/>
  <c r="J21" i="1"/>
  <c r="J20" i="1"/>
  <c r="J19" i="1"/>
  <c r="J18" i="1"/>
  <c r="J16" i="1"/>
  <c r="J15" i="1"/>
  <c r="J14" i="1"/>
  <c r="I21" i="1"/>
  <c r="I22" i="1" s="1"/>
  <c r="I23" i="1" s="1"/>
  <c r="I24" i="1" s="1"/>
  <c r="I25" i="1" s="1"/>
  <c r="E2" i="1"/>
  <c r="L5" i="2"/>
  <c r="L7" i="2" s="1"/>
  <c r="L10" i="2" s="1"/>
  <c r="E10" i="2" l="1"/>
  <c r="J25" i="1"/>
  <c r="M5" i="2"/>
  <c r="J23" i="1"/>
  <c r="J24" i="1"/>
  <c r="J22" i="1"/>
  <c r="N5" i="2" l="1"/>
  <c r="M7" i="2"/>
  <c r="M10" i="2" l="1"/>
  <c r="N7" i="2"/>
  <c r="N10" i="2" s="1"/>
  <c r="O5" i="2"/>
  <c r="O7" i="2" l="1"/>
  <c r="P5" i="2"/>
  <c r="P7" i="2" s="1"/>
  <c r="P10" i="2" s="1"/>
  <c r="Q5" i="2"/>
  <c r="O10" i="2" l="1"/>
  <c r="Q7" i="2"/>
</calcChain>
</file>

<file path=xl/sharedStrings.xml><?xml version="1.0" encoding="utf-8"?>
<sst xmlns="http://schemas.openxmlformats.org/spreadsheetml/2006/main" count="77" uniqueCount="30">
  <si>
    <t>Site Name</t>
  </si>
  <si>
    <t>Month</t>
  </si>
  <si>
    <t>Year</t>
  </si>
  <si>
    <t>Purchased Electricity Kwh</t>
  </si>
  <si>
    <t>Purchased Electricity Tariff ($/Kwh)</t>
  </si>
  <si>
    <t>Onsite Generators Kwh</t>
  </si>
  <si>
    <t>Onsite Generators Cost ($)</t>
  </si>
  <si>
    <t>Natural Gas Hot-Water Boilers (m3) m3</t>
  </si>
  <si>
    <t>Natural Gas Hot-Water Boilers (m3) $/m3</t>
  </si>
  <si>
    <t>Water Utility Supply (m3) m3</t>
  </si>
  <si>
    <t>Water Utility Supply (m3) $/m3</t>
  </si>
  <si>
    <t xml:space="preserve">Room Nights </t>
  </si>
  <si>
    <t xml:space="preserve">Electricity Total Budgeted </t>
  </si>
  <si>
    <r>
      <t>Electricity Total Budgeted Cost ($</t>
    </r>
    <r>
      <rPr>
        <b/>
        <sz val="10"/>
        <color indexed="30"/>
        <rFont val="Arial"/>
        <family val="2"/>
      </rPr>
      <t xml:space="preserve">) </t>
    </r>
  </si>
  <si>
    <t xml:space="preserve">Natural Gas Total Budgeted </t>
  </si>
  <si>
    <r>
      <t>Natural Gas Total Budgeted Cost ($</t>
    </r>
    <r>
      <rPr>
        <b/>
        <sz val="10"/>
        <color indexed="30"/>
        <rFont val="Arial"/>
        <family val="2"/>
      </rPr>
      <t xml:space="preserve">) </t>
    </r>
  </si>
  <si>
    <t>Water Total Budgeted</t>
  </si>
  <si>
    <r>
      <t>Water Total Budgeted Cost ($</t>
    </r>
    <r>
      <rPr>
        <b/>
        <sz val="10"/>
        <color indexed="30"/>
        <rFont val="Arial"/>
        <family val="2"/>
      </rPr>
      <t>)</t>
    </r>
  </si>
  <si>
    <t>Forex</t>
  </si>
  <si>
    <t>London at Park Lane</t>
  </si>
  <si>
    <t xml:space="preserve"> </t>
  </si>
  <si>
    <t>Ener-G</t>
  </si>
  <si>
    <t>Total</t>
  </si>
  <si>
    <t>Consumption (kWh)</t>
  </si>
  <si>
    <t>Fixed Charges</t>
  </si>
  <si>
    <t>Unit rate</t>
  </si>
  <si>
    <t>Total bill</t>
  </si>
  <si>
    <t>CHP Gas m3</t>
  </si>
  <si>
    <t>Gas Cost</t>
  </si>
  <si>
    <t xml:space="preserve">TOTAL CHP COST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</si>
</sst>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&quot;£&quot;* #,##0.00_-;\-&quot;£&quot;* #,##0.00_-;_-&quot;£&quot;* &quot;-&quot;??_-;_-@_-"/>
    <numFmt numFmtId="165" formatCode="0.000"/>
    <numFmt numFmtId="166" formatCode="_-* #,##0_-;\-* #,##0_-;_-* &quot;-&quot;??_-;_-@_-"/>
    <numFmt numFmtId="167" formatCode="0_);\(0\)"/>
    <numFmt numFmtId="168" formatCode="_-* #,##0.0000_-;\-* #,##0.0000_-;_-* &quot;-&quot;??_-;_-@_-"/>
    <numFmt numFmtId="169" formatCode="_-&quot;£&quot;* #,##0.0000_-;\-&quot;£&quot;* #,##0.0000_-;_-&quot;£&quot;* &quot;-&quot;??_-;_-@_-"/>
    <numFmt numFmtId="170" formatCode="_(* #,##0.000_);_(* \(#,##0.000\);_(* &quot;-&quot;???_);_(@_)"/>
  </numFmts>
  <fonts count="13"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0"/>
      <color indexed="30"/>
      <name val="Arial"/>
      <family val="2"/>
    </font>
    <font>
      <b/>
      <sz val="11"/>
      <color theme="1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sz val="10"/>
      <color rgb="FF0070C0"/>
      <name val="Arial"/>
      <family val="2"/>
    </font>
    <font>
      <b/>
      <sz val="11"/>
      <name val="Calibri"/>
      <family val="2"/>
      <scheme val="minor"/>
    </font>
    <font>
      <b/>
      <sz val="10"/>
      <color rgb="FF0070C0"/>
      <name val="Arial"/>
      <family val="2"/>
    </font>
    <font>
      <sz val="10"/>
      <color theme="4" tint="-0.24997711111789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3" tint="0.79998168889431442"/>
        <bgColor theme="0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ill="0" applyBorder="0" applyAlignment="0" applyProtection="0"/>
  </cellStyleXfs>
  <cellXfs count="45">
    <xf numFmtId="0" fontId="0" fillId="0" borderId="0" xfId="0"/>
    <xf numFmtId="0" fontId="6" fillId="0" borderId="0" xfId="0" applyFont="1"/>
    <xf numFmtId="0" fontId="2" fillId="0" borderId="0" xfId="0" applyFont="1"/>
    <xf numFmtId="0" fontId="2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 wrapText="1"/>
    </xf>
    <xf numFmtId="0" fontId="2" fillId="0" borderId="0" xfId="0" applyFont="1" applyBorder="1" applyAlignment="1">
      <alignment horizontal="center" wrapText="1"/>
    </xf>
    <xf numFmtId="1" fontId="6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0" fillId="2" borderId="0" xfId="0" applyFont="1" applyFill="1" applyAlignment="1">
      <alignment horizontal="center"/>
    </xf>
    <xf numFmtId="165" fontId="0" fillId="0" borderId="0" xfId="0" applyNumberFormat="1" applyFont="1" applyAlignment="1">
      <alignment horizontal="center"/>
    </xf>
    <xf numFmtId="2" fontId="0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5" fontId="0" fillId="0" borderId="0" xfId="0" applyNumberFormat="1" applyFont="1" applyAlignment="1">
      <alignment horizontal="center" wrapText="1"/>
    </xf>
    <xf numFmtId="1" fontId="3" fillId="3" borderId="0" xfId="0" applyNumberFormat="1" applyFont="1" applyFill="1" applyBorder="1" applyAlignment="1">
      <alignment horizontal="center"/>
    </xf>
    <xf numFmtId="2" fontId="0" fillId="0" borderId="0" xfId="0" applyNumberFormat="1" applyFont="1" applyAlignment="1">
      <alignment horizontal="center" wrapText="1"/>
    </xf>
    <xf numFmtId="0" fontId="7" fillId="0" borderId="1" xfId="0" applyFont="1" applyBorder="1" applyAlignment="1">
      <alignment horizontal="center"/>
    </xf>
    <xf numFmtId="167" fontId="0" fillId="0" borderId="0" xfId="1" applyNumberFormat="1" applyFont="1" applyAlignment="1">
      <alignment horizontal="center"/>
    </xf>
    <xf numFmtId="167" fontId="8" fillId="0" borderId="0" xfId="1" applyNumberFormat="1" applyFont="1" applyAlignment="1">
      <alignment horizontal="center"/>
    </xf>
    <xf numFmtId="0" fontId="5" fillId="4" borderId="0" xfId="0" applyFont="1" applyFill="1" applyAlignment="1">
      <alignment horizontal="center" vertical="center"/>
    </xf>
    <xf numFmtId="17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/>
    </xf>
    <xf numFmtId="166" fontId="5" fillId="4" borderId="0" xfId="0" applyNumberFormat="1" applyFont="1" applyFill="1"/>
    <xf numFmtId="43" fontId="0" fillId="0" borderId="0" xfId="1" applyFont="1"/>
    <xf numFmtId="166" fontId="5" fillId="4" borderId="0" xfId="1" applyNumberFormat="1" applyFont="1" applyFill="1"/>
    <xf numFmtId="168" fontId="0" fillId="0" borderId="0" xfId="1" applyNumberFormat="1" applyFont="1"/>
    <xf numFmtId="169" fontId="5" fillId="4" borderId="0" xfId="0" applyNumberFormat="1" applyFont="1" applyFill="1"/>
    <xf numFmtId="0" fontId="5" fillId="0" borderId="0" xfId="0" applyFont="1"/>
    <xf numFmtId="0" fontId="5" fillId="4" borderId="0" xfId="0" applyFont="1" applyFill="1"/>
    <xf numFmtId="164" fontId="5" fillId="4" borderId="0" xfId="1" applyNumberFormat="1" applyFont="1" applyFill="1"/>
    <xf numFmtId="167" fontId="5" fillId="5" borderId="0" xfId="1" applyNumberFormat="1" applyFont="1" applyFill="1"/>
    <xf numFmtId="0" fontId="5" fillId="6" borderId="0" xfId="0" applyFont="1" applyFill="1"/>
    <xf numFmtId="0" fontId="10" fillId="0" borderId="0" xfId="0" applyFont="1"/>
    <xf numFmtId="0" fontId="10" fillId="2" borderId="0" xfId="0" applyFont="1" applyFill="1"/>
    <xf numFmtId="170" fontId="10" fillId="2" borderId="0" xfId="0" applyNumberFormat="1" applyFont="1" applyFill="1"/>
    <xf numFmtId="0" fontId="11" fillId="0" borderId="1" xfId="0" applyFont="1" applyBorder="1" applyAlignment="1">
      <alignment horizontal="center" wrapText="1"/>
    </xf>
    <xf numFmtId="0" fontId="9" fillId="0" borderId="0" xfId="0" applyFont="1" applyAlignment="1">
      <alignment horizontal="center"/>
    </xf>
    <xf numFmtId="0" fontId="9" fillId="0" borderId="0" xfId="0" applyFont="1"/>
    <xf numFmtId="1" fontId="0" fillId="0" borderId="0" xfId="0" applyNumberFormat="1" applyFont="1" applyAlignment="1">
      <alignment horizontal="center"/>
    </xf>
    <xf numFmtId="1" fontId="12" fillId="0" borderId="0" xfId="0" applyNumberFormat="1" applyFont="1" applyAlignment="1">
      <alignment horizontal="center"/>
    </xf>
    <xf numFmtId="167" fontId="12" fillId="0" borderId="0" xfId="0" applyNumberFormat="1" applyFont="1" applyAlignment="1">
      <alignment horizontal="center"/>
    </xf>
    <xf numFmtId="167" fontId="12" fillId="0" borderId="0" xfId="1" applyNumberFormat="1" applyFont="1" applyAlignment="1">
      <alignment horizontal="center"/>
    </xf>
    <xf numFmtId="1" fontId="0" fillId="0" borderId="0" xfId="0" applyNumberFormat="1" applyFont="1" applyAlignment="1">
      <alignment horizontal="center" wrapText="1"/>
    </xf>
    <xf numFmtId="1" fontId="0" fillId="0" borderId="0" xfId="0" applyNumberForma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47"/>
  <sheetViews>
    <sheetView tabSelected="1" zoomScale="115" zoomScaleNormal="115" workbookViewId="0">
      <selection activeCell="D43" sqref="D43"/>
    </sheetView>
  </sheetViews>
  <sheetFormatPr defaultColWidth="11.5703125" defaultRowHeight="12.6"/>
  <cols>
    <col min="1" max="1" width="29.42578125" style="12" customWidth="1"/>
    <col min="2" max="2" width="6.42578125" style="12" bestFit="1" customWidth="1"/>
    <col min="3" max="3" width="13.42578125" style="12" customWidth="1"/>
    <col min="4" max="5" width="12.5703125" style="8" customWidth="1"/>
    <col min="6" max="12" width="11.5703125" style="8"/>
    <col min="13" max="18" width="11.5703125" style="37"/>
    <col min="19" max="19" width="11.5703125" style="8"/>
  </cols>
  <sheetData>
    <row r="1" spans="1:19" s="2" customFormat="1" ht="51.95">
      <c r="A1" s="16" t="s">
        <v>0</v>
      </c>
      <c r="B1" s="16" t="s">
        <v>1</v>
      </c>
      <c r="C1" s="16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6" t="s">
        <v>11</v>
      </c>
      <c r="M1" s="36" t="s">
        <v>12</v>
      </c>
      <c r="N1" s="36" t="s">
        <v>13</v>
      </c>
      <c r="O1" s="36" t="s">
        <v>14</v>
      </c>
      <c r="P1" s="36" t="s">
        <v>15</v>
      </c>
      <c r="Q1" s="36" t="s">
        <v>16</v>
      </c>
      <c r="R1" s="36" t="s">
        <v>17</v>
      </c>
      <c r="S1" s="3" t="s">
        <v>18</v>
      </c>
    </row>
    <row r="2" spans="1:19" hidden="1">
      <c r="A2" s="12" t="s">
        <v>19</v>
      </c>
      <c r="B2" s="12">
        <v>1</v>
      </c>
      <c r="C2" s="7">
        <v>2017</v>
      </c>
      <c r="D2" s="5">
        <v>445200</v>
      </c>
      <c r="E2" s="13">
        <f>49691/D2</f>
        <v>0.11161500449236299</v>
      </c>
      <c r="F2" s="39">
        <v>118606</v>
      </c>
      <c r="G2" s="39">
        <f>F2*0.0302</f>
        <v>3581.9012000000002</v>
      </c>
      <c r="H2" s="43">
        <v>77845.415204678357</v>
      </c>
      <c r="I2" s="13">
        <v>0.23783031988873435</v>
      </c>
      <c r="J2" s="5">
        <v>3507</v>
      </c>
      <c r="K2" s="5">
        <v>2.23</v>
      </c>
      <c r="L2" s="14">
        <v>3997</v>
      </c>
      <c r="M2" s="22"/>
      <c r="N2" s="22"/>
      <c r="O2" s="22"/>
      <c r="P2" s="22"/>
      <c r="Q2" s="22"/>
      <c r="S2" s="9">
        <v>1.2588999999999999</v>
      </c>
    </row>
    <row r="3" spans="1:19" hidden="1">
      <c r="A3" s="12" t="s">
        <v>19</v>
      </c>
      <c r="B3" s="12">
        <v>2</v>
      </c>
      <c r="C3" s="7">
        <v>2017</v>
      </c>
      <c r="D3" s="5">
        <v>409800</v>
      </c>
      <c r="E3" s="13">
        <v>0.112</v>
      </c>
      <c r="F3" s="39">
        <v>107208</v>
      </c>
      <c r="G3" s="39">
        <f t="shared" ref="G3:G40" si="0">F3*0.0302</f>
        <v>3237.6816000000003</v>
      </c>
      <c r="H3" s="43">
        <v>66983.415204678371</v>
      </c>
      <c r="I3" s="13">
        <v>0.23783031988873435</v>
      </c>
      <c r="J3" s="5">
        <v>3386</v>
      </c>
      <c r="K3" s="5">
        <v>2.23</v>
      </c>
      <c r="L3" s="14">
        <v>3911</v>
      </c>
      <c r="M3" s="22"/>
      <c r="N3" s="22"/>
      <c r="O3" s="22"/>
      <c r="P3" s="22"/>
      <c r="Q3" s="22"/>
      <c r="S3" s="8">
        <v>1.2444999999999999</v>
      </c>
    </row>
    <row r="4" spans="1:19" hidden="1">
      <c r="A4" s="12" t="s">
        <v>19</v>
      </c>
      <c r="B4" s="7">
        <v>3</v>
      </c>
      <c r="C4" s="7">
        <v>2017</v>
      </c>
      <c r="D4" s="39">
        <v>469800</v>
      </c>
      <c r="E4" s="13">
        <v>0.112</v>
      </c>
      <c r="F4" s="39">
        <v>104291</v>
      </c>
      <c r="G4" s="39">
        <f t="shared" si="0"/>
        <v>3149.5882000000001</v>
      </c>
      <c r="H4" s="39">
        <v>64340.415204678364</v>
      </c>
      <c r="I4" s="13">
        <v>0.23783031988873435</v>
      </c>
      <c r="J4" s="39">
        <v>3911</v>
      </c>
      <c r="K4" s="5">
        <v>2.23</v>
      </c>
      <c r="L4" s="14">
        <v>4826</v>
      </c>
      <c r="M4" s="22"/>
      <c r="N4" s="22"/>
      <c r="O4" s="22"/>
      <c r="P4" s="22"/>
      <c r="Q4" s="22"/>
      <c r="S4" s="8">
        <v>1.2506999999999999</v>
      </c>
    </row>
    <row r="5" spans="1:19" hidden="1">
      <c r="A5" s="12" t="s">
        <v>19</v>
      </c>
      <c r="B5" s="7">
        <v>4</v>
      </c>
      <c r="C5" s="7">
        <v>2017</v>
      </c>
      <c r="D5" s="39">
        <v>455600</v>
      </c>
      <c r="E5" s="13">
        <v>0.112</v>
      </c>
      <c r="F5" s="39">
        <v>101818</v>
      </c>
      <c r="G5" s="39">
        <f t="shared" si="0"/>
        <v>3074.9036000000001</v>
      </c>
      <c r="H5" s="39">
        <v>59060.415204678357</v>
      </c>
      <c r="I5" s="13">
        <v>0.23783031988873435</v>
      </c>
      <c r="J5" s="39">
        <v>3725</v>
      </c>
      <c r="K5" s="5">
        <v>2.23</v>
      </c>
      <c r="L5" s="14">
        <v>4550</v>
      </c>
      <c r="M5" s="22"/>
      <c r="N5" s="22"/>
      <c r="O5" s="22"/>
      <c r="P5" s="22"/>
      <c r="Q5" s="22"/>
      <c r="S5" s="8">
        <v>1.2938000000000001</v>
      </c>
    </row>
    <row r="6" spans="1:19" hidden="1">
      <c r="A6" s="12" t="s">
        <v>19</v>
      </c>
      <c r="B6" s="7">
        <v>5</v>
      </c>
      <c r="C6" s="7">
        <v>2017</v>
      </c>
      <c r="D6" s="39">
        <v>489100</v>
      </c>
      <c r="E6" s="13">
        <v>0.112</v>
      </c>
      <c r="F6" s="39">
        <v>117059</v>
      </c>
      <c r="G6" s="39">
        <f t="shared" si="0"/>
        <v>3535.1818000000003</v>
      </c>
      <c r="H6" s="39">
        <v>53767.415204678371</v>
      </c>
      <c r="I6" s="13">
        <v>0.23783031988873435</v>
      </c>
      <c r="J6" s="39">
        <v>3998</v>
      </c>
      <c r="K6" s="5">
        <v>2.23</v>
      </c>
      <c r="L6" s="14">
        <v>5039</v>
      </c>
      <c r="M6" s="22"/>
      <c r="N6" s="22"/>
      <c r="O6" s="22"/>
      <c r="P6" s="22"/>
      <c r="Q6" s="22"/>
      <c r="S6" s="8">
        <v>1.2911999999999999</v>
      </c>
    </row>
    <row r="7" spans="1:19" hidden="1">
      <c r="A7" s="12" t="s">
        <v>19</v>
      </c>
      <c r="B7" s="7">
        <v>6</v>
      </c>
      <c r="C7" s="7">
        <v>2017</v>
      </c>
      <c r="D7" s="39">
        <v>508300</v>
      </c>
      <c r="E7" s="13">
        <v>0.112</v>
      </c>
      <c r="F7" s="39">
        <v>113471</v>
      </c>
      <c r="G7" s="39">
        <f t="shared" si="0"/>
        <v>3426.8242</v>
      </c>
      <c r="H7" s="39">
        <v>47332.415204678364</v>
      </c>
      <c r="I7" s="13">
        <v>0.23783031988873435</v>
      </c>
      <c r="J7" s="39">
        <v>3560</v>
      </c>
      <c r="K7" s="5">
        <v>2.23</v>
      </c>
      <c r="L7" s="14">
        <v>4359</v>
      </c>
      <c r="M7" s="22"/>
      <c r="N7" s="22"/>
      <c r="O7" s="22"/>
      <c r="P7" s="22"/>
      <c r="Q7" s="22"/>
      <c r="S7" s="8">
        <v>1.2989999999999999</v>
      </c>
    </row>
    <row r="8" spans="1:19" ht="12.75" hidden="1" customHeight="1">
      <c r="A8" s="12" t="s">
        <v>19</v>
      </c>
      <c r="B8" s="7">
        <v>7</v>
      </c>
      <c r="C8" s="7">
        <v>2017</v>
      </c>
      <c r="D8" s="39">
        <v>521700</v>
      </c>
      <c r="E8" s="13">
        <v>0.112</v>
      </c>
      <c r="F8" s="39">
        <v>119922</v>
      </c>
      <c r="G8" s="39">
        <f t="shared" si="0"/>
        <v>3621.6444000000001</v>
      </c>
      <c r="H8" s="39">
        <v>48583.415204678364</v>
      </c>
      <c r="I8" s="13">
        <v>0.23783031988873435</v>
      </c>
      <c r="J8" s="39">
        <v>4045</v>
      </c>
      <c r="K8" s="5">
        <v>2.23</v>
      </c>
      <c r="L8" s="14">
        <v>4840</v>
      </c>
      <c r="M8" s="22"/>
      <c r="N8" s="22"/>
      <c r="O8" s="22"/>
      <c r="P8" s="22"/>
      <c r="Q8" s="22"/>
      <c r="S8" s="8">
        <v>1.3180000000000001</v>
      </c>
    </row>
    <row r="9" spans="1:19" hidden="1">
      <c r="A9" s="12" t="s">
        <v>19</v>
      </c>
      <c r="B9" s="7">
        <v>8</v>
      </c>
      <c r="C9" s="7">
        <v>2017</v>
      </c>
      <c r="D9" s="39">
        <v>510700</v>
      </c>
      <c r="E9" s="13">
        <v>0.112</v>
      </c>
      <c r="F9" s="39">
        <v>103684</v>
      </c>
      <c r="G9" s="39">
        <f t="shared" si="0"/>
        <v>3131.2568000000001</v>
      </c>
      <c r="H9" s="39">
        <v>45480.415204678364</v>
      </c>
      <c r="I9" s="13">
        <v>0.23783031988873435</v>
      </c>
      <c r="J9" s="39">
        <v>3555</v>
      </c>
      <c r="K9" s="5">
        <v>2.23</v>
      </c>
      <c r="L9" s="14">
        <v>4145</v>
      </c>
      <c r="M9" s="22"/>
      <c r="N9" s="22"/>
      <c r="O9" s="22"/>
      <c r="P9" s="22"/>
      <c r="Q9" s="22"/>
      <c r="S9" s="8">
        <v>1.288</v>
      </c>
    </row>
    <row r="10" spans="1:19" hidden="1">
      <c r="A10" s="12" t="s">
        <v>19</v>
      </c>
      <c r="B10" s="7">
        <v>9</v>
      </c>
      <c r="C10" s="7">
        <v>2017</v>
      </c>
      <c r="D10" s="39">
        <v>471400</v>
      </c>
      <c r="E10" s="13">
        <v>0.112</v>
      </c>
      <c r="F10" s="39">
        <v>116294</v>
      </c>
      <c r="G10" s="39">
        <f t="shared" si="0"/>
        <v>3512.0788000000002</v>
      </c>
      <c r="H10" s="39">
        <v>50213.415204678364</v>
      </c>
      <c r="I10" s="13">
        <v>0.23783031988873435</v>
      </c>
      <c r="J10" s="39">
        <v>3736</v>
      </c>
      <c r="K10" s="5">
        <v>2.23</v>
      </c>
      <c r="L10" s="14">
        <v>4964</v>
      </c>
      <c r="M10" s="22"/>
      <c r="N10" s="22"/>
      <c r="O10" s="22"/>
      <c r="P10" s="22"/>
      <c r="Q10" s="22"/>
      <c r="S10" s="8">
        <v>1.3418000000000001</v>
      </c>
    </row>
    <row r="11" spans="1:19" hidden="1">
      <c r="A11" s="12" t="s">
        <v>19</v>
      </c>
      <c r="B11" s="7">
        <v>10</v>
      </c>
      <c r="C11" s="7">
        <v>2017</v>
      </c>
      <c r="D11" s="39">
        <v>471700</v>
      </c>
      <c r="E11" s="13">
        <v>0.112</v>
      </c>
      <c r="F11" s="39">
        <v>114873</v>
      </c>
      <c r="G11" s="39">
        <f t="shared" si="0"/>
        <v>3469.1646000000001</v>
      </c>
      <c r="H11" s="39">
        <v>51899.415204678364</v>
      </c>
      <c r="I11" s="13">
        <v>0.23783031988873435</v>
      </c>
      <c r="J11" s="39">
        <v>3385</v>
      </c>
      <c r="K11" s="5">
        <v>2.23</v>
      </c>
      <c r="L11" s="14">
        <v>4140</v>
      </c>
      <c r="M11" s="22"/>
      <c r="N11" s="22"/>
      <c r="O11" s="22"/>
      <c r="P11" s="22"/>
      <c r="Q11" s="22"/>
      <c r="S11" s="8">
        <v>1.3280000000000001</v>
      </c>
    </row>
    <row r="12" spans="1:19" hidden="1">
      <c r="A12" s="12" t="s">
        <v>19</v>
      </c>
      <c r="B12" s="7">
        <v>11</v>
      </c>
      <c r="C12" s="7">
        <v>2017</v>
      </c>
      <c r="D12" s="39">
        <v>447700</v>
      </c>
      <c r="E12" s="13">
        <v>0.112</v>
      </c>
      <c r="F12" s="39">
        <v>112932</v>
      </c>
      <c r="G12" s="39">
        <f t="shared" si="0"/>
        <v>3410.5464000000002</v>
      </c>
      <c r="H12" s="39">
        <v>68069.415204678371</v>
      </c>
      <c r="I12" s="13">
        <v>0.23783031988873435</v>
      </c>
      <c r="J12" s="39">
        <v>3670</v>
      </c>
      <c r="K12" s="5">
        <v>2.23</v>
      </c>
      <c r="L12" s="14">
        <v>4483</v>
      </c>
      <c r="M12" s="22"/>
      <c r="N12" s="22"/>
      <c r="O12" s="22"/>
      <c r="P12" s="22"/>
      <c r="Q12" s="22"/>
      <c r="S12" s="8">
        <v>1.353</v>
      </c>
    </row>
    <row r="13" spans="1:19" hidden="1">
      <c r="A13" s="12" t="s">
        <v>19</v>
      </c>
      <c r="B13" s="7">
        <v>12</v>
      </c>
      <c r="C13" s="7">
        <v>2017</v>
      </c>
      <c r="D13" s="39">
        <v>456300</v>
      </c>
      <c r="E13" s="13">
        <v>0.112</v>
      </c>
      <c r="F13" s="39">
        <v>119190</v>
      </c>
      <c r="G13" s="39">
        <f t="shared" si="0"/>
        <v>3599.538</v>
      </c>
      <c r="H13" s="39">
        <v>78899.415204678371</v>
      </c>
      <c r="I13" s="13">
        <v>0.23783031988873435</v>
      </c>
      <c r="J13" s="39">
        <v>4000</v>
      </c>
      <c r="K13" s="5">
        <v>2.23</v>
      </c>
      <c r="L13" s="14">
        <v>4337</v>
      </c>
      <c r="M13" s="22"/>
      <c r="N13" s="22"/>
      <c r="O13" s="22"/>
      <c r="P13" s="22"/>
      <c r="Q13" s="22"/>
      <c r="S13" s="8">
        <v>1.351</v>
      </c>
    </row>
    <row r="14" spans="1:19" hidden="1">
      <c r="A14" s="12" t="s">
        <v>19</v>
      </c>
      <c r="B14" s="7">
        <v>1</v>
      </c>
      <c r="C14" s="7">
        <v>2018</v>
      </c>
      <c r="D14" s="39">
        <v>451800</v>
      </c>
      <c r="E14" s="10">
        <v>0.10897064267365832</v>
      </c>
      <c r="F14" s="39">
        <v>120017</v>
      </c>
      <c r="G14" s="39">
        <f t="shared" si="0"/>
        <v>3624.5134000000003</v>
      </c>
      <c r="H14" s="39">
        <v>78531.389055528547</v>
      </c>
      <c r="I14" s="11">
        <v>0.2507969308423203</v>
      </c>
      <c r="J14" s="17">
        <f>(5007+5996+213922+146631)-(4936+5947+212591+144538)</f>
        <v>3544</v>
      </c>
      <c r="K14" s="11">
        <v>2.2742367945823929</v>
      </c>
      <c r="L14" s="39">
        <v>4135</v>
      </c>
      <c r="M14" s="22"/>
      <c r="N14" s="22"/>
      <c r="O14" s="22"/>
      <c r="P14" s="22"/>
      <c r="Q14" s="22"/>
      <c r="S14" s="8">
        <v>1.4220999999999999</v>
      </c>
    </row>
    <row r="15" spans="1:19" hidden="1">
      <c r="A15" s="12" t="s">
        <v>19</v>
      </c>
      <c r="B15" s="7">
        <v>2</v>
      </c>
      <c r="C15" s="7">
        <v>2018</v>
      </c>
      <c r="D15" s="39">
        <v>399300</v>
      </c>
      <c r="E15" s="10">
        <v>0.10910711749462963</v>
      </c>
      <c r="F15" s="39">
        <v>108169</v>
      </c>
      <c r="G15" s="39">
        <f t="shared" si="0"/>
        <v>3266.7038000000002</v>
      </c>
      <c r="H15" s="39">
        <v>76857.940367913543</v>
      </c>
      <c r="I15" s="11">
        <v>0.26476525147031532</v>
      </c>
      <c r="J15" s="17">
        <f>(5071+6034+215010+148547)-(5007+5996+213922+146631)</f>
        <v>3106</v>
      </c>
      <c r="K15" s="11">
        <v>2.2884931745009656</v>
      </c>
      <c r="L15" s="39">
        <v>3649</v>
      </c>
      <c r="M15" s="22"/>
      <c r="N15" s="22"/>
      <c r="O15" s="22"/>
      <c r="P15" s="22"/>
      <c r="Q15" s="22"/>
      <c r="S15" s="8">
        <v>1.3779999999999999</v>
      </c>
    </row>
    <row r="16" spans="1:19" hidden="1">
      <c r="A16" s="12" t="s">
        <v>19</v>
      </c>
      <c r="B16" s="7">
        <v>3</v>
      </c>
      <c r="C16" s="7">
        <v>2018</v>
      </c>
      <c r="D16" s="39">
        <v>452500</v>
      </c>
      <c r="E16" s="10">
        <v>0.10917176776649186</v>
      </c>
      <c r="F16" s="39">
        <v>106714</v>
      </c>
      <c r="G16" s="39">
        <f t="shared" si="0"/>
        <v>3222.7628</v>
      </c>
      <c r="H16" s="39">
        <v>74779.029932405989</v>
      </c>
      <c r="I16" s="11">
        <v>0.27803911479727889</v>
      </c>
      <c r="J16" s="17">
        <f>(5150+6078+216128+151016)-(5071+6034+215010+148547)</f>
        <v>3710</v>
      </c>
      <c r="K16" s="11">
        <v>2.253388948787062</v>
      </c>
      <c r="L16" s="39">
        <v>4295</v>
      </c>
      <c r="M16" s="22"/>
      <c r="N16" s="22"/>
      <c r="O16" s="22"/>
      <c r="P16" s="22"/>
      <c r="Q16" s="22"/>
      <c r="S16" s="8">
        <v>1.403</v>
      </c>
    </row>
    <row r="17" spans="1:19" s="38" customFormat="1" hidden="1">
      <c r="A17" s="12" t="s">
        <v>19</v>
      </c>
      <c r="B17" s="7">
        <v>4</v>
      </c>
      <c r="C17" s="7">
        <v>2018</v>
      </c>
      <c r="D17" s="39">
        <v>457200</v>
      </c>
      <c r="E17" s="10">
        <v>0.10903436652417371</v>
      </c>
      <c r="F17" s="39">
        <v>112126</v>
      </c>
      <c r="G17" s="39">
        <f t="shared" si="0"/>
        <v>3386.2052000000003</v>
      </c>
      <c r="H17" s="39">
        <v>61805.836872504224</v>
      </c>
      <c r="I17" s="11">
        <v>0.24463560202646389</v>
      </c>
      <c r="J17" s="17">
        <v>3734</v>
      </c>
      <c r="K17" s="11">
        <v>2.3034020353508304</v>
      </c>
      <c r="L17" s="39">
        <v>4326</v>
      </c>
      <c r="M17" s="22"/>
      <c r="N17" s="22"/>
      <c r="O17" s="22"/>
      <c r="P17" s="22"/>
      <c r="Q17" s="22"/>
      <c r="R17" s="37"/>
      <c r="S17" s="37">
        <v>1.3777999999999999</v>
      </c>
    </row>
    <row r="18" spans="1:19" hidden="1">
      <c r="A18" s="12" t="s">
        <v>19</v>
      </c>
      <c r="B18" s="7">
        <v>5</v>
      </c>
      <c r="C18" s="7">
        <v>2018</v>
      </c>
      <c r="D18" s="39">
        <v>482000</v>
      </c>
      <c r="E18" s="10">
        <v>0.10908437692652347</v>
      </c>
      <c r="F18" s="39">
        <v>118196</v>
      </c>
      <c r="G18" s="39">
        <f t="shared" si="0"/>
        <v>3569.5192000000002</v>
      </c>
      <c r="H18" s="39">
        <v>52153.247929126432</v>
      </c>
      <c r="I18" s="11">
        <v>0.25570668258645624</v>
      </c>
      <c r="J18" s="17">
        <f>74+38+957+2186</f>
        <v>3255</v>
      </c>
      <c r="K18" s="11">
        <v>2.4052278033794163</v>
      </c>
      <c r="L18" s="39">
        <v>4111</v>
      </c>
      <c r="M18" s="22"/>
      <c r="N18" s="22"/>
      <c r="O18" s="22"/>
      <c r="P18" s="22"/>
      <c r="Q18" s="22"/>
      <c r="S18" s="8">
        <v>1.3308</v>
      </c>
    </row>
    <row r="19" spans="1:19" hidden="1">
      <c r="A19" s="12" t="s">
        <v>19</v>
      </c>
      <c r="B19" s="7">
        <v>6</v>
      </c>
      <c r="C19" s="7">
        <v>2018</v>
      </c>
      <c r="D19" s="39">
        <v>498700</v>
      </c>
      <c r="E19" s="10">
        <v>0.10889305004280016</v>
      </c>
      <c r="F19" s="39">
        <v>116295</v>
      </c>
      <c r="G19" s="39">
        <f t="shared" si="0"/>
        <v>3512.1089999999999</v>
      </c>
      <c r="H19" s="39">
        <v>48061.232854531081</v>
      </c>
      <c r="I19" s="15">
        <v>0.20044317545542228</v>
      </c>
      <c r="J19" s="17">
        <f>75+42+1033+2253</f>
        <v>3403</v>
      </c>
      <c r="K19" s="11">
        <v>2.3497781075521602</v>
      </c>
      <c r="L19" s="39">
        <v>4158</v>
      </c>
      <c r="M19" s="22"/>
      <c r="N19" s="22"/>
      <c r="O19" s="22"/>
      <c r="P19" s="22"/>
      <c r="Q19" s="22"/>
      <c r="S19" s="8">
        <v>1.3203</v>
      </c>
    </row>
    <row r="20" spans="1:19" hidden="1">
      <c r="A20" s="12" t="s">
        <v>19</v>
      </c>
      <c r="B20" s="7">
        <v>7</v>
      </c>
      <c r="C20" s="7">
        <v>2018</v>
      </c>
      <c r="D20" s="39">
        <v>579600</v>
      </c>
      <c r="E20" s="10">
        <v>0.10818122693365481</v>
      </c>
      <c r="F20" s="39">
        <v>105163</v>
      </c>
      <c r="G20" s="39">
        <f t="shared" si="0"/>
        <v>3175.9226000000003</v>
      </c>
      <c r="H20" s="39">
        <v>46165.272408794393</v>
      </c>
      <c r="I20" s="11">
        <v>0.25512900304306657</v>
      </c>
      <c r="J20" s="17">
        <f>91+50+1260+2806</f>
        <v>4207</v>
      </c>
      <c r="K20" s="11">
        <v>2.2707459234608982</v>
      </c>
      <c r="L20" s="39">
        <v>5490</v>
      </c>
      <c r="M20" s="22"/>
      <c r="N20" s="22"/>
      <c r="O20" s="22"/>
      <c r="P20" s="22"/>
      <c r="Q20" s="22"/>
      <c r="S20" s="8">
        <v>1.3117000000000001</v>
      </c>
    </row>
    <row r="21" spans="1:19" hidden="1">
      <c r="A21" s="12" t="s">
        <v>19</v>
      </c>
      <c r="B21" s="7">
        <v>8</v>
      </c>
      <c r="C21" s="7">
        <v>2018</v>
      </c>
      <c r="D21" s="39">
        <v>544900</v>
      </c>
      <c r="E21" s="10">
        <v>0.10845201309548436</v>
      </c>
      <c r="F21" s="39">
        <v>113507</v>
      </c>
      <c r="G21" s="39">
        <f t="shared" si="0"/>
        <v>3427.9114</v>
      </c>
      <c r="H21" s="39">
        <v>47217.081378675539</v>
      </c>
      <c r="I21" s="10">
        <f t="shared" ref="I21:I25" si="1">I20</f>
        <v>0.25512900304306657</v>
      </c>
      <c r="J21" s="17">
        <f>97+49+1335+2870</f>
        <v>4351</v>
      </c>
      <c r="K21" s="11">
        <v>2.2574266375545857</v>
      </c>
      <c r="L21" s="39">
        <v>5379</v>
      </c>
      <c r="M21" s="22"/>
      <c r="N21" s="22"/>
      <c r="O21" s="22"/>
      <c r="P21" s="22"/>
      <c r="Q21" s="22"/>
      <c r="S21" s="8">
        <v>1.2994000000000001</v>
      </c>
    </row>
    <row r="22" spans="1:19" ht="14.45" hidden="1">
      <c r="A22" s="12" t="s">
        <v>19</v>
      </c>
      <c r="B22" s="7">
        <v>9</v>
      </c>
      <c r="C22" s="7">
        <v>2018</v>
      </c>
      <c r="D22" s="39">
        <v>482100</v>
      </c>
      <c r="E22" s="10">
        <v>0.10887456024913193</v>
      </c>
      <c r="F22" s="39">
        <v>116012</v>
      </c>
      <c r="G22" s="39">
        <f t="shared" si="0"/>
        <v>3503.5624000000003</v>
      </c>
      <c r="H22" s="39">
        <v>49338.560798507599</v>
      </c>
      <c r="I22" s="10">
        <f t="shared" si="1"/>
        <v>0.25512900304306657</v>
      </c>
      <c r="J22" s="18">
        <f>AVERAGE($J$14:$J$21)</f>
        <v>3663.75</v>
      </c>
      <c r="K22" s="11">
        <v>2.3196172978505634</v>
      </c>
      <c r="L22" s="8">
        <v>4774</v>
      </c>
      <c r="M22" s="22"/>
      <c r="N22" s="22"/>
      <c r="O22" s="22"/>
      <c r="P22" s="22"/>
      <c r="Q22" s="22"/>
      <c r="S22" s="8">
        <v>1.3041</v>
      </c>
    </row>
    <row r="23" spans="1:19" ht="14.45" hidden="1">
      <c r="A23" s="12" t="s">
        <v>19</v>
      </c>
      <c r="B23" s="7">
        <v>10</v>
      </c>
      <c r="C23" s="7">
        <v>2018</v>
      </c>
      <c r="D23" s="39">
        <v>499700</v>
      </c>
      <c r="E23" s="10">
        <v>0.10888582793936676</v>
      </c>
      <c r="F23" s="39">
        <v>98097</v>
      </c>
      <c r="G23" s="39">
        <f t="shared" si="0"/>
        <v>2962.5293999999999</v>
      </c>
      <c r="H23" s="39">
        <v>56808.186025537056</v>
      </c>
      <c r="I23" s="10">
        <f t="shared" si="1"/>
        <v>0.25512900304306657</v>
      </c>
      <c r="J23" s="18">
        <f>AVERAGE($J$14:$J$21)</f>
        <v>3663.75</v>
      </c>
      <c r="K23" s="11">
        <v>2.3196172978505634</v>
      </c>
      <c r="L23" s="8">
        <v>5086</v>
      </c>
      <c r="M23" s="22"/>
      <c r="N23" s="22"/>
      <c r="O23" s="22"/>
      <c r="P23" s="22"/>
      <c r="Q23" s="22"/>
      <c r="S23" s="8">
        <v>1.2769999999999999</v>
      </c>
    </row>
    <row r="24" spans="1:19" ht="14.45" hidden="1">
      <c r="A24" s="12" t="s">
        <v>19</v>
      </c>
      <c r="B24" s="7">
        <v>11</v>
      </c>
      <c r="C24" s="7">
        <v>2018</v>
      </c>
      <c r="D24" s="39">
        <v>430400</v>
      </c>
      <c r="E24" s="10">
        <v>0.10887456024913193</v>
      </c>
      <c r="F24" s="39">
        <v>108416</v>
      </c>
      <c r="G24" s="39">
        <f t="shared" si="0"/>
        <v>3274.1632</v>
      </c>
      <c r="H24" s="39">
        <v>65887.710629627647</v>
      </c>
      <c r="I24" s="10">
        <f t="shared" si="1"/>
        <v>0.25512900304306657</v>
      </c>
      <c r="J24" s="18">
        <f>AVERAGE($J$14:$J$21)</f>
        <v>3663.75</v>
      </c>
      <c r="K24" s="11">
        <v>2.3196172978505634</v>
      </c>
      <c r="L24" s="4">
        <v>4328</v>
      </c>
      <c r="M24" s="22"/>
      <c r="N24" s="22"/>
      <c r="O24" s="22"/>
      <c r="P24" s="22"/>
      <c r="Q24" s="22"/>
      <c r="S24" s="8">
        <v>1.278</v>
      </c>
    </row>
    <row r="25" spans="1:19" ht="14.45" hidden="1">
      <c r="A25" s="12" t="s">
        <v>19</v>
      </c>
      <c r="B25" s="7">
        <v>12</v>
      </c>
      <c r="C25" s="7">
        <v>2018</v>
      </c>
      <c r="D25" s="39">
        <v>460200</v>
      </c>
      <c r="E25" s="10">
        <v>0.1288</v>
      </c>
      <c r="F25" s="39">
        <v>115056</v>
      </c>
      <c r="G25" s="39">
        <f t="shared" si="0"/>
        <v>3474.6912000000002</v>
      </c>
      <c r="H25" s="39">
        <v>70022.723942076685</v>
      </c>
      <c r="I25" s="10">
        <f t="shared" si="1"/>
        <v>0.25512900304306657</v>
      </c>
      <c r="J25" s="18">
        <f>AVERAGE($J$14:$J$21)</f>
        <v>3663.75</v>
      </c>
      <c r="K25" s="11">
        <v>2.3196172978505634</v>
      </c>
      <c r="L25" s="4">
        <v>4437</v>
      </c>
      <c r="M25" s="22"/>
      <c r="N25" s="22"/>
      <c r="O25" s="22"/>
      <c r="P25" s="22"/>
      <c r="Q25" s="22"/>
      <c r="S25" s="8">
        <v>1.2768999999999999</v>
      </c>
    </row>
    <row r="26" spans="1:19" hidden="1">
      <c r="A26" s="12" t="s">
        <v>19</v>
      </c>
      <c r="B26" s="7">
        <v>1</v>
      </c>
      <c r="C26" s="7">
        <v>2019</v>
      </c>
      <c r="D26" s="39">
        <f>228600+233700</f>
        <v>462300</v>
      </c>
      <c r="E26" s="10">
        <v>0.11</v>
      </c>
      <c r="F26" s="39">
        <v>116061</v>
      </c>
      <c r="G26" s="39">
        <f t="shared" si="0"/>
        <v>3505.0422000000003</v>
      </c>
      <c r="H26" s="39">
        <v>87055.397411762518</v>
      </c>
      <c r="I26" s="10">
        <v>0.22888162500000003</v>
      </c>
      <c r="J26" s="39">
        <v>4086</v>
      </c>
      <c r="K26" s="11">
        <v>2.3196172978505634</v>
      </c>
      <c r="L26" s="39">
        <v>4202</v>
      </c>
      <c r="M26" s="22">
        <v>484985.35</v>
      </c>
      <c r="N26" s="22">
        <v>58800.635297119981</v>
      </c>
      <c r="O26" s="22">
        <v>68184.440090295961</v>
      </c>
      <c r="P26" s="22">
        <v>15606.165447582089</v>
      </c>
      <c r="Q26" s="22">
        <v>4130</v>
      </c>
      <c r="R26" s="22">
        <v>8413.999265973398</v>
      </c>
      <c r="S26" s="5">
        <v>1.3140000000000001</v>
      </c>
    </row>
    <row r="27" spans="1:19" hidden="1">
      <c r="A27" s="12" t="s">
        <v>19</v>
      </c>
      <c r="B27" s="7">
        <v>2</v>
      </c>
      <c r="C27" s="7">
        <v>2019</v>
      </c>
      <c r="D27" s="39">
        <v>417296</v>
      </c>
      <c r="E27" s="10">
        <v>0.11</v>
      </c>
      <c r="F27" s="39">
        <v>105833</v>
      </c>
      <c r="G27" s="39">
        <f t="shared" si="0"/>
        <v>3196.1566000000003</v>
      </c>
      <c r="H27" s="39">
        <v>77087.569207102002</v>
      </c>
      <c r="I27" s="10">
        <v>0.24597457500000003</v>
      </c>
      <c r="J27" s="39">
        <v>3457</v>
      </c>
      <c r="K27" s="11">
        <v>2.3196172978505634</v>
      </c>
      <c r="L27" s="8">
        <v>3915</v>
      </c>
      <c r="M27" s="22">
        <v>430628.7</v>
      </c>
      <c r="N27" s="22">
        <v>52348.451506607256</v>
      </c>
      <c r="O27" s="22">
        <v>67052.057125022417</v>
      </c>
      <c r="P27" s="22">
        <v>16493.101254203113</v>
      </c>
      <c r="Q27" s="22">
        <v>3766</v>
      </c>
      <c r="R27" s="22">
        <v>7779.5908230035611</v>
      </c>
      <c r="S27" s="8">
        <v>1.31</v>
      </c>
    </row>
    <row r="28" spans="1:19" hidden="1">
      <c r="A28" s="12" t="s">
        <v>19</v>
      </c>
      <c r="B28" s="7">
        <v>3</v>
      </c>
      <c r="C28" s="7">
        <v>2019</v>
      </c>
      <c r="D28" s="39">
        <v>545121</v>
      </c>
      <c r="E28" s="10">
        <v>0.11</v>
      </c>
      <c r="F28" s="39">
        <v>92468</v>
      </c>
      <c r="G28" s="39">
        <f t="shared" si="0"/>
        <v>2792.5336000000002</v>
      </c>
      <c r="H28" s="44">
        <v>66321</v>
      </c>
      <c r="I28" s="10">
        <v>0.26</v>
      </c>
      <c r="J28" s="39">
        <v>3659</v>
      </c>
      <c r="K28" s="5">
        <v>2.3199999999999998</v>
      </c>
      <c r="L28" s="39">
        <v>4166</v>
      </c>
      <c r="M28" s="22">
        <v>418317.75</v>
      </c>
      <c r="N28" s="22">
        <v>51445.171992816991</v>
      </c>
      <c r="O28" s="22">
        <v>66150.908685375209</v>
      </c>
      <c r="P28" s="22">
        <v>16952.968001570924</v>
      </c>
      <c r="Q28" s="22">
        <v>4469</v>
      </c>
      <c r="R28" s="22">
        <v>9022.7001776135021</v>
      </c>
      <c r="S28" s="8">
        <v>1.31</v>
      </c>
    </row>
    <row r="29" spans="1:19" hidden="1">
      <c r="A29" s="12" t="s">
        <v>19</v>
      </c>
      <c r="B29" s="7">
        <v>4</v>
      </c>
      <c r="C29" s="7">
        <v>2019</v>
      </c>
      <c r="D29" s="39">
        <v>536180</v>
      </c>
      <c r="E29" s="10">
        <v>0.11</v>
      </c>
      <c r="F29" s="39">
        <v>111719</v>
      </c>
      <c r="G29" s="39">
        <f t="shared" si="0"/>
        <v>3373.9138000000003</v>
      </c>
      <c r="H29" s="39">
        <v>61503</v>
      </c>
      <c r="I29" s="10">
        <v>0.26</v>
      </c>
      <c r="J29" s="39">
        <v>2278</v>
      </c>
      <c r="K29" s="5">
        <v>2.3199999999999998</v>
      </c>
      <c r="L29" s="39">
        <v>3304</v>
      </c>
      <c r="M29" s="22">
        <v>446197.6</v>
      </c>
      <c r="N29" s="22">
        <v>54588.330767218693</v>
      </c>
      <c r="O29" s="22">
        <v>51673.854353793722</v>
      </c>
      <c r="P29" s="22">
        <v>10925.787996237543</v>
      </c>
      <c r="Q29" s="22">
        <v>4408</v>
      </c>
      <c r="R29" s="22">
        <v>9176.8603887378649</v>
      </c>
      <c r="S29" s="8">
        <v>1.3</v>
      </c>
    </row>
    <row r="30" spans="1:19" s="1" customFormat="1" hidden="1">
      <c r="A30" s="12" t="s">
        <v>19</v>
      </c>
      <c r="B30" s="7">
        <v>5</v>
      </c>
      <c r="C30" s="7">
        <v>2019</v>
      </c>
      <c r="D30" s="39">
        <v>568199</v>
      </c>
      <c r="E30" s="10">
        <v>0.11</v>
      </c>
      <c r="F30" s="39">
        <v>120176</v>
      </c>
      <c r="G30" s="39">
        <f t="shared" si="0"/>
        <v>3629.3152</v>
      </c>
      <c r="H30" s="39">
        <v>57311</v>
      </c>
      <c r="I30" s="10">
        <v>0.26</v>
      </c>
      <c r="J30" s="39">
        <v>3886</v>
      </c>
      <c r="K30" s="5">
        <v>2.3224</v>
      </c>
      <c r="L30" s="39">
        <v>3567</v>
      </c>
      <c r="M30" s="22">
        <v>509273.25</v>
      </c>
      <c r="N30" s="22">
        <v>61766.124511939619</v>
      </c>
      <c r="O30" s="22">
        <v>43366.619493064281</v>
      </c>
      <c r="P30" s="22">
        <v>9326.7189970254713</v>
      </c>
      <c r="Q30" s="22">
        <v>4411</v>
      </c>
      <c r="R30" s="22">
        <v>8578.3070506871809</v>
      </c>
      <c r="S30" s="8">
        <v>1.27</v>
      </c>
    </row>
    <row r="31" spans="1:19" hidden="1">
      <c r="A31" s="12" t="s">
        <v>19</v>
      </c>
      <c r="B31" s="7">
        <v>6</v>
      </c>
      <c r="C31" s="7">
        <v>2019</v>
      </c>
      <c r="D31" s="39">
        <v>597126</v>
      </c>
      <c r="E31" s="10">
        <v>0.11</v>
      </c>
      <c r="F31" s="39">
        <v>105611</v>
      </c>
      <c r="G31" s="39">
        <f t="shared" si="0"/>
        <v>3189.4522000000002</v>
      </c>
      <c r="H31" s="39">
        <v>47112</v>
      </c>
      <c r="I31" s="10">
        <v>0.26</v>
      </c>
      <c r="J31" s="39">
        <v>4534</v>
      </c>
      <c r="K31" s="5">
        <v>2.3199999999999998</v>
      </c>
      <c r="L31" s="8">
        <v>4651</v>
      </c>
      <c r="M31" s="22">
        <v>516483.8</v>
      </c>
      <c r="N31" s="22">
        <v>62412.196904760218</v>
      </c>
      <c r="O31" s="22">
        <v>27996.482991778772</v>
      </c>
      <c r="P31" s="22">
        <v>5840.8404548397748</v>
      </c>
      <c r="Q31" s="22">
        <v>4346</v>
      </c>
      <c r="R31" s="22">
        <v>8704.5040766161619</v>
      </c>
      <c r="S31" s="8">
        <v>1.25</v>
      </c>
    </row>
    <row r="32" spans="1:19" hidden="1">
      <c r="A32" s="12" t="s">
        <v>19</v>
      </c>
      <c r="B32" s="7">
        <v>7</v>
      </c>
      <c r="C32" s="7">
        <v>2019</v>
      </c>
      <c r="D32" s="39">
        <v>650444</v>
      </c>
      <c r="E32" s="10">
        <v>0.11</v>
      </c>
      <c r="F32" s="39">
        <v>77265</v>
      </c>
      <c r="G32" s="39">
        <f t="shared" si="0"/>
        <v>2333.4030000000002</v>
      </c>
      <c r="H32" s="39">
        <v>45595</v>
      </c>
      <c r="I32" s="10">
        <v>0.26</v>
      </c>
      <c r="J32" s="39">
        <v>4661</v>
      </c>
      <c r="K32" s="5">
        <v>2.3199999999999998</v>
      </c>
      <c r="L32" s="8">
        <v>5220</v>
      </c>
      <c r="M32" s="22">
        <v>492707.6</v>
      </c>
      <c r="N32" s="22">
        <v>59853.197386704334</v>
      </c>
      <c r="O32" s="22">
        <v>38242.097278708519</v>
      </c>
      <c r="P32" s="22">
        <v>8041.0395958730205</v>
      </c>
      <c r="Q32" s="22">
        <v>5295</v>
      </c>
      <c r="R32" s="22">
        <v>9686.7497693032801</v>
      </c>
      <c r="S32" s="8">
        <v>1.21</v>
      </c>
    </row>
    <row r="33" spans="1:19" hidden="1">
      <c r="A33" s="12" t="s">
        <v>19</v>
      </c>
      <c r="B33" s="7">
        <v>8</v>
      </c>
      <c r="C33" s="7">
        <v>2019</v>
      </c>
      <c r="D33" s="39">
        <v>647604</v>
      </c>
      <c r="E33" s="10">
        <v>0.11</v>
      </c>
      <c r="F33" s="39">
        <v>123091</v>
      </c>
      <c r="G33" s="39">
        <f t="shared" si="0"/>
        <v>3717.3482000000004</v>
      </c>
      <c r="H33" s="39">
        <v>54984</v>
      </c>
      <c r="I33" s="10">
        <v>0.26</v>
      </c>
      <c r="J33" s="39">
        <v>3303</v>
      </c>
      <c r="K33" s="5">
        <v>2.3199999999999998</v>
      </c>
      <c r="L33" s="8">
        <v>5317</v>
      </c>
      <c r="M33" s="22">
        <v>451564.39999999997</v>
      </c>
      <c r="N33" s="22">
        <v>55213.388928585613</v>
      </c>
      <c r="O33" s="22">
        <v>36091.074808372985</v>
      </c>
      <c r="P33" s="22">
        <v>8128.3903636057357</v>
      </c>
      <c r="Q33" s="22">
        <v>5205</v>
      </c>
      <c r="R33" s="22">
        <v>9986.269763901284</v>
      </c>
      <c r="S33" s="8">
        <v>1.23</v>
      </c>
    </row>
    <row r="34" spans="1:19" hidden="1">
      <c r="A34" s="12" t="s">
        <v>19</v>
      </c>
      <c r="B34" s="7">
        <v>9</v>
      </c>
      <c r="C34" s="7">
        <v>2019</v>
      </c>
      <c r="D34" s="39">
        <v>577493</v>
      </c>
      <c r="E34" s="10">
        <v>0.11</v>
      </c>
      <c r="F34" s="39">
        <v>111371</v>
      </c>
      <c r="G34" s="39">
        <f t="shared" si="0"/>
        <v>3363.4041999999999</v>
      </c>
      <c r="H34" s="39">
        <v>50567</v>
      </c>
      <c r="I34" s="10">
        <v>0.26</v>
      </c>
      <c r="J34" s="39">
        <v>4742</v>
      </c>
      <c r="K34" s="5">
        <v>2.3199999999999998</v>
      </c>
      <c r="L34" s="8">
        <v>4401</v>
      </c>
      <c r="M34" s="22">
        <v>449317.78125</v>
      </c>
      <c r="N34" s="22">
        <v>54838.52277881249</v>
      </c>
      <c r="O34" s="22">
        <v>36277.08494979571</v>
      </c>
      <c r="P34" s="22">
        <v>8170.2833537452998</v>
      </c>
      <c r="Q34" s="22">
        <v>4870</v>
      </c>
      <c r="R34" s="22">
        <v>9215.5753180118754</v>
      </c>
      <c r="S34" s="8">
        <v>1.23</v>
      </c>
    </row>
    <row r="35" spans="1:19" hidden="1">
      <c r="A35" s="12" t="s">
        <v>19</v>
      </c>
      <c r="B35" s="7">
        <v>10</v>
      </c>
      <c r="C35" s="7">
        <v>2019</v>
      </c>
      <c r="D35" s="39">
        <v>550855</v>
      </c>
      <c r="E35" s="10">
        <v>0.11</v>
      </c>
      <c r="F35" s="39">
        <v>104252</v>
      </c>
      <c r="G35" s="39">
        <f t="shared" si="0"/>
        <v>3148.4104000000002</v>
      </c>
      <c r="H35" s="39">
        <v>56090</v>
      </c>
      <c r="I35" s="10">
        <v>0.26</v>
      </c>
      <c r="J35" s="39">
        <v>3323</v>
      </c>
      <c r="K35" s="5">
        <v>2.3199999999999998</v>
      </c>
      <c r="L35" s="8">
        <v>3927</v>
      </c>
      <c r="M35" s="22">
        <v>508018.96875</v>
      </c>
      <c r="N35" s="22">
        <v>61493.507585487503</v>
      </c>
      <c r="O35" s="22">
        <v>47656.867864023065</v>
      </c>
      <c r="P35" s="22">
        <v>10733.224974937233</v>
      </c>
      <c r="Q35" s="22">
        <v>4675</v>
      </c>
      <c r="R35" s="22">
        <v>9286.0779695374022</v>
      </c>
      <c r="S35" s="8">
        <v>1.3</v>
      </c>
    </row>
    <row r="36" spans="1:19" hidden="1">
      <c r="A36" s="12" t="s">
        <v>19</v>
      </c>
      <c r="B36" s="7">
        <v>11</v>
      </c>
      <c r="C36" s="7">
        <v>2019</v>
      </c>
      <c r="D36" s="39">
        <v>516997</v>
      </c>
      <c r="E36" s="10">
        <v>0.11</v>
      </c>
      <c r="F36" s="39">
        <v>4654</v>
      </c>
      <c r="G36" s="39">
        <f t="shared" si="0"/>
        <v>140.55080000000001</v>
      </c>
      <c r="H36" s="39">
        <v>51971</v>
      </c>
      <c r="I36" s="10">
        <v>0.26</v>
      </c>
      <c r="J36" s="39">
        <v>1966</v>
      </c>
      <c r="K36" s="5">
        <v>2.3199999999999998</v>
      </c>
      <c r="L36" s="8">
        <v>3724</v>
      </c>
      <c r="M36" s="22">
        <v>506369.11875000002</v>
      </c>
      <c r="N36" s="22">
        <v>61315.169994987489</v>
      </c>
      <c r="O36" s="22">
        <v>65936.29448536408</v>
      </c>
      <c r="P36" s="22">
        <v>14850.096417255041</v>
      </c>
      <c r="Q36" s="22">
        <v>4739</v>
      </c>
      <c r="R36" s="22">
        <v>8899.0509275623826</v>
      </c>
      <c r="S36" s="8">
        <v>1.29</v>
      </c>
    </row>
    <row r="37" spans="1:19" hidden="1">
      <c r="A37" s="12" t="s">
        <v>19</v>
      </c>
      <c r="B37" s="7">
        <v>12</v>
      </c>
      <c r="C37" s="7">
        <v>2019</v>
      </c>
      <c r="D37" s="39">
        <v>541855</v>
      </c>
      <c r="E37" s="10">
        <v>0.11</v>
      </c>
      <c r="F37" s="39">
        <v>95597</v>
      </c>
      <c r="G37" s="39">
        <f t="shared" si="0"/>
        <v>2887.0293999999999</v>
      </c>
      <c r="H37" s="39">
        <v>72753</v>
      </c>
      <c r="I37" s="10">
        <v>0.26</v>
      </c>
      <c r="J37" s="39">
        <v>3372</v>
      </c>
      <c r="K37" s="5">
        <v>2.3199999999999998</v>
      </c>
      <c r="L37" s="8">
        <v>3422</v>
      </c>
      <c r="M37" s="22">
        <v>511688.41874999995</v>
      </c>
      <c r="N37" s="22">
        <v>61877.8090839875</v>
      </c>
      <c r="O37" s="22">
        <v>71618.589192477753</v>
      </c>
      <c r="P37" s="22">
        <v>16129.856296552269</v>
      </c>
      <c r="Q37" s="22">
        <v>4396</v>
      </c>
      <c r="R37" s="22">
        <v>8958.6015423151748</v>
      </c>
      <c r="S37" s="8">
        <v>1.31</v>
      </c>
    </row>
    <row r="38" spans="1:19">
      <c r="A38" s="12" t="s">
        <v>19</v>
      </c>
      <c r="B38" s="7">
        <v>1</v>
      </c>
      <c r="C38" s="7">
        <v>2020</v>
      </c>
      <c r="D38" s="8">
        <v>530359</v>
      </c>
      <c r="E38" s="10">
        <v>0.11</v>
      </c>
      <c r="F38" s="39">
        <v>120559</v>
      </c>
      <c r="G38" s="39">
        <f t="shared" si="0"/>
        <v>3640.8818000000001</v>
      </c>
      <c r="H38" s="39">
        <v>71844</v>
      </c>
      <c r="I38" s="10">
        <v>0.26</v>
      </c>
      <c r="J38" s="39">
        <v>3474</v>
      </c>
      <c r="K38" s="5">
        <v>2.3199999999999998</v>
      </c>
      <c r="L38" s="8">
        <v>3474</v>
      </c>
      <c r="M38" s="40">
        <v>545534.53585569735</v>
      </c>
      <c r="N38" s="40">
        <v>62000</v>
      </c>
      <c r="O38" s="41">
        <f>23700/0.26</f>
        <v>91153.846153846156</v>
      </c>
      <c r="P38" s="41">
        <v>23700</v>
      </c>
      <c r="Q38" s="42">
        <v>4008.3853416146553</v>
      </c>
      <c r="R38" s="40">
        <v>9300</v>
      </c>
      <c r="S38" s="8">
        <v>1.31</v>
      </c>
    </row>
    <row r="39" spans="1:19">
      <c r="A39" s="12" t="s">
        <v>19</v>
      </c>
      <c r="B39" s="7">
        <v>2</v>
      </c>
      <c r="C39" s="7">
        <v>2020</v>
      </c>
      <c r="D39" s="39">
        <v>377326</v>
      </c>
      <c r="E39" s="10">
        <v>0.11</v>
      </c>
      <c r="F39" s="39">
        <v>113654</v>
      </c>
      <c r="G39" s="39">
        <f t="shared" si="0"/>
        <v>3432.3508000000002</v>
      </c>
      <c r="H39" s="39">
        <v>65456</v>
      </c>
      <c r="I39" s="10">
        <v>0.26</v>
      </c>
      <c r="J39" s="39">
        <v>3161</v>
      </c>
      <c r="K39" s="5">
        <v>2.3199999999999998</v>
      </c>
      <c r="L39" s="8">
        <v>3292</v>
      </c>
      <c r="M39" s="40">
        <v>487461.50461944565</v>
      </c>
      <c r="N39" s="40">
        <v>55400</v>
      </c>
      <c r="O39" s="41">
        <v>90931.081590091795</v>
      </c>
      <c r="P39" s="41">
        <v>23300</v>
      </c>
      <c r="Q39" s="42">
        <v>3577.3761650969504</v>
      </c>
      <c r="R39" s="40">
        <v>8300</v>
      </c>
      <c r="S39" s="8">
        <v>1.31</v>
      </c>
    </row>
    <row r="40" spans="1:19">
      <c r="A40" s="12" t="s">
        <v>19</v>
      </c>
      <c r="B40" s="7">
        <v>3</v>
      </c>
      <c r="C40" s="7">
        <v>2020</v>
      </c>
      <c r="D40" s="39">
        <v>407638</v>
      </c>
      <c r="E40" s="10">
        <v>0.11</v>
      </c>
      <c r="F40" s="39">
        <v>105833</v>
      </c>
      <c r="G40" s="39">
        <f t="shared" si="0"/>
        <v>3196.1566000000003</v>
      </c>
      <c r="H40" s="39">
        <v>59506</v>
      </c>
      <c r="I40" s="10">
        <v>0.26</v>
      </c>
      <c r="J40" s="39">
        <v>1617</v>
      </c>
      <c r="K40" s="5">
        <v>2.3199999999999998</v>
      </c>
      <c r="L40" s="8">
        <v>780</v>
      </c>
      <c r="M40" s="40">
        <v>542894.85261768592</v>
      </c>
      <c r="N40" s="40">
        <v>61700</v>
      </c>
      <c r="O40" s="41">
        <v>88589.508673608754</v>
      </c>
      <c r="P40" s="41">
        <v>22700</v>
      </c>
      <c r="Q40" s="42">
        <v>4180.7890122217368</v>
      </c>
      <c r="R40" s="40">
        <v>9700</v>
      </c>
      <c r="S40" s="8">
        <v>1.31</v>
      </c>
    </row>
    <row r="41" spans="1:19">
      <c r="A41" s="12" t="s">
        <v>19</v>
      </c>
      <c r="B41" s="7">
        <v>4</v>
      </c>
      <c r="C41" s="7">
        <v>2020</v>
      </c>
      <c r="D41" s="39">
        <v>253600</v>
      </c>
      <c r="E41" s="10">
        <v>0.11</v>
      </c>
      <c r="F41" s="39">
        <v>113575</v>
      </c>
      <c r="G41" s="39">
        <f>F41*0.0302</f>
        <v>3429.9650000000001</v>
      </c>
      <c r="H41" s="39">
        <v>44731</v>
      </c>
      <c r="I41" s="10">
        <v>0.26</v>
      </c>
      <c r="J41" s="39">
        <v>893</v>
      </c>
      <c r="K41" s="5">
        <v>2.3199999999999998</v>
      </c>
      <c r="L41" s="8">
        <v>0</v>
      </c>
      <c r="M41" s="40">
        <v>545534.53585569735</v>
      </c>
      <c r="N41" s="40">
        <v>62000</v>
      </c>
      <c r="O41" s="41">
        <v>74930.333327457614</v>
      </c>
      <c r="P41" s="41">
        <v>19200</v>
      </c>
      <c r="Q41" s="42">
        <v>4223.8899298735078</v>
      </c>
      <c r="R41" s="40">
        <v>9800</v>
      </c>
      <c r="S41" s="8">
        <v>1.31</v>
      </c>
    </row>
    <row r="42" spans="1:19">
      <c r="A42" s="12" t="s">
        <v>19</v>
      </c>
      <c r="B42" s="7">
        <v>5</v>
      </c>
      <c r="C42" s="7">
        <v>2020</v>
      </c>
      <c r="D42" s="39">
        <v>292500</v>
      </c>
      <c r="E42" s="10">
        <v>0.11</v>
      </c>
      <c r="F42" s="39">
        <v>113006</v>
      </c>
      <c r="G42" s="39">
        <f>F42*0.0302</f>
        <v>3412.7812000000004</v>
      </c>
      <c r="H42" s="39">
        <v>43890</v>
      </c>
      <c r="I42" s="10">
        <v>0.26</v>
      </c>
      <c r="J42" s="39">
        <v>2508</v>
      </c>
      <c r="K42" s="5">
        <v>2.3199999999999998</v>
      </c>
      <c r="L42" s="8">
        <v>0</v>
      </c>
      <c r="M42" s="40">
        <v>575450.94588649366</v>
      </c>
      <c r="N42" s="40">
        <v>65400</v>
      </c>
      <c r="O42" s="41">
        <v>64783.517356031065</v>
      </c>
      <c r="P42" s="41">
        <v>16600</v>
      </c>
      <c r="Q42" s="42">
        <v>3749.7798357040324</v>
      </c>
      <c r="R42" s="40">
        <v>8700</v>
      </c>
    </row>
    <row r="43" spans="1:19">
      <c r="A43" s="12" t="s">
        <v>19</v>
      </c>
      <c r="B43" s="7">
        <v>6</v>
      </c>
      <c r="C43" s="7">
        <v>2020</v>
      </c>
      <c r="D43" s="39"/>
      <c r="E43" s="39"/>
      <c r="F43" s="39"/>
      <c r="G43" s="39"/>
      <c r="H43" s="39"/>
      <c r="I43" s="39"/>
      <c r="J43" s="39"/>
      <c r="K43" s="39"/>
      <c r="M43" s="40">
        <v>592168.93972723268</v>
      </c>
      <c r="N43" s="40">
        <v>67300</v>
      </c>
      <c r="O43" s="41">
        <v>60490.63367581214</v>
      </c>
      <c r="P43" s="41">
        <v>15500</v>
      </c>
      <c r="Q43" s="42">
        <v>3879.0825886593439</v>
      </c>
      <c r="R43" s="40">
        <v>9000</v>
      </c>
    </row>
    <row r="44" spans="1:19">
      <c r="A44" s="12" t="s">
        <v>19</v>
      </c>
      <c r="B44" s="7">
        <v>7</v>
      </c>
      <c r="C44" s="7">
        <v>2020</v>
      </c>
      <c r="D44" s="39" t="s">
        <v>20</v>
      </c>
      <c r="E44" s="39"/>
      <c r="F44" s="39"/>
      <c r="G44" s="39"/>
      <c r="H44" s="39"/>
      <c r="I44" s="39"/>
      <c r="J44" s="39"/>
      <c r="K44" s="39"/>
      <c r="M44" s="40">
        <v>678398.59216893977</v>
      </c>
      <c r="N44" s="40">
        <v>77100</v>
      </c>
      <c r="O44" s="41">
        <v>58149.060759329092</v>
      </c>
      <c r="P44" s="41">
        <v>14900</v>
      </c>
      <c r="Q44" s="42">
        <v>4698.0000240429827</v>
      </c>
      <c r="R44" s="40">
        <v>10900</v>
      </c>
    </row>
    <row r="45" spans="1:19">
      <c r="A45" s="12" t="s">
        <v>19</v>
      </c>
      <c r="B45" s="7">
        <v>8</v>
      </c>
      <c r="C45" s="7">
        <v>2020</v>
      </c>
      <c r="D45" s="39"/>
      <c r="E45" s="39"/>
      <c r="F45" s="39"/>
      <c r="G45" s="39"/>
      <c r="H45" s="39"/>
      <c r="I45" s="39"/>
      <c r="J45" s="39"/>
      <c r="K45" s="39"/>
      <c r="M45" s="40">
        <v>637923.44918609771</v>
      </c>
      <c r="N45" s="40">
        <v>72500</v>
      </c>
      <c r="O45" s="41">
        <v>59710.10937031779</v>
      </c>
      <c r="P45" s="41">
        <v>15300</v>
      </c>
      <c r="Q45" s="42">
        <v>4827.3027769982946</v>
      </c>
      <c r="R45" s="40">
        <v>11200</v>
      </c>
    </row>
    <row r="46" spans="1:19">
      <c r="A46" s="12" t="s">
        <v>19</v>
      </c>
      <c r="B46" s="7">
        <v>9</v>
      </c>
      <c r="C46" s="7">
        <v>2020</v>
      </c>
      <c r="D46" s="39"/>
      <c r="E46" s="39"/>
      <c r="F46" s="39"/>
      <c r="G46" s="39"/>
      <c r="H46" s="39"/>
      <c r="I46" s="39"/>
      <c r="J46" s="39"/>
      <c r="K46" s="39"/>
      <c r="M46" s="40">
        <v>575450.94588649366</v>
      </c>
      <c r="N46" s="40">
        <v>65400</v>
      </c>
      <c r="O46" s="41">
        <v>62051.682286800838</v>
      </c>
      <c r="P46" s="41">
        <v>15900</v>
      </c>
      <c r="Q46" s="42">
        <v>4482.4954357841307</v>
      </c>
      <c r="R46" s="40">
        <v>10400</v>
      </c>
    </row>
    <row r="47" spans="1:19">
      <c r="A47" s="12" t="s">
        <v>19</v>
      </c>
      <c r="B47" s="7">
        <v>10</v>
      </c>
      <c r="C47" s="7">
        <v>2020</v>
      </c>
      <c r="D47" s="39"/>
      <c r="E47" s="39"/>
      <c r="F47" s="39"/>
      <c r="G47" s="39"/>
      <c r="H47" s="39"/>
      <c r="I47" s="39"/>
      <c r="J47" s="39"/>
      <c r="K47" s="39"/>
      <c r="M47" s="40">
        <v>608886.93356797181</v>
      </c>
      <c r="N47" s="40">
        <v>69200</v>
      </c>
      <c r="O47" s="41">
        <v>67905.614578008463</v>
      </c>
      <c r="P47" s="41">
        <v>17400</v>
      </c>
      <c r="Q47" s="42">
        <v>4956.6055299536056</v>
      </c>
      <c r="R47" s="40">
        <v>11500</v>
      </c>
    </row>
    <row r="48" spans="1:19">
      <c r="A48" s="12" t="s">
        <v>19</v>
      </c>
      <c r="B48" s="7">
        <v>11</v>
      </c>
      <c r="C48" s="7">
        <v>2020</v>
      </c>
      <c r="D48" s="39"/>
      <c r="E48" s="39"/>
      <c r="F48" s="39"/>
      <c r="G48" s="39"/>
      <c r="H48" s="39"/>
      <c r="I48" s="39"/>
      <c r="J48" s="39"/>
      <c r="K48" s="39"/>
      <c r="M48" s="40">
        <v>533216.01407831057</v>
      </c>
      <c r="N48" s="40">
        <v>60600</v>
      </c>
      <c r="O48" s="41">
        <v>78832.954854929369</v>
      </c>
      <c r="P48" s="41">
        <v>20200</v>
      </c>
      <c r="Q48" s="42">
        <v>4525.5963534359007</v>
      </c>
      <c r="R48" s="40">
        <v>10500</v>
      </c>
    </row>
    <row r="49" spans="1:18">
      <c r="A49" s="12" t="s">
        <v>19</v>
      </c>
      <c r="B49" s="7">
        <v>12</v>
      </c>
      <c r="C49" s="7">
        <v>2020</v>
      </c>
      <c r="D49" s="39"/>
      <c r="E49" s="39"/>
      <c r="F49" s="39"/>
      <c r="G49" s="39"/>
      <c r="H49" s="39"/>
      <c r="I49" s="39"/>
      <c r="J49" s="39"/>
      <c r="K49" s="39"/>
      <c r="M49" s="40">
        <v>567531.89617245935</v>
      </c>
      <c r="N49" s="40">
        <v>64500</v>
      </c>
      <c r="O49" s="41">
        <v>83906.362840642643</v>
      </c>
      <c r="P49" s="41">
        <v>21500</v>
      </c>
      <c r="Q49" s="42">
        <v>4870.4036946500646</v>
      </c>
      <c r="R49" s="40">
        <v>11300</v>
      </c>
    </row>
    <row r="50" spans="1:18">
      <c r="B50" s="7"/>
      <c r="C50" s="7"/>
      <c r="D50" s="39"/>
      <c r="E50" s="39"/>
      <c r="F50" s="39"/>
      <c r="G50" s="39"/>
      <c r="H50" s="39"/>
      <c r="I50" s="39"/>
      <c r="J50" s="39"/>
      <c r="K50" s="39"/>
      <c r="M50" s="22"/>
      <c r="N50" s="22"/>
      <c r="O50" s="22"/>
      <c r="P50" s="22"/>
      <c r="Q50" s="22"/>
    </row>
    <row r="51" spans="1:18">
      <c r="B51" s="7"/>
      <c r="C51" s="7"/>
      <c r="D51" s="39"/>
      <c r="E51" s="39"/>
      <c r="F51" s="39"/>
      <c r="G51" s="39"/>
      <c r="H51" s="39"/>
      <c r="I51" s="39"/>
      <c r="J51" s="39"/>
      <c r="K51" s="39"/>
      <c r="M51" s="22"/>
      <c r="N51" s="22"/>
      <c r="O51" s="22"/>
      <c r="P51" s="22"/>
      <c r="Q51" s="22"/>
    </row>
    <row r="52" spans="1:18">
      <c r="B52" s="7"/>
      <c r="C52" s="7"/>
      <c r="D52" s="39"/>
      <c r="E52" s="39"/>
      <c r="F52" s="39"/>
      <c r="G52" s="39"/>
      <c r="H52" s="39"/>
      <c r="I52" s="39"/>
      <c r="J52" s="39"/>
      <c r="K52" s="39"/>
      <c r="M52" s="22"/>
      <c r="N52" s="22"/>
      <c r="O52" s="22"/>
      <c r="P52" s="22"/>
      <c r="Q52" s="22"/>
    </row>
    <row r="53" spans="1:18">
      <c r="B53" s="7"/>
      <c r="C53" s="7"/>
      <c r="D53" s="39"/>
      <c r="E53" s="39"/>
      <c r="F53" s="39"/>
      <c r="G53" s="39"/>
      <c r="H53" s="39"/>
      <c r="I53" s="39"/>
      <c r="J53" s="39"/>
      <c r="K53" s="39"/>
      <c r="M53" s="22"/>
      <c r="N53" s="22"/>
      <c r="O53" s="22"/>
      <c r="P53" s="22"/>
      <c r="Q53" s="22"/>
    </row>
    <row r="54" spans="1:18">
      <c r="B54" s="7"/>
      <c r="C54" s="7"/>
      <c r="D54" s="39"/>
      <c r="E54" s="39"/>
      <c r="F54" s="39"/>
      <c r="G54" s="39"/>
      <c r="H54" s="39"/>
      <c r="I54" s="39"/>
      <c r="J54" s="39"/>
      <c r="K54" s="39"/>
      <c r="M54" s="22"/>
      <c r="N54" s="22"/>
      <c r="O54" s="22"/>
      <c r="P54" s="22"/>
      <c r="Q54" s="22"/>
    </row>
    <row r="55" spans="1:18">
      <c r="B55" s="7"/>
      <c r="C55" s="7"/>
      <c r="D55" s="39"/>
      <c r="E55" s="39"/>
      <c r="F55" s="39"/>
      <c r="G55" s="39"/>
      <c r="H55" s="39"/>
      <c r="I55" s="39"/>
      <c r="J55" s="39"/>
      <c r="K55" s="39"/>
      <c r="M55" s="22"/>
      <c r="N55" s="22"/>
      <c r="O55" s="22"/>
      <c r="P55" s="22"/>
      <c r="Q55" s="22"/>
    </row>
    <row r="56" spans="1:18">
      <c r="B56" s="7"/>
      <c r="C56" s="7"/>
      <c r="D56" s="39"/>
      <c r="E56" s="39"/>
      <c r="F56" s="39"/>
      <c r="G56" s="39"/>
      <c r="H56" s="39"/>
      <c r="I56" s="39"/>
      <c r="J56" s="39"/>
      <c r="K56" s="39"/>
      <c r="M56" s="22"/>
      <c r="N56" s="22"/>
      <c r="O56" s="22"/>
      <c r="P56" s="22"/>
      <c r="Q56" s="22"/>
    </row>
    <row r="57" spans="1:18">
      <c r="B57" s="7"/>
      <c r="C57" s="7"/>
      <c r="D57" s="39"/>
      <c r="E57" s="39"/>
      <c r="F57" s="39"/>
      <c r="G57" s="39"/>
      <c r="H57" s="39"/>
      <c r="I57" s="39"/>
      <c r="J57" s="39"/>
      <c r="K57" s="39"/>
      <c r="M57" s="22"/>
      <c r="N57" s="22"/>
      <c r="O57" s="22"/>
      <c r="P57" s="22"/>
      <c r="Q57" s="22"/>
    </row>
    <row r="58" spans="1:18">
      <c r="B58" s="7"/>
      <c r="C58" s="7"/>
      <c r="D58" s="39"/>
      <c r="E58" s="39"/>
      <c r="F58" s="39"/>
      <c r="G58" s="39"/>
      <c r="H58" s="39"/>
      <c r="I58" s="39"/>
      <c r="J58" s="39"/>
      <c r="K58" s="39"/>
      <c r="M58" s="22"/>
      <c r="N58" s="22"/>
      <c r="O58" s="22"/>
      <c r="P58" s="22"/>
      <c r="Q58" s="22"/>
    </row>
    <row r="59" spans="1:18">
      <c r="B59" s="7"/>
      <c r="C59" s="7"/>
      <c r="D59" s="39"/>
      <c r="E59" s="39"/>
      <c r="F59" s="39"/>
      <c r="G59" s="39"/>
      <c r="H59" s="39"/>
      <c r="I59" s="39"/>
      <c r="J59" s="39"/>
      <c r="K59" s="39"/>
      <c r="M59" s="22"/>
      <c r="N59" s="22"/>
      <c r="O59" s="22"/>
      <c r="P59" s="22"/>
      <c r="Q59" s="22"/>
    </row>
    <row r="60" spans="1:18">
      <c r="B60" s="7"/>
      <c r="C60" s="7"/>
      <c r="D60" s="39"/>
      <c r="E60" s="39"/>
      <c r="F60" s="39"/>
      <c r="G60" s="39"/>
      <c r="H60" s="39"/>
      <c r="I60" s="39"/>
      <c r="J60" s="39"/>
      <c r="K60" s="39"/>
      <c r="M60" s="22"/>
      <c r="N60" s="22"/>
      <c r="O60" s="22"/>
      <c r="P60" s="22"/>
      <c r="Q60" s="22"/>
    </row>
    <row r="61" spans="1:18">
      <c r="B61" s="7"/>
      <c r="C61" s="7"/>
      <c r="D61" s="39"/>
      <c r="E61" s="39"/>
      <c r="F61" s="39"/>
      <c r="G61" s="39"/>
      <c r="H61" s="39"/>
      <c r="I61" s="39"/>
      <c r="J61" s="39"/>
      <c r="K61" s="39"/>
      <c r="M61" s="22"/>
      <c r="N61" s="22"/>
      <c r="O61" s="22"/>
      <c r="P61" s="22"/>
      <c r="Q61" s="22"/>
    </row>
    <row r="62" spans="1:18">
      <c r="B62" s="7"/>
      <c r="C62" s="7"/>
      <c r="D62" s="39"/>
      <c r="E62" s="39"/>
      <c r="F62" s="39"/>
      <c r="G62" s="39"/>
      <c r="H62" s="39"/>
      <c r="I62" s="39"/>
      <c r="J62" s="39"/>
      <c r="K62" s="39"/>
      <c r="M62" s="22"/>
      <c r="N62" s="22"/>
      <c r="O62" s="22"/>
      <c r="P62" s="22"/>
      <c r="Q62" s="22"/>
    </row>
    <row r="63" spans="1:18">
      <c r="B63" s="7"/>
      <c r="C63" s="7"/>
      <c r="D63" s="39"/>
      <c r="E63" s="39"/>
      <c r="F63" s="39"/>
      <c r="G63" s="39"/>
      <c r="H63" s="39"/>
      <c r="I63" s="39"/>
      <c r="J63" s="39"/>
      <c r="K63" s="39"/>
      <c r="M63" s="22"/>
      <c r="N63" s="22"/>
      <c r="O63" s="22"/>
      <c r="P63" s="22"/>
      <c r="Q63" s="22"/>
    </row>
    <row r="64" spans="1:18">
      <c r="B64" s="7"/>
      <c r="C64" s="7"/>
      <c r="D64" s="39"/>
      <c r="E64" s="39"/>
      <c r="F64" s="39"/>
      <c r="G64" s="39"/>
      <c r="H64" s="39"/>
      <c r="I64" s="39"/>
      <c r="J64" s="39"/>
      <c r="K64" s="39"/>
      <c r="M64" s="22"/>
      <c r="N64" s="22"/>
      <c r="O64" s="22"/>
      <c r="P64" s="22"/>
      <c r="Q64" s="22"/>
    </row>
    <row r="65" spans="2:17">
      <c r="B65" s="7"/>
      <c r="C65" s="7"/>
      <c r="D65" s="39"/>
      <c r="E65" s="39"/>
      <c r="F65" s="39"/>
      <c r="G65" s="39"/>
      <c r="H65" s="39"/>
      <c r="I65" s="39"/>
      <c r="J65" s="39"/>
      <c r="K65" s="39"/>
      <c r="M65" s="22"/>
      <c r="N65" s="22"/>
      <c r="O65" s="22"/>
      <c r="P65" s="22"/>
      <c r="Q65" s="22"/>
    </row>
    <row r="66" spans="2:17">
      <c r="B66" s="7"/>
      <c r="C66" s="7"/>
      <c r="D66" s="39"/>
      <c r="E66" s="39"/>
      <c r="F66" s="39"/>
      <c r="G66" s="39"/>
      <c r="H66" s="39"/>
      <c r="I66" s="39"/>
      <c r="J66" s="39"/>
      <c r="K66" s="39"/>
      <c r="M66" s="22"/>
      <c r="N66" s="22"/>
      <c r="O66" s="22"/>
      <c r="P66" s="22"/>
      <c r="Q66" s="22"/>
    </row>
    <row r="67" spans="2:17">
      <c r="B67" s="7"/>
      <c r="C67" s="7"/>
      <c r="D67" s="39"/>
      <c r="E67" s="39"/>
      <c r="F67" s="39"/>
      <c r="G67" s="39"/>
      <c r="H67" s="39"/>
      <c r="I67" s="39"/>
      <c r="J67" s="39"/>
      <c r="K67" s="39"/>
      <c r="M67" s="22"/>
      <c r="N67" s="22"/>
      <c r="O67" s="22"/>
      <c r="P67" s="22"/>
      <c r="Q67" s="22"/>
    </row>
    <row r="68" spans="2:17">
      <c r="B68" s="7"/>
      <c r="C68" s="7"/>
      <c r="D68" s="39"/>
      <c r="E68" s="39"/>
      <c r="F68" s="39"/>
      <c r="G68" s="39"/>
      <c r="H68" s="39"/>
      <c r="I68" s="39"/>
      <c r="J68" s="39"/>
      <c r="K68" s="39"/>
      <c r="M68" s="22"/>
      <c r="N68" s="22"/>
      <c r="O68" s="22"/>
      <c r="P68" s="22"/>
      <c r="Q68" s="22"/>
    </row>
    <row r="69" spans="2:17">
      <c r="B69" s="7"/>
      <c r="C69" s="7"/>
      <c r="D69" s="39"/>
      <c r="E69" s="39"/>
      <c r="F69" s="39"/>
      <c r="G69" s="39"/>
      <c r="H69" s="39"/>
      <c r="I69" s="39"/>
      <c r="J69" s="39"/>
      <c r="K69" s="39"/>
      <c r="M69" s="22"/>
      <c r="N69" s="22"/>
      <c r="O69" s="22"/>
      <c r="P69" s="22"/>
      <c r="Q69" s="22"/>
    </row>
    <row r="70" spans="2:17">
      <c r="B70" s="7"/>
      <c r="C70" s="7"/>
      <c r="D70" s="39"/>
      <c r="E70" s="39"/>
      <c r="F70" s="39"/>
      <c r="G70" s="39"/>
      <c r="H70" s="39"/>
      <c r="I70" s="39"/>
      <c r="J70" s="39"/>
      <c r="K70" s="39"/>
      <c r="M70" s="22"/>
      <c r="N70" s="22"/>
      <c r="O70" s="22"/>
      <c r="P70" s="22"/>
      <c r="Q70" s="22"/>
    </row>
    <row r="71" spans="2:17">
      <c r="B71" s="7"/>
      <c r="C71" s="7"/>
      <c r="D71" s="39"/>
      <c r="E71" s="39"/>
      <c r="F71" s="39"/>
      <c r="G71" s="39"/>
      <c r="H71" s="39"/>
      <c r="I71" s="39"/>
      <c r="J71" s="39"/>
      <c r="K71" s="39"/>
      <c r="M71" s="22"/>
      <c r="N71" s="22"/>
      <c r="O71" s="22"/>
      <c r="P71" s="22"/>
      <c r="Q71" s="22"/>
    </row>
    <row r="72" spans="2:17">
      <c r="B72" s="7"/>
      <c r="C72" s="7"/>
      <c r="D72" s="39"/>
      <c r="E72" s="39"/>
      <c r="F72" s="39"/>
      <c r="G72" s="39"/>
      <c r="H72" s="39"/>
      <c r="I72" s="39"/>
      <c r="J72" s="39"/>
      <c r="K72" s="39"/>
      <c r="M72" s="22"/>
      <c r="N72" s="22"/>
      <c r="O72" s="22"/>
      <c r="P72" s="22"/>
      <c r="Q72" s="22"/>
    </row>
    <row r="73" spans="2:17">
      <c r="B73" s="7"/>
      <c r="C73" s="7"/>
      <c r="D73" s="39"/>
      <c r="E73" s="39"/>
      <c r="F73" s="39"/>
      <c r="G73" s="39"/>
      <c r="H73" s="39"/>
      <c r="I73" s="39"/>
      <c r="J73" s="39"/>
      <c r="K73" s="39"/>
      <c r="M73" s="22"/>
      <c r="N73" s="22"/>
      <c r="O73" s="22"/>
      <c r="P73" s="22"/>
      <c r="Q73" s="22"/>
    </row>
    <row r="74" spans="2:17">
      <c r="B74" s="7"/>
      <c r="C74" s="7"/>
      <c r="D74" s="39"/>
      <c r="E74" s="39"/>
      <c r="F74" s="39"/>
      <c r="G74" s="39"/>
      <c r="H74" s="39"/>
      <c r="I74" s="39"/>
      <c r="J74" s="39"/>
      <c r="K74" s="39"/>
      <c r="M74" s="22"/>
      <c r="N74" s="22"/>
      <c r="O74" s="22"/>
      <c r="P74" s="22"/>
      <c r="Q74" s="22"/>
    </row>
    <row r="75" spans="2:17">
      <c r="B75" s="7"/>
      <c r="C75" s="7"/>
      <c r="D75" s="39"/>
      <c r="E75" s="39"/>
      <c r="F75" s="39"/>
      <c r="G75" s="39"/>
      <c r="H75" s="39"/>
      <c r="I75" s="39"/>
      <c r="J75" s="39"/>
      <c r="K75" s="39"/>
      <c r="M75" s="22"/>
      <c r="N75" s="22"/>
      <c r="O75" s="22"/>
      <c r="P75" s="22"/>
      <c r="Q75" s="22"/>
    </row>
    <row r="76" spans="2:17">
      <c r="B76" s="7"/>
      <c r="C76" s="7"/>
      <c r="D76" s="39"/>
      <c r="E76" s="39"/>
      <c r="F76" s="39"/>
      <c r="G76" s="39"/>
      <c r="H76" s="39"/>
      <c r="I76" s="39"/>
      <c r="J76" s="39"/>
      <c r="K76" s="39"/>
      <c r="M76" s="22"/>
      <c r="N76" s="22"/>
      <c r="O76" s="22"/>
      <c r="P76" s="22"/>
      <c r="Q76" s="22"/>
    </row>
    <row r="77" spans="2:17">
      <c r="B77" s="7"/>
      <c r="C77" s="7"/>
      <c r="D77" s="39"/>
      <c r="E77" s="39"/>
      <c r="F77" s="39"/>
      <c r="G77" s="39"/>
      <c r="H77" s="39"/>
      <c r="I77" s="39"/>
      <c r="J77" s="39"/>
      <c r="K77" s="39"/>
      <c r="M77" s="22"/>
      <c r="N77" s="22"/>
      <c r="O77" s="22"/>
      <c r="P77" s="22"/>
      <c r="Q77" s="22"/>
    </row>
    <row r="78" spans="2:17">
      <c r="B78" s="7"/>
      <c r="C78" s="7"/>
      <c r="D78" s="39"/>
      <c r="E78" s="39"/>
      <c r="F78" s="39"/>
      <c r="G78" s="39"/>
      <c r="H78" s="39"/>
      <c r="I78" s="39"/>
      <c r="J78" s="39"/>
      <c r="K78" s="39"/>
      <c r="M78" s="22"/>
      <c r="N78" s="22"/>
      <c r="O78" s="22"/>
      <c r="P78" s="22"/>
      <c r="Q78" s="22"/>
    </row>
    <row r="79" spans="2:17">
      <c r="B79" s="7"/>
      <c r="C79" s="7"/>
      <c r="D79" s="39"/>
      <c r="E79" s="39"/>
      <c r="F79" s="39"/>
      <c r="G79" s="39"/>
      <c r="H79" s="39"/>
      <c r="I79" s="39"/>
      <c r="J79" s="39"/>
      <c r="K79" s="39"/>
      <c r="M79" s="22"/>
      <c r="N79" s="22"/>
      <c r="O79" s="22"/>
      <c r="P79" s="22"/>
      <c r="Q79" s="22"/>
    </row>
    <row r="80" spans="2:17">
      <c r="B80" s="7"/>
      <c r="C80" s="7"/>
      <c r="D80" s="39"/>
      <c r="E80" s="39"/>
      <c r="F80" s="39"/>
      <c r="G80" s="39"/>
      <c r="H80" s="39"/>
      <c r="I80" s="39"/>
      <c r="J80" s="39"/>
      <c r="K80" s="39"/>
      <c r="M80" s="22"/>
      <c r="N80" s="22"/>
      <c r="O80" s="22"/>
      <c r="P80" s="22"/>
      <c r="Q80" s="22"/>
    </row>
    <row r="81" spans="2:17">
      <c r="B81" s="7"/>
      <c r="C81" s="7"/>
      <c r="D81" s="39"/>
      <c r="E81" s="39"/>
      <c r="F81" s="39"/>
      <c r="G81" s="39"/>
      <c r="H81" s="39"/>
      <c r="I81" s="39"/>
      <c r="J81" s="39"/>
      <c r="K81" s="39"/>
      <c r="M81" s="22"/>
      <c r="N81" s="22"/>
      <c r="O81" s="22"/>
      <c r="P81" s="22"/>
      <c r="Q81" s="22"/>
    </row>
    <row r="82" spans="2:17">
      <c r="B82" s="7"/>
      <c r="C82" s="7"/>
      <c r="D82" s="39"/>
      <c r="E82" s="39"/>
      <c r="F82" s="39"/>
      <c r="G82" s="39"/>
      <c r="H82" s="39"/>
      <c r="I82" s="39"/>
      <c r="J82" s="39"/>
      <c r="K82" s="39"/>
      <c r="M82" s="22"/>
      <c r="N82" s="22"/>
      <c r="O82" s="22"/>
      <c r="P82" s="22"/>
      <c r="Q82" s="22"/>
    </row>
    <row r="83" spans="2:17">
      <c r="B83" s="7"/>
      <c r="C83" s="7"/>
      <c r="D83" s="39"/>
      <c r="E83" s="39"/>
      <c r="F83" s="39"/>
      <c r="G83" s="39"/>
      <c r="H83" s="39"/>
      <c r="I83" s="39"/>
      <c r="J83" s="39"/>
      <c r="K83" s="39"/>
      <c r="M83" s="22"/>
      <c r="N83" s="22"/>
      <c r="O83" s="22"/>
      <c r="P83" s="22"/>
      <c r="Q83" s="22"/>
    </row>
    <row r="84" spans="2:17">
      <c r="B84" s="7"/>
      <c r="C84" s="7"/>
      <c r="D84" s="39"/>
      <c r="E84" s="39"/>
      <c r="F84" s="39"/>
      <c r="G84" s="39"/>
      <c r="H84" s="39"/>
      <c r="I84" s="39"/>
      <c r="J84" s="39"/>
      <c r="K84" s="39"/>
      <c r="M84" s="22"/>
      <c r="N84" s="22"/>
      <c r="O84" s="22"/>
      <c r="P84" s="22"/>
      <c r="Q84" s="22"/>
    </row>
    <row r="85" spans="2:17">
      <c r="B85" s="7"/>
      <c r="C85" s="7"/>
      <c r="D85" s="39"/>
      <c r="E85" s="39"/>
      <c r="F85" s="39"/>
      <c r="G85" s="39"/>
      <c r="H85" s="39"/>
      <c r="I85" s="39"/>
      <c r="J85" s="39"/>
      <c r="K85" s="39"/>
      <c r="M85" s="22"/>
      <c r="N85" s="22"/>
      <c r="O85" s="22"/>
      <c r="P85" s="22"/>
      <c r="Q85" s="22"/>
    </row>
    <row r="86" spans="2:17">
      <c r="B86" s="7"/>
      <c r="C86" s="7"/>
      <c r="D86" s="39"/>
      <c r="E86" s="39"/>
      <c r="F86" s="39"/>
      <c r="G86" s="39"/>
      <c r="H86" s="39"/>
      <c r="I86" s="39"/>
      <c r="J86" s="39"/>
      <c r="K86" s="39"/>
      <c r="M86" s="22"/>
      <c r="N86" s="22"/>
      <c r="O86" s="22"/>
      <c r="P86" s="22"/>
      <c r="Q86" s="22"/>
    </row>
    <row r="87" spans="2:17">
      <c r="B87" s="7"/>
      <c r="C87" s="7"/>
      <c r="D87" s="39"/>
      <c r="E87" s="39"/>
      <c r="F87" s="39"/>
      <c r="G87" s="39"/>
      <c r="H87" s="39"/>
      <c r="I87" s="39"/>
      <c r="J87" s="39"/>
      <c r="K87" s="39"/>
      <c r="M87" s="22"/>
      <c r="N87" s="22"/>
      <c r="O87" s="22"/>
      <c r="P87" s="22"/>
      <c r="Q87" s="22"/>
    </row>
    <row r="88" spans="2:17">
      <c r="B88" s="7"/>
      <c r="C88" s="7"/>
      <c r="D88" s="39"/>
      <c r="E88" s="39"/>
      <c r="F88" s="39"/>
      <c r="G88" s="39"/>
      <c r="H88" s="39"/>
      <c r="I88" s="39"/>
      <c r="J88" s="39"/>
      <c r="K88" s="39"/>
      <c r="M88" s="22"/>
      <c r="N88" s="22"/>
      <c r="O88" s="22"/>
      <c r="P88" s="22"/>
      <c r="Q88" s="22"/>
    </row>
    <row r="89" spans="2:17">
      <c r="B89" s="7"/>
      <c r="C89" s="7"/>
      <c r="D89" s="39"/>
      <c r="E89" s="39"/>
      <c r="F89" s="39"/>
      <c r="G89" s="39"/>
      <c r="H89" s="39"/>
      <c r="I89" s="39"/>
      <c r="J89" s="39"/>
      <c r="K89" s="39"/>
      <c r="M89" s="22"/>
      <c r="N89" s="22"/>
      <c r="O89" s="22"/>
      <c r="P89" s="22"/>
      <c r="Q89" s="22"/>
    </row>
    <row r="90" spans="2:17">
      <c r="B90" s="7"/>
      <c r="C90" s="7"/>
      <c r="D90" s="39"/>
      <c r="E90" s="39"/>
      <c r="F90" s="39"/>
      <c r="G90" s="39"/>
      <c r="H90" s="39"/>
      <c r="I90" s="39"/>
      <c r="J90" s="39"/>
      <c r="K90" s="39"/>
      <c r="M90" s="22"/>
      <c r="N90" s="22"/>
      <c r="O90" s="22"/>
      <c r="P90" s="22"/>
      <c r="Q90" s="22"/>
    </row>
    <row r="91" spans="2:17">
      <c r="B91" s="7"/>
      <c r="C91" s="7"/>
      <c r="D91" s="39"/>
      <c r="E91" s="39"/>
      <c r="F91" s="39"/>
      <c r="G91" s="39"/>
      <c r="H91" s="39"/>
      <c r="I91" s="39"/>
      <c r="J91" s="39"/>
      <c r="K91" s="39"/>
      <c r="M91" s="22"/>
      <c r="N91" s="22"/>
      <c r="O91" s="22"/>
      <c r="P91" s="22"/>
      <c r="Q91" s="22"/>
    </row>
    <row r="92" spans="2:17">
      <c r="B92" s="7"/>
      <c r="C92" s="7"/>
      <c r="D92" s="39"/>
      <c r="E92" s="39"/>
      <c r="F92" s="39"/>
      <c r="G92" s="39"/>
      <c r="H92" s="39"/>
      <c r="I92" s="39"/>
      <c r="J92" s="39"/>
      <c r="K92" s="39"/>
      <c r="M92" s="22"/>
      <c r="N92" s="22"/>
      <c r="O92" s="22"/>
      <c r="P92" s="22"/>
      <c r="Q92" s="22"/>
    </row>
    <row r="93" spans="2:17">
      <c r="B93" s="7"/>
      <c r="C93" s="7"/>
      <c r="D93" s="39"/>
      <c r="E93" s="39"/>
      <c r="F93" s="39"/>
      <c r="G93" s="39"/>
      <c r="H93" s="39"/>
      <c r="I93" s="39"/>
      <c r="J93" s="39"/>
      <c r="K93" s="39"/>
      <c r="M93" s="22"/>
      <c r="N93" s="22"/>
      <c r="O93" s="22"/>
      <c r="P93" s="22"/>
      <c r="Q93" s="22"/>
    </row>
    <row r="94" spans="2:17">
      <c r="B94" s="7"/>
      <c r="C94" s="7"/>
      <c r="D94" s="39"/>
      <c r="E94" s="39"/>
      <c r="F94" s="39"/>
      <c r="G94" s="39"/>
      <c r="H94" s="39"/>
      <c r="I94" s="39"/>
      <c r="J94" s="39"/>
      <c r="K94" s="39"/>
      <c r="M94" s="22"/>
      <c r="N94" s="22"/>
      <c r="O94" s="22"/>
      <c r="P94" s="22"/>
      <c r="Q94" s="22"/>
    </row>
    <row r="95" spans="2:17">
      <c r="B95" s="7"/>
      <c r="C95" s="7"/>
      <c r="D95" s="39"/>
      <c r="E95" s="39"/>
      <c r="F95" s="39"/>
      <c r="G95" s="39"/>
      <c r="H95" s="39"/>
      <c r="I95" s="39"/>
      <c r="J95" s="39"/>
      <c r="K95" s="39"/>
      <c r="M95" s="22"/>
      <c r="N95" s="22"/>
      <c r="O95" s="22"/>
      <c r="P95" s="22"/>
      <c r="Q95" s="22"/>
    </row>
    <row r="96" spans="2:17">
      <c r="B96" s="7"/>
      <c r="C96" s="7"/>
      <c r="D96" s="39"/>
      <c r="E96" s="39"/>
      <c r="F96" s="39"/>
      <c r="G96" s="39"/>
      <c r="H96" s="39"/>
      <c r="I96" s="39"/>
      <c r="J96" s="39"/>
      <c r="K96" s="39"/>
      <c r="M96" s="22"/>
      <c r="N96" s="22"/>
      <c r="O96" s="22"/>
      <c r="P96" s="22"/>
      <c r="Q96" s="22"/>
    </row>
    <row r="97" spans="2:17">
      <c r="B97" s="7"/>
      <c r="C97" s="7"/>
      <c r="D97" s="39"/>
      <c r="E97" s="39"/>
      <c r="F97" s="39"/>
      <c r="G97" s="39"/>
      <c r="H97" s="39"/>
      <c r="I97" s="39"/>
      <c r="J97" s="39"/>
      <c r="K97" s="39"/>
      <c r="M97" s="22"/>
      <c r="N97" s="22"/>
      <c r="O97" s="22"/>
      <c r="P97" s="22"/>
      <c r="Q97" s="22"/>
    </row>
    <row r="98" spans="2:17">
      <c r="B98" s="7"/>
      <c r="C98" s="7"/>
      <c r="D98" s="39"/>
      <c r="E98" s="39"/>
      <c r="F98" s="39"/>
      <c r="G98" s="39"/>
      <c r="H98" s="39"/>
      <c r="I98" s="39"/>
      <c r="J98" s="39"/>
      <c r="K98" s="39"/>
      <c r="M98" s="22"/>
      <c r="N98" s="22"/>
      <c r="O98" s="22"/>
      <c r="P98" s="22"/>
      <c r="Q98" s="22"/>
    </row>
    <row r="99" spans="2:17">
      <c r="B99" s="7"/>
      <c r="C99" s="7"/>
      <c r="D99" s="39"/>
      <c r="E99" s="39"/>
      <c r="F99" s="39"/>
      <c r="G99" s="39"/>
      <c r="H99" s="39"/>
      <c r="I99" s="39"/>
      <c r="J99" s="39"/>
      <c r="K99" s="39"/>
      <c r="M99" s="22"/>
      <c r="N99" s="22"/>
      <c r="O99" s="22"/>
      <c r="P99" s="22"/>
      <c r="Q99" s="22"/>
    </row>
    <row r="100" spans="2:17">
      <c r="B100" s="7"/>
      <c r="C100" s="7"/>
      <c r="D100" s="39"/>
      <c r="E100" s="39"/>
      <c r="F100" s="39"/>
      <c r="G100" s="39"/>
      <c r="H100" s="39"/>
      <c r="I100" s="39"/>
      <c r="J100" s="39"/>
      <c r="K100" s="39"/>
      <c r="M100" s="22"/>
      <c r="N100" s="22"/>
      <c r="O100" s="22"/>
      <c r="P100" s="22"/>
      <c r="Q100" s="22"/>
    </row>
    <row r="101" spans="2:17">
      <c r="B101" s="7"/>
      <c r="C101" s="7"/>
      <c r="D101" s="39"/>
      <c r="E101" s="39"/>
      <c r="F101" s="39"/>
      <c r="G101" s="39"/>
      <c r="H101" s="39"/>
      <c r="I101" s="39"/>
      <c r="J101" s="39"/>
      <c r="K101" s="39"/>
      <c r="M101" s="22"/>
      <c r="N101" s="22"/>
      <c r="O101" s="22"/>
      <c r="P101" s="22"/>
      <c r="Q101" s="22"/>
    </row>
    <row r="102" spans="2:17">
      <c r="B102" s="7"/>
      <c r="C102" s="7"/>
      <c r="D102" s="39"/>
      <c r="E102" s="39"/>
      <c r="F102" s="39"/>
      <c r="G102" s="39"/>
      <c r="H102" s="39"/>
      <c r="I102" s="39"/>
      <c r="J102" s="39"/>
      <c r="K102" s="39"/>
      <c r="M102" s="22"/>
      <c r="N102" s="22"/>
      <c r="O102" s="22"/>
      <c r="P102" s="22"/>
      <c r="Q102" s="22"/>
    </row>
    <row r="103" spans="2:17">
      <c r="B103" s="7"/>
      <c r="C103" s="7"/>
      <c r="D103" s="39"/>
      <c r="E103" s="39"/>
      <c r="F103" s="39"/>
      <c r="G103" s="39"/>
      <c r="H103" s="39"/>
      <c r="I103" s="39"/>
      <c r="J103" s="39"/>
      <c r="K103" s="39"/>
      <c r="M103" s="22"/>
      <c r="N103" s="22"/>
      <c r="O103" s="22"/>
      <c r="P103" s="22"/>
      <c r="Q103" s="22"/>
    </row>
    <row r="104" spans="2:17">
      <c r="B104" s="7"/>
      <c r="C104" s="7"/>
      <c r="D104" s="39"/>
      <c r="E104" s="39"/>
      <c r="F104" s="39"/>
      <c r="G104" s="39"/>
      <c r="H104" s="39"/>
      <c r="I104" s="39"/>
      <c r="J104" s="39"/>
      <c r="K104" s="39"/>
      <c r="M104" s="22"/>
      <c r="N104" s="22"/>
      <c r="O104" s="22"/>
      <c r="P104" s="22"/>
      <c r="Q104" s="22"/>
    </row>
    <row r="105" spans="2:17">
      <c r="B105" s="7"/>
      <c r="C105" s="7"/>
      <c r="D105" s="39"/>
      <c r="E105" s="39"/>
      <c r="F105" s="39"/>
      <c r="G105" s="39"/>
      <c r="H105" s="39"/>
      <c r="I105" s="39"/>
      <c r="J105" s="39"/>
      <c r="K105" s="39"/>
      <c r="M105" s="22"/>
      <c r="N105" s="22"/>
      <c r="O105" s="22"/>
      <c r="P105" s="22"/>
      <c r="Q105" s="22"/>
    </row>
    <row r="106" spans="2:17">
      <c r="B106" s="7"/>
      <c r="C106" s="7"/>
      <c r="D106" s="39"/>
      <c r="E106" s="39"/>
      <c r="F106" s="39"/>
      <c r="G106" s="39"/>
      <c r="H106" s="39"/>
      <c r="I106" s="39"/>
      <c r="J106" s="39"/>
      <c r="K106" s="39"/>
      <c r="M106" s="22"/>
      <c r="N106" s="22"/>
      <c r="O106" s="22"/>
      <c r="P106" s="22"/>
      <c r="Q106" s="22"/>
    </row>
    <row r="107" spans="2:17">
      <c r="B107" s="7"/>
      <c r="C107" s="7"/>
      <c r="D107" s="39"/>
      <c r="E107" s="39"/>
      <c r="F107" s="39"/>
      <c r="G107" s="39"/>
      <c r="H107" s="39"/>
      <c r="I107" s="39"/>
      <c r="J107" s="39"/>
      <c r="K107" s="39"/>
      <c r="M107" s="22"/>
      <c r="N107" s="22"/>
      <c r="O107" s="22"/>
      <c r="P107" s="22"/>
      <c r="Q107" s="22"/>
    </row>
    <row r="108" spans="2:17">
      <c r="B108" s="7"/>
      <c r="C108" s="7"/>
      <c r="D108" s="39"/>
      <c r="E108" s="39"/>
      <c r="F108" s="39"/>
      <c r="G108" s="39"/>
      <c r="H108" s="39"/>
      <c r="I108" s="39"/>
      <c r="J108" s="39"/>
      <c r="K108" s="39"/>
      <c r="M108" s="22"/>
      <c r="N108" s="22"/>
      <c r="O108" s="22"/>
      <c r="P108" s="22"/>
      <c r="Q108" s="22"/>
    </row>
    <row r="109" spans="2:17">
      <c r="B109" s="7"/>
      <c r="C109" s="7"/>
      <c r="D109" s="39"/>
      <c r="E109" s="39"/>
      <c r="F109" s="39"/>
      <c r="G109" s="39"/>
      <c r="H109" s="39"/>
      <c r="I109" s="39"/>
      <c r="J109" s="39"/>
      <c r="K109" s="39"/>
      <c r="M109" s="22"/>
      <c r="N109" s="22"/>
      <c r="O109" s="22"/>
      <c r="P109" s="22"/>
      <c r="Q109" s="22"/>
    </row>
    <row r="110" spans="2:17">
      <c r="B110" s="7"/>
      <c r="C110" s="7"/>
      <c r="D110" s="39"/>
      <c r="E110" s="39"/>
      <c r="F110" s="39"/>
      <c r="G110" s="39"/>
      <c r="H110" s="39"/>
      <c r="I110" s="39"/>
      <c r="J110" s="39"/>
      <c r="K110" s="39"/>
      <c r="M110" s="22"/>
      <c r="N110" s="22"/>
      <c r="O110" s="22"/>
      <c r="P110" s="22"/>
      <c r="Q110" s="22"/>
    </row>
    <row r="111" spans="2:17">
      <c r="B111" s="7"/>
      <c r="C111" s="7"/>
      <c r="D111" s="39"/>
      <c r="E111" s="39"/>
      <c r="F111" s="39"/>
      <c r="G111" s="39"/>
      <c r="H111" s="39"/>
      <c r="I111" s="39"/>
      <c r="J111" s="39"/>
      <c r="K111" s="39"/>
      <c r="M111" s="22"/>
      <c r="N111" s="22"/>
      <c r="O111" s="22"/>
      <c r="P111" s="22"/>
      <c r="Q111" s="22"/>
    </row>
    <row r="112" spans="2:17">
      <c r="B112" s="7"/>
      <c r="C112" s="7"/>
      <c r="D112" s="39"/>
      <c r="E112" s="39"/>
      <c r="F112" s="39"/>
      <c r="G112" s="39"/>
      <c r="H112" s="39"/>
      <c r="I112" s="39"/>
      <c r="J112" s="39"/>
      <c r="K112" s="39"/>
      <c r="M112" s="22"/>
      <c r="N112" s="22"/>
      <c r="O112" s="22"/>
      <c r="P112" s="22"/>
      <c r="Q112" s="22"/>
    </row>
    <row r="113" spans="2:17">
      <c r="B113" s="7"/>
      <c r="C113" s="7"/>
      <c r="D113" s="39"/>
      <c r="E113" s="39"/>
      <c r="F113" s="39"/>
      <c r="G113" s="39"/>
      <c r="H113" s="39"/>
      <c r="I113" s="39"/>
      <c r="J113" s="39"/>
      <c r="K113" s="39"/>
      <c r="M113" s="22"/>
      <c r="N113" s="22"/>
      <c r="O113" s="22"/>
      <c r="P113" s="22"/>
      <c r="Q113" s="22"/>
    </row>
    <row r="114" spans="2:17">
      <c r="B114" s="7"/>
      <c r="C114" s="7"/>
      <c r="D114" s="39"/>
      <c r="E114" s="39"/>
      <c r="F114" s="39"/>
      <c r="G114" s="39"/>
      <c r="H114" s="39"/>
      <c r="I114" s="39"/>
      <c r="J114" s="39"/>
      <c r="K114" s="39"/>
      <c r="M114" s="22"/>
      <c r="N114" s="22"/>
      <c r="O114" s="22"/>
      <c r="P114" s="22"/>
      <c r="Q114" s="22"/>
    </row>
    <row r="115" spans="2:17">
      <c r="B115" s="7"/>
      <c r="C115" s="7"/>
      <c r="D115" s="39"/>
      <c r="E115" s="39"/>
      <c r="F115" s="39"/>
      <c r="G115" s="39"/>
      <c r="H115" s="39"/>
      <c r="I115" s="39"/>
      <c r="J115" s="39"/>
      <c r="K115" s="39"/>
      <c r="M115" s="22"/>
      <c r="N115" s="22"/>
      <c r="O115" s="22"/>
      <c r="P115" s="22"/>
      <c r="Q115" s="22"/>
    </row>
    <row r="116" spans="2:17">
      <c r="B116" s="7"/>
      <c r="C116" s="7"/>
      <c r="D116" s="39"/>
      <c r="E116" s="39"/>
      <c r="F116" s="39"/>
      <c r="G116" s="39"/>
      <c r="H116" s="39"/>
      <c r="I116" s="39"/>
      <c r="J116" s="39"/>
      <c r="K116" s="39"/>
      <c r="M116" s="22"/>
      <c r="N116" s="22"/>
      <c r="O116" s="22"/>
      <c r="P116" s="22"/>
      <c r="Q116" s="22"/>
    </row>
    <row r="117" spans="2:17">
      <c r="B117" s="7"/>
      <c r="C117" s="7"/>
      <c r="D117" s="39"/>
      <c r="E117" s="39"/>
      <c r="F117" s="39"/>
      <c r="G117" s="39"/>
      <c r="H117" s="39"/>
      <c r="I117" s="39"/>
      <c r="J117" s="39"/>
      <c r="K117" s="39"/>
      <c r="M117" s="22"/>
      <c r="N117" s="22"/>
      <c r="O117" s="22"/>
      <c r="P117" s="22"/>
      <c r="Q117" s="22"/>
    </row>
    <row r="118" spans="2:17">
      <c r="B118" s="7"/>
      <c r="C118" s="7"/>
      <c r="D118" s="39"/>
      <c r="E118" s="39"/>
      <c r="F118" s="39"/>
      <c r="G118" s="39"/>
      <c r="H118" s="39"/>
      <c r="I118" s="39"/>
      <c r="J118" s="39"/>
      <c r="K118" s="39"/>
      <c r="M118" s="22"/>
      <c r="N118" s="22"/>
      <c r="O118" s="22"/>
      <c r="P118" s="22"/>
      <c r="Q118" s="22"/>
    </row>
    <row r="119" spans="2:17">
      <c r="B119" s="7"/>
      <c r="C119" s="7"/>
      <c r="D119" s="39"/>
      <c r="E119" s="39"/>
      <c r="F119" s="39"/>
      <c r="G119" s="39"/>
      <c r="H119" s="39"/>
      <c r="I119" s="39"/>
      <c r="J119" s="39"/>
      <c r="K119" s="39"/>
      <c r="M119" s="22"/>
      <c r="N119" s="22"/>
      <c r="O119" s="22"/>
      <c r="P119" s="22"/>
      <c r="Q119" s="22"/>
    </row>
    <row r="120" spans="2:17">
      <c r="B120" s="7"/>
      <c r="C120" s="7"/>
      <c r="D120" s="39"/>
      <c r="E120" s="39"/>
      <c r="F120" s="39"/>
      <c r="G120" s="39"/>
      <c r="H120" s="39"/>
      <c r="I120" s="39"/>
      <c r="J120" s="39"/>
      <c r="K120" s="39"/>
      <c r="M120" s="22"/>
      <c r="N120" s="22"/>
      <c r="O120" s="22"/>
      <c r="P120" s="22"/>
      <c r="Q120" s="22"/>
    </row>
    <row r="121" spans="2:17">
      <c r="B121" s="7"/>
      <c r="C121" s="7"/>
      <c r="D121" s="39"/>
      <c r="E121" s="39"/>
      <c r="F121" s="39"/>
      <c r="G121" s="39"/>
      <c r="H121" s="39"/>
      <c r="I121" s="39"/>
      <c r="J121" s="39"/>
      <c r="K121" s="39"/>
      <c r="M121" s="22"/>
      <c r="N121" s="22"/>
      <c r="O121" s="22"/>
      <c r="P121" s="22"/>
      <c r="Q121" s="22"/>
    </row>
    <row r="122" spans="2:17">
      <c r="B122" s="7"/>
      <c r="C122" s="7"/>
      <c r="D122" s="39"/>
      <c r="E122" s="39"/>
      <c r="F122" s="39"/>
      <c r="G122" s="39"/>
      <c r="H122" s="39"/>
      <c r="I122" s="39"/>
      <c r="J122" s="39"/>
      <c r="K122" s="39"/>
      <c r="M122" s="22"/>
      <c r="N122" s="22"/>
      <c r="O122" s="22"/>
      <c r="P122" s="22"/>
      <c r="Q122" s="22"/>
    </row>
    <row r="123" spans="2:17">
      <c r="B123" s="7"/>
      <c r="C123" s="7"/>
      <c r="D123" s="39"/>
      <c r="E123" s="39"/>
      <c r="F123" s="39"/>
      <c r="G123" s="39"/>
      <c r="H123" s="39"/>
      <c r="I123" s="39"/>
      <c r="J123" s="39"/>
      <c r="K123" s="39"/>
      <c r="M123" s="22"/>
      <c r="N123" s="22"/>
      <c r="O123" s="22"/>
      <c r="P123" s="22"/>
      <c r="Q123" s="22"/>
    </row>
    <row r="124" spans="2:17">
      <c r="B124" s="7"/>
      <c r="C124" s="7"/>
      <c r="D124" s="39"/>
      <c r="E124" s="39"/>
      <c r="F124" s="39"/>
      <c r="G124" s="39"/>
      <c r="H124" s="39"/>
      <c r="I124" s="39"/>
      <c r="J124" s="39"/>
      <c r="K124" s="39"/>
      <c r="M124" s="22"/>
      <c r="N124" s="22"/>
      <c r="O124" s="22"/>
      <c r="P124" s="22"/>
      <c r="Q124" s="22"/>
    </row>
    <row r="125" spans="2:17">
      <c r="B125" s="7"/>
      <c r="C125" s="7"/>
      <c r="D125" s="39"/>
      <c r="E125" s="39"/>
      <c r="F125" s="39"/>
      <c r="G125" s="39"/>
      <c r="H125" s="39"/>
      <c r="I125" s="39"/>
      <c r="J125" s="39"/>
      <c r="K125" s="39"/>
      <c r="M125" s="22"/>
      <c r="N125" s="22"/>
      <c r="O125" s="22"/>
      <c r="P125" s="22"/>
      <c r="Q125" s="22"/>
    </row>
    <row r="126" spans="2:17">
      <c r="B126" s="7"/>
      <c r="C126" s="7"/>
      <c r="D126" s="39"/>
      <c r="E126" s="39"/>
      <c r="F126" s="39"/>
      <c r="G126" s="39"/>
      <c r="H126" s="39"/>
      <c r="I126" s="39"/>
      <c r="J126" s="39"/>
      <c r="K126" s="39"/>
      <c r="M126" s="22"/>
      <c r="N126" s="22"/>
      <c r="O126" s="22"/>
      <c r="P126" s="22"/>
      <c r="Q126" s="22"/>
    </row>
    <row r="127" spans="2:17">
      <c r="B127" s="7"/>
      <c r="C127" s="7"/>
      <c r="D127" s="39"/>
      <c r="E127" s="39"/>
      <c r="F127" s="39"/>
      <c r="G127" s="39"/>
      <c r="H127" s="39"/>
      <c r="I127" s="39"/>
      <c r="J127" s="39"/>
      <c r="K127" s="39"/>
      <c r="M127" s="22"/>
      <c r="N127" s="22"/>
      <c r="O127" s="22"/>
      <c r="P127" s="22"/>
      <c r="Q127" s="22"/>
    </row>
    <row r="128" spans="2:17">
      <c r="B128" s="7"/>
      <c r="C128" s="7"/>
      <c r="D128" s="39"/>
      <c r="E128" s="39"/>
      <c r="F128" s="39"/>
      <c r="G128" s="39"/>
      <c r="H128" s="39"/>
      <c r="I128" s="39"/>
      <c r="J128" s="39"/>
      <c r="K128" s="39"/>
      <c r="M128" s="22"/>
      <c r="N128" s="22"/>
      <c r="O128" s="22"/>
      <c r="P128" s="22"/>
      <c r="Q128" s="22"/>
    </row>
    <row r="129" spans="2:17">
      <c r="B129" s="7"/>
      <c r="C129" s="7"/>
      <c r="D129" s="39"/>
      <c r="E129" s="39"/>
      <c r="F129" s="39"/>
      <c r="G129" s="39"/>
      <c r="H129" s="39"/>
      <c r="I129" s="39"/>
      <c r="J129" s="39"/>
      <c r="K129" s="39"/>
      <c r="M129" s="22"/>
      <c r="N129" s="22"/>
      <c r="O129" s="22"/>
      <c r="P129" s="22"/>
      <c r="Q129" s="22"/>
    </row>
    <row r="130" spans="2:17">
      <c r="B130" s="7"/>
      <c r="C130" s="7"/>
      <c r="D130" s="39"/>
      <c r="E130" s="39"/>
      <c r="F130" s="39"/>
      <c r="G130" s="39"/>
      <c r="H130" s="39"/>
      <c r="I130" s="39"/>
      <c r="J130" s="39"/>
      <c r="K130" s="39"/>
      <c r="M130" s="22"/>
      <c r="N130" s="22"/>
      <c r="O130" s="22"/>
      <c r="P130" s="22"/>
      <c r="Q130" s="22"/>
    </row>
    <row r="131" spans="2:17">
      <c r="B131" s="7"/>
      <c r="C131" s="7"/>
      <c r="D131" s="39"/>
      <c r="E131" s="39"/>
      <c r="F131" s="39"/>
      <c r="G131" s="39"/>
      <c r="H131" s="39"/>
      <c r="I131" s="39"/>
      <c r="J131" s="39"/>
      <c r="K131" s="39"/>
      <c r="M131" s="22"/>
      <c r="N131" s="22"/>
      <c r="O131" s="22"/>
      <c r="P131" s="22"/>
      <c r="Q131" s="22"/>
    </row>
    <row r="132" spans="2:17">
      <c r="B132" s="7"/>
      <c r="C132" s="7"/>
      <c r="D132" s="39"/>
      <c r="E132" s="39"/>
      <c r="F132" s="39"/>
      <c r="G132" s="39"/>
      <c r="H132" s="39"/>
      <c r="I132" s="39"/>
      <c r="J132" s="39"/>
      <c r="K132" s="39"/>
      <c r="M132" s="22"/>
      <c r="N132" s="22"/>
      <c r="O132" s="22"/>
      <c r="P132" s="22"/>
      <c r="Q132" s="22"/>
    </row>
    <row r="133" spans="2:17">
      <c r="B133" s="7"/>
      <c r="C133" s="7"/>
      <c r="D133" s="39"/>
      <c r="E133" s="39"/>
      <c r="F133" s="39"/>
      <c r="G133" s="39"/>
      <c r="H133" s="39"/>
      <c r="I133" s="39"/>
      <c r="J133" s="39"/>
      <c r="K133" s="39"/>
      <c r="M133" s="22"/>
      <c r="N133" s="22"/>
      <c r="O133" s="22"/>
      <c r="P133" s="22"/>
      <c r="Q133" s="22"/>
    </row>
    <row r="134" spans="2:17">
      <c r="B134" s="7"/>
      <c r="C134" s="7"/>
      <c r="D134" s="39"/>
      <c r="E134" s="39"/>
      <c r="F134" s="39"/>
      <c r="G134" s="39"/>
      <c r="H134" s="39"/>
      <c r="I134" s="39"/>
      <c r="J134" s="39"/>
      <c r="K134" s="39"/>
      <c r="M134" s="22"/>
      <c r="N134" s="22"/>
      <c r="O134" s="22"/>
      <c r="P134" s="22"/>
      <c r="Q134" s="22"/>
    </row>
    <row r="135" spans="2:17">
      <c r="B135" s="7"/>
      <c r="C135" s="7"/>
      <c r="D135" s="39"/>
      <c r="E135" s="39"/>
      <c r="F135" s="39"/>
      <c r="G135" s="39"/>
      <c r="H135" s="39"/>
      <c r="I135" s="39"/>
      <c r="J135" s="39"/>
      <c r="K135" s="39"/>
      <c r="M135" s="22"/>
      <c r="N135" s="22"/>
      <c r="O135" s="22"/>
      <c r="P135" s="22"/>
      <c r="Q135" s="22"/>
    </row>
    <row r="136" spans="2:17">
      <c r="B136" s="7"/>
      <c r="C136" s="7"/>
      <c r="D136" s="39"/>
      <c r="E136" s="39"/>
      <c r="F136" s="39"/>
      <c r="G136" s="39"/>
      <c r="H136" s="39"/>
      <c r="I136" s="39"/>
      <c r="J136" s="39"/>
      <c r="K136" s="39"/>
    </row>
    <row r="137" spans="2:17">
      <c r="B137" s="7"/>
      <c r="C137" s="7"/>
      <c r="D137" s="39"/>
      <c r="E137" s="39"/>
      <c r="F137" s="39"/>
      <c r="G137" s="39"/>
      <c r="H137" s="39"/>
      <c r="I137" s="39"/>
      <c r="J137" s="39"/>
      <c r="K137" s="39"/>
    </row>
    <row r="138" spans="2:17">
      <c r="B138" s="7"/>
      <c r="C138" s="7"/>
      <c r="D138" s="39"/>
      <c r="E138" s="39"/>
      <c r="F138" s="39"/>
      <c r="G138" s="39"/>
      <c r="H138" s="39"/>
      <c r="I138" s="39"/>
      <c r="J138" s="39"/>
      <c r="K138" s="39"/>
    </row>
    <row r="139" spans="2:17">
      <c r="B139" s="7"/>
      <c r="C139" s="7"/>
      <c r="D139" s="39"/>
      <c r="E139" s="39"/>
      <c r="F139" s="39"/>
      <c r="G139" s="39"/>
      <c r="H139" s="39"/>
      <c r="I139" s="39"/>
      <c r="J139" s="39"/>
      <c r="K139" s="39"/>
    </row>
    <row r="140" spans="2:17">
      <c r="B140" s="7"/>
      <c r="C140" s="7"/>
      <c r="D140" s="39"/>
      <c r="E140" s="39"/>
      <c r="F140" s="39"/>
      <c r="G140" s="39"/>
      <c r="H140" s="39"/>
      <c r="I140" s="39"/>
      <c r="J140" s="39"/>
      <c r="K140" s="39"/>
    </row>
    <row r="141" spans="2:17">
      <c r="B141" s="7"/>
      <c r="C141" s="7"/>
      <c r="D141" s="39"/>
      <c r="E141" s="39"/>
      <c r="F141" s="39"/>
      <c r="G141" s="39"/>
      <c r="H141" s="39"/>
      <c r="I141" s="39"/>
      <c r="J141" s="39"/>
      <c r="K141" s="39"/>
    </row>
    <row r="142" spans="2:17">
      <c r="B142" s="7"/>
      <c r="C142" s="7"/>
      <c r="D142" s="39"/>
      <c r="E142" s="39"/>
      <c r="F142" s="39"/>
      <c r="G142" s="39"/>
      <c r="H142" s="39"/>
      <c r="I142" s="39"/>
      <c r="J142" s="39"/>
      <c r="K142" s="39"/>
    </row>
    <row r="143" spans="2:17">
      <c r="B143" s="7"/>
      <c r="C143" s="7"/>
      <c r="D143" s="39"/>
      <c r="E143" s="39"/>
      <c r="F143" s="39"/>
      <c r="G143" s="39"/>
      <c r="H143" s="39"/>
      <c r="I143" s="39"/>
      <c r="J143" s="39"/>
      <c r="K143" s="39"/>
    </row>
    <row r="144" spans="2:17">
      <c r="B144" s="7"/>
      <c r="C144" s="7"/>
      <c r="D144" s="39"/>
      <c r="E144" s="39"/>
      <c r="F144" s="39"/>
      <c r="G144" s="39"/>
      <c r="H144" s="39"/>
      <c r="I144" s="39"/>
      <c r="J144" s="39"/>
      <c r="K144" s="39"/>
    </row>
    <row r="145" spans="2:11">
      <c r="B145" s="7"/>
      <c r="C145" s="7"/>
      <c r="D145" s="39"/>
      <c r="E145" s="39"/>
      <c r="F145" s="39"/>
      <c r="G145" s="39"/>
      <c r="H145" s="39"/>
      <c r="I145" s="39"/>
      <c r="J145" s="39"/>
      <c r="K145" s="39"/>
    </row>
    <row r="146" spans="2:11">
      <c r="B146" s="7"/>
      <c r="C146" s="7"/>
      <c r="D146" s="39"/>
      <c r="E146" s="39"/>
      <c r="F146" s="39"/>
      <c r="G146" s="39"/>
      <c r="H146" s="39"/>
      <c r="I146" s="39"/>
      <c r="J146" s="39"/>
      <c r="K146" s="39"/>
    </row>
    <row r="147" spans="2:11">
      <c r="B147" s="7"/>
      <c r="C147" s="7"/>
      <c r="D147" s="39"/>
      <c r="E147" s="39"/>
      <c r="F147" s="39"/>
      <c r="G147" s="39"/>
      <c r="H147" s="39"/>
      <c r="I147" s="39"/>
      <c r="J147" s="39"/>
      <c r="K147" s="39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Q10"/>
  <sheetViews>
    <sheetView topLeftCell="D1" workbookViewId="0">
      <selection activeCell="H14" sqref="H14"/>
    </sheetView>
  </sheetViews>
  <sheetFormatPr defaultColWidth="11.5703125" defaultRowHeight="12.6"/>
  <cols>
    <col min="4" max="4" width="16.5703125" bestFit="1" customWidth="1"/>
  </cols>
  <sheetData>
    <row r="3" spans="2:17" ht="14.45">
      <c r="D3" s="19" t="s">
        <v>21</v>
      </c>
      <c r="E3" s="20">
        <v>43466</v>
      </c>
      <c r="F3" s="20">
        <v>43497</v>
      </c>
      <c r="G3" s="20">
        <v>43525</v>
      </c>
      <c r="H3" s="20">
        <v>43556</v>
      </c>
      <c r="I3" s="20">
        <v>43586</v>
      </c>
      <c r="J3" s="20">
        <v>43617</v>
      </c>
      <c r="K3" s="20">
        <v>43647</v>
      </c>
      <c r="L3" s="20">
        <v>43678</v>
      </c>
      <c r="M3" s="20">
        <v>43709</v>
      </c>
      <c r="N3" s="20">
        <v>43739</v>
      </c>
      <c r="O3" s="20">
        <v>43770</v>
      </c>
      <c r="P3" s="20">
        <v>43800</v>
      </c>
      <c r="Q3" s="21" t="s">
        <v>22</v>
      </c>
    </row>
    <row r="4" spans="2:17" ht="14.45">
      <c r="D4" t="s">
        <v>23</v>
      </c>
      <c r="E4" s="39">
        <v>116061</v>
      </c>
      <c r="F4" s="22">
        <v>0</v>
      </c>
      <c r="G4" s="22">
        <v>0</v>
      </c>
      <c r="H4" s="22">
        <v>0</v>
      </c>
      <c r="I4" s="22">
        <v>0</v>
      </c>
      <c r="J4" s="22">
        <v>0</v>
      </c>
      <c r="K4" s="22">
        <v>0</v>
      </c>
      <c r="L4" s="22">
        <v>0</v>
      </c>
      <c r="M4" s="22">
        <v>0</v>
      </c>
      <c r="N4" s="22">
        <v>0</v>
      </c>
      <c r="O4" s="22">
        <v>0</v>
      </c>
      <c r="P4" s="22">
        <v>0</v>
      </c>
      <c r="Q4" s="23">
        <f>SUM(E4:P4)</f>
        <v>116061</v>
      </c>
    </row>
    <row r="5" spans="2:17" ht="14.45">
      <c r="D5" t="s">
        <v>24</v>
      </c>
      <c r="E5" s="24">
        <f t="shared" ref="E5:K5" si="0">21+25</f>
        <v>46</v>
      </c>
      <c r="F5" s="24">
        <f t="shared" si="0"/>
        <v>46</v>
      </c>
      <c r="G5" s="24">
        <f t="shared" si="0"/>
        <v>46</v>
      </c>
      <c r="H5" s="24">
        <f t="shared" si="0"/>
        <v>46</v>
      </c>
      <c r="I5" s="24">
        <f t="shared" si="0"/>
        <v>46</v>
      </c>
      <c r="J5" s="24">
        <f t="shared" si="0"/>
        <v>46</v>
      </c>
      <c r="K5" s="24">
        <f t="shared" si="0"/>
        <v>46</v>
      </c>
      <c r="L5" s="24">
        <f>K5</f>
        <v>46</v>
      </c>
      <c r="M5" s="24">
        <f>L5</f>
        <v>46</v>
      </c>
      <c r="N5" s="24">
        <f>M5</f>
        <v>46</v>
      </c>
      <c r="O5" s="24">
        <f>N5</f>
        <v>46</v>
      </c>
      <c r="P5" s="24">
        <f>O5</f>
        <v>46</v>
      </c>
      <c r="Q5" s="25">
        <f>SUM(E5:P5)</f>
        <v>552</v>
      </c>
    </row>
    <row r="6" spans="2:17" ht="14.45">
      <c r="D6" t="s">
        <v>25</v>
      </c>
      <c r="E6" s="26">
        <v>3.0200000000000001E-2</v>
      </c>
      <c r="F6" s="26">
        <v>3.0200000000000001E-2</v>
      </c>
      <c r="G6" s="26">
        <v>3.0200000000000001E-2</v>
      </c>
      <c r="H6" s="26">
        <v>3.0200000000000001E-2</v>
      </c>
      <c r="I6" s="26">
        <v>3.0200000000000001E-2</v>
      </c>
      <c r="J6" s="26">
        <v>3.0200000000000001E-2</v>
      </c>
      <c r="K6" s="26">
        <v>3.0200000000000001E-2</v>
      </c>
      <c r="L6" s="26">
        <v>3.0200000000000001E-2</v>
      </c>
      <c r="M6" s="26">
        <v>3.0200000000000001E-2</v>
      </c>
      <c r="N6" s="26">
        <v>3.0200000000000001E-2</v>
      </c>
      <c r="O6" s="26">
        <v>3.0200000000000001E-2</v>
      </c>
      <c r="P6" s="26">
        <v>3.0200000000000001E-2</v>
      </c>
      <c r="Q6" s="27">
        <v>3.0200000000000001E-2</v>
      </c>
    </row>
    <row r="7" spans="2:17" s="28" customFormat="1" ht="14.45">
      <c r="B7"/>
      <c r="D7" s="29" t="s">
        <v>26</v>
      </c>
      <c r="E7" s="30">
        <f t="shared" ref="E7:J7" si="1">E6*E4+E5</f>
        <v>3551.0422000000003</v>
      </c>
      <c r="F7" s="30">
        <f t="shared" si="1"/>
        <v>46</v>
      </c>
      <c r="G7" s="30">
        <f t="shared" si="1"/>
        <v>46</v>
      </c>
      <c r="H7" s="30">
        <f t="shared" si="1"/>
        <v>46</v>
      </c>
      <c r="I7" s="30">
        <f t="shared" si="1"/>
        <v>46</v>
      </c>
      <c r="J7" s="30">
        <f t="shared" si="1"/>
        <v>46</v>
      </c>
      <c r="K7" s="30">
        <f t="shared" ref="K7:P7" si="2">K6*K4+K5</f>
        <v>46</v>
      </c>
      <c r="L7" s="30">
        <f t="shared" si="2"/>
        <v>46</v>
      </c>
      <c r="M7" s="30">
        <f t="shared" si="2"/>
        <v>46</v>
      </c>
      <c r="N7" s="30">
        <f t="shared" si="2"/>
        <v>46</v>
      </c>
      <c r="O7" s="30">
        <f t="shared" si="2"/>
        <v>46</v>
      </c>
      <c r="P7" s="30">
        <f t="shared" si="2"/>
        <v>46</v>
      </c>
      <c r="Q7" s="30">
        <f>SUM(E7:P7)</f>
        <v>4057.0422000000003</v>
      </c>
    </row>
    <row r="8" spans="2:17" s="28" customFormat="1" ht="14.45">
      <c r="B8"/>
      <c r="D8" s="32" t="s">
        <v>27</v>
      </c>
      <c r="E8" s="31">
        <v>32885</v>
      </c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</row>
    <row r="9" spans="2:17" ht="14.45">
      <c r="D9" t="s">
        <v>28</v>
      </c>
      <c r="E9">
        <v>0.255</v>
      </c>
      <c r="F9">
        <v>0.255</v>
      </c>
      <c r="G9">
        <v>0.255</v>
      </c>
      <c r="H9">
        <v>0.255</v>
      </c>
      <c r="I9">
        <v>0.255</v>
      </c>
      <c r="J9">
        <v>0.255</v>
      </c>
      <c r="K9">
        <v>0.255</v>
      </c>
      <c r="L9">
        <v>0.255</v>
      </c>
      <c r="M9">
        <v>0.255</v>
      </c>
      <c r="N9">
        <v>0.255</v>
      </c>
      <c r="O9">
        <v>0.255</v>
      </c>
      <c r="P9">
        <v>0.255</v>
      </c>
      <c r="Q9" s="28"/>
    </row>
    <row r="10" spans="2:17" s="33" customFormat="1" ht="14.45">
      <c r="D10" s="34" t="s">
        <v>29</v>
      </c>
      <c r="E10" s="35">
        <f>E8*E9+E7</f>
        <v>11936.717199999999</v>
      </c>
      <c r="F10" s="35" t="e">
        <f t="shared" ref="F10:P10" si="3">(F9+F7)/F4</f>
        <v>#DIV/0!</v>
      </c>
      <c r="G10" s="35" t="e">
        <f t="shared" si="3"/>
        <v>#DIV/0!</v>
      </c>
      <c r="H10" s="35" t="e">
        <f t="shared" si="3"/>
        <v>#DIV/0!</v>
      </c>
      <c r="I10" s="35" t="e">
        <f t="shared" si="3"/>
        <v>#DIV/0!</v>
      </c>
      <c r="J10" s="35" t="e">
        <f t="shared" si="3"/>
        <v>#DIV/0!</v>
      </c>
      <c r="K10" s="35" t="e">
        <f t="shared" si="3"/>
        <v>#DIV/0!</v>
      </c>
      <c r="L10" s="35" t="e">
        <f t="shared" si="3"/>
        <v>#DIV/0!</v>
      </c>
      <c r="M10" s="35" t="e">
        <f t="shared" si="3"/>
        <v>#DIV/0!</v>
      </c>
      <c r="N10" s="35" t="e">
        <f t="shared" si="3"/>
        <v>#DIV/0!</v>
      </c>
      <c r="O10" s="35" t="e">
        <f t="shared" si="3"/>
        <v>#DIV/0!</v>
      </c>
      <c r="P10" s="35" t="e">
        <f t="shared" si="3"/>
        <v>#DIV/0!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5703125" defaultRowHeight="12.6"/>
  <sheetData/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Guest User</cp:lastModifiedBy>
  <cp:revision/>
  <dcterms:created xsi:type="dcterms:W3CDTF">2016-09-19T10:41:46Z</dcterms:created>
  <dcterms:modified xsi:type="dcterms:W3CDTF">2020-06-12T10:00:22Z</dcterms:modified>
  <cp:category/>
  <cp:contentStatus/>
</cp:coreProperties>
</file>