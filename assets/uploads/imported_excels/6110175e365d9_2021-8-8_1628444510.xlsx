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<sst xmlns="http://schemas.openxmlformats.org/spreadsheetml/2006/main" count="313" uniqueCount="148">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</sst>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 t="e">
        <f>Submetering!E9+Submetering!F9+Submetering!G9+Submetering!H9+Submetering!J9-Submetering!AV9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 t="e">
        <f>'FS Desroches Daily'!CM11</f>
        <v>#VALUE!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17099.999999999669</v>
      </c>
      <c r="F33" s="17">
        <f t="shared" ref="F33:BC33" si="1">SUM(F2:F32)</f>
        <v>18599.999999999727</v>
      </c>
      <c r="G33" s="17">
        <f t="shared" si="1"/>
        <v>18899.999999999916</v>
      </c>
      <c r="H33" s="17">
        <f t="shared" si="1"/>
        <v>8799.9999999999181</v>
      </c>
      <c r="I33" s="17">
        <f t="shared" si="1"/>
        <v>13999.999999999791</v>
      </c>
      <c r="J33" s="17">
        <f t="shared" si="1"/>
        <v>5900.0000000000164</v>
      </c>
      <c r="K33" s="17">
        <f t="shared" si="1"/>
        <v>39</v>
      </c>
      <c r="L33" s="17">
        <f t="shared" si="1"/>
        <v>18</v>
      </c>
      <c r="M33" s="17">
        <f t="shared" si="1"/>
        <v>5.8999999999999773</v>
      </c>
      <c r="N33" s="17">
        <f t="shared" si="1"/>
        <v>2294.7999999999884</v>
      </c>
      <c r="O33" s="17">
        <f t="shared" si="1"/>
        <v>1860.0000000000136</v>
      </c>
      <c r="P33" s="17">
        <f t="shared" si="1"/>
        <v>16700.00000000016</v>
      </c>
      <c r="Q33" s="17">
        <f t="shared" si="1"/>
        <v>1880.0000000000523</v>
      </c>
      <c r="R33" s="17">
        <f t="shared" si="1"/>
        <v>1939.9999999999977</v>
      </c>
      <c r="S33" s="17">
        <f t="shared" si="1"/>
        <v>1359.9999999999</v>
      </c>
      <c r="T33" s="17">
        <f t="shared" si="1"/>
        <v>247</v>
      </c>
      <c r="U33" s="35">
        <f t="shared" si="1"/>
        <v>6120.0000000000045</v>
      </c>
      <c r="V33" s="35">
        <f t="shared" si="1"/>
        <v>1479.9999999999898</v>
      </c>
      <c r="W33" s="35">
        <f t="shared" si="1"/>
        <v>1300.0000000000114</v>
      </c>
      <c r="X33" s="35">
        <f t="shared" si="1"/>
        <v>1400.0000000000057</v>
      </c>
      <c r="Y33" s="35">
        <f t="shared" si="1"/>
        <v>1439.9999999999977</v>
      </c>
      <c r="Z33" s="35">
        <f t="shared" si="1"/>
        <v>970.00000000002728</v>
      </c>
      <c r="AA33" s="35">
        <f t="shared" si="1"/>
        <v>970.00000000002728</v>
      </c>
      <c r="AB33" s="35">
        <f t="shared" si="1"/>
        <v>1099.9999999999659</v>
      </c>
      <c r="AC33" s="35">
        <f t="shared" si="1"/>
        <v>279.99999999997272</v>
      </c>
      <c r="AD33" s="35">
        <f t="shared" si="1"/>
        <v>180.00000000000682</v>
      </c>
      <c r="AE33" s="35">
        <f t="shared" si="1"/>
        <v>579.99999999998408</v>
      </c>
      <c r="AF33" s="17">
        <f t="shared" si="1"/>
        <v>222</v>
      </c>
      <c r="AG33" s="32">
        <f t="shared" si="1"/>
        <v>310.00000000000227</v>
      </c>
      <c r="AH33" s="32">
        <f t="shared" si="1"/>
        <v>189.99999999999773</v>
      </c>
      <c r="AI33" s="32">
        <f t="shared" si="1"/>
        <v>189.99999999999773</v>
      </c>
      <c r="AJ33" s="32">
        <f t="shared" si="1"/>
        <v>280.00000000000114</v>
      </c>
      <c r="AK33" s="32">
        <f t="shared" si="1"/>
        <v>330.00000000004093</v>
      </c>
      <c r="AL33" s="32">
        <f t="shared" si="1"/>
        <v>177</v>
      </c>
      <c r="AM33" s="32">
        <f t="shared" si="1"/>
        <v>250</v>
      </c>
      <c r="AN33" s="32">
        <f t="shared" si="1"/>
        <v>282</v>
      </c>
      <c r="AO33" s="32">
        <f t="shared" si="1"/>
        <v>169.99999999998749</v>
      </c>
      <c r="AP33" s="32">
        <f t="shared" si="1"/>
        <v>290</v>
      </c>
      <c r="AQ33" s="17">
        <f t="shared" si="1"/>
        <v>235.80000000000291</v>
      </c>
      <c r="AR33" s="17">
        <f t="shared" si="1"/>
        <v>51.5</v>
      </c>
      <c r="AS33" s="17">
        <f t="shared" si="1"/>
        <v>50.800000000000182</v>
      </c>
      <c r="AT33" s="17">
        <f t="shared" si="1"/>
        <v>370.90000000000146</v>
      </c>
      <c r="AU33" s="17">
        <f t="shared" si="1"/>
        <v>1902</v>
      </c>
      <c r="AV33" s="17">
        <f t="shared" si="1"/>
        <v>5169.9999999999591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38.461500000000001</v>
      </c>
      <c r="BC33" s="17">
        <f t="shared" si="1"/>
        <v>111</v>
      </c>
    </row>
    <row r="35" spans="5:55" x14ac:dyDescent="0.25">
      <c r="E35" s="38">
        <f>E33/E37</f>
        <v>0.28293457758363744</v>
      </c>
      <c r="G35" s="29">
        <f>G33-M36</f>
        <v>16599.299999999927</v>
      </c>
      <c r="AE35" s="35">
        <f>SUM(U33:AE33)</f>
        <v>15819.999999999993</v>
      </c>
      <c r="AG35" s="32">
        <f>SUM(AG33:AP33)</f>
        <v>2469.0000000000273</v>
      </c>
    </row>
    <row r="36" spans="5:55" x14ac:dyDescent="0.25">
      <c r="G36" s="29">
        <f>G35-633*14</f>
        <v>7737.2999999999265</v>
      </c>
      <c r="M36" s="29">
        <f>M33+N33</f>
        <v>2300.6999999999884</v>
      </c>
    </row>
    <row r="37" spans="5:55" x14ac:dyDescent="0.25">
      <c r="E37" s="17">
        <f>E33+F33+G33+H33+J33-633*14</f>
        <v>60437.999999999258</v>
      </c>
      <c r="G37" s="37">
        <f>M36/E37</f>
        <v>3.8067110096297305E-2</v>
      </c>
      <c r="M37" s="35">
        <f>AE35</f>
        <v>15819.999999999993</v>
      </c>
    </row>
    <row r="38" spans="5:55" x14ac:dyDescent="0.25">
      <c r="L38" s="27">
        <f>M38/E37</f>
        <v>4.0851781991463276E-2</v>
      </c>
      <c r="M38" s="29">
        <f>AG35</f>
        <v>2469.0000000000273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ySplit="1" topLeftCell="A2" activePane="bottomLeft" state="frozen"/>
      <selection pane="bottomLeft" activeCell="A11" sqref="A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/>
      <c r="D11" s="64" t="str">
        <f t="shared" si="0"/>
        <v>0</v>
      </c>
      <c r="E11" s="58"/>
      <c r="F11" s="64" t="str">
        <f t="shared" si="1"/>
        <v>0</v>
      </c>
      <c r="G11" s="58"/>
      <c r="H11" s="64" t="str">
        <f t="shared" si="2"/>
        <v>0</v>
      </c>
      <c r="I11" s="58"/>
      <c r="J11" s="64" t="str">
        <f t="shared" si="3"/>
        <v>0</v>
      </c>
      <c r="K11" s="58"/>
      <c r="L11" s="64" t="str">
        <f t="shared" si="4"/>
        <v>0</v>
      </c>
      <c r="M11" s="58"/>
      <c r="N11" s="64" t="str">
        <f t="shared" si="5"/>
        <v/>
      </c>
      <c r="O11" s="58"/>
      <c r="P11" s="67" t="str">
        <f t="shared" ref="P11:P34" si="44">IF((O11-O10&lt;0), "",O11-O10)</f>
        <v/>
      </c>
      <c r="Q11" s="58"/>
      <c r="R11" s="67" t="str">
        <f t="shared" si="6"/>
        <v/>
      </c>
      <c r="S11" s="58"/>
      <c r="T11" s="67" t="str">
        <f t="shared" si="7"/>
        <v/>
      </c>
      <c r="U11" s="58"/>
      <c r="V11" s="67" t="str">
        <f t="shared" si="8"/>
        <v/>
      </c>
      <c r="W11" s="58"/>
      <c r="X11" s="65" t="str">
        <f t="shared" si="9"/>
        <v/>
      </c>
      <c r="Y11" s="58"/>
      <c r="Z11" s="65" t="str">
        <f t="shared" si="10"/>
        <v/>
      </c>
      <c r="AA11" s="58"/>
      <c r="AB11" s="65" t="str">
        <f t="shared" si="11"/>
        <v/>
      </c>
      <c r="AC11" s="58"/>
      <c r="AD11" s="65" t="str">
        <f t="shared" si="12"/>
        <v/>
      </c>
      <c r="AE11" s="58"/>
      <c r="AF11" s="65" t="str">
        <f t="shared" si="13"/>
        <v/>
      </c>
      <c r="AG11" s="58"/>
      <c r="AH11" s="67" t="str">
        <f t="shared" si="14"/>
        <v/>
      </c>
      <c r="AI11" s="58"/>
      <c r="AJ11" s="65" t="str">
        <f t="shared" si="15"/>
        <v/>
      </c>
      <c r="AK11" s="58"/>
      <c r="AL11" s="65" t="str">
        <f t="shared" si="15"/>
        <v/>
      </c>
      <c r="AM11" s="58"/>
      <c r="AN11" s="65" t="str">
        <f t="shared" si="15"/>
        <v/>
      </c>
      <c r="AO11" s="58"/>
      <c r="AP11" s="65" t="str">
        <f t="shared" si="15"/>
        <v/>
      </c>
      <c r="AQ11" s="58"/>
      <c r="AR11" s="65" t="str">
        <f t="shared" si="16"/>
        <v/>
      </c>
      <c r="AS11" s="58"/>
      <c r="AT11" s="65" t="str">
        <f t="shared" si="17"/>
        <v/>
      </c>
      <c r="AU11" s="58"/>
      <c r="AV11" s="65" t="str">
        <f t="shared" si="18"/>
        <v/>
      </c>
      <c r="AW11" s="58"/>
      <c r="AX11" s="65" t="str">
        <f t="shared" si="19"/>
        <v/>
      </c>
      <c r="AY11" s="58"/>
      <c r="AZ11" s="65" t="str">
        <f t="shared" si="20"/>
        <v/>
      </c>
      <c r="BA11" s="58"/>
      <c r="BB11" s="65" t="str">
        <f t="shared" si="21"/>
        <v/>
      </c>
      <c r="BC11" s="58"/>
      <c r="BD11" s="65" t="str">
        <f>IF((BC11-BC10&lt;0), "",(BC11-BC10)*1000)</f>
        <v/>
      </c>
      <c r="BE11" s="59"/>
      <c r="BF11" s="67" t="str">
        <f t="shared" si="39"/>
        <v/>
      </c>
      <c r="BG11" s="60"/>
      <c r="BH11" s="65" t="str">
        <f t="shared" si="23"/>
        <v/>
      </c>
      <c r="BI11" s="60"/>
      <c r="BJ11" s="65" t="str">
        <f t="shared" si="40"/>
        <v/>
      </c>
      <c r="BK11" s="60"/>
      <c r="BL11" s="65" t="str">
        <f t="shared" si="24"/>
        <v/>
      </c>
      <c r="BM11" s="60"/>
      <c r="BN11" s="65" t="str">
        <f t="shared" si="25"/>
        <v/>
      </c>
      <c r="BO11" s="60"/>
      <c r="BP11" s="65" t="str">
        <f t="shared" si="26"/>
        <v/>
      </c>
      <c r="BQ11" s="60"/>
      <c r="BR11" s="65" t="str">
        <f t="shared" si="27"/>
        <v/>
      </c>
      <c r="BS11" s="60"/>
      <c r="BT11" s="65" t="str">
        <f t="shared" si="42"/>
        <v/>
      </c>
      <c r="BU11" s="60"/>
      <c r="BV11" s="65" t="str">
        <f t="shared" si="29"/>
        <v/>
      </c>
      <c r="BW11" s="60"/>
      <c r="BX11" s="65" t="str">
        <f t="shared" si="30"/>
        <v/>
      </c>
      <c r="BY11" s="60"/>
      <c r="BZ11" s="67" t="str">
        <f t="shared" si="31"/>
        <v/>
      </c>
      <c r="CA11" s="60"/>
      <c r="CB11" s="67" t="str">
        <f t="shared" si="32"/>
        <v/>
      </c>
      <c r="CC11" s="60"/>
      <c r="CD11" s="67" t="str">
        <f t="shared" si="33"/>
        <v/>
      </c>
      <c r="CE11" s="60"/>
      <c r="CF11" s="67" t="str">
        <f t="shared" si="34"/>
        <v/>
      </c>
      <c r="CG11" s="60"/>
      <c r="CH11" s="67" t="str">
        <f t="shared" si="35"/>
        <v/>
      </c>
      <c r="CI11" s="60"/>
      <c r="CJ11" s="67" t="str">
        <f t="shared" si="36"/>
        <v/>
      </c>
      <c r="CK11" s="60"/>
      <c r="CL11" s="64" t="str">
        <f t="shared" si="37"/>
        <v/>
      </c>
      <c r="CM11" s="65" t="e">
        <f t="shared" si="41"/>
        <v>#VALUE!</v>
      </c>
      <c r="CN11" s="62">
        <v>0</v>
      </c>
      <c r="CO11" s="62">
        <v>0</v>
      </c>
      <c r="CP11" s="68"/>
      <c r="CQ11" s="67" t="str">
        <f>IF((CP11-CP10&lt;0), "",CP11-CP10)</f>
        <v/>
      </c>
      <c r="CR11" s="68"/>
      <c r="CS11" s="67" t="str">
        <f t="shared" si="38"/>
        <v/>
      </c>
      <c r="CT11" s="75"/>
      <c r="CU11" s="67" t="str">
        <f t="shared" si="38"/>
        <v/>
      </c>
      <c r="CV11" s="68"/>
      <c r="CW11" s="67" t="str">
        <f t="shared" si="38"/>
        <v/>
      </c>
    </row>
    <row r="12" spans="1:102" ht="25.5" customHeight="1" thickBot="1" x14ac:dyDescent="0.45">
      <c r="A12" s="63">
        <v>44417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44418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44419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44420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44421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44422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44423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44424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44425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44426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44427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44428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T23" sqref="T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212</v>
      </c>
      <c r="T14">
        <f t="shared" si="0"/>
        <v>0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-212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2021-08-08T17:09:26Z</dcterms:modified>
</cp:coreProperties>
</file>