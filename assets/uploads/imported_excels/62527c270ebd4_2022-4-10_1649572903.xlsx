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W29" i="7" l="1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<sst xmlns="http://schemas.openxmlformats.org/spreadsheetml/2006/main" count="128" uniqueCount="49">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</sst>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M25" sqref="AM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7"/>
        <v>0</v>
      </c>
      <c r="R16" s="37" t="str">
        <f t="shared" si="18"/>
        <v>0</v>
      </c>
      <c r="S16" s="37" t="str">
        <f t="shared" si="16"/>
        <v>0</v>
      </c>
      <c r="T16" s="37" t="str">
        <f t="shared" si="19"/>
        <v>0</v>
      </c>
      <c r="U16" s="37" t="str">
        <f t="shared" si="20"/>
        <v>0</v>
      </c>
      <c r="V16" s="37" t="str">
        <f t="shared" si="21"/>
        <v>0</v>
      </c>
      <c r="W16" s="37" t="str">
        <f t="shared" si="22"/>
        <v>0</v>
      </c>
      <c r="X16" s="37" t="str">
        <f t="shared" si="23"/>
        <v>0</v>
      </c>
      <c r="Y16" s="37" t="str">
        <f t="shared" si="24"/>
        <v>0</v>
      </c>
      <c r="Z16" s="37" t="str">
        <f t="shared" si="25"/>
        <v>0</v>
      </c>
      <c r="AA16" s="37" t="str">
        <f t="shared" si="26"/>
        <v>0</v>
      </c>
      <c r="AB16" s="37" t="str">
        <f t="shared" si="27"/>
        <v>0</v>
      </c>
      <c r="AC16" s="37" t="str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 t="str">
        <f t="shared" si="31"/>
        <v>0</v>
      </c>
      <c r="AW16" s="35">
        <f t="shared" si="14"/>
        <v>0</v>
      </c>
    </row>
    <row r="17" spans="1:49" x14ac:dyDescent="0.25">
      <c r="A17" s="23">
        <v>44662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44663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44664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44665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44666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44667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44668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44675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5" si="34">IF((AU30-AU29&lt;0),"0",AU30-AU29)</f>
        <v>0</v>
      </c>
      <c r="AW30" s="35">
        <f t="shared" si="14"/>
        <v>0</v>
      </c>
    </row>
    <row r="31" spans="1:49" x14ac:dyDescent="0.25">
      <c r="A31" s="23">
        <v>44676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4810</v>
      </c>
      <c r="R38" s="38">
        <f t="shared" ref="R38:AD38" si="60">SUM(R7:R37)</f>
        <v>112250</v>
      </c>
      <c r="S38" s="38">
        <f t="shared" si="60"/>
        <v>490</v>
      </c>
      <c r="T38" s="38">
        <f t="shared" si="60"/>
        <v>13560</v>
      </c>
      <c r="U38" s="38">
        <f t="shared" si="60"/>
        <v>40500</v>
      </c>
      <c r="V38" s="38">
        <f t="shared" si="60"/>
        <v>34450</v>
      </c>
      <c r="W38" s="38">
        <f t="shared" si="60"/>
        <v>35880</v>
      </c>
      <c r="X38" s="38">
        <f t="shared" si="60"/>
        <v>33310</v>
      </c>
      <c r="Y38" s="38">
        <f t="shared" si="60"/>
        <v>35520</v>
      </c>
      <c r="Z38" s="38">
        <f t="shared" si="60"/>
        <v>21230</v>
      </c>
      <c r="AA38" s="38">
        <f t="shared" si="60"/>
        <v>24340</v>
      </c>
      <c r="AB38" s="38">
        <f t="shared" si="60"/>
        <v>60980</v>
      </c>
      <c r="AC38" s="38">
        <f t="shared" si="60"/>
        <v>103700</v>
      </c>
      <c r="AD38" s="38">
        <f t="shared" si="60"/>
        <v>521020</v>
      </c>
      <c r="AF38" s="35">
        <f>SUM(AF7:AF37)</f>
        <v>24.05</v>
      </c>
      <c r="AG38" s="35">
        <f t="shared" ref="AG38:AS38" si="61">SUM(AG7:AG37)</f>
        <v>561.25</v>
      </c>
      <c r="AH38" s="35">
        <f t="shared" si="61"/>
        <v>2.4499999999999997</v>
      </c>
      <c r="AI38" s="35">
        <f t="shared" si="61"/>
        <v>67.8</v>
      </c>
      <c r="AJ38" s="35">
        <f t="shared" si="61"/>
        <v>202.49999999999997</v>
      </c>
      <c r="AK38" s="35">
        <f t="shared" si="61"/>
        <v>172.25000000000003</v>
      </c>
      <c r="AL38" s="35">
        <f t="shared" si="61"/>
        <v>179.4</v>
      </c>
      <c r="AM38" s="35">
        <f t="shared" si="61"/>
        <v>166.55</v>
      </c>
      <c r="AN38" s="35">
        <f t="shared" si="61"/>
        <v>177.60000000000002</v>
      </c>
      <c r="AO38" s="35">
        <f t="shared" si="61"/>
        <v>106.15000000000002</v>
      </c>
      <c r="AP38" s="35">
        <f t="shared" si="61"/>
        <v>121.69999999999999</v>
      </c>
      <c r="AQ38" s="35">
        <f t="shared" si="61"/>
        <v>304.89999999999998</v>
      </c>
      <c r="AR38" s="35">
        <f t="shared" si="61"/>
        <v>518.5</v>
      </c>
      <c r="AS38" s="35">
        <f t="shared" si="61"/>
        <v>2605.1000000000004</v>
      </c>
      <c r="AU38" s="48"/>
      <c r="AV38" s="34">
        <f>SUM(AV7:AV37)</f>
        <v>14909</v>
      </c>
      <c r="AW38" s="35">
        <f>SUM(AW7:AW37)</f>
        <v>29.818000000000001</v>
      </c>
    </row>
    <row r="39" spans="1:49" x14ac:dyDescent="0.25">
      <c r="D39">
        <v>5.0000000000000001E-3</v>
      </c>
      <c r="AV39" s="36">
        <f>AV38*0.00378541*1000</f>
        <v>56436.677689999997</v>
      </c>
    </row>
    <row r="40" spans="1:49" x14ac:dyDescent="0.25">
      <c r="D40">
        <v>2E-3</v>
      </c>
      <c r="AV40">
        <f>AV39/31</f>
        <v>1820.5379899999998</v>
      </c>
    </row>
    <row r="41" spans="1:49" x14ac:dyDescent="0.25">
      <c r="AV41">
        <f>AV38*0.00378541</f>
        <v>56.436677689999996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2022-04-10T06:41:11Z</dcterms:modified>
</cp:coreProperties>
</file>