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788" documentId="8_{5B502D95-7A37-4D5A-8B6B-374537CC2F26}" xr6:coauthVersionLast="47" xr6:coauthVersionMax="47" xr10:uidLastSave="{79601E23-216C-4A4C-82CA-CEEAAA59F31A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2" l="1"/>
  <c r="M10" i="2"/>
  <c r="L10" i="2"/>
  <c r="F10" i="2"/>
  <c r="G29" i="2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G27" i="6"/>
  <c r="Q28" i="2"/>
  <c r="K27" i="6"/>
  <c r="I27" i="6"/>
  <c r="E27" i="6"/>
  <c r="C27" i="6"/>
  <c r="G21" i="4"/>
  <c r="E21" i="4"/>
  <c r="C21" i="4"/>
  <c r="K26" i="6"/>
  <c r="I26" i="6"/>
  <c r="G26" i="6"/>
  <c r="E26" i="6"/>
  <c r="C26" i="6"/>
  <c r="K24" i="6"/>
  <c r="K25" i="6"/>
  <c r="I24" i="6"/>
  <c r="I25" i="6"/>
  <c r="G24" i="6"/>
  <c r="G25" i="6"/>
  <c r="E24" i="6"/>
  <c r="E25" i="6"/>
  <c r="C24" i="6"/>
  <c r="C25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4" i="2"/>
  <c r="X35" i="2"/>
  <c r="X36" i="2"/>
  <c r="X37" i="2"/>
  <c r="X10" i="2"/>
  <c r="K15" i="6"/>
  <c r="I15" i="6"/>
  <c r="G15" i="6"/>
  <c r="E15" i="6"/>
  <c r="C15" i="6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Q37" i="2"/>
  <c r="F38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38" i="2"/>
  <c r="I42" i="2"/>
  <c r="L42" i="2"/>
  <c r="N38" i="2"/>
  <c r="I43" i="2"/>
  <c r="L43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27" i="4" l="1"/>
  <c r="X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7" i="22"/>
  <c r="G28" i="22"/>
  <c r="L38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38" i="2" s="1"/>
  <c r="O12" i="2"/>
  <c r="O38" i="2" s="1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P4" i="4" s="1"/>
  <c r="N43" i="4"/>
  <c r="G3" i="22"/>
  <c r="M3" i="22" s="1"/>
  <c r="G4" i="22"/>
  <c r="I45" i="2" l="1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<sst xmlns="http://schemas.openxmlformats.org/spreadsheetml/2006/main" count="478" uniqueCount="187">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</sst>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8" sqref="H28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0</v>
      </c>
      <c r="H2" s="134">
        <v>9.9649999999999999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0</v>
      </c>
      <c r="L2" s="137">
        <f>'Consommation mensuel énergie'!E10</f>
        <v>0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0</v>
      </c>
      <c r="F3" s="134">
        <v>1.05</v>
      </c>
      <c r="G3" s="134">
        <f>'Consommation mensuel énergie'!V11</f>
        <v>0</v>
      </c>
      <c r="H3" s="134">
        <v>9.9649999999999999</v>
      </c>
      <c r="I3" s="134">
        <f>'Consommation mensuel énergie'!F11</f>
        <v>0</v>
      </c>
      <c r="J3" s="134">
        <v>11.4</v>
      </c>
      <c r="K3" s="137">
        <f>'Consommation mensuel énergie'!D11</f>
        <v>0</v>
      </c>
      <c r="L3" s="137">
        <f>'Consommation mensuel énergie'!E11</f>
        <v>0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0</v>
      </c>
      <c r="F4" s="134">
        <v>1.05</v>
      </c>
      <c r="G4" s="134">
        <f>'Consommation mensuel énergie'!V12</f>
        <v>0</v>
      </c>
      <c r="H4" s="134">
        <v>9.9649999999999999</v>
      </c>
      <c r="I4" s="134">
        <f>'Consommation mensuel énergie'!F12</f>
        <v>0</v>
      </c>
      <c r="J4" s="134">
        <v>11.4</v>
      </c>
      <c r="K4" s="137">
        <f>'Consommation mensuel énergie'!D12</f>
        <v>0</v>
      </c>
      <c r="L4" s="137">
        <f>'Consommation mensuel énergie'!E12</f>
        <v>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0</v>
      </c>
      <c r="F5" s="134">
        <v>1.05</v>
      </c>
      <c r="G5" s="134">
        <f>'Consommation mensuel énergie'!V13</f>
        <v>0</v>
      </c>
      <c r="H5" s="134">
        <v>9.9649999999999999</v>
      </c>
      <c r="I5" s="134">
        <f>'Consommation mensuel énergie'!F13</f>
        <v>0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9.9649999999999999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9.9649999999999999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9.9649999999999999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/>
      <c r="F30" s="134"/>
      <c r="G30" s="134"/>
      <c r="H30" s="134"/>
      <c r="I30" s="134"/>
      <c r="J30" s="134"/>
      <c r="M30" s="133"/>
    </row>
    <row r="31" spans="1:13">
      <c r="A31" s="136"/>
      <c r="F31" s="134"/>
      <c r="G31" s="134"/>
      <c r="H31" s="134"/>
      <c r="I31" s="134"/>
      <c r="J31" s="134"/>
      <c r="M31" s="133"/>
    </row>
    <row r="32" spans="1:13">
      <c r="F32" s="134"/>
      <c r="G32" s="134"/>
      <c r="H32" s="134"/>
      <c r="I32" s="134"/>
      <c r="J32" s="134"/>
    </row>
    <row r="33" spans="6:10">
      <c r="F33" s="134"/>
      <c r="G33" s="134"/>
      <c r="H33" s="134"/>
      <c r="I33" s="134"/>
      <c r="J33" s="134"/>
    </row>
    <row r="34" spans="6:10">
      <c r="F34" s="134"/>
      <c r="G34" s="134"/>
      <c r="H34" s="134"/>
      <c r="I34" s="134"/>
      <c r="J34" s="134"/>
    </row>
    <row r="35" spans="6:10">
      <c r="F35" s="134"/>
      <c r="G35" s="134"/>
      <c r="H35" s="134"/>
      <c r="I35" s="134"/>
      <c r="J35" s="134"/>
    </row>
    <row r="36" spans="6:10">
      <c r="F36" s="134"/>
      <c r="G36" s="134"/>
      <c r="H36" s="134"/>
      <c r="I36" s="134"/>
      <c r="J36" s="134"/>
    </row>
    <row r="37" spans="6:10">
      <c r="F37" s="134"/>
      <c r="G37" s="134"/>
      <c r="H37" s="134"/>
      <c r="I37" s="134"/>
      <c r="J37" s="134"/>
    </row>
    <row r="38" spans="6:10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A30" sqref="A30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0</v>
      </c>
      <c r="I2" s="137">
        <f>'Consommation mensuel énergie'!E10</f>
        <v>0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0</v>
      </c>
      <c r="F3" s="137">
        <f>'Consommation mensuel énergie'!M11</f>
        <v>0</v>
      </c>
      <c r="G3" s="137">
        <f>'Consommation mensuel énergie'!N14</f>
        <v>0</v>
      </c>
      <c r="H3" s="137">
        <f>'Consommation mensuel énergie'!D11</f>
        <v>0</v>
      </c>
      <c r="I3" s="137">
        <f>'Consommation mensuel énergie'!E11</f>
        <v>0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0</v>
      </c>
      <c r="F4" s="137">
        <f>'Consommation mensuel énergie'!M12</f>
        <v>0</v>
      </c>
      <c r="G4" s="137">
        <f>'Consommation mensuel énergie'!N12</f>
        <v>0</v>
      </c>
      <c r="H4" s="137">
        <f>'Consommation mensuel énergie'!D12</f>
        <v>0</v>
      </c>
      <c r="I4" s="137">
        <f>'Consommation mensuel énergie'!E12</f>
        <v>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0</v>
      </c>
      <c r="F5" s="137">
        <f>'Consommation mensuel énergie'!M13</f>
        <v>0</v>
      </c>
      <c r="G5" s="137">
        <f>'Consommation mensuel énergie'!N13</f>
        <v>0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E30" s="134"/>
      <c r="F30" s="134"/>
      <c r="G30" s="134"/>
      <c r="H30" s="133"/>
      <c r="I30" s="133"/>
    </row>
    <row r="31" spans="1:10">
      <c r="E31" s="134"/>
      <c r="F31" s="134"/>
      <c r="G31" s="134"/>
      <c r="H31" s="133"/>
      <c r="I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tabSelected="1" zoomScale="55" zoomScaleNormal="55" workbookViewId="0">
      <pane xSplit="3" ySplit="9" topLeftCell="D10" activePane="bottomRight" state="frozen"/>
      <selection pane="bottomRight" activeCell="N11" sqref="N11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/>
    <row r="4" spans="1:24" ht="39" hidden="1" customHeight="1" thickBot="1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55" t="s">
        <v>30</v>
      </c>
      <c r="M9" s="155" t="s">
        <v>31</v>
      </c>
      <c r="N9" s="155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>
      <c r="A10" s="2"/>
      <c r="B10" s="6">
        <v>44593</v>
      </c>
      <c r="C10" s="7"/>
      <c r="D10" s="143"/>
      <c r="E10" s="143"/>
      <c r="F10" s="13">
        <f>'Suivi EAU-ELEC'!E9</f>
        <v>56.100000000005821</v>
      </c>
      <c r="G10" s="11"/>
      <c r="H10" s="167">
        <f>F10*8.79</f>
        <v>493.11900000005113</v>
      </c>
      <c r="I10" s="168"/>
      <c r="J10" s="168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/>
      <c r="W10" s="11"/>
      <c r="X10" s="34">
        <f>V10*11.565</f>
        <v>0</v>
      </c>
    </row>
    <row r="11" spans="1:24" ht="32.25" customHeight="1">
      <c r="A11" s="2"/>
      <c r="B11" s="6">
        <v>44594</v>
      </c>
      <c r="C11" s="7"/>
      <c r="D11" s="143"/>
      <c r="E11" s="143"/>
      <c r="F11" s="13"/>
      <c r="G11" s="11"/>
      <c r="H11" s="167">
        <f t="shared" ref="H11:H21" si="0">F11*8.79</f>
        <v>0</v>
      </c>
      <c r="I11" s="168"/>
      <c r="J11" s="168"/>
      <c r="K11" s="60">
        <v>42279</v>
      </c>
      <c r="L11" s="90"/>
      <c r="M11" s="91"/>
      <c r="N11" s="91"/>
      <c r="O11" s="91">
        <f>L11+M11+N11</f>
        <v>0</v>
      </c>
      <c r="P11" s="11"/>
      <c r="Q11" s="34">
        <f>L11*0.6985+M11*0.9514+N14*1.3304</f>
        <v>0</v>
      </c>
      <c r="R11" s="11"/>
      <c r="S11" s="28"/>
      <c r="T11" s="11"/>
      <c r="U11" s="28"/>
      <c r="V11" s="146"/>
      <c r="W11" s="11"/>
      <c r="X11" s="34">
        <f t="shared" ref="X11:X37" si="1">V11*11.565</f>
        <v>0</v>
      </c>
    </row>
    <row r="12" spans="1:24" ht="32.25" customHeight="1">
      <c r="A12" s="2"/>
      <c r="B12" s="6">
        <v>44595</v>
      </c>
      <c r="C12" s="7"/>
      <c r="D12" s="143"/>
      <c r="E12" s="143"/>
      <c r="F12" s="13"/>
      <c r="G12" s="11"/>
      <c r="H12" s="167">
        <f t="shared" si="0"/>
        <v>0</v>
      </c>
      <c r="I12" s="168"/>
      <c r="J12" s="168"/>
      <c r="K12" s="60">
        <v>42280</v>
      </c>
      <c r="L12" s="90"/>
      <c r="M12" s="91"/>
      <c r="N12" s="91"/>
      <c r="O12" s="91">
        <f>L12+M12+N12</f>
        <v>0</v>
      </c>
      <c r="P12" s="11"/>
      <c r="Q12" s="34">
        <f>L12*0.6985+M12*0.9514+N12*1.3304</f>
        <v>0</v>
      </c>
      <c r="R12" s="11"/>
      <c r="S12" s="28"/>
      <c r="T12" s="11"/>
      <c r="U12" s="28"/>
      <c r="V12" s="146"/>
      <c r="W12" s="11"/>
      <c r="X12" s="34">
        <f t="shared" si="1"/>
        <v>0</v>
      </c>
    </row>
    <row r="13" spans="1:24" ht="32.25" customHeight="1">
      <c r="A13" s="2"/>
      <c r="B13" s="6">
        <v>44596</v>
      </c>
      <c r="C13" s="7"/>
      <c r="D13" s="143"/>
      <c r="E13" s="143"/>
      <c r="F13" s="13"/>
      <c r="G13" s="11"/>
      <c r="H13" s="167">
        <f t="shared" si="0"/>
        <v>0</v>
      </c>
      <c r="I13" s="168"/>
      <c r="J13" s="168"/>
      <c r="K13" s="60">
        <v>42281</v>
      </c>
      <c r="L13" s="90"/>
      <c r="M13" s="91"/>
      <c r="N13" s="91"/>
      <c r="O13" s="91">
        <f t="shared" ref="O13:O37" si="2">L13+M13+N13</f>
        <v>0</v>
      </c>
      <c r="P13" s="11"/>
      <c r="Q13" s="34">
        <f t="shared" ref="Q13:Q37" si="3">L13*0.6985+M13*0.9514+N13*1.3304</f>
        <v>0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44597</v>
      </c>
      <c r="C14" s="7"/>
      <c r="D14" s="143"/>
      <c r="E14" s="143"/>
      <c r="F14" s="13"/>
      <c r="G14" s="12"/>
      <c r="H14" s="167">
        <f t="shared" si="0"/>
        <v>0</v>
      </c>
      <c r="I14" s="168"/>
      <c r="J14" s="168"/>
      <c r="K14" s="60">
        <v>42282</v>
      </c>
      <c r="L14" s="90"/>
      <c r="M14" s="91"/>
      <c r="N14" s="91"/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44598</v>
      </c>
      <c r="C15" s="7"/>
      <c r="D15" s="143"/>
      <c r="E15" s="143"/>
      <c r="F15" s="13"/>
      <c r="G15" s="11"/>
      <c r="H15" s="167">
        <f t="shared" si="0"/>
        <v>0</v>
      </c>
      <c r="I15" s="168"/>
      <c r="J15" s="168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44599</v>
      </c>
      <c r="C16" s="7"/>
      <c r="D16" s="143"/>
      <c r="E16" s="143"/>
      <c r="F16" s="13"/>
      <c r="G16" s="11"/>
      <c r="H16" s="167">
        <f t="shared" si="0"/>
        <v>0</v>
      </c>
      <c r="I16" s="168"/>
      <c r="J16" s="168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44600</v>
      </c>
      <c r="C17" s="7"/>
      <c r="D17" s="143"/>
      <c r="E17" s="143"/>
      <c r="F17" s="13"/>
      <c r="G17" s="11"/>
      <c r="H17" s="167">
        <f t="shared" si="0"/>
        <v>0</v>
      </c>
      <c r="I17" s="168"/>
      <c r="J17" s="168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44601</v>
      </c>
      <c r="C18" s="7"/>
      <c r="D18" s="143"/>
      <c r="E18" s="143"/>
      <c r="F18" s="13"/>
      <c r="G18" s="11"/>
      <c r="H18" s="167">
        <f t="shared" si="0"/>
        <v>0</v>
      </c>
      <c r="I18" s="168"/>
      <c r="J18" s="168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44602</v>
      </c>
      <c r="C19" s="7"/>
      <c r="D19" s="143"/>
      <c r="E19" s="143"/>
      <c r="F19" s="13"/>
      <c r="G19" s="12"/>
      <c r="H19" s="167">
        <f t="shared" si="0"/>
        <v>0</v>
      </c>
      <c r="I19" s="168"/>
      <c r="J19" s="168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44603</v>
      </c>
      <c r="C20" s="7"/>
      <c r="D20" s="143"/>
      <c r="E20" s="143"/>
      <c r="F20" s="13"/>
      <c r="G20" s="12"/>
      <c r="H20" s="167">
        <f t="shared" si="0"/>
        <v>0</v>
      </c>
      <c r="I20" s="168"/>
      <c r="J20" s="168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44604</v>
      </c>
      <c r="C21" s="7"/>
      <c r="D21" s="143"/>
      <c r="E21" s="143"/>
      <c r="F21" s="13"/>
      <c r="G21" s="12"/>
      <c r="H21" s="167">
        <f t="shared" si="0"/>
        <v>0</v>
      </c>
      <c r="I21" s="168"/>
      <c r="J21" s="168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44605</v>
      </c>
      <c r="C22" s="7"/>
      <c r="D22" s="143"/>
      <c r="E22" s="143"/>
      <c r="F22" s="13"/>
      <c r="G22" s="12"/>
      <c r="H22" s="167">
        <f t="shared" ref="H22:H35" si="4">F22*8.79</f>
        <v>0</v>
      </c>
      <c r="I22" s="168"/>
      <c r="J22" s="168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44606</v>
      </c>
      <c r="C23" s="7"/>
      <c r="D23" s="143"/>
      <c r="E23" s="143"/>
      <c r="F23" s="13"/>
      <c r="G23" s="14"/>
      <c r="H23" s="167">
        <f t="shared" si="4"/>
        <v>0</v>
      </c>
      <c r="I23" s="168"/>
      <c r="J23" s="168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44607</v>
      </c>
      <c r="C24" s="7"/>
      <c r="D24" s="143"/>
      <c r="E24" s="143"/>
      <c r="F24" s="13"/>
      <c r="G24" s="14"/>
      <c r="H24" s="167">
        <f t="shared" si="4"/>
        <v>0</v>
      </c>
      <c r="I24" s="168"/>
      <c r="J24" s="168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44608</v>
      </c>
      <c r="C25" s="7"/>
      <c r="D25" s="143"/>
      <c r="E25" s="143"/>
      <c r="F25" s="13"/>
      <c r="G25" s="14"/>
      <c r="H25" s="167">
        <f t="shared" si="4"/>
        <v>0</v>
      </c>
      <c r="I25" s="168"/>
      <c r="J25" s="168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44609</v>
      </c>
      <c r="C26" s="7"/>
      <c r="D26" s="143"/>
      <c r="E26" s="143"/>
      <c r="F26" s="13"/>
      <c r="G26" s="14"/>
      <c r="H26" s="167">
        <f t="shared" si="4"/>
        <v>0</v>
      </c>
      <c r="I26" s="168"/>
      <c r="J26" s="168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44610</v>
      </c>
      <c r="C27" s="7"/>
      <c r="D27" s="143"/>
      <c r="E27" s="143"/>
      <c r="F27" s="13"/>
      <c r="G27" s="14"/>
      <c r="H27" s="167">
        <f t="shared" si="4"/>
        <v>0</v>
      </c>
      <c r="I27" s="168"/>
      <c r="J27" s="168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44611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44612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44613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44614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44615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44616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44617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44618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44619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44620</v>
      </c>
      <c r="C37" s="7"/>
      <c r="D37" s="143"/>
      <c r="E37" s="143"/>
      <c r="F37" s="13"/>
      <c r="G37" s="11"/>
      <c r="H37" s="167">
        <f t="shared" ref="H37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42.75" customHeight="1">
      <c r="A38" s="2"/>
      <c r="B38" s="10"/>
      <c r="C38" s="10"/>
      <c r="D38" s="8">
        <f>SUM(D10:D37)</f>
        <v>0</v>
      </c>
      <c r="E38" s="8">
        <f>SUM(E10:E37)</f>
        <v>0</v>
      </c>
      <c r="F38" s="152">
        <f>SUM(F10:F37)</f>
        <v>56.100000000005821</v>
      </c>
      <c r="G38" s="1"/>
      <c r="H38" s="248">
        <f>SUM(H10:H37)</f>
        <v>493.11900000005113</v>
      </c>
      <c r="I38" s="249"/>
      <c r="J38" s="250"/>
      <c r="K38" s="1"/>
      <c r="L38" s="53">
        <f>SUM(L10:L37)</f>
        <v>2100</v>
      </c>
      <c r="M38" s="53">
        <f>SUM(M10:M37)</f>
        <v>2734</v>
      </c>
      <c r="N38" s="54">
        <f>SUM(N10:N37)</f>
        <v>1269</v>
      </c>
      <c r="O38" s="55">
        <f>SUM(O10:O37)</f>
        <v>6103</v>
      </c>
      <c r="P38" s="31"/>
      <c r="Q38" s="32">
        <f>SUM(Q10:Q37)</f>
        <v>5756.2552000000005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0</v>
      </c>
      <c r="W38" s="31"/>
      <c r="X38" s="32">
        <f>SUM(X10:X37)</f>
        <v>0</v>
      </c>
    </row>
    <row r="39" spans="1:24" s="5" customFormat="1" ht="12.75" customHeight="1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>
      <c r="A40" s="203" t="s">
        <v>33</v>
      </c>
      <c r="B40" s="204"/>
      <c r="C40" s="204"/>
      <c r="D40" s="204"/>
      <c r="E40" s="204"/>
      <c r="F40" s="205"/>
      <c r="G40" s="26"/>
      <c r="H40" s="27" t="s">
        <v>34</v>
      </c>
      <c r="I40" s="242" t="s">
        <v>35</v>
      </c>
      <c r="J40" s="243"/>
      <c r="K40" s="244"/>
      <c r="L40" s="217" t="s">
        <v>36</v>
      </c>
      <c r="M40" s="218"/>
      <c r="N40" s="203" t="s">
        <v>37</v>
      </c>
      <c r="O40" s="204"/>
      <c r="P40" s="204"/>
      <c r="Q40" s="204"/>
      <c r="R40" s="204"/>
      <c r="S40" s="204"/>
      <c r="T40" s="204"/>
      <c r="U40" s="204"/>
      <c r="V40" s="204"/>
      <c r="W40" s="204"/>
      <c r="X40" s="205"/>
    </row>
    <row r="41" spans="1:24" s="18" customFormat="1" ht="29.25" customHeight="1" thickBot="1">
      <c r="A41" s="211" t="s">
        <v>38</v>
      </c>
      <c r="B41" s="212"/>
      <c r="C41" s="213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08">
        <f>L38</f>
        <v>2100</v>
      </c>
      <c r="J41" s="209"/>
      <c r="K41" s="210"/>
      <c r="L41" s="169">
        <f>I41*H41</f>
        <v>1466.85</v>
      </c>
      <c r="M41" s="170"/>
      <c r="N41" s="226">
        <f>L41+L42+L43</f>
        <v>5756.2552000000005</v>
      </c>
      <c r="O41" s="227"/>
      <c r="P41" s="227"/>
      <c r="Q41" s="227"/>
      <c r="R41" s="227"/>
      <c r="S41" s="227"/>
      <c r="T41" s="227"/>
      <c r="U41" s="227"/>
      <c r="V41" s="227"/>
      <c r="W41" s="227"/>
      <c r="X41" s="228"/>
    </row>
    <row r="42" spans="1:24" s="18" customFormat="1" ht="29.25" customHeight="1" thickBot="1">
      <c r="A42" s="214"/>
      <c r="B42" s="215"/>
      <c r="C42" s="216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08">
        <f>M38</f>
        <v>2734</v>
      </c>
      <c r="J42" s="209"/>
      <c r="K42" s="210"/>
      <c r="L42" s="169">
        <f>I42*H42</f>
        <v>2601.1276000000003</v>
      </c>
      <c r="M42" s="170"/>
      <c r="N42" s="229"/>
      <c r="O42" s="230"/>
      <c r="P42" s="230"/>
      <c r="Q42" s="230"/>
      <c r="R42" s="230"/>
      <c r="S42" s="230"/>
      <c r="T42" s="230"/>
      <c r="U42" s="230"/>
      <c r="V42" s="230"/>
      <c r="W42" s="230"/>
      <c r="X42" s="231"/>
    </row>
    <row r="43" spans="1:24" s="18" customFormat="1" ht="24.75" customHeight="1" thickBot="1">
      <c r="A43" s="214"/>
      <c r="B43" s="215"/>
      <c r="C43" s="216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239">
        <f>N38</f>
        <v>1269</v>
      </c>
      <c r="J43" s="240"/>
      <c r="K43" s="241"/>
      <c r="L43" s="169">
        <f>I43*H43</f>
        <v>1688.2776000000001</v>
      </c>
      <c r="M43" s="170"/>
      <c r="N43" s="232"/>
      <c r="O43" s="233"/>
      <c r="P43" s="233"/>
      <c r="Q43" s="233"/>
      <c r="R43" s="233"/>
      <c r="S43" s="233"/>
      <c r="T43" s="233"/>
      <c r="U43" s="233"/>
      <c r="V43" s="233"/>
      <c r="W43" s="233"/>
      <c r="X43" s="234"/>
    </row>
    <row r="44" spans="1:24" s="18" customFormat="1" ht="43.5" customHeight="1" thickBot="1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45">
        <f>N41*1.3</f>
        <v>7483.1317600000011</v>
      </c>
      <c r="O44" s="246"/>
      <c r="P44" s="246"/>
      <c r="Q44" s="246"/>
      <c r="R44" s="246"/>
      <c r="S44" s="246"/>
      <c r="T44" s="246"/>
      <c r="U44" s="246"/>
      <c r="V44" s="246"/>
      <c r="W44" s="246"/>
      <c r="X44" s="247"/>
    </row>
    <row r="45" spans="1:24" s="23" customFormat="1" ht="32.25" customHeight="1" thickBot="1">
      <c r="A45" s="200" t="s">
        <v>39</v>
      </c>
      <c r="B45" s="201"/>
      <c r="C45" s="201"/>
      <c r="D45" s="201"/>
      <c r="E45" s="201"/>
      <c r="F45" s="202"/>
      <c r="G45" s="21"/>
      <c r="H45" s="22">
        <v>8.7899999999999991</v>
      </c>
      <c r="I45" s="200">
        <f>F38</f>
        <v>56.100000000005821</v>
      </c>
      <c r="J45" s="201"/>
      <c r="K45" s="202"/>
      <c r="L45" s="206">
        <f>I45*H45</f>
        <v>493.11900000005113</v>
      </c>
      <c r="M45" s="207"/>
      <c r="N45" s="223">
        <f>L45</f>
        <v>493.11900000005113</v>
      </c>
      <c r="O45" s="224"/>
      <c r="P45" s="224"/>
      <c r="Q45" s="224"/>
      <c r="R45" s="224"/>
      <c r="S45" s="224"/>
      <c r="T45" s="224"/>
      <c r="U45" s="224"/>
      <c r="V45" s="224"/>
      <c r="W45" s="224"/>
      <c r="X45" s="225"/>
    </row>
    <row r="46" spans="1:24" s="23" customFormat="1" ht="36.75" customHeight="1">
      <c r="A46" s="235" t="s">
        <v>40</v>
      </c>
      <c r="B46" s="236"/>
      <c r="C46" s="236"/>
      <c r="D46" s="236"/>
      <c r="E46" s="236"/>
      <c r="F46" s="237"/>
      <c r="G46" s="24"/>
      <c r="H46" s="25">
        <v>11.565</v>
      </c>
      <c r="I46" s="198">
        <f>V38</f>
        <v>0</v>
      </c>
      <c r="J46" s="238"/>
      <c r="K46" s="199"/>
      <c r="L46" s="198">
        <f>I46*H46</f>
        <v>0</v>
      </c>
      <c r="M46" s="199"/>
      <c r="N46" s="220">
        <f>L46</f>
        <v>0</v>
      </c>
      <c r="O46" s="221"/>
      <c r="P46" s="221"/>
      <c r="Q46" s="221"/>
      <c r="R46" s="221"/>
      <c r="S46" s="221"/>
      <c r="T46" s="221"/>
      <c r="U46" s="221"/>
      <c r="V46" s="221"/>
      <c r="W46" s="221"/>
      <c r="X46" s="222"/>
    </row>
    <row r="47" spans="1:24" ht="27" customHeight="1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/>
    <row r="52" spans="2:24" ht="39" customHeight="1"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</row>
  </sheetData>
  <mergeCells count="70"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1:M41"/>
    <mergeCell ref="H33:J33"/>
    <mergeCell ref="H31:J31"/>
    <mergeCell ref="H35:J35"/>
    <mergeCell ref="H37:J37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N10" sqref="N10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>
      <c r="A10" s="59">
        <v>44594</v>
      </c>
      <c r="B10" s="116"/>
      <c r="C10" s="115"/>
      <c r="D10" s="57"/>
      <c r="E10" s="50"/>
      <c r="F10" s="51"/>
      <c r="G10" s="50"/>
      <c r="H10" s="51"/>
      <c r="I10" s="50"/>
      <c r="J10" s="51"/>
      <c r="K10" s="50"/>
    </row>
    <row r="11" spans="1:12" ht="19.5">
      <c r="A11" s="59">
        <v>44595</v>
      </c>
      <c r="B11" s="116"/>
      <c r="C11" s="115">
        <f>B11-B10</f>
        <v>0</v>
      </c>
      <c r="D11" s="57"/>
      <c r="E11" s="50">
        <f>D11-D10</f>
        <v>0</v>
      </c>
      <c r="F11" s="51"/>
      <c r="G11" s="50">
        <f>F11-F10</f>
        <v>0</v>
      </c>
      <c r="H11" s="51"/>
      <c r="I11" s="50">
        <f>H11-H10</f>
        <v>0</v>
      </c>
      <c r="J11" s="51"/>
      <c r="K11" s="50">
        <f>J11-J10</f>
        <v>0</v>
      </c>
    </row>
    <row r="12" spans="1:12" ht="19.5">
      <c r="A12" s="59">
        <v>44596</v>
      </c>
      <c r="B12" s="116"/>
      <c r="C12" s="115">
        <f>B12-B11</f>
        <v>0</v>
      </c>
      <c r="D12" s="57"/>
      <c r="E12" s="50">
        <f>D12-D11</f>
        <v>0</v>
      </c>
      <c r="F12" s="51"/>
      <c r="G12" s="50">
        <f>F12-F11</f>
        <v>0</v>
      </c>
      <c r="H12" s="51"/>
      <c r="I12" s="50">
        <f>H12-H11</f>
        <v>0</v>
      </c>
      <c r="J12" s="51"/>
      <c r="K12" s="50">
        <f>J12-J11</f>
        <v>0</v>
      </c>
    </row>
    <row r="13" spans="1:12" ht="19.5">
      <c r="A13" s="59">
        <v>44597</v>
      </c>
      <c r="B13" s="116"/>
      <c r="C13" s="115">
        <f>B13-B12</f>
        <v>0</v>
      </c>
      <c r="D13" s="57"/>
      <c r="E13" s="50">
        <f>D13-D12</f>
        <v>0</v>
      </c>
      <c r="F13" s="51"/>
      <c r="G13" s="50">
        <f>F13-F12</f>
        <v>0</v>
      </c>
      <c r="H13" s="51"/>
      <c r="I13" s="50">
        <f>H13-H12</f>
        <v>0</v>
      </c>
      <c r="J13" s="51"/>
      <c r="K13" s="50">
        <f>J13-J12</f>
        <v>0</v>
      </c>
    </row>
    <row r="14" spans="1:12" ht="19.5">
      <c r="A14" s="59">
        <v>44598</v>
      </c>
      <c r="B14" s="116"/>
      <c r="C14" s="115">
        <f>B14-B13</f>
        <v>0</v>
      </c>
      <c r="D14" s="57"/>
      <c r="E14" s="50">
        <f>D14-D13</f>
        <v>0</v>
      </c>
      <c r="F14" s="51"/>
      <c r="G14" s="50">
        <f>F14-F13</f>
        <v>0</v>
      </c>
      <c r="H14" s="51"/>
      <c r="I14" s="50">
        <f>H14-H13</f>
        <v>0</v>
      </c>
      <c r="J14" s="51"/>
      <c r="K14" s="50">
        <f>J14-J13</f>
        <v>0</v>
      </c>
    </row>
    <row r="15" spans="1:12" ht="19.5">
      <c r="A15" s="59">
        <v>44599</v>
      </c>
      <c r="B15" s="116"/>
      <c r="C15" s="115">
        <f>B15-B14</f>
        <v>0</v>
      </c>
      <c r="D15" s="57"/>
      <c r="E15" s="50">
        <f>D15-D14</f>
        <v>0</v>
      </c>
      <c r="F15" s="51"/>
      <c r="G15" s="50">
        <f>F15-F14</f>
        <v>0</v>
      </c>
      <c r="H15" s="51"/>
      <c r="I15" s="50">
        <f>H15-H14</f>
        <v>0</v>
      </c>
      <c r="J15" s="51"/>
      <c r="K15" s="50">
        <f>J15-J14</f>
        <v>0</v>
      </c>
    </row>
    <row r="16" spans="1:12" ht="19.5">
      <c r="A16" s="59">
        <v>44600</v>
      </c>
      <c r="B16" s="116"/>
      <c r="C16" s="115">
        <f>B16-B15</f>
        <v>0</v>
      </c>
      <c r="D16" s="57"/>
      <c r="E16" s="50">
        <f>D16-D15</f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44601</v>
      </c>
      <c r="B17" s="116"/>
      <c r="C17" s="115">
        <f>B17-B16</f>
        <v>0</v>
      </c>
      <c r="D17" s="57"/>
      <c r="E17" s="50">
        <f>D17-D16</f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44602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44603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44604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44605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44606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44607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44608</v>
      </c>
      <c r="B24" s="116"/>
      <c r="C24" s="115">
        <f t="shared" ref="C24:C40" si="0">B24-B23</f>
        <v>0</v>
      </c>
      <c r="D24" s="57"/>
      <c r="E24" s="50">
        <f t="shared" ref="E24:E40" si="1">D24-D23</f>
        <v>0</v>
      </c>
      <c r="F24" s="51"/>
      <c r="G24" s="50">
        <f t="shared" ref="G24:G27" si="2">F24-F23</f>
        <v>0</v>
      </c>
      <c r="H24" s="51"/>
      <c r="I24" s="50">
        <f t="shared" ref="I24:I40" si="3">H24-H23</f>
        <v>0</v>
      </c>
      <c r="J24" s="51"/>
      <c r="K24" s="50">
        <f t="shared" ref="K24:K40" si="4">J24-J23</f>
        <v>0</v>
      </c>
    </row>
    <row r="25" spans="1:29" ht="19.5">
      <c r="A25" s="59">
        <v>44609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44610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44611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>F27-F26</f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44612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>F28-F27</f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44613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>F29-F28</f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44614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>F30-F29</f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44615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>F31-F30</f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44616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>F32-F31</f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44617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>F33-F32</f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44618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>F34-F33</f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44619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>F35-F34</f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44620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>F36-F35</f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44621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>F37-F36</f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25">
    <cfRule type="cellIs" dxfId="5" priority="8" stopIfTrue="1" operator="lessThanOrEqual">
      <formula>0</formula>
    </cfRule>
  </conditionalFormatting>
  <conditionalFormatting sqref="E10:E25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H5" sqref="H5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44593</v>
      </c>
      <c r="B4" s="41">
        <v>73</v>
      </c>
      <c r="C4" s="39">
        <f t="shared" ref="C4" si="0">IF(AC4&gt;0,((B4-R4)+(S4-B5)),IF(B5=0, ,(B4-B5)))</f>
        <v>0</v>
      </c>
      <c r="D4" s="41">
        <v>73</v>
      </c>
      <c r="E4" s="39">
        <f t="shared" ref="E4" si="1">IF(AC4&gt;0,((D4-U4)+(V4-D5)),IF(D5=0, ,(D4-D5)))</f>
        <v>0</v>
      </c>
      <c r="F4" s="41">
        <v>77</v>
      </c>
      <c r="G4" s="39">
        <f t="shared" ref="G4" si="2">IF(AC4&gt;0,((F4-X4)+(Y4-F5)),IF(F5=0, ,(F4-F5)))</f>
        <v>0</v>
      </c>
      <c r="H4" s="41">
        <v>77</v>
      </c>
      <c r="I4" s="39">
        <f>IF(AC4&gt;0,((H4-AA4)+(AB4-H5)),IF(H5=0, ,(H4-H5)))</f>
        <v>0</v>
      </c>
      <c r="J4" s="39">
        <f>B4+D4+F4+H4</f>
        <v>300</v>
      </c>
      <c r="K4" s="39">
        <f>J4/4</f>
        <v>75</v>
      </c>
      <c r="L4" s="39">
        <f>IF(AC4&gt;0,((K4-AD4)+(AE4-K5)),IF(K5=0, ,(K4-K5)))</f>
        <v>0</v>
      </c>
      <c r="M4" s="149">
        <f t="shared" ref="M4:M7" si="3">6049*4</f>
        <v>24196</v>
      </c>
      <c r="N4" s="39">
        <f>L4*M4/100</f>
        <v>0</v>
      </c>
      <c r="O4" s="39">
        <f>N4*0.529</f>
        <v>0</v>
      </c>
      <c r="P4" s="42">
        <f>O4*11.565</f>
        <v>0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44594</v>
      </c>
      <c r="B5" s="41"/>
      <c r="C5" s="39">
        <f t="shared" ref="C4:C35" si="7">IF(AC5&gt;0,((B5-R5)+(S5-B6)),IF(B6=0, ,(B5-B6)))</f>
        <v>0</v>
      </c>
      <c r="D5" s="41"/>
      <c r="E5" s="39">
        <f t="shared" ref="E4:E35" si="8">IF(AC5&gt;0,((D5-U5)+(V5-D6)),IF(D6=0, ,(D5-D6)))</f>
        <v>0</v>
      </c>
      <c r="F5" s="41"/>
      <c r="G5" s="39">
        <f t="shared" ref="G4:G35" si="9">IF(AC5&gt;0,((F5-X5)+(Y5-F6)),IF(F6=0, ,(F5-F6)))</f>
        <v>0</v>
      </c>
      <c r="H5" s="41"/>
      <c r="I5" s="39">
        <f>IF(AC5&gt;0,((H5-AA5)+(AB5-H6)),IF(H6=0, ,(H5-H6)))</f>
        <v>0</v>
      </c>
      <c r="J5" s="39">
        <f>B5+D5+F5+H5</f>
        <v>0</v>
      </c>
      <c r="K5" s="39">
        <f>J5/4</f>
        <v>0</v>
      </c>
      <c r="L5" s="39">
        <f>IF(AC5&gt;0,((K5-AD5)+(AE5-K6)),IF(K6=0, ,(K5-K6)))</f>
        <v>0</v>
      </c>
      <c r="M5" s="149">
        <f t="shared" si="3"/>
        <v>24196</v>
      </c>
      <c r="N5" s="39">
        <f>L5*M5/100</f>
        <v>0</v>
      </c>
      <c r="O5" s="39">
        <f>N5*0.529</f>
        <v>0</v>
      </c>
      <c r="P5" s="42">
        <f t="shared" ref="P5:P38" si="10">O5*11.565</f>
        <v>0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44595</v>
      </c>
      <c r="B6" s="41"/>
      <c r="C6" s="39">
        <f t="shared" si="7"/>
        <v>0</v>
      </c>
      <c r="D6" s="41"/>
      <c r="E6" s="39">
        <f t="shared" si="8"/>
        <v>0</v>
      </c>
      <c r="F6" s="41"/>
      <c r="G6" s="39">
        <f t="shared" si="9"/>
        <v>0</v>
      </c>
      <c r="H6" s="41"/>
      <c r="I6" s="39">
        <f t="shared" ref="I6:I36" si="11">IF(AC6&gt;0,((H6-AA6)+(AB6-H7)),IF(H7=0, ,(H6-H7)))</f>
        <v>0</v>
      </c>
      <c r="J6" s="39">
        <f t="shared" ref="J6:J42" si="12">B6+D6+F6+H6</f>
        <v>0</v>
      </c>
      <c r="K6" s="39">
        <f t="shared" ref="K6:K42" si="13">J6/4</f>
        <v>0</v>
      </c>
      <c r="L6" s="39">
        <f t="shared" ref="L6:L19" si="14">IF(AC6&gt;0,((K6-AD6)+(AE6-K7)),IF(K7=0, ,(K6-K7)))</f>
        <v>0</v>
      </c>
      <c r="M6" s="149">
        <f t="shared" si="3"/>
        <v>24196</v>
      </c>
      <c r="N6" s="39">
        <f t="shared" ref="N6:N42" si="15">L6*M6/100</f>
        <v>0</v>
      </c>
      <c r="O6" s="39">
        <f>N6*0.529</f>
        <v>0</v>
      </c>
      <c r="P6" s="42">
        <f t="shared" si="10"/>
        <v>0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44596</v>
      </c>
      <c r="B7" s="41"/>
      <c r="C7" s="39">
        <f t="shared" si="7"/>
        <v>0</v>
      </c>
      <c r="D7" s="41"/>
      <c r="E7" s="39">
        <f t="shared" si="8"/>
        <v>0</v>
      </c>
      <c r="F7" s="41"/>
      <c r="G7" s="39">
        <f t="shared" si="9"/>
        <v>0</v>
      </c>
      <c r="H7" s="41"/>
      <c r="I7" s="39">
        <f t="shared" si="11"/>
        <v>0</v>
      </c>
      <c r="J7" s="39">
        <f t="shared" si="12"/>
        <v>0</v>
      </c>
      <c r="K7" s="39">
        <f t="shared" si="13"/>
        <v>0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44597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44598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44599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44600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44601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44602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44603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44604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44605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44606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44607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44608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44609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44610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44611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44612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44613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44614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44615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44616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44617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44618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44619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44620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44621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0</v>
      </c>
      <c r="O43" s="39">
        <f>N43*0.529</f>
        <v>0</v>
      </c>
      <c r="P43" s="42">
        <f>O43*11.565</f>
        <v>0</v>
      </c>
      <c r="Q43" s="285">
        <f>SUM(Q4:Q42)</f>
        <v>0</v>
      </c>
      <c r="R43" s="286"/>
      <c r="S43" s="287"/>
      <c r="T43" s="288">
        <f>SUM(T4:T42)</f>
        <v>0</v>
      </c>
      <c r="U43" s="286"/>
      <c r="V43" s="287"/>
      <c r="W43" s="288">
        <f>SUM(W4:W42)</f>
        <v>0</v>
      </c>
      <c r="X43" s="286"/>
      <c r="Y43" s="287"/>
      <c r="Z43" s="288">
        <f>SUM(Z4:Z42)</f>
        <v>0</v>
      </c>
      <c r="AA43" s="286"/>
      <c r="AB43" s="287"/>
      <c r="AC43" s="39">
        <f t="shared" si="20"/>
        <v>0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0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0</v>
      </c>
      <c r="L47" s="46">
        <f>O43</f>
        <v>0</v>
      </c>
      <c r="M47" s="46">
        <f>P43</f>
        <v>0</v>
      </c>
    </row>
    <row r="48" spans="1:31" ht="54.75" customHeight="1" thickBot="1">
      <c r="H48" s="281" t="s">
        <v>86</v>
      </c>
      <c r="I48" s="282"/>
      <c r="J48" s="283"/>
      <c r="K48" s="43">
        <f>AC44</f>
        <v>0</v>
      </c>
      <c r="L48" s="44">
        <f>K48*0.529</f>
        <v>0</v>
      </c>
      <c r="M48" s="44">
        <f>L48*11.565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44558</v>
      </c>
      <c r="D8" s="325"/>
      <c r="E8" s="113">
        <v>44589</v>
      </c>
      <c r="F8" s="163" t="s">
        <v>97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417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40"/>
      <c r="H17" s="341"/>
      <c r="I17" s="340">
        <f>+E17</f>
        <v>92248</v>
      </c>
      <c r="J17" s="341"/>
    </row>
    <row r="18" spans="1:10">
      <c r="A18" s="338" t="s">
        <v>111</v>
      </c>
      <c r="B18" s="339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40"/>
      <c r="H18" s="341"/>
      <c r="I18" s="340">
        <f>+E18</f>
        <v>71146</v>
      </c>
      <c r="J18" s="341"/>
    </row>
    <row r="19" spans="1:10">
      <c r="A19" s="338" t="s">
        <v>112</v>
      </c>
      <c r="B19" s="339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40"/>
      <c r="H19" s="341"/>
      <c r="I19" s="340">
        <f>+E19</f>
        <v>43085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206479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62">
        <f>SUM(H25,F25)</f>
        <v>100051.811808</v>
      </c>
      <c r="J25" s="363"/>
    </row>
    <row r="26" spans="1:10" ht="15">
      <c r="A26" s="364" t="s">
        <v>124</v>
      </c>
      <c r="B26" s="365"/>
      <c r="C26" s="366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62">
        <f t="shared" ref="I26:I31" si="0">SUM(H26,F26)</f>
        <v>56652.848339999997</v>
      </c>
      <c r="J26" s="363"/>
    </row>
    <row r="27" spans="1:10" ht="15">
      <c r="A27" s="364" t="s">
        <v>125</v>
      </c>
      <c r="B27" s="365"/>
      <c r="C27" s="366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62">
        <f>SUM(H27,F27)</f>
        <v>65345.123760000002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240995.18219999998</v>
      </c>
      <c r="G32" s="85"/>
      <c r="H32" s="86"/>
      <c r="I32" s="374">
        <f>SUM(I25:J31)</f>
        <v>274680.52770799998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00" t="s">
        <v>131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44297</v>
      </c>
      <c r="D8" s="325"/>
      <c r="E8" s="113">
        <v>44327</v>
      </c>
      <c r="F8" s="163" t="s">
        <v>132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712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0"/>
      <c r="H17" s="341"/>
      <c r="I17" s="340">
        <f>+E17</f>
        <v>6887</v>
      </c>
      <c r="J17" s="341"/>
    </row>
    <row r="18" spans="1:10">
      <c r="A18" s="338" t="s">
        <v>111</v>
      </c>
      <c r="B18" s="339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0"/>
      <c r="H18" s="341"/>
      <c r="I18" s="340">
        <f>+E18</f>
        <v>3799</v>
      </c>
      <c r="J18" s="341"/>
    </row>
    <row r="19" spans="1:10">
      <c r="A19" s="338" t="s">
        <v>112</v>
      </c>
      <c r="B19" s="339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0"/>
      <c r="H19" s="341"/>
      <c r="I19" s="340">
        <f>+E19</f>
        <v>3073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13759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2">
        <f>SUM(H25,F25)</f>
        <v>7469.6126519999998</v>
      </c>
      <c r="J25" s="363"/>
    </row>
    <row r="26" spans="1:10" ht="15">
      <c r="A26" s="364" t="s">
        <v>124</v>
      </c>
      <c r="B26" s="365"/>
      <c r="C26" s="366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2">
        <f t="shared" ref="I26:I31" si="0">SUM(H26,F26)</f>
        <v>3025.1057100000003</v>
      </c>
      <c r="J26" s="363"/>
    </row>
    <row r="27" spans="1:10" ht="15">
      <c r="A27" s="364" t="s">
        <v>125</v>
      </c>
      <c r="B27" s="365"/>
      <c r="C27" s="366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2">
        <f>SUM(H27,F27)</f>
        <v>4660.6838879999996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59508.8825</v>
      </c>
      <c r="G32" s="85"/>
      <c r="H32" s="86"/>
      <c r="I32" s="374">
        <f>SUM(I25:J31)</f>
        <v>67786.146049999996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1595.1000000000058</v>
      </c>
      <c r="C13" s="396"/>
      <c r="D13" s="396">
        <v>8.7899999999999991</v>
      </c>
      <c r="E13" s="396"/>
      <c r="F13" s="398">
        <f>PRODUCT(D13,B13)</f>
        <v>14020.929000000049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1595.1000000000058</v>
      </c>
      <c r="C19" s="396"/>
      <c r="D19" s="396">
        <v>2.61</v>
      </c>
      <c r="E19" s="396"/>
      <c r="F19" s="396">
        <f>PRODUCT(D19,B19)</f>
        <v>4163.2110000000148</v>
      </c>
      <c r="G19" s="396"/>
      <c r="H19" s="396"/>
    </row>
    <row r="20" spans="1:8" ht="18.75">
      <c r="A20" s="412" t="s">
        <v>149</v>
      </c>
      <c r="B20" s="413"/>
      <c r="C20" s="413"/>
      <c r="D20" s="413"/>
      <c r="E20" s="414"/>
      <c r="F20" s="415">
        <f>SUM(F11+F13+F16+F17+F18+F19)</f>
        <v>18207.140000000065</v>
      </c>
      <c r="G20" s="415"/>
      <c r="H20" s="415"/>
    </row>
    <row r="21" spans="1:8" ht="15">
      <c r="A21" s="401" t="s">
        <v>150</v>
      </c>
      <c r="B21" s="402"/>
      <c r="C21" s="402"/>
      <c r="D21" s="402"/>
      <c r="E21" s="403"/>
      <c r="F21" s="396">
        <f>PRODUCT(F20,0.07)</f>
        <v>1274.4998000000046</v>
      </c>
      <c r="G21" s="396"/>
      <c r="H21" s="396"/>
    </row>
    <row r="22" spans="1:8" ht="15">
      <c r="A22" s="433" t="s">
        <v>151</v>
      </c>
      <c r="B22" s="434"/>
      <c r="C22" s="434"/>
      <c r="D22" s="434"/>
      <c r="E22" s="435"/>
      <c r="F22" s="396">
        <v>208.26</v>
      </c>
      <c r="G22" s="396"/>
      <c r="H22" s="396"/>
    </row>
    <row r="23" spans="1:8" ht="15.75">
      <c r="A23" s="401" t="s">
        <v>152</v>
      </c>
      <c r="B23" s="402"/>
      <c r="C23" s="402"/>
      <c r="D23" s="402"/>
      <c r="E23" s="403"/>
      <c r="F23" s="404">
        <f>SUM(F21:H22)</f>
        <v>1482.7598000000046</v>
      </c>
      <c r="G23" s="404"/>
      <c r="H23" s="404"/>
    </row>
    <row r="24" spans="1:8">
      <c r="A24" s="405" t="s">
        <v>153</v>
      </c>
      <c r="B24" s="406"/>
      <c r="C24" s="406"/>
      <c r="D24" s="406"/>
      <c r="E24" s="407"/>
      <c r="F24" s="411">
        <f>SUM(F20,F23)</f>
        <v>19689.899800000068</v>
      </c>
      <c r="G24" s="411"/>
      <c r="H24" s="411"/>
    </row>
    <row r="25" spans="1:8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398">
        <f>PRODUCT(D13,B13)</f>
        <v>1018.3000000000247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412" t="s">
        <v>149</v>
      </c>
      <c r="B21" s="413"/>
      <c r="C21" s="413"/>
      <c r="D21" s="413"/>
      <c r="E21" s="414"/>
      <c r="F21" s="415">
        <f>SUM(F11+F13+F16+F17+F18+F20)</f>
        <v>1345.5920000000322</v>
      </c>
      <c r="G21" s="415"/>
      <c r="H21" s="415"/>
    </row>
    <row r="22" spans="1:8" ht="15">
      <c r="A22" s="401" t="s">
        <v>150</v>
      </c>
      <c r="B22" s="402"/>
      <c r="C22" s="402"/>
      <c r="D22" s="402"/>
      <c r="E22" s="403"/>
      <c r="F22" s="396">
        <f>PRODUCT(F21,0.07)</f>
        <v>94.19144000000226</v>
      </c>
      <c r="G22" s="396"/>
      <c r="H22" s="396"/>
    </row>
    <row r="23" spans="1:8" ht="15">
      <c r="A23" s="433" t="s">
        <v>151</v>
      </c>
      <c r="B23" s="434"/>
      <c r="C23" s="434"/>
      <c r="D23" s="434"/>
      <c r="E23" s="435"/>
      <c r="F23" s="396">
        <v>208.26</v>
      </c>
      <c r="G23" s="396"/>
      <c r="H23" s="396"/>
    </row>
    <row r="24" spans="1:8" ht="15.75">
      <c r="A24" s="401" t="s">
        <v>152</v>
      </c>
      <c r="B24" s="402"/>
      <c r="C24" s="402"/>
      <c r="D24" s="402"/>
      <c r="E24" s="403"/>
      <c r="F24" s="404">
        <f>SUM(F22:H23)</f>
        <v>302.45144000000226</v>
      </c>
      <c r="G24" s="404"/>
      <c r="H24" s="404"/>
    </row>
    <row r="25" spans="1:8">
      <c r="A25" s="405" t="s">
        <v>153</v>
      </c>
      <c r="B25" s="406"/>
      <c r="C25" s="406"/>
      <c r="D25" s="406"/>
      <c r="E25" s="407"/>
      <c r="F25" s="411">
        <f>SUM(F21,F24)</f>
        <v>1648.0434400000345</v>
      </c>
      <c r="G25" s="411"/>
      <c r="H25" s="411"/>
    </row>
    <row r="26" spans="1:8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155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>
      <c r="A19" s="400"/>
      <c r="B19" s="400"/>
      <c r="C19" s="400"/>
      <c r="D19" s="400"/>
      <c r="E19" s="400"/>
      <c r="F19" s="400"/>
      <c r="G19" s="400"/>
      <c r="H19" s="400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412" t="s">
        <v>149</v>
      </c>
      <c r="B25" s="413"/>
      <c r="C25" s="413"/>
      <c r="D25" s="413"/>
      <c r="E25" s="414"/>
      <c r="F25" s="418">
        <f>SUM(F11+F13+F20+F21+F22+F23)</f>
        <v>15</v>
      </c>
      <c r="G25" s="415"/>
      <c r="H25" s="415"/>
    </row>
    <row r="26" spans="1:8" ht="15">
      <c r="A26" s="401" t="s">
        <v>150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>
      <c r="A27" s="433" t="s">
        <v>151</v>
      </c>
      <c r="B27" s="434"/>
      <c r="C27" s="434"/>
      <c r="D27" s="434"/>
      <c r="E27" s="435"/>
      <c r="F27" s="396">
        <v>2.4300000000000002</v>
      </c>
      <c r="G27" s="396"/>
      <c r="H27" s="396"/>
    </row>
    <row r="28" spans="1:8" ht="15.75">
      <c r="A28" s="401" t="s">
        <v>152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>
      <c r="A29" s="405" t="s">
        <v>153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2022-02-01T09:21:19Z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