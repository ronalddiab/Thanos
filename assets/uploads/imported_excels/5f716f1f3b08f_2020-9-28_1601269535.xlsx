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J29" i="2" l="1"/>
  <c r="I29" i="2"/>
  <c r="H29" i="2"/>
  <c r="F29" i="2"/>
  <c r="E29" i="2"/>
  <c r="L29" i="3"/>
  <c r="K29" i="3"/>
  <c r="I29" i="3"/>
  <c r="G29" i="3"/>
  <c r="E29" i="3"/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K38" i="1" l="1"/>
  <c r="L25" i="3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J14" i="2" l="1"/>
  <c r="I14" i="2"/>
  <c r="H14" i="2"/>
  <c r="F14" i="2"/>
  <c r="E14" i="2"/>
  <c r="L14" i="3"/>
  <c r="K14" i="3"/>
  <c r="I14" i="3"/>
  <c r="G14" i="3"/>
  <c r="E14" i="3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J38" i="1"/>
  <c r="I38" i="1"/>
  <c r="H38" i="1"/>
  <c r="H39" i="1" s="1"/>
  <c r="G38" i="1"/>
  <c r="F38" i="1"/>
  <c r="E38" i="1"/>
  <c r="C38" i="1"/>
  <c r="B38" i="1"/>
  <c r="J31" i="2" l="1"/>
  <c r="I31" i="2"/>
  <c r="H31" i="2"/>
  <c r="F31" i="2"/>
  <c r="E31" i="2"/>
  <c r="L13" i="3" l="1"/>
  <c r="K13" i="3"/>
  <c r="I13" i="3"/>
  <c r="G13" i="3"/>
  <c r="E13" i="3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J13" i="2" l="1"/>
  <c r="I13" i="2"/>
  <c r="H13" i="2"/>
  <c r="F13" i="2"/>
  <c r="E13" i="2"/>
  <c r="L6" i="3" l="1"/>
  <c r="K6" i="3"/>
  <c r="I6" i="3"/>
  <c r="G6" i="3"/>
  <c r="E6" i="3"/>
  <c r="J6" i="2"/>
  <c r="I6" i="2"/>
  <c r="H6" i="2"/>
  <c r="F6" i="2"/>
  <c r="E6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<sst xmlns="http://schemas.openxmlformats.org/spreadsheetml/2006/main" count="105" uniqueCount="38">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</sst>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Q29" sqref="Q29:Q3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8566</v>
      </c>
      <c r="F5" s="22">
        <v>0.11799999999999999</v>
      </c>
      <c r="G5" s="24">
        <f>(('09 - 2020'!E11-'09 - 2020'!E10)+('09 - 2020'!F11-'09 - 2020'!F10)+('09 - 2020'!G11-'09 - 2020'!G10))*1.81</f>
        <v>101.36</v>
      </c>
      <c r="H5" s="22">
        <v>0.99</v>
      </c>
      <c r="I5" s="24">
        <f>'09 - 2020'!J11-'09 - 2020'!J10</f>
        <v>31046</v>
      </c>
      <c r="J5" s="22">
        <v>8.1000000000000003E-2</v>
      </c>
      <c r="K5" s="56">
        <f>'09 - 2020'!H11-'09 - 2020'!H10</f>
        <v>0</v>
      </c>
      <c r="L5" s="24">
        <f>'09 - 2020'!I11-'09 - 2020'!I10</f>
        <v>66</v>
      </c>
      <c r="M5" s="23">
        <v>4.393629424766913</v>
      </c>
      <c r="N5" s="48">
        <v>14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8477</v>
      </c>
      <c r="F6" s="22">
        <v>0.11799999999999999</v>
      </c>
      <c r="G6" s="24">
        <f>(('09 - 2020'!E12-'09 - 2020'!E11)+('09 - 2020'!F12-'09 - 2020'!F11)+('09 - 2020'!G12-'09 - 2020'!G11))*1.81</f>
        <v>99.55</v>
      </c>
      <c r="H6" s="22">
        <v>0.99</v>
      </c>
      <c r="I6" s="24">
        <f>'09 - 2020'!J12-'09 - 2020'!J11</f>
        <v>31477</v>
      </c>
      <c r="J6" s="22">
        <v>8.1000000000000003E-2</v>
      </c>
      <c r="K6" s="56">
        <f>'09 - 2020'!H12-'09 - 2020'!H11</f>
        <v>0</v>
      </c>
      <c r="L6" s="24">
        <f>'09 - 2020'!I12-'09 - 2020'!I11</f>
        <v>67</v>
      </c>
      <c r="M6" s="23">
        <v>4.3936294247669103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8298</v>
      </c>
      <c r="F7" s="22">
        <v>0.11799999999999999</v>
      </c>
      <c r="G7" s="24">
        <f>(('09 - 2020'!E13-'09 - 2020'!E12)+('09 - 2020'!F13-'09 - 2020'!F12)+('09 - 2020'!G13-'09 - 2020'!G12))*1.81</f>
        <v>92.31</v>
      </c>
      <c r="H7" s="22">
        <v>0.99</v>
      </c>
      <c r="I7" s="24">
        <f>'09 - 2020'!J13-'09 - 2020'!J12</f>
        <v>29666</v>
      </c>
      <c r="J7" s="22">
        <v>8.1000000000000003E-2</v>
      </c>
      <c r="K7" s="56">
        <f>'09 - 2020'!H13-'09 - 2020'!H12</f>
        <v>0</v>
      </c>
      <c r="L7" s="24">
        <f>'09 - 2020'!I13-'09 - 2020'!I12</f>
        <v>62</v>
      </c>
      <c r="M7" s="23">
        <v>4.3936294247669103</v>
      </c>
      <c r="N7" s="48">
        <v>20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8373</v>
      </c>
      <c r="F8" s="22">
        <v>0.11799999999999999</v>
      </c>
      <c r="G8" s="24">
        <f>(('09 - 2020'!E14-'09 - 2020'!E13)+('09 - 2020'!F14-'09 - 2020'!F13)+('09 - 2020'!G14-'09 - 2020'!G13))*1.81</f>
        <v>101.36</v>
      </c>
      <c r="H8" s="22">
        <v>0.99</v>
      </c>
      <c r="I8" s="24">
        <f>'09 - 2020'!J14-'09 - 2020'!J13</f>
        <v>32608</v>
      </c>
      <c r="J8" s="22">
        <v>8.1000000000000003E-2</v>
      </c>
      <c r="K8" s="56">
        <f>'09 - 2020'!H14-'09 - 2020'!H13</f>
        <v>0</v>
      </c>
      <c r="L8" s="24">
        <f>'09 - 2020'!I14-'09 - 2020'!I13</f>
        <v>43</v>
      </c>
      <c r="M8" s="23">
        <v>4.3936294247669103</v>
      </c>
      <c r="N8" s="48">
        <v>26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8312</v>
      </c>
      <c r="F9" s="22">
        <v>0.11799999999999999</v>
      </c>
      <c r="G9" s="24">
        <f>(('09 - 2020'!E15-'09 - 2020'!E14)+('09 - 2020'!F15-'09 - 2020'!F14)+('09 - 2020'!G15-'09 - 2020'!G14))*1.81</f>
        <v>97.794299999997079</v>
      </c>
      <c r="H9" s="22">
        <v>0.99</v>
      </c>
      <c r="I9" s="24">
        <f>'09 - 2020'!J15-'09 - 2020'!J14</f>
        <v>35885</v>
      </c>
      <c r="J9" s="22">
        <v>8.1000000000000003E-2</v>
      </c>
      <c r="K9" s="56">
        <f>'09 - 2020'!H15-'09 - 2020'!H14</f>
        <v>0</v>
      </c>
      <c r="L9" s="24">
        <f>'09 - 2020'!I15-'09 - 2020'!I14</f>
        <v>59</v>
      </c>
      <c r="M9" s="23">
        <v>4.3936294247669103</v>
      </c>
      <c r="N9" s="48">
        <v>31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8594</v>
      </c>
      <c r="F10" s="22">
        <v>0.11799999999999999</v>
      </c>
      <c r="G10" s="24">
        <f>(('09 - 2020'!E16-'09 - 2020'!E15)+('09 - 2020'!F16-'09 - 2020'!F15)+('09 - 2020'!G16-'09 - 2020'!G15))*1.81</f>
        <v>88.635700000002927</v>
      </c>
      <c r="H10" s="22">
        <v>0.99</v>
      </c>
      <c r="I10" s="24">
        <f>'09 - 2020'!J16-'09 - 2020'!J15</f>
        <v>38285</v>
      </c>
      <c r="J10" s="22">
        <v>8.1000000000000003E-2</v>
      </c>
      <c r="K10" s="56">
        <f>'09 - 2020'!H16-'09 - 2020'!H15</f>
        <v>0</v>
      </c>
      <c r="L10" s="24">
        <f>'09 - 2020'!I16-'09 - 2020'!I15</f>
        <v>66</v>
      </c>
      <c r="M10" s="23">
        <v>4.3936294247669103</v>
      </c>
      <c r="N10" s="48">
        <v>30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8863</v>
      </c>
      <c r="F11" s="22">
        <v>0.11799999999999999</v>
      </c>
      <c r="G11" s="24">
        <f>(('09 - 2020'!E17-'09 - 2020'!E16)+('09 - 2020'!F17-'09 - 2020'!F16)+('09 - 2020'!G17-'09 - 2020'!G16))*1.81</f>
        <v>97.740000000000009</v>
      </c>
      <c r="H11" s="22">
        <v>0.99</v>
      </c>
      <c r="I11" s="24">
        <f>'09 - 2020'!J17-'09 - 2020'!J16</f>
        <v>39126</v>
      </c>
      <c r="J11" s="22">
        <v>8.1000000000000003E-2</v>
      </c>
      <c r="K11" s="56">
        <f>'09 - 2020'!H17-'09 - 2020'!H16</f>
        <v>0</v>
      </c>
      <c r="L11" s="24">
        <f>'09 - 2020'!I17-'09 - 2020'!I16</f>
        <v>62</v>
      </c>
      <c r="M11" s="23">
        <v>4.3936294247669103</v>
      </c>
      <c r="N11" s="48">
        <v>22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8934</v>
      </c>
      <c r="F12" s="22">
        <v>0.11799999999999999</v>
      </c>
      <c r="G12" s="24">
        <f>(('09 - 2020'!E18-'09 - 2020'!E17)+('09 - 2020'!F18-'09 - 2020'!F17)+('09 - 2020'!G18-'09 - 2020'!G17))*1.81</f>
        <v>94.12</v>
      </c>
      <c r="H12" s="22">
        <v>0.99</v>
      </c>
      <c r="I12" s="24">
        <f>'09 - 2020'!J18-'09 - 2020'!J17</f>
        <v>36447</v>
      </c>
      <c r="J12" s="22">
        <v>8.1000000000000003E-2</v>
      </c>
      <c r="K12" s="56">
        <f>'09 - 2020'!H18-'09 - 2020'!H17</f>
        <v>0</v>
      </c>
      <c r="L12" s="24">
        <f>'09 - 2020'!I18-'09 - 2020'!I17</f>
        <v>64</v>
      </c>
      <c r="M12" s="23">
        <v>4.3936294247669103</v>
      </c>
      <c r="N12" s="24">
        <v>26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8651</v>
      </c>
      <c r="F13" s="22">
        <v>0.11799999999999999</v>
      </c>
      <c r="G13" s="24">
        <f>(('09 - 2020'!E19-'09 - 2020'!E18)+('09 - 2020'!F19-'09 - 2020'!F18)+('09 - 2020'!G19-'09 - 2020'!G18))*1.81</f>
        <v>97.740000000000009</v>
      </c>
      <c r="H13" s="22">
        <v>0.99</v>
      </c>
      <c r="I13" s="24">
        <f>'09 - 2020'!J19-'09 - 2020'!J18</f>
        <v>35659</v>
      </c>
      <c r="J13" s="22">
        <v>8.1000000000000003E-2</v>
      </c>
      <c r="K13" s="56">
        <f>'09 - 2020'!H19-'09 - 2020'!H18</f>
        <v>0</v>
      </c>
      <c r="L13" s="24">
        <f>'09 - 2020'!I19-'09 - 2020'!I18</f>
        <v>61</v>
      </c>
      <c r="M13" s="23">
        <v>4.3936294247669103</v>
      </c>
      <c r="N13" s="24">
        <v>23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8492</v>
      </c>
      <c r="F14" s="22">
        <v>0.11799999999999999</v>
      </c>
      <c r="G14" s="24">
        <f>(('09 - 2020'!E20-'09 - 2020'!E19)+('09 - 2020'!F20-'09 - 2020'!F19)+('09 - 2020'!G20-'09 - 2020'!G19))*1.81</f>
        <v>90.5</v>
      </c>
      <c r="H14" s="22">
        <v>0.99</v>
      </c>
      <c r="I14" s="24">
        <f>'09 - 2020'!J20-'09 - 2020'!J19</f>
        <v>31815</v>
      </c>
      <c r="J14" s="22">
        <v>8.1000000000000003E-2</v>
      </c>
      <c r="K14" s="56">
        <f>'09 - 2020'!H20-'09 - 2020'!H19</f>
        <v>0</v>
      </c>
      <c r="L14" s="24">
        <f>'09 - 2020'!I20-'09 - 2020'!I19</f>
        <v>44</v>
      </c>
      <c r="M14" s="23">
        <v>4.3936294247669103</v>
      </c>
      <c r="N14" s="24">
        <v>19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8393</v>
      </c>
      <c r="F15" s="22">
        <v>0.11799999999999999</v>
      </c>
      <c r="G15" s="24">
        <f>(('09 - 2020'!E21-'09 - 2020'!E20)+('09 - 2020'!F21-'09 - 2020'!F20)+('09 - 2020'!G21-'09 - 2020'!G20))*1.81</f>
        <v>94.12</v>
      </c>
      <c r="H15" s="22">
        <v>0.99</v>
      </c>
      <c r="I15" s="24">
        <f>'09 - 2020'!J21-'09 - 2020'!J20</f>
        <v>25355</v>
      </c>
      <c r="J15" s="22">
        <v>8.1000000000000003E-2</v>
      </c>
      <c r="K15" s="56">
        <f>'09 - 2020'!H21-'09 - 2020'!H20</f>
        <v>0</v>
      </c>
      <c r="L15" s="24">
        <f>'09 - 2020'!I21-'09 - 2020'!I20</f>
        <v>64</v>
      </c>
      <c r="M15" s="23">
        <v>4.3936294247669103</v>
      </c>
      <c r="N15" s="24">
        <v>19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8597</v>
      </c>
      <c r="F16" s="22">
        <v>0.11799999999999999</v>
      </c>
      <c r="G16" s="24">
        <f>(('09 - 2020'!E22-'09 - 2020'!E21)+('09 - 2020'!F22-'09 - 2020'!F21)+('09 - 2020'!G22-'09 - 2020'!G21))*1.81</f>
        <v>97.721899999998783</v>
      </c>
      <c r="H16" s="22">
        <v>0.99</v>
      </c>
      <c r="I16" s="24">
        <f>'09 - 2020'!J22-'09 - 2020'!J21</f>
        <v>25635</v>
      </c>
      <c r="J16" s="22">
        <v>8.1000000000000003E-2</v>
      </c>
      <c r="K16" s="56">
        <f>'09 - 2020'!H22-'09 - 2020'!H21</f>
        <v>0</v>
      </c>
      <c r="L16" s="24">
        <f>'09 - 2020'!I22-'09 - 2020'!I21</f>
        <v>55</v>
      </c>
      <c r="M16" s="23">
        <v>4.3936294247669103</v>
      </c>
      <c r="N16" s="24">
        <v>17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8252</v>
      </c>
      <c r="F17" s="22">
        <v>0.11799999999999999</v>
      </c>
      <c r="G17" s="24">
        <f>(('09 - 2020'!E23-'09 - 2020'!E22)+('09 - 2020'!F23-'09 - 2020'!F22)+('09 - 2020'!G23-'09 - 2020'!G22))*1.81</f>
        <v>95.948100000001219</v>
      </c>
      <c r="H17" s="22">
        <v>0.99</v>
      </c>
      <c r="I17" s="24">
        <f>'09 - 2020'!J23-'09 - 2020'!J22</f>
        <v>25025</v>
      </c>
      <c r="J17" s="22">
        <v>8.1000000000000003E-2</v>
      </c>
      <c r="K17" s="56">
        <f>'09 - 2020'!H23-'09 - 2020'!H22</f>
        <v>0</v>
      </c>
      <c r="L17" s="24">
        <f>'09 - 2020'!I23-'09 - 2020'!I22</f>
        <v>57</v>
      </c>
      <c r="M17" s="23">
        <v>4.3936294247669103</v>
      </c>
      <c r="N17" s="24">
        <v>18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8277</v>
      </c>
      <c r="F18" s="22">
        <v>0.11799999999999999</v>
      </c>
      <c r="G18" s="24">
        <f>(('09 - 2020'!E24-'09 - 2020'!E23)+('09 - 2020'!F24-'09 - 2020'!F23)+('09 - 2020'!G24-'09 - 2020'!G23))*1.81</f>
        <v>94.12</v>
      </c>
      <c r="H18" s="22">
        <v>0.99</v>
      </c>
      <c r="I18" s="24">
        <f>'09 - 2020'!J24-'09 - 2020'!J23</f>
        <v>26434</v>
      </c>
      <c r="J18" s="22">
        <v>8.1000000000000003E-2</v>
      </c>
      <c r="K18" s="56">
        <f>'09 - 2020'!H24-'09 - 2020'!H23</f>
        <v>0</v>
      </c>
      <c r="L18" s="24">
        <f>'09 - 2020'!I24-'09 - 2020'!I23</f>
        <v>65</v>
      </c>
      <c r="M18" s="23">
        <v>4.3936294247669103</v>
      </c>
      <c r="N18" s="24">
        <v>22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8495</v>
      </c>
      <c r="F19" s="22">
        <v>0.11799999999999999</v>
      </c>
      <c r="G19" s="24">
        <f>(('09 - 2020'!E25-'09 - 2020'!E24)+('09 - 2020'!F25-'09 - 2020'!F24)+('09 - 2020'!G25-'09 - 2020'!G24))*1.81</f>
        <v>94.12</v>
      </c>
      <c r="H19" s="22">
        <v>0.99</v>
      </c>
      <c r="I19" s="24">
        <f>'09 - 2020'!J25-'09 - 2020'!J24</f>
        <v>29787</v>
      </c>
      <c r="J19" s="22">
        <v>8.1000000000000003E-2</v>
      </c>
      <c r="K19" s="56">
        <f>'09 - 2020'!H25-'09 - 2020'!H24</f>
        <v>0</v>
      </c>
      <c r="L19" s="24">
        <f>'09 - 2020'!I25-'09 - 2020'!I24</f>
        <v>64</v>
      </c>
      <c r="M19" s="23">
        <v>4.3936294247669103</v>
      </c>
      <c r="N19" s="49">
        <v>25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8476</v>
      </c>
      <c r="F20" s="22">
        <v>0.11799999999999999</v>
      </c>
      <c r="G20" s="24">
        <f>(('09 - 2020'!E26-'09 - 2020'!E25)+('09 - 2020'!F26-'09 - 2020'!F25)+('09 - 2020'!G26-'09 - 2020'!G25))*1.81</f>
        <v>94.12</v>
      </c>
      <c r="H20" s="22">
        <v>0.99</v>
      </c>
      <c r="I20" s="24">
        <f>'09 - 2020'!J26-'09 - 2020'!J25</f>
        <v>29876</v>
      </c>
      <c r="J20" s="22">
        <v>8.1000000000000003E-2</v>
      </c>
      <c r="K20" s="56">
        <f>'09 - 2020'!H26-'09 - 2020'!H25</f>
        <v>0</v>
      </c>
      <c r="L20" s="24">
        <f>'09 - 2020'!I26-'09 - 2020'!I25</f>
        <v>63</v>
      </c>
      <c r="M20" s="23">
        <v>4.3936294247669103</v>
      </c>
      <c r="N20" s="49">
        <v>24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8296</v>
      </c>
      <c r="F21" s="22">
        <v>0.11799999999999999</v>
      </c>
      <c r="G21" s="24">
        <f>(('09 - 2020'!E27-'09 - 2020'!E26)+('09 - 2020'!F27-'09 - 2020'!F26)+('09 - 2020'!G27-'09 - 2020'!G26))*1.81</f>
        <v>77.83</v>
      </c>
      <c r="H21" s="22">
        <v>0.99</v>
      </c>
      <c r="I21" s="24">
        <f>'09 - 2020'!J27-'09 - 2020'!J26</f>
        <v>32836</v>
      </c>
      <c r="J21" s="22">
        <v>8.1000000000000003E-2</v>
      </c>
      <c r="K21" s="56">
        <f>'09 - 2020'!H27-'09 - 2020'!H26</f>
        <v>0</v>
      </c>
      <c r="L21" s="24">
        <f>'09 - 2020'!I27-'09 - 2020'!I26</f>
        <v>46</v>
      </c>
      <c r="M21" s="23">
        <v>4.3936294247669103</v>
      </c>
      <c r="N21" s="49">
        <v>25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8576</v>
      </c>
      <c r="F22" s="22">
        <v>0.11799999999999999</v>
      </c>
      <c r="G22" s="24">
        <f>(('09 - 2020'!E28-'09 - 2020'!E27)+('09 - 2020'!F28-'09 - 2020'!F27)+('09 - 2020'!G28-'09 - 2020'!G27))*1.81</f>
        <v>88.69</v>
      </c>
      <c r="H22" s="22">
        <v>0.99</v>
      </c>
      <c r="I22" s="24">
        <f>'09 - 2020'!J28-'09 - 2020'!J27</f>
        <v>33998</v>
      </c>
      <c r="J22" s="22">
        <v>8.1000000000000003E-2</v>
      </c>
      <c r="K22" s="56">
        <f>'09 - 2020'!H28-'09 - 2020'!H27</f>
        <v>0</v>
      </c>
      <c r="L22" s="24">
        <f>'09 - 2020'!I28-'09 - 2020'!I27</f>
        <v>57</v>
      </c>
      <c r="M22" s="23">
        <v>4.3936294247669103</v>
      </c>
      <c r="N22" s="49">
        <v>30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8575</v>
      </c>
      <c r="F23" s="22">
        <v>0.11799999999999999</v>
      </c>
      <c r="G23" s="24">
        <f>(('09 - 2020'!E29-'09 - 2020'!E28)+('09 - 2020'!F29-'09 - 2020'!F28)+('09 - 2020'!G29-'09 - 2020'!G28))*1.81</f>
        <v>94.119999999998356</v>
      </c>
      <c r="H23" s="22">
        <v>0.99</v>
      </c>
      <c r="I23" s="24">
        <f>'09 - 2020'!J29-'09 - 2020'!J28</f>
        <v>34112</v>
      </c>
      <c r="J23" s="22">
        <v>8.1000000000000003E-2</v>
      </c>
      <c r="K23" s="56">
        <f>'09 - 2020'!H29-'09 - 2020'!H28</f>
        <v>0</v>
      </c>
      <c r="L23" s="24">
        <f>'09 - 2020'!I29-'09 - 2020'!I28</f>
        <v>69</v>
      </c>
      <c r="M23" s="23">
        <v>4.3936294247669103</v>
      </c>
      <c r="N23" s="49">
        <v>27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8933</v>
      </c>
      <c r="F24" s="22">
        <v>0.11799999999999999</v>
      </c>
      <c r="G24" s="24">
        <f>(('09 - 2020'!E30-'09 - 2020'!E29)+('09 - 2020'!F30-'09 - 2020'!F29)+('09 - 2020'!G30-'09 - 2020'!G29))*1.81</f>
        <v>97.740000000001643</v>
      </c>
      <c r="H24" s="22">
        <v>0.99</v>
      </c>
      <c r="I24" s="24">
        <f>'09 - 2020'!J30-'09 - 2020'!J29</f>
        <v>34497</v>
      </c>
      <c r="J24" s="22">
        <v>8.1000000000000003E-2</v>
      </c>
      <c r="K24" s="56">
        <f>'09 - 2020'!H30-'09 - 2020'!H29</f>
        <v>0</v>
      </c>
      <c r="L24" s="24">
        <f>'09 - 2020'!I30-'09 - 2020'!I29</f>
        <v>54</v>
      </c>
      <c r="M24" s="23">
        <v>4.3936294247669103</v>
      </c>
      <c r="N24" s="49">
        <v>34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8589</v>
      </c>
      <c r="F25" s="22">
        <v>0.11799999999999999</v>
      </c>
      <c r="G25" s="24">
        <f>(('09 - 2020'!E31-'09 - 2020'!E30)+('09 - 2020'!F31-'09 - 2020'!F30)+('09 - 2020'!G31-'09 - 2020'!G30))*1.81</f>
        <v>90.5</v>
      </c>
      <c r="H25" s="22">
        <v>0.99</v>
      </c>
      <c r="I25" s="24">
        <f>'09 - 2020'!J31-'09 - 2020'!J30</f>
        <v>29562</v>
      </c>
      <c r="J25" s="22">
        <v>8.1000000000000003E-2</v>
      </c>
      <c r="K25" s="56">
        <f>'09 - 2020'!H31-'09 - 2020'!H30</f>
        <v>0</v>
      </c>
      <c r="L25" s="24">
        <f>'09 - 2020'!I31-'09 - 2020'!I30</f>
        <v>64</v>
      </c>
      <c r="M25" s="23">
        <v>4.3936294247669103</v>
      </c>
      <c r="N25" s="49">
        <v>31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8642</v>
      </c>
      <c r="F26" s="22">
        <v>0.11799999999999999</v>
      </c>
      <c r="G26" s="24">
        <f>(('09 - 2020'!E32-'09 - 2020'!E31)+('09 - 2020'!F32-'09 - 2020'!F31)+('09 - 2020'!G32-'09 - 2020'!G31))*1.81</f>
        <v>90.5</v>
      </c>
      <c r="H26" s="22">
        <v>0.99</v>
      </c>
      <c r="I26" s="24">
        <f>'09 - 2020'!J32-'09 - 2020'!J31</f>
        <v>28125</v>
      </c>
      <c r="J26" s="22">
        <v>8.1000000000000003E-2</v>
      </c>
      <c r="K26" s="56">
        <f>'09 - 2020'!H32-'09 - 2020'!H31</f>
        <v>0</v>
      </c>
      <c r="L26" s="24">
        <f>'09 - 2020'!I32-'09 - 2020'!I31</f>
        <v>61</v>
      </c>
      <c r="M26" s="23">
        <v>4.3936294247669103</v>
      </c>
      <c r="N26" s="49">
        <v>35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8500</v>
      </c>
      <c r="F27" s="22">
        <v>0.11799999999999999</v>
      </c>
      <c r="G27" s="24">
        <f>(('09 - 2020'!E33-'09 - 2020'!E32)+('09 - 2020'!F33-'09 - 2020'!F32)+('09 - 2020'!G33-'09 - 2020'!G32))*1.81</f>
        <v>108.60000000000001</v>
      </c>
      <c r="H27" s="22">
        <v>0.99</v>
      </c>
      <c r="I27" s="24">
        <f>'09 - 2020'!J33-'09 - 2020'!J32</f>
        <v>27293</v>
      </c>
      <c r="J27" s="22">
        <v>8.1000000000000003E-2</v>
      </c>
      <c r="K27" s="56">
        <f>'09 - 2020'!H33-'09 - 2020'!H32</f>
        <v>0</v>
      </c>
      <c r="L27" s="24">
        <f>'09 - 2020'!I33-'09 - 2020'!I32</f>
        <v>67</v>
      </c>
      <c r="M27" s="23">
        <v>4.3936294247669103</v>
      </c>
      <c r="N27" s="49">
        <v>32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8259</v>
      </c>
      <c r="F28" s="22">
        <v>0.11799999999999999</v>
      </c>
      <c r="G28" s="24">
        <f>(('09 - 2020'!E34-'09 - 2020'!E33)+('09 - 2020'!F34-'09 - 2020'!F33)+('09 - 2020'!G34-'09 - 2020'!G33))*1.81</f>
        <v>85.070000000000007</v>
      </c>
      <c r="H28" s="22">
        <v>0.99</v>
      </c>
      <c r="I28" s="24">
        <f>'09 - 2020'!J34-'09 - 2020'!J33</f>
        <v>29557</v>
      </c>
      <c r="J28" s="22">
        <v>8.1000000000000003E-2</v>
      </c>
      <c r="K28" s="56">
        <f>'09 - 2020'!H34-'09 - 2020'!H33</f>
        <v>0</v>
      </c>
      <c r="L28" s="24">
        <f>'09 - 2020'!I34-'09 - 2020'!I33</f>
        <v>56</v>
      </c>
      <c r="M28" s="23">
        <v>4.3936294247669103</v>
      </c>
      <c r="N28" s="49">
        <v>25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8178</v>
      </c>
      <c r="F29" s="22">
        <v>0.11799999999999999</v>
      </c>
      <c r="G29" s="24">
        <f>(('09 - 2020'!E35-'09 - 2020'!E34)+('09 - 2020'!F35-'09 - 2020'!F34)+('09 - 2020'!G35-'09 - 2020'!G34))*1.81</f>
        <v>86.88</v>
      </c>
      <c r="H29" s="22">
        <v>0.99</v>
      </c>
      <c r="I29" s="24">
        <f>'09 - 2020'!J35-'09 - 2020'!J34</f>
        <v>30390</v>
      </c>
      <c r="J29" s="22">
        <v>8.1000000000000003E-2</v>
      </c>
      <c r="K29" s="56">
        <f>'09 - 2020'!H35-'09 - 2020'!H34</f>
        <v>0</v>
      </c>
      <c r="L29" s="24">
        <f>'09 - 2020'!I35-'09 - 2020'!I34</f>
        <v>55</v>
      </c>
      <c r="M29" s="23">
        <v>4.3936294247669103</v>
      </c>
      <c r="N29" s="49">
        <v>28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v>0</v>
      </c>
      <c r="F30" s="22">
        <v>0.11799999999999999</v>
      </c>
      <c r="G30" s="24">
        <v>0</v>
      </c>
      <c r="H30" s="22">
        <v>0.99</v>
      </c>
      <c r="I30" s="24">
        <v>0</v>
      </c>
      <c r="J30" s="22">
        <v>8.1000000000000003E-2</v>
      </c>
      <c r="K30" s="56">
        <v>0</v>
      </c>
      <c r="L30" s="24"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K30" sqref="K3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2879</v>
      </c>
      <c r="F5" s="24">
        <f>'09 - 2020'!C11-'09 - 2020'!C10</f>
        <v>5687</v>
      </c>
      <c r="G5" s="22">
        <v>0.11799999999999999</v>
      </c>
      <c r="H5" s="24">
        <f>'09 - 2020'!E11-'09 - 2020'!E10</f>
        <v>22</v>
      </c>
      <c r="I5" s="24">
        <f>'09 - 2020'!F11-'09 - 2020'!F10</f>
        <v>5</v>
      </c>
      <c r="J5" s="24">
        <f>'09 - 2020'!G11-'09 - 2020'!G10</f>
        <v>29</v>
      </c>
      <c r="K5" s="22">
        <v>0.74</v>
      </c>
      <c r="L5" s="48">
        <v>14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2916</v>
      </c>
      <c r="F6" s="24">
        <f>'09 - 2020'!C12-'09 - 2020'!C11</f>
        <v>5561</v>
      </c>
      <c r="G6" s="22">
        <v>0.11799999999999999</v>
      </c>
      <c r="H6" s="24">
        <f>'09 - 2020'!E12-'09 - 2020'!E11</f>
        <v>21</v>
      </c>
      <c r="I6" s="24">
        <f>'09 - 2020'!F12-'09 - 2020'!F11</f>
        <v>5</v>
      </c>
      <c r="J6" s="24">
        <f>'09 - 2020'!G12-'09 - 2020'!G11</f>
        <v>29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2783</v>
      </c>
      <c r="F7" s="24">
        <f>'09 - 2020'!C13-'09 - 2020'!C12</f>
        <v>5515</v>
      </c>
      <c r="G7" s="22">
        <v>0.11799999999999999</v>
      </c>
      <c r="H7" s="24">
        <f>'09 - 2020'!E13-'09 - 2020'!E12</f>
        <v>21</v>
      </c>
      <c r="I7" s="24">
        <f>'09 - 2020'!F13-'09 - 2020'!F12</f>
        <v>0</v>
      </c>
      <c r="J7" s="24">
        <f>'09 - 2020'!G13-'09 - 2020'!G12</f>
        <v>30</v>
      </c>
      <c r="K7" s="22">
        <v>0.74</v>
      </c>
      <c r="L7" s="48">
        <v>20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2850</v>
      </c>
      <c r="F8" s="24">
        <f>'09 - 2020'!C14-'09 - 2020'!C13</f>
        <v>5523</v>
      </c>
      <c r="G8" s="22">
        <v>0.11799999999999999</v>
      </c>
      <c r="H8" s="24">
        <f>'09 - 2020'!E14-'09 - 2020'!E13</f>
        <v>23</v>
      </c>
      <c r="I8" s="24">
        <f>'09 - 2020'!F14-'09 - 2020'!F13</f>
        <v>5</v>
      </c>
      <c r="J8" s="24">
        <f>'09 - 2020'!G14-'09 - 2020'!G13</f>
        <v>28</v>
      </c>
      <c r="K8" s="22">
        <v>0.74</v>
      </c>
      <c r="L8" s="48">
        <v>26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2775</v>
      </c>
      <c r="F9" s="24">
        <f>'09 - 2020'!C15-'09 - 2020'!C14</f>
        <v>5537</v>
      </c>
      <c r="G9" s="22">
        <v>0.11799999999999999</v>
      </c>
      <c r="H9" s="24">
        <f>'09 - 2020'!E15-'09 - 2020'!E14</f>
        <v>22.159999999999854</v>
      </c>
      <c r="I9" s="24">
        <f>'09 - 2020'!F15-'09 - 2020'!F14</f>
        <v>5.1799999999998363</v>
      </c>
      <c r="J9" s="24">
        <f>'09 - 2020'!G15-'09 - 2020'!G14</f>
        <v>26.68999999999869</v>
      </c>
      <c r="K9" s="22">
        <v>0.74</v>
      </c>
      <c r="L9" s="48">
        <v>31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2889</v>
      </c>
      <c r="F10" s="24">
        <f>'09 - 2020'!C16-'09 - 2020'!C15</f>
        <v>5705</v>
      </c>
      <c r="G10" s="22">
        <v>0.11799999999999999</v>
      </c>
      <c r="H10" s="24">
        <f>'09 - 2020'!E16-'09 - 2020'!E15</f>
        <v>17.840000000000146</v>
      </c>
      <c r="I10" s="24">
        <f>'09 - 2020'!F16-'09 - 2020'!F15</f>
        <v>4.8200000000001637</v>
      </c>
      <c r="J10" s="24">
        <f>'09 - 2020'!G16-'09 - 2020'!G15</f>
        <v>26.31000000000131</v>
      </c>
      <c r="K10" s="22">
        <v>0.74</v>
      </c>
      <c r="L10" s="48">
        <v>30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2911</v>
      </c>
      <c r="F11" s="24">
        <f>'09 - 2020'!C17-'09 - 2020'!C16</f>
        <v>5952</v>
      </c>
      <c r="G11" s="22">
        <v>0.11799999999999999</v>
      </c>
      <c r="H11" s="24">
        <f>'09 - 2020'!E17-'09 - 2020'!E16</f>
        <v>22</v>
      </c>
      <c r="I11" s="24">
        <f>'09 - 2020'!F17-'09 - 2020'!F16</f>
        <v>5</v>
      </c>
      <c r="J11" s="24">
        <f>'09 - 2020'!G17-'09 - 2020'!G16</f>
        <v>27</v>
      </c>
      <c r="K11" s="22">
        <v>0.74</v>
      </c>
      <c r="L11" s="48">
        <v>22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2974</v>
      </c>
      <c r="F12" s="24">
        <f>'09 - 2020'!C18-'09 - 2020'!C17</f>
        <v>5960</v>
      </c>
      <c r="G12" s="22">
        <v>0.11799999999999999</v>
      </c>
      <c r="H12" s="24">
        <f>'09 - 2020'!E18-'09 - 2020'!E17</f>
        <v>20</v>
      </c>
      <c r="I12" s="24">
        <f>'09 - 2020'!F18-'09 - 2020'!F17</f>
        <v>5</v>
      </c>
      <c r="J12" s="24">
        <f>'09 - 2020'!G18-'09 - 2020'!G17</f>
        <v>27</v>
      </c>
      <c r="K12" s="22">
        <v>0.74</v>
      </c>
      <c r="L12" s="24">
        <v>26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2907</v>
      </c>
      <c r="F13" s="24">
        <f>'09 - 2020'!C19-'09 - 2020'!C18</f>
        <v>5744</v>
      </c>
      <c r="G13" s="22">
        <v>0.11799999999999999</v>
      </c>
      <c r="H13" s="24">
        <f>'09 - 2020'!E19-'09 - 2020'!E18</f>
        <v>22</v>
      </c>
      <c r="I13" s="24">
        <f>'09 - 2020'!F19-'09 - 2020'!F18</f>
        <v>5</v>
      </c>
      <c r="J13" s="24">
        <f>'09 - 2020'!G19-'09 - 2020'!G18</f>
        <v>27</v>
      </c>
      <c r="K13" s="22">
        <v>0.74</v>
      </c>
      <c r="L13" s="24">
        <v>23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2863</v>
      </c>
      <c r="F14" s="24">
        <f>'09 - 2020'!C20-'09 - 2020'!C19</f>
        <v>5629</v>
      </c>
      <c r="G14" s="22">
        <v>0.11799999999999999</v>
      </c>
      <c r="H14" s="24">
        <f>'09 - 2020'!E20-'09 - 2020'!E19</f>
        <v>21</v>
      </c>
      <c r="I14" s="24">
        <f>'09 - 2020'!F20-'09 - 2020'!F19</f>
        <v>0</v>
      </c>
      <c r="J14" s="24">
        <f>'09 - 2020'!G20-'09 - 2020'!G19</f>
        <v>29</v>
      </c>
      <c r="K14" s="22">
        <v>0.74</v>
      </c>
      <c r="L14" s="24">
        <v>19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2933</v>
      </c>
      <c r="F15" s="24">
        <f>'09 - 2020'!C21-'09 - 2020'!C20</f>
        <v>5460</v>
      </c>
      <c r="G15" s="22">
        <v>0.11799999999999999</v>
      </c>
      <c r="H15" s="24">
        <f>'09 - 2020'!E21-'09 - 2020'!E20</f>
        <v>20</v>
      </c>
      <c r="I15" s="24">
        <f>'09 - 2020'!F21-'09 - 2020'!F20</f>
        <v>5</v>
      </c>
      <c r="J15" s="24">
        <f>'09 - 2020'!G21-'09 - 2020'!G20</f>
        <v>27</v>
      </c>
      <c r="K15" s="22">
        <v>0.74</v>
      </c>
      <c r="L15" s="24">
        <v>19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3007</v>
      </c>
      <c r="F16" s="24">
        <f>'09 - 2020'!C22-'09 - 2020'!C21</f>
        <v>5590</v>
      </c>
      <c r="G16" s="22">
        <v>0.11799999999999999</v>
      </c>
      <c r="H16" s="24">
        <f>'09 - 2020'!E22-'09 - 2020'!E21</f>
        <v>19.209999999999127</v>
      </c>
      <c r="I16" s="24">
        <f>'09 - 2020'!F22-'09 - 2020'!F21</f>
        <v>5.4400000000000546</v>
      </c>
      <c r="J16" s="24">
        <f>'09 - 2020'!G22-'09 - 2020'!G21</f>
        <v>29.340000000000146</v>
      </c>
      <c r="K16" s="22">
        <v>0.74</v>
      </c>
      <c r="L16" s="24">
        <v>17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2976</v>
      </c>
      <c r="F17" s="24">
        <f>'09 - 2020'!C23-'09 - 2020'!C22</f>
        <v>5276</v>
      </c>
      <c r="G17" s="22">
        <v>0.11799999999999999</v>
      </c>
      <c r="H17" s="24">
        <f>'09 - 2020'!E23-'09 - 2020'!E22</f>
        <v>21.790000000000873</v>
      </c>
      <c r="I17" s="24">
        <f>'09 - 2020'!F23-'09 - 2020'!F22</f>
        <v>4.5599999999999454</v>
      </c>
      <c r="J17" s="24">
        <f>'09 - 2020'!G23-'09 - 2020'!G22</f>
        <v>26.659999999999854</v>
      </c>
      <c r="K17" s="22">
        <v>0.74</v>
      </c>
      <c r="L17" s="24">
        <v>18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2873</v>
      </c>
      <c r="F18" s="24">
        <f>'09 - 2020'!C24-'09 - 2020'!C23</f>
        <v>5404</v>
      </c>
      <c r="G18" s="22">
        <v>0.11799999999999999</v>
      </c>
      <c r="H18" s="24">
        <f>'09 - 2020'!E24-'09 - 2020'!E23</f>
        <v>22</v>
      </c>
      <c r="I18" s="24">
        <f>'09 - 2020'!F24-'09 - 2020'!F23</f>
        <v>5</v>
      </c>
      <c r="J18" s="24">
        <f>'09 - 2020'!G24-'09 - 2020'!G23</f>
        <v>25</v>
      </c>
      <c r="K18" s="22">
        <v>0.74</v>
      </c>
      <c r="L18" s="24">
        <v>22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2901</v>
      </c>
      <c r="F19" s="24">
        <f>'09 - 2020'!C25-'09 - 2020'!C24</f>
        <v>5594</v>
      </c>
      <c r="G19" s="22">
        <v>0.11799999999999999</v>
      </c>
      <c r="H19" s="24">
        <f>'09 - 2020'!E25-'09 - 2020'!E24</f>
        <v>19</v>
      </c>
      <c r="I19" s="24">
        <f>'09 - 2020'!F25-'09 - 2020'!F24</f>
        <v>5</v>
      </c>
      <c r="J19" s="24">
        <f>'09 - 2020'!G25-'09 - 2020'!G24</f>
        <v>28</v>
      </c>
      <c r="K19" s="22">
        <v>0.74</v>
      </c>
      <c r="L19" s="24">
        <v>25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2830</v>
      </c>
      <c r="F20" s="24">
        <f>'09 - 2020'!C26-'09 - 2020'!C25</f>
        <v>5646</v>
      </c>
      <c r="G20" s="22">
        <v>0.11799999999999999</v>
      </c>
      <c r="H20" s="24">
        <f>'09 - 2020'!E26-'09 - 2020'!E25</f>
        <v>21</v>
      </c>
      <c r="I20" s="24">
        <f>'09 - 2020'!F26-'09 - 2020'!F25</f>
        <v>5</v>
      </c>
      <c r="J20" s="24">
        <f>'09 - 2020'!G26-'09 - 2020'!G25</f>
        <v>26</v>
      </c>
      <c r="K20" s="22">
        <v>0.74</v>
      </c>
      <c r="L20" s="6">
        <v>24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2696</v>
      </c>
      <c r="F21" s="24">
        <f>'09 - 2020'!C27-'09 - 2020'!C26</f>
        <v>5600</v>
      </c>
      <c r="G21" s="22">
        <v>0.11799999999999999</v>
      </c>
      <c r="H21" s="24">
        <f>'09 - 2020'!E27-'09 - 2020'!E26</f>
        <v>18</v>
      </c>
      <c r="I21" s="24">
        <f>'09 - 2020'!F27-'09 - 2020'!F26</f>
        <v>0</v>
      </c>
      <c r="J21" s="24">
        <f>'09 - 2020'!G27-'09 - 2020'!G26</f>
        <v>25</v>
      </c>
      <c r="K21" s="22">
        <v>0.74</v>
      </c>
      <c r="L21" s="6">
        <v>25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2894</v>
      </c>
      <c r="F22" s="24">
        <f>'09 - 2020'!C28-'09 - 2020'!C27</f>
        <v>5682</v>
      </c>
      <c r="G22" s="22">
        <v>0.11799999999999999</v>
      </c>
      <c r="H22" s="24">
        <f>'09 - 2020'!E28-'09 - 2020'!E27</f>
        <v>19</v>
      </c>
      <c r="I22" s="24">
        <f>'09 - 2020'!F28-'09 - 2020'!F27</f>
        <v>4</v>
      </c>
      <c r="J22" s="24">
        <f>'09 - 2020'!G28-'09 - 2020'!G27</f>
        <v>26</v>
      </c>
      <c r="K22" s="22">
        <v>0.74</v>
      </c>
      <c r="L22" s="24">
        <v>30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2944</v>
      </c>
      <c r="F23" s="24">
        <f>'09 - 2020'!C29-'09 - 2020'!C28</f>
        <v>5631</v>
      </c>
      <c r="G23" s="22">
        <v>0.11799999999999999</v>
      </c>
      <c r="H23" s="24">
        <f>'09 - 2020'!E29-'09 - 2020'!E28</f>
        <v>20.909999999999854</v>
      </c>
      <c r="I23" s="24">
        <f>'09 - 2020'!F29-'09 - 2020'!F28</f>
        <v>5.8800000000001091</v>
      </c>
      <c r="J23" s="24">
        <f>'09 - 2020'!G29-'09 - 2020'!G28</f>
        <v>25.209999999999127</v>
      </c>
      <c r="K23" s="22">
        <v>0.74</v>
      </c>
      <c r="L23" s="24">
        <v>27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3036</v>
      </c>
      <c r="F24" s="24">
        <f>'09 - 2020'!C30-'09 - 2020'!C29</f>
        <v>5897</v>
      </c>
      <c r="G24" s="22">
        <v>0.11799999999999999</v>
      </c>
      <c r="H24" s="24">
        <f>'09 - 2020'!E30-'09 - 2020'!E29</f>
        <v>25.090000000000146</v>
      </c>
      <c r="I24" s="24">
        <f>'09 - 2020'!F30-'09 - 2020'!F29</f>
        <v>4.1199999999998909</v>
      </c>
      <c r="J24" s="24">
        <f>'09 - 2020'!G30-'09 - 2020'!G29</f>
        <v>24.790000000000873</v>
      </c>
      <c r="K24" s="22">
        <v>0.74</v>
      </c>
      <c r="L24" s="24">
        <v>34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2958</v>
      </c>
      <c r="F25" s="24">
        <f>'09 - 2020'!C31-'09 - 2020'!C30</f>
        <v>5631</v>
      </c>
      <c r="G25" s="22">
        <v>0.11799999999999999</v>
      </c>
      <c r="H25" s="24">
        <f>'09 - 2020'!E31-'09 - 2020'!E30</f>
        <v>18</v>
      </c>
      <c r="I25" s="24">
        <f>'09 - 2020'!F31-'09 - 2020'!F30</f>
        <v>5</v>
      </c>
      <c r="J25" s="24">
        <f>'09 - 2020'!G31-'09 - 2020'!G30</f>
        <v>27</v>
      </c>
      <c r="K25" s="22">
        <v>0.74</v>
      </c>
      <c r="L25" s="6">
        <v>31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2992</v>
      </c>
      <c r="F26" s="24">
        <f>'09 - 2020'!C32-'09 - 2020'!C31</f>
        <v>5650</v>
      </c>
      <c r="G26" s="22">
        <v>0.11799999999999999</v>
      </c>
      <c r="H26" s="24">
        <f>'09 - 2020'!E32-'09 - 2020'!E31</f>
        <v>19</v>
      </c>
      <c r="I26" s="24">
        <f>'09 - 2020'!F32-'09 - 2020'!F31</f>
        <v>4</v>
      </c>
      <c r="J26" s="24">
        <f>'09 - 2020'!G32-'09 - 2020'!G31</f>
        <v>27</v>
      </c>
      <c r="K26" s="22">
        <v>0.74</v>
      </c>
      <c r="L26" s="6">
        <v>35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2988</v>
      </c>
      <c r="F27" s="24">
        <f>'09 - 2020'!C33-'09 - 2020'!C32</f>
        <v>5512</v>
      </c>
      <c r="G27" s="22">
        <v>0.11799999999999999</v>
      </c>
      <c r="H27" s="24">
        <f>'09 - 2020'!E33-'09 - 2020'!E32</f>
        <v>27</v>
      </c>
      <c r="I27" s="24">
        <f>'09 - 2020'!F33-'09 - 2020'!F32</f>
        <v>6</v>
      </c>
      <c r="J27" s="24">
        <f>'09 - 2020'!G33-'09 - 2020'!G32</f>
        <v>27</v>
      </c>
      <c r="K27" s="22">
        <v>0.74</v>
      </c>
      <c r="L27" s="24">
        <v>32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2869</v>
      </c>
      <c r="F28" s="24">
        <f>'09 - 2020'!C34-'09 - 2020'!C33</f>
        <v>5390</v>
      </c>
      <c r="G28" s="22">
        <v>0.11799999999999999</v>
      </c>
      <c r="H28" s="24">
        <f>'09 - 2020'!E34-'09 - 2020'!E33</f>
        <v>21</v>
      </c>
      <c r="I28" s="24">
        <f>'09 - 2020'!F34-'09 - 2020'!F33</f>
        <v>0</v>
      </c>
      <c r="J28" s="24">
        <f>'09 - 2020'!G34-'09 - 2020'!G33</f>
        <v>26</v>
      </c>
      <c r="K28" s="22">
        <v>0.74</v>
      </c>
      <c r="L28" s="6">
        <v>25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2930</v>
      </c>
      <c r="F29" s="24">
        <f>'09 - 2020'!C35-'09 - 2020'!C34</f>
        <v>5248</v>
      </c>
      <c r="G29" s="22">
        <v>0.11799999999999999</v>
      </c>
      <c r="H29" s="24">
        <f>'09 - 2020'!E35-'09 - 2020'!E34</f>
        <v>18</v>
      </c>
      <c r="I29" s="24">
        <f>'09 - 2020'!F35-'09 - 2020'!F34</f>
        <v>4</v>
      </c>
      <c r="J29" s="24">
        <f>'09 - 2020'!G35-'09 - 2020'!G34</f>
        <v>26</v>
      </c>
      <c r="K29" s="22">
        <v>0.74</v>
      </c>
      <c r="L29" s="6">
        <v>28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v>0</v>
      </c>
      <c r="F30" s="24">
        <v>0</v>
      </c>
      <c r="G30" s="22">
        <v>0.11799999999999999</v>
      </c>
      <c r="H30" s="24">
        <v>0</v>
      </c>
      <c r="I30" s="24">
        <v>0</v>
      </c>
      <c r="J30" s="24"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2" zoomScaleNormal="100" workbookViewId="0">
      <selection activeCell="K35" sqref="K35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>
        <v>829335</v>
      </c>
      <c r="C11" s="15">
        <v>1295476</v>
      </c>
      <c r="D11" s="16">
        <v>0.65</v>
      </c>
      <c r="E11" s="21">
        <v>11819</v>
      </c>
      <c r="F11" s="21">
        <v>2338</v>
      </c>
      <c r="G11" s="21">
        <v>21041</v>
      </c>
      <c r="H11" s="19">
        <v>14528</v>
      </c>
      <c r="I11" s="15">
        <v>97362</v>
      </c>
      <c r="J11" s="15">
        <v>41274726</v>
      </c>
      <c r="K11" s="18"/>
      <c r="L11" s="30"/>
      <c r="M11" s="46"/>
    </row>
    <row r="12" spans="1:15" ht="12.75" customHeight="1" x14ac:dyDescent="0.25">
      <c r="A12" s="45">
        <v>44079</v>
      </c>
      <c r="B12" s="15">
        <v>832251</v>
      </c>
      <c r="C12" s="15">
        <v>1301037</v>
      </c>
      <c r="D12" s="16">
        <v>0.59</v>
      </c>
      <c r="E12" s="21">
        <v>11840</v>
      </c>
      <c r="F12" s="21">
        <v>2343</v>
      </c>
      <c r="G12" s="21">
        <v>21070</v>
      </c>
      <c r="H12" s="15">
        <v>14528</v>
      </c>
      <c r="I12" s="15">
        <v>97429</v>
      </c>
      <c r="J12" s="15">
        <v>41306203</v>
      </c>
      <c r="K12" s="18"/>
      <c r="L12" s="30"/>
      <c r="M12" s="46"/>
    </row>
    <row r="13" spans="1:15" ht="12.75" customHeight="1" x14ac:dyDescent="0.25">
      <c r="A13" s="45">
        <v>44080</v>
      </c>
      <c r="B13" s="15">
        <v>835034</v>
      </c>
      <c r="C13" s="15">
        <v>1306552</v>
      </c>
      <c r="D13" s="16">
        <v>0.53</v>
      </c>
      <c r="E13" s="21">
        <v>11861</v>
      </c>
      <c r="F13" s="21">
        <v>2343</v>
      </c>
      <c r="G13" s="21">
        <v>21100</v>
      </c>
      <c r="H13" s="15">
        <v>14528</v>
      </c>
      <c r="I13" s="17">
        <v>97491</v>
      </c>
      <c r="J13" s="17">
        <v>41335869</v>
      </c>
      <c r="K13" s="18"/>
      <c r="L13" s="30"/>
      <c r="M13" s="46"/>
    </row>
    <row r="14" spans="1:15" ht="12.75" customHeight="1" x14ac:dyDescent="0.25">
      <c r="A14" s="45">
        <v>44081</v>
      </c>
      <c r="B14" s="15">
        <v>837884</v>
      </c>
      <c r="C14" s="15">
        <v>1312075</v>
      </c>
      <c r="D14" s="16">
        <v>0.48</v>
      </c>
      <c r="E14" s="21">
        <v>11884</v>
      </c>
      <c r="F14" s="21">
        <v>2348</v>
      </c>
      <c r="G14" s="17">
        <v>21128</v>
      </c>
      <c r="H14" s="15">
        <v>14528</v>
      </c>
      <c r="I14" s="15">
        <v>97534</v>
      </c>
      <c r="J14" s="15">
        <v>41368477</v>
      </c>
      <c r="K14" s="25"/>
      <c r="L14" s="30"/>
      <c r="M14" s="46"/>
      <c r="O14" s="24"/>
    </row>
    <row r="15" spans="1:15" ht="12.75" customHeight="1" x14ac:dyDescent="0.25">
      <c r="A15" s="45">
        <v>44082</v>
      </c>
      <c r="B15" s="19">
        <v>840659</v>
      </c>
      <c r="C15" s="15">
        <v>1317612</v>
      </c>
      <c r="D15" s="16">
        <v>0.4</v>
      </c>
      <c r="E15" s="21">
        <v>11906.16</v>
      </c>
      <c r="F15" s="21">
        <v>2353.1799999999998</v>
      </c>
      <c r="G15" s="17">
        <v>21154.69</v>
      </c>
      <c r="H15" s="15">
        <v>14528</v>
      </c>
      <c r="I15" s="15">
        <v>97593</v>
      </c>
      <c r="J15" s="15">
        <v>41404362</v>
      </c>
      <c r="K15" s="18"/>
      <c r="L15" s="30"/>
      <c r="M15" s="46"/>
      <c r="O15" s="24"/>
    </row>
    <row r="16" spans="1:15" ht="12.75" customHeight="1" x14ac:dyDescent="0.25">
      <c r="A16" s="45">
        <v>44083</v>
      </c>
      <c r="B16" s="46">
        <v>843548</v>
      </c>
      <c r="C16" s="15">
        <v>1323317</v>
      </c>
      <c r="D16" s="16">
        <v>0.35</v>
      </c>
      <c r="E16" s="21">
        <v>11924</v>
      </c>
      <c r="F16" s="21">
        <v>2358</v>
      </c>
      <c r="G16" s="17">
        <v>21181</v>
      </c>
      <c r="H16" s="15">
        <v>14528</v>
      </c>
      <c r="I16" s="15">
        <v>97659</v>
      </c>
      <c r="J16" s="15">
        <v>41442647</v>
      </c>
      <c r="K16" s="18"/>
      <c r="L16" s="30"/>
      <c r="M16" s="46"/>
    </row>
    <row r="17" spans="1:16" ht="12.75" customHeight="1" x14ac:dyDescent="0.25">
      <c r="A17" s="45">
        <v>44084</v>
      </c>
      <c r="B17" s="17">
        <v>846459</v>
      </c>
      <c r="C17" s="17">
        <v>1329269</v>
      </c>
      <c r="D17" s="26">
        <v>0.3</v>
      </c>
      <c r="E17" s="21">
        <v>11946</v>
      </c>
      <c r="F17" s="21">
        <v>2363</v>
      </c>
      <c r="G17" s="17">
        <v>21208</v>
      </c>
      <c r="H17" s="15">
        <v>14528</v>
      </c>
      <c r="I17" s="17">
        <v>97721</v>
      </c>
      <c r="J17" s="17">
        <v>41481773</v>
      </c>
      <c r="K17" s="18"/>
      <c r="L17" s="30"/>
      <c r="M17" s="46"/>
    </row>
    <row r="18" spans="1:16" ht="12.75" customHeight="1" x14ac:dyDescent="0.25">
      <c r="A18" s="45">
        <v>44085</v>
      </c>
      <c r="B18" s="15">
        <v>849433</v>
      </c>
      <c r="C18" s="15">
        <v>1335229</v>
      </c>
      <c r="D18" s="16">
        <v>0.25</v>
      </c>
      <c r="E18" s="21">
        <v>11966</v>
      </c>
      <c r="F18" s="21">
        <v>2368</v>
      </c>
      <c r="G18" s="17">
        <v>21235</v>
      </c>
      <c r="H18" s="15">
        <v>14528</v>
      </c>
      <c r="I18" s="15">
        <v>97785</v>
      </c>
      <c r="J18" s="15">
        <v>41518220</v>
      </c>
      <c r="K18" s="18"/>
      <c r="L18" s="30"/>
      <c r="M18" s="46"/>
      <c r="P18" s="24"/>
    </row>
    <row r="19" spans="1:16" ht="12.75" customHeight="1" x14ac:dyDescent="0.25">
      <c r="A19" s="45">
        <v>44086</v>
      </c>
      <c r="B19" s="57">
        <v>852340</v>
      </c>
      <c r="C19" s="57">
        <v>1340973</v>
      </c>
      <c r="D19" s="16">
        <v>0.85</v>
      </c>
      <c r="E19" s="58">
        <v>11988</v>
      </c>
      <c r="F19" s="21">
        <v>2373</v>
      </c>
      <c r="G19" s="58">
        <v>21262</v>
      </c>
      <c r="H19" s="15">
        <v>14528</v>
      </c>
      <c r="I19" s="57">
        <v>97846</v>
      </c>
      <c r="J19" s="57">
        <v>41553879</v>
      </c>
      <c r="K19" s="18">
        <v>4600</v>
      </c>
      <c r="L19" s="30"/>
      <c r="M19" s="46"/>
      <c r="P19" s="24"/>
    </row>
    <row r="20" spans="1:16" ht="12.75" customHeight="1" x14ac:dyDescent="0.25">
      <c r="A20" s="45">
        <v>44087</v>
      </c>
      <c r="B20" s="57">
        <v>855203</v>
      </c>
      <c r="C20" s="57">
        <v>1346602</v>
      </c>
      <c r="D20" s="16">
        <v>0.79</v>
      </c>
      <c r="E20" s="58">
        <v>12009</v>
      </c>
      <c r="F20" s="21">
        <v>2373</v>
      </c>
      <c r="G20" s="58">
        <v>21291</v>
      </c>
      <c r="H20" s="15">
        <v>14528</v>
      </c>
      <c r="I20" s="57">
        <v>97890</v>
      </c>
      <c r="J20" s="57">
        <v>41585694</v>
      </c>
      <c r="K20" s="18"/>
      <c r="L20" s="30"/>
      <c r="M20" s="46"/>
    </row>
    <row r="21" spans="1:16" ht="12.75" customHeight="1" x14ac:dyDescent="0.25">
      <c r="A21" s="45">
        <v>44088</v>
      </c>
      <c r="B21" s="57">
        <v>858136</v>
      </c>
      <c r="C21" s="57">
        <v>1352062</v>
      </c>
      <c r="D21" s="16">
        <v>0.73</v>
      </c>
      <c r="E21" s="58">
        <v>12029</v>
      </c>
      <c r="F21" s="21">
        <v>2378</v>
      </c>
      <c r="G21" s="58">
        <v>21318</v>
      </c>
      <c r="H21" s="15">
        <v>14528</v>
      </c>
      <c r="I21" s="57">
        <v>97954</v>
      </c>
      <c r="J21" s="57">
        <v>41611049</v>
      </c>
      <c r="K21" s="18"/>
      <c r="L21" s="30"/>
      <c r="M21" s="46"/>
    </row>
    <row r="22" spans="1:16" ht="12.75" customHeight="1" x14ac:dyDescent="0.25">
      <c r="A22" s="45">
        <v>44089</v>
      </c>
      <c r="B22" s="57">
        <v>861143</v>
      </c>
      <c r="C22" s="57">
        <v>1357652</v>
      </c>
      <c r="D22" s="16">
        <v>0.66</v>
      </c>
      <c r="E22" s="58">
        <v>12048.21</v>
      </c>
      <c r="F22" s="21">
        <v>2383.44</v>
      </c>
      <c r="G22" s="58">
        <v>21347.34</v>
      </c>
      <c r="H22" s="15">
        <v>14528</v>
      </c>
      <c r="I22" s="58">
        <v>98009</v>
      </c>
      <c r="J22" s="57">
        <v>41636684</v>
      </c>
      <c r="K22" s="25"/>
      <c r="L22" s="30"/>
      <c r="M22" s="46"/>
    </row>
    <row r="23" spans="1:16" ht="12.75" customHeight="1" x14ac:dyDescent="0.25">
      <c r="A23" s="45">
        <v>44090</v>
      </c>
      <c r="B23" s="57">
        <v>864119</v>
      </c>
      <c r="C23" s="57">
        <v>1362928</v>
      </c>
      <c r="D23" s="16">
        <v>0.6</v>
      </c>
      <c r="E23" s="58">
        <v>12070</v>
      </c>
      <c r="F23" s="21">
        <v>2388</v>
      </c>
      <c r="G23" s="58">
        <v>21374</v>
      </c>
      <c r="H23" s="15">
        <v>14528</v>
      </c>
      <c r="I23" s="57">
        <v>98066</v>
      </c>
      <c r="J23" s="57">
        <v>41661709</v>
      </c>
      <c r="K23" s="25"/>
      <c r="L23" s="30"/>
      <c r="M23" s="46"/>
    </row>
    <row r="24" spans="1:16" ht="12.75" customHeight="1" x14ac:dyDescent="0.25">
      <c r="A24" s="45">
        <v>44091</v>
      </c>
      <c r="B24" s="57">
        <v>866992</v>
      </c>
      <c r="C24" s="57">
        <v>1368332</v>
      </c>
      <c r="D24" s="16">
        <v>0.55000000000000004</v>
      </c>
      <c r="E24" s="58">
        <v>12092</v>
      </c>
      <c r="F24" s="21">
        <v>2393</v>
      </c>
      <c r="G24" s="58">
        <v>21399</v>
      </c>
      <c r="H24" s="15">
        <v>14528</v>
      </c>
      <c r="I24" s="57">
        <v>98131</v>
      </c>
      <c r="J24" s="57">
        <v>41688143</v>
      </c>
      <c r="K24" s="18"/>
      <c r="L24" s="31"/>
      <c r="M24" s="46"/>
    </row>
    <row r="25" spans="1:16" ht="12.75" customHeight="1" x14ac:dyDescent="0.25">
      <c r="A25" s="45">
        <v>44092</v>
      </c>
      <c r="B25" s="58">
        <v>869893</v>
      </c>
      <c r="C25" s="58">
        <v>1373926</v>
      </c>
      <c r="D25" s="26">
        <v>0.5</v>
      </c>
      <c r="E25" s="58">
        <v>12111</v>
      </c>
      <c r="F25" s="21">
        <v>2398</v>
      </c>
      <c r="G25" s="58">
        <v>21427</v>
      </c>
      <c r="H25" s="15">
        <v>14528</v>
      </c>
      <c r="I25" s="57">
        <v>98195</v>
      </c>
      <c r="J25" s="57">
        <v>41717930</v>
      </c>
      <c r="K25" s="25"/>
      <c r="L25" s="31"/>
      <c r="M25" s="46"/>
    </row>
    <row r="26" spans="1:16" ht="12.75" customHeight="1" x14ac:dyDescent="0.25">
      <c r="A26" s="45">
        <v>44093</v>
      </c>
      <c r="B26" s="58">
        <v>872723</v>
      </c>
      <c r="C26" s="58">
        <v>1379572</v>
      </c>
      <c r="D26" s="26">
        <v>0.45</v>
      </c>
      <c r="E26" s="58">
        <v>12132</v>
      </c>
      <c r="F26" s="21">
        <v>2403</v>
      </c>
      <c r="G26" s="58">
        <v>21453</v>
      </c>
      <c r="H26" s="15">
        <v>14528</v>
      </c>
      <c r="I26" s="57">
        <v>98258</v>
      </c>
      <c r="J26" s="57">
        <v>41747806</v>
      </c>
      <c r="K26" s="25"/>
      <c r="L26" s="31"/>
      <c r="M26" s="46"/>
    </row>
    <row r="27" spans="1:16" ht="12.75" customHeight="1" x14ac:dyDescent="0.25">
      <c r="A27" s="45">
        <v>44094</v>
      </c>
      <c r="B27" s="57">
        <v>875419</v>
      </c>
      <c r="C27" s="57">
        <v>1385172</v>
      </c>
      <c r="D27" s="16">
        <v>0.4</v>
      </c>
      <c r="E27" s="58">
        <v>12150</v>
      </c>
      <c r="F27" s="21">
        <v>2403</v>
      </c>
      <c r="G27" s="58">
        <v>21478</v>
      </c>
      <c r="H27" s="15">
        <v>14528</v>
      </c>
      <c r="I27" s="57">
        <v>98304</v>
      </c>
      <c r="J27" s="57">
        <v>41780642</v>
      </c>
      <c r="K27" s="18"/>
      <c r="L27" s="30"/>
      <c r="M27" s="46"/>
    </row>
    <row r="28" spans="1:16" ht="12.75" customHeight="1" x14ac:dyDescent="0.25">
      <c r="A28" s="45">
        <v>44095</v>
      </c>
      <c r="B28" s="59">
        <v>878313</v>
      </c>
      <c r="C28" s="57">
        <v>1390854</v>
      </c>
      <c r="D28" s="16">
        <v>0.35</v>
      </c>
      <c r="E28" s="58">
        <v>12169</v>
      </c>
      <c r="F28" s="21">
        <v>2407</v>
      </c>
      <c r="G28" s="58">
        <v>21504</v>
      </c>
      <c r="H28" s="15">
        <v>14528</v>
      </c>
      <c r="I28" s="57">
        <v>98361</v>
      </c>
      <c r="J28" s="57">
        <v>41814640</v>
      </c>
      <c r="K28" s="18"/>
      <c r="L28" s="30"/>
      <c r="M28" s="46"/>
    </row>
    <row r="29" spans="1:16" ht="12.75" customHeight="1" x14ac:dyDescent="0.25">
      <c r="A29" s="45">
        <v>44096</v>
      </c>
      <c r="B29" s="57">
        <v>881257</v>
      </c>
      <c r="C29" s="57">
        <v>1396485</v>
      </c>
      <c r="D29" s="16">
        <v>0.28000000000000003</v>
      </c>
      <c r="E29" s="58">
        <v>12189.91</v>
      </c>
      <c r="F29" s="21">
        <v>2412.88</v>
      </c>
      <c r="G29" s="58">
        <v>21529.21</v>
      </c>
      <c r="H29" s="15">
        <v>14528</v>
      </c>
      <c r="I29" s="57">
        <v>98430</v>
      </c>
      <c r="J29" s="57">
        <v>41848752</v>
      </c>
      <c r="K29" s="18"/>
      <c r="L29" s="30"/>
      <c r="M29" s="46"/>
      <c r="P29" s="6"/>
    </row>
    <row r="30" spans="1:16" ht="12.75" customHeight="1" x14ac:dyDescent="0.25">
      <c r="A30" s="45">
        <v>44097</v>
      </c>
      <c r="B30" s="57">
        <v>884293</v>
      </c>
      <c r="C30" s="57">
        <v>1402382</v>
      </c>
      <c r="D30" s="16">
        <v>0.81</v>
      </c>
      <c r="E30" s="58">
        <v>12215</v>
      </c>
      <c r="F30" s="21">
        <v>2417</v>
      </c>
      <c r="G30" s="58">
        <v>21554</v>
      </c>
      <c r="H30" s="15">
        <v>14528</v>
      </c>
      <c r="I30" s="57">
        <v>98484</v>
      </c>
      <c r="J30" s="57">
        <v>41883249</v>
      </c>
      <c r="K30" s="18">
        <v>4150</v>
      </c>
      <c r="L30" s="30"/>
      <c r="M30" s="46"/>
      <c r="P30" s="6"/>
    </row>
    <row r="31" spans="1:16" ht="12.75" customHeight="1" x14ac:dyDescent="0.25">
      <c r="A31" s="45">
        <v>44098</v>
      </c>
      <c r="B31" s="57">
        <v>887251</v>
      </c>
      <c r="C31" s="57">
        <v>1408013</v>
      </c>
      <c r="D31" s="16">
        <v>0.75</v>
      </c>
      <c r="E31" s="58">
        <v>12233</v>
      </c>
      <c r="F31" s="21">
        <v>2422</v>
      </c>
      <c r="G31" s="58">
        <v>21581</v>
      </c>
      <c r="H31" s="15">
        <v>14528</v>
      </c>
      <c r="I31" s="57">
        <v>98548</v>
      </c>
      <c r="J31" s="57">
        <v>41912811</v>
      </c>
      <c r="K31" s="18"/>
      <c r="L31" s="32"/>
      <c r="M31" s="46"/>
      <c r="P31" s="6"/>
    </row>
    <row r="32" spans="1:16" ht="12.75" customHeight="1" x14ac:dyDescent="0.25">
      <c r="A32" s="45">
        <v>44099</v>
      </c>
      <c r="B32" s="57">
        <v>890243</v>
      </c>
      <c r="C32" s="57">
        <v>1413663</v>
      </c>
      <c r="D32" s="16">
        <v>0.7</v>
      </c>
      <c r="E32" s="58">
        <v>12252</v>
      </c>
      <c r="F32" s="21">
        <v>2426</v>
      </c>
      <c r="G32" s="58">
        <v>21608</v>
      </c>
      <c r="H32" s="15">
        <v>14528</v>
      </c>
      <c r="I32" s="57">
        <v>98609</v>
      </c>
      <c r="J32" s="57">
        <v>41940936</v>
      </c>
      <c r="K32" s="18"/>
      <c r="L32" s="32"/>
      <c r="M32" s="46"/>
      <c r="P32" s="6"/>
    </row>
    <row r="33" spans="1:16" ht="12.75" customHeight="1" x14ac:dyDescent="0.25">
      <c r="A33" s="45">
        <v>44100</v>
      </c>
      <c r="B33" s="57">
        <v>893231</v>
      </c>
      <c r="C33" s="57">
        <v>1419175</v>
      </c>
      <c r="D33" s="16">
        <v>0.65</v>
      </c>
      <c r="E33" s="58">
        <v>12279</v>
      </c>
      <c r="F33" s="21">
        <v>2432</v>
      </c>
      <c r="G33" s="58">
        <v>21635</v>
      </c>
      <c r="H33" s="15">
        <v>14528</v>
      </c>
      <c r="I33" s="57">
        <v>98676</v>
      </c>
      <c r="J33" s="57">
        <v>41968229</v>
      </c>
      <c r="K33" s="18"/>
      <c r="L33" s="30"/>
      <c r="M33" s="46"/>
      <c r="P33" s="6"/>
    </row>
    <row r="34" spans="1:16" ht="12.75" customHeight="1" x14ac:dyDescent="0.25">
      <c r="A34" s="45">
        <v>44101</v>
      </c>
      <c r="B34" s="58">
        <v>896100</v>
      </c>
      <c r="C34" s="60">
        <v>1424565</v>
      </c>
      <c r="D34" s="26">
        <v>0.6</v>
      </c>
      <c r="E34" s="58">
        <v>12300</v>
      </c>
      <c r="F34" s="21">
        <v>2432</v>
      </c>
      <c r="G34" s="58">
        <v>21661</v>
      </c>
      <c r="H34" s="15">
        <v>14528</v>
      </c>
      <c r="I34" s="58">
        <v>98732</v>
      </c>
      <c r="J34" s="58">
        <v>41997786</v>
      </c>
      <c r="K34" s="18"/>
      <c r="L34" s="30"/>
      <c r="M34" s="46"/>
    </row>
    <row r="35" spans="1:16" ht="12.75" customHeight="1" x14ac:dyDescent="0.25">
      <c r="A35" s="45">
        <v>44102</v>
      </c>
      <c r="B35" s="15">
        <v>899030</v>
      </c>
      <c r="C35" s="62">
        <v>1429813</v>
      </c>
      <c r="D35" s="16">
        <v>0.55000000000000004</v>
      </c>
      <c r="E35" s="17">
        <v>12318</v>
      </c>
      <c r="F35" s="17">
        <v>2436</v>
      </c>
      <c r="G35" s="17">
        <v>21687</v>
      </c>
      <c r="H35" s="15">
        <v>14528</v>
      </c>
      <c r="I35" s="15">
        <v>98787</v>
      </c>
      <c r="J35" s="15">
        <v>42028176</v>
      </c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J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>SUM(K7:K37)</f>
        <v>12600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2020-09-28T05:04:11Z</dcterms:modified>
</cp:coreProperties>
</file>