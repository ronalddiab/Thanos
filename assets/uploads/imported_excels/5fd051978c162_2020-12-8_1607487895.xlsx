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<sst xmlns="http://schemas.openxmlformats.org/spreadsheetml/2006/main" count="128" uniqueCount="49">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</sst>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 t="str">
        <f>Hotel!Q15</f>
        <v>0</v>
      </c>
      <c r="F10" s="4" t="str">
        <f>Hotel!R15</f>
        <v>0</v>
      </c>
      <c r="G10" s="4" t="str">
        <f>Hotel!S15</f>
        <v>0</v>
      </c>
      <c r="H10" s="4" t="str">
        <f>Hotel!T15</f>
        <v>0</v>
      </c>
      <c r="I10" s="4" t="str">
        <f>Hotel!U15</f>
        <v>0</v>
      </c>
      <c r="J10" s="4" t="str">
        <f>Hotel!V15</f>
        <v>0</v>
      </c>
      <c r="K10" s="4" t="str">
        <f>Hotel!W15</f>
        <v>0</v>
      </c>
      <c r="L10" s="4" t="str">
        <f>Hotel!X15</f>
        <v>0</v>
      </c>
      <c r="M10" s="4" t="str">
        <f>Hotel!Y15</f>
        <v>0</v>
      </c>
      <c r="N10" s="4" t="str">
        <f>Hotel!Z15</f>
        <v>0</v>
      </c>
      <c r="O10" s="4" t="str">
        <f>Hotel!AA15</f>
        <v>0</v>
      </c>
      <c r="P10" s="4" t="str">
        <f>Hotel!AB15</f>
        <v>0</v>
      </c>
      <c r="Q10" s="4" t="str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1" zoomScale="93" zoomScaleNormal="93" workbookViewId="0">
      <selection activeCell="AD19" sqref="AD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 t="str">
        <f t="shared" si="16"/>
        <v>0</v>
      </c>
      <c r="R15" s="37" t="str">
        <f t="shared" si="17"/>
        <v>0</v>
      </c>
      <c r="S15" s="37" t="str">
        <f t="shared" si="15"/>
        <v>0</v>
      </c>
      <c r="T15" s="37" t="str">
        <f t="shared" si="18"/>
        <v>0</v>
      </c>
      <c r="U15" s="37" t="str">
        <f t="shared" si="19"/>
        <v>0</v>
      </c>
      <c r="V15" s="37" t="str">
        <f t="shared" si="20"/>
        <v>0</v>
      </c>
      <c r="W15" s="37" t="str">
        <f t="shared" si="21"/>
        <v>0</v>
      </c>
      <c r="X15" s="37" t="str">
        <f t="shared" si="22"/>
        <v>0</v>
      </c>
      <c r="Y15" s="37" t="str">
        <f t="shared" si="23"/>
        <v>0</v>
      </c>
      <c r="Z15" s="37" t="str">
        <f t="shared" si="24"/>
        <v>0</v>
      </c>
      <c r="AA15" s="37" t="str">
        <f t="shared" si="25"/>
        <v>0</v>
      </c>
      <c r="AB15" s="37" t="str">
        <f t="shared" si="26"/>
        <v>0</v>
      </c>
      <c r="AC15" s="37" t="str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 t="str">
        <f t="shared" si="31"/>
        <v>0</v>
      </c>
      <c r="AW15" s="35">
        <f t="shared" si="30"/>
        <v>0</v>
      </c>
    </row>
    <row r="16" spans="1:49" x14ac:dyDescent="0.25">
      <c r="A16" s="23">
        <v>44175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44176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44177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44178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44179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44180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44181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44183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44185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4430</v>
      </c>
      <c r="R38" s="30">
        <f t="shared" si="62"/>
        <v>15250</v>
      </c>
      <c r="S38" s="30">
        <f t="shared" si="62"/>
        <v>120</v>
      </c>
      <c r="T38" s="30">
        <f t="shared" si="62"/>
        <v>37380</v>
      </c>
      <c r="U38" s="30">
        <f t="shared" si="62"/>
        <v>39200</v>
      </c>
      <c r="V38" s="30">
        <f t="shared" si="62"/>
        <v>27940</v>
      </c>
      <c r="W38" s="30">
        <f t="shared" si="62"/>
        <v>19200</v>
      </c>
      <c r="X38" s="30">
        <f t="shared" si="62"/>
        <v>30940</v>
      </c>
      <c r="Y38" s="30">
        <f t="shared" si="62"/>
        <v>48790</v>
      </c>
      <c r="Z38" s="30">
        <f t="shared" si="62"/>
        <v>20380</v>
      </c>
      <c r="AA38" s="30">
        <f t="shared" si="62"/>
        <v>26530</v>
      </c>
      <c r="AB38" s="30">
        <f t="shared" si="62"/>
        <v>57300</v>
      </c>
      <c r="AC38" s="30">
        <f t="shared" si="62"/>
        <v>89580</v>
      </c>
      <c r="AD38" s="35">
        <f t="shared" si="62"/>
        <v>417040</v>
      </c>
      <c r="AF38" s="35">
        <f t="shared" ref="AF38:AS38" si="63">SUM(AF7:AF34)</f>
        <v>22.150000000000002</v>
      </c>
      <c r="AG38" s="35">
        <f t="shared" si="63"/>
        <v>76.25</v>
      </c>
      <c r="AH38" s="35">
        <f t="shared" si="63"/>
        <v>0.60000000000000009</v>
      </c>
      <c r="AI38" s="35">
        <f t="shared" si="63"/>
        <v>186.90000000000003</v>
      </c>
      <c r="AJ38" s="35">
        <f t="shared" si="63"/>
        <v>196</v>
      </c>
      <c r="AK38" s="35">
        <f t="shared" si="63"/>
        <v>139.69999999999999</v>
      </c>
      <c r="AL38" s="35">
        <f t="shared" si="63"/>
        <v>96</v>
      </c>
      <c r="AM38" s="35">
        <f t="shared" si="63"/>
        <v>154.70000000000002</v>
      </c>
      <c r="AN38" s="35">
        <f t="shared" si="63"/>
        <v>243.95000000000002</v>
      </c>
      <c r="AO38" s="35">
        <f t="shared" si="63"/>
        <v>101.9</v>
      </c>
      <c r="AP38" s="35">
        <f t="shared" si="63"/>
        <v>132.65</v>
      </c>
      <c r="AQ38" s="35">
        <f t="shared" si="63"/>
        <v>286.5</v>
      </c>
      <c r="AR38" s="35">
        <f t="shared" si="63"/>
        <v>447.9</v>
      </c>
      <c r="AS38" s="35">
        <f t="shared" si="63"/>
        <v>2085.1999999999998</v>
      </c>
      <c r="AU38" s="48"/>
      <c r="AV38" s="35">
        <f>SUM(AV7:AV34)</f>
        <v>12363</v>
      </c>
      <c r="AW38" s="35">
        <f>SUM(AW7:AW34)</f>
        <v>18.7</v>
      </c>
    </row>
    <row r="39" spans="1:49" x14ac:dyDescent="0.25">
      <c r="D39">
        <v>5.0000000000000001E-3</v>
      </c>
      <c r="AV39" s="36">
        <f>AV38*0.00378541*1000</f>
        <v>46799.023829999998</v>
      </c>
    </row>
    <row r="40" spans="1:49" x14ac:dyDescent="0.25">
      <c r="D40">
        <v>2E-3</v>
      </c>
      <c r="AV40">
        <f>AV39/31</f>
        <v>1509.6459299999999</v>
      </c>
    </row>
    <row r="41" spans="1:49" x14ac:dyDescent="0.25">
      <c r="AV41">
        <f>AV38*0.00378541</f>
        <v>46.799023829999996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2020-12-09T04:24:09Z</dcterms:modified>
</cp:coreProperties>
</file>