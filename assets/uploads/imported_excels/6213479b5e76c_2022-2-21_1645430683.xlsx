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20" yWindow="-225" windowWidth="13965" windowHeight="12060" tabRatio="578" firstSheet="14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22" i="2"/>
  <c r="E22"/>
  <c r="F22"/>
  <c r="G22" s="1"/>
  <c r="H22"/>
  <c r="I22"/>
  <c r="J22"/>
  <c r="K22" s="1"/>
  <c r="L22"/>
  <c r="M22"/>
  <c r="P22"/>
  <c r="Q22"/>
  <c r="S22"/>
  <c r="N22" l="1"/>
  <c r="R22" s="1"/>
  <c r="R21" i="1" l="1"/>
  <c r="B13" i="3" l="1"/>
  <c r="B14" s="1"/>
  <c r="B20" s="1"/>
  <c r="B21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20" s="1"/>
  <c r="R21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6" s="1"/>
  <c r="AV27" s="1"/>
  <c r="AV28" s="1"/>
  <c r="AV29" s="1"/>
  <c r="AV30" s="1"/>
  <c r="AV31" s="1"/>
  <c r="AV32" s="1"/>
  <c r="AV33" s="1"/>
  <c r="AX9"/>
  <c r="AX10" s="1"/>
  <c r="AX13" s="1"/>
  <c r="AX16" s="1"/>
  <c r="AX17" s="1"/>
  <c r="AX23" s="1"/>
  <c r="AX24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2" s="1"/>
  <c r="C23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2" s="1"/>
  <c r="P23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2" s="1"/>
  <c r="Q23" s="1"/>
  <c r="Q25" s="1"/>
  <c r="Q26" s="1"/>
  <c r="Q27" s="1"/>
  <c r="Q28" s="1"/>
  <c r="Q29" s="1"/>
  <c r="Q30" s="1"/>
  <c r="Q31" s="1"/>
  <c r="Q32" s="1"/>
  <c r="B8"/>
  <c r="B9" s="1"/>
  <c r="B11" s="1"/>
  <c r="B12" s="1"/>
  <c r="B15" s="1"/>
  <c r="B16" s="1"/>
  <c r="B22" s="1"/>
  <c r="B23" s="1"/>
  <c r="B25" s="1"/>
  <c r="B26" s="1"/>
  <c r="B27" s="1"/>
  <c r="B28" s="1"/>
  <c r="B29" s="1"/>
  <c r="B30" s="1"/>
  <c r="B31" s="1"/>
  <c r="B32" s="1"/>
  <c r="F7" i="2"/>
  <c r="F8" s="1"/>
  <c r="F11" s="1"/>
  <c r="F14" s="1"/>
  <c r="F15" s="1"/>
  <c r="F21" s="1"/>
  <c r="F24" s="1"/>
  <c r="F25" s="1"/>
  <c r="F26" s="1"/>
  <c r="F27" s="1"/>
  <c r="F28" s="1"/>
  <c r="F29" s="1"/>
  <c r="F30" s="1"/>
  <c r="F31" s="1"/>
  <c r="H7"/>
  <c r="H8" s="1"/>
  <c r="H11" s="1"/>
  <c r="H14" s="1"/>
  <c r="H15" s="1"/>
  <c r="H21" s="1"/>
  <c r="H24" s="1"/>
  <c r="H25" s="1"/>
  <c r="H26" s="1"/>
  <c r="H27" s="1"/>
  <c r="H28" s="1"/>
  <c r="H29" s="1"/>
  <c r="H30" s="1"/>
  <c r="H31" s="1"/>
  <c r="J3"/>
  <c r="J7" s="1"/>
  <c r="J8" s="1"/>
  <c r="J11" s="1"/>
  <c r="J14" s="1"/>
  <c r="J15" s="1"/>
  <c r="J21" s="1"/>
  <c r="J24" s="1"/>
  <c r="J25" s="1"/>
  <c r="J26" s="1"/>
  <c r="J27" s="1"/>
  <c r="J28" s="1"/>
  <c r="J29" s="1"/>
  <c r="J30" s="1"/>
  <c r="J31" s="1"/>
  <c r="K3"/>
  <c r="L3"/>
  <c r="L7" s="1"/>
  <c r="L8" s="1"/>
  <c r="L11" s="1"/>
  <c r="L14" s="1"/>
  <c r="L15" s="1"/>
  <c r="L21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21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1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3" s="1"/>
  <c r="AT24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Z22"/>
  <c r="X22"/>
  <c r="N21"/>
  <c r="R21" s="1"/>
  <c r="Q7"/>
  <c r="Q8"/>
  <c r="AD7" i="3" s="1"/>
  <c r="Q10" i="2"/>
  <c r="I5"/>
  <c r="Y31" i="5" l="1"/>
  <c r="G23" i="2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<sst xmlns="http://schemas.openxmlformats.org/spreadsheetml/2006/main" count="668" uniqueCount="417">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</sst>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0900864"/>
        <c:axId val="110703360"/>
      </c:lineChart>
      <c:catAx>
        <c:axId val="1009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03360"/>
        <c:crosses val="autoZero"/>
        <c:auto val="1"/>
        <c:lblAlgn val="ctr"/>
        <c:lblOffset val="100"/>
      </c:catAx>
      <c:valAx>
        <c:axId val="110703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7538816"/>
        <c:axId val="117541888"/>
      </c:lineChart>
      <c:catAx>
        <c:axId val="11753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41888"/>
        <c:crosses val="autoZero"/>
        <c:auto val="1"/>
        <c:lblAlgn val="ctr"/>
        <c:lblOffset val="100"/>
      </c:catAx>
      <c:valAx>
        <c:axId val="11754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3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9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8418176"/>
        <c:axId val="128419712"/>
      </c:lineChart>
      <c:catAx>
        <c:axId val="1284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19712"/>
        <c:crosses val="autoZero"/>
        <c:auto val="1"/>
        <c:lblAlgn val="ctr"/>
        <c:lblOffset val="100"/>
      </c:catAx>
      <c:valAx>
        <c:axId val="1284197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6704768"/>
        <c:axId val="96706560"/>
      </c:lineChart>
      <c:catAx>
        <c:axId val="9670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6560"/>
        <c:crosses val="autoZero"/>
        <c:auto val="1"/>
        <c:lblAlgn val="ctr"/>
        <c:lblOffset val="100"/>
      </c:catAx>
      <c:valAx>
        <c:axId val="967065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0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6714752"/>
        <c:axId val="96716288"/>
      </c:lineChart>
      <c:catAx>
        <c:axId val="967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16288"/>
        <c:crosses val="autoZero"/>
        <c:auto val="1"/>
        <c:lblAlgn val="ctr"/>
        <c:lblOffset val="100"/>
      </c:catAx>
      <c:valAx>
        <c:axId val="96716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3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6864128"/>
        <c:axId val="96865664"/>
      </c:lineChart>
      <c:catAx>
        <c:axId val="968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5664"/>
        <c:crosses val="autoZero"/>
        <c:auto val="1"/>
        <c:lblAlgn val="ctr"/>
        <c:lblOffset val="100"/>
      </c:catAx>
      <c:valAx>
        <c:axId val="9686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6890240"/>
        <c:axId val="96908416"/>
      </c:lineChart>
      <c:catAx>
        <c:axId val="9689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08416"/>
        <c:crosses val="autoZero"/>
        <c:auto val="1"/>
        <c:lblAlgn val="ctr"/>
        <c:lblOffset val="100"/>
      </c:catAx>
      <c:valAx>
        <c:axId val="9690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7125504"/>
        <c:axId val="97127040"/>
      </c:lineChart>
      <c:catAx>
        <c:axId val="971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27040"/>
        <c:crosses val="autoZero"/>
        <c:auto val="1"/>
        <c:lblAlgn val="ctr"/>
        <c:lblOffset val="100"/>
      </c:catAx>
      <c:valAx>
        <c:axId val="9712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7143424"/>
        <c:axId val="97145216"/>
      </c:lineChart>
      <c:catAx>
        <c:axId val="9714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45216"/>
        <c:crosses val="autoZero"/>
        <c:auto val="1"/>
        <c:lblAlgn val="ctr"/>
        <c:lblOffset val="100"/>
      </c:catAx>
      <c:valAx>
        <c:axId val="9714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4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799"/>
          <c:w val="0.1272403315177639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7165696"/>
        <c:axId val="97167232"/>
      </c:lineChart>
      <c:catAx>
        <c:axId val="9716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7232"/>
        <c:crosses val="autoZero"/>
        <c:auto val="1"/>
        <c:lblAlgn val="ctr"/>
        <c:lblOffset val="100"/>
      </c:catAx>
      <c:valAx>
        <c:axId val="971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7273728"/>
        <c:axId val="97275264"/>
      </c:lineChart>
      <c:catAx>
        <c:axId val="972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5264"/>
        <c:crosses val="autoZero"/>
        <c:auto val="1"/>
        <c:lblAlgn val="ctr"/>
        <c:lblOffset val="100"/>
      </c:catAx>
      <c:valAx>
        <c:axId val="97275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7947648"/>
        <c:axId val="97949184"/>
      </c:lineChart>
      <c:catAx>
        <c:axId val="9794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9184"/>
        <c:crosses val="autoZero"/>
        <c:auto val="1"/>
        <c:lblAlgn val="ctr"/>
        <c:lblOffset val="100"/>
      </c:catAx>
      <c:valAx>
        <c:axId val="9794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4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92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407</c:v>
                </c:pt>
                <c:pt idx="17">
                  <c:v>232</c:v>
                </c:pt>
                <c:pt idx="18">
                  <c:v>0</c:v>
                </c:pt>
                <c:pt idx="19">
                  <c:v>0</c:v>
                </c:pt>
                <c:pt idx="20">
                  <c:v>436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7974144"/>
        <c:axId val="97975680"/>
      </c:lineChart>
      <c:catAx>
        <c:axId val="979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5680"/>
        <c:crosses val="autoZero"/>
        <c:auto val="1"/>
        <c:lblAlgn val="ctr"/>
        <c:lblOffset val="100"/>
      </c:catAx>
      <c:valAx>
        <c:axId val="9797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799"/>
          <c:w val="0.135416885389378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7983872"/>
        <c:axId val="98014336"/>
      </c:lineChart>
      <c:catAx>
        <c:axId val="9798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14336"/>
        <c:crosses val="autoZero"/>
        <c:auto val="1"/>
        <c:lblAlgn val="ctr"/>
        <c:lblOffset val="100"/>
      </c:catAx>
      <c:valAx>
        <c:axId val="98014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7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8031104"/>
        <c:axId val="98032640"/>
      </c:lineChart>
      <c:catAx>
        <c:axId val="9803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32640"/>
        <c:crosses val="autoZero"/>
        <c:auto val="1"/>
        <c:lblAlgn val="ctr"/>
        <c:lblOffset val="100"/>
      </c:catAx>
      <c:valAx>
        <c:axId val="98032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3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8044928"/>
        <c:axId val="98050816"/>
      </c:lineChart>
      <c:catAx>
        <c:axId val="9804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50816"/>
        <c:crosses val="autoZero"/>
        <c:auto val="1"/>
        <c:lblAlgn val="ctr"/>
        <c:lblOffset val="100"/>
      </c:catAx>
      <c:valAx>
        <c:axId val="9805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799"/>
          <c:w val="0.135416885389378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8075392"/>
        <c:axId val="98076928"/>
      </c:lineChart>
      <c:catAx>
        <c:axId val="9807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76928"/>
        <c:crosses val="autoZero"/>
        <c:auto val="1"/>
        <c:lblAlgn val="ctr"/>
        <c:lblOffset val="100"/>
      </c:catAx>
      <c:valAx>
        <c:axId val="980769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7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65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-106.3225806451519</c:v>
                </c:pt>
                <c:pt idx="17">
                  <c:v>0</c:v>
                </c:pt>
                <c:pt idx="18">
                  <c:v>0</c:v>
                </c:pt>
                <c:pt idx="19">
                  <c:v>-1106.3548387096962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8105600"/>
        <c:axId val="98177024"/>
      </c:lineChart>
      <c:catAx>
        <c:axId val="9810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77024"/>
        <c:crosses val="autoZero"/>
        <c:auto val="1"/>
        <c:lblAlgn val="ctr"/>
        <c:lblOffset val="100"/>
      </c:catAx>
      <c:valAx>
        <c:axId val="9817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0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8230656"/>
        <c:axId val="98232192"/>
      </c:lineChart>
      <c:catAx>
        <c:axId val="9823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2192"/>
        <c:crosses val="autoZero"/>
        <c:auto val="1"/>
        <c:lblAlgn val="ctr"/>
        <c:lblOffset val="100"/>
      </c:catAx>
      <c:valAx>
        <c:axId val="98232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9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8252672"/>
        <c:axId val="98254208"/>
      </c:lineChart>
      <c:catAx>
        <c:axId val="9825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54208"/>
        <c:crosses val="autoZero"/>
        <c:auto val="1"/>
        <c:lblAlgn val="ctr"/>
        <c:lblOffset val="100"/>
      </c:catAx>
      <c:valAx>
        <c:axId val="982542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5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8299264"/>
        <c:axId val="98309248"/>
      </c:lineChart>
      <c:catAx>
        <c:axId val="9829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09248"/>
        <c:crosses val="autoZero"/>
        <c:auto val="1"/>
        <c:lblAlgn val="ctr"/>
        <c:lblOffset val="100"/>
      </c:catAx>
      <c:valAx>
        <c:axId val="98309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9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8333824"/>
        <c:axId val="98335360"/>
      </c:lineChart>
      <c:catAx>
        <c:axId val="9833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35360"/>
        <c:crosses val="autoZero"/>
        <c:auto val="1"/>
        <c:lblAlgn val="ctr"/>
        <c:lblOffset val="100"/>
      </c:catAx>
      <c:valAx>
        <c:axId val="9833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3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59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8437760"/>
        <c:axId val="98443648"/>
      </c:lineChart>
      <c:catAx>
        <c:axId val="9843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43648"/>
        <c:crosses val="autoZero"/>
        <c:auto val="1"/>
        <c:lblAlgn val="ctr"/>
        <c:lblOffset val="100"/>
      </c:catAx>
      <c:valAx>
        <c:axId val="9844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3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7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8484608"/>
        <c:axId val="98486144"/>
      </c:lineChart>
      <c:catAx>
        <c:axId val="9848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6144"/>
        <c:crosses val="autoZero"/>
        <c:auto val="1"/>
        <c:lblAlgn val="ctr"/>
        <c:lblOffset val="100"/>
      </c:catAx>
      <c:valAx>
        <c:axId val="9848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019"/>
          <c:w val="0.1234311819809441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8573312"/>
        <c:axId val="98579200"/>
      </c:lineChart>
      <c:catAx>
        <c:axId val="985733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9200"/>
        <c:crosses val="autoZero"/>
        <c:auto val="1"/>
        <c:lblAlgn val="ctr"/>
        <c:lblOffset val="100"/>
      </c:catAx>
      <c:valAx>
        <c:axId val="985792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166"/>
          <c:w val="0.1569039853282434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8619776"/>
        <c:axId val="98621312"/>
      </c:lineChart>
      <c:catAx>
        <c:axId val="986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21312"/>
        <c:crosses val="autoZero"/>
        <c:auto val="1"/>
        <c:lblAlgn val="ctr"/>
        <c:lblOffset val="100"/>
      </c:catAx>
      <c:valAx>
        <c:axId val="98621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1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0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8670848"/>
        <c:axId val="98729984"/>
      </c:lineChart>
      <c:catAx>
        <c:axId val="9867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9984"/>
        <c:crosses val="autoZero"/>
        <c:auto val="1"/>
        <c:lblAlgn val="ctr"/>
        <c:lblOffset val="100"/>
      </c:catAx>
      <c:valAx>
        <c:axId val="9872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21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9145216"/>
        <c:axId val="99146752"/>
      </c:lineChart>
      <c:catAx>
        <c:axId val="991452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46752"/>
        <c:crosses val="autoZero"/>
        <c:auto val="1"/>
        <c:lblAlgn val="ctr"/>
        <c:lblOffset val="100"/>
      </c:catAx>
      <c:valAx>
        <c:axId val="991467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4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1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1" sqref="E21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0.25583274422320601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0.37078365867934959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0.30994607183398776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0.13968375443587064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0.28051575191669836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0.30781030203132015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0.29627810870412791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0.14082204952920258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0.26090427194802657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0.30303212765702897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0.32177359705194508</v>
      </c>
      <c r="G17" s="203">
        <f>-tanks!AW21</f>
        <v>407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4858</v>
      </c>
      <c r="F18" s="315">
        <f>SUM('EDl log'!T20)</f>
        <v>1.5354534794222441E-2</v>
      </c>
      <c r="G18" s="203">
        <f>-tanks!AW22</f>
        <v>232</v>
      </c>
      <c r="H18" s="315">
        <f>SUM(tanks!AV22)</f>
        <v>0.79500000000000004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0.79500000000000004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0.79500000000000004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6585</v>
      </c>
      <c r="F21" s="315">
        <f>SUM('EDl log'!T23)</f>
        <v>0.10443376996076607</v>
      </c>
      <c r="G21" s="203">
        <f>-tanks!AW25</f>
        <v>436</v>
      </c>
      <c r="H21" s="315">
        <f>SUM(tanks!AV25)</f>
        <v>0.79500000000000004</v>
      </c>
      <c r="I21" s="10">
        <f>('B5'!AU24)*0.51</f>
        <v>0</v>
      </c>
      <c r="J21" s="296">
        <f>'B5'!AX24/0.51</f>
        <v>1.5686274509803921</v>
      </c>
      <c r="K21" s="203">
        <f>WATER!I25</f>
        <v>81</v>
      </c>
      <c r="L21" s="316">
        <f>SUM(WATER!J25)</f>
        <v>3.3068783068783065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0.79500000000000004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0.79500000000000004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0.79500000000000004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0.79500000000000004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0.79500000000000004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0.79500000000000004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0.79500000000000004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0.79500000000000004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Q16" sqref="Q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748</v>
      </c>
      <c r="F18" s="203">
        <f>ELEC!K20</f>
        <v>1256</v>
      </c>
      <c r="G18" s="203">
        <f>ELEC!I20</f>
        <v>448</v>
      </c>
      <c r="H18" s="203">
        <f>ELEC!E20</f>
        <v>2170</v>
      </c>
      <c r="I18" s="203">
        <f>ELEC!G20</f>
        <v>236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1112</v>
      </c>
      <c r="F21" s="203">
        <f>ELEC!K23</f>
        <v>1796</v>
      </c>
      <c r="G21" s="203">
        <f>ELEC!I23</f>
        <v>526</v>
      </c>
      <c r="H21" s="203">
        <f>ELEC!E23</f>
        <v>2860</v>
      </c>
      <c r="I21" s="203">
        <f>ELEC!G23</f>
        <v>291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-91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3" activePane="bottomLeft" state="frozen"/>
      <selection activeCell="C1" sqref="C1"/>
      <selection pane="bottomLeft" activeCell="P23" sqref="P2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v>191090</v>
      </c>
      <c r="E20" s="584">
        <f t="shared" si="7"/>
        <v>2170</v>
      </c>
      <c r="F20" s="573">
        <v>4117705</v>
      </c>
      <c r="G20" s="449">
        <f t="shared" si="15"/>
        <v>236</v>
      </c>
      <c r="H20" s="426">
        <v>18015854</v>
      </c>
      <c r="I20" s="449">
        <f t="shared" si="16"/>
        <v>448</v>
      </c>
      <c r="J20" s="426">
        <v>29705082</v>
      </c>
      <c r="K20" s="449">
        <f t="shared" si="17"/>
        <v>1256</v>
      </c>
      <c r="L20" s="426">
        <v>24532082</v>
      </c>
      <c r="M20" s="449">
        <f t="shared" si="18"/>
        <v>748</v>
      </c>
      <c r="N20" s="297">
        <f t="shared" si="19"/>
        <v>4858</v>
      </c>
      <c r="O20" s="445">
        <f t="shared" si="32"/>
        <v>0</v>
      </c>
      <c r="P20" s="564">
        <v>18953.817999999999</v>
      </c>
      <c r="Q20" s="446">
        <f>(P20-P19)*1000</f>
        <v>4622.9999999995925</v>
      </c>
      <c r="R20" s="603">
        <f>N20-Q20</f>
        <v>235.00000000040745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191090</v>
      </c>
      <c r="E21" s="584">
        <f t="shared" si="7"/>
        <v>0</v>
      </c>
      <c r="F21" s="573">
        <f t="shared" si="24"/>
        <v>4117705</v>
      </c>
      <c r="G21" s="449">
        <f t="shared" si="15"/>
        <v>0</v>
      </c>
      <c r="H21" s="426">
        <f t="shared" si="25"/>
        <v>18015854</v>
      </c>
      <c r="I21" s="449">
        <f t="shared" si="16"/>
        <v>0</v>
      </c>
      <c r="J21" s="426">
        <f t="shared" si="26"/>
        <v>29705082</v>
      </c>
      <c r="K21" s="449">
        <f t="shared" si="17"/>
        <v>0</v>
      </c>
      <c r="L21" s="426">
        <f t="shared" si="27"/>
        <v>24532082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18953.817999999999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191090</v>
      </c>
      <c r="E22" s="584">
        <f t="shared" ref="E22" si="36">D22-D21</f>
        <v>0</v>
      </c>
      <c r="F22" s="573">
        <f t="shared" si="24"/>
        <v>4117705</v>
      </c>
      <c r="G22" s="449">
        <f t="shared" ref="G22" si="37">F22-F21</f>
        <v>0</v>
      </c>
      <c r="H22" s="426">
        <f t="shared" si="25"/>
        <v>18015854</v>
      </c>
      <c r="I22" s="449">
        <f t="shared" ref="I22" si="38">H22-H21</f>
        <v>0</v>
      </c>
      <c r="J22" s="426">
        <f t="shared" si="26"/>
        <v>29705082</v>
      </c>
      <c r="K22" s="449">
        <f t="shared" ref="K22" si="39">J22-J21</f>
        <v>0</v>
      </c>
      <c r="L22" s="426">
        <f t="shared" si="27"/>
        <v>24532082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4">
        <f t="shared" si="28"/>
        <v>18953.817999999999</v>
      </c>
      <c r="Q22" s="446">
        <f t="shared" ref="Q22" si="43">(P22-P21)*1000</f>
        <v>0</v>
      </c>
      <c r="R22" s="603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v>193950</v>
      </c>
      <c r="E23" s="584">
        <f t="shared" si="7"/>
        <v>2860</v>
      </c>
      <c r="F23" s="573">
        <v>4117996</v>
      </c>
      <c r="G23" s="449">
        <f t="shared" si="15"/>
        <v>291</v>
      </c>
      <c r="H23" s="426">
        <v>18016380</v>
      </c>
      <c r="I23" s="449">
        <f t="shared" si="16"/>
        <v>526</v>
      </c>
      <c r="J23" s="426">
        <v>29706878</v>
      </c>
      <c r="K23" s="449">
        <f t="shared" si="17"/>
        <v>1796</v>
      </c>
      <c r="L23" s="426">
        <v>24533194</v>
      </c>
      <c r="M23" s="449">
        <f t="shared" si="18"/>
        <v>1112</v>
      </c>
      <c r="N23" s="297">
        <f t="shared" si="19"/>
        <v>6585</v>
      </c>
      <c r="O23" s="445">
        <f t="shared" si="32"/>
        <v>0</v>
      </c>
      <c r="P23" s="564">
        <v>18960.325000000001</v>
      </c>
      <c r="Q23" s="446">
        <f t="shared" si="1"/>
        <v>6507.0000000014261</v>
      </c>
      <c r="R23" s="603">
        <f t="shared" si="35"/>
        <v>77.999999998573912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193950</v>
      </c>
      <c r="E24" s="584">
        <f t="shared" si="7"/>
        <v>0</v>
      </c>
      <c r="F24" s="573">
        <f t="shared" si="24"/>
        <v>4117996</v>
      </c>
      <c r="G24" s="449">
        <f t="shared" si="15"/>
        <v>0</v>
      </c>
      <c r="H24" s="426">
        <f t="shared" si="25"/>
        <v>18016380</v>
      </c>
      <c r="I24" s="613">
        <f t="shared" si="16"/>
        <v>0</v>
      </c>
      <c r="J24" s="426">
        <f t="shared" si="26"/>
        <v>29706878</v>
      </c>
      <c r="K24" s="449">
        <f t="shared" si="17"/>
        <v>0</v>
      </c>
      <c r="L24" s="426">
        <f t="shared" si="27"/>
        <v>24533194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18960.325000000001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193950</v>
      </c>
      <c r="E25" s="584">
        <f t="shared" si="7"/>
        <v>0</v>
      </c>
      <c r="F25" s="573">
        <f t="shared" si="24"/>
        <v>4117996</v>
      </c>
      <c r="G25" s="449">
        <f t="shared" si="15"/>
        <v>0</v>
      </c>
      <c r="H25" s="426">
        <f t="shared" si="25"/>
        <v>18016380</v>
      </c>
      <c r="I25" s="449">
        <f t="shared" si="16"/>
        <v>0</v>
      </c>
      <c r="J25" s="426">
        <f t="shared" si="26"/>
        <v>29706878</v>
      </c>
      <c r="K25" s="449">
        <f t="shared" si="17"/>
        <v>0</v>
      </c>
      <c r="L25" s="426">
        <f t="shared" si="27"/>
        <v>24533194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18960.325000000001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193950</v>
      </c>
      <c r="E26" s="584">
        <f t="shared" si="7"/>
        <v>0</v>
      </c>
      <c r="F26" s="573">
        <f t="shared" si="24"/>
        <v>4117996</v>
      </c>
      <c r="G26" s="449">
        <f t="shared" si="15"/>
        <v>0</v>
      </c>
      <c r="H26" s="426">
        <f t="shared" si="25"/>
        <v>18016380</v>
      </c>
      <c r="I26" s="449">
        <f t="shared" si="16"/>
        <v>0</v>
      </c>
      <c r="J26" s="426">
        <f t="shared" si="26"/>
        <v>29706878</v>
      </c>
      <c r="K26" s="449">
        <f t="shared" si="17"/>
        <v>0</v>
      </c>
      <c r="L26" s="426">
        <f t="shared" si="27"/>
        <v>24533194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18960.325000000001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193950</v>
      </c>
      <c r="E27" s="584">
        <f t="shared" si="7"/>
        <v>0</v>
      </c>
      <c r="F27" s="573">
        <f t="shared" si="24"/>
        <v>4117996</v>
      </c>
      <c r="G27" s="449">
        <f t="shared" si="15"/>
        <v>0</v>
      </c>
      <c r="H27" s="426">
        <f t="shared" si="25"/>
        <v>18016380</v>
      </c>
      <c r="I27" s="449">
        <f t="shared" si="16"/>
        <v>0</v>
      </c>
      <c r="J27" s="426">
        <f t="shared" si="26"/>
        <v>29706878</v>
      </c>
      <c r="K27" s="449">
        <f t="shared" si="17"/>
        <v>0</v>
      </c>
      <c r="L27" s="426">
        <f t="shared" si="27"/>
        <v>24533194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18960.325000000001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193950</v>
      </c>
      <c r="E28" s="584">
        <f t="shared" si="7"/>
        <v>0</v>
      </c>
      <c r="F28" s="573">
        <f t="shared" si="24"/>
        <v>4117996</v>
      </c>
      <c r="G28" s="449">
        <f>F28-F27</f>
        <v>0</v>
      </c>
      <c r="H28" s="426">
        <f t="shared" si="25"/>
        <v>18016380</v>
      </c>
      <c r="I28" s="449">
        <f t="shared" si="16"/>
        <v>0</v>
      </c>
      <c r="J28" s="426">
        <f t="shared" si="26"/>
        <v>29706878</v>
      </c>
      <c r="K28" s="449">
        <f t="shared" si="17"/>
        <v>0</v>
      </c>
      <c r="L28" s="426">
        <f t="shared" si="27"/>
        <v>24533194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18960.325000000001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193950</v>
      </c>
      <c r="E29" s="584">
        <f t="shared" si="7"/>
        <v>0</v>
      </c>
      <c r="F29" s="573">
        <f t="shared" si="24"/>
        <v>4117996</v>
      </c>
      <c r="G29" s="449">
        <f>F29-F28</f>
        <v>0</v>
      </c>
      <c r="H29" s="426">
        <f t="shared" si="25"/>
        <v>18016380</v>
      </c>
      <c r="I29" s="449">
        <f>H29-H28</f>
        <v>0</v>
      </c>
      <c r="J29" s="426">
        <f t="shared" si="26"/>
        <v>29706878</v>
      </c>
      <c r="K29" s="449">
        <f>J29-J28</f>
        <v>0</v>
      </c>
      <c r="L29" s="426">
        <f t="shared" si="27"/>
        <v>24533194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18960.325000000001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193950</v>
      </c>
      <c r="E30" s="584">
        <f t="shared" si="7"/>
        <v>0</v>
      </c>
      <c r="F30" s="573">
        <f t="shared" si="24"/>
        <v>4117996</v>
      </c>
      <c r="G30" s="449">
        <f t="shared" si="15"/>
        <v>0</v>
      </c>
      <c r="H30" s="426">
        <f t="shared" si="25"/>
        <v>18016380</v>
      </c>
      <c r="I30" s="449">
        <f t="shared" si="16"/>
        <v>0</v>
      </c>
      <c r="J30" s="426">
        <f t="shared" si="26"/>
        <v>29706878</v>
      </c>
      <c r="K30" s="449">
        <f t="shared" si="17"/>
        <v>0</v>
      </c>
      <c r="L30" s="426">
        <f t="shared" si="27"/>
        <v>24533194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18960.325000000001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193950</v>
      </c>
      <c r="E31" s="584">
        <f t="shared" si="7"/>
        <v>0</v>
      </c>
      <c r="F31" s="573">
        <f t="shared" si="24"/>
        <v>4117996</v>
      </c>
      <c r="G31" s="449">
        <f t="shared" si="15"/>
        <v>0</v>
      </c>
      <c r="H31" s="426">
        <f t="shared" si="25"/>
        <v>18016380</v>
      </c>
      <c r="I31" s="449">
        <f t="shared" si="16"/>
        <v>0</v>
      </c>
      <c r="J31" s="426">
        <f t="shared" si="26"/>
        <v>29706878</v>
      </c>
      <c r="K31" s="449">
        <f t="shared" si="17"/>
        <v>0</v>
      </c>
      <c r="L31" s="426">
        <f t="shared" si="27"/>
        <v>24533194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18960.325000000001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24" sqref="A24:XFD2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181370</v>
      </c>
      <c r="R20" s="379">
        <f t="shared" si="44"/>
        <v>407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407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407</v>
      </c>
      <c r="AJ20" s="303">
        <f>-tanks!AW21</f>
        <v>407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v>179</v>
      </c>
      <c r="C21" s="537">
        <v>186</v>
      </c>
      <c r="D21" s="45">
        <f t="shared" ref="D21:D32" si="47">C20-C21</f>
        <v>-31</v>
      </c>
      <c r="E21" s="45">
        <f t="shared" si="12"/>
        <v>-259.78000000000003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v>2167</v>
      </c>
      <c r="Q21" s="537">
        <v>181602</v>
      </c>
      <c r="R21" s="379">
        <f t="shared" si="44"/>
        <v>232</v>
      </c>
      <c r="S21" s="52">
        <f t="shared" si="5"/>
        <v>3</v>
      </c>
      <c r="T21" s="67">
        <f t="shared" si="33"/>
        <v>0</v>
      </c>
      <c r="U21" s="386">
        <f t="shared" si="17"/>
        <v>3</v>
      </c>
      <c r="V21" s="62">
        <f t="shared" si="18"/>
        <v>232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232</v>
      </c>
      <c r="AJ21" s="303">
        <f>-tanks!AW22</f>
        <v>232</v>
      </c>
      <c r="AK21" s="303">
        <f t="shared" si="27"/>
        <v>0</v>
      </c>
      <c r="AL21" s="303">
        <f t="shared" si="8"/>
        <v>3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179</v>
      </c>
      <c r="C22" s="537">
        <f t="shared" si="41"/>
        <v>186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ref="P22:P32" si="48">P21</f>
        <v>2167</v>
      </c>
      <c r="Q22" s="537">
        <f t="shared" ref="Q22:Q32" si="49">Q21</f>
        <v>181602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179</v>
      </c>
      <c r="C23" s="537">
        <f t="shared" si="41"/>
        <v>186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2167</v>
      </c>
      <c r="Q23" s="537">
        <f t="shared" si="49"/>
        <v>181602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v>208</v>
      </c>
      <c r="C24" s="537">
        <v>215</v>
      </c>
      <c r="D24" s="45">
        <f t="shared" si="47"/>
        <v>-29</v>
      </c>
      <c r="E24" s="45">
        <f t="shared" si="12"/>
        <v>-243.02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v>2173</v>
      </c>
      <c r="Q24" s="537">
        <v>182038</v>
      </c>
      <c r="R24" s="379">
        <f t="shared" si="44"/>
        <v>436</v>
      </c>
      <c r="S24" s="52">
        <f t="shared" si="5"/>
        <v>6</v>
      </c>
      <c r="T24" s="67">
        <f t="shared" si="33"/>
        <v>0</v>
      </c>
      <c r="U24" s="386">
        <f t="shared" si="17"/>
        <v>6</v>
      </c>
      <c r="V24" s="62">
        <f t="shared" si="18"/>
        <v>436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436</v>
      </c>
      <c r="AJ24" s="303">
        <f>-tanks!AW25</f>
        <v>436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208</v>
      </c>
      <c r="C25" s="537">
        <f t="shared" si="41"/>
        <v>215</v>
      </c>
      <c r="D25" s="45">
        <f t="shared" si="47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f t="shared" si="48"/>
        <v>2173</v>
      </c>
      <c r="Q25" s="537">
        <f t="shared" si="49"/>
        <v>182038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208</v>
      </c>
      <c r="C26" s="537">
        <f t="shared" si="41"/>
        <v>215</v>
      </c>
      <c r="D26" s="45">
        <f t="shared" si="47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2173</v>
      </c>
      <c r="Q26" s="537">
        <f t="shared" si="49"/>
        <v>182038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208</v>
      </c>
      <c r="C27" s="537">
        <f t="shared" si="41"/>
        <v>215</v>
      </c>
      <c r="D27" s="45">
        <f t="shared" si="47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8"/>
        <v>2173</v>
      </c>
      <c r="Q27" s="537">
        <f t="shared" si="49"/>
        <v>182038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208</v>
      </c>
      <c r="C28" s="537">
        <f t="shared" si="41"/>
        <v>215</v>
      </c>
      <c r="D28" s="45">
        <f t="shared" si="47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2173</v>
      </c>
      <c r="Q28" s="537">
        <f t="shared" si="49"/>
        <v>182038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208</v>
      </c>
      <c r="C29" s="537">
        <f t="shared" si="41"/>
        <v>215</v>
      </c>
      <c r="D29" s="45">
        <f t="shared" si="47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2173</v>
      </c>
      <c r="Q29" s="537">
        <f t="shared" si="49"/>
        <v>182038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208</v>
      </c>
      <c r="C30" s="537">
        <f t="shared" si="41"/>
        <v>215</v>
      </c>
      <c r="D30" s="45">
        <f>C29-C30</f>
        <v>0</v>
      </c>
      <c r="E30" s="45">
        <f>D30*8.38</f>
        <v>0</v>
      </c>
      <c r="F30" s="537">
        <f t="shared" si="42"/>
        <v>2086</v>
      </c>
      <c r="G30" s="52">
        <f>F30-F29</f>
        <v>0</v>
      </c>
      <c r="H30" s="537">
        <f t="shared" si="43"/>
        <v>31734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2173</v>
      </c>
      <c r="Q30" s="537">
        <f t="shared" si="49"/>
        <v>182038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208</v>
      </c>
      <c r="C31" s="537">
        <f t="shared" si="41"/>
        <v>215</v>
      </c>
      <c r="D31" s="45">
        <f t="shared" si="47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2173</v>
      </c>
      <c r="Q31" s="537">
        <f t="shared" si="49"/>
        <v>182038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208</v>
      </c>
      <c r="C32" s="537">
        <f t="shared" si="41"/>
        <v>215</v>
      </c>
      <c r="D32" s="45">
        <f t="shared" si="47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2173</v>
      </c>
      <c r="Q32" s="537">
        <f t="shared" si="49"/>
        <v>182038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70</v>
      </c>
      <c r="V36" s="62">
        <f>SUM(V5:V35)</f>
        <v>5320</v>
      </c>
      <c r="AE36" s="71" t="s">
        <v>379</v>
      </c>
      <c r="AG36" s="329"/>
      <c r="AH36" s="62">
        <f>SUM(AH5:AH35)</f>
        <v>0</v>
      </c>
      <c r="AL36" s="62">
        <f>SUM(AL5:AL35)</f>
        <v>70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76</v>
      </c>
      <c r="AH37" s="62">
        <f>AF37+AA37</f>
        <v>0</v>
      </c>
      <c r="AI37" s="306">
        <f>SUM(AI5:AI35)</f>
        <v>5320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="90" zoomScaleNormal="90" workbookViewId="0">
      <pane ySplit="3" topLeftCell="A4" activePane="bottomLeft" state="frozen"/>
      <selection pane="bottomLeft" activeCell="AU29" sqref="AU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8152288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v>150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v>98</v>
      </c>
      <c r="AY22" s="409">
        <f t="shared" si="36"/>
        <v>135</v>
      </c>
      <c r="AZ22" s="409">
        <f t="shared" si="37"/>
        <v>105.60000000000001</v>
      </c>
      <c r="BA22" s="409">
        <f t="shared" si="38"/>
        <v>284.2</v>
      </c>
      <c r="BB22" s="21">
        <f>AY22-AY21</f>
        <v>1.7999999999999829</v>
      </c>
      <c r="BC22" s="21">
        <f t="shared" si="49"/>
        <v>0</v>
      </c>
      <c r="BD22" s="21">
        <f t="shared" si="49"/>
        <v>-2.8999999999999773</v>
      </c>
      <c r="BE22" s="24">
        <f t="shared" si="31"/>
        <v>-1.0999999999999943</v>
      </c>
      <c r="BF22" s="96">
        <f t="shared" si="32"/>
        <v>1.0999999999999943</v>
      </c>
      <c r="BG22" s="82">
        <f t="shared" si="4"/>
        <v>-1.0999999999999943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150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98</v>
      </c>
      <c r="AY23" s="409">
        <f t="shared" si="36"/>
        <v>135</v>
      </c>
      <c r="AZ23" s="409">
        <f t="shared" si="37"/>
        <v>105.60000000000001</v>
      </c>
      <c r="BA23" s="409">
        <f t="shared" si="38"/>
        <v>284.2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150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98</v>
      </c>
      <c r="AY24" s="409">
        <f t="shared" si="36"/>
        <v>135</v>
      </c>
      <c r="AZ24" s="409">
        <f t="shared" si="37"/>
        <v>105.60000000000001</v>
      </c>
      <c r="BA24" s="409">
        <f t="shared" si="38"/>
        <v>284.2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v>627124</v>
      </c>
      <c r="H25" s="5">
        <f t="shared" si="9"/>
        <v>81</v>
      </c>
      <c r="I25" s="5">
        <f t="shared" si="10"/>
        <v>81</v>
      </c>
      <c r="J25" s="319">
        <f t="shared" si="0"/>
        <v>3.3068783068783065</v>
      </c>
      <c r="K25" s="5">
        <f>'Swimming Pool quality check '!H25</f>
        <v>7013</v>
      </c>
      <c r="L25" s="263">
        <f t="shared" si="40"/>
        <v>10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-10</v>
      </c>
      <c r="AL25" s="312">
        <f t="shared" si="27"/>
        <v>0</v>
      </c>
      <c r="AM25" s="312">
        <f>'General information '!D24</f>
        <v>15.5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v>196</v>
      </c>
      <c r="AU25" s="408">
        <f t="shared" si="42"/>
        <v>1.1000000000000001</v>
      </c>
      <c r="AV25" s="201">
        <v>95</v>
      </c>
      <c r="AW25" s="5">
        <v>2.9</v>
      </c>
      <c r="AX25" s="201">
        <v>93</v>
      </c>
      <c r="AY25" s="409">
        <f t="shared" si="36"/>
        <v>176.4</v>
      </c>
      <c r="AZ25" s="409">
        <f t="shared" si="37"/>
        <v>104.50000000000001</v>
      </c>
      <c r="BA25" s="409">
        <f t="shared" si="38"/>
        <v>269.7</v>
      </c>
      <c r="BB25" s="21">
        <f t="shared" si="49"/>
        <v>41.400000000000006</v>
      </c>
      <c r="BC25" s="21">
        <f t="shared" si="49"/>
        <v>-1.0999999999999943</v>
      </c>
      <c r="BD25" s="21">
        <f t="shared" si="49"/>
        <v>-14.5</v>
      </c>
      <c r="BE25" s="24">
        <f t="shared" si="31"/>
        <v>25.800000000000011</v>
      </c>
      <c r="BF25" s="96">
        <f t="shared" si="32"/>
        <v>55.199999999999989</v>
      </c>
      <c r="BG25" s="82">
        <f t="shared" si="4"/>
        <v>25.800000000000011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627124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7013</v>
      </c>
      <c r="L26" s="263">
        <f t="shared" si="40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154800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f t="shared" si="50"/>
        <v>196</v>
      </c>
      <c r="AU26" s="408">
        <f t="shared" si="42"/>
        <v>1.1000000000000001</v>
      </c>
      <c r="AV26" s="201">
        <f t="shared" si="43"/>
        <v>95</v>
      </c>
      <c r="AW26" s="5">
        <v>2.9</v>
      </c>
      <c r="AX26" s="201">
        <f t="shared" si="44"/>
        <v>93</v>
      </c>
      <c r="AY26" s="409">
        <f t="shared" si="36"/>
        <v>176.4</v>
      </c>
      <c r="AZ26" s="409">
        <f t="shared" si="37"/>
        <v>104.50000000000001</v>
      </c>
      <c r="BA26" s="409">
        <f t="shared" si="38"/>
        <v>269.7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627124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7013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154800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196</v>
      </c>
      <c r="AU27" s="408">
        <f t="shared" si="42"/>
        <v>1.1000000000000001</v>
      </c>
      <c r="AV27" s="201">
        <f t="shared" si="43"/>
        <v>95</v>
      </c>
      <c r="AW27" s="5">
        <v>2.9</v>
      </c>
      <c r="AX27" s="201">
        <f t="shared" si="44"/>
        <v>93</v>
      </c>
      <c r="AY27" s="409">
        <f t="shared" si="36"/>
        <v>176.4</v>
      </c>
      <c r="AZ27" s="409">
        <f t="shared" si="37"/>
        <v>104.50000000000001</v>
      </c>
      <c r="BA27" s="409">
        <f t="shared" si="38"/>
        <v>269.7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627124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7013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154800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f t="shared" si="50"/>
        <v>196</v>
      </c>
      <c r="AU28" s="408">
        <f t="shared" si="42"/>
        <v>1.1000000000000001</v>
      </c>
      <c r="AV28" s="201">
        <f t="shared" si="43"/>
        <v>95</v>
      </c>
      <c r="AW28" s="5">
        <v>2.9</v>
      </c>
      <c r="AX28" s="201">
        <f t="shared" si="44"/>
        <v>93</v>
      </c>
      <c r="AY28" s="409">
        <f t="shared" si="36"/>
        <v>176.4</v>
      </c>
      <c r="AZ28" s="409">
        <f t="shared" si="37"/>
        <v>104.50000000000001</v>
      </c>
      <c r="BA28" s="409">
        <f t="shared" si="38"/>
        <v>269.7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627124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7013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154800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196</v>
      </c>
      <c r="AU29" s="408">
        <f t="shared" si="42"/>
        <v>1.1000000000000001</v>
      </c>
      <c r="AV29" s="201">
        <f t="shared" si="43"/>
        <v>95</v>
      </c>
      <c r="AW29" s="5">
        <v>2.9</v>
      </c>
      <c r="AX29" s="201">
        <f t="shared" si="44"/>
        <v>93</v>
      </c>
      <c r="AY29" s="409">
        <f t="shared" si="36"/>
        <v>176.4</v>
      </c>
      <c r="AZ29" s="409">
        <f t="shared" si="37"/>
        <v>104.50000000000001</v>
      </c>
      <c r="BA29" s="409">
        <f t="shared" si="38"/>
        <v>269.7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627124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7013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-91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-91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196</v>
      </c>
      <c r="AU30" s="408">
        <f t="shared" si="42"/>
        <v>1.1000000000000001</v>
      </c>
      <c r="AV30" s="201">
        <f t="shared" si="43"/>
        <v>95</v>
      </c>
      <c r="AW30" s="5">
        <v>2.9</v>
      </c>
      <c r="AX30" s="201">
        <f t="shared" si="44"/>
        <v>93</v>
      </c>
      <c r="AY30" s="409">
        <f t="shared" si="36"/>
        <v>176.4</v>
      </c>
      <c r="AZ30" s="409">
        <f t="shared" si="37"/>
        <v>104.50000000000001</v>
      </c>
      <c r="BA30" s="409">
        <f t="shared" si="38"/>
        <v>269.7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627124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7013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196</v>
      </c>
      <c r="AU31" s="408">
        <f t="shared" si="42"/>
        <v>1.1000000000000001</v>
      </c>
      <c r="AV31" s="201">
        <f t="shared" si="43"/>
        <v>95</v>
      </c>
      <c r="AW31" s="5">
        <v>2.9</v>
      </c>
      <c r="AX31" s="201">
        <f t="shared" si="44"/>
        <v>93</v>
      </c>
      <c r="AY31" s="409">
        <f t="shared" si="36"/>
        <v>176.4</v>
      </c>
      <c r="AZ31" s="409">
        <f>AU31*AV31</f>
        <v>104.50000000000001</v>
      </c>
      <c r="BA31" s="409">
        <f t="shared" si="38"/>
        <v>269.7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627124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7013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196</v>
      </c>
      <c r="AU32" s="408">
        <f t="shared" si="42"/>
        <v>1.1000000000000001</v>
      </c>
      <c r="AV32" s="201">
        <f t="shared" si="43"/>
        <v>95</v>
      </c>
      <c r="AW32" s="5">
        <v>2.9</v>
      </c>
      <c r="AX32" s="201">
        <f t="shared" si="44"/>
        <v>93</v>
      </c>
      <c r="AY32" s="409">
        <f t="shared" si="36"/>
        <v>176.4</v>
      </c>
      <c r="AZ32" s="409">
        <f t="shared" si="37"/>
        <v>104.50000000000001</v>
      </c>
      <c r="BA32" s="409">
        <f t="shared" si="38"/>
        <v>269.7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627124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7013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196</v>
      </c>
      <c r="AU33" s="408">
        <f t="shared" si="42"/>
        <v>1.1000000000000001</v>
      </c>
      <c r="AV33" s="201">
        <f t="shared" si="43"/>
        <v>95</v>
      </c>
      <c r="AW33" s="5">
        <v>2.9</v>
      </c>
      <c r="AX33" s="201">
        <f t="shared" si="44"/>
        <v>93</v>
      </c>
      <c r="AY33" s="409">
        <f t="shared" si="36"/>
        <v>176.4</v>
      </c>
      <c r="AZ33" s="409">
        <f t="shared" si="37"/>
        <v>104.50000000000001</v>
      </c>
      <c r="BA33" s="409">
        <f t="shared" si="38"/>
        <v>269.7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260</v>
      </c>
      <c r="I37" s="395">
        <f>SUM(I6:I36)</f>
        <v>260</v>
      </c>
      <c r="L37" s="258">
        <f>SUM(L7:L36)</f>
        <v>12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260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260</v>
      </c>
      <c r="H39" s="1">
        <f>SUM(H38+C38)</f>
        <v>7500</v>
      </c>
      <c r="K39" s="1">
        <f>SUM(H39/G39)</f>
        <v>28.846153846153847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E1" zoomScale="70" zoomScaleNormal="70" workbookViewId="0">
      <pane ySplit="1" topLeftCell="A4" activePane="bottomLeft" state="frozen"/>
      <selection pane="bottomLeft" activeCell="A22" sqref="A22:XFD2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v>11476</v>
      </c>
      <c r="C19" s="276">
        <f t="shared" si="9"/>
        <v>8</v>
      </c>
      <c r="D19" s="503">
        <f t="shared" si="10"/>
        <v>632016</v>
      </c>
      <c r="E19" s="276">
        <f t="shared" si="11"/>
        <v>2000</v>
      </c>
      <c r="F19" s="276">
        <f t="shared" si="0"/>
        <v>250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v>13606</v>
      </c>
      <c r="S19" s="276">
        <f t="shared" si="4"/>
        <v>1</v>
      </c>
      <c r="T19" s="503">
        <f t="shared" si="18"/>
        <v>341012</v>
      </c>
      <c r="U19" s="276">
        <f t="shared" si="19"/>
        <v>250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9</v>
      </c>
      <c r="AA19" s="276">
        <f t="shared" si="20"/>
        <v>2250</v>
      </c>
      <c r="AB19" s="276">
        <f t="shared" si="21"/>
        <v>500</v>
      </c>
      <c r="AC19" s="276">
        <f t="shared" si="22"/>
        <v>250</v>
      </c>
      <c r="AD19" s="73">
        <f>ELEC!Q20</f>
        <v>4622.9999999995925</v>
      </c>
      <c r="AE19" s="73">
        <f t="shared" si="25"/>
        <v>513.66666666662138</v>
      </c>
      <c r="AF19" s="387">
        <f t="shared" si="26"/>
        <v>0.32104166666663836</v>
      </c>
      <c r="AG19" s="387">
        <f t="shared" si="26"/>
        <v>2.0065104166664899E-4</v>
      </c>
      <c r="AH19" s="388">
        <f t="shared" si="23"/>
        <v>249.99979934895833</v>
      </c>
      <c r="AI19" s="73">
        <f t="shared" si="27"/>
        <v>1189.8860759492622</v>
      </c>
      <c r="AJ19" s="278">
        <f t="shared" si="7"/>
        <v>0.25738396624472576</v>
      </c>
      <c r="AK19" s="278">
        <f t="shared" si="8"/>
        <v>132.20956399436247</v>
      </c>
      <c r="AL19">
        <f t="shared" si="24"/>
        <v>1</v>
      </c>
    </row>
    <row r="20" spans="1:38" ht="15.75" thickBot="1">
      <c r="A20" s="4">
        <f>ELEC!C21</f>
        <v>44610</v>
      </c>
      <c r="B20" s="502">
        <f t="shared" si="29"/>
        <v>11476</v>
      </c>
      <c r="C20" s="276">
        <f>B20-B19</f>
        <v>0</v>
      </c>
      <c r="D20" s="503">
        <f t="shared" si="10"/>
        <v>632016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13606</v>
      </c>
      <c r="S20" s="276">
        <f t="shared" si="4"/>
        <v>0</v>
      </c>
      <c r="T20" s="503">
        <f t="shared" si="18"/>
        <v>341012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11476</v>
      </c>
      <c r="C21" s="276">
        <f>B21-B20</f>
        <v>0</v>
      </c>
      <c r="D21" s="503">
        <f t="shared" si="10"/>
        <v>632016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13606</v>
      </c>
      <c r="S21" s="276">
        <f t="shared" si="4"/>
        <v>0</v>
      </c>
      <c r="T21" s="503">
        <f t="shared" si="18"/>
        <v>341012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v>11476</v>
      </c>
      <c r="C22" s="276">
        <f t="shared" si="9"/>
        <v>0</v>
      </c>
      <c r="D22" s="503">
        <f t="shared" si="10"/>
        <v>632016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v>13619</v>
      </c>
      <c r="S22" s="276">
        <f t="shared" si="4"/>
        <v>13</v>
      </c>
      <c r="T22" s="503">
        <f t="shared" si="18"/>
        <v>344262</v>
      </c>
      <c r="U22" s="276">
        <f t="shared" si="19"/>
        <v>3250</v>
      </c>
      <c r="V22" s="276">
        <v>250</v>
      </c>
      <c r="W22" s="196"/>
      <c r="X22" s="260">
        <v>13550</v>
      </c>
      <c r="Y22" s="276" t="str">
        <f t="shared" ref="Y22:Y30" si="31">Y21</f>
        <v>oil change</v>
      </c>
      <c r="Z22" s="276">
        <f t="shared" si="6"/>
        <v>13</v>
      </c>
      <c r="AA22" s="276">
        <f t="shared" si="20"/>
        <v>3250</v>
      </c>
      <c r="AB22" s="276">
        <f t="shared" si="21"/>
        <v>250</v>
      </c>
      <c r="AC22" s="276">
        <f t="shared" si="22"/>
        <v>250</v>
      </c>
      <c r="AD22" s="73">
        <f>ELEC!Q23</f>
        <v>6507.0000000014261</v>
      </c>
      <c r="AE22" s="73">
        <f t="shared" si="25"/>
        <v>500.53846153857126</v>
      </c>
      <c r="AF22" s="387">
        <f t="shared" si="26"/>
        <v>0.31283653846160703</v>
      </c>
      <c r="AG22" s="387">
        <f t="shared" si="26"/>
        <v>1.955228365385044E-4</v>
      </c>
      <c r="AH22" s="388">
        <f t="shared" si="23"/>
        <v>249.99980447716345</v>
      </c>
      <c r="AI22" s="73">
        <f t="shared" si="27"/>
        <v>1674.7974683547975</v>
      </c>
      <c r="AJ22" s="278">
        <f t="shared" si="7"/>
        <v>0.25738396624472576</v>
      </c>
      <c r="AK22" s="278">
        <f t="shared" si="8"/>
        <v>128.83057448883056</v>
      </c>
      <c r="AL22">
        <f t="shared" si="24"/>
        <v>1</v>
      </c>
    </row>
    <row r="23" spans="1:38" ht="15.75" thickBot="1">
      <c r="A23" s="4">
        <f>ELEC!C24</f>
        <v>44613</v>
      </c>
      <c r="B23" s="502">
        <f t="shared" si="29"/>
        <v>11476</v>
      </c>
      <c r="C23" s="276">
        <f t="shared" si="9"/>
        <v>0</v>
      </c>
      <c r="D23" s="503">
        <f t="shared" si="10"/>
        <v>632016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8"/>
        <v>13619</v>
      </c>
      <c r="S23" s="276">
        <f>R23-R22</f>
        <v>0</v>
      </c>
      <c r="T23" s="503">
        <f t="shared" si="18"/>
        <v>344262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1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29"/>
        <v>11476</v>
      </c>
      <c r="C24" s="276">
        <f t="shared" si="9"/>
        <v>0</v>
      </c>
      <c r="D24" s="503">
        <f t="shared" si="10"/>
        <v>632016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8"/>
        <v>13619</v>
      </c>
      <c r="S24" s="276">
        <f t="shared" si="4"/>
        <v>0</v>
      </c>
      <c r="T24" s="503">
        <f t="shared" si="18"/>
        <v>344262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1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29"/>
        <v>11476</v>
      </c>
      <c r="C25" s="276">
        <f t="shared" si="9"/>
        <v>0</v>
      </c>
      <c r="D25" s="503">
        <f t="shared" si="10"/>
        <v>632016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8"/>
        <v>13619</v>
      </c>
      <c r="S25" s="276">
        <f t="shared" si="4"/>
        <v>0</v>
      </c>
      <c r="T25" s="503">
        <f t="shared" si="18"/>
        <v>344262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1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29"/>
        <v>11476</v>
      </c>
      <c r="C26" s="276">
        <f>B26-B25</f>
        <v>0</v>
      </c>
      <c r="D26" s="503">
        <f t="shared" si="10"/>
        <v>632016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13619</v>
      </c>
      <c r="S26" s="276">
        <f>R26-R25</f>
        <v>0</v>
      </c>
      <c r="T26" s="503">
        <f t="shared" si="18"/>
        <v>344262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1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11476</v>
      </c>
      <c r="C27" s="276">
        <f>B27-B26</f>
        <v>0</v>
      </c>
      <c r="D27" s="503">
        <f t="shared" si="10"/>
        <v>632016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13619</v>
      </c>
      <c r="S27" s="276">
        <f t="shared" si="4"/>
        <v>0</v>
      </c>
      <c r="T27" s="503">
        <f t="shared" si="18"/>
        <v>344262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1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11476</v>
      </c>
      <c r="C28" s="276">
        <f t="shared" si="9"/>
        <v>0</v>
      </c>
      <c r="D28" s="503">
        <f t="shared" si="10"/>
        <v>632016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13619</v>
      </c>
      <c r="S28" s="276">
        <f t="shared" si="4"/>
        <v>0</v>
      </c>
      <c r="T28" s="503">
        <f t="shared" si="18"/>
        <v>344262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1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11476</v>
      </c>
      <c r="C29" s="276">
        <f t="shared" si="9"/>
        <v>0</v>
      </c>
      <c r="D29" s="503">
        <f t="shared" si="10"/>
        <v>632016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13619</v>
      </c>
      <c r="S29" s="276">
        <f t="shared" si="4"/>
        <v>0</v>
      </c>
      <c r="T29" s="503">
        <f>T28+U29</f>
        <v>344262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1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11476</v>
      </c>
      <c r="C30" s="276">
        <f t="shared" si="9"/>
        <v>0</v>
      </c>
      <c r="D30" s="503">
        <f t="shared" si="10"/>
        <v>632016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13619</v>
      </c>
      <c r="S30" s="276">
        <f t="shared" si="4"/>
        <v>0</v>
      </c>
      <c r="T30" s="503">
        <f t="shared" si="18"/>
        <v>344262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1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146</v>
      </c>
      <c r="V34" s="40"/>
      <c r="X34">
        <v>341</v>
      </c>
      <c r="Z34" s="404">
        <f>SUM(Z3:Z33)</f>
        <v>146</v>
      </c>
      <c r="AF34" s="387">
        <f>SUM(AE34/1600)</f>
        <v>0</v>
      </c>
      <c r="AL34">
        <f>SUM(AL3:AL33)</f>
        <v>13</v>
      </c>
    </row>
    <row r="35" spans="1:38">
      <c r="C35" s="40">
        <f>SUM(C3:C33)</f>
        <v>48</v>
      </c>
      <c r="K35" s="40">
        <f>SUM(K3:K33)</f>
        <v>0</v>
      </c>
      <c r="S35" s="40">
        <f>SUM(S3:S33)</f>
        <v>98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25" sqref="A2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-407</v>
      </c>
      <c r="AX21" s="279">
        <f t="shared" si="17"/>
        <v>-1976.419354838712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1189.8860759492622</v>
      </c>
      <c r="BF21" s="14"/>
      <c r="BG21" s="14" t="e">
        <f>#REF!-BE21</f>
        <v>#REF!</v>
      </c>
      <c r="BH21" s="11"/>
      <c r="BI21">
        <v>8</v>
      </c>
      <c r="BJ21">
        <f t="shared" si="46"/>
        <v>-247.052419354839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179</v>
      </c>
      <c r="C22" s="203">
        <f t="shared" si="18"/>
        <v>3851.3870967741937</v>
      </c>
      <c r="D22">
        <f t="shared" si="19"/>
        <v>179</v>
      </c>
      <c r="E22" s="203">
        <f t="shared" si="18"/>
        <v>3851.3870967741937</v>
      </c>
      <c r="F22">
        <f t="shared" si="20"/>
        <v>179</v>
      </c>
      <c r="G22" s="203">
        <f t="shared" si="1"/>
        <v>3851.3870967741937</v>
      </c>
      <c r="H22" s="203">
        <f t="shared" si="21"/>
        <v>179</v>
      </c>
      <c r="I22" s="203">
        <f t="shared" si="2"/>
        <v>3851.3870967741937</v>
      </c>
      <c r="J22" s="203">
        <f t="shared" si="22"/>
        <v>179</v>
      </c>
      <c r="K22" s="203">
        <f t="shared" si="3"/>
        <v>3851.3870967741937</v>
      </c>
      <c r="L22" s="203">
        <f t="shared" si="23"/>
        <v>179</v>
      </c>
      <c r="M22" s="203">
        <f t="shared" si="4"/>
        <v>3851.3870967741937</v>
      </c>
      <c r="N22" s="203">
        <f t="shared" si="24"/>
        <v>179</v>
      </c>
      <c r="O22" s="203">
        <f t="shared" si="5"/>
        <v>3851.3870967741937</v>
      </c>
      <c r="P22" s="203">
        <f t="shared" si="25"/>
        <v>179</v>
      </c>
      <c r="Q22" s="203">
        <f t="shared" si="6"/>
        <v>3851.3870967741937</v>
      </c>
      <c r="R22" s="203">
        <f t="shared" si="26"/>
        <v>179</v>
      </c>
      <c r="S22" s="203">
        <f t="shared" si="7"/>
        <v>3851.3870967741937</v>
      </c>
      <c r="T22" s="203">
        <f t="shared" si="27"/>
        <v>179</v>
      </c>
      <c r="U22" s="203">
        <f t="shared" si="8"/>
        <v>3851.3870967741937</v>
      </c>
      <c r="V22" s="203">
        <f t="shared" si="28"/>
        <v>179</v>
      </c>
      <c r="W22" s="203">
        <f t="shared" si="9"/>
        <v>3851.3870967741937</v>
      </c>
      <c r="X22" s="35">
        <f t="shared" si="10"/>
        <v>0.57741935483870976</v>
      </c>
      <c r="Y22" s="36">
        <f t="shared" si="29"/>
        <v>42365.258064516136</v>
      </c>
      <c r="Z22" s="203">
        <f>'B5'!C21</f>
        <v>186</v>
      </c>
      <c r="AA22" s="203">
        <f t="shared" si="30"/>
        <v>1860</v>
      </c>
      <c r="AB22" s="203">
        <f t="shared" si="31"/>
        <v>186</v>
      </c>
      <c r="AC22" s="203">
        <f t="shared" si="30"/>
        <v>1860</v>
      </c>
      <c r="AD22" s="203">
        <f t="shared" si="32"/>
        <v>186</v>
      </c>
      <c r="AE22" s="203">
        <f t="shared" si="11"/>
        <v>1860</v>
      </c>
      <c r="AF22" s="203">
        <f t="shared" si="33"/>
        <v>186</v>
      </c>
      <c r="AG22" s="203">
        <f t="shared" si="12"/>
        <v>1860</v>
      </c>
      <c r="AH22" s="203">
        <f t="shared" si="34"/>
        <v>186</v>
      </c>
      <c r="AI22" s="203">
        <f t="shared" si="13"/>
        <v>1860</v>
      </c>
      <c r="AJ22" s="203">
        <f t="shared" si="35"/>
        <v>186</v>
      </c>
      <c r="AK22" s="203">
        <f t="shared" si="14"/>
        <v>1860</v>
      </c>
      <c r="AL22" s="203">
        <f t="shared" si="36"/>
        <v>186</v>
      </c>
      <c r="AM22" s="203">
        <f t="shared" si="15"/>
        <v>1860</v>
      </c>
      <c r="AN22" s="35">
        <f t="shared" si="16"/>
        <v>0.66428571428571426</v>
      </c>
      <c r="AO22" s="36">
        <f t="shared" si="41"/>
        <v>13020</v>
      </c>
      <c r="AQ22" s="223">
        <f t="shared" si="37"/>
        <v>0.59573258109622607</v>
      </c>
      <c r="AR22" s="38">
        <f t="shared" si="38"/>
        <v>55385.258064516136</v>
      </c>
      <c r="AS22" s="197">
        <f t="shared" si="47"/>
        <v>-106.3225806451519</v>
      </c>
      <c r="AT22" s="340">
        <v>9850</v>
      </c>
      <c r="AU22" s="549">
        <v>0.79500000000000004</v>
      </c>
      <c r="AV22" s="485">
        <f t="shared" si="43"/>
        <v>0.79500000000000004</v>
      </c>
      <c r="AW22" s="279">
        <f>-SUM('B5'!AI21)</f>
        <v>-232</v>
      </c>
      <c r="AX22" s="279">
        <f t="shared" si="17"/>
        <v>125.6774193548481</v>
      </c>
      <c r="AY22" s="37">
        <f t="shared" si="39"/>
        <v>-106.3225806451519</v>
      </c>
      <c r="AZ22" s="100">
        <f>ELEC!A20</f>
        <v>0</v>
      </c>
      <c r="BA22" s="118">
        <f>'General information '!D21</f>
        <v>15</v>
      </c>
      <c r="BB22" s="378">
        <f>SUM('General information '!E21)</f>
        <v>0.52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13.964157706094234</v>
      </c>
      <c r="BK22" s="538">
        <f>GEN!AF19</f>
        <v>0.32104166666663836</v>
      </c>
    </row>
    <row r="23" spans="1:64">
      <c r="A23" s="425">
        <f>ELEC!C21</f>
        <v>44610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41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47"/>
        <v>0</v>
      </c>
      <c r="AT23" s="340"/>
      <c r="AU23" s="549"/>
      <c r="AV23" s="485">
        <f t="shared" si="43"/>
        <v>0.79500000000000004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179</v>
      </c>
      <c r="C24" s="203">
        <f t="shared" si="18"/>
        <v>3851.3870967741937</v>
      </c>
      <c r="D24">
        <f t="shared" si="19"/>
        <v>179</v>
      </c>
      <c r="E24" s="203">
        <f t="shared" si="18"/>
        <v>3851.3870967741937</v>
      </c>
      <c r="F24">
        <f t="shared" si="20"/>
        <v>179</v>
      </c>
      <c r="G24" s="203">
        <f t="shared" si="1"/>
        <v>3851.3870967741937</v>
      </c>
      <c r="H24" s="203">
        <f t="shared" si="21"/>
        <v>179</v>
      </c>
      <c r="I24" s="203">
        <f t="shared" si="2"/>
        <v>3851.3870967741937</v>
      </c>
      <c r="J24" s="203">
        <f t="shared" si="22"/>
        <v>179</v>
      </c>
      <c r="K24" s="203">
        <f t="shared" si="3"/>
        <v>3851.3870967741937</v>
      </c>
      <c r="L24" s="203">
        <f t="shared" si="23"/>
        <v>179</v>
      </c>
      <c r="M24" s="203">
        <f t="shared" si="4"/>
        <v>3851.3870967741937</v>
      </c>
      <c r="N24" s="203">
        <f t="shared" si="24"/>
        <v>179</v>
      </c>
      <c r="O24" s="203">
        <f t="shared" si="5"/>
        <v>3851.3870967741937</v>
      </c>
      <c r="P24" s="203">
        <f t="shared" si="25"/>
        <v>179</v>
      </c>
      <c r="Q24" s="203">
        <f t="shared" si="6"/>
        <v>3851.3870967741937</v>
      </c>
      <c r="R24" s="203">
        <f t="shared" si="26"/>
        <v>179</v>
      </c>
      <c r="S24" s="203">
        <f t="shared" si="7"/>
        <v>3851.3870967741937</v>
      </c>
      <c r="T24" s="203">
        <f t="shared" si="27"/>
        <v>179</v>
      </c>
      <c r="U24" s="203">
        <f t="shared" si="8"/>
        <v>3851.3870967741937</v>
      </c>
      <c r="V24" s="203">
        <f t="shared" si="28"/>
        <v>179</v>
      </c>
      <c r="W24" s="203">
        <f t="shared" si="9"/>
        <v>3851.3870967741937</v>
      </c>
      <c r="X24" s="35">
        <f t="shared" si="10"/>
        <v>0.57741935483870976</v>
      </c>
      <c r="Y24" s="36">
        <f t="shared" si="29"/>
        <v>42365.258064516136</v>
      </c>
      <c r="Z24" s="203">
        <f>'B5'!C23</f>
        <v>186</v>
      </c>
      <c r="AA24" s="203">
        <f t="shared" si="30"/>
        <v>1860</v>
      </c>
      <c r="AB24" s="203">
        <f t="shared" si="31"/>
        <v>186</v>
      </c>
      <c r="AC24" s="203">
        <f t="shared" si="30"/>
        <v>1860</v>
      </c>
      <c r="AD24" s="203">
        <f t="shared" si="32"/>
        <v>186</v>
      </c>
      <c r="AE24" s="203">
        <f t="shared" si="11"/>
        <v>1860</v>
      </c>
      <c r="AF24" s="203">
        <f t="shared" si="33"/>
        <v>186</v>
      </c>
      <c r="AG24" s="203">
        <f t="shared" si="12"/>
        <v>1860</v>
      </c>
      <c r="AH24" s="203">
        <f t="shared" si="34"/>
        <v>186</v>
      </c>
      <c r="AI24" s="203">
        <f t="shared" si="13"/>
        <v>1860</v>
      </c>
      <c r="AJ24" s="203">
        <f t="shared" si="35"/>
        <v>186</v>
      </c>
      <c r="AK24" s="203">
        <f t="shared" si="14"/>
        <v>1860</v>
      </c>
      <c r="AL24" s="203">
        <f t="shared" si="36"/>
        <v>186</v>
      </c>
      <c r="AM24" s="203">
        <f t="shared" si="15"/>
        <v>1860</v>
      </c>
      <c r="AN24" s="35">
        <f t="shared" si="16"/>
        <v>0.66428571428571426</v>
      </c>
      <c r="AO24" s="36">
        <f t="shared" si="41"/>
        <v>13020</v>
      </c>
      <c r="AQ24" s="223">
        <f t="shared" si="37"/>
        <v>0.59573258109622607</v>
      </c>
      <c r="AR24" s="38">
        <f t="shared" si="38"/>
        <v>55385.258064516136</v>
      </c>
      <c r="AS24" s="197">
        <f t="shared" si="47"/>
        <v>0</v>
      </c>
      <c r="AT24" s="340"/>
      <c r="AU24" s="549"/>
      <c r="AV24" s="485">
        <f t="shared" si="43"/>
        <v>0.79500000000000004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1674.7974683547975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215</v>
      </c>
      <c r="AA25" s="203">
        <f t="shared" si="30"/>
        <v>2150</v>
      </c>
      <c r="AB25" s="203">
        <f t="shared" si="31"/>
        <v>215</v>
      </c>
      <c r="AC25" s="203">
        <f t="shared" si="30"/>
        <v>2150</v>
      </c>
      <c r="AD25" s="203">
        <f t="shared" si="32"/>
        <v>215</v>
      </c>
      <c r="AE25" s="203">
        <f t="shared" si="11"/>
        <v>2150</v>
      </c>
      <c r="AF25" s="203">
        <f t="shared" si="33"/>
        <v>215</v>
      </c>
      <c r="AG25" s="203">
        <f t="shared" si="12"/>
        <v>2150</v>
      </c>
      <c r="AH25" s="203">
        <f t="shared" si="34"/>
        <v>215</v>
      </c>
      <c r="AI25" s="203">
        <f t="shared" si="13"/>
        <v>2150</v>
      </c>
      <c r="AJ25" s="203">
        <f t="shared" si="35"/>
        <v>215</v>
      </c>
      <c r="AK25" s="203">
        <f t="shared" si="14"/>
        <v>2150</v>
      </c>
      <c r="AL25" s="203">
        <f t="shared" si="36"/>
        <v>215</v>
      </c>
      <c r="AM25" s="203">
        <f t="shared" si="15"/>
        <v>2150</v>
      </c>
      <c r="AN25" s="35">
        <f t="shared" si="16"/>
        <v>0.7678571428571429</v>
      </c>
      <c r="AO25" s="36">
        <f t="shared" si="41"/>
        <v>15050</v>
      </c>
      <c r="AQ25" s="223">
        <f t="shared" si="37"/>
        <v>0.69139403276117495</v>
      </c>
      <c r="AR25" s="38">
        <f>Y25+AO25</f>
        <v>64278.90322580644</v>
      </c>
      <c r="AS25" s="197">
        <f t="shared" si="47"/>
        <v>-1106.3548387096962</v>
      </c>
      <c r="AT25" s="340">
        <v>10000</v>
      </c>
      <c r="AU25" s="550">
        <v>0.79500000000000004</v>
      </c>
      <c r="AV25" s="485">
        <f t="shared" si="43"/>
        <v>0.79500000000000004</v>
      </c>
      <c r="AW25" s="279">
        <f>-SUM('B5'!AI24)</f>
        <v>-436</v>
      </c>
      <c r="AX25" s="279">
        <f t="shared" si="17"/>
        <v>-670.3548387096962</v>
      </c>
      <c r="AY25" s="37">
        <f t="shared" si="39"/>
        <v>-1106.3548387096962</v>
      </c>
      <c r="AZ25" s="100">
        <f>ELEC!A23</f>
        <v>0</v>
      </c>
      <c r="BA25" s="118">
        <f>'General information '!D24</f>
        <v>15.5</v>
      </c>
      <c r="BB25" s="378">
        <f>SUM('General information '!E24)</f>
        <v>0.65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-55.862903225808019</v>
      </c>
      <c r="BK25" s="538">
        <f>GEN!AF22</f>
        <v>0.31283653846160703</v>
      </c>
    </row>
    <row r="26" spans="1:64">
      <c r="A26" s="425">
        <f>ELEC!C24</f>
        <v>44613</v>
      </c>
      <c r="B26">
        <f>'B5'!B25</f>
        <v>208</v>
      </c>
      <c r="C26" s="203">
        <f t="shared" si="18"/>
        <v>4475.3548387096771</v>
      </c>
      <c r="D26">
        <f t="shared" si="19"/>
        <v>208</v>
      </c>
      <c r="E26" s="203">
        <f t="shared" si="18"/>
        <v>4475.3548387096771</v>
      </c>
      <c r="F26">
        <f t="shared" si="20"/>
        <v>208</v>
      </c>
      <c r="G26" s="203">
        <f t="shared" si="1"/>
        <v>4475.3548387096771</v>
      </c>
      <c r="H26" s="203">
        <f t="shared" si="21"/>
        <v>208</v>
      </c>
      <c r="I26" s="203">
        <f t="shared" si="2"/>
        <v>4475.3548387096771</v>
      </c>
      <c r="J26" s="203">
        <f t="shared" si="22"/>
        <v>208</v>
      </c>
      <c r="K26" s="203">
        <f t="shared" si="3"/>
        <v>4475.3548387096771</v>
      </c>
      <c r="L26" s="203">
        <f t="shared" si="23"/>
        <v>208</v>
      </c>
      <c r="M26" s="203">
        <f t="shared" si="4"/>
        <v>4475.3548387096771</v>
      </c>
      <c r="N26" s="203">
        <f t="shared" si="24"/>
        <v>208</v>
      </c>
      <c r="O26" s="203">
        <f t="shared" si="5"/>
        <v>4475.3548387096771</v>
      </c>
      <c r="P26" s="203">
        <f t="shared" si="25"/>
        <v>208</v>
      </c>
      <c r="Q26" s="203">
        <f t="shared" si="6"/>
        <v>4475.3548387096771</v>
      </c>
      <c r="R26" s="203">
        <f t="shared" si="26"/>
        <v>208</v>
      </c>
      <c r="S26" s="203">
        <f t="shared" si="7"/>
        <v>4475.3548387096771</v>
      </c>
      <c r="T26" s="203">
        <f t="shared" si="27"/>
        <v>208</v>
      </c>
      <c r="U26" s="203">
        <f t="shared" si="8"/>
        <v>4475.3548387096771</v>
      </c>
      <c r="V26" s="203">
        <f t="shared" si="28"/>
        <v>208</v>
      </c>
      <c r="W26" s="203">
        <f t="shared" si="9"/>
        <v>4475.3548387096771</v>
      </c>
      <c r="X26" s="35">
        <f t="shared" si="10"/>
        <v>0.6709677419354837</v>
      </c>
      <c r="Y26" s="36">
        <f t="shared" si="29"/>
        <v>49228.90322580644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41"/>
        <v>15050</v>
      </c>
      <c r="AQ26" s="223">
        <f t="shared" si="37"/>
        <v>0.69139403276117495</v>
      </c>
      <c r="AR26" s="38">
        <f t="shared" si="38"/>
        <v>64278.90322580644</v>
      </c>
      <c r="AS26" s="197">
        <f t="shared" si="47"/>
        <v>0</v>
      </c>
      <c r="AT26" s="340"/>
      <c r="AU26" s="549"/>
      <c r="AV26" s="485">
        <f t="shared" si="43"/>
        <v>0.79500000000000004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208</v>
      </c>
      <c r="C27" s="203">
        <f t="shared" si="18"/>
        <v>4475.3548387096771</v>
      </c>
      <c r="D27">
        <f t="shared" si="19"/>
        <v>208</v>
      </c>
      <c r="E27" s="203">
        <f t="shared" si="18"/>
        <v>4475.3548387096771</v>
      </c>
      <c r="F27">
        <f t="shared" si="20"/>
        <v>208</v>
      </c>
      <c r="G27" s="203">
        <f t="shared" si="1"/>
        <v>4475.3548387096771</v>
      </c>
      <c r="H27" s="203">
        <f t="shared" si="21"/>
        <v>208</v>
      </c>
      <c r="I27" s="203">
        <f t="shared" si="2"/>
        <v>4475.3548387096771</v>
      </c>
      <c r="J27" s="203">
        <f t="shared" si="22"/>
        <v>208</v>
      </c>
      <c r="K27" s="203">
        <f t="shared" si="3"/>
        <v>4475.3548387096771</v>
      </c>
      <c r="L27" s="203">
        <f t="shared" si="23"/>
        <v>208</v>
      </c>
      <c r="M27" s="203">
        <f t="shared" si="4"/>
        <v>4475.3548387096771</v>
      </c>
      <c r="N27" s="203">
        <f t="shared" si="24"/>
        <v>208</v>
      </c>
      <c r="O27" s="203">
        <f t="shared" si="5"/>
        <v>4475.3548387096771</v>
      </c>
      <c r="P27" s="203">
        <f t="shared" si="25"/>
        <v>208</v>
      </c>
      <c r="Q27" s="203">
        <f t="shared" si="6"/>
        <v>4475.3548387096771</v>
      </c>
      <c r="R27" s="203">
        <f t="shared" si="26"/>
        <v>208</v>
      </c>
      <c r="S27" s="203">
        <f t="shared" si="7"/>
        <v>4475.3548387096771</v>
      </c>
      <c r="T27" s="203">
        <f t="shared" si="27"/>
        <v>208</v>
      </c>
      <c r="U27" s="203">
        <f t="shared" si="8"/>
        <v>4475.3548387096771</v>
      </c>
      <c r="V27" s="203">
        <f t="shared" si="28"/>
        <v>208</v>
      </c>
      <c r="W27" s="203">
        <f t="shared" si="9"/>
        <v>4475.3548387096771</v>
      </c>
      <c r="X27" s="35">
        <f t="shared" si="10"/>
        <v>0.6709677419354837</v>
      </c>
      <c r="Y27" s="36">
        <f t="shared" si="29"/>
        <v>49228.90322580644</v>
      </c>
      <c r="Z27" s="203">
        <f>'B5'!C26</f>
        <v>215</v>
      </c>
      <c r="AA27" s="203">
        <f t="shared" si="30"/>
        <v>2150</v>
      </c>
      <c r="AB27" s="203">
        <f t="shared" si="31"/>
        <v>215</v>
      </c>
      <c r="AC27" s="203">
        <f t="shared" si="30"/>
        <v>2150</v>
      </c>
      <c r="AD27" s="203">
        <f t="shared" si="32"/>
        <v>215</v>
      </c>
      <c r="AE27" s="203">
        <f t="shared" si="11"/>
        <v>2150</v>
      </c>
      <c r="AF27" s="203">
        <f t="shared" si="33"/>
        <v>215</v>
      </c>
      <c r="AG27" s="203">
        <f t="shared" si="12"/>
        <v>2150</v>
      </c>
      <c r="AH27" s="203">
        <f t="shared" si="34"/>
        <v>215</v>
      </c>
      <c r="AI27" s="203">
        <f t="shared" si="13"/>
        <v>2150</v>
      </c>
      <c r="AJ27" s="203">
        <f t="shared" si="35"/>
        <v>215</v>
      </c>
      <c r="AK27" s="203">
        <f t="shared" si="14"/>
        <v>2150</v>
      </c>
      <c r="AL27" s="203">
        <f t="shared" si="36"/>
        <v>215</v>
      </c>
      <c r="AM27" s="203">
        <f t="shared" si="15"/>
        <v>2150</v>
      </c>
      <c r="AN27" s="35">
        <f t="shared" si="16"/>
        <v>0.7678571428571429</v>
      </c>
      <c r="AO27" s="36">
        <f t="shared" si="41"/>
        <v>15050</v>
      </c>
      <c r="AQ27" s="223">
        <f t="shared" si="37"/>
        <v>0.69139403276117495</v>
      </c>
      <c r="AR27" s="38">
        <f t="shared" si="38"/>
        <v>64278.90322580644</v>
      </c>
      <c r="AS27" s="197">
        <f t="shared" si="47"/>
        <v>0</v>
      </c>
      <c r="AT27" s="340"/>
      <c r="AU27" s="549"/>
      <c r="AV27" s="485">
        <f t="shared" si="43"/>
        <v>0.79500000000000004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208</v>
      </c>
      <c r="C28" s="203">
        <f t="shared" si="18"/>
        <v>4475.3548387096771</v>
      </c>
      <c r="D28">
        <f t="shared" si="19"/>
        <v>208</v>
      </c>
      <c r="E28" s="203">
        <f t="shared" si="18"/>
        <v>4475.3548387096771</v>
      </c>
      <c r="F28">
        <f t="shared" si="20"/>
        <v>208</v>
      </c>
      <c r="G28" s="203">
        <f t="shared" si="1"/>
        <v>4475.3548387096771</v>
      </c>
      <c r="H28" s="203">
        <f t="shared" si="21"/>
        <v>208</v>
      </c>
      <c r="I28" s="203">
        <f t="shared" si="2"/>
        <v>4475.3548387096771</v>
      </c>
      <c r="J28" s="203">
        <f t="shared" si="22"/>
        <v>208</v>
      </c>
      <c r="K28" s="203">
        <f t="shared" si="3"/>
        <v>4475.3548387096771</v>
      </c>
      <c r="L28" s="203">
        <f t="shared" si="23"/>
        <v>208</v>
      </c>
      <c r="M28" s="203">
        <f t="shared" si="4"/>
        <v>4475.3548387096771</v>
      </c>
      <c r="N28" s="203">
        <f t="shared" si="24"/>
        <v>208</v>
      </c>
      <c r="O28" s="203">
        <f t="shared" si="5"/>
        <v>4475.3548387096771</v>
      </c>
      <c r="P28" s="203">
        <f t="shared" si="25"/>
        <v>208</v>
      </c>
      <c r="Q28" s="203">
        <f t="shared" si="6"/>
        <v>4475.3548387096771</v>
      </c>
      <c r="R28" s="203">
        <f t="shared" si="26"/>
        <v>208</v>
      </c>
      <c r="S28" s="203">
        <f t="shared" si="7"/>
        <v>4475.3548387096771</v>
      </c>
      <c r="T28" s="203">
        <f t="shared" si="27"/>
        <v>208</v>
      </c>
      <c r="U28" s="203">
        <f t="shared" si="8"/>
        <v>4475.3548387096771</v>
      </c>
      <c r="V28" s="203">
        <f t="shared" si="28"/>
        <v>208</v>
      </c>
      <c r="W28" s="203">
        <f t="shared" si="9"/>
        <v>4475.3548387096771</v>
      </c>
      <c r="X28" s="35">
        <f t="shared" si="10"/>
        <v>0.6709677419354837</v>
      </c>
      <c r="Y28" s="36">
        <f t="shared" si="29"/>
        <v>49228.90322580644</v>
      </c>
      <c r="Z28" s="203">
        <f>'B5'!C27</f>
        <v>215</v>
      </c>
      <c r="AA28" s="203">
        <f t="shared" si="30"/>
        <v>2150</v>
      </c>
      <c r="AB28" s="203">
        <f t="shared" si="31"/>
        <v>215</v>
      </c>
      <c r="AC28" s="203">
        <f t="shared" si="30"/>
        <v>2150</v>
      </c>
      <c r="AD28" s="203">
        <f t="shared" si="32"/>
        <v>215</v>
      </c>
      <c r="AE28" s="203">
        <f t="shared" si="11"/>
        <v>2150</v>
      </c>
      <c r="AF28" s="203">
        <f t="shared" si="33"/>
        <v>215</v>
      </c>
      <c r="AG28" s="203">
        <f t="shared" si="12"/>
        <v>2150</v>
      </c>
      <c r="AH28" s="203">
        <f t="shared" si="34"/>
        <v>215</v>
      </c>
      <c r="AI28" s="203">
        <f t="shared" si="13"/>
        <v>2150</v>
      </c>
      <c r="AJ28" s="203">
        <f t="shared" si="35"/>
        <v>215</v>
      </c>
      <c r="AK28" s="203">
        <f t="shared" si="14"/>
        <v>2150</v>
      </c>
      <c r="AL28" s="203">
        <f t="shared" si="36"/>
        <v>215</v>
      </c>
      <c r="AM28" s="203">
        <f t="shared" si="15"/>
        <v>2150</v>
      </c>
      <c r="AN28" s="35">
        <f t="shared" si="16"/>
        <v>0.7678571428571429</v>
      </c>
      <c r="AO28" s="36">
        <f t="shared" si="41"/>
        <v>15050</v>
      </c>
      <c r="AQ28" s="223">
        <f t="shared" si="37"/>
        <v>0.69139403276117495</v>
      </c>
      <c r="AR28" s="38">
        <f t="shared" si="38"/>
        <v>64278.90322580644</v>
      </c>
      <c r="AS28" s="197">
        <f t="shared" si="47"/>
        <v>0</v>
      </c>
      <c r="AT28" s="340"/>
      <c r="AU28" s="550"/>
      <c r="AV28" s="485">
        <f t="shared" si="43"/>
        <v>0.79500000000000004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208</v>
      </c>
      <c r="C29" s="203">
        <f t="shared" si="18"/>
        <v>4475.3548387096771</v>
      </c>
      <c r="D29">
        <f t="shared" si="19"/>
        <v>208</v>
      </c>
      <c r="E29" s="203">
        <f t="shared" si="18"/>
        <v>4475.3548387096771</v>
      </c>
      <c r="F29">
        <f t="shared" si="20"/>
        <v>208</v>
      </c>
      <c r="G29" s="203">
        <f t="shared" si="1"/>
        <v>4475.3548387096771</v>
      </c>
      <c r="H29" s="203">
        <f t="shared" si="21"/>
        <v>208</v>
      </c>
      <c r="I29" s="203">
        <f t="shared" si="2"/>
        <v>4475.3548387096771</v>
      </c>
      <c r="J29" s="203">
        <f t="shared" si="22"/>
        <v>208</v>
      </c>
      <c r="K29" s="203">
        <f t="shared" si="3"/>
        <v>4475.3548387096771</v>
      </c>
      <c r="L29" s="203">
        <f t="shared" si="23"/>
        <v>208</v>
      </c>
      <c r="M29" s="203">
        <f t="shared" si="4"/>
        <v>4475.3548387096771</v>
      </c>
      <c r="N29" s="203">
        <f t="shared" si="24"/>
        <v>208</v>
      </c>
      <c r="O29" s="203">
        <f t="shared" si="5"/>
        <v>4475.3548387096771</v>
      </c>
      <c r="P29" s="203">
        <f t="shared" si="25"/>
        <v>208</v>
      </c>
      <c r="Q29" s="203">
        <f t="shared" si="6"/>
        <v>4475.3548387096771</v>
      </c>
      <c r="R29" s="203">
        <f t="shared" si="26"/>
        <v>208</v>
      </c>
      <c r="S29" s="203">
        <f t="shared" si="7"/>
        <v>4475.3548387096771</v>
      </c>
      <c r="T29" s="203">
        <f t="shared" si="27"/>
        <v>208</v>
      </c>
      <c r="U29" s="203">
        <f t="shared" si="8"/>
        <v>4475.3548387096771</v>
      </c>
      <c r="V29" s="203">
        <f t="shared" si="28"/>
        <v>208</v>
      </c>
      <c r="W29" s="203">
        <f t="shared" si="9"/>
        <v>4475.3548387096771</v>
      </c>
      <c r="X29" s="35">
        <f t="shared" si="10"/>
        <v>0.6709677419354837</v>
      </c>
      <c r="Y29" s="36">
        <f t="shared" si="29"/>
        <v>49228.90322580644</v>
      </c>
      <c r="Z29" s="203">
        <f>'B5'!C28</f>
        <v>215</v>
      </c>
      <c r="AA29" s="203">
        <f t="shared" si="30"/>
        <v>2150</v>
      </c>
      <c r="AB29" s="203">
        <f t="shared" si="31"/>
        <v>215</v>
      </c>
      <c r="AC29" s="203">
        <f t="shared" si="30"/>
        <v>2150</v>
      </c>
      <c r="AD29" s="203">
        <f t="shared" si="32"/>
        <v>215</v>
      </c>
      <c r="AE29" s="203">
        <f t="shared" si="11"/>
        <v>2150</v>
      </c>
      <c r="AF29" s="203">
        <f t="shared" si="33"/>
        <v>215</v>
      </c>
      <c r="AG29" s="203">
        <f t="shared" si="12"/>
        <v>2150</v>
      </c>
      <c r="AH29" s="203">
        <f t="shared" si="34"/>
        <v>215</v>
      </c>
      <c r="AI29" s="203">
        <f t="shared" si="13"/>
        <v>2150</v>
      </c>
      <c r="AJ29" s="203">
        <f t="shared" si="35"/>
        <v>215</v>
      </c>
      <c r="AK29" s="203">
        <f t="shared" si="14"/>
        <v>2150</v>
      </c>
      <c r="AL29" s="203">
        <f t="shared" si="36"/>
        <v>215</v>
      </c>
      <c r="AM29" s="203">
        <f t="shared" si="15"/>
        <v>2150</v>
      </c>
      <c r="AN29" s="35">
        <f t="shared" si="16"/>
        <v>0.7678571428571429</v>
      </c>
      <c r="AO29" s="36">
        <f t="shared" si="41"/>
        <v>15050</v>
      </c>
      <c r="AQ29" s="223">
        <f t="shared" si="37"/>
        <v>0.69139403276117495</v>
      </c>
      <c r="AR29" s="38">
        <f t="shared" si="38"/>
        <v>64278.90322580644</v>
      </c>
      <c r="AS29" s="197">
        <f>SUM(AR29-AR28-AT29)</f>
        <v>0</v>
      </c>
      <c r="AT29" s="340"/>
      <c r="AU29" s="550"/>
      <c r="AV29" s="485">
        <f t="shared" si="43"/>
        <v>0.79500000000000004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208</v>
      </c>
      <c r="C30" s="203">
        <f t="shared" si="18"/>
        <v>4475.3548387096771</v>
      </c>
      <c r="D30">
        <f>SUM(B30)</f>
        <v>208</v>
      </c>
      <c r="E30" s="203">
        <f t="shared" si="18"/>
        <v>4475.3548387096771</v>
      </c>
      <c r="F30">
        <f>SUM(D30)</f>
        <v>208</v>
      </c>
      <c r="G30" s="203">
        <f t="shared" si="1"/>
        <v>4475.3548387096771</v>
      </c>
      <c r="H30" s="203">
        <f>SUM(F30)</f>
        <v>208</v>
      </c>
      <c r="I30" s="203">
        <f t="shared" si="2"/>
        <v>4475.3548387096771</v>
      </c>
      <c r="J30" s="203">
        <f>SUM(H30)</f>
        <v>208</v>
      </c>
      <c r="K30" s="203">
        <f t="shared" si="3"/>
        <v>4475.3548387096771</v>
      </c>
      <c r="L30" s="203">
        <f>SUM(J30)</f>
        <v>208</v>
      </c>
      <c r="M30" s="203">
        <f t="shared" si="4"/>
        <v>4475.3548387096771</v>
      </c>
      <c r="N30" s="203">
        <f>SUM(L30)</f>
        <v>208</v>
      </c>
      <c r="O30" s="203">
        <f t="shared" si="5"/>
        <v>4475.3548387096771</v>
      </c>
      <c r="P30" s="203">
        <f>SUM(N30)</f>
        <v>208</v>
      </c>
      <c r="Q30" s="203">
        <f t="shared" si="6"/>
        <v>4475.3548387096771</v>
      </c>
      <c r="R30" s="203">
        <f>SUM(P30)</f>
        <v>208</v>
      </c>
      <c r="S30" s="203">
        <f t="shared" si="7"/>
        <v>4475.3548387096771</v>
      </c>
      <c r="T30" s="203">
        <f>SUM(R30)</f>
        <v>208</v>
      </c>
      <c r="U30" s="203">
        <f t="shared" si="8"/>
        <v>4475.3548387096771</v>
      </c>
      <c r="V30" s="203">
        <f>SUM(T30)</f>
        <v>208</v>
      </c>
      <c r="W30" s="203">
        <f t="shared" si="9"/>
        <v>4475.3548387096771</v>
      </c>
      <c r="X30" s="35">
        <f>SUM(Y30/73370)</f>
        <v>0.6709677419354837</v>
      </c>
      <c r="Y30" s="36">
        <f>SUM(C30+E30+G30+I30+K30+M30+O30+Q30+S30+U30+W30)</f>
        <v>49228.90322580644</v>
      </c>
      <c r="Z30" s="203">
        <f>'B5'!C29</f>
        <v>215</v>
      </c>
      <c r="AA30" s="203">
        <f t="shared" si="30"/>
        <v>2150</v>
      </c>
      <c r="AB30" s="203">
        <f>SUM(Z30)</f>
        <v>215</v>
      </c>
      <c r="AC30" s="203">
        <f t="shared" si="30"/>
        <v>2150</v>
      </c>
      <c r="AD30" s="203">
        <f>SUM(AB30)</f>
        <v>215</v>
      </c>
      <c r="AE30" s="203">
        <f t="shared" si="11"/>
        <v>2150</v>
      </c>
      <c r="AF30" s="203">
        <f>SUM(AD30)</f>
        <v>215</v>
      </c>
      <c r="AG30" s="203">
        <f t="shared" si="12"/>
        <v>2150</v>
      </c>
      <c r="AH30" s="203">
        <f>SUM(AF30)</f>
        <v>215</v>
      </c>
      <c r="AI30" s="203">
        <f t="shared" si="13"/>
        <v>2150</v>
      </c>
      <c r="AJ30" s="203">
        <f>SUM(AH30)</f>
        <v>215</v>
      </c>
      <c r="AK30" s="203">
        <f t="shared" si="14"/>
        <v>2150</v>
      </c>
      <c r="AL30" s="203">
        <f>SUM(AJ30)</f>
        <v>215</v>
      </c>
      <c r="AM30" s="203">
        <f t="shared" si="15"/>
        <v>2150</v>
      </c>
      <c r="AN30" s="35">
        <f>SUM(AO30/19600)</f>
        <v>0.7678571428571429</v>
      </c>
      <c r="AO30" s="36">
        <f>SUM(AA30+AC30+AE30+AG30+AI30+AK30+AM30)</f>
        <v>15050</v>
      </c>
      <c r="AQ30" s="223">
        <f t="shared" si="37"/>
        <v>0.69139403276117495</v>
      </c>
      <c r="AR30" s="38">
        <f t="shared" si="38"/>
        <v>64278.90322580644</v>
      </c>
      <c r="AS30" s="197">
        <f>SUM(AR30-AR29-AT30)</f>
        <v>0</v>
      </c>
      <c r="AT30" s="340"/>
      <c r="AU30" s="550"/>
      <c r="AV30" s="485">
        <f t="shared" si="43"/>
        <v>0.79500000000000004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208</v>
      </c>
      <c r="C31" s="203">
        <f t="shared" si="18"/>
        <v>4475.3548387096771</v>
      </c>
      <c r="D31">
        <f>SUM(B31)</f>
        <v>208</v>
      </c>
      <c r="E31" s="203">
        <f t="shared" si="18"/>
        <v>4475.3548387096771</v>
      </c>
      <c r="F31">
        <f>SUM(D31)</f>
        <v>208</v>
      </c>
      <c r="G31" s="203">
        <f t="shared" si="1"/>
        <v>4475.3548387096771</v>
      </c>
      <c r="H31" s="203">
        <f>SUM(F31)</f>
        <v>208</v>
      </c>
      <c r="I31" s="203">
        <f t="shared" si="2"/>
        <v>4475.3548387096771</v>
      </c>
      <c r="J31" s="203">
        <f>SUM(H31)</f>
        <v>208</v>
      </c>
      <c r="K31" s="203">
        <f t="shared" si="3"/>
        <v>4475.3548387096771</v>
      </c>
      <c r="L31" s="203">
        <f>SUM(J31)</f>
        <v>208</v>
      </c>
      <c r="M31" s="203">
        <f t="shared" si="4"/>
        <v>4475.3548387096771</v>
      </c>
      <c r="N31" s="203">
        <f>SUM(L31)</f>
        <v>208</v>
      </c>
      <c r="O31" s="203">
        <f t="shared" si="5"/>
        <v>4475.3548387096771</v>
      </c>
      <c r="P31" s="203">
        <f>SUM(N31)</f>
        <v>208</v>
      </c>
      <c r="Q31" s="203">
        <f t="shared" si="6"/>
        <v>4475.3548387096771</v>
      </c>
      <c r="R31" s="203">
        <f>SUM(P31)</f>
        <v>208</v>
      </c>
      <c r="S31" s="203">
        <f t="shared" si="7"/>
        <v>4475.3548387096771</v>
      </c>
      <c r="T31" s="203">
        <f>SUM(R31)</f>
        <v>208</v>
      </c>
      <c r="U31" s="203">
        <f t="shared" si="8"/>
        <v>4475.3548387096771</v>
      </c>
      <c r="V31" s="203">
        <f>SUM(T31)</f>
        <v>208</v>
      </c>
      <c r="W31" s="203">
        <f t="shared" si="9"/>
        <v>4475.3548387096771</v>
      </c>
      <c r="X31" s="35">
        <f>SUM(Y31/73370)</f>
        <v>0.6709677419354837</v>
      </c>
      <c r="Y31" s="36">
        <f>SUM(C31+E31+G31+I31+K31+M31+O31+Q31+S31+U31+W31)</f>
        <v>49228.90322580644</v>
      </c>
      <c r="Z31" s="203">
        <f>'B5'!C30</f>
        <v>215</v>
      </c>
      <c r="AA31" s="203">
        <f t="shared" si="30"/>
        <v>2150</v>
      </c>
      <c r="AB31" s="203">
        <f>SUM(Z31)</f>
        <v>215</v>
      </c>
      <c r="AC31" s="203">
        <f t="shared" si="30"/>
        <v>2150</v>
      </c>
      <c r="AD31" s="203">
        <f>SUM(AB31)</f>
        <v>215</v>
      </c>
      <c r="AE31" s="203">
        <f t="shared" si="11"/>
        <v>2150</v>
      </c>
      <c r="AF31" s="203">
        <f>SUM(AD31)</f>
        <v>215</v>
      </c>
      <c r="AG31" s="203">
        <f t="shared" si="12"/>
        <v>2150</v>
      </c>
      <c r="AH31" s="203">
        <f>SUM(AF31)</f>
        <v>215</v>
      </c>
      <c r="AI31" s="203">
        <f t="shared" si="13"/>
        <v>2150</v>
      </c>
      <c r="AJ31" s="203">
        <f>SUM(AH31)</f>
        <v>215</v>
      </c>
      <c r="AK31" s="203">
        <f t="shared" si="14"/>
        <v>2150</v>
      </c>
      <c r="AL31" s="203">
        <f>SUM(AJ31)</f>
        <v>215</v>
      </c>
      <c r="AM31" s="203">
        <f t="shared" si="15"/>
        <v>2150</v>
      </c>
      <c r="AN31" s="35">
        <f>SUM(AO31/19600)</f>
        <v>0.7678571428571429</v>
      </c>
      <c r="AO31" s="36">
        <f>SUM(AA31+AC31+AE31+AG31+AI31+AK31+AM31)</f>
        <v>15050</v>
      </c>
      <c r="AQ31" s="223">
        <f t="shared" si="37"/>
        <v>0.69139403276117495</v>
      </c>
      <c r="AR31" s="38">
        <f t="shared" si="38"/>
        <v>64278.90322580644</v>
      </c>
      <c r="AS31" s="197">
        <f t="shared" si="47"/>
        <v>0</v>
      </c>
      <c r="AT31" s="340"/>
      <c r="AU31" s="575"/>
      <c r="AV31" s="485">
        <f t="shared" si="43"/>
        <v>0.79500000000000004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208</v>
      </c>
      <c r="C32" s="203">
        <f t="shared" si="18"/>
        <v>4475.3548387096771</v>
      </c>
      <c r="D32">
        <f>SUM(B32)</f>
        <v>208</v>
      </c>
      <c r="E32" s="203">
        <f t="shared" si="18"/>
        <v>4475.3548387096771</v>
      </c>
      <c r="F32">
        <f>SUM(D32)</f>
        <v>208</v>
      </c>
      <c r="G32" s="203">
        <f t="shared" si="1"/>
        <v>4475.3548387096771</v>
      </c>
      <c r="H32" s="203">
        <f>SUM(F32)</f>
        <v>208</v>
      </c>
      <c r="I32" s="203">
        <f t="shared" si="2"/>
        <v>4475.3548387096771</v>
      </c>
      <c r="J32" s="203">
        <f>SUM(H32)</f>
        <v>208</v>
      </c>
      <c r="K32" s="203">
        <f t="shared" si="3"/>
        <v>4475.3548387096771</v>
      </c>
      <c r="L32" s="203">
        <f>SUM(J32)</f>
        <v>208</v>
      </c>
      <c r="M32" s="203">
        <f t="shared" si="4"/>
        <v>4475.3548387096771</v>
      </c>
      <c r="N32" s="203">
        <f>SUM(L32)</f>
        <v>208</v>
      </c>
      <c r="O32" s="203">
        <f t="shared" si="5"/>
        <v>4475.3548387096771</v>
      </c>
      <c r="P32" s="203">
        <f>SUM(N32)</f>
        <v>208</v>
      </c>
      <c r="Q32" s="203">
        <f t="shared" si="6"/>
        <v>4475.3548387096771</v>
      </c>
      <c r="R32" s="203">
        <f>SUM(P32)</f>
        <v>208</v>
      </c>
      <c r="S32" s="203">
        <f t="shared" si="7"/>
        <v>4475.3548387096771</v>
      </c>
      <c r="T32" s="203">
        <f>SUM(R32)</f>
        <v>208</v>
      </c>
      <c r="U32" s="203">
        <f t="shared" si="8"/>
        <v>4475.3548387096771</v>
      </c>
      <c r="V32" s="203">
        <f>SUM(T32)</f>
        <v>208</v>
      </c>
      <c r="W32" s="203">
        <f t="shared" si="9"/>
        <v>4475.3548387096771</v>
      </c>
      <c r="X32" s="35">
        <f>SUM(Y32/73370)</f>
        <v>0.6709677419354837</v>
      </c>
      <c r="Y32" s="36">
        <f>SUM(C32+E32+G32+I32+K32+M32+O32+Q32+S32+U32+W32)</f>
        <v>49228.90322580644</v>
      </c>
      <c r="Z32" s="203">
        <f>'B5'!C31</f>
        <v>215</v>
      </c>
      <c r="AA32" s="203">
        <f t="shared" si="30"/>
        <v>2150</v>
      </c>
      <c r="AB32" s="203">
        <f>SUM(Z32)</f>
        <v>215</v>
      </c>
      <c r="AC32" s="203">
        <f t="shared" si="30"/>
        <v>2150</v>
      </c>
      <c r="AD32" s="203">
        <f>SUM(AB32)</f>
        <v>215</v>
      </c>
      <c r="AE32" s="203">
        <f t="shared" si="11"/>
        <v>2150</v>
      </c>
      <c r="AF32" s="203">
        <f>SUM(AD32)</f>
        <v>215</v>
      </c>
      <c r="AG32" s="203">
        <f t="shared" si="12"/>
        <v>2150</v>
      </c>
      <c r="AH32" s="203">
        <f>SUM(AF32)</f>
        <v>215</v>
      </c>
      <c r="AI32" s="203">
        <f t="shared" si="13"/>
        <v>2150</v>
      </c>
      <c r="AJ32" s="203">
        <f>SUM(AH32)</f>
        <v>215</v>
      </c>
      <c r="AK32" s="203">
        <f t="shared" si="14"/>
        <v>2150</v>
      </c>
      <c r="AL32" s="203">
        <f>SUM(AJ32)</f>
        <v>215</v>
      </c>
      <c r="AM32" s="203">
        <f t="shared" si="15"/>
        <v>2150</v>
      </c>
      <c r="AN32" s="35">
        <f>SUM(AO32/19600)</f>
        <v>0.7678571428571429</v>
      </c>
      <c r="AO32" s="36">
        <f>SUM(AA32+AC32+AE32+AG32+AI32+AK32+AM32)</f>
        <v>15050</v>
      </c>
      <c r="AQ32" s="223">
        <f t="shared" si="37"/>
        <v>0.69139403276117495</v>
      </c>
      <c r="AR32" s="38">
        <f t="shared" si="38"/>
        <v>64278.90322580644</v>
      </c>
      <c r="AS32" s="197">
        <f t="shared" si="47"/>
        <v>0</v>
      </c>
      <c r="AT32" s="340"/>
      <c r="AU32" s="549"/>
      <c r="AV32" s="485">
        <f>IF(AT32&gt;0,AU32,AV31)</f>
        <v>0.79500000000000004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208</v>
      </c>
      <c r="C33" s="203">
        <f t="shared" si="18"/>
        <v>4475.3548387096771</v>
      </c>
      <c r="D33">
        <f>SUM(B33)</f>
        <v>208</v>
      </c>
      <c r="E33" s="203">
        <f t="shared" si="18"/>
        <v>4475.3548387096771</v>
      </c>
      <c r="F33">
        <f>SUM(D33)</f>
        <v>208</v>
      </c>
      <c r="G33" s="203">
        <f t="shared" si="1"/>
        <v>4475.3548387096771</v>
      </c>
      <c r="H33" s="203">
        <f>SUM(F33)</f>
        <v>208</v>
      </c>
      <c r="I33" s="203">
        <f t="shared" si="2"/>
        <v>4475.3548387096771</v>
      </c>
      <c r="J33" s="203">
        <f>SUM(H33)</f>
        <v>208</v>
      </c>
      <c r="K33" s="203">
        <f t="shared" si="3"/>
        <v>4475.3548387096771</v>
      </c>
      <c r="L33" s="203">
        <f>SUM(J33)</f>
        <v>208</v>
      </c>
      <c r="M33" s="203">
        <f t="shared" si="4"/>
        <v>4475.3548387096771</v>
      </c>
      <c r="N33" s="203">
        <f>SUM(L33)</f>
        <v>208</v>
      </c>
      <c r="O33" s="203">
        <f t="shared" si="5"/>
        <v>4475.3548387096771</v>
      </c>
      <c r="P33" s="203">
        <f>SUM(N33)</f>
        <v>208</v>
      </c>
      <c r="Q33" s="203">
        <f t="shared" si="6"/>
        <v>4475.3548387096771</v>
      </c>
      <c r="R33" s="203">
        <f>SUM(P33)</f>
        <v>208</v>
      </c>
      <c r="S33" s="203">
        <f t="shared" si="7"/>
        <v>4475.3548387096771</v>
      </c>
      <c r="T33" s="203">
        <f>SUM(R33)</f>
        <v>208</v>
      </c>
      <c r="U33" s="203">
        <f t="shared" si="8"/>
        <v>4475.3548387096771</v>
      </c>
      <c r="V33" s="203">
        <f>SUM(T33)</f>
        <v>208</v>
      </c>
      <c r="W33" s="203">
        <f t="shared" si="9"/>
        <v>4475.3548387096771</v>
      </c>
      <c r="X33" s="35">
        <f>SUM(Y33/73370)</f>
        <v>0.6709677419354837</v>
      </c>
      <c r="Y33" s="36">
        <f>SUM(C33+E33+G33+I33+K33+M33+O33+Q33+S33+U33+W33)</f>
        <v>49228.90322580644</v>
      </c>
      <c r="Z33" s="203">
        <f>'B5'!C32</f>
        <v>215</v>
      </c>
      <c r="AA33" s="203">
        <f t="shared" si="30"/>
        <v>2150</v>
      </c>
      <c r="AB33" s="203">
        <f>SUM(Z33)</f>
        <v>215</v>
      </c>
      <c r="AC33" s="203">
        <f t="shared" si="30"/>
        <v>2150</v>
      </c>
      <c r="AD33" s="203">
        <f>SUM(AB33)</f>
        <v>215</v>
      </c>
      <c r="AE33" s="203">
        <f t="shared" si="11"/>
        <v>2150</v>
      </c>
      <c r="AF33" s="203">
        <f>SUM(AD33)</f>
        <v>215</v>
      </c>
      <c r="AG33" s="203">
        <f t="shared" si="12"/>
        <v>2150</v>
      </c>
      <c r="AH33" s="203">
        <f>SUM(AF33)</f>
        <v>215</v>
      </c>
      <c r="AI33" s="203">
        <f t="shared" si="13"/>
        <v>2150</v>
      </c>
      <c r="AJ33" s="203">
        <f>SUM(AH33)</f>
        <v>215</v>
      </c>
      <c r="AK33" s="203">
        <f t="shared" si="14"/>
        <v>2150</v>
      </c>
      <c r="AL33" s="203">
        <f>SUM(AJ33)</f>
        <v>215</v>
      </c>
      <c r="AM33" s="203">
        <f t="shared" si="15"/>
        <v>2150</v>
      </c>
      <c r="AN33" s="35">
        <f>SUM(AO33/19600)</f>
        <v>0.7678571428571429</v>
      </c>
      <c r="AO33" s="36">
        <f>SUM(AA33+AC33+AE33+AG33+AI33+AK33+AM33)</f>
        <v>15050</v>
      </c>
      <c r="AQ33" s="223">
        <f t="shared" si="37"/>
        <v>0.69139403276117495</v>
      </c>
      <c r="AR33" s="38">
        <f t="shared" si="38"/>
        <v>64278.90322580644</v>
      </c>
      <c r="AS33" s="197">
        <f>SUM(AR33-AR32-AT33)</f>
        <v>0</v>
      </c>
      <c r="AT33" s="340"/>
      <c r="AU33" s="549"/>
      <c r="AV33" s="485">
        <f>IF(AT33&gt;0,AU33,AV32)</f>
        <v>0.79500000000000004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5</v>
      </c>
      <c r="AT37" s="203">
        <f>SUM(AT6:AT36)</f>
        <v>39415</v>
      </c>
      <c r="AU37" s="545">
        <f>SUM(AU6:AU36)/AS37</f>
        <v>0.7702</v>
      </c>
      <c r="AX37" s="203">
        <f>SUM(AX6:AX36)</f>
        <v>-19987.838709677424</v>
      </c>
      <c r="AY37" s="203">
        <f>SUM(AY6:AY36)</f>
        <v>-25307.838709677424</v>
      </c>
    </row>
    <row r="38" spans="1:63">
      <c r="AS38" s="206"/>
      <c r="AT38" s="82">
        <f>+AT37*AU37</f>
        <v>30357.433000000001</v>
      </c>
    </row>
    <row r="40" spans="1:63">
      <c r="AS40" s="165">
        <f>SUM(AS6:AS36)/'EDl log'!A35</f>
        <v>-3615.4055299539177</v>
      </c>
      <c r="AT40" s="203"/>
    </row>
    <row r="41" spans="1:63">
      <c r="AX41">
        <v>43309</v>
      </c>
    </row>
    <row r="42" spans="1:63">
      <c r="AR42" s="203">
        <f>AR33-22000</f>
        <v>42278.90322580644</v>
      </c>
      <c r="AU42" s="203"/>
      <c r="AX42">
        <f>AX37/AX41</f>
        <v>-0.46151697590979762</v>
      </c>
    </row>
    <row r="43" spans="1:63">
      <c r="AR43">
        <f>AR42/5500</f>
        <v>7.6870733137829887</v>
      </c>
    </row>
    <row r="44" spans="1:63">
      <c r="AR44">
        <f>AR43*2</f>
        <v>15.374146627565977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P19" sqref="P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1752.2795354838631</v>
      </c>
      <c r="R4" s="285">
        <f>SUM(P4:Q4)</f>
        <v>1976.7684480638204</v>
      </c>
      <c r="S4" s="287">
        <f>SUM(ELEC!N4)</f>
        <v>7726.7999999998137</v>
      </c>
      <c r="T4" s="321">
        <f>IF(S4&gt;0,R4/S4,0)</f>
        <v>0.25583274422320601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1502.2129870967703</v>
      </c>
      <c r="R5" s="285">
        <f t="shared" ref="R5:R30" si="10">SUM(P5:Q5)</f>
        <v>1690.0319162604756</v>
      </c>
      <c r="S5" s="287">
        <f>SUM(ELEC!N5)</f>
        <v>4558</v>
      </c>
      <c r="T5" s="321">
        <f>IF(S5&gt;0,R5/S5,0)</f>
        <v>0.37078365867934959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1586.934987096776</v>
      </c>
      <c r="R6" s="285">
        <f t="shared" si="10"/>
        <v>1758.3240655142126</v>
      </c>
      <c r="S6" s="287">
        <f>SUM(ELEC!N6)</f>
        <v>5673</v>
      </c>
      <c r="T6" s="321">
        <f t="shared" ref="T6:T30" si="16">IF(S6&gt;0,R6/S6,0)</f>
        <v>0.30994607183398776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828.31283225807124</v>
      </c>
      <c r="R9" s="285">
        <f>SUM(P9:Q9)</f>
        <v>1011.3662556174647</v>
      </c>
      <c r="S9" s="287">
        <f>SUM(ELEC!N9)</f>
        <v>7240.3999999999069</v>
      </c>
      <c r="T9" s="321">
        <f t="shared" si="16"/>
        <v>0.13968375443587064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1397.1428000000001</v>
      </c>
      <c r="R10" s="285">
        <f t="shared" si="10"/>
        <v>1568.5318784174367</v>
      </c>
      <c r="S10" s="287">
        <f>SUM(ELEC!N10)</f>
        <v>5591.6000000000931</v>
      </c>
      <c r="T10" s="321">
        <f t="shared" si="16"/>
        <v>0.28051575191669836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1243.9226903225735</v>
      </c>
      <c r="R12" s="285">
        <f t="shared" si="10"/>
        <v>1415.3117687400102</v>
      </c>
      <c r="S12" s="287">
        <f>SUM(ELEC!N12)</f>
        <v>4598</v>
      </c>
      <c r="T12" s="321">
        <f t="shared" si="16"/>
        <v>0.30781030203132015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1554.5865870967873</v>
      </c>
      <c r="R13" s="285">
        <f t="shared" si="10"/>
        <v>1768.7803089636436</v>
      </c>
      <c r="S13" s="287">
        <f>SUM(ELEC!N13)</f>
        <v>5970</v>
      </c>
      <c r="T13" s="321">
        <f>IF(S13&gt;0,R13/S13,0)</f>
        <v>0.29627810870412791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770.49814193547525</v>
      </c>
      <c r="R16" s="285">
        <f>SUM(P16:Q16)</f>
        <v>975.19269298972779</v>
      </c>
      <c r="S16" s="287">
        <f>SUM(ELEC!N16)</f>
        <v>6925</v>
      </c>
      <c r="T16" s="321">
        <f>IF(S16&gt;0,R16/S16,0)</f>
        <v>0.14082204952920258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1399.2546387096831</v>
      </c>
      <c r="R17" s="285">
        <f>SUM(P17:Q17)</f>
        <v>1570.6437171271198</v>
      </c>
      <c r="S17" s="287">
        <f>SUM(ELEC!N17)</f>
        <v>6020</v>
      </c>
      <c r="T17" s="321">
        <f>IF(S17&gt;0,R17/S17,0)</f>
        <v>0.26090427194802657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1417.739438709672</v>
      </c>
      <c r="R18" s="285">
        <f t="shared" si="10"/>
        <v>1598.797505518485</v>
      </c>
      <c r="S18" s="287">
        <f>SUM(ELEC!N18)</f>
        <v>5276</v>
      </c>
      <c r="T18" s="321">
        <f t="shared" si="16"/>
        <v>0.30303212765702897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v>1111071</v>
      </c>
      <c r="C19" s="254">
        <f t="shared" si="0"/>
        <v>213</v>
      </c>
      <c r="D19" s="295">
        <f t="shared" si="12"/>
        <v>213</v>
      </c>
      <c r="E19" s="295">
        <f t="shared" si="13"/>
        <v>1111071</v>
      </c>
      <c r="F19" s="617">
        <v>160915</v>
      </c>
      <c r="G19" s="160">
        <f t="shared" si="1"/>
        <v>61</v>
      </c>
      <c r="H19" s="617">
        <v>549420</v>
      </c>
      <c r="I19" s="161">
        <f t="shared" si="2"/>
        <v>80</v>
      </c>
      <c r="J19" s="617">
        <v>400735</v>
      </c>
      <c r="K19" s="162">
        <f t="shared" si="8"/>
        <v>72</v>
      </c>
      <c r="L19" s="284">
        <f>SUM(G19*$Y$28)/1507.5</f>
        <v>12.948590381426202</v>
      </c>
      <c r="M19" s="284">
        <f>SUM(I19*$Y$27)/1507.5</f>
        <v>5.9436152570480925</v>
      </c>
      <c r="N19" s="284">
        <f>SUM(K19*$Y$26)/1507.5</f>
        <v>3.8208955223880596</v>
      </c>
      <c r="O19" s="284">
        <f>($AC$29/$A$37)/1507.5</f>
        <v>171.38907841743662</v>
      </c>
      <c r="P19" s="285">
        <f>SUM(L19:O19)</f>
        <v>194.10217957829897</v>
      </c>
      <c r="Q19" s="285">
        <f>SUM(-tanks!AX21*tanks!$AU$37)</f>
        <v>1522.2381870967761</v>
      </c>
      <c r="R19" s="285">
        <f>SUM(P19:Q19)</f>
        <v>1716.3403666750751</v>
      </c>
      <c r="S19" s="287">
        <f>SUM(ELEC!N19)</f>
        <v>5334</v>
      </c>
      <c r="T19" s="321">
        <f>IF(S19&gt;0,R19/S19,0)</f>
        <v>0.32177359705194508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1111071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160915</v>
      </c>
      <c r="G20" s="160">
        <f t="shared" si="1"/>
        <v>0</v>
      </c>
      <c r="H20" s="617">
        <f t="shared" si="14"/>
        <v>549420</v>
      </c>
      <c r="I20" s="161">
        <f t="shared" si="2"/>
        <v>0</v>
      </c>
      <c r="J20" s="617">
        <f t="shared" si="15"/>
        <v>400735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-96.796748387104003</v>
      </c>
      <c r="R20" s="285">
        <f t="shared" si="10"/>
        <v>74.592330030332619</v>
      </c>
      <c r="S20" s="287">
        <f>SUM(ELEC!N20)</f>
        <v>4858</v>
      </c>
      <c r="T20" s="321">
        <f t="shared" si="16"/>
        <v>1.5354534794222441E-2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1111071</v>
      </c>
      <c r="C21" s="254">
        <f t="shared" si="0"/>
        <v>0</v>
      </c>
      <c r="D21" s="295">
        <f t="shared" si="12"/>
        <v>0</v>
      </c>
      <c r="E21" s="295">
        <f t="shared" si="13"/>
        <v>1111071</v>
      </c>
      <c r="F21" s="617">
        <f t="shared" si="7"/>
        <v>160915</v>
      </c>
      <c r="G21" s="160">
        <f t="shared" si="1"/>
        <v>0</v>
      </c>
      <c r="H21" s="617">
        <f t="shared" si="14"/>
        <v>549420</v>
      </c>
      <c r="I21" s="161">
        <f t="shared" si="2"/>
        <v>0</v>
      </c>
      <c r="J21" s="617">
        <f t="shared" si="15"/>
        <v>400735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44611</v>
      </c>
      <c r="B22" s="617">
        <f t="shared" si="11"/>
        <v>1111071</v>
      </c>
      <c r="C22" s="254">
        <f t="shared" si="0"/>
        <v>0</v>
      </c>
      <c r="D22" s="295">
        <f t="shared" si="12"/>
        <v>0</v>
      </c>
      <c r="E22" s="295">
        <f t="shared" si="13"/>
        <v>1111071</v>
      </c>
      <c r="F22" s="617">
        <f t="shared" si="7"/>
        <v>160915</v>
      </c>
      <c r="G22" s="160">
        <f t="shared" si="1"/>
        <v>0</v>
      </c>
      <c r="H22" s="617">
        <f t="shared" si="14"/>
        <v>549420</v>
      </c>
      <c r="I22" s="161">
        <f t="shared" si="2"/>
        <v>0</v>
      </c>
      <c r="J22" s="617">
        <f t="shared" si="15"/>
        <v>400735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44612</v>
      </c>
      <c r="B23" s="617">
        <f t="shared" si="11"/>
        <v>1111071</v>
      </c>
      <c r="C23" s="254">
        <f t="shared" si="0"/>
        <v>0</v>
      </c>
      <c r="D23" s="295">
        <f t="shared" si="12"/>
        <v>0</v>
      </c>
      <c r="E23" s="295">
        <f t="shared" si="13"/>
        <v>1111071</v>
      </c>
      <c r="F23" s="617">
        <f t="shared" si="7"/>
        <v>160915</v>
      </c>
      <c r="G23" s="160">
        <f t="shared" si="1"/>
        <v>0</v>
      </c>
      <c r="H23" s="617">
        <f t="shared" si="14"/>
        <v>549420</v>
      </c>
      <c r="I23" s="161">
        <f t="shared" si="2"/>
        <v>0</v>
      </c>
      <c r="J23" s="617">
        <f t="shared" si="15"/>
        <v>400735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516.307296774208</v>
      </c>
      <c r="R23" s="285">
        <f t="shared" si="10"/>
        <v>687.69637519164462</v>
      </c>
      <c r="S23" s="287">
        <f>SUM(ELEC!N23)</f>
        <v>6585</v>
      </c>
      <c r="T23" s="321">
        <f t="shared" si="16"/>
        <v>0.10443376996076607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44613</v>
      </c>
      <c r="B24" s="617">
        <f t="shared" si="11"/>
        <v>1111071</v>
      </c>
      <c r="C24" s="254">
        <f t="shared" si="0"/>
        <v>0</v>
      </c>
      <c r="D24" s="295">
        <f t="shared" si="12"/>
        <v>0</v>
      </c>
      <c r="E24" s="295">
        <f t="shared" si="13"/>
        <v>1111071</v>
      </c>
      <c r="F24" s="617">
        <f t="shared" si="7"/>
        <v>160915</v>
      </c>
      <c r="G24" s="160">
        <f t="shared" si="1"/>
        <v>0</v>
      </c>
      <c r="H24" s="617">
        <f t="shared" si="14"/>
        <v>549420</v>
      </c>
      <c r="I24" s="161">
        <f t="shared" si="2"/>
        <v>0</v>
      </c>
      <c r="J24" s="617">
        <f t="shared" si="15"/>
        <v>400735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44614</v>
      </c>
      <c r="B25" s="617">
        <f t="shared" si="11"/>
        <v>1111071</v>
      </c>
      <c r="C25" s="254">
        <f t="shared" si="0"/>
        <v>0</v>
      </c>
      <c r="D25" s="295">
        <f t="shared" si="12"/>
        <v>0</v>
      </c>
      <c r="E25" s="295">
        <f t="shared" si="13"/>
        <v>1111071</v>
      </c>
      <c r="F25" s="617">
        <f t="shared" si="7"/>
        <v>160915</v>
      </c>
      <c r="G25" s="160">
        <f t="shared" si="1"/>
        <v>0</v>
      </c>
      <c r="H25" s="617">
        <f t="shared" si="14"/>
        <v>549420</v>
      </c>
      <c r="I25" s="161">
        <f t="shared" si="2"/>
        <v>0</v>
      </c>
      <c r="J25" s="617">
        <f t="shared" si="15"/>
        <v>400735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1111071</v>
      </c>
      <c r="C26" s="254">
        <f t="shared" si="0"/>
        <v>0</v>
      </c>
      <c r="D26" s="295">
        <f t="shared" si="12"/>
        <v>0</v>
      </c>
      <c r="E26" s="295">
        <f t="shared" si="13"/>
        <v>1111071</v>
      </c>
      <c r="F26" s="617">
        <f t="shared" si="7"/>
        <v>160915</v>
      </c>
      <c r="G26" s="160">
        <f t="shared" si="1"/>
        <v>0</v>
      </c>
      <c r="H26" s="617">
        <f t="shared" si="14"/>
        <v>549420</v>
      </c>
      <c r="I26" s="161">
        <f t="shared" si="2"/>
        <v>0</v>
      </c>
      <c r="J26" s="617">
        <f t="shared" si="15"/>
        <v>400735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400735</v>
      </c>
      <c r="X26" s="172" t="s">
        <v>199</v>
      </c>
      <c r="Y26" s="172">
        <v>80</v>
      </c>
      <c r="Z26" s="172">
        <v>1</v>
      </c>
      <c r="AA26" s="323">
        <f>(W26-V26)*Z26</f>
        <v>206</v>
      </c>
      <c r="AB26" s="323">
        <f>AA26*Y26</f>
        <v>16480</v>
      </c>
      <c r="AC26" s="244">
        <f>AC9</f>
        <v>1033333</v>
      </c>
      <c r="AD26" s="476">
        <f>SUM(K36)</f>
        <v>0.11914401388085598</v>
      </c>
    </row>
    <row r="27" spans="1:32" ht="20.100000000000001" customHeight="1">
      <c r="A27" s="163">
        <f>ELEC!C27</f>
        <v>44616</v>
      </c>
      <c r="B27" s="617">
        <f t="shared" si="11"/>
        <v>1111071</v>
      </c>
      <c r="C27" s="254">
        <f t="shared" si="0"/>
        <v>0</v>
      </c>
      <c r="D27" s="295">
        <f t="shared" si="12"/>
        <v>0</v>
      </c>
      <c r="E27" s="295">
        <f t="shared" si="13"/>
        <v>1111071</v>
      </c>
      <c r="F27" s="617">
        <f t="shared" si="7"/>
        <v>160915</v>
      </c>
      <c r="G27" s="160">
        <f t="shared" si="1"/>
        <v>0</v>
      </c>
      <c r="H27" s="617">
        <f t="shared" si="14"/>
        <v>549420</v>
      </c>
      <c r="I27" s="161">
        <f t="shared" si="2"/>
        <v>0</v>
      </c>
      <c r="J27" s="617">
        <f t="shared" si="15"/>
        <v>400735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549420</v>
      </c>
      <c r="X27" s="172" t="s">
        <v>212</v>
      </c>
      <c r="Y27" s="172">
        <v>112</v>
      </c>
      <c r="Z27" s="172">
        <v>1</v>
      </c>
      <c r="AA27" s="323">
        <f>(W27-V27)*Z27</f>
        <v>1046</v>
      </c>
      <c r="AB27" s="323">
        <f>SUM(AA27*Y27)</f>
        <v>117152</v>
      </c>
      <c r="AC27" s="244">
        <f>AC10</f>
        <v>6200000</v>
      </c>
      <c r="AD27" s="476">
        <f>SUM(I36)</f>
        <v>0.60497397339502601</v>
      </c>
    </row>
    <row r="28" spans="1:32" ht="20.100000000000001" customHeight="1">
      <c r="A28" s="163">
        <f>ELEC!C28</f>
        <v>44617</v>
      </c>
      <c r="B28" s="617">
        <f t="shared" si="11"/>
        <v>1111071</v>
      </c>
      <c r="C28" s="254">
        <f t="shared" si="0"/>
        <v>0</v>
      </c>
      <c r="D28" s="295">
        <f t="shared" si="12"/>
        <v>0</v>
      </c>
      <c r="E28" s="295">
        <f>B27+D28</f>
        <v>1111071</v>
      </c>
      <c r="F28" s="617">
        <f t="shared" si="7"/>
        <v>160915</v>
      </c>
      <c r="G28" s="160">
        <f t="shared" si="1"/>
        <v>0</v>
      </c>
      <c r="H28" s="617">
        <f t="shared" si="14"/>
        <v>549420</v>
      </c>
      <c r="I28" s="161">
        <f t="shared" si="2"/>
        <v>0</v>
      </c>
      <c r="J28" s="617">
        <f t="shared" si="15"/>
        <v>400735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160915</v>
      </c>
      <c r="X28" s="172" t="s">
        <v>197</v>
      </c>
      <c r="Y28" s="172">
        <v>320</v>
      </c>
      <c r="Z28" s="172">
        <v>1</v>
      </c>
      <c r="AA28" s="323">
        <f>(W28-V28)*Z28</f>
        <v>476</v>
      </c>
      <c r="AB28" s="323">
        <f>SUM(AA28*Y28)</f>
        <v>152320</v>
      </c>
      <c r="AC28" s="244">
        <f>AC11</f>
        <v>1000</v>
      </c>
      <c r="AD28" s="476">
        <f>SUM(G36)</f>
        <v>0.27530364372469635</v>
      </c>
      <c r="AE28" s="40">
        <f>SUM(AB28*5%)</f>
        <v>7616</v>
      </c>
      <c r="AF28" s="82">
        <f>SUM(AE28/7)*31</f>
        <v>33728</v>
      </c>
    </row>
    <row r="29" spans="1:32" ht="20.100000000000001" customHeight="1">
      <c r="A29" s="163">
        <f>ELEC!C29</f>
        <v>44618</v>
      </c>
      <c r="B29" s="617">
        <f t="shared" si="11"/>
        <v>1111071</v>
      </c>
      <c r="C29" s="254">
        <f t="shared" si="0"/>
        <v>0</v>
      </c>
      <c r="D29" s="295">
        <f t="shared" si="12"/>
        <v>0</v>
      </c>
      <c r="E29" s="295">
        <f>B28+D29</f>
        <v>1111071</v>
      </c>
      <c r="F29" s="617">
        <f t="shared" si="7"/>
        <v>160915</v>
      </c>
      <c r="G29" s="160">
        <f t="shared" si="1"/>
        <v>0</v>
      </c>
      <c r="H29" s="617">
        <f t="shared" si="14"/>
        <v>549420</v>
      </c>
      <c r="I29" s="161">
        <f t="shared" si="2"/>
        <v>0</v>
      </c>
      <c r="J29" s="617">
        <f t="shared" si="15"/>
        <v>400735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1728</v>
      </c>
      <c r="AB29" s="323">
        <f>SUM(AB26:AB28)</f>
        <v>285952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1111071</v>
      </c>
      <c r="C30" s="254">
        <f t="shared" si="0"/>
        <v>0</v>
      </c>
      <c r="D30" s="295">
        <f t="shared" si="12"/>
        <v>0</v>
      </c>
      <c r="E30" s="295">
        <f t="shared" si="13"/>
        <v>1111071</v>
      </c>
      <c r="F30" s="617">
        <f t="shared" si="7"/>
        <v>160915</v>
      </c>
      <c r="G30" s="160">
        <f t="shared" si="1"/>
        <v>0</v>
      </c>
      <c r="H30" s="617">
        <f t="shared" si="14"/>
        <v>549420</v>
      </c>
      <c r="I30" s="161">
        <f t="shared" si="2"/>
        <v>0</v>
      </c>
      <c r="J30" s="617">
        <f t="shared" si="15"/>
        <v>400735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7520285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1111071</v>
      </c>
      <c r="C31" s="254">
        <f>SUM(B31-B30)</f>
        <v>0</v>
      </c>
      <c r="D31" s="295">
        <f t="shared" si="12"/>
        <v>0</v>
      </c>
      <c r="E31" s="295">
        <f>B30+D31</f>
        <v>1111071</v>
      </c>
      <c r="F31" s="617">
        <f t="shared" si="7"/>
        <v>160915</v>
      </c>
      <c r="G31" s="160">
        <f>F31-F30</f>
        <v>0</v>
      </c>
      <c r="H31" s="617">
        <f t="shared" si="14"/>
        <v>549420</v>
      </c>
      <c r="I31" s="161">
        <f>H31-H30</f>
        <v>0</v>
      </c>
      <c r="J31" s="617">
        <f t="shared" si="15"/>
        <v>400735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146</v>
      </c>
      <c r="X32" s="222">
        <f>SUM(W32/A35)</f>
        <v>20.857142857142858</v>
      </c>
      <c r="Y32" s="250">
        <f>SUM(X32/1)</f>
        <v>20.857142857142858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827231.35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8347516.3499999996</v>
      </c>
      <c r="AC34" s="244">
        <f>SUM(AC30)</f>
        <v>0</v>
      </c>
    </row>
    <row r="35" spans="1:32" ht="15.75" thickBot="1">
      <c r="A35" s="501">
        <f>A37-COUNTIF(C4:C31,0)</f>
        <v>7</v>
      </c>
      <c r="C35" s="173">
        <f>SUM(C4:C34)/A35</f>
        <v>247</v>
      </c>
      <c r="D35" s="173"/>
      <c r="E35" s="173"/>
      <c r="F35" s="568"/>
      <c r="G35" s="568">
        <f>SUM(G4:G34)/A35</f>
        <v>68</v>
      </c>
      <c r="H35" s="173"/>
      <c r="I35" s="173">
        <f>SUM(I4:I34)/A35</f>
        <v>149.42857142857142</v>
      </c>
      <c r="K35" s="173">
        <f>SUM(K4:K34)/A35</f>
        <v>29.428571428571427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0.99942163100057835</v>
      </c>
      <c r="G36" s="225">
        <f>IF(C35&gt;0,G35/C35,0)</f>
        <v>0.27530364372469635</v>
      </c>
      <c r="H36" s="212"/>
      <c r="I36" s="225">
        <f>SUM(I35/C35)</f>
        <v>0.60497397339502601</v>
      </c>
      <c r="J36" s="212"/>
      <c r="K36" s="225">
        <f>SUM(K35/C35)</f>
        <v>0.11914401388085598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4988.5804311774464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4988.5804311774464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5" sqref="E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>
        <v>18</v>
      </c>
      <c r="C21" s="37">
        <v>12</v>
      </c>
      <c r="D21" s="26">
        <f t="shared" si="3"/>
        <v>15</v>
      </c>
      <c r="E21" s="325">
        <v>0.52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>
        <v>18</v>
      </c>
      <c r="C24" s="37">
        <v>13</v>
      </c>
      <c r="D24" s="26">
        <f t="shared" si="3"/>
        <v>15.5</v>
      </c>
      <c r="E24" s="325">
        <v>0.65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25.714285714285715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4858</v>
      </c>
      <c r="D18" s="3">
        <f t="shared" si="0"/>
        <v>235.00000000040745</v>
      </c>
      <c r="E18" s="3">
        <f>ELEC!Q20</f>
        <v>4622.9999999995925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-5.1000000000000227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-2.8999999999999773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6585</v>
      </c>
      <c r="D21" s="3">
        <f t="shared" si="0"/>
        <v>77.999999998573912</v>
      </c>
      <c r="E21" s="3">
        <f>ELEC!Q23</f>
        <v>6507.0000000014261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25.800000000000011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13</v>
      </c>
      <c r="G22" s="3">
        <f>WATER!C25+WATER!H25</f>
        <v>81</v>
      </c>
      <c r="H22" s="3">
        <f>WATER!L25</f>
        <v>10</v>
      </c>
      <c r="I22" s="15">
        <f>WATER!BC25+WATER!BD25+WATER!BE26-Sheet1!G22</f>
        <v>-96.6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407</v>
      </c>
      <c r="C20" s="76">
        <f>'B5'!AH20</f>
        <v>0</v>
      </c>
      <c r="D20" s="76">
        <f>GEN!AI18</f>
        <v>1330.1603375531247</v>
      </c>
      <c r="E20" s="239">
        <f t="shared" si="0"/>
        <v>1737.1603375531247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232</v>
      </c>
      <c r="C21" s="76">
        <f>'B5'!AH21</f>
        <v>0</v>
      </c>
      <c r="D21" s="76">
        <f>GEN!AI19</f>
        <v>1189.8860759492622</v>
      </c>
      <c r="E21" s="239">
        <f t="shared" si="0"/>
        <v>1421.8860759492622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4622.9999999995925</v>
      </c>
      <c r="J21" s="79">
        <f>ELEC!R20</f>
        <v>235.00000000040745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-1.0999999999999943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436</v>
      </c>
      <c r="C24" s="76">
        <f>'B5'!AH24</f>
        <v>0</v>
      </c>
      <c r="D24" s="76">
        <f>GEN!AI22</f>
        <v>1674.7974683547975</v>
      </c>
      <c r="E24" s="239">
        <f t="shared" si="0"/>
        <v>2110.7974683547973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6507.0000000014261</v>
      </c>
      <c r="J24" s="79">
        <f>ELEC!R23</f>
        <v>77.999999998573912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10</v>
      </c>
      <c r="G25" s="78">
        <f>WATER!BG25</f>
        <v>25.800000000000011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K35" sqref="K3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>
        <v>0</v>
      </c>
      <c r="C25" s="615">
        <v>8</v>
      </c>
      <c r="D25" s="615">
        <v>0</v>
      </c>
      <c r="E25" s="615">
        <v>0</v>
      </c>
      <c r="F25" s="615">
        <v>0</v>
      </c>
      <c r="G25" s="615">
        <v>0</v>
      </c>
      <c r="H25" s="616">
        <v>7013</v>
      </c>
      <c r="I25" s="600">
        <f t="shared" si="4"/>
        <v>10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7013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7013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7013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7013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7013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7013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7013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7013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AF21" sqref="AF21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12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18</v>
      </c>
      <c r="G26" s="261">
        <f>'General information '!C21</f>
        <v>12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13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18</v>
      </c>
      <c r="G29" s="261">
        <f>'General information '!C24</f>
        <v>13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K33" sqref="K3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20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260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39415</v>
      </c>
      <c r="C8" s="466">
        <f>SUM(tanks!AU37)</f>
        <v>0.7702</v>
      </c>
      <c r="D8" s="191">
        <f>SUM(B8*C8)*D4</f>
        <v>45763830.247500002</v>
      </c>
      <c r="E8" s="192">
        <f>SUM(D8/D4/F4)</f>
        <v>1084.1940357142857</v>
      </c>
      <c r="F8" s="192">
        <f>SUM(E8*F4)</f>
        <v>30357.433000000001</v>
      </c>
      <c r="G8" s="574">
        <f>E8*$G$4</f>
        <v>21683.880714285715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1728</v>
      </c>
      <c r="C10" s="181"/>
      <c r="D10" s="183">
        <f>'EDl log'!AB30</f>
        <v>7520285</v>
      </c>
      <c r="E10" s="182">
        <f>SUM(D10/D4/F4)</f>
        <v>178.16358682776595</v>
      </c>
      <c r="F10" s="182">
        <f>SUM(E10*F4)</f>
        <v>4988.5804311774464</v>
      </c>
      <c r="G10" s="478">
        <f>E10*$G$4</f>
        <v>3563.271736555319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1555.2147653991947</v>
      </c>
      <c r="F12" s="180">
        <f>SUM(F6:F10)</f>
        <v>43546.013431177453</v>
      </c>
      <c r="G12" s="179">
        <f>SUM(G6:G10)</f>
        <v>33447.152450841037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-46681.747549158958</v>
      </c>
      <c r="I14" s="406">
        <f>SUM(G12-I12)</f>
        <v>-17796.767269589072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25.714285714285715</v>
      </c>
      <c r="C16" s="415">
        <f>'[12]Utility Cost '!$B$16</f>
        <v>15.821428571428571</v>
      </c>
      <c r="D16" s="415"/>
      <c r="E16" s="580">
        <f>B16-C16</f>
        <v>9.8928571428571441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146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-43</v>
      </c>
      <c r="F18" s="495">
        <f>B18-D18</f>
        <v>-56.666666666666657</v>
      </c>
    </row>
    <row r="19" spans="1:10">
      <c r="A19" s="489" t="s">
        <v>412</v>
      </c>
      <c r="B19" s="493">
        <f>GEN!AL34</f>
        <v>13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11.23076923076923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2022-02-21T08:04:26Z</dcterms:modified>
</cp:coreProperties>
</file>