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3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B4" i="2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T21"/>
  <c r="Q15" i="3"/>
  <c r="T20" i="1"/>
  <c r="T18"/>
  <c r="T17"/>
  <c r="T19"/>
  <c r="T16"/>
  <c r="T15"/>
  <c r="T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2" i="15"/>
  <c r="G13"/>
  <c r="G14"/>
  <c r="G10"/>
  <c r="G11"/>
  <c r="T42" i="1"/>
  <c r="E34" i="24" s="1"/>
  <c r="T12" i="1"/>
  <c r="T11"/>
  <c r="T43"/>
  <c r="T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9" i="22" l="1"/>
  <c r="F8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24" i="25" l="1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L35" i="13" l="1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AU43" s="1"/>
  <c r="E36" i="23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Cash 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greenland vehicles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<sst xmlns="http://schemas.openxmlformats.org/spreadsheetml/2006/main" count="533" uniqueCount="320">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</sst>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8651520"/>
        <c:axId val="1188704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8871936"/>
        <c:axId val="212283776"/>
      </c:lineChart>
      <c:catAx>
        <c:axId val="11865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0400"/>
        <c:crosses val="autoZero"/>
        <c:auto val="1"/>
        <c:lblAlgn val="ctr"/>
        <c:lblOffset val="100"/>
      </c:catAx>
      <c:valAx>
        <c:axId val="1188704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1520"/>
        <c:crosses val="autoZero"/>
        <c:crossBetween val="between"/>
        <c:majorUnit val="200"/>
      </c:valAx>
      <c:catAx>
        <c:axId val="118871936"/>
        <c:scaling>
          <c:orientation val="minMax"/>
        </c:scaling>
        <c:delete val="1"/>
        <c:axPos val="b"/>
        <c:tickLblPos val="none"/>
        <c:crossAx val="212283776"/>
        <c:crosses val="autoZero"/>
        <c:auto val="1"/>
        <c:lblAlgn val="ctr"/>
        <c:lblOffset val="100"/>
      </c:catAx>
      <c:valAx>
        <c:axId val="2122837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1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82669952"/>
        <c:axId val="826714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673024"/>
        <c:axId val="82674816"/>
      </c:lineChart>
      <c:catAx>
        <c:axId val="8266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1488"/>
        <c:crosses val="autoZero"/>
        <c:auto val="1"/>
        <c:lblAlgn val="ctr"/>
        <c:lblOffset val="100"/>
      </c:catAx>
      <c:valAx>
        <c:axId val="8267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9952"/>
        <c:crosses val="autoZero"/>
        <c:crossBetween val="between"/>
        <c:majorUnit val="200"/>
      </c:valAx>
      <c:catAx>
        <c:axId val="82673024"/>
        <c:scaling>
          <c:orientation val="minMax"/>
        </c:scaling>
        <c:delete val="1"/>
        <c:axPos val="b"/>
        <c:tickLblPos val="none"/>
        <c:crossAx val="82674816"/>
        <c:crosses val="autoZero"/>
        <c:auto val="1"/>
        <c:lblAlgn val="ctr"/>
        <c:lblOffset val="100"/>
      </c:catAx>
      <c:valAx>
        <c:axId val="826748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3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5356416"/>
        <c:axId val="95357952"/>
      </c:lineChart>
      <c:catAx>
        <c:axId val="9535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57952"/>
        <c:crosses val="autoZero"/>
        <c:auto val="1"/>
        <c:lblAlgn val="ctr"/>
        <c:lblOffset val="200"/>
        <c:tickLblSkip val="1"/>
      </c:catAx>
      <c:valAx>
        <c:axId val="95357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5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5501312"/>
        <c:axId val="95503104"/>
      </c:lineChart>
      <c:catAx>
        <c:axId val="955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03104"/>
        <c:crosses val="autoZero"/>
        <c:auto val="1"/>
        <c:lblAlgn val="ctr"/>
        <c:lblOffset val="100"/>
      </c:catAx>
      <c:valAx>
        <c:axId val="955031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8439936"/>
        <c:axId val="98441856"/>
      </c:lineChart>
      <c:catAx>
        <c:axId val="98439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41856"/>
        <c:crosses val="autoZero"/>
        <c:auto val="1"/>
        <c:lblAlgn val="ctr"/>
        <c:lblOffset val="100"/>
      </c:catAx>
      <c:valAx>
        <c:axId val="984418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399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5497216"/>
        <c:axId val="98481280"/>
      </c:lineChart>
      <c:catAx>
        <c:axId val="95497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1280"/>
        <c:crosses val="autoZero"/>
        <c:auto val="1"/>
        <c:lblAlgn val="ctr"/>
        <c:lblOffset val="100"/>
      </c:catAx>
      <c:valAx>
        <c:axId val="98481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97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309707.06800000003</c:v>
                </c:pt>
                <c:pt idx="1">
                  <c:v>219.07599999997186</c:v>
                </c:pt>
                <c:pt idx="2">
                  <c:v>-309926.14400000003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05514496"/>
        <c:axId val="105516032"/>
      </c:lineChart>
      <c:catAx>
        <c:axId val="10551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16032"/>
        <c:crosses val="autoZero"/>
        <c:auto val="1"/>
        <c:lblAlgn val="ctr"/>
        <c:lblOffset val="100"/>
      </c:catAx>
      <c:valAx>
        <c:axId val="105516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1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05570304"/>
        <c:axId val="105571840"/>
      </c:lineChart>
      <c:catAx>
        <c:axId val="10557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71840"/>
        <c:crosses val="autoZero"/>
        <c:auto val="1"/>
        <c:lblAlgn val="ctr"/>
        <c:lblOffset val="100"/>
      </c:catAx>
      <c:valAx>
        <c:axId val="10557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7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05796736"/>
        <c:axId val="105798272"/>
      </c:lineChart>
      <c:catAx>
        <c:axId val="10579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98272"/>
        <c:crosses val="autoZero"/>
        <c:auto val="1"/>
        <c:lblAlgn val="ctr"/>
        <c:lblOffset val="100"/>
      </c:catAx>
      <c:valAx>
        <c:axId val="10579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9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511"/>
          <c:y val="7.471324705110413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831040"/>
        <c:axId val="106430848"/>
      </c:lineChart>
      <c:catAx>
        <c:axId val="10583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0848"/>
        <c:crosses val="autoZero"/>
        <c:auto val="1"/>
        <c:lblAlgn val="ctr"/>
        <c:lblOffset val="200"/>
        <c:tickLblSkip val="1"/>
      </c:catAx>
      <c:valAx>
        <c:axId val="1064308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3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451328"/>
        <c:axId val="106452864"/>
      </c:lineChart>
      <c:catAx>
        <c:axId val="10645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52864"/>
        <c:crosses val="autoZero"/>
        <c:auto val="1"/>
        <c:lblAlgn val="ctr"/>
        <c:lblOffset val="100"/>
      </c:catAx>
      <c:valAx>
        <c:axId val="10645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5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6481536"/>
        <c:axId val="106491904"/>
      </c:lineChart>
      <c:catAx>
        <c:axId val="106481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91904"/>
        <c:crosses val="autoZero"/>
        <c:auto val="1"/>
        <c:lblAlgn val="ctr"/>
        <c:lblOffset val="100"/>
      </c:catAx>
      <c:valAx>
        <c:axId val="106491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81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6926464"/>
        <c:axId val="106928384"/>
      </c:lineChart>
      <c:catAx>
        <c:axId val="106926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28384"/>
        <c:crosses val="autoZero"/>
        <c:auto val="1"/>
        <c:lblAlgn val="ctr"/>
        <c:lblOffset val="100"/>
      </c:catAx>
      <c:valAx>
        <c:axId val="106928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26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6953344"/>
        <c:axId val="107086208"/>
      </c:lineChart>
      <c:catAx>
        <c:axId val="10695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86208"/>
        <c:crosses val="autoZero"/>
        <c:auto val="1"/>
        <c:lblAlgn val="ctr"/>
        <c:lblOffset val="100"/>
      </c:catAx>
      <c:valAx>
        <c:axId val="10708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5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07140224"/>
        <c:axId val="107141760"/>
      </c:lineChart>
      <c:catAx>
        <c:axId val="10714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41760"/>
        <c:crosses val="autoZero"/>
        <c:auto val="1"/>
        <c:lblAlgn val="ctr"/>
        <c:lblOffset val="100"/>
      </c:catAx>
      <c:valAx>
        <c:axId val="10714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4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771584"/>
        <c:axId val="110645248"/>
      </c:lineChart>
      <c:catAx>
        <c:axId val="10877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5248"/>
        <c:crosses val="autoZero"/>
        <c:auto val="1"/>
        <c:lblAlgn val="ctr"/>
        <c:lblOffset val="100"/>
      </c:catAx>
      <c:valAx>
        <c:axId val="11064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7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889"/>
          <c:y val="7.471324705110445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19615488"/>
        <c:axId val="11961702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19618560"/>
        <c:axId val="119628544"/>
      </c:lineChart>
      <c:catAx>
        <c:axId val="1196154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17024"/>
        <c:crosses val="autoZero"/>
        <c:lblAlgn val="ctr"/>
        <c:lblOffset val="100"/>
        <c:tickMarkSkip val="1"/>
      </c:catAx>
      <c:valAx>
        <c:axId val="119617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15488"/>
        <c:crosses val="autoZero"/>
        <c:crossBetween val="between"/>
      </c:valAx>
      <c:catAx>
        <c:axId val="119618560"/>
        <c:scaling>
          <c:orientation val="minMax"/>
        </c:scaling>
        <c:delete val="1"/>
        <c:axPos val="b"/>
        <c:numFmt formatCode="[$-409]d\-mmm\-yy;@" sourceLinked="1"/>
        <c:tickLblPos val="none"/>
        <c:crossAx val="119628544"/>
        <c:crosses val="autoZero"/>
        <c:lblAlgn val="ctr"/>
        <c:lblOffset val="100"/>
      </c:catAx>
      <c:valAx>
        <c:axId val="11962854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1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19644928"/>
        <c:axId val="119646464"/>
      </c:lineChart>
      <c:catAx>
        <c:axId val="11964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46464"/>
        <c:crosses val="autoZero"/>
        <c:auto val="1"/>
        <c:lblAlgn val="ctr"/>
        <c:lblOffset val="100"/>
      </c:catAx>
      <c:valAx>
        <c:axId val="1196464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4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28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2329344"/>
        <c:axId val="122335232"/>
      </c:lineChart>
      <c:catAx>
        <c:axId val="12232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35232"/>
        <c:crosses val="autoZero"/>
        <c:auto val="1"/>
        <c:lblAlgn val="ctr"/>
        <c:lblOffset val="100"/>
      </c:catAx>
      <c:valAx>
        <c:axId val="1223352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2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328512"/>
        <c:axId val="1593425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344128"/>
        <c:axId val="159345664"/>
      </c:lineChart>
      <c:catAx>
        <c:axId val="1593285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2592"/>
        <c:crosses val="autoZero"/>
        <c:lblAlgn val="ctr"/>
        <c:lblOffset val="100"/>
        <c:tickMarkSkip val="1"/>
      </c:catAx>
      <c:valAx>
        <c:axId val="15934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28512"/>
        <c:crosses val="autoZero"/>
        <c:crossBetween val="between"/>
      </c:valAx>
      <c:catAx>
        <c:axId val="159344128"/>
        <c:scaling>
          <c:orientation val="minMax"/>
        </c:scaling>
        <c:delete val="1"/>
        <c:axPos val="b"/>
        <c:numFmt formatCode="General" sourceLinked="1"/>
        <c:tickLblPos val="none"/>
        <c:crossAx val="159345664"/>
        <c:crosses val="autoZero"/>
        <c:lblAlgn val="ctr"/>
        <c:lblOffset val="100"/>
      </c:catAx>
      <c:valAx>
        <c:axId val="159345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4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373952"/>
        <c:axId val="159396224"/>
      </c:lineChart>
      <c:catAx>
        <c:axId val="15937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96224"/>
        <c:crosses val="autoZero"/>
        <c:auto val="1"/>
        <c:lblAlgn val="ctr"/>
        <c:lblOffset val="100"/>
      </c:catAx>
      <c:valAx>
        <c:axId val="15939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7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7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428992"/>
        <c:axId val="159430528"/>
      </c:lineChart>
      <c:catAx>
        <c:axId val="15942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30528"/>
        <c:crosses val="autoZero"/>
        <c:auto val="1"/>
        <c:lblAlgn val="ctr"/>
        <c:lblOffset val="100"/>
      </c:catAx>
      <c:valAx>
        <c:axId val="15943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2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5631104"/>
        <c:axId val="1656326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5642624"/>
        <c:axId val="165644160"/>
      </c:lineChart>
      <c:catAx>
        <c:axId val="1656311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2640"/>
        <c:crosses val="autoZero"/>
        <c:lblAlgn val="ctr"/>
        <c:lblOffset val="100"/>
        <c:tickMarkSkip val="1"/>
      </c:catAx>
      <c:valAx>
        <c:axId val="165632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1104"/>
        <c:crosses val="autoZero"/>
        <c:crossBetween val="between"/>
      </c:valAx>
      <c:catAx>
        <c:axId val="165642624"/>
        <c:scaling>
          <c:orientation val="minMax"/>
        </c:scaling>
        <c:delete val="1"/>
        <c:axPos val="b"/>
        <c:numFmt formatCode="[$-409]d\-mmm\-yy;@" sourceLinked="1"/>
        <c:tickLblPos val="none"/>
        <c:crossAx val="165644160"/>
        <c:crosses val="autoZero"/>
        <c:lblAlgn val="ctr"/>
        <c:lblOffset val="100"/>
      </c:catAx>
      <c:valAx>
        <c:axId val="1656441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2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653888"/>
        <c:axId val="1665281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529664"/>
        <c:axId val="166535552"/>
      </c:lineChart>
      <c:catAx>
        <c:axId val="165653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28128"/>
        <c:crosses val="autoZero"/>
        <c:lblAlgn val="ctr"/>
        <c:lblOffset val="100"/>
        <c:tickMarkSkip val="1"/>
      </c:catAx>
      <c:valAx>
        <c:axId val="16652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53888"/>
        <c:crosses val="autoZero"/>
        <c:crossBetween val="between"/>
      </c:valAx>
      <c:catAx>
        <c:axId val="166529664"/>
        <c:scaling>
          <c:orientation val="minMax"/>
        </c:scaling>
        <c:delete val="1"/>
        <c:axPos val="b"/>
        <c:numFmt formatCode="General" sourceLinked="1"/>
        <c:tickLblPos val="none"/>
        <c:crossAx val="166535552"/>
        <c:crosses val="autoZero"/>
        <c:lblAlgn val="ctr"/>
        <c:lblOffset val="100"/>
      </c:catAx>
      <c:valAx>
        <c:axId val="1665355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29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7410304"/>
        <c:axId val="16742028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7421824"/>
        <c:axId val="167423360"/>
      </c:lineChart>
      <c:catAx>
        <c:axId val="1674103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0288"/>
        <c:crosses val="autoZero"/>
        <c:lblAlgn val="ctr"/>
        <c:lblOffset val="100"/>
        <c:tickMarkSkip val="1"/>
      </c:catAx>
      <c:valAx>
        <c:axId val="167420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10304"/>
        <c:crosses val="autoZero"/>
        <c:crossBetween val="between"/>
      </c:valAx>
      <c:catAx>
        <c:axId val="167421824"/>
        <c:scaling>
          <c:orientation val="minMax"/>
        </c:scaling>
        <c:delete val="1"/>
        <c:axPos val="b"/>
        <c:numFmt formatCode="[$-409]d\-mmm\-yy;@" sourceLinked="1"/>
        <c:tickLblPos val="none"/>
        <c:crossAx val="167423360"/>
        <c:crosses val="autoZero"/>
        <c:lblAlgn val="ctr"/>
        <c:lblOffset val="100"/>
      </c:catAx>
      <c:valAx>
        <c:axId val="1674233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18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474304"/>
        <c:axId val="1674758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477632"/>
        <c:axId val="167479168"/>
      </c:lineChart>
      <c:catAx>
        <c:axId val="1674743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75840"/>
        <c:crosses val="autoZero"/>
        <c:lblAlgn val="ctr"/>
        <c:lblOffset val="100"/>
        <c:tickMarkSkip val="1"/>
      </c:catAx>
      <c:valAx>
        <c:axId val="16747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74304"/>
        <c:crosses val="autoZero"/>
        <c:crossBetween val="between"/>
      </c:valAx>
      <c:catAx>
        <c:axId val="167477632"/>
        <c:scaling>
          <c:orientation val="minMax"/>
        </c:scaling>
        <c:delete val="1"/>
        <c:axPos val="b"/>
        <c:numFmt formatCode="General" sourceLinked="1"/>
        <c:tickLblPos val="none"/>
        <c:crossAx val="167479168"/>
        <c:crosses val="autoZero"/>
        <c:lblAlgn val="ctr"/>
        <c:lblOffset val="100"/>
      </c:catAx>
      <c:valAx>
        <c:axId val="1674791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77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8315136"/>
        <c:axId val="168354176"/>
      </c:lineChart>
      <c:catAx>
        <c:axId val="168315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54176"/>
        <c:crosses val="autoZero"/>
        <c:auto val="1"/>
        <c:lblAlgn val="ctr"/>
        <c:lblOffset val="100"/>
      </c:catAx>
      <c:valAx>
        <c:axId val="168354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151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8420096"/>
        <c:axId val="168422016"/>
      </c:lineChart>
      <c:catAx>
        <c:axId val="168420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22016"/>
        <c:crosses val="autoZero"/>
        <c:auto val="1"/>
        <c:lblAlgn val="ctr"/>
        <c:lblOffset val="100"/>
      </c:catAx>
      <c:valAx>
        <c:axId val="168422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20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8455168"/>
        <c:axId val="168321792"/>
      </c:lineChart>
      <c:catAx>
        <c:axId val="1684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21792"/>
        <c:crosses val="autoZero"/>
        <c:auto val="1"/>
        <c:lblAlgn val="ctr"/>
        <c:lblOffset val="200"/>
        <c:tickLblSkip val="1"/>
      </c:catAx>
      <c:valAx>
        <c:axId val="1683217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5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8473344"/>
        <c:axId val="168474880"/>
      </c:lineChart>
      <c:catAx>
        <c:axId val="16847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74880"/>
        <c:crosses val="autoZero"/>
        <c:auto val="1"/>
        <c:lblAlgn val="ctr"/>
        <c:lblOffset val="100"/>
      </c:catAx>
      <c:valAx>
        <c:axId val="1684748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7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48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309707.06800000003</c:v>
                </c:pt>
                <c:pt idx="1">
                  <c:v>219.07599999997186</c:v>
                </c:pt>
                <c:pt idx="2">
                  <c:v>-309926.14400000003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8601856"/>
        <c:axId val="168607744"/>
      </c:lineChart>
      <c:catAx>
        <c:axId val="16860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07744"/>
        <c:crosses val="autoZero"/>
        <c:auto val="1"/>
        <c:lblAlgn val="ctr"/>
        <c:lblOffset val="100"/>
      </c:catAx>
      <c:valAx>
        <c:axId val="168607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0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9037824"/>
        <c:axId val="169039744"/>
      </c:lineChart>
      <c:catAx>
        <c:axId val="169037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39744"/>
        <c:crosses val="autoZero"/>
        <c:auto val="1"/>
        <c:lblAlgn val="ctr"/>
        <c:lblOffset val="100"/>
      </c:catAx>
      <c:valAx>
        <c:axId val="169039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37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9081088"/>
        <c:axId val="184889728"/>
      </c:lineChart>
      <c:catAx>
        <c:axId val="169081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889728"/>
        <c:crosses val="autoZero"/>
        <c:auto val="1"/>
        <c:lblAlgn val="ctr"/>
        <c:lblOffset val="100"/>
      </c:catAx>
      <c:valAx>
        <c:axId val="1848897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81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87499264"/>
        <c:axId val="187500800"/>
      </c:lineChart>
      <c:catAx>
        <c:axId val="18749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00800"/>
        <c:crosses val="autoZero"/>
        <c:auto val="1"/>
        <c:lblAlgn val="ctr"/>
        <c:lblOffset val="200"/>
        <c:tickLblSkip val="1"/>
      </c:catAx>
      <c:valAx>
        <c:axId val="187500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9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87529472"/>
        <c:axId val="187543552"/>
      </c:lineChart>
      <c:catAx>
        <c:axId val="18752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43552"/>
        <c:crosses val="autoZero"/>
        <c:auto val="1"/>
        <c:lblAlgn val="ctr"/>
        <c:lblOffset val="100"/>
      </c:catAx>
      <c:valAx>
        <c:axId val="1875435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2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48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309707.06800000003</c:v>
                </c:pt>
                <c:pt idx="1">
                  <c:v>219.07599999997186</c:v>
                </c:pt>
                <c:pt idx="2">
                  <c:v>-309926.14400000003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90066688"/>
        <c:axId val="190068224"/>
      </c:lineChart>
      <c:catAx>
        <c:axId val="19006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068224"/>
        <c:crosses val="autoZero"/>
        <c:auto val="1"/>
        <c:lblAlgn val="ctr"/>
        <c:lblOffset val="100"/>
      </c:catAx>
      <c:valAx>
        <c:axId val="190068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06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90092800"/>
        <c:axId val="190094720"/>
      </c:lineChart>
      <c:catAx>
        <c:axId val="190092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094720"/>
        <c:crosses val="autoZero"/>
        <c:auto val="1"/>
        <c:lblAlgn val="ctr"/>
        <c:lblOffset val="100"/>
      </c:catAx>
      <c:valAx>
        <c:axId val="1900947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092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91946752"/>
        <c:axId val="191948672"/>
      </c:lineChart>
      <c:catAx>
        <c:axId val="191946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48672"/>
        <c:crosses val="autoZero"/>
        <c:auto val="1"/>
        <c:lblAlgn val="ctr"/>
        <c:lblOffset val="100"/>
      </c:catAx>
      <c:valAx>
        <c:axId val="1919486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467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1981824"/>
        <c:axId val="191987712"/>
      </c:lineChart>
      <c:catAx>
        <c:axId val="19198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87712"/>
        <c:crosses val="autoZero"/>
        <c:auto val="1"/>
        <c:lblAlgn val="ctr"/>
        <c:lblOffset val="200"/>
        <c:tickLblSkip val="1"/>
      </c:catAx>
      <c:valAx>
        <c:axId val="191987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8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2024576"/>
        <c:axId val="192026112"/>
      </c:lineChart>
      <c:catAx>
        <c:axId val="1920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26112"/>
        <c:crosses val="autoZero"/>
        <c:auto val="1"/>
        <c:lblAlgn val="ctr"/>
        <c:lblOffset val="100"/>
      </c:catAx>
      <c:valAx>
        <c:axId val="19202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2062976"/>
        <c:axId val="192064512"/>
      </c:lineChart>
      <c:catAx>
        <c:axId val="19206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64512"/>
        <c:crosses val="autoZero"/>
        <c:auto val="1"/>
        <c:lblAlgn val="ctr"/>
        <c:lblOffset val="100"/>
      </c:catAx>
      <c:valAx>
        <c:axId val="19206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6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92084992"/>
        <c:axId val="192124032"/>
      </c:lineChart>
      <c:catAx>
        <c:axId val="192084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24032"/>
        <c:crosses val="autoZero"/>
        <c:auto val="1"/>
        <c:lblAlgn val="ctr"/>
        <c:lblOffset val="100"/>
      </c:catAx>
      <c:valAx>
        <c:axId val="192124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84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92149376"/>
        <c:axId val="192150912"/>
      </c:lineChart>
      <c:catAx>
        <c:axId val="192149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50912"/>
        <c:crosses val="autoZero"/>
        <c:auto val="1"/>
        <c:lblAlgn val="ctr"/>
        <c:lblOffset val="100"/>
      </c:catAx>
      <c:valAx>
        <c:axId val="19215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49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2212992"/>
        <c:axId val="192214528"/>
      </c:lineChart>
      <c:catAx>
        <c:axId val="19221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4528"/>
        <c:crosses val="autoZero"/>
        <c:auto val="1"/>
        <c:lblAlgn val="ctr"/>
        <c:lblOffset val="200"/>
        <c:tickLblSkip val="1"/>
      </c:catAx>
      <c:valAx>
        <c:axId val="192214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2222720"/>
        <c:axId val="192224256"/>
      </c:lineChart>
      <c:catAx>
        <c:axId val="1922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24256"/>
        <c:crosses val="autoZero"/>
        <c:auto val="1"/>
        <c:lblAlgn val="ctr"/>
        <c:lblOffset val="100"/>
      </c:catAx>
      <c:valAx>
        <c:axId val="1922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6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92277504"/>
        <c:axId val="207360768"/>
      </c:lineChart>
      <c:catAx>
        <c:axId val="19227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60768"/>
        <c:crosses val="autoZero"/>
        <c:auto val="1"/>
        <c:lblAlgn val="ctr"/>
        <c:lblOffset val="100"/>
      </c:catAx>
      <c:valAx>
        <c:axId val="20736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7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2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309707.06800000003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49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2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219.07599999997186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0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2</v>
      </c>
      <c r="D4" s="553">
        <v>2020</v>
      </c>
      <c r="E4" s="554">
        <f>'UTILITY REPORT 1'!F5</f>
        <v>0</v>
      </c>
      <c r="F4" s="555" t="e">
        <f>('UTILITY REPORT 1'!E5*'UTILITY REPORT 1'!D5)/'UTILITY REPORT 1'!F5</f>
        <v>#DIV/0!</v>
      </c>
      <c r="G4" s="555" t="str">
        <f>IF('Utility summery'!M8&lt;0,"0",'Utility summery'!M8)</f>
        <v>0</v>
      </c>
      <c r="H4" s="566">
        <v>0</v>
      </c>
      <c r="I4" s="555" t="str">
        <f>IF('UTILITY REPORT 1'!G5&lt;0,"0",'UTILITY REPORT 1'!G5)</f>
        <v>0</v>
      </c>
      <c r="J4" s="566">
        <v>0</v>
      </c>
      <c r="K4" s="554">
        <f>'UTILITY REPORT 1'!C5</f>
        <v>0</v>
      </c>
      <c r="L4" s="556" t="e">
        <f>E4*F4+G4*H4+#REF!*#REF!+I4*J4</f>
        <v>#DIV/0!</v>
      </c>
    </row>
    <row r="5" spans="1:12">
      <c r="A5" s="551" t="s">
        <v>286</v>
      </c>
      <c r="B5" s="552">
        <f t="shared" si="0"/>
        <v>4</v>
      </c>
      <c r="C5" s="552">
        <v>2</v>
      </c>
      <c r="D5" s="553">
        <v>2020</v>
      </c>
      <c r="E5" s="554">
        <f>'UTILITY REPORT 1'!F6</f>
        <v>0</v>
      </c>
      <c r="F5" s="555" t="e">
        <f>('UTILITY REPORT 1'!E6*'UTILITY REPORT 1'!D6)/'UTILITY REPORT 1'!F6</f>
        <v>#DIV/0!</v>
      </c>
      <c r="G5" s="555">
        <f>IF('Utility summery'!M9&lt;0,"0",'Utility summery'!M9)</f>
        <v>0</v>
      </c>
      <c r="H5" s="566">
        <v>0</v>
      </c>
      <c r="I5" s="555">
        <f>IF('UTILITY REPORT 1'!G6&lt;0,"0",'UTILITY REPORT 1'!G6)</f>
        <v>0</v>
      </c>
      <c r="J5" s="566">
        <v>0</v>
      </c>
      <c r="K5" s="554">
        <f>'UTILITY REPORT 1'!C6</f>
        <v>0</v>
      </c>
      <c r="L5" s="556" t="e">
        <f>E5*F5+G5*H5+#REF!*#REF!+I5*J5</f>
        <v>#DIV/0!</v>
      </c>
    </row>
    <row r="6" spans="1:12">
      <c r="A6" s="551" t="s">
        <v>286</v>
      </c>
      <c r="B6" s="552">
        <f t="shared" si="0"/>
        <v>5</v>
      </c>
      <c r="C6" s="552">
        <v>2</v>
      </c>
      <c r="D6" s="553">
        <v>2020</v>
      </c>
      <c r="E6" s="554">
        <f>'UTILITY REPORT 1'!F7</f>
        <v>0</v>
      </c>
      <c r="F6" s="555" t="e">
        <f>('UTILITY REPORT 1'!E7*'UTILITY REPORT 1'!D7)/'UTILITY REPORT 1'!F7</f>
        <v>#DIV/0!</v>
      </c>
      <c r="G6" s="555">
        <f>IF('Utility summery'!M10&lt;0,"0",'Utility summery'!M10)</f>
        <v>0</v>
      </c>
      <c r="H6" s="566">
        <v>0</v>
      </c>
      <c r="I6" s="555">
        <f>IF('UTILITY REPORT 1'!G7&lt;0,"0",'UTILITY REPORT 1'!G7)</f>
        <v>0</v>
      </c>
      <c r="J6" s="566">
        <v>0</v>
      </c>
      <c r="K6" s="554">
        <f>'UTILITY REPORT 1'!C7</f>
        <v>0</v>
      </c>
      <c r="L6" s="556" t="e">
        <f>E6*F6+G6*H6+#REF!*#REF!+I6*J6</f>
        <v>#DIV/0!</v>
      </c>
    </row>
    <row r="7" spans="1:12">
      <c r="A7" s="551" t="s">
        <v>286</v>
      </c>
      <c r="B7" s="552">
        <f t="shared" si="0"/>
        <v>6</v>
      </c>
      <c r="C7" s="552">
        <v>2</v>
      </c>
      <c r="D7" s="553">
        <v>2020</v>
      </c>
      <c r="E7" s="554">
        <f>'UTILITY REPORT 1'!F8</f>
        <v>0</v>
      </c>
      <c r="F7" s="555" t="e">
        <f>('UTILITY REPORT 1'!E8*'UTILITY REPORT 1'!D8)/'UTILITY REPORT 1'!F8</f>
        <v>#DIV/0!</v>
      </c>
      <c r="G7" s="555">
        <f>IF('Utility summery'!M11&lt;0,"0",'Utility summery'!M11)</f>
        <v>0</v>
      </c>
      <c r="H7" s="566">
        <v>0</v>
      </c>
      <c r="I7" s="555">
        <f>IF('UTILITY REPORT 1'!G8&lt;0,"0",'UTILITY REPORT 1'!G8)</f>
        <v>0</v>
      </c>
      <c r="J7" s="566">
        <v>0</v>
      </c>
      <c r="K7" s="554">
        <f>'UTILITY REPORT 1'!C8</f>
        <v>0</v>
      </c>
      <c r="L7" s="556" t="e">
        <f>E7*F7+G7*H7+#REF!*#REF!+I7*J7</f>
        <v>#DIV/0!</v>
      </c>
    </row>
    <row r="8" spans="1:12">
      <c r="A8" s="551" t="s">
        <v>286</v>
      </c>
      <c r="B8" s="552">
        <f t="shared" si="0"/>
        <v>7</v>
      </c>
      <c r="C8" s="552">
        <v>2</v>
      </c>
      <c r="D8" s="553">
        <v>2020</v>
      </c>
      <c r="E8" s="554">
        <f>'UTILITY REPORT 1'!F9</f>
        <v>0</v>
      </c>
      <c r="F8" s="555" t="e">
        <f>('UTILITY REPORT 1'!E9*'UTILITY REPORT 1'!D9)/'UTILITY REPORT 1'!F9</f>
        <v>#DIV/0!</v>
      </c>
      <c r="G8" s="555">
        <f>IF('Utility summery'!M12&lt;0,"0",'Utility summery'!M12)</f>
        <v>0</v>
      </c>
      <c r="H8" s="566">
        <v>0</v>
      </c>
      <c r="I8" s="555">
        <f>IF('UTILITY REPORT 1'!G9&lt;0,"0",'UTILITY REPORT 1'!G9)</f>
        <v>0</v>
      </c>
      <c r="J8" s="566">
        <v>0</v>
      </c>
      <c r="K8" s="554">
        <f>'UTILITY REPORT 1'!C9</f>
        <v>0</v>
      </c>
      <c r="L8" s="556" t="e">
        <f>E8*F8+G8*H8+#REF!*#REF!+I8*J8</f>
        <v>#DIV/0!</v>
      </c>
    </row>
    <row r="9" spans="1:12">
      <c r="A9" s="551" t="s">
        <v>286</v>
      </c>
      <c r="B9" s="552">
        <f t="shared" si="0"/>
        <v>8</v>
      </c>
      <c r="C9" s="552">
        <v>2</v>
      </c>
      <c r="D9" s="553">
        <v>2020</v>
      </c>
      <c r="E9" s="554">
        <f>'UTILITY REPORT 1'!F10</f>
        <v>0</v>
      </c>
      <c r="F9" s="555" t="e">
        <f>('UTILITY REPORT 1'!E10*'UTILITY REPORT 1'!D10)/'UTILITY REPORT 1'!F10</f>
        <v>#DIV/0!</v>
      </c>
      <c r="G9" s="555">
        <f>IF('Utility summery'!M13&lt;0,"0",'Utility summery'!M13)</f>
        <v>0</v>
      </c>
      <c r="H9" s="566">
        <v>0</v>
      </c>
      <c r="I9" s="555">
        <f>IF('UTILITY REPORT 1'!G10&lt;0,"0",'UTILITY REPORT 1'!G10)</f>
        <v>0</v>
      </c>
      <c r="J9" s="566">
        <v>0</v>
      </c>
      <c r="K9" s="554">
        <f>'UTILITY REPORT 1'!C10</f>
        <v>0</v>
      </c>
      <c r="L9" s="556" t="e">
        <f>E9*F9+G9*H9+#REF!*#REF!+I9*J9</f>
        <v>#DIV/0!</v>
      </c>
    </row>
    <row r="10" spans="1:12">
      <c r="A10" s="551" t="s">
        <v>286</v>
      </c>
      <c r="B10" s="552">
        <f t="shared" si="0"/>
        <v>9</v>
      </c>
      <c r="C10" s="552">
        <v>2</v>
      </c>
      <c r="D10" s="553">
        <v>2020</v>
      </c>
      <c r="E10" s="554">
        <f>'UTILITY REPORT 1'!F11</f>
        <v>0</v>
      </c>
      <c r="F10" s="555" t="e">
        <f>('UTILITY REPORT 1'!E11*'UTILITY REPORT 1'!D11)/'UTILITY REPORT 1'!F11</f>
        <v>#DIV/0!</v>
      </c>
      <c r="G10" s="555">
        <f>IF('Utility summery'!M14&lt;0,"0",'Utility summery'!M14)</f>
        <v>0</v>
      </c>
      <c r="H10" s="566">
        <v>0</v>
      </c>
      <c r="I10" s="555">
        <f>IF('UTILITY REPORT 1'!G11&lt;0,"0",'UTILITY REPORT 1'!G11)</f>
        <v>0</v>
      </c>
      <c r="J10" s="566">
        <v>0</v>
      </c>
      <c r="K10" s="554">
        <f>'UTILITY REPORT 1'!C11</f>
        <v>0</v>
      </c>
      <c r="L10" s="556" t="e">
        <f>E10*F10+G10*H10+#REF!*#REF!+I10*J10</f>
        <v>#DIV/0!</v>
      </c>
    </row>
    <row r="11" spans="1:12">
      <c r="A11" s="551" t="s">
        <v>286</v>
      </c>
      <c r="B11" s="552">
        <f t="shared" si="0"/>
        <v>10</v>
      </c>
      <c r="C11" s="552">
        <v>2</v>
      </c>
      <c r="D11" s="553">
        <v>2020</v>
      </c>
      <c r="E11" s="554">
        <f>'UTILITY REPORT 1'!F12</f>
        <v>0</v>
      </c>
      <c r="F11" s="555" t="e">
        <f>('UTILITY REPORT 1'!E12*'UTILITY REPORT 1'!D12)/'UTILITY REPORT 1'!F12</f>
        <v>#DIV/0!</v>
      </c>
      <c r="G11" s="555">
        <f>IF('Utility summery'!M15&lt;0,"0",'Utility summery'!M15)</f>
        <v>0</v>
      </c>
      <c r="H11" s="566">
        <v>0</v>
      </c>
      <c r="I11" s="555">
        <f>IF('UTILITY REPORT 1'!G12&lt;0,"0",'UTILITY REPORT 1'!G12)</f>
        <v>0</v>
      </c>
      <c r="J11" s="566">
        <v>0</v>
      </c>
      <c r="K11" s="554">
        <f>'UTILITY REPORT 1'!C12</f>
        <v>0</v>
      </c>
      <c r="L11" s="556" t="e">
        <f>E11*F11+G11*H11+#REF!*#REF!+I11*J11</f>
        <v>#DIV/0!</v>
      </c>
    </row>
    <row r="12" spans="1:12">
      <c r="A12" s="551" t="s">
        <v>286</v>
      </c>
      <c r="B12" s="552">
        <f t="shared" si="0"/>
        <v>11</v>
      </c>
      <c r="C12" s="552">
        <v>2</v>
      </c>
      <c r="D12" s="553">
        <v>2020</v>
      </c>
      <c r="E12" s="554">
        <f>'UTILITY REPORT 1'!F13</f>
        <v>0</v>
      </c>
      <c r="F12" s="555" t="e">
        <f>('UTILITY REPORT 1'!E13*'UTILITY REPORT 1'!D13)/'UTILITY REPORT 1'!F13</f>
        <v>#DIV/0!</v>
      </c>
      <c r="G12" s="555">
        <f>IF('Utility summery'!M16&lt;0,"0",'Utility summery'!M16)</f>
        <v>0</v>
      </c>
      <c r="H12" s="566">
        <v>0</v>
      </c>
      <c r="I12" s="555">
        <f>IF('UTILITY REPORT 1'!G13&lt;0,"0",'UTILITY REPORT 1'!G13)</f>
        <v>0</v>
      </c>
      <c r="J12" s="566">
        <v>0</v>
      </c>
      <c r="K12" s="554">
        <f>'UTILITY REPORT 1'!C13</f>
        <v>0</v>
      </c>
      <c r="L12" s="556" t="e">
        <f>E12*F12+G12*H12+#REF!*#REF!+I12*J12</f>
        <v>#DIV/0!</v>
      </c>
    </row>
    <row r="13" spans="1:12">
      <c r="A13" s="551" t="s">
        <v>286</v>
      </c>
      <c r="B13" s="552">
        <f t="shared" si="0"/>
        <v>12</v>
      </c>
      <c r="C13" s="552">
        <v>2</v>
      </c>
      <c r="D13" s="553">
        <v>2020</v>
      </c>
      <c r="E13" s="554">
        <f>'UTILITY REPORT 1'!F14</f>
        <v>0</v>
      </c>
      <c r="F13" s="555" t="e">
        <f>('UTILITY REPORT 1'!E14*'UTILITY REPORT 1'!D14)/'UTILITY REPORT 1'!F14</f>
        <v>#DIV/0!</v>
      </c>
      <c r="G13" s="555">
        <f>IF('Utility summery'!M17&lt;0,"0",'Utility summery'!M17)</f>
        <v>0</v>
      </c>
      <c r="H13" s="566">
        <v>0</v>
      </c>
      <c r="I13" s="555">
        <f>IF('UTILITY REPORT 1'!G14&lt;0,"0",'UTILITY REPORT 1'!G14)</f>
        <v>0</v>
      </c>
      <c r="J13" s="566">
        <v>0</v>
      </c>
      <c r="K13" s="554">
        <f>'UTILITY REPORT 1'!C14</f>
        <v>0</v>
      </c>
      <c r="L13" s="556" t="e">
        <f>E13*F13+G13*H13+#REF!*#REF!+I13*J13</f>
        <v>#DIV/0!</v>
      </c>
    </row>
    <row r="14" spans="1:12">
      <c r="A14" s="551" t="s">
        <v>286</v>
      </c>
      <c r="B14" s="552">
        <f t="shared" si="0"/>
        <v>13</v>
      </c>
      <c r="C14" s="552">
        <v>2</v>
      </c>
      <c r="D14" s="553">
        <v>2020</v>
      </c>
      <c r="E14" s="554">
        <f>'UTILITY REPORT 1'!F15</f>
        <v>0</v>
      </c>
      <c r="F14" s="555" t="e">
        <f>('UTILITY REPORT 1'!E15*'UTILITY REPORT 1'!D15)/'UTILITY REPORT 1'!F15</f>
        <v>#DIV/0!</v>
      </c>
      <c r="G14" s="555">
        <f>IF('Utility summery'!M18&lt;0,"0",'Utility summery'!M18)</f>
        <v>0</v>
      </c>
      <c r="H14" s="566">
        <v>0</v>
      </c>
      <c r="I14" s="555">
        <f>IF('UTILITY REPORT 1'!G15&lt;0,"0",'UTILITY REPORT 1'!G15)</f>
        <v>0</v>
      </c>
      <c r="J14" s="566">
        <v>0</v>
      </c>
      <c r="K14" s="554">
        <f>'UTILITY REPORT 1'!C15</f>
        <v>0</v>
      </c>
      <c r="L14" s="556" t="e">
        <f>E14*F14+G14*H14+#REF!*#REF!+I14*J14</f>
        <v>#DIV/0!</v>
      </c>
    </row>
    <row r="15" spans="1:12">
      <c r="A15" s="551" t="s">
        <v>286</v>
      </c>
      <c r="B15" s="552">
        <f t="shared" si="0"/>
        <v>14</v>
      </c>
      <c r="C15" s="552">
        <v>2</v>
      </c>
      <c r="D15" s="553">
        <v>2020</v>
      </c>
      <c r="E15" s="554">
        <f>'UTILITY REPORT 1'!F16</f>
        <v>0</v>
      </c>
      <c r="F15" s="555" t="e">
        <f>('UTILITY REPORT 1'!E16*'UTILITY REPORT 1'!D16)/'UTILITY REPORT 1'!F16</f>
        <v>#DIV/0!</v>
      </c>
      <c r="G15" s="555">
        <f>IF('Utility summery'!M19&lt;0,"0",'Utility summery'!M19)</f>
        <v>0</v>
      </c>
      <c r="H15" s="566">
        <v>0</v>
      </c>
      <c r="I15" s="555">
        <f>IF('UTILITY REPORT 1'!G16&lt;0,"0",'UTILITY REPORT 1'!G16)</f>
        <v>0</v>
      </c>
      <c r="J15" s="566">
        <v>0</v>
      </c>
      <c r="K15" s="554">
        <f>'UTILITY REPORT 1'!C16</f>
        <v>0</v>
      </c>
      <c r="L15" s="556" t="e">
        <f>E15*F15+G15*H15+#REF!*#REF!+I15*J15</f>
        <v>#DIV/0!</v>
      </c>
    </row>
    <row r="16" spans="1:12">
      <c r="A16" s="551" t="s">
        <v>286</v>
      </c>
      <c r="B16" s="552">
        <f t="shared" si="0"/>
        <v>15</v>
      </c>
      <c r="C16" s="552">
        <v>2</v>
      </c>
      <c r="D16" s="553">
        <v>2020</v>
      </c>
      <c r="E16" s="554">
        <f>'UTILITY REPORT 1'!F17</f>
        <v>0</v>
      </c>
      <c r="F16" s="555" t="e">
        <f>('UTILITY REPORT 1'!E17*'UTILITY REPORT 1'!D17)/'UTILITY REPORT 1'!F17</f>
        <v>#DIV/0!</v>
      </c>
      <c r="G16" s="555">
        <f>IF('Utility summery'!M20&lt;0,"0",'Utility summery'!M20)</f>
        <v>0</v>
      </c>
      <c r="H16" s="566">
        <v>0</v>
      </c>
      <c r="I16" s="555">
        <f>IF('UTILITY REPORT 1'!G17&lt;0,"0",'UTILITY REPORT 1'!G17)</f>
        <v>0</v>
      </c>
      <c r="J16" s="566">
        <v>0</v>
      </c>
      <c r="K16" s="554">
        <f>'UTILITY REPORT 1'!C17</f>
        <v>0</v>
      </c>
      <c r="L16" s="556" t="e">
        <f>E16*F16+G16*H16+#REF!*#REF!+I16*J16</f>
        <v>#DIV/0!</v>
      </c>
    </row>
    <row r="17" spans="1:12">
      <c r="A17" s="551" t="s">
        <v>286</v>
      </c>
      <c r="B17" s="552">
        <f t="shared" si="0"/>
        <v>16</v>
      </c>
      <c r="C17" s="552">
        <v>2</v>
      </c>
      <c r="D17" s="553">
        <v>2020</v>
      </c>
      <c r="E17" s="554">
        <f>'UTILITY REPORT 1'!F18</f>
        <v>0</v>
      </c>
      <c r="F17" s="555" t="e">
        <f>('UTILITY REPORT 1'!E18*'UTILITY REPORT 1'!D18)/'UTILITY REPORT 1'!F18</f>
        <v>#DIV/0!</v>
      </c>
      <c r="G17" s="555">
        <f>IF('Utility summery'!M21&lt;0,"0",'Utility summery'!M21)</f>
        <v>0</v>
      </c>
      <c r="H17" s="566">
        <v>0</v>
      </c>
      <c r="I17" s="555">
        <f>IF('UTILITY REPORT 1'!G18&lt;0,"0",'UTILITY REPORT 1'!G18)</f>
        <v>0</v>
      </c>
      <c r="J17" s="566">
        <v>0</v>
      </c>
      <c r="K17" s="554">
        <f>'UTILITY REPORT 1'!C18</f>
        <v>0</v>
      </c>
      <c r="L17" s="556" t="e">
        <f>E17*F17+G17*H17+#REF!*#REF!+I17*J17</f>
        <v>#DIV/0!</v>
      </c>
    </row>
    <row r="18" spans="1:12">
      <c r="A18" s="551" t="s">
        <v>286</v>
      </c>
      <c r="B18" s="552">
        <f t="shared" si="0"/>
        <v>17</v>
      </c>
      <c r="C18" s="552">
        <v>2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0</v>
      </c>
      <c r="H18" s="566">
        <v>0</v>
      </c>
      <c r="I18" s="555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286</v>
      </c>
      <c r="B19" s="552">
        <f t="shared" si="0"/>
        <v>18</v>
      </c>
      <c r="C19" s="552">
        <v>2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286</v>
      </c>
      <c r="B20" s="552">
        <f t="shared" si="0"/>
        <v>19</v>
      </c>
      <c r="C20" s="552">
        <v>2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286</v>
      </c>
      <c r="B21" s="552">
        <f t="shared" si="0"/>
        <v>20</v>
      </c>
      <c r="C21" s="552">
        <v>2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286</v>
      </c>
      <c r="B22" s="552">
        <f t="shared" si="0"/>
        <v>21</v>
      </c>
      <c r="C22" s="552">
        <v>2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286</v>
      </c>
      <c r="B23" s="552">
        <f t="shared" si="0"/>
        <v>22</v>
      </c>
      <c r="C23" s="552">
        <v>2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286</v>
      </c>
      <c r="B24" s="552">
        <f t="shared" si="0"/>
        <v>23</v>
      </c>
      <c r="C24" s="552">
        <v>2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2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2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2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2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2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2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1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2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A42" sqref="A42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32" t="s">
        <v>274</v>
      </c>
      <c r="B1" s="633" t="s">
        <v>275</v>
      </c>
      <c r="C1" s="633" t="s">
        <v>276</v>
      </c>
      <c r="D1" s="634" t="s">
        <v>277</v>
      </c>
      <c r="E1" s="635" t="s">
        <v>290</v>
      </c>
      <c r="F1" s="635" t="s">
        <v>289</v>
      </c>
      <c r="G1" s="636" t="s">
        <v>278</v>
      </c>
      <c r="H1" s="635" t="s">
        <v>287</v>
      </c>
      <c r="I1" s="635" t="s">
        <v>288</v>
      </c>
      <c r="J1" s="635" t="s">
        <v>291</v>
      </c>
      <c r="K1" s="636" t="s">
        <v>269</v>
      </c>
      <c r="L1" s="635" t="s">
        <v>292</v>
      </c>
      <c r="M1" s="636" t="s">
        <v>293</v>
      </c>
      <c r="N1" s="636" t="s">
        <v>294</v>
      </c>
      <c r="O1" s="636" t="s">
        <v>294</v>
      </c>
      <c r="P1" s="636" t="s">
        <v>308</v>
      </c>
      <c r="Q1" s="636" t="s">
        <v>295</v>
      </c>
      <c r="R1" s="636" t="s">
        <v>296</v>
      </c>
      <c r="S1" s="636" t="s">
        <v>297</v>
      </c>
      <c r="T1" s="636" t="s">
        <v>298</v>
      </c>
      <c r="U1" s="636" t="s">
        <v>299</v>
      </c>
      <c r="V1" s="636" t="s">
        <v>300</v>
      </c>
      <c r="W1" s="639" t="s">
        <v>309</v>
      </c>
      <c r="X1" s="641" t="s">
        <v>284</v>
      </c>
    </row>
    <row r="2" spans="1:24">
      <c r="A2" s="627" t="s">
        <v>286</v>
      </c>
      <c r="B2" s="628">
        <v>1</v>
      </c>
      <c r="C2" s="628">
        <v>3</v>
      </c>
      <c r="D2" s="629">
        <v>2020</v>
      </c>
      <c r="E2" s="630">
        <f>'UTILITY REPORT 1'!I3</f>
        <v>321.77</v>
      </c>
      <c r="F2" s="630">
        <f>'UTILITY REPORT 1'!E3</f>
        <v>2246.69</v>
      </c>
      <c r="G2" s="631">
        <f>'UTILITY REPORT 1'!F3</f>
        <v>5649</v>
      </c>
      <c r="H2" s="630">
        <f>IF('Kit report'!F4&lt;0,"0",'Kit report'!F4)</f>
        <v>552.00000000004366</v>
      </c>
      <c r="I2" s="630">
        <f>IF('Kit report'!X4&lt;0,"0",'Kit report'!X4)</f>
        <v>979.99999999992724</v>
      </c>
      <c r="J2" s="630">
        <f>IF('Utility summery'!H6&lt;0,"0",'Utility summery'!H6)</f>
        <v>100</v>
      </c>
      <c r="K2" s="631">
        <f>IF('UTILITY REPORT 1'!H3&lt;0,"0",'UTILITY REPORT 1'!H3)</f>
        <v>182</v>
      </c>
      <c r="L2" s="630">
        <f>'Water-Meter'!K6</f>
        <v>3</v>
      </c>
      <c r="M2" s="631">
        <f>'Water-Meter'!H6</f>
        <v>0</v>
      </c>
      <c r="N2" s="631">
        <f>'Water-Meter'!Q6</f>
        <v>11</v>
      </c>
      <c r="O2" s="630" t="e">
        <f>K2*E2+H2*I2+#REF!*#REF!+J2*L2</f>
        <v>#REF!</v>
      </c>
      <c r="P2" s="630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42">
        <f>Total!K2</f>
        <v>49</v>
      </c>
    </row>
    <row r="3" spans="1:24">
      <c r="A3" s="621" t="s">
        <v>286</v>
      </c>
      <c r="B3" s="618">
        <f>B2+1</f>
        <v>2</v>
      </c>
      <c r="C3" s="628">
        <v>3</v>
      </c>
      <c r="D3" s="629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30">
        <f>'Water-Meter'!E7</f>
        <v>164</v>
      </c>
      <c r="Q3" s="324">
        <f>IF('Water-Meter'!U7&lt;0,"0",'Water-Meter'!U7)</f>
        <v>59</v>
      </c>
      <c r="R3" s="324">
        <f>IF('Water-Meter'!X7&lt;0,"0",'Water-Meter'!X7)</f>
        <v>47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 t="str">
        <f>IF('Water-Meter'!AJ7&lt;0,"0",'Water-Meter'!AJ7)</f>
        <v>0</v>
      </c>
      <c r="W3" s="31">
        <f>'Water-Meter'!AN7</f>
        <v>186</v>
      </c>
      <c r="X3" s="642">
        <f>Total!K3</f>
        <v>0</v>
      </c>
    </row>
    <row r="4" spans="1:24">
      <c r="A4" s="621" t="s">
        <v>286</v>
      </c>
      <c r="B4" s="618">
        <f t="shared" ref="B4:B30" si="0">B3+1</f>
        <v>3</v>
      </c>
      <c r="C4" s="628">
        <v>3</v>
      </c>
      <c r="D4" s="629">
        <v>2020</v>
      </c>
      <c r="E4" s="619">
        <f>'UTILITY REPORT 1'!I5</f>
        <v>0</v>
      </c>
      <c r="F4" s="619">
        <f>'UTILITY REPORT 1'!E5</f>
        <v>0</v>
      </c>
      <c r="G4" s="620">
        <f>'UTILITY REPORT 1'!F5</f>
        <v>0</v>
      </c>
      <c r="H4" s="619" t="str">
        <f>IF('Kit report'!F6&lt;0,"0",'Kit report'!F6)</f>
        <v>0</v>
      </c>
      <c r="I4" s="619" t="str">
        <f>IF('Kit report'!X6&lt;0,"0",'Kit report'!X6)</f>
        <v>0</v>
      </c>
      <c r="J4" s="619" t="str">
        <f>IF('Utility summery'!H8&lt;0,"0",'Utility summery'!H8)</f>
        <v>0</v>
      </c>
      <c r="K4" s="620" t="str">
        <f>IF('UTILITY REPORT 1'!H5&lt;0,"0",'UTILITY REPORT 1'!H5)</f>
        <v>0</v>
      </c>
      <c r="L4" s="619" t="str">
        <f>'Water-Meter'!K8</f>
        <v>0</v>
      </c>
      <c r="M4" s="620" t="str">
        <f>'Water-Meter'!H8</f>
        <v>0</v>
      </c>
      <c r="N4" s="620" t="str">
        <f>'Water-Meter'!Q8</f>
        <v>0</v>
      </c>
      <c r="O4" s="619" t="e">
        <f>K4*E4+H4*I4+#REF!*#REF!+J4*L4</f>
        <v>#REF!</v>
      </c>
      <c r="P4" s="630" t="str">
        <f>'Water-Meter'!E8</f>
        <v>0</v>
      </c>
      <c r="Q4" s="324" t="str">
        <f>IF('Water-Meter'!U8&lt;0,"0",'Water-Meter'!U8)</f>
        <v>0</v>
      </c>
      <c r="R4" s="324" t="str">
        <f>IF('Water-Meter'!X8&lt;0,"0",'Water-Meter'!X8)</f>
        <v>0</v>
      </c>
      <c r="S4" s="324" t="str">
        <f>IF('Water-Meter'!AA8&lt;0,"0",'Water-Meter'!AA8)</f>
        <v>0</v>
      </c>
      <c r="T4" s="324" t="str">
        <f>IF('Water-Meter'!AD8&lt;0,"0",'Water-Meter'!AD8)</f>
        <v>0</v>
      </c>
      <c r="U4" s="324" t="str">
        <f>IF('Water-Meter'!AG8&lt;0,"0",'Water-Meter'!AG8)</f>
        <v>0</v>
      </c>
      <c r="V4" s="324" t="str">
        <f>IF('Water-Meter'!AJ8&lt;0,"0",'Water-Meter'!AJ8)</f>
        <v>0</v>
      </c>
      <c r="W4" s="31">
        <f>'Water-Meter'!AN8</f>
        <v>0</v>
      </c>
      <c r="X4" s="642">
        <f>Total!K4</f>
        <v>0</v>
      </c>
    </row>
    <row r="5" spans="1:24">
      <c r="A5" s="621" t="s">
        <v>286</v>
      </c>
      <c r="B5" s="618">
        <f t="shared" si="0"/>
        <v>4</v>
      </c>
      <c r="C5" s="628">
        <v>3</v>
      </c>
      <c r="D5" s="629">
        <v>2020</v>
      </c>
      <c r="E5" s="619">
        <f>'UTILITY REPORT 1'!I6</f>
        <v>0</v>
      </c>
      <c r="F5" s="619">
        <f>'UTILITY REPORT 1'!E6</f>
        <v>0</v>
      </c>
      <c r="G5" s="620">
        <f>'UTILITY REPORT 1'!F6</f>
        <v>0</v>
      </c>
      <c r="H5" s="619">
        <f>IF('Kit report'!F7&lt;0,"0",'Kit report'!F7)</f>
        <v>0</v>
      </c>
      <c r="I5" s="619">
        <f>IF('Kit report'!X7&lt;0,"0",'Kit report'!X7)</f>
        <v>0</v>
      </c>
      <c r="J5" s="619">
        <f>IF('Utility summery'!H9&lt;0,"0",'Utility summery'!H9)</f>
        <v>0</v>
      </c>
      <c r="K5" s="620">
        <f>IF('UTILITY REPORT 1'!H6&lt;0,"0",'UTILITY REPORT 1'!H6)</f>
        <v>0</v>
      </c>
      <c r="L5" s="619">
        <f>'Water-Meter'!K9</f>
        <v>0</v>
      </c>
      <c r="M5" s="620">
        <f>'Water-Meter'!H9</f>
        <v>0</v>
      </c>
      <c r="N5" s="620">
        <f>'Water-Meter'!Q9</f>
        <v>0</v>
      </c>
      <c r="O5" s="619" t="e">
        <f>K5*E5+H5*I5+#REF!*#REF!+J5*L5</f>
        <v>#REF!</v>
      </c>
      <c r="P5" s="630">
        <f>'Water-Meter'!E9</f>
        <v>0</v>
      </c>
      <c r="Q5" s="324">
        <f>IF('Water-Meter'!U9&lt;0,"0",'Water-Meter'!U9)</f>
        <v>0</v>
      </c>
      <c r="R5" s="324">
        <f>IF('Water-Meter'!X9&lt;0,"0",'Water-Meter'!X9)</f>
        <v>0</v>
      </c>
      <c r="S5" s="324">
        <f>IF('Water-Meter'!AA9&lt;0,"0",'Water-Meter'!AA9)</f>
        <v>0</v>
      </c>
      <c r="T5" s="324">
        <f>IF('Water-Meter'!AD9&lt;0,"0",'Water-Meter'!AD9)</f>
        <v>0</v>
      </c>
      <c r="U5" s="324">
        <f>IF('Water-Meter'!AG9&lt;0,"0",'Water-Meter'!AG9)</f>
        <v>0</v>
      </c>
      <c r="V5" s="324">
        <f>IF('Water-Meter'!AJ9&lt;0,"0",'Water-Meter'!AJ9)</f>
        <v>0</v>
      </c>
      <c r="W5" s="31">
        <f>'Water-Meter'!AN9</f>
        <v>0</v>
      </c>
      <c r="X5" s="642">
        <f>Total!K5</f>
        <v>0</v>
      </c>
    </row>
    <row r="6" spans="1:24">
      <c r="A6" s="621" t="s">
        <v>286</v>
      </c>
      <c r="B6" s="618">
        <f t="shared" si="0"/>
        <v>5</v>
      </c>
      <c r="C6" s="628">
        <v>3</v>
      </c>
      <c r="D6" s="629">
        <v>2020</v>
      </c>
      <c r="E6" s="619">
        <f>'UTILITY REPORT 1'!I7</f>
        <v>0</v>
      </c>
      <c r="F6" s="619">
        <f>'UTILITY REPORT 1'!E7</f>
        <v>0</v>
      </c>
      <c r="G6" s="620">
        <f>'UTILITY REPORT 1'!F7</f>
        <v>0</v>
      </c>
      <c r="H6" s="619">
        <f>IF('Kit report'!F8&lt;0,"0",'Kit report'!F8)</f>
        <v>0</v>
      </c>
      <c r="I6" s="619">
        <f>IF('Kit report'!X8&lt;0,"0",'Kit report'!X8)</f>
        <v>0</v>
      </c>
      <c r="J6" s="619">
        <f>IF('Utility summery'!H10&lt;0,"0",'Utility summery'!H10)</f>
        <v>0</v>
      </c>
      <c r="K6" s="620">
        <f>IF('UTILITY REPORT 1'!H7&lt;0,"0",'UTILITY REPORT 1'!H7)</f>
        <v>0</v>
      </c>
      <c r="L6" s="619">
        <f>'Water-Meter'!K10</f>
        <v>0</v>
      </c>
      <c r="M6" s="620">
        <f>'Water-Meter'!H10</f>
        <v>0</v>
      </c>
      <c r="N6" s="620">
        <f>'Water-Meter'!Q10</f>
        <v>0</v>
      </c>
      <c r="O6" s="619" t="e">
        <f>K6*E6+H6*I6+#REF!*#REF!+J6*L6</f>
        <v>#REF!</v>
      </c>
      <c r="P6" s="630">
        <f>'Water-Meter'!E10</f>
        <v>0</v>
      </c>
      <c r="Q6" s="324">
        <f>IF('Water-Meter'!U10&lt;0,"0",'Water-Meter'!U10)</f>
        <v>0</v>
      </c>
      <c r="R6" s="324">
        <f>IF('Water-Meter'!X10&lt;0,"0",'Water-Meter'!X10)</f>
        <v>0</v>
      </c>
      <c r="S6" s="324">
        <f>IF('Water-Meter'!AA10&lt;0,"0",'Water-Meter'!AA10)</f>
        <v>0</v>
      </c>
      <c r="T6" s="324">
        <f>IF('Water-Meter'!AD10&lt;0,"0",'Water-Meter'!AD10)</f>
        <v>0</v>
      </c>
      <c r="U6" s="324">
        <f>IF('Water-Meter'!AG10&lt;0,"0",'Water-Meter'!AG10)</f>
        <v>0</v>
      </c>
      <c r="V6" s="324">
        <f>IF('Water-Meter'!AJ10&lt;0,"0",'Water-Meter'!AJ10)</f>
        <v>0</v>
      </c>
      <c r="W6" s="31">
        <f>'Water-Meter'!AN10</f>
        <v>0</v>
      </c>
      <c r="X6" s="642">
        <f>Total!K6</f>
        <v>0</v>
      </c>
    </row>
    <row r="7" spans="1:24">
      <c r="A7" s="621" t="s">
        <v>286</v>
      </c>
      <c r="B7" s="618">
        <f t="shared" si="0"/>
        <v>6</v>
      </c>
      <c r="C7" s="628">
        <v>3</v>
      </c>
      <c r="D7" s="629">
        <v>2020</v>
      </c>
      <c r="E7" s="619">
        <f>'UTILITY REPORT 1'!I8</f>
        <v>0</v>
      </c>
      <c r="F7" s="619">
        <f>'UTILITY REPORT 1'!E8</f>
        <v>0</v>
      </c>
      <c r="G7" s="620">
        <f>'UTILITY REPORT 1'!F8</f>
        <v>0</v>
      </c>
      <c r="H7" s="619">
        <f>IF('Kit report'!F9&lt;0,"0",'Kit report'!F9)</f>
        <v>0</v>
      </c>
      <c r="I7" s="619">
        <f>IF('Kit report'!X9&lt;0,"0",'Kit report'!X9)</f>
        <v>0</v>
      </c>
      <c r="J7" s="619">
        <f>IF('Utility summery'!H11&lt;0,"0",'Utility summery'!H11)</f>
        <v>0</v>
      </c>
      <c r="K7" s="620">
        <f>IF('UTILITY REPORT 1'!H8&lt;0,"0",'UTILITY REPORT 1'!H8)</f>
        <v>0</v>
      </c>
      <c r="L7" s="619">
        <f>'Water-Meter'!K11</f>
        <v>0</v>
      </c>
      <c r="M7" s="620">
        <f>'Water-Meter'!H11</f>
        <v>0</v>
      </c>
      <c r="N7" s="620">
        <f>'Water-Meter'!Q11</f>
        <v>0</v>
      </c>
      <c r="O7" s="619" t="e">
        <f>K7*E7+H7*I7+#REF!*#REF!+J7*L7</f>
        <v>#REF!</v>
      </c>
      <c r="P7" s="630">
        <f>'Water-Meter'!E11</f>
        <v>0</v>
      </c>
      <c r="Q7" s="324">
        <f>IF('Water-Meter'!U11&lt;0,"0",'Water-Meter'!U11)</f>
        <v>0</v>
      </c>
      <c r="R7" s="324">
        <f>IF('Water-Meter'!X11&lt;0,"0",'Water-Meter'!X11)</f>
        <v>0</v>
      </c>
      <c r="S7" s="324">
        <f>IF('Water-Meter'!AA11&lt;0,"0",'Water-Meter'!AA11)</f>
        <v>0</v>
      </c>
      <c r="T7" s="324">
        <f>IF('Water-Meter'!AD11&lt;0,"0",'Water-Meter'!AD11)</f>
        <v>0</v>
      </c>
      <c r="U7" s="324">
        <f>IF('Water-Meter'!AG11&lt;0,"0",'Water-Meter'!AG11)</f>
        <v>0</v>
      </c>
      <c r="V7" s="324">
        <f>IF('Water-Meter'!AJ11&lt;0,"0",'Water-Meter'!AJ11)</f>
        <v>0</v>
      </c>
      <c r="W7" s="31">
        <f>'Water-Meter'!AN11</f>
        <v>0</v>
      </c>
      <c r="X7" s="642">
        <f>Total!K7</f>
        <v>0</v>
      </c>
    </row>
    <row r="8" spans="1:24">
      <c r="A8" s="621" t="s">
        <v>286</v>
      </c>
      <c r="B8" s="618">
        <f t="shared" si="0"/>
        <v>7</v>
      </c>
      <c r="C8" s="628">
        <v>3</v>
      </c>
      <c r="D8" s="629">
        <v>2020</v>
      </c>
      <c r="E8" s="619">
        <f>'UTILITY REPORT 1'!I9</f>
        <v>0</v>
      </c>
      <c r="F8" s="619">
        <f>'UTILITY REPORT 1'!E9</f>
        <v>0</v>
      </c>
      <c r="G8" s="620">
        <f>'UTILITY REPORT 1'!F9</f>
        <v>0</v>
      </c>
      <c r="H8" s="619">
        <f>IF('Kit report'!F10&lt;0,"0",'Kit report'!F10)</f>
        <v>0</v>
      </c>
      <c r="I8" s="619">
        <f>IF('Kit report'!X10&lt;0,"0",'Kit report'!X10)</f>
        <v>0</v>
      </c>
      <c r="J8" s="619">
        <f>IF('Utility summery'!H12&lt;0,"0",'Utility summery'!H12)</f>
        <v>0</v>
      </c>
      <c r="K8" s="620">
        <f>IF('UTILITY REPORT 1'!H9&lt;0,"0",'UTILITY REPORT 1'!H9)</f>
        <v>0</v>
      </c>
      <c r="L8" s="619">
        <f>'Water-Meter'!K12</f>
        <v>0</v>
      </c>
      <c r="M8" s="620">
        <f>'Water-Meter'!H12</f>
        <v>0</v>
      </c>
      <c r="N8" s="620">
        <f>'Water-Meter'!Q12</f>
        <v>0</v>
      </c>
      <c r="O8" s="619" t="e">
        <f>K8*E8+H8*I8+#REF!*#REF!+J8*L8</f>
        <v>#REF!</v>
      </c>
      <c r="P8" s="630">
        <f>'Water-Meter'!E12</f>
        <v>0</v>
      </c>
      <c r="Q8" s="324">
        <f>IF('Water-Meter'!U12&lt;0,"0",'Water-Meter'!U12)</f>
        <v>0</v>
      </c>
      <c r="R8" s="324">
        <f>IF('Water-Meter'!X12&lt;0,"0",'Water-Meter'!X12)</f>
        <v>0</v>
      </c>
      <c r="S8" s="324">
        <f>IF('Water-Meter'!AA12&lt;0,"0",'Water-Meter'!AA12)</f>
        <v>0</v>
      </c>
      <c r="T8" s="324">
        <f>IF('Water-Meter'!AD12&lt;0,"0",'Water-Meter'!AD12)</f>
        <v>0</v>
      </c>
      <c r="U8" s="324">
        <f>IF('Water-Meter'!AG12&lt;0,"0",'Water-Meter'!AG12)</f>
        <v>0</v>
      </c>
      <c r="V8" s="324">
        <f>IF('Water-Meter'!AJ12&lt;0,"0",'Water-Meter'!AJ12)</f>
        <v>0</v>
      </c>
      <c r="W8" s="31">
        <f>'Water-Meter'!AN12</f>
        <v>0</v>
      </c>
      <c r="X8" s="642">
        <f>Total!K8</f>
        <v>0</v>
      </c>
    </row>
    <row r="9" spans="1:24">
      <c r="A9" s="621" t="s">
        <v>286</v>
      </c>
      <c r="B9" s="618">
        <f t="shared" si="0"/>
        <v>8</v>
      </c>
      <c r="C9" s="628">
        <v>3</v>
      </c>
      <c r="D9" s="629">
        <v>2020</v>
      </c>
      <c r="E9" s="619">
        <f>'UTILITY REPORT 1'!I10</f>
        <v>0</v>
      </c>
      <c r="F9" s="619">
        <f>'UTILITY REPORT 1'!E10</f>
        <v>0</v>
      </c>
      <c r="G9" s="620">
        <f>'UTILITY REPORT 1'!F10</f>
        <v>0</v>
      </c>
      <c r="H9" s="619">
        <f>IF('Kit report'!F11&lt;0,"0",'Kit report'!F11)</f>
        <v>0</v>
      </c>
      <c r="I9" s="619">
        <f>IF('Kit report'!X11&lt;0,"0",'Kit report'!X11)</f>
        <v>0</v>
      </c>
      <c r="J9" s="619">
        <f>IF('Utility summery'!H13&lt;0,"0",'Utility summery'!H13)</f>
        <v>0</v>
      </c>
      <c r="K9" s="620">
        <f>IF('UTILITY REPORT 1'!H10&lt;0,"0",'UTILITY REPORT 1'!H10)</f>
        <v>0</v>
      </c>
      <c r="L9" s="619">
        <f>'Water-Meter'!K13</f>
        <v>0</v>
      </c>
      <c r="M9" s="620">
        <f>'Water-Meter'!H13</f>
        <v>0</v>
      </c>
      <c r="N9" s="620">
        <f>'Water-Meter'!Q13</f>
        <v>0</v>
      </c>
      <c r="O9" s="619" t="e">
        <f>K9*E9+H9*I9+#REF!*#REF!+J9*L9</f>
        <v>#REF!</v>
      </c>
      <c r="P9" s="630">
        <f>'Water-Meter'!E13</f>
        <v>0</v>
      </c>
      <c r="Q9" s="324">
        <f>IF('Water-Meter'!U13&lt;0,"0",'Water-Meter'!U13)</f>
        <v>0</v>
      </c>
      <c r="R9" s="324">
        <f>IF('Water-Meter'!X13&lt;0,"0",'Water-Meter'!X13)</f>
        <v>0</v>
      </c>
      <c r="S9" s="324">
        <f>IF('Water-Meter'!AA13&lt;0,"0",'Water-Meter'!AA13)</f>
        <v>0</v>
      </c>
      <c r="T9" s="324">
        <f>IF('Water-Meter'!AD13&lt;0,"0",'Water-Meter'!AD13)</f>
        <v>0</v>
      </c>
      <c r="U9" s="324">
        <f>IF('Water-Meter'!AG13&lt;0,"0",'Water-Meter'!AG13)</f>
        <v>0</v>
      </c>
      <c r="V9" s="324">
        <f>IF('Water-Meter'!AJ13&lt;0,"0",'Water-Meter'!AJ13)</f>
        <v>0</v>
      </c>
      <c r="W9" s="31">
        <f>'Water-Meter'!AN13</f>
        <v>0</v>
      </c>
      <c r="X9" s="642">
        <f>Total!K9</f>
        <v>0</v>
      </c>
    </row>
    <row r="10" spans="1:24">
      <c r="A10" s="621" t="s">
        <v>286</v>
      </c>
      <c r="B10" s="618">
        <f t="shared" si="0"/>
        <v>9</v>
      </c>
      <c r="C10" s="628">
        <v>3</v>
      </c>
      <c r="D10" s="629">
        <v>2020</v>
      </c>
      <c r="E10" s="619">
        <f>'UTILITY REPORT 1'!I11</f>
        <v>0</v>
      </c>
      <c r="F10" s="619">
        <f>'UTILITY REPORT 1'!E11</f>
        <v>0</v>
      </c>
      <c r="G10" s="620">
        <f>'UTILITY REPORT 1'!F11</f>
        <v>0</v>
      </c>
      <c r="H10" s="619">
        <f>IF('Kit report'!F12&lt;0,"0",'Kit report'!F12)</f>
        <v>0</v>
      </c>
      <c r="I10" s="619">
        <f>IF('Kit report'!X12&lt;0,"0",'Kit report'!X12)</f>
        <v>0</v>
      </c>
      <c r="J10" s="619">
        <f>IF('Utility summery'!H14&lt;0,"0",'Utility summery'!H14)</f>
        <v>0</v>
      </c>
      <c r="K10" s="620">
        <f>IF('UTILITY REPORT 1'!H11&lt;0,"0",'UTILITY REPORT 1'!H11)</f>
        <v>0</v>
      </c>
      <c r="L10" s="619">
        <f>'Water-Meter'!K14</f>
        <v>0</v>
      </c>
      <c r="M10" s="620">
        <f>'Water-Meter'!H14</f>
        <v>0</v>
      </c>
      <c r="N10" s="620">
        <f>'Water-Meter'!Q14</f>
        <v>0</v>
      </c>
      <c r="O10" s="619" t="e">
        <f>K10*E10+H10*I10+#REF!*#REF!+J10*L10</f>
        <v>#REF!</v>
      </c>
      <c r="P10" s="630">
        <f>'Water-Meter'!E14</f>
        <v>0</v>
      </c>
      <c r="Q10" s="324">
        <f>IF('Water-Meter'!U14&lt;0,"0",'Water-Meter'!U14)</f>
        <v>0</v>
      </c>
      <c r="R10" s="324">
        <f>IF('Water-Meter'!X14&lt;0,"0",'Water-Meter'!X14)</f>
        <v>0</v>
      </c>
      <c r="S10" s="324">
        <f>IF('Water-Meter'!AA14&lt;0,"0",'Water-Meter'!AA14)</f>
        <v>0</v>
      </c>
      <c r="T10" s="324">
        <f>IF('Water-Meter'!AD14&lt;0,"0",'Water-Meter'!AD14)</f>
        <v>0</v>
      </c>
      <c r="U10" s="324">
        <f>IF('Water-Meter'!AG14&lt;0,"0",'Water-Meter'!AG14)</f>
        <v>0</v>
      </c>
      <c r="V10" s="324">
        <f>IF('Water-Meter'!AJ14&lt;0,"0",'Water-Meter'!AJ14)</f>
        <v>0</v>
      </c>
      <c r="W10" s="31">
        <f>'Water-Meter'!AN14</f>
        <v>0</v>
      </c>
      <c r="X10" s="642">
        <f>Total!K10</f>
        <v>0</v>
      </c>
    </row>
    <row r="11" spans="1:24">
      <c r="A11" s="621" t="s">
        <v>286</v>
      </c>
      <c r="B11" s="618">
        <f t="shared" si="0"/>
        <v>10</v>
      </c>
      <c r="C11" s="628">
        <v>3</v>
      </c>
      <c r="D11" s="629">
        <v>2020</v>
      </c>
      <c r="E11" s="619">
        <f>'UTILITY REPORT 1'!I12</f>
        <v>0</v>
      </c>
      <c r="F11" s="619">
        <f>'UTILITY REPORT 1'!E12</f>
        <v>0</v>
      </c>
      <c r="G11" s="620">
        <f>'UTILITY REPORT 1'!F12</f>
        <v>0</v>
      </c>
      <c r="H11" s="619">
        <f>IF('Kit report'!F13&lt;0,"0",'Kit report'!F13)</f>
        <v>0</v>
      </c>
      <c r="I11" s="619">
        <f>IF('Kit report'!X13&lt;0,"0",'Kit report'!X13)</f>
        <v>0</v>
      </c>
      <c r="J11" s="619">
        <f>IF('Utility summery'!H15&lt;0,"0",'Utility summery'!H15)</f>
        <v>0</v>
      </c>
      <c r="K11" s="620">
        <f>IF('UTILITY REPORT 1'!H12&lt;0,"0",'UTILITY REPORT 1'!H12)</f>
        <v>0</v>
      </c>
      <c r="L11" s="619">
        <f>'Water-Meter'!K15</f>
        <v>0</v>
      </c>
      <c r="M11" s="620">
        <f>'Water-Meter'!H15</f>
        <v>0</v>
      </c>
      <c r="N11" s="620">
        <f>'Water-Meter'!Q15</f>
        <v>0</v>
      </c>
      <c r="O11" s="619" t="e">
        <f>K11*E11+H11*I11+#REF!*#REF!+J11*L11</f>
        <v>#REF!</v>
      </c>
      <c r="P11" s="630">
        <f>'Water-Meter'!E15</f>
        <v>0</v>
      </c>
      <c r="Q11" s="324">
        <f>IF('Water-Meter'!U15&lt;0,"0",'Water-Meter'!U15)</f>
        <v>0</v>
      </c>
      <c r="R11" s="324">
        <f>IF('Water-Meter'!X15&lt;0,"0",'Water-Meter'!X15)</f>
        <v>0</v>
      </c>
      <c r="S11" s="324">
        <f>IF('Water-Meter'!AA15&lt;0,"0",'Water-Meter'!AA15)</f>
        <v>0</v>
      </c>
      <c r="T11" s="324">
        <f>IF('Water-Meter'!AD15&lt;0,"0",'Water-Meter'!AD15)</f>
        <v>0</v>
      </c>
      <c r="U11" s="324">
        <f>IF('Water-Meter'!AG15&lt;0,"0",'Water-Meter'!AG15)</f>
        <v>0</v>
      </c>
      <c r="V11" s="324">
        <f>IF('Water-Meter'!AJ15&lt;0,"0",'Water-Meter'!AJ15)</f>
        <v>0</v>
      </c>
      <c r="W11" s="31">
        <f>'Water-Meter'!AN15</f>
        <v>0</v>
      </c>
      <c r="X11" s="642">
        <f>Total!K11</f>
        <v>0</v>
      </c>
    </row>
    <row r="12" spans="1:24">
      <c r="A12" s="621" t="s">
        <v>286</v>
      </c>
      <c r="B12" s="618">
        <f t="shared" si="0"/>
        <v>11</v>
      </c>
      <c r="C12" s="628">
        <v>3</v>
      </c>
      <c r="D12" s="629">
        <v>2020</v>
      </c>
      <c r="E12" s="619">
        <f>'UTILITY REPORT 1'!I13</f>
        <v>0</v>
      </c>
      <c r="F12" s="619">
        <f>'UTILITY REPORT 1'!E13</f>
        <v>0</v>
      </c>
      <c r="G12" s="620">
        <f>'UTILITY REPORT 1'!F13</f>
        <v>0</v>
      </c>
      <c r="H12" s="619">
        <f>IF('Kit report'!F14&lt;0,"0",'Kit report'!F14)</f>
        <v>0</v>
      </c>
      <c r="I12" s="619">
        <f>IF('Kit report'!X14&lt;0,"0",'Kit report'!X14)</f>
        <v>0</v>
      </c>
      <c r="J12" s="619">
        <f>IF('Utility summery'!H16&lt;0,"0",'Utility summery'!H16)</f>
        <v>0</v>
      </c>
      <c r="K12" s="620">
        <f>IF('UTILITY REPORT 1'!H13&lt;0,"0",'UTILITY REPORT 1'!H13)</f>
        <v>0</v>
      </c>
      <c r="L12" s="619">
        <f>'Water-Meter'!K16</f>
        <v>0</v>
      </c>
      <c r="M12" s="620">
        <f>'Water-Meter'!H16</f>
        <v>0</v>
      </c>
      <c r="N12" s="620">
        <f>'Water-Meter'!Q16</f>
        <v>0</v>
      </c>
      <c r="O12" s="619" t="e">
        <f>K12*E12+H12*I12+#REF!*#REF!+J12*L12</f>
        <v>#REF!</v>
      </c>
      <c r="P12" s="630">
        <f>'Water-Meter'!E16</f>
        <v>0</v>
      </c>
      <c r="Q12" s="324">
        <f>IF('Water-Meter'!U16&lt;0,"0",'Water-Meter'!U16)</f>
        <v>0</v>
      </c>
      <c r="R12" s="324">
        <f>IF('Water-Meter'!X16&lt;0,"0",'Water-Meter'!X16)</f>
        <v>0</v>
      </c>
      <c r="S12" s="324">
        <f>IF('Water-Meter'!AA16&lt;0,"0",'Water-Meter'!AA16)</f>
        <v>0</v>
      </c>
      <c r="T12" s="324">
        <f>IF('Water-Meter'!AD16&lt;0,"0",'Water-Meter'!AD16)</f>
        <v>0</v>
      </c>
      <c r="U12" s="324">
        <f>IF('Water-Meter'!AG16&lt;0,"0",'Water-Meter'!AG16)</f>
        <v>0</v>
      </c>
      <c r="V12" s="324">
        <f>IF('Water-Meter'!AJ16&lt;0,"0",'Water-Meter'!AJ16)</f>
        <v>0</v>
      </c>
      <c r="W12" s="31">
        <f>'Water-Meter'!AN16</f>
        <v>0</v>
      </c>
      <c r="X12" s="642">
        <f>Total!K12</f>
        <v>0</v>
      </c>
    </row>
    <row r="13" spans="1:24">
      <c r="A13" s="621" t="s">
        <v>286</v>
      </c>
      <c r="B13" s="618">
        <f t="shared" si="0"/>
        <v>12</v>
      </c>
      <c r="C13" s="628">
        <v>3</v>
      </c>
      <c r="D13" s="629">
        <v>2020</v>
      </c>
      <c r="E13" s="619">
        <f>'UTILITY REPORT 1'!I14</f>
        <v>0</v>
      </c>
      <c r="F13" s="619">
        <f>'UTILITY REPORT 1'!E14</f>
        <v>0</v>
      </c>
      <c r="G13" s="620">
        <f>'UTILITY REPORT 1'!F14</f>
        <v>0</v>
      </c>
      <c r="H13" s="619">
        <f>IF('Kit report'!F15&lt;0,"0",'Kit report'!F15)</f>
        <v>0</v>
      </c>
      <c r="I13" s="619">
        <f>IF('Kit report'!X15&lt;0,"0",'Kit report'!X15)</f>
        <v>0</v>
      </c>
      <c r="J13" s="619">
        <f>IF('Utility summery'!H17&lt;0,"0",'Utility summery'!H17)</f>
        <v>0</v>
      </c>
      <c r="K13" s="620">
        <f>IF('UTILITY REPORT 1'!H14&lt;0,"0",'UTILITY REPORT 1'!H14)</f>
        <v>0</v>
      </c>
      <c r="L13" s="619">
        <f>'Water-Meter'!K17</f>
        <v>0</v>
      </c>
      <c r="M13" s="620">
        <f>'Water-Meter'!H17</f>
        <v>0</v>
      </c>
      <c r="N13" s="620">
        <f>'Water-Meter'!Q17</f>
        <v>0</v>
      </c>
      <c r="O13" s="619" t="e">
        <f>K13*E13+H13*I13+#REF!*#REF!+J13*L13</f>
        <v>#REF!</v>
      </c>
      <c r="P13" s="630">
        <f>'Water-Meter'!E17</f>
        <v>0</v>
      </c>
      <c r="Q13" s="324">
        <f>IF('Water-Meter'!U17&lt;0,"0",'Water-Meter'!U17)</f>
        <v>0</v>
      </c>
      <c r="R13" s="324">
        <f>IF('Water-Meter'!X17&lt;0,"0",'Water-Meter'!X17)</f>
        <v>0</v>
      </c>
      <c r="S13" s="324">
        <f>IF('Water-Meter'!AA17&lt;0,"0",'Water-Meter'!AA17)</f>
        <v>0</v>
      </c>
      <c r="T13" s="324">
        <f>IF('Water-Meter'!AD17&lt;0,"0",'Water-Meter'!AD17)</f>
        <v>0</v>
      </c>
      <c r="U13" s="324">
        <f>IF('Water-Meter'!AG17&lt;0,"0",'Water-Meter'!AG17)</f>
        <v>0</v>
      </c>
      <c r="V13" s="324">
        <f>IF('Water-Meter'!AJ17&lt;0,"0",'Water-Meter'!AJ17)</f>
        <v>0</v>
      </c>
      <c r="W13" s="31">
        <f>'Water-Meter'!AN17</f>
        <v>0</v>
      </c>
      <c r="X13" s="642">
        <f>Total!K13</f>
        <v>0</v>
      </c>
    </row>
    <row r="14" spans="1:24">
      <c r="A14" s="621" t="s">
        <v>286</v>
      </c>
      <c r="B14" s="618">
        <f t="shared" si="0"/>
        <v>13</v>
      </c>
      <c r="C14" s="628">
        <v>3</v>
      </c>
      <c r="D14" s="629">
        <v>2020</v>
      </c>
      <c r="E14" s="619">
        <f>'UTILITY REPORT 1'!I15</f>
        <v>0</v>
      </c>
      <c r="F14" s="619">
        <f>'UTILITY REPORT 1'!E15</f>
        <v>0</v>
      </c>
      <c r="G14" s="620">
        <f>'UTILITY REPORT 1'!F15</f>
        <v>0</v>
      </c>
      <c r="H14" s="619">
        <f>IF('Kit report'!F16&lt;0,"0",'Kit report'!F16)</f>
        <v>0</v>
      </c>
      <c r="I14" s="619">
        <f>IF('Kit report'!X16&lt;0,"0",'Kit report'!X16)</f>
        <v>0</v>
      </c>
      <c r="J14" s="619">
        <f>IF('Utility summery'!H18&lt;0,"0",'Utility summery'!H18)</f>
        <v>0</v>
      </c>
      <c r="K14" s="620">
        <f>IF('UTILITY REPORT 1'!H15&lt;0,"0",'UTILITY REPORT 1'!H15)</f>
        <v>0</v>
      </c>
      <c r="L14" s="619">
        <f>'Water-Meter'!K18</f>
        <v>0</v>
      </c>
      <c r="M14" s="620">
        <f>'Water-Meter'!H18</f>
        <v>0</v>
      </c>
      <c r="N14" s="620">
        <f>'Water-Meter'!Q18</f>
        <v>0</v>
      </c>
      <c r="O14" s="619" t="e">
        <f>K14*E14+H14*I14+#REF!*#REF!+J14*L14</f>
        <v>#REF!</v>
      </c>
      <c r="P14" s="630">
        <f>'Water-Meter'!E18</f>
        <v>0</v>
      </c>
      <c r="Q14" s="324">
        <f>IF('Water-Meter'!U18&lt;0,"0",'Water-Meter'!U18)</f>
        <v>0</v>
      </c>
      <c r="R14" s="324">
        <f>IF('Water-Meter'!X18&lt;0,"0",'Water-Meter'!X18)</f>
        <v>0</v>
      </c>
      <c r="S14" s="324">
        <f>IF('Water-Meter'!AA18&lt;0,"0",'Water-Meter'!AA18)</f>
        <v>0</v>
      </c>
      <c r="T14" s="324">
        <f>IF('Water-Meter'!AD18&lt;0,"0",'Water-Meter'!AD18)</f>
        <v>0</v>
      </c>
      <c r="U14" s="324">
        <f>IF('Water-Meter'!AG18&lt;0,"0",'Water-Meter'!AG18)</f>
        <v>0</v>
      </c>
      <c r="V14" s="324">
        <f>IF('Water-Meter'!AJ18&lt;0,"0",'Water-Meter'!AJ18)</f>
        <v>0</v>
      </c>
      <c r="W14" s="31">
        <f>'Water-Meter'!AN18</f>
        <v>0</v>
      </c>
      <c r="X14" s="642">
        <f>Total!K14</f>
        <v>0</v>
      </c>
    </row>
    <row r="15" spans="1:24">
      <c r="A15" s="621" t="s">
        <v>286</v>
      </c>
      <c r="B15" s="618">
        <f t="shared" si="0"/>
        <v>14</v>
      </c>
      <c r="C15" s="628">
        <v>3</v>
      </c>
      <c r="D15" s="629">
        <v>2020</v>
      </c>
      <c r="E15" s="619">
        <f>'UTILITY REPORT 1'!I16</f>
        <v>0</v>
      </c>
      <c r="F15" s="619">
        <f>'UTILITY REPORT 1'!E16</f>
        <v>0</v>
      </c>
      <c r="G15" s="620">
        <f>'UTILITY REPORT 1'!F16</f>
        <v>0</v>
      </c>
      <c r="H15" s="619">
        <f>IF('Kit report'!F17&lt;0,"0",'Kit report'!F17)</f>
        <v>0</v>
      </c>
      <c r="I15" s="619">
        <f>IF('Kit report'!X17&lt;0,"0",'Kit report'!X17)</f>
        <v>0</v>
      </c>
      <c r="J15" s="619">
        <f>IF('Utility summery'!H19&lt;0,"0",'Utility summery'!H19)</f>
        <v>0</v>
      </c>
      <c r="K15" s="620">
        <f>IF('UTILITY REPORT 1'!H16&lt;0,"0",'UTILITY REPORT 1'!H16)</f>
        <v>0</v>
      </c>
      <c r="L15" s="619">
        <f>'Water-Meter'!K19</f>
        <v>0</v>
      </c>
      <c r="M15" s="620">
        <f>'Water-Meter'!H19</f>
        <v>0</v>
      </c>
      <c r="N15" s="620">
        <f>'Water-Meter'!Q19</f>
        <v>0</v>
      </c>
      <c r="O15" s="619" t="e">
        <f>K15*E15+H15*I15+#REF!*#REF!+J15*L15</f>
        <v>#REF!</v>
      </c>
      <c r="P15" s="630">
        <f>'Water-Meter'!E19</f>
        <v>0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0</v>
      </c>
      <c r="U15" s="324">
        <f>IF('Water-Meter'!AG19&lt;0,"0",'Water-Meter'!AG19)</f>
        <v>0</v>
      </c>
      <c r="V15" s="324">
        <f>IF('Water-Meter'!AJ19&lt;0,"0",'Water-Meter'!AJ19)</f>
        <v>0</v>
      </c>
      <c r="W15" s="31">
        <f>'Water-Meter'!AN19</f>
        <v>0</v>
      </c>
      <c r="X15" s="642">
        <f>Total!K15</f>
        <v>0</v>
      </c>
    </row>
    <row r="16" spans="1:24">
      <c r="A16" s="621" t="s">
        <v>286</v>
      </c>
      <c r="B16" s="618">
        <f t="shared" si="0"/>
        <v>15</v>
      </c>
      <c r="C16" s="628">
        <v>3</v>
      </c>
      <c r="D16" s="629">
        <v>2020</v>
      </c>
      <c r="E16" s="619">
        <f>'UTILITY REPORT 1'!I17</f>
        <v>0</v>
      </c>
      <c r="F16" s="619">
        <f>'UTILITY REPORT 1'!E17</f>
        <v>0</v>
      </c>
      <c r="G16" s="620">
        <f>'UTILITY REPORT 1'!F17</f>
        <v>0</v>
      </c>
      <c r="H16" s="619">
        <f>IF('Kit report'!F18&lt;0,"0",'Kit report'!F18)</f>
        <v>0</v>
      </c>
      <c r="I16" s="619">
        <f>IF('Kit report'!X18&lt;0,"0",'Kit report'!X18)</f>
        <v>0</v>
      </c>
      <c r="J16" s="619">
        <f>IF('Utility summery'!H20&lt;0,"0",'Utility summery'!H20)</f>
        <v>0</v>
      </c>
      <c r="K16" s="620">
        <f>IF('UTILITY REPORT 1'!H17&lt;0,"0",'UTILITY REPORT 1'!H17)</f>
        <v>0</v>
      </c>
      <c r="L16" s="619">
        <f>'Water-Meter'!K20</f>
        <v>0</v>
      </c>
      <c r="M16" s="620">
        <f>'Water-Meter'!H20</f>
        <v>0</v>
      </c>
      <c r="N16" s="620">
        <f>'Water-Meter'!Q20</f>
        <v>0</v>
      </c>
      <c r="O16" s="619" t="e">
        <f>K16*E16+H16*I16+#REF!*#REF!+J16*L16</f>
        <v>#REF!</v>
      </c>
      <c r="P16" s="630">
        <f>'Water-Meter'!E20</f>
        <v>0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0</v>
      </c>
      <c r="U16" s="324">
        <f>IF('Water-Meter'!AG20&lt;0,"0",'Water-Meter'!AG20)</f>
        <v>0</v>
      </c>
      <c r="V16" s="324">
        <f>IF('Water-Meter'!AJ20&lt;0,"0",'Water-Meter'!AJ20)</f>
        <v>0</v>
      </c>
      <c r="W16" s="31">
        <f>'Water-Meter'!AN20</f>
        <v>0</v>
      </c>
      <c r="X16" s="642">
        <f>Total!K16</f>
        <v>0</v>
      </c>
    </row>
    <row r="17" spans="1:24">
      <c r="A17" s="621" t="s">
        <v>286</v>
      </c>
      <c r="B17" s="618">
        <f t="shared" si="0"/>
        <v>16</v>
      </c>
      <c r="C17" s="628">
        <v>3</v>
      </c>
      <c r="D17" s="629">
        <v>2020</v>
      </c>
      <c r="E17" s="619">
        <f>'UTILITY REPORT 1'!I18</f>
        <v>0</v>
      </c>
      <c r="F17" s="619">
        <f>'UTILITY REPORT 1'!E18</f>
        <v>0</v>
      </c>
      <c r="G17" s="620">
        <f>'UTILITY REPORT 1'!F18</f>
        <v>0</v>
      </c>
      <c r="H17" s="619">
        <f>IF('Kit report'!F19&lt;0,"0",'Kit report'!F19)</f>
        <v>0</v>
      </c>
      <c r="I17" s="619">
        <f>IF('Kit report'!X19&lt;0,"0",'Kit report'!X19)</f>
        <v>0</v>
      </c>
      <c r="J17" s="619">
        <f>IF('Utility summery'!H21&lt;0,"0",'Utility summery'!H21)</f>
        <v>0</v>
      </c>
      <c r="K17" s="620">
        <f>IF('UTILITY REPORT 1'!H18&lt;0,"0",'UTILITY REPORT 1'!H18)</f>
        <v>0</v>
      </c>
      <c r="L17" s="619">
        <f>'Water-Meter'!K21</f>
        <v>0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30">
        <f>'Water-Meter'!E21</f>
        <v>0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0</v>
      </c>
      <c r="U17" s="324">
        <f>IF('Water-Meter'!AG21&lt;0,"0",'Water-Meter'!AG21)</f>
        <v>0</v>
      </c>
      <c r="V17" s="324">
        <f>IF('Water-Meter'!AJ21&lt;0,"0",'Water-Meter'!AJ21)</f>
        <v>0</v>
      </c>
      <c r="W17" s="31">
        <f>'Water-Meter'!AN21</f>
        <v>0</v>
      </c>
      <c r="X17" s="642">
        <f>Total!K17</f>
        <v>0</v>
      </c>
    </row>
    <row r="18" spans="1:24">
      <c r="A18" s="621" t="s">
        <v>286</v>
      </c>
      <c r="B18" s="618">
        <f t="shared" si="0"/>
        <v>17</v>
      </c>
      <c r="C18" s="628">
        <v>3</v>
      </c>
      <c r="D18" s="629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>
        <f>IF('Kit report'!F20&lt;0,"0",'Kit report'!F20)</f>
        <v>0</v>
      </c>
      <c r="I18" s="619">
        <f>IF('Kit report'!X20&lt;0,"0",'Kit report'!X20)</f>
        <v>0</v>
      </c>
      <c r="J18" s="619">
        <f>IF('Utility summery'!H22&lt;0,"0",'Utility summery'!H22)</f>
        <v>0</v>
      </c>
      <c r="K18" s="620">
        <f>IF('UTILITY REPORT 1'!H19&lt;0,"0",'UTILITY REPORT 1'!H19)</f>
        <v>0</v>
      </c>
      <c r="L18" s="619">
        <f>'Water-Meter'!K22</f>
        <v>0</v>
      </c>
      <c r="M18" s="620">
        <f>'Water-Meter'!H22</f>
        <v>0</v>
      </c>
      <c r="N18" s="620">
        <f>'Water-Meter'!Q22</f>
        <v>0</v>
      </c>
      <c r="O18" s="619" t="e">
        <f>K18*E18+H18*I18+#REF!*#REF!+J18*L18</f>
        <v>#REF!</v>
      </c>
      <c r="P18" s="630">
        <f>'Water-Meter'!E22</f>
        <v>0</v>
      </c>
      <c r="Q18" s="324">
        <f>IF('Water-Meter'!U22&lt;0,"0",'Water-Meter'!U22)</f>
        <v>0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0</v>
      </c>
      <c r="V18" s="324">
        <f>IF('Water-Meter'!AJ22&lt;0,"0",'Water-Meter'!AJ22)</f>
        <v>0</v>
      </c>
      <c r="W18" s="31">
        <f>'Water-Meter'!AN22</f>
        <v>0</v>
      </c>
      <c r="X18" s="642">
        <f>Total!K18</f>
        <v>0</v>
      </c>
    </row>
    <row r="19" spans="1:24">
      <c r="A19" s="621" t="s">
        <v>286</v>
      </c>
      <c r="B19" s="618">
        <f t="shared" si="0"/>
        <v>18</v>
      </c>
      <c r="C19" s="628">
        <v>3</v>
      </c>
      <c r="D19" s="629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30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42">
        <f>Total!K19</f>
        <v>0</v>
      </c>
    </row>
    <row r="20" spans="1:24">
      <c r="A20" s="621" t="s">
        <v>286</v>
      </c>
      <c r="B20" s="618">
        <f t="shared" si="0"/>
        <v>19</v>
      </c>
      <c r="C20" s="628">
        <v>3</v>
      </c>
      <c r="D20" s="629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30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42">
        <f>Total!K20</f>
        <v>0</v>
      </c>
    </row>
    <row r="21" spans="1:24">
      <c r="A21" s="621" t="s">
        <v>286</v>
      </c>
      <c r="B21" s="618">
        <f t="shared" si="0"/>
        <v>20</v>
      </c>
      <c r="C21" s="628">
        <v>3</v>
      </c>
      <c r="D21" s="629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30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42">
        <f>Total!K21</f>
        <v>0</v>
      </c>
    </row>
    <row r="22" spans="1:24">
      <c r="A22" s="621" t="s">
        <v>286</v>
      </c>
      <c r="B22" s="618">
        <f t="shared" si="0"/>
        <v>21</v>
      </c>
      <c r="C22" s="628">
        <v>3</v>
      </c>
      <c r="D22" s="629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30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42">
        <f>Total!K22</f>
        <v>0</v>
      </c>
    </row>
    <row r="23" spans="1:24">
      <c r="A23" s="621" t="s">
        <v>286</v>
      </c>
      <c r="B23" s="618">
        <f t="shared" si="0"/>
        <v>22</v>
      </c>
      <c r="C23" s="628">
        <v>3</v>
      </c>
      <c r="D23" s="629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30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42">
        <f>Total!K23</f>
        <v>0</v>
      </c>
    </row>
    <row r="24" spans="1:24">
      <c r="A24" s="621" t="s">
        <v>286</v>
      </c>
      <c r="B24" s="618">
        <f t="shared" si="0"/>
        <v>23</v>
      </c>
      <c r="C24" s="628">
        <v>3</v>
      </c>
      <c r="D24" s="629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30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42">
        <f>Total!K24</f>
        <v>0</v>
      </c>
    </row>
    <row r="25" spans="1:24">
      <c r="A25" s="621" t="s">
        <v>286</v>
      </c>
      <c r="B25" s="618">
        <f t="shared" si="0"/>
        <v>24</v>
      </c>
      <c r="C25" s="628">
        <v>3</v>
      </c>
      <c r="D25" s="629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30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42">
        <f>Total!K25</f>
        <v>0</v>
      </c>
    </row>
    <row r="26" spans="1:24">
      <c r="A26" s="621" t="s">
        <v>286</v>
      </c>
      <c r="B26" s="618">
        <f>B25+1</f>
        <v>25</v>
      </c>
      <c r="C26" s="628">
        <v>3</v>
      </c>
      <c r="D26" s="629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30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42">
        <f>Total!K26</f>
        <v>0</v>
      </c>
    </row>
    <row r="27" spans="1:24">
      <c r="A27" s="621" t="s">
        <v>286</v>
      </c>
      <c r="B27" s="618">
        <f t="shared" si="0"/>
        <v>26</v>
      </c>
      <c r="C27" s="628">
        <v>3</v>
      </c>
      <c r="D27" s="629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30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42">
        <f>Total!K27</f>
        <v>0</v>
      </c>
    </row>
    <row r="28" spans="1:24">
      <c r="A28" s="621" t="s">
        <v>286</v>
      </c>
      <c r="B28" s="618">
        <f t="shared" si="0"/>
        <v>27</v>
      </c>
      <c r="C28" s="628">
        <v>3</v>
      </c>
      <c r="D28" s="629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30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42">
        <f>Total!K28</f>
        <v>0</v>
      </c>
    </row>
    <row r="29" spans="1:24">
      <c r="A29" s="621" t="s">
        <v>286</v>
      </c>
      <c r="B29" s="618">
        <f t="shared" si="0"/>
        <v>28</v>
      </c>
      <c r="C29" s="628">
        <v>3</v>
      </c>
      <c r="D29" s="629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30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42">
        <f>Total!K29</f>
        <v>0</v>
      </c>
    </row>
    <row r="30" spans="1:24">
      <c r="A30" s="621" t="s">
        <v>286</v>
      </c>
      <c r="B30" s="618">
        <f t="shared" si="0"/>
        <v>29</v>
      </c>
      <c r="C30" s="628">
        <v>3</v>
      </c>
      <c r="D30" s="629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30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42">
        <f>Total!K30</f>
        <v>0</v>
      </c>
    </row>
    <row r="31" spans="1:24">
      <c r="A31" s="621" t="s">
        <v>286</v>
      </c>
      <c r="B31" s="618">
        <v>30</v>
      </c>
      <c r="C31" s="628">
        <v>3</v>
      </c>
      <c r="D31" s="629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30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42">
        <f>Total!K31</f>
        <v>0</v>
      </c>
    </row>
    <row r="32" spans="1:24">
      <c r="A32" s="621" t="s">
        <v>286</v>
      </c>
      <c r="B32" s="618">
        <v>31</v>
      </c>
      <c r="C32" s="628">
        <v>3</v>
      </c>
      <c r="D32" s="629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30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42">
        <f>Total!K32</f>
        <v>0</v>
      </c>
    </row>
    <row r="33" spans="1:24" ht="13.5" thickBot="1">
      <c r="A33" s="621" t="s">
        <v>286</v>
      </c>
      <c r="B33" s="622">
        <v>1</v>
      </c>
      <c r="C33" s="622">
        <v>4</v>
      </c>
      <c r="D33" s="629">
        <v>2020</v>
      </c>
      <c r="E33" s="623"/>
      <c r="F33" s="623"/>
      <c r="G33" s="624"/>
      <c r="H33" s="623"/>
      <c r="I33" s="623"/>
      <c r="J33" s="623"/>
      <c r="K33" s="624"/>
      <c r="L33" s="623"/>
      <c r="M33" s="624"/>
      <c r="N33" s="624"/>
      <c r="O33" s="625"/>
      <c r="P33" s="625"/>
      <c r="Q33" s="625"/>
      <c r="R33" s="625"/>
      <c r="S33" s="625"/>
      <c r="T33" s="625"/>
      <c r="U33" s="625"/>
      <c r="V33" s="625"/>
      <c r="W33" s="640"/>
      <c r="X33" s="626"/>
    </row>
    <row r="34" spans="1:24">
      <c r="E34" s="555"/>
      <c r="F34" s="555"/>
      <c r="H34" s="555"/>
      <c r="I34" s="555"/>
      <c r="J34" s="555"/>
      <c r="L34" s="555"/>
    </row>
    <row r="35" spans="1:24">
      <c r="E35" s="555"/>
      <c r="F35" s="555"/>
      <c r="H35" s="555"/>
      <c r="I35" s="555"/>
      <c r="J35" s="555"/>
      <c r="L35" s="555"/>
    </row>
    <row r="36" spans="1:24">
      <c r="E36" s="555"/>
      <c r="F36" s="555"/>
      <c r="H36" s="555"/>
      <c r="I36" s="555"/>
      <c r="J36" s="555"/>
      <c r="L36" s="555"/>
    </row>
    <row r="37" spans="1:24">
      <c r="E37" s="555"/>
      <c r="F37" s="555"/>
      <c r="H37" s="555"/>
      <c r="I37" s="555"/>
      <c r="J37" s="555"/>
      <c r="L37" s="555"/>
    </row>
    <row r="38" spans="1:24">
      <c r="E38" s="555"/>
      <c r="F38" s="555"/>
      <c r="H38" s="555"/>
      <c r="I38" s="555"/>
      <c r="J38" s="555"/>
      <c r="L38" s="555"/>
    </row>
    <row r="39" spans="1:24">
      <c r="E39" s="555"/>
      <c r="F39" s="555"/>
      <c r="H39" s="555"/>
      <c r="I39" s="555"/>
      <c r="J39" s="555"/>
      <c r="L39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8" t="s">
        <v>307</v>
      </c>
      <c r="B1" s="758"/>
      <c r="C1" s="758"/>
      <c r="D1" s="758"/>
      <c r="E1" s="758"/>
      <c r="F1" s="758"/>
      <c r="G1" s="758"/>
      <c r="H1" s="758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49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0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</v>
      </c>
      <c r="C5" s="542">
        <f>'Summery Report'!E7</f>
        <v>0</v>
      </c>
      <c r="D5" s="543">
        <v>1</v>
      </c>
      <c r="E5" s="542">
        <f>Gen!T13</f>
        <v>0</v>
      </c>
      <c r="F5" s="542">
        <f>Gen!U13</f>
        <v>0</v>
      </c>
      <c r="G5" s="542" t="str">
        <f>'Water-Meter'!E8</f>
        <v>0</v>
      </c>
      <c r="H5" s="542">
        <f>'Utility report '!AC8</f>
        <v>-27359</v>
      </c>
      <c r="I5" s="542">
        <f>Gen!AK13</f>
        <v>0</v>
      </c>
    </row>
    <row r="6" spans="1:9" ht="13.5">
      <c r="A6" s="539">
        <v>43865</v>
      </c>
      <c r="B6" s="541">
        <f>Gen!C14</f>
        <v>0</v>
      </c>
      <c r="C6" s="542">
        <f>'Summery Report'!E8</f>
        <v>0</v>
      </c>
      <c r="D6" s="543">
        <v>1</v>
      </c>
      <c r="E6" s="542">
        <f>Gen!T14</f>
        <v>0</v>
      </c>
      <c r="F6" s="542">
        <f>Gen!U14</f>
        <v>0</v>
      </c>
      <c r="G6" s="542">
        <f>'Water-Meter'!E9</f>
        <v>0</v>
      </c>
      <c r="H6" s="542">
        <f>'Utility report '!AC9</f>
        <v>0</v>
      </c>
      <c r="I6" s="542">
        <f>Gen!AK14</f>
        <v>0</v>
      </c>
    </row>
    <row r="7" spans="1:9" ht="13.5">
      <c r="A7" s="539">
        <v>43866</v>
      </c>
      <c r="B7" s="541">
        <f>Gen!C15</f>
        <v>0</v>
      </c>
      <c r="C7" s="542">
        <f>'Summery Report'!E9</f>
        <v>0</v>
      </c>
      <c r="D7" s="543">
        <v>1</v>
      </c>
      <c r="E7" s="542">
        <f>Gen!T15</f>
        <v>0</v>
      </c>
      <c r="F7" s="542">
        <f>Gen!U15</f>
        <v>0</v>
      </c>
      <c r="G7" s="542">
        <f>'Water-Meter'!E10</f>
        <v>0</v>
      </c>
      <c r="H7" s="542">
        <f>'Utility report '!AC10</f>
        <v>0</v>
      </c>
      <c r="I7" s="542">
        <f>Gen!AK15</f>
        <v>0</v>
      </c>
    </row>
    <row r="8" spans="1:9" ht="13.5">
      <c r="A8" s="539">
        <v>43867</v>
      </c>
      <c r="B8" s="541">
        <f>Gen!C16</f>
        <v>0</v>
      </c>
      <c r="C8" s="542">
        <f>'Summery Report'!E10</f>
        <v>0</v>
      </c>
      <c r="D8" s="543">
        <v>1</v>
      </c>
      <c r="E8" s="542">
        <f>Gen!T16</f>
        <v>0</v>
      </c>
      <c r="F8" s="542">
        <f>Gen!U16</f>
        <v>0</v>
      </c>
      <c r="G8" s="542">
        <f>'Water-Meter'!E11</f>
        <v>0</v>
      </c>
      <c r="H8" s="542">
        <f>'Utility report '!AC11</f>
        <v>0</v>
      </c>
      <c r="I8" s="542">
        <f>Gen!AK16</f>
        <v>0</v>
      </c>
    </row>
    <row r="9" spans="1:9" ht="13.5">
      <c r="A9" s="539">
        <v>43868</v>
      </c>
      <c r="B9" s="541">
        <f>Gen!C17</f>
        <v>0</v>
      </c>
      <c r="C9" s="542">
        <f>'Summery Report'!E11</f>
        <v>0</v>
      </c>
      <c r="D9" s="543">
        <v>1</v>
      </c>
      <c r="E9" s="542">
        <f>Gen!T17</f>
        <v>0</v>
      </c>
      <c r="F9" s="542">
        <f>Gen!U17</f>
        <v>0</v>
      </c>
      <c r="G9" s="542">
        <f>'Water-Meter'!E12</f>
        <v>0</v>
      </c>
      <c r="H9" s="542">
        <f>'Utility report '!AC12</f>
        <v>0</v>
      </c>
      <c r="I9" s="542">
        <f>Gen!AK17</f>
        <v>0</v>
      </c>
    </row>
    <row r="10" spans="1:9" ht="13.5">
      <c r="A10" s="539">
        <v>43869</v>
      </c>
      <c r="B10" s="541">
        <f>Gen!C18</f>
        <v>0</v>
      </c>
      <c r="C10" s="542">
        <f>'Summery Report'!E12</f>
        <v>0</v>
      </c>
      <c r="D10" s="543">
        <v>1</v>
      </c>
      <c r="E10" s="542">
        <f>Gen!T18</f>
        <v>0</v>
      </c>
      <c r="F10" s="542">
        <f>Gen!U18</f>
        <v>0</v>
      </c>
      <c r="G10" s="542">
        <f>'Water-Meter'!E13</f>
        <v>0</v>
      </c>
      <c r="H10" s="542">
        <f>'Utility report '!AC13</f>
        <v>0</v>
      </c>
      <c r="I10" s="542">
        <f>Gen!AK18</f>
        <v>0</v>
      </c>
    </row>
    <row r="11" spans="1:9" ht="13.5">
      <c r="A11" s="539">
        <v>43870</v>
      </c>
      <c r="B11" s="541">
        <f>Gen!C19</f>
        <v>0</v>
      </c>
      <c r="C11" s="542">
        <f>'Summery Report'!E13</f>
        <v>0</v>
      </c>
      <c r="D11" s="543">
        <v>1</v>
      </c>
      <c r="E11" s="542">
        <f>Gen!T19</f>
        <v>0</v>
      </c>
      <c r="F11" s="542">
        <f>Gen!U19</f>
        <v>0</v>
      </c>
      <c r="G11" s="542">
        <f>'Water-Meter'!E14</f>
        <v>0</v>
      </c>
      <c r="H11" s="542">
        <f>'Utility report '!AC14</f>
        <v>0</v>
      </c>
      <c r="I11" s="542">
        <f>Gen!AK19</f>
        <v>0</v>
      </c>
    </row>
    <row r="12" spans="1:9" ht="13.5">
      <c r="A12" s="539">
        <v>43871</v>
      </c>
      <c r="B12" s="541">
        <f>Gen!C20</f>
        <v>0</v>
      </c>
      <c r="C12" s="542">
        <f>'Summery Report'!E14</f>
        <v>0</v>
      </c>
      <c r="D12" s="543">
        <v>1</v>
      </c>
      <c r="E12" s="542">
        <f>Gen!T20</f>
        <v>0</v>
      </c>
      <c r="F12" s="542">
        <f>Gen!U20</f>
        <v>0</v>
      </c>
      <c r="G12" s="542">
        <f>'Water-Meter'!E15</f>
        <v>0</v>
      </c>
      <c r="H12" s="542">
        <f>'Utility report '!AC15</f>
        <v>0</v>
      </c>
      <c r="I12" s="542">
        <f>Gen!AK20</f>
        <v>0</v>
      </c>
    </row>
    <row r="13" spans="1:9" ht="13.5">
      <c r="A13" s="539">
        <v>43872</v>
      </c>
      <c r="B13" s="541">
        <f>Gen!C21</f>
        <v>0</v>
      </c>
      <c r="C13" s="542">
        <f>'Summery Report'!E15</f>
        <v>0</v>
      </c>
      <c r="D13" s="543">
        <v>1</v>
      </c>
      <c r="E13" s="542">
        <f>Gen!T21</f>
        <v>0</v>
      </c>
      <c r="F13" s="542">
        <f>Gen!U21</f>
        <v>0</v>
      </c>
      <c r="G13" s="542">
        <f>'Water-Meter'!E16</f>
        <v>0</v>
      </c>
      <c r="H13" s="542">
        <f>'Utility report '!AC16</f>
        <v>0</v>
      </c>
      <c r="I13" s="542">
        <f>Gen!AK21</f>
        <v>0</v>
      </c>
    </row>
    <row r="14" spans="1:9" ht="13.5">
      <c r="A14" s="539">
        <v>43873</v>
      </c>
      <c r="B14" s="541">
        <f>Gen!C22</f>
        <v>0</v>
      </c>
      <c r="C14" s="542">
        <f>'Summery Report'!E16</f>
        <v>0</v>
      </c>
      <c r="D14" s="543">
        <v>1</v>
      </c>
      <c r="E14" s="542">
        <f>Gen!T22</f>
        <v>0</v>
      </c>
      <c r="F14" s="542">
        <f>Gen!U22</f>
        <v>0</v>
      </c>
      <c r="G14" s="542">
        <f>'Water-Meter'!E17</f>
        <v>0</v>
      </c>
      <c r="H14" s="542">
        <f>'Utility report '!AC17</f>
        <v>0</v>
      </c>
      <c r="I14" s="542">
        <f>Gen!AK22</f>
        <v>0</v>
      </c>
    </row>
    <row r="15" spans="1:9" ht="13.5">
      <c r="A15" s="539">
        <v>43874</v>
      </c>
      <c r="B15" s="541">
        <f>Gen!C23</f>
        <v>0</v>
      </c>
      <c r="C15" s="542">
        <f>'Summery Report'!E17</f>
        <v>0</v>
      </c>
      <c r="D15" s="543">
        <v>1</v>
      </c>
      <c r="E15" s="542">
        <f>Gen!T23</f>
        <v>0</v>
      </c>
      <c r="F15" s="542">
        <f>Gen!U23</f>
        <v>0</v>
      </c>
      <c r="G15" s="542">
        <f>'Water-Meter'!E18</f>
        <v>0</v>
      </c>
      <c r="H15" s="542">
        <f>'Utility report '!AC18</f>
        <v>0</v>
      </c>
      <c r="I15" s="542">
        <f>Gen!AK23</f>
        <v>0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0</v>
      </c>
      <c r="F16" s="542">
        <f>Gen!U24</f>
        <v>0</v>
      </c>
      <c r="G16" s="542">
        <f>'Water-Meter'!E19</f>
        <v>0</v>
      </c>
      <c r="H16" s="542">
        <f>'Utility report '!AC19</f>
        <v>0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0</v>
      </c>
      <c r="F17" s="542">
        <f>Gen!U25</f>
        <v>0</v>
      </c>
      <c r="G17" s="542">
        <f>'Water-Meter'!E20</f>
        <v>0</v>
      </c>
      <c r="H17" s="542">
        <f>'Utility report '!AC20</f>
        <v>0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0</v>
      </c>
      <c r="F18" s="542">
        <f>Gen!U26</f>
        <v>0</v>
      </c>
      <c r="G18" s="542">
        <f>'Water-Meter'!E21</f>
        <v>0</v>
      </c>
      <c r="H18" s="542">
        <f>'Utility report '!AC21</f>
        <v>0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>
        <f>'Water-Meter'!E22</f>
        <v>0</v>
      </c>
      <c r="H19" s="542">
        <f>'Utility report '!AC22</f>
        <v>0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59" t="s">
        <v>136</v>
      </c>
      <c r="E4" s="759"/>
      <c r="F4" s="759"/>
      <c r="G4" s="760" t="s">
        <v>20</v>
      </c>
      <c r="H4" s="760"/>
      <c r="I4" s="760"/>
      <c r="J4" s="761" t="s">
        <v>55</v>
      </c>
      <c r="K4" s="761"/>
      <c r="L4" s="761"/>
      <c r="M4" s="761"/>
      <c r="N4" s="762" t="s">
        <v>144</v>
      </c>
      <c r="O4" s="762"/>
      <c r="P4" s="762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49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309707.06800000003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0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219.07599999997186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0</v>
      </c>
      <c r="C8" s="6">
        <f>Gen!U13</f>
        <v>0</v>
      </c>
      <c r="D8" s="179">
        <f>Gen!T13</f>
        <v>0</v>
      </c>
      <c r="E8" s="179">
        <f>Gen!AK13</f>
        <v>0</v>
      </c>
      <c r="F8" s="179">
        <f>Gen!AS13</f>
        <v>0</v>
      </c>
      <c r="G8" s="182">
        <f>'Utility report '!AC8</f>
        <v>-27359</v>
      </c>
      <c r="H8" s="182">
        <f>'Utility report '!AE8</f>
        <v>-197629</v>
      </c>
      <c r="I8" s="386" t="str">
        <f>'Water-Meter'!E8</f>
        <v>0</v>
      </c>
      <c r="J8" s="184">
        <f>'Lpg (2)'!B12</f>
        <v>0</v>
      </c>
      <c r="K8" s="184">
        <f>'Lpg (2)'!C12</f>
        <v>0</v>
      </c>
      <c r="L8" s="184">
        <f>'Lpg (2)'!D12</f>
        <v>0</v>
      </c>
      <c r="M8" s="607">
        <f>'Lpg (2)'!G12</f>
        <v>-309926.14400000003</v>
      </c>
      <c r="N8" s="177">
        <f t="shared" ref="N8:O36" si="2">D8*1.4</f>
        <v>0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0</v>
      </c>
      <c r="C9" s="6">
        <f>Gen!U14</f>
        <v>0</v>
      </c>
      <c r="D9" s="179">
        <f>Gen!T14</f>
        <v>0</v>
      </c>
      <c r="E9" s="179">
        <f>Gen!AK14</f>
        <v>0</v>
      </c>
      <c r="F9" s="179">
        <f>Gen!AS14</f>
        <v>0</v>
      </c>
      <c r="G9" s="182">
        <f>'Utility report '!AC9</f>
        <v>0</v>
      </c>
      <c r="H9" s="182">
        <f>'Utility report '!AE9</f>
        <v>0</v>
      </c>
      <c r="I9" s="386">
        <f>'Water-Meter'!E9</f>
        <v>0</v>
      </c>
      <c r="J9" s="184">
        <f>'Lpg (2)'!B13</f>
        <v>0</v>
      </c>
      <c r="K9" s="184">
        <f>'Lpg (2)'!C13</f>
        <v>0</v>
      </c>
      <c r="L9" s="184">
        <f>'Lpg (2)'!D13</f>
        <v>0</v>
      </c>
      <c r="M9" s="607">
        <f>'Lpg (2)'!G13</f>
        <v>0</v>
      </c>
      <c r="N9" s="177">
        <f t="shared" si="2"/>
        <v>0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0</v>
      </c>
      <c r="H10" s="182">
        <f>'Utility report '!AE10</f>
        <v>0</v>
      </c>
      <c r="I10" s="386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607">
        <f>'Lpg (2)'!G14</f>
        <v>0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86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607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86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607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86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607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86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607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86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607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86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607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86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607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86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607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86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607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86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607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86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607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86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607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0</v>
      </c>
      <c r="C39" s="616">
        <f>SUM(C7:C35)</f>
        <v>5543</v>
      </c>
      <c r="D39" s="616">
        <f>SUM(D7:D35)</f>
        <v>2125.4799999999996</v>
      </c>
      <c r="E39" s="616">
        <f t="shared" ref="E39:S39" si="3">SUM(E7:E35)</f>
        <v>281.34000000000003</v>
      </c>
      <c r="F39" s="616">
        <f t="shared" si="3"/>
        <v>2406.8199999999997</v>
      </c>
      <c r="G39" s="616">
        <f t="shared" si="3"/>
        <v>-27175</v>
      </c>
      <c r="H39" s="616">
        <f t="shared" si="3"/>
        <v>-197524</v>
      </c>
      <c r="I39" s="616">
        <f t="shared" si="3"/>
        <v>164</v>
      </c>
      <c r="J39" s="616">
        <f t="shared" si="3"/>
        <v>59</v>
      </c>
      <c r="K39" s="616">
        <f t="shared" si="3"/>
        <v>0</v>
      </c>
      <c r="L39" s="616">
        <f t="shared" si="3"/>
        <v>0</v>
      </c>
      <c r="M39" s="616">
        <f t="shared" si="3"/>
        <v>-309707.06800000003</v>
      </c>
      <c r="N39" s="616">
        <f t="shared" si="3"/>
        <v>2975.6719999999991</v>
      </c>
      <c r="O39" s="616">
        <f t="shared" si="3"/>
        <v>393.87600000000003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57"/>
    </row>
    <row r="43" spans="1:20">
      <c r="I43" s="75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4" zoomScale="85" zoomScalePageLayoutView="85" workbookViewId="0">
      <selection activeCell="AD11" sqref="AD1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1" t="s">
        <v>319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3"/>
    </row>
    <row r="2" spans="1:37" ht="61.5" customHeight="1" thickBot="1">
      <c r="A2" s="150" t="s">
        <v>99</v>
      </c>
      <c r="B2" s="774" t="s">
        <v>100</v>
      </c>
      <c r="C2" s="775"/>
      <c r="D2" s="776"/>
      <c r="E2" s="151"/>
      <c r="F2" s="151"/>
      <c r="G2" s="151"/>
      <c r="H2" s="148" t="s">
        <v>125</v>
      </c>
      <c r="I2" s="372" t="s">
        <v>101</v>
      </c>
      <c r="J2" s="779" t="s">
        <v>123</v>
      </c>
      <c r="K2" s="558"/>
      <c r="L2" s="781" t="s">
        <v>124</v>
      </c>
      <c r="M2" s="557" t="s">
        <v>102</v>
      </c>
      <c r="N2" s="779" t="s">
        <v>103</v>
      </c>
      <c r="O2" s="763" t="s">
        <v>104</v>
      </c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373" t="s">
        <v>105</v>
      </c>
      <c r="AB2" s="774" t="s">
        <v>165</v>
      </c>
      <c r="AC2" s="776"/>
      <c r="AD2" s="147">
        <v>0</v>
      </c>
      <c r="AE2" s="535"/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7">
        <f>SUM(D3/B3)</f>
        <v>1.3262195121951219</v>
      </c>
      <c r="G3" s="778"/>
      <c r="H3" s="131">
        <f>Gen!D11</f>
        <v>32302.73</v>
      </c>
      <c r="I3" s="141"/>
      <c r="J3" s="779"/>
      <c r="K3" s="558" t="s">
        <v>166</v>
      </c>
      <c r="L3" s="781"/>
      <c r="M3" s="374" t="s">
        <v>112</v>
      </c>
      <c r="N3" s="779"/>
      <c r="O3" s="763" t="s">
        <v>113</v>
      </c>
      <c r="P3" s="764"/>
      <c r="Q3" s="764"/>
      <c r="R3" s="764"/>
      <c r="S3" s="765" t="s">
        <v>114</v>
      </c>
      <c r="T3" s="766"/>
      <c r="U3" s="766"/>
      <c r="V3" s="767"/>
      <c r="W3" s="768" t="s">
        <v>115</v>
      </c>
      <c r="X3" s="769"/>
      <c r="Y3" s="769"/>
      <c r="Z3" s="770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79"/>
      <c r="K4" s="558"/>
      <c r="L4" s="781"/>
      <c r="M4" s="143"/>
      <c r="N4" s="780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313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51">
        <v>15720</v>
      </c>
      <c r="U5" s="232"/>
      <c r="V5" s="232"/>
      <c r="W5" s="232"/>
      <c r="X5" s="649">
        <v>23794</v>
      </c>
      <c r="Y5" s="232"/>
      <c r="Z5" s="232"/>
      <c r="AA5" s="232"/>
      <c r="AB5" s="650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49</v>
      </c>
      <c r="C6" s="158">
        <f>Gen!C11</f>
        <v>0.57140000000000002</v>
      </c>
      <c r="D6" s="570">
        <f>'Summery Report'!E5</f>
        <v>49</v>
      </c>
      <c r="E6" s="571">
        <f>SUM(F3)</f>
        <v>1.3262195121951219</v>
      </c>
      <c r="F6" s="572">
        <f>SUM(J6*E6)/D6</f>
        <v>60.808247262319561</v>
      </c>
      <c r="G6" s="572">
        <f t="shared" ref="G6:G36" si="0">SUM(L6*E6)/D6</f>
        <v>69.517178944748636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51">
        <v>15742</v>
      </c>
      <c r="U6" s="574">
        <f>T6-T5</f>
        <v>22</v>
      </c>
      <c r="V6" s="576" t="s">
        <v>248</v>
      </c>
      <c r="W6" s="232"/>
      <c r="X6" s="649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50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0</v>
      </c>
      <c r="C7" s="158">
        <f>Gen!C12</f>
        <v>0.2208</v>
      </c>
      <c r="D7" s="570">
        <f>'Summery Report'!E6</f>
        <v>0</v>
      </c>
      <c r="E7" s="571">
        <f>SUM(E6)</f>
        <v>1.3262195121951219</v>
      </c>
      <c r="F7" s="572" t="e">
        <f>SUM(J7*E7)/D7</f>
        <v>#DIV/0!</v>
      </c>
      <c r="G7" s="572" t="e">
        <f t="shared" si="0"/>
        <v>#DIV/0!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51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9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50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0</v>
      </c>
      <c r="C8" s="158">
        <f>Gen!C13</f>
        <v>0</v>
      </c>
      <c r="D8" s="570">
        <f>'Summery Report'!E7</f>
        <v>0</v>
      </c>
      <c r="E8" s="571">
        <f t="shared" ref="E8:E36" si="13">SUM(E7)</f>
        <v>1.3262195121951219</v>
      </c>
      <c r="F8" s="572" t="e">
        <f t="shared" ref="F8:F36" si="14">SUM(J8*E8)/D8</f>
        <v>#DIV/0!</v>
      </c>
      <c r="G8" s="572" t="e">
        <f t="shared" si="0"/>
        <v>#DIV/0!</v>
      </c>
      <c r="H8" s="571">
        <f>Gen!D13</f>
        <v>45327.450000000004</v>
      </c>
      <c r="I8" s="573">
        <f>Gen!F13</f>
        <v>0</v>
      </c>
      <c r="J8" s="142">
        <f>Gen!T13</f>
        <v>0</v>
      </c>
      <c r="K8" s="142">
        <f>Gen!AK13</f>
        <v>0</v>
      </c>
      <c r="L8" s="142">
        <f t="shared" si="1"/>
        <v>0</v>
      </c>
      <c r="M8" s="606">
        <f>'Water-Meter'!K48</f>
        <v>0</v>
      </c>
      <c r="N8" s="221" t="str">
        <f>'Water-Meter'!E8</f>
        <v>0</v>
      </c>
      <c r="O8" s="232"/>
      <c r="P8" s="513"/>
      <c r="Q8" s="574">
        <f t="shared" si="2"/>
        <v>-19015</v>
      </c>
      <c r="R8" s="575">
        <f t="shared" si="5"/>
        <v>0</v>
      </c>
      <c r="S8" s="513"/>
      <c r="T8" s="651"/>
      <c r="U8" s="574">
        <f t="shared" si="6"/>
        <v>-15766</v>
      </c>
      <c r="V8" s="576">
        <f t="shared" si="7"/>
        <v>0</v>
      </c>
      <c r="W8" s="513"/>
      <c r="X8" s="649"/>
      <c r="Y8" s="574">
        <f t="shared" si="8"/>
        <v>-23842</v>
      </c>
      <c r="Z8" s="576">
        <f t="shared" si="9"/>
        <v>0</v>
      </c>
      <c r="AA8" s="576">
        <f t="shared" si="10"/>
        <v>0</v>
      </c>
      <c r="AB8" s="650"/>
      <c r="AC8" s="138">
        <f t="shared" si="11"/>
        <v>-27359</v>
      </c>
      <c r="AD8" s="513"/>
      <c r="AE8" s="239">
        <f t="shared" ref="AE8:AE37" si="15">AD8-AD7</f>
        <v>-197629</v>
      </c>
      <c r="AF8" s="350">
        <f>'Lpg (2)'!B12*2000/85</f>
        <v>0</v>
      </c>
      <c r="AG8" s="351">
        <f>'Lpg (2)'!C12*1000/85</f>
        <v>0</v>
      </c>
      <c r="AH8" s="352">
        <f>'Lpg (2)'!D12*1000/85</f>
        <v>0</v>
      </c>
      <c r="AI8" s="579">
        <f t="shared" si="12"/>
        <v>2776470.588235294</v>
      </c>
      <c r="AJ8" s="578">
        <f t="shared" si="4"/>
        <v>141176.47058823518</v>
      </c>
      <c r="AK8" s="144"/>
    </row>
    <row r="9" spans="1:37" ht="19.5" thickBot="1">
      <c r="A9" s="95">
        <f>Gen!B14</f>
        <v>43894</v>
      </c>
      <c r="B9" s="569">
        <f>'Summery Report'!E8</f>
        <v>0</v>
      </c>
      <c r="C9" s="158">
        <f>Gen!C14</f>
        <v>0</v>
      </c>
      <c r="D9" s="570">
        <f>'Summery Report'!E8</f>
        <v>0</v>
      </c>
      <c r="E9" s="571">
        <f t="shared" si="13"/>
        <v>1.3262195121951219</v>
      </c>
      <c r="F9" s="572" t="e">
        <f t="shared" si="14"/>
        <v>#DIV/0!</v>
      </c>
      <c r="G9" s="572" t="e">
        <f t="shared" si="0"/>
        <v>#DIV/0!</v>
      </c>
      <c r="H9" s="571">
        <f>Gen!D14</f>
        <v>45327.450000000004</v>
      </c>
      <c r="I9" s="573">
        <f>Gen!F14</f>
        <v>0</v>
      </c>
      <c r="J9" s="142">
        <f>Gen!T14</f>
        <v>0</v>
      </c>
      <c r="K9" s="142">
        <f>Gen!AK14</f>
        <v>0</v>
      </c>
      <c r="L9" s="142">
        <f t="shared" si="1"/>
        <v>0</v>
      </c>
      <c r="M9" s="606">
        <f>'Water-Meter'!K49</f>
        <v>0</v>
      </c>
      <c r="N9" s="221">
        <f>'Water-Meter'!E9</f>
        <v>0</v>
      </c>
      <c r="O9" s="232"/>
      <c r="P9" s="513"/>
      <c r="Q9" s="574">
        <f t="shared" si="2"/>
        <v>0</v>
      </c>
      <c r="R9" s="575">
        <f t="shared" si="5"/>
        <v>0</v>
      </c>
      <c r="S9" s="513"/>
      <c r="T9" s="651"/>
      <c r="U9" s="574">
        <f t="shared" si="6"/>
        <v>0</v>
      </c>
      <c r="V9" s="576">
        <f t="shared" si="7"/>
        <v>0</v>
      </c>
      <c r="W9" s="513"/>
      <c r="X9" s="649"/>
      <c r="Y9" s="574">
        <f t="shared" si="8"/>
        <v>0</v>
      </c>
      <c r="Z9" s="576">
        <f t="shared" si="9"/>
        <v>0</v>
      </c>
      <c r="AA9" s="576">
        <f t="shared" si="10"/>
        <v>0</v>
      </c>
      <c r="AB9" s="650"/>
      <c r="AC9" s="138">
        <f t="shared" si="11"/>
        <v>0</v>
      </c>
      <c r="AD9" s="513"/>
      <c r="AE9" s="239">
        <f t="shared" si="15"/>
        <v>0</v>
      </c>
      <c r="AF9" s="350">
        <f>'Lpg (2)'!B13*2000/85</f>
        <v>0</v>
      </c>
      <c r="AG9" s="351">
        <f>'Lpg (2)'!C13*1000/85</f>
        <v>0</v>
      </c>
      <c r="AH9" s="352">
        <f>'Lpg (2)'!D13*1000/85</f>
        <v>0</v>
      </c>
      <c r="AI9" s="579">
        <f t="shared" si="12"/>
        <v>0</v>
      </c>
      <c r="AJ9" s="578">
        <f t="shared" si="4"/>
        <v>2776470.588235294</v>
      </c>
      <c r="AK9" s="144"/>
    </row>
    <row r="10" spans="1:37" ht="19.5" thickBot="1">
      <c r="A10" s="95">
        <f>Gen!B15</f>
        <v>43895</v>
      </c>
      <c r="B10" s="569">
        <f>'Summery Report'!E9</f>
        <v>0</v>
      </c>
      <c r="C10" s="158">
        <f>Gen!C15</f>
        <v>0</v>
      </c>
      <c r="D10" s="570">
        <f>'Summery Report'!E9</f>
        <v>0</v>
      </c>
      <c r="E10" s="571">
        <f t="shared" si="13"/>
        <v>1.3262195121951219</v>
      </c>
      <c r="F10" s="572" t="e">
        <f t="shared" si="14"/>
        <v>#DIV/0!</v>
      </c>
      <c r="G10" s="572" t="e">
        <f t="shared" si="0"/>
        <v>#DIV/0!</v>
      </c>
      <c r="H10" s="571">
        <f>Gen!D15</f>
        <v>45327.450000000004</v>
      </c>
      <c r="I10" s="573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606">
        <f>'Water-Meter'!K50</f>
        <v>0</v>
      </c>
      <c r="N10" s="221">
        <f>'Water-Meter'!E10</f>
        <v>0</v>
      </c>
      <c r="O10" s="232"/>
      <c r="P10" s="513"/>
      <c r="Q10" s="574">
        <f t="shared" si="2"/>
        <v>0</v>
      </c>
      <c r="R10" s="575">
        <f t="shared" si="5"/>
        <v>0</v>
      </c>
      <c r="S10" s="513"/>
      <c r="T10" s="651"/>
      <c r="U10" s="574">
        <f t="shared" si="6"/>
        <v>0</v>
      </c>
      <c r="V10" s="576">
        <f t="shared" ref="V10:V16" si="16">SUM(U10*S10)</f>
        <v>0</v>
      </c>
      <c r="W10" s="513"/>
      <c r="X10" s="649"/>
      <c r="Y10" s="574">
        <f t="shared" si="8"/>
        <v>0</v>
      </c>
      <c r="Z10" s="576">
        <f t="shared" si="9"/>
        <v>0</v>
      </c>
      <c r="AA10" s="576">
        <f t="shared" si="10"/>
        <v>0</v>
      </c>
      <c r="AB10" s="650"/>
      <c r="AC10" s="138">
        <f t="shared" si="11"/>
        <v>0</v>
      </c>
      <c r="AD10" s="513"/>
      <c r="AE10" s="239">
        <f t="shared" si="15"/>
        <v>0</v>
      </c>
      <c r="AF10" s="350">
        <f>'Lpg (2)'!B14*2000/85</f>
        <v>0</v>
      </c>
      <c r="AG10" s="351">
        <f>'Lpg (2)'!C14*1000/85</f>
        <v>0</v>
      </c>
      <c r="AH10" s="352">
        <f>'Lpg (2)'!D14*1000/85</f>
        <v>0</v>
      </c>
      <c r="AI10" s="579">
        <f t="shared" si="12"/>
        <v>0</v>
      </c>
      <c r="AJ10" s="578">
        <f t="shared" si="4"/>
        <v>0</v>
      </c>
      <c r="AK10" s="144"/>
    </row>
    <row r="11" spans="1:37" ht="19.5" thickBot="1">
      <c r="A11" s="95">
        <f>Gen!B16</f>
        <v>43896</v>
      </c>
      <c r="B11" s="569">
        <f>'Summery Report'!E10</f>
        <v>0</v>
      </c>
      <c r="C11" s="158">
        <f>Gen!C16</f>
        <v>0</v>
      </c>
      <c r="D11" s="570">
        <f>'Summery Report'!E10</f>
        <v>0</v>
      </c>
      <c r="E11" s="571">
        <f t="shared" si="13"/>
        <v>1.3262195121951219</v>
      </c>
      <c r="F11" s="572" t="e">
        <f t="shared" si="14"/>
        <v>#DIV/0!</v>
      </c>
      <c r="G11" s="572" t="e">
        <f t="shared" si="0"/>
        <v>#DIV/0!</v>
      </c>
      <c r="H11" s="571">
        <f>Gen!D16</f>
        <v>45327.450000000004</v>
      </c>
      <c r="I11" s="573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606">
        <f>'Water-Meter'!K51</f>
        <v>0</v>
      </c>
      <c r="N11" s="221">
        <f>'Water-Meter'!E11</f>
        <v>0</v>
      </c>
      <c r="O11" s="232"/>
      <c r="P11" s="513"/>
      <c r="Q11" s="574">
        <f t="shared" si="2"/>
        <v>0</v>
      </c>
      <c r="R11" s="575">
        <f t="shared" si="5"/>
        <v>0</v>
      </c>
      <c r="S11" s="513"/>
      <c r="T11" s="651"/>
      <c r="U11" s="574">
        <f t="shared" si="6"/>
        <v>0</v>
      </c>
      <c r="V11" s="576">
        <f t="shared" si="16"/>
        <v>0</v>
      </c>
      <c r="W11" s="513"/>
      <c r="X11" s="649"/>
      <c r="Y11" s="574">
        <f t="shared" si="8"/>
        <v>0</v>
      </c>
      <c r="Z11" s="576">
        <f t="shared" si="9"/>
        <v>0</v>
      </c>
      <c r="AA11" s="576">
        <f t="shared" si="10"/>
        <v>0</v>
      </c>
      <c r="AB11" s="650"/>
      <c r="AC11" s="138">
        <f t="shared" si="11"/>
        <v>0</v>
      </c>
      <c r="AD11" s="513"/>
      <c r="AE11" s="239">
        <f t="shared" si="15"/>
        <v>0</v>
      </c>
      <c r="AF11" s="350">
        <f>'Lpg (2)'!B15*2000/85</f>
        <v>0</v>
      </c>
      <c r="AG11" s="351">
        <f>'Lpg (2)'!C15*1000/85</f>
        <v>0</v>
      </c>
      <c r="AH11" s="352">
        <f>'Lpg (2)'!D15*1000/85</f>
        <v>0</v>
      </c>
      <c r="AI11" s="579">
        <f t="shared" si="12"/>
        <v>0</v>
      </c>
      <c r="AJ11" s="578">
        <f t="shared" si="4"/>
        <v>0</v>
      </c>
      <c r="AK11" s="144"/>
    </row>
    <row r="12" spans="1:37" ht="19.5" thickBot="1">
      <c r="A12" s="95">
        <f>Gen!B17</f>
        <v>43897</v>
      </c>
      <c r="B12" s="569">
        <f>'Summery Report'!E11</f>
        <v>0</v>
      </c>
      <c r="C12" s="158">
        <f>Gen!C17</f>
        <v>0</v>
      </c>
      <c r="D12" s="570">
        <f>'Summery Report'!E11</f>
        <v>0</v>
      </c>
      <c r="E12" s="571">
        <f t="shared" si="13"/>
        <v>1.3262195121951219</v>
      </c>
      <c r="F12" s="572" t="e">
        <f t="shared" si="14"/>
        <v>#DIV/0!</v>
      </c>
      <c r="G12" s="572" t="e">
        <f t="shared" si="0"/>
        <v>#DIV/0!</v>
      </c>
      <c r="H12" s="571">
        <f>Gen!D17</f>
        <v>45327.450000000004</v>
      </c>
      <c r="I12" s="573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606">
        <f>'Water-Meter'!K52</f>
        <v>0</v>
      </c>
      <c r="N12" s="221">
        <f>'Water-Meter'!E12</f>
        <v>0</v>
      </c>
      <c r="O12" s="232"/>
      <c r="P12" s="513"/>
      <c r="Q12" s="574">
        <f t="shared" si="2"/>
        <v>0</v>
      </c>
      <c r="R12" s="575">
        <f t="shared" si="5"/>
        <v>0</v>
      </c>
      <c r="S12" s="513"/>
      <c r="T12" s="651"/>
      <c r="U12" s="574">
        <f t="shared" si="6"/>
        <v>0</v>
      </c>
      <c r="V12" s="576">
        <f t="shared" si="16"/>
        <v>0</v>
      </c>
      <c r="W12" s="513"/>
      <c r="X12" s="649"/>
      <c r="Y12" s="574">
        <f t="shared" si="8"/>
        <v>0</v>
      </c>
      <c r="Z12" s="576">
        <f t="shared" si="9"/>
        <v>0</v>
      </c>
      <c r="AA12" s="576">
        <f t="shared" si="10"/>
        <v>0</v>
      </c>
      <c r="AB12" s="650"/>
      <c r="AC12" s="138">
        <f t="shared" si="11"/>
        <v>0</v>
      </c>
      <c r="AD12" s="513"/>
      <c r="AE12" s="239">
        <f t="shared" si="15"/>
        <v>0</v>
      </c>
      <c r="AF12" s="350">
        <f>'Lpg (2)'!B16*2000/85</f>
        <v>0</v>
      </c>
      <c r="AG12" s="351">
        <f>'Lpg (2)'!C16*1000/85</f>
        <v>0</v>
      </c>
      <c r="AH12" s="352">
        <f>'Lpg (2)'!D16*1000/85</f>
        <v>0</v>
      </c>
      <c r="AI12" s="579">
        <f t="shared" si="12"/>
        <v>0</v>
      </c>
      <c r="AJ12" s="578">
        <f t="shared" si="4"/>
        <v>0</v>
      </c>
      <c r="AK12" s="144"/>
    </row>
    <row r="13" spans="1:37" ht="19.5" thickBot="1">
      <c r="A13" s="95">
        <f>Gen!B18</f>
        <v>43898</v>
      </c>
      <c r="B13" s="569">
        <f>'Summery Report'!E12</f>
        <v>0</v>
      </c>
      <c r="C13" s="158">
        <f>Gen!C18</f>
        <v>0</v>
      </c>
      <c r="D13" s="570">
        <f>'Summery Report'!E12</f>
        <v>0</v>
      </c>
      <c r="E13" s="571">
        <f t="shared" si="13"/>
        <v>1.3262195121951219</v>
      </c>
      <c r="F13" s="572" t="e">
        <f t="shared" si="14"/>
        <v>#DIV/0!</v>
      </c>
      <c r="G13" s="572" t="e">
        <f t="shared" si="0"/>
        <v>#DIV/0!</v>
      </c>
      <c r="H13" s="571">
        <f>Gen!D18</f>
        <v>45327.450000000004</v>
      </c>
      <c r="I13" s="573">
        <f>Gen!F18</f>
        <v>15000</v>
      </c>
      <c r="J13" s="142">
        <f>Gen!T18</f>
        <v>0</v>
      </c>
      <c r="K13" s="142">
        <f>Gen!AK18</f>
        <v>0</v>
      </c>
      <c r="L13" s="142">
        <f t="shared" si="1"/>
        <v>0</v>
      </c>
      <c r="M13" s="606">
        <f>'Water-Meter'!K53</f>
        <v>0</v>
      </c>
      <c r="N13" s="221">
        <f>'Water-Meter'!E13</f>
        <v>0</v>
      </c>
      <c r="O13" s="232"/>
      <c r="P13" s="513"/>
      <c r="Q13" s="574">
        <f t="shared" si="2"/>
        <v>0</v>
      </c>
      <c r="R13" s="575">
        <f t="shared" si="5"/>
        <v>0</v>
      </c>
      <c r="S13" s="513"/>
      <c r="T13" s="651"/>
      <c r="U13" s="574">
        <f t="shared" si="6"/>
        <v>0</v>
      </c>
      <c r="V13" s="576">
        <f t="shared" si="16"/>
        <v>0</v>
      </c>
      <c r="W13" s="513"/>
      <c r="X13" s="649"/>
      <c r="Y13" s="574">
        <f t="shared" si="8"/>
        <v>0</v>
      </c>
      <c r="Z13" s="576">
        <f t="shared" si="9"/>
        <v>0</v>
      </c>
      <c r="AA13" s="576">
        <f t="shared" si="10"/>
        <v>0</v>
      </c>
      <c r="AB13" s="650"/>
      <c r="AC13" s="138">
        <f t="shared" si="11"/>
        <v>0</v>
      </c>
      <c r="AD13" s="513"/>
      <c r="AE13" s="239">
        <f t="shared" si="15"/>
        <v>0</v>
      </c>
      <c r="AF13" s="350">
        <f>'Lpg (2)'!B17*2000/85</f>
        <v>0</v>
      </c>
      <c r="AG13" s="351">
        <f>'Lpg (2)'!C17*1000/85</f>
        <v>0</v>
      </c>
      <c r="AH13" s="352">
        <f>'Lpg (2)'!D17*1000/85</f>
        <v>0</v>
      </c>
      <c r="AI13" s="579">
        <f t="shared" si="12"/>
        <v>0</v>
      </c>
      <c r="AJ13" s="578">
        <f t="shared" si="4"/>
        <v>0</v>
      </c>
      <c r="AK13" s="145"/>
    </row>
    <row r="14" spans="1:37" ht="19.5" thickBot="1">
      <c r="A14" s="95">
        <f>Gen!B19</f>
        <v>43899</v>
      </c>
      <c r="B14" s="569">
        <f>'Summery Report'!E13</f>
        <v>0</v>
      </c>
      <c r="C14" s="158">
        <f>Gen!C19</f>
        <v>0</v>
      </c>
      <c r="D14" s="570">
        <f>'Summery Report'!E13</f>
        <v>0</v>
      </c>
      <c r="E14" s="571">
        <f t="shared" si="13"/>
        <v>1.3262195121951219</v>
      </c>
      <c r="F14" s="572" t="e">
        <f t="shared" si="14"/>
        <v>#DIV/0!</v>
      </c>
      <c r="G14" s="572" t="e">
        <f t="shared" si="0"/>
        <v>#DIV/0!</v>
      </c>
      <c r="H14" s="571">
        <f>Gen!D19</f>
        <v>45327.450000000004</v>
      </c>
      <c r="I14" s="573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606">
        <f>'Water-Meter'!K54</f>
        <v>0</v>
      </c>
      <c r="N14" s="221">
        <f>'Water-Meter'!E14</f>
        <v>0</v>
      </c>
      <c r="O14" s="232"/>
      <c r="P14" s="513"/>
      <c r="Q14" s="574">
        <f t="shared" si="2"/>
        <v>0</v>
      </c>
      <c r="R14" s="575">
        <f t="shared" si="5"/>
        <v>0</v>
      </c>
      <c r="S14" s="513"/>
      <c r="T14" s="651"/>
      <c r="U14" s="574">
        <f t="shared" si="6"/>
        <v>0</v>
      </c>
      <c r="V14" s="576">
        <f t="shared" si="16"/>
        <v>0</v>
      </c>
      <c r="W14" s="513"/>
      <c r="X14" s="649"/>
      <c r="Y14" s="574">
        <f t="shared" si="8"/>
        <v>0</v>
      </c>
      <c r="Z14" s="576">
        <f t="shared" si="9"/>
        <v>0</v>
      </c>
      <c r="AA14" s="576">
        <f t="shared" si="10"/>
        <v>0</v>
      </c>
      <c r="AB14" s="650"/>
      <c r="AC14" s="138">
        <f t="shared" si="11"/>
        <v>0</v>
      </c>
      <c r="AD14" s="513"/>
      <c r="AE14" s="239">
        <f t="shared" si="15"/>
        <v>0</v>
      </c>
      <c r="AF14" s="350">
        <f>'Lpg (2)'!B18*2000/85</f>
        <v>0</v>
      </c>
      <c r="AG14" s="351">
        <f>'Lpg (2)'!C18*1000/85</f>
        <v>0</v>
      </c>
      <c r="AH14" s="352">
        <f>'Lpg (2)'!D18*1000/85</f>
        <v>0</v>
      </c>
      <c r="AI14" s="579">
        <f t="shared" si="12"/>
        <v>0</v>
      </c>
      <c r="AJ14" s="578">
        <f t="shared" si="4"/>
        <v>0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45327.450000000004</v>
      </c>
      <c r="I15" s="573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606">
        <f>'Water-Meter'!K55</f>
        <v>0</v>
      </c>
      <c r="N15" s="221">
        <f>'Water-Meter'!E15</f>
        <v>0</v>
      </c>
      <c r="O15" s="232"/>
      <c r="P15" s="513"/>
      <c r="Q15" s="574">
        <f t="shared" si="2"/>
        <v>0</v>
      </c>
      <c r="R15" s="575">
        <f t="shared" si="5"/>
        <v>0</v>
      </c>
      <c r="S15" s="513"/>
      <c r="T15" s="651"/>
      <c r="U15" s="574">
        <f t="shared" si="6"/>
        <v>0</v>
      </c>
      <c r="V15" s="576">
        <f t="shared" si="16"/>
        <v>0</v>
      </c>
      <c r="W15" s="513"/>
      <c r="X15" s="649"/>
      <c r="Y15" s="574">
        <f t="shared" si="8"/>
        <v>0</v>
      </c>
      <c r="Z15" s="576">
        <f t="shared" si="9"/>
        <v>0</v>
      </c>
      <c r="AA15" s="576">
        <f t="shared" si="10"/>
        <v>0</v>
      </c>
      <c r="AB15" s="650"/>
      <c r="AC15" s="138">
        <f t="shared" si="11"/>
        <v>0</v>
      </c>
      <c r="AD15" s="513"/>
      <c r="AE15" s="239">
        <f>AD15-AD14</f>
        <v>0</v>
      </c>
      <c r="AF15" s="350">
        <f>'Lpg (2)'!B19*2000/85</f>
        <v>0</v>
      </c>
      <c r="AG15" s="351">
        <f>'Lpg (2)'!C19*1000/85</f>
        <v>0</v>
      </c>
      <c r="AH15" s="352">
        <f>'Lpg (2)'!D19*1000/85</f>
        <v>0</v>
      </c>
      <c r="AI15" s="579">
        <f t="shared" ref="AI15:AI35" si="17">SUM(AF15*2000)+(AG15*1000)+(AH15*1000)</f>
        <v>0</v>
      </c>
      <c r="AJ15" s="578">
        <f t="shared" si="4"/>
        <v>0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0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45327.450000000004</v>
      </c>
      <c r="I16" s="573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606">
        <f>'Water-Meter'!K56</f>
        <v>0</v>
      </c>
      <c r="N16" s="221">
        <f>'Water-Meter'!E16</f>
        <v>0</v>
      </c>
      <c r="O16" s="232"/>
      <c r="P16" s="513"/>
      <c r="Q16" s="574">
        <f t="shared" si="2"/>
        <v>0</v>
      </c>
      <c r="R16" s="575">
        <f t="shared" si="5"/>
        <v>0</v>
      </c>
      <c r="S16" s="513"/>
      <c r="T16" s="651"/>
      <c r="U16" s="574">
        <f t="shared" si="6"/>
        <v>0</v>
      </c>
      <c r="V16" s="576">
        <f t="shared" si="16"/>
        <v>0</v>
      </c>
      <c r="W16" s="513"/>
      <c r="X16" s="649"/>
      <c r="Y16" s="574">
        <f t="shared" si="8"/>
        <v>0</v>
      </c>
      <c r="Z16" s="576">
        <f t="shared" si="9"/>
        <v>0</v>
      </c>
      <c r="AA16" s="576">
        <f t="shared" si="10"/>
        <v>0</v>
      </c>
      <c r="AB16" s="650"/>
      <c r="AC16" s="138">
        <f t="shared" si="11"/>
        <v>0</v>
      </c>
      <c r="AD16" s="513"/>
      <c r="AE16" s="239">
        <f t="shared" si="15"/>
        <v>0</v>
      </c>
      <c r="AF16" s="350">
        <f>'Lpg (2)'!B20*2000/85</f>
        <v>0</v>
      </c>
      <c r="AG16" s="351">
        <f>'Lpg (2)'!C20*1000/85</f>
        <v>0</v>
      </c>
      <c r="AH16" s="352">
        <f>'Lpg (2)'!D20*1000/85</f>
        <v>0</v>
      </c>
      <c r="AI16" s="579">
        <f t="shared" si="17"/>
        <v>0</v>
      </c>
      <c r="AJ16" s="578">
        <f t="shared" si="4"/>
        <v>0</v>
      </c>
      <c r="AK16" s="144"/>
    </row>
    <row r="17" spans="1:37" ht="19.5" thickBot="1">
      <c r="A17" s="95">
        <f>Gen!B22</f>
        <v>43902</v>
      </c>
      <c r="B17" s="569">
        <f>'Summery Report'!E16</f>
        <v>0</v>
      </c>
      <c r="C17" s="158">
        <f>Gen!C22</f>
        <v>0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45327.450000000004</v>
      </c>
      <c r="I17" s="573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606">
        <f>'Water-Meter'!K57</f>
        <v>0</v>
      </c>
      <c r="N17" s="221">
        <f>'Water-Meter'!E17</f>
        <v>0</v>
      </c>
      <c r="O17" s="232"/>
      <c r="P17" s="513"/>
      <c r="Q17" s="574">
        <f>SUM(P18-P16)</f>
        <v>0</v>
      </c>
      <c r="R17" s="575">
        <f t="shared" si="5"/>
        <v>0</v>
      </c>
      <c r="S17" s="513"/>
      <c r="T17" s="651"/>
      <c r="U17" s="574">
        <f t="shared" si="6"/>
        <v>0</v>
      </c>
      <c r="V17" s="576">
        <f t="shared" ref="V17:V36" si="18">SUM(U17*S17)</f>
        <v>0</v>
      </c>
      <c r="W17" s="513"/>
      <c r="X17" s="649"/>
      <c r="Y17" s="574">
        <f t="shared" si="8"/>
        <v>0</v>
      </c>
      <c r="Z17" s="576">
        <f t="shared" si="9"/>
        <v>0</v>
      </c>
      <c r="AA17" s="576">
        <f t="shared" si="10"/>
        <v>0</v>
      </c>
      <c r="AB17" s="650"/>
      <c r="AC17" s="138">
        <f t="shared" si="11"/>
        <v>0</v>
      </c>
      <c r="AD17" s="513"/>
      <c r="AE17" s="239">
        <f t="shared" si="15"/>
        <v>0</v>
      </c>
      <c r="AF17" s="350">
        <f>'Lpg (2)'!B21*2000/85</f>
        <v>0</v>
      </c>
      <c r="AG17" s="351">
        <f>'Lpg (2)'!C21*1000/85</f>
        <v>0</v>
      </c>
      <c r="AH17" s="352">
        <f>'Lpg (2)'!D21*1000/85</f>
        <v>0</v>
      </c>
      <c r="AI17" s="579">
        <f t="shared" si="17"/>
        <v>0</v>
      </c>
      <c r="AJ17" s="578">
        <f t="shared" si="4"/>
        <v>0</v>
      </c>
      <c r="AK17" s="144"/>
    </row>
    <row r="18" spans="1:37" ht="19.5" thickBot="1">
      <c r="A18" s="95">
        <f>Gen!B23</f>
        <v>43903</v>
      </c>
      <c r="B18" s="569">
        <f>'Summery Report'!E17</f>
        <v>0</v>
      </c>
      <c r="C18" s="158">
        <f>Gen!C23</f>
        <v>0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45327.450000000004</v>
      </c>
      <c r="I18" s="573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606">
        <f>'Water-Meter'!K58</f>
        <v>0</v>
      </c>
      <c r="N18" s="221">
        <f>'Water-Meter'!E18</f>
        <v>0</v>
      </c>
      <c r="O18" s="232"/>
      <c r="P18" s="513"/>
      <c r="Q18" s="574"/>
      <c r="R18" s="575">
        <f t="shared" si="5"/>
        <v>0</v>
      </c>
      <c r="S18" s="513"/>
      <c r="T18" s="651"/>
      <c r="U18" s="574">
        <f t="shared" si="6"/>
        <v>0</v>
      </c>
      <c r="V18" s="576">
        <f t="shared" si="18"/>
        <v>0</v>
      </c>
      <c r="W18" s="513"/>
      <c r="X18" s="649"/>
      <c r="Y18" s="574">
        <f t="shared" si="8"/>
        <v>0</v>
      </c>
      <c r="Z18" s="576">
        <f t="shared" si="9"/>
        <v>0</v>
      </c>
      <c r="AA18" s="576">
        <f t="shared" si="10"/>
        <v>0</v>
      </c>
      <c r="AB18" s="650"/>
      <c r="AC18" s="138">
        <f t="shared" si="11"/>
        <v>0</v>
      </c>
      <c r="AD18" s="513"/>
      <c r="AE18" s="239">
        <f t="shared" si="15"/>
        <v>0</v>
      </c>
      <c r="AF18" s="350">
        <f>'Lpg (2)'!B22*2000/85</f>
        <v>0</v>
      </c>
      <c r="AG18" s="351">
        <f>'Lpg (2)'!C22*1000/85</f>
        <v>0</v>
      </c>
      <c r="AH18" s="352">
        <f>'Lpg (2)'!D22*1000/85</f>
        <v>0</v>
      </c>
      <c r="AI18" s="579">
        <f t="shared" si="17"/>
        <v>0</v>
      </c>
      <c r="AJ18" s="578">
        <f t="shared" si="4"/>
        <v>0</v>
      </c>
      <c r="AK18" s="144"/>
    </row>
    <row r="19" spans="1:37" ht="19.5" thickBot="1">
      <c r="A19" s="95">
        <f>Gen!B24</f>
        <v>43904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45327.450000000004</v>
      </c>
      <c r="I19" s="573">
        <f>Gen!F24</f>
        <v>18000</v>
      </c>
      <c r="J19" s="142">
        <f>Gen!T24</f>
        <v>0</v>
      </c>
      <c r="K19" s="142">
        <f>Gen!AK24</f>
        <v>0</v>
      </c>
      <c r="L19" s="142">
        <f t="shared" si="1"/>
        <v>0</v>
      </c>
      <c r="M19" s="606">
        <f>'Water-Meter'!K59</f>
        <v>0</v>
      </c>
      <c r="N19" s="221">
        <f>'Water-Meter'!E19</f>
        <v>0</v>
      </c>
      <c r="O19" s="232"/>
      <c r="P19" s="513"/>
      <c r="Q19" s="574"/>
      <c r="R19" s="575">
        <f t="shared" si="5"/>
        <v>0</v>
      </c>
      <c r="S19" s="513"/>
      <c r="T19" s="651"/>
      <c r="U19" s="574">
        <f t="shared" si="6"/>
        <v>0</v>
      </c>
      <c r="V19" s="576">
        <f t="shared" si="18"/>
        <v>0</v>
      </c>
      <c r="W19" s="513"/>
      <c r="X19" s="649"/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50"/>
      <c r="AC19" s="138">
        <f t="shared" si="11"/>
        <v>0</v>
      </c>
      <c r="AD19" s="513"/>
      <c r="AE19" s="239">
        <f t="shared" si="15"/>
        <v>0</v>
      </c>
      <c r="AF19" s="350">
        <f>'Lpg (2)'!B23*2000/85</f>
        <v>0</v>
      </c>
      <c r="AG19" s="351">
        <f>'Lpg (2)'!C23*1000/85</f>
        <v>0</v>
      </c>
      <c r="AH19" s="352">
        <f>'Lpg (2)'!D23*1000/85</f>
        <v>0</v>
      </c>
      <c r="AI19" s="579">
        <f t="shared" si="17"/>
        <v>0</v>
      </c>
      <c r="AJ19" s="578">
        <f t="shared" si="4"/>
        <v>0</v>
      </c>
      <c r="AK19" s="144"/>
    </row>
    <row r="20" spans="1:37" ht="19.5" thickBot="1">
      <c r="A20" s="95">
        <f>Gen!B25</f>
        <v>43905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45327.450000000004</v>
      </c>
      <c r="I20" s="573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606">
        <f>'Water-Meter'!K60</f>
        <v>0</v>
      </c>
      <c r="N20" s="221">
        <f>'Water-Meter'!E20</f>
        <v>0</v>
      </c>
      <c r="O20" s="232"/>
      <c r="P20" s="513"/>
      <c r="Q20" s="574">
        <f t="shared" si="2"/>
        <v>0</v>
      </c>
      <c r="R20" s="575">
        <f t="shared" si="5"/>
        <v>0</v>
      </c>
      <c r="S20" s="513"/>
      <c r="T20" s="651"/>
      <c r="U20" s="574">
        <f t="shared" si="6"/>
        <v>0</v>
      </c>
      <c r="V20" s="576">
        <f t="shared" si="18"/>
        <v>0</v>
      </c>
      <c r="W20" s="513"/>
      <c r="X20" s="649"/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50"/>
      <c r="AC20" s="138">
        <f t="shared" si="11"/>
        <v>0</v>
      </c>
      <c r="AD20" s="513"/>
      <c r="AE20" s="239">
        <f t="shared" si="15"/>
        <v>0</v>
      </c>
      <c r="AF20" s="350">
        <f>'Lpg (2)'!B24*2000/85</f>
        <v>0</v>
      </c>
      <c r="AG20" s="351">
        <f>'Lpg (2)'!C24*1000/85</f>
        <v>0</v>
      </c>
      <c r="AH20" s="352">
        <f>'Lpg (2)'!D24*1000/85</f>
        <v>0</v>
      </c>
      <c r="AI20" s="579">
        <f t="shared" si="17"/>
        <v>0</v>
      </c>
      <c r="AJ20" s="578">
        <f t="shared" si="4"/>
        <v>0</v>
      </c>
      <c r="AK20" s="144"/>
    </row>
    <row r="21" spans="1:37" ht="19.5" thickBot="1">
      <c r="A21" s="95">
        <f>Gen!B26</f>
        <v>43906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45327.450000000004</v>
      </c>
      <c r="I21" s="573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606">
        <f>'Water-Meter'!K61</f>
        <v>0</v>
      </c>
      <c r="N21" s="221">
        <f>'Water-Meter'!E21</f>
        <v>0</v>
      </c>
      <c r="O21" s="232"/>
      <c r="P21" s="513"/>
      <c r="Q21" s="574">
        <f t="shared" si="2"/>
        <v>0</v>
      </c>
      <c r="R21" s="575">
        <f t="shared" si="5"/>
        <v>0</v>
      </c>
      <c r="S21" s="513"/>
      <c r="T21" s="651"/>
      <c r="U21" s="574">
        <f>T22-T20</f>
        <v>0</v>
      </c>
      <c r="V21" s="576">
        <f t="shared" si="18"/>
        <v>0</v>
      </c>
      <c r="W21" s="513"/>
      <c r="X21" s="649"/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50"/>
      <c r="AC21" s="138">
        <f t="shared" si="11"/>
        <v>0</v>
      </c>
      <c r="AD21" s="513"/>
      <c r="AE21" s="239">
        <f t="shared" si="15"/>
        <v>0</v>
      </c>
      <c r="AF21" s="350">
        <f>'Lpg (2)'!B25*2000/85</f>
        <v>0</v>
      </c>
      <c r="AG21" s="351">
        <f>'Lpg (2)'!C25*1000/85</f>
        <v>0</v>
      </c>
      <c r="AH21" s="352">
        <f>'Lpg (2)'!D25*1000/85</f>
        <v>0</v>
      </c>
      <c r="AI21" s="579">
        <f t="shared" si="17"/>
        <v>0</v>
      </c>
      <c r="AJ21" s="578">
        <f t="shared" si="4"/>
        <v>0</v>
      </c>
      <c r="AK21" s="144"/>
    </row>
    <row r="22" spans="1:37" ht="19.5" thickBot="1">
      <c r="A22" s="95">
        <f>Gen!B27</f>
        <v>43907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45327.450000000004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0</v>
      </c>
      <c r="N22" s="221">
        <f>'Water-Meter'!E22</f>
        <v>0</v>
      </c>
      <c r="O22" s="232"/>
      <c r="P22" s="513"/>
      <c r="Q22" s="574">
        <f t="shared" si="2"/>
        <v>0</v>
      </c>
      <c r="R22" s="575">
        <f t="shared" si="5"/>
        <v>0</v>
      </c>
      <c r="S22" s="513"/>
      <c r="T22" s="651"/>
      <c r="U22" s="574" t="e">
        <f>#REF!-T22</f>
        <v>#REF!</v>
      </c>
      <c r="V22" s="576" t="e">
        <f t="shared" si="18"/>
        <v>#REF!</v>
      </c>
      <c r="W22" s="513"/>
      <c r="X22" s="649"/>
      <c r="Y22" s="574">
        <f t="shared" si="8"/>
        <v>0</v>
      </c>
      <c r="Z22" s="576">
        <f t="shared" si="9"/>
        <v>0</v>
      </c>
      <c r="AA22" s="576">
        <f t="shared" si="10"/>
        <v>0</v>
      </c>
      <c r="AB22" s="650"/>
      <c r="AC22" s="138">
        <f t="shared" si="11"/>
        <v>0</v>
      </c>
      <c r="AD22" s="513"/>
      <c r="AE22" s="239">
        <f t="shared" si="15"/>
        <v>0</v>
      </c>
      <c r="AF22" s="350">
        <f>'Lpg (2)'!B26*2000/85</f>
        <v>0</v>
      </c>
      <c r="AG22" s="351">
        <f>'Lpg (2)'!C26*1000/85</f>
        <v>0</v>
      </c>
      <c r="AH22" s="352">
        <f>'Lpg (2)'!D26*1000/85</f>
        <v>0</v>
      </c>
      <c r="AI22" s="579">
        <f t="shared" si="17"/>
        <v>0</v>
      </c>
      <c r="AJ22" s="578">
        <f t="shared" si="4"/>
        <v>0</v>
      </c>
      <c r="AK22" s="144"/>
    </row>
    <row r="23" spans="1:37" ht="19.5" thickBot="1">
      <c r="A23" s="95">
        <f>Gen!B28</f>
        <v>43908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45327.450000000004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51"/>
      <c r="U23" s="574" t="e">
        <f>T23-#REF!</f>
        <v>#REF!</v>
      </c>
      <c r="V23" s="576" t="e">
        <f t="shared" si="18"/>
        <v>#REF!</v>
      </c>
      <c r="W23" s="513"/>
      <c r="X23" s="649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50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0</v>
      </c>
      <c r="AK23" s="144"/>
    </row>
    <row r="24" spans="1:37" ht="19.5" thickBot="1">
      <c r="A24" s="95">
        <f>Gen!B29</f>
        <v>43909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45327.450000000004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51"/>
      <c r="U24" s="574">
        <f t="shared" si="6"/>
        <v>0</v>
      </c>
      <c r="V24" s="576">
        <f t="shared" si="18"/>
        <v>0</v>
      </c>
      <c r="W24" s="513"/>
      <c r="X24" s="649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50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45327.450000000004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51"/>
      <c r="U25" s="574">
        <f t="shared" si="6"/>
        <v>0</v>
      </c>
      <c r="V25" s="576">
        <f t="shared" si="18"/>
        <v>0</v>
      </c>
      <c r="W25" s="513"/>
      <c r="X25" s="649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50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45327.450000000004</v>
      </c>
      <c r="I26" s="573">
        <f>Gen!F31</f>
        <v>18000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51"/>
      <c r="U26" s="574">
        <f t="shared" si="6"/>
        <v>0</v>
      </c>
      <c r="V26" s="576">
        <f t="shared" si="18"/>
        <v>0</v>
      </c>
      <c r="W26" s="513"/>
      <c r="X26" s="649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50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45327.450000000004</v>
      </c>
      <c r="I27" s="573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51"/>
      <c r="U27" s="574">
        <f t="shared" si="6"/>
        <v>0</v>
      </c>
      <c r="V27" s="576">
        <f t="shared" si="18"/>
        <v>0</v>
      </c>
      <c r="W27" s="513"/>
      <c r="X27" s="649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50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45327.450000000004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51"/>
      <c r="U28" s="574">
        <f t="shared" si="6"/>
        <v>0</v>
      </c>
      <c r="V28" s="576">
        <f t="shared" si="18"/>
        <v>0</v>
      </c>
      <c r="W28" s="513"/>
      <c r="X28" s="649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50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45327.450000000004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51"/>
      <c r="U29" s="574">
        <f t="shared" si="6"/>
        <v>0</v>
      </c>
      <c r="V29" s="576">
        <f t="shared" si="18"/>
        <v>0</v>
      </c>
      <c r="W29" s="513"/>
      <c r="X29" s="649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50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45327.450000000004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51"/>
      <c r="U30" s="574">
        <f t="shared" si="6"/>
        <v>0</v>
      </c>
      <c r="V30" s="576">
        <f t="shared" si="18"/>
        <v>0</v>
      </c>
      <c r="W30" s="513"/>
      <c r="X30" s="649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50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45327.450000000004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51"/>
      <c r="U31" s="574">
        <f t="shared" si="6"/>
        <v>0</v>
      </c>
      <c r="V31" s="576">
        <f t="shared" si="18"/>
        <v>0</v>
      </c>
      <c r="W31" s="513"/>
      <c r="X31" s="652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50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45327.450000000004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51"/>
      <c r="U32" s="574">
        <f t="shared" si="6"/>
        <v>0</v>
      </c>
      <c r="V32" s="576">
        <f t="shared" si="18"/>
        <v>0</v>
      </c>
      <c r="W32" s="513"/>
      <c r="X32" s="649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50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45327.450000000004</v>
      </c>
      <c r="I33" s="573">
        <f>Gen!F38</f>
        <v>15000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51"/>
      <c r="U33" s="574">
        <f t="shared" si="6"/>
        <v>0</v>
      </c>
      <c r="V33" s="576">
        <f t="shared" si="18"/>
        <v>0</v>
      </c>
      <c r="W33" s="513"/>
      <c r="X33" s="649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50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45327.450000000004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51"/>
      <c r="U34" s="574">
        <f t="shared" si="6"/>
        <v>0</v>
      </c>
      <c r="V34" s="576">
        <f t="shared" si="18"/>
        <v>0</v>
      </c>
      <c r="W34" s="513"/>
      <c r="X34" s="649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50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45327.450000000004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51"/>
      <c r="U35" s="574">
        <f t="shared" si="6"/>
        <v>0</v>
      </c>
      <c r="V35" s="576">
        <f t="shared" si="18"/>
        <v>0</v>
      </c>
      <c r="W35" s="513"/>
      <c r="X35" s="649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50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45327.450000000004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51"/>
      <c r="U36" s="574">
        <f t="shared" si="6"/>
        <v>0</v>
      </c>
      <c r="V36" s="576">
        <f t="shared" si="18"/>
        <v>0</v>
      </c>
      <c r="W36" s="513"/>
      <c r="X36" s="649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50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4372.17</v>
      </c>
      <c r="K37" s="165"/>
      <c r="L37" s="142">
        <f t="shared" si="1"/>
        <v>4372.17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6" sqref="W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2" t="s">
        <v>151</v>
      </c>
      <c r="C1" s="783"/>
      <c r="D1" s="783"/>
      <c r="E1" s="783"/>
      <c r="F1" s="784"/>
      <c r="G1" s="189"/>
      <c r="H1" s="782" t="s">
        <v>152</v>
      </c>
      <c r="I1" s="783"/>
      <c r="J1" s="783"/>
      <c r="K1" s="783"/>
      <c r="L1" s="784"/>
      <c r="M1" s="782" t="s">
        <v>171</v>
      </c>
      <c r="N1" s="783"/>
      <c r="O1" s="783"/>
      <c r="P1" s="783"/>
      <c r="Q1" s="784"/>
      <c r="R1" s="189"/>
      <c r="T1" s="782" t="s">
        <v>167</v>
      </c>
      <c r="U1" s="783"/>
      <c r="V1" s="783"/>
      <c r="W1" s="783"/>
      <c r="X1" s="784"/>
      <c r="Y1" s="782" t="s">
        <v>170</v>
      </c>
      <c r="Z1" s="783"/>
      <c r="AA1" s="783"/>
      <c r="AB1" s="783"/>
      <c r="AC1" s="784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5" t="s">
        <v>157</v>
      </c>
      <c r="C3" s="786"/>
      <c r="D3" s="205"/>
      <c r="E3" s="520">
        <v>8546.1</v>
      </c>
      <c r="F3" s="206" t="s">
        <v>158</v>
      </c>
      <c r="G3" s="197"/>
      <c r="H3" s="785" t="s">
        <v>157</v>
      </c>
      <c r="I3" s="786"/>
      <c r="J3" s="323"/>
      <c r="K3" s="449">
        <f>'[1]Water-Meter'!G5</f>
        <v>36423</v>
      </c>
      <c r="L3" s="323"/>
      <c r="M3" s="785" t="s">
        <v>157</v>
      </c>
      <c r="N3" s="786"/>
      <c r="O3" s="205"/>
      <c r="P3" s="214">
        <f>'[1]Water-Meter'!J5</f>
        <v>7351</v>
      </c>
      <c r="Q3" s="204"/>
      <c r="R3" s="323"/>
      <c r="S3" s="454"/>
      <c r="T3" s="785" t="s">
        <v>157</v>
      </c>
      <c r="U3" s="786"/>
      <c r="V3" s="205"/>
      <c r="W3" s="196">
        <v>7717.6</v>
      </c>
      <c r="X3" s="203">
        <f t="shared" ref="X3:X35" si="0">(W3-V3)*200</f>
        <v>1543520</v>
      </c>
      <c r="Y3" s="785" t="s">
        <v>157</v>
      </c>
      <c r="Z3" s="786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</v>
      </c>
      <c r="B6" s="95">
        <f>Gen!B13</f>
        <v>43893</v>
      </c>
      <c r="C6" s="195"/>
      <c r="D6" s="195">
        <f t="shared" si="1"/>
        <v>8555.1</v>
      </c>
      <c r="E6" s="520"/>
      <c r="F6" s="203">
        <f t="shared" si="2"/>
        <v>-1026612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-166.68485143692158</v>
      </c>
      <c r="T6" s="242">
        <f t="shared" si="12"/>
        <v>43893</v>
      </c>
      <c r="U6" s="195"/>
      <c r="V6" s="195">
        <f t="shared" si="8"/>
        <v>7727.2</v>
      </c>
      <c r="W6" s="196"/>
      <c r="X6" s="203">
        <f t="shared" si="0"/>
        <v>-1545440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0</v>
      </c>
      <c r="B7" s="95">
        <f>Gen!B14</f>
        <v>43894</v>
      </c>
      <c r="C7" s="195"/>
      <c r="D7" s="195">
        <f t="shared" si="1"/>
        <v>0</v>
      </c>
      <c r="E7" s="520"/>
      <c r="F7" s="203">
        <f t="shared" si="2"/>
        <v>0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0</v>
      </c>
      <c r="T7" s="242">
        <f t="shared" si="12"/>
        <v>43894</v>
      </c>
      <c r="U7" s="195"/>
      <c r="V7" s="195">
        <f t="shared" si="8"/>
        <v>0</v>
      </c>
      <c r="W7" s="196"/>
      <c r="X7" s="203">
        <f t="shared" si="0"/>
        <v>0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0</v>
      </c>
      <c r="B8" s="95">
        <f>Gen!B15</f>
        <v>43895</v>
      </c>
      <c r="C8" s="195"/>
      <c r="D8" s="195">
        <f t="shared" si="1"/>
        <v>0</v>
      </c>
      <c r="E8" s="520"/>
      <c r="F8" s="203">
        <f t="shared" si="2"/>
        <v>0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0</v>
      </c>
      <c r="T8" s="242">
        <f t="shared" si="12"/>
        <v>43895</v>
      </c>
      <c r="U8" s="195"/>
      <c r="V8" s="195">
        <f t="shared" si="8"/>
        <v>0</v>
      </c>
      <c r="W8" s="196"/>
      <c r="X8" s="203">
        <f t="shared" si="0"/>
        <v>0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0</v>
      </c>
      <c r="B9" s="95">
        <f>Gen!B16</f>
        <v>43896</v>
      </c>
      <c r="C9" s="195"/>
      <c r="D9" s="195">
        <f t="shared" si="1"/>
        <v>0</v>
      </c>
      <c r="E9" s="520"/>
      <c r="F9" s="203">
        <f t="shared" si="2"/>
        <v>0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0</v>
      </c>
      <c r="T9" s="242">
        <f t="shared" si="12"/>
        <v>43896</v>
      </c>
      <c r="U9" s="195"/>
      <c r="V9" s="195">
        <f t="shared" si="8"/>
        <v>0</v>
      </c>
      <c r="W9" s="196"/>
      <c r="X9" s="203">
        <f t="shared" si="0"/>
        <v>0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0</v>
      </c>
      <c r="B10" s="95">
        <f>Gen!B17</f>
        <v>43897</v>
      </c>
      <c r="C10" s="195"/>
      <c r="D10" s="195">
        <f t="shared" si="1"/>
        <v>0</v>
      </c>
      <c r="E10" s="520"/>
      <c r="F10" s="203">
        <f t="shared" si="2"/>
        <v>0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</v>
      </c>
      <c r="T10" s="242">
        <f t="shared" si="12"/>
        <v>43897</v>
      </c>
      <c r="U10" s="195"/>
      <c r="V10" s="195">
        <f t="shared" si="8"/>
        <v>0</v>
      </c>
      <c r="W10" s="196"/>
      <c r="X10" s="203">
        <f t="shared" si="0"/>
        <v>0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</v>
      </c>
      <c r="B11" s="95">
        <f>Gen!B18</f>
        <v>43898</v>
      </c>
      <c r="C11" s="195"/>
      <c r="D11" s="195">
        <f t="shared" si="1"/>
        <v>0</v>
      </c>
      <c r="E11" s="520"/>
      <c r="F11" s="203">
        <f t="shared" si="2"/>
        <v>0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</v>
      </c>
      <c r="T11" s="242">
        <f t="shared" si="12"/>
        <v>43898</v>
      </c>
      <c r="U11" s="195"/>
      <c r="V11" s="195">
        <f t="shared" si="8"/>
        <v>0</v>
      </c>
      <c r="W11" s="196"/>
      <c r="X11" s="203">
        <f t="shared" si="0"/>
        <v>0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</v>
      </c>
      <c r="B12" s="95">
        <f>Gen!B19</f>
        <v>43899</v>
      </c>
      <c r="C12" s="195"/>
      <c r="D12" s="195">
        <f t="shared" si="1"/>
        <v>0</v>
      </c>
      <c r="E12" s="520"/>
      <c r="F12" s="203">
        <f t="shared" si="2"/>
        <v>0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0</v>
      </c>
      <c r="T12" s="242">
        <f t="shared" si="12"/>
        <v>43899</v>
      </c>
      <c r="U12" s="195"/>
      <c r="V12" s="195">
        <f t="shared" si="8"/>
        <v>0</v>
      </c>
      <c r="W12" s="196"/>
      <c r="X12" s="203">
        <f t="shared" si="0"/>
        <v>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</v>
      </c>
      <c r="B13" s="95">
        <f>Gen!B20</f>
        <v>43900</v>
      </c>
      <c r="C13" s="195"/>
      <c r="D13" s="195">
        <f t="shared" si="1"/>
        <v>0</v>
      </c>
      <c r="E13" s="520"/>
      <c r="F13" s="203">
        <f t="shared" si="2"/>
        <v>0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0</v>
      </c>
      <c r="T13" s="242">
        <f t="shared" si="12"/>
        <v>43900</v>
      </c>
      <c r="U13" s="195"/>
      <c r="V13" s="195">
        <f t="shared" si="8"/>
        <v>0</v>
      </c>
      <c r="W13" s="196"/>
      <c r="X13" s="203">
        <f t="shared" si="0"/>
        <v>0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0</v>
      </c>
      <c r="B14" s="95">
        <f>Gen!B21</f>
        <v>43901</v>
      </c>
      <c r="C14" s="195"/>
      <c r="D14" s="195">
        <f t="shared" si="1"/>
        <v>0</v>
      </c>
      <c r="E14" s="520"/>
      <c r="F14" s="203">
        <f t="shared" si="2"/>
        <v>0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0</v>
      </c>
      <c r="T14" s="242">
        <f t="shared" si="12"/>
        <v>43901</v>
      </c>
      <c r="U14" s="195"/>
      <c r="V14" s="195">
        <f t="shared" si="8"/>
        <v>0</v>
      </c>
      <c r="W14" s="196"/>
      <c r="X14" s="203">
        <f t="shared" si="0"/>
        <v>0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0</v>
      </c>
      <c r="B15" s="95">
        <f>Gen!B22</f>
        <v>43902</v>
      </c>
      <c r="C15" s="195"/>
      <c r="D15" s="195">
        <f t="shared" si="1"/>
        <v>0</v>
      </c>
      <c r="E15" s="520"/>
      <c r="F15" s="203">
        <f t="shared" si="2"/>
        <v>0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0</v>
      </c>
      <c r="T15" s="242">
        <f t="shared" si="12"/>
        <v>43902</v>
      </c>
      <c r="U15" s="195"/>
      <c r="V15" s="195">
        <f t="shared" si="8"/>
        <v>0</v>
      </c>
      <c r="W15" s="196"/>
      <c r="X15" s="203">
        <f t="shared" si="0"/>
        <v>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0</v>
      </c>
      <c r="B16" s="95">
        <f>Gen!B23</f>
        <v>43903</v>
      </c>
      <c r="C16" s="195"/>
      <c r="D16" s="195">
        <f t="shared" si="1"/>
        <v>0</v>
      </c>
      <c r="E16" s="520"/>
      <c r="F16" s="203">
        <f>SUM(E16-D16)*120</f>
        <v>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0</v>
      </c>
      <c r="T16" s="242">
        <f t="shared" si="12"/>
        <v>43903</v>
      </c>
      <c r="U16" s="195"/>
      <c r="V16" s="195">
        <f t="shared" si="8"/>
        <v>0</v>
      </c>
      <c r="W16" s="196"/>
      <c r="X16" s="203">
        <f t="shared" si="0"/>
        <v>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43904</v>
      </c>
      <c r="C17" s="195"/>
      <c r="D17" s="195">
        <f t="shared" si="1"/>
        <v>0</v>
      </c>
      <c r="E17" s="520"/>
      <c r="F17" s="203">
        <f>SUM(E17-D17)*120</f>
        <v>0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0</v>
      </c>
      <c r="T17" s="242">
        <f t="shared" si="12"/>
        <v>43904</v>
      </c>
      <c r="U17" s="195"/>
      <c r="V17" s="195">
        <f t="shared" si="8"/>
        <v>0</v>
      </c>
      <c r="W17" s="196"/>
      <c r="X17" s="203">
        <f t="shared" si="0"/>
        <v>0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43905</v>
      </c>
      <c r="C18" s="195"/>
      <c r="D18" s="195">
        <f t="shared" si="1"/>
        <v>0</v>
      </c>
      <c r="E18" s="520"/>
      <c r="F18" s="203">
        <f t="shared" ref="F18:F22" si="15">SUM(E18-D18)*120</f>
        <v>0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0</v>
      </c>
      <c r="T18" s="242">
        <f t="shared" si="12"/>
        <v>43905</v>
      </c>
      <c r="U18" s="195"/>
      <c r="V18" s="195">
        <f t="shared" si="8"/>
        <v>0</v>
      </c>
      <c r="W18" s="196"/>
      <c r="X18" s="203">
        <f t="shared" si="0"/>
        <v>0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43906</v>
      </c>
      <c r="C19" s="198"/>
      <c r="D19" s="195">
        <f t="shared" si="1"/>
        <v>0</v>
      </c>
      <c r="E19" s="520"/>
      <c r="F19" s="203">
        <f t="shared" si="15"/>
        <v>0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0</v>
      </c>
      <c r="T19" s="242">
        <f t="shared" si="12"/>
        <v>43906</v>
      </c>
      <c r="U19" s="198"/>
      <c r="V19" s="195">
        <f t="shared" si="8"/>
        <v>0</v>
      </c>
      <c r="W19" s="196"/>
      <c r="X19" s="203">
        <f t="shared" si="0"/>
        <v>0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43907</v>
      </c>
      <c r="C20" s="198"/>
      <c r="D20" s="195">
        <f t="shared" si="1"/>
        <v>0</v>
      </c>
      <c r="E20" s="520"/>
      <c r="F20" s="203">
        <f t="shared" si="15"/>
        <v>0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0</v>
      </c>
      <c r="T20" s="242">
        <f t="shared" si="12"/>
        <v>43907</v>
      </c>
      <c r="U20" s="198"/>
      <c r="V20" s="195">
        <f t="shared" si="8"/>
        <v>0</v>
      </c>
      <c r="W20" s="196"/>
      <c r="X20" s="203">
        <f t="shared" si="0"/>
        <v>0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43908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43908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43909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43909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43910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43910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43912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43913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-1025532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-1543520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1" sqref="E1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7" t="s">
        <v>318</v>
      </c>
      <c r="B2" s="788"/>
      <c r="C2" s="788"/>
      <c r="D2" s="788"/>
      <c r="E2" s="789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49</v>
      </c>
      <c r="E5" s="76">
        <v>49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309707.06800000003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219.07599999997186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-149006</v>
      </c>
      <c r="C7" s="89">
        <f>Gen!C13</f>
        <v>0</v>
      </c>
      <c r="D7" s="587">
        <f t="shared" si="0"/>
        <v>0</v>
      </c>
      <c r="E7" s="76"/>
      <c r="F7" s="72">
        <f>Gen!U11</f>
        <v>5649</v>
      </c>
      <c r="G7" s="87">
        <f>Gen!T11</f>
        <v>2246.69</v>
      </c>
      <c r="H7" s="87">
        <f>Gen!AK13</f>
        <v>0</v>
      </c>
      <c r="I7" s="87">
        <f t="shared" si="1"/>
        <v>2246.69</v>
      </c>
      <c r="J7" s="602">
        <f>Gen!D13</f>
        <v>45327.450000000004</v>
      </c>
      <c r="K7" s="385" t="str">
        <f>'Water-Meter'!E8</f>
        <v>0</v>
      </c>
      <c r="L7" s="603">
        <f>'Lpg (2)'!G12</f>
        <v>-309926.14400000003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0</v>
      </c>
      <c r="C8" s="89">
        <f>Gen!C14</f>
        <v>0</v>
      </c>
      <c r="D8" s="587">
        <f>E8</f>
        <v>0</v>
      </c>
      <c r="E8" s="76"/>
      <c r="F8" s="72">
        <f>Gen!U12</f>
        <v>5543</v>
      </c>
      <c r="G8" s="87">
        <f>Gen!T12</f>
        <v>2125.4799999999996</v>
      </c>
      <c r="H8" s="87">
        <f>Gen!AK14</f>
        <v>0</v>
      </c>
      <c r="I8" s="87">
        <f t="shared" si="1"/>
        <v>2125.4799999999996</v>
      </c>
      <c r="J8" s="602">
        <f>Gen!D14</f>
        <v>45327.450000000004</v>
      </c>
      <c r="K8" s="385">
        <f>'Water-Meter'!E9</f>
        <v>0</v>
      </c>
      <c r="L8" s="603">
        <f>'Lpg (2)'!G13</f>
        <v>0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0</v>
      </c>
      <c r="C9" s="89">
        <f>Gen!C15</f>
        <v>0</v>
      </c>
      <c r="D9" s="587">
        <f t="shared" si="0"/>
        <v>0</v>
      </c>
      <c r="E9" s="76"/>
      <c r="F9" s="72">
        <f>Gen!U13</f>
        <v>0</v>
      </c>
      <c r="G9" s="87">
        <f>Gen!T13</f>
        <v>0</v>
      </c>
      <c r="H9" s="87">
        <f>Gen!AK15</f>
        <v>0</v>
      </c>
      <c r="I9" s="87">
        <f t="shared" si="1"/>
        <v>0</v>
      </c>
      <c r="J9" s="602">
        <f>Gen!D15</f>
        <v>45327.450000000004</v>
      </c>
      <c r="K9" s="385">
        <f>'Water-Meter'!E10</f>
        <v>0</v>
      </c>
      <c r="L9" s="603">
        <f>'Lpg (2)'!G14</f>
        <v>0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0</v>
      </c>
      <c r="C10" s="89">
        <f>Gen!C16</f>
        <v>0</v>
      </c>
      <c r="D10" s="587">
        <f t="shared" si="0"/>
        <v>0</v>
      </c>
      <c r="E10" s="76"/>
      <c r="F10" s="72">
        <f>Gen!U14</f>
        <v>0</v>
      </c>
      <c r="G10" s="87">
        <f>Gen!T14</f>
        <v>0</v>
      </c>
      <c r="H10" s="87">
        <f>Gen!AK16</f>
        <v>0</v>
      </c>
      <c r="I10" s="87">
        <f t="shared" si="1"/>
        <v>0</v>
      </c>
      <c r="J10" s="602">
        <f>Gen!D16</f>
        <v>45327.450000000004</v>
      </c>
      <c r="K10" s="385">
        <f>'Water-Meter'!E11</f>
        <v>0</v>
      </c>
      <c r="L10" s="603">
        <f>'Lpg (2)'!G15</f>
        <v>0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0</v>
      </c>
      <c r="C11" s="89">
        <f>Gen!C17</f>
        <v>0</v>
      </c>
      <c r="D11" s="587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602">
        <f>Gen!D17</f>
        <v>45327.450000000004</v>
      </c>
      <c r="K11" s="385">
        <f>'Water-Meter'!E12</f>
        <v>0</v>
      </c>
      <c r="L11" s="603">
        <f>'Lpg (2)'!G16</f>
        <v>0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0</v>
      </c>
      <c r="C12" s="89">
        <f>Gen!C18</f>
        <v>0</v>
      </c>
      <c r="D12" s="587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602">
        <f>Gen!D18</f>
        <v>45327.450000000004</v>
      </c>
      <c r="K12" s="385">
        <f>'Water-Meter'!E13</f>
        <v>0</v>
      </c>
      <c r="L12" s="603">
        <f>'Lpg (2)'!G17</f>
        <v>0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0</v>
      </c>
      <c r="C13" s="89">
        <f>Gen!C19</f>
        <v>0</v>
      </c>
      <c r="D13" s="587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602">
        <f>Gen!D19</f>
        <v>45327.450000000004</v>
      </c>
      <c r="K13" s="385">
        <f>'Water-Meter'!E14</f>
        <v>0</v>
      </c>
      <c r="L13" s="603">
        <f>'Lpg (2)'!G18</f>
        <v>0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0</v>
      </c>
      <c r="C14" s="89">
        <f>Gen!C20</f>
        <v>0</v>
      </c>
      <c r="D14" s="587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602">
        <f>Gen!D20</f>
        <v>45327.450000000004</v>
      </c>
      <c r="K14" s="385">
        <f>'Water-Meter'!E15</f>
        <v>0</v>
      </c>
      <c r="L14" s="603">
        <f>'Lpg (2)'!G19</f>
        <v>0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0</v>
      </c>
      <c r="C15" s="89">
        <f>Gen!C21</f>
        <v>0</v>
      </c>
      <c r="D15" s="587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602">
        <f>Gen!D21</f>
        <v>45327.450000000004</v>
      </c>
      <c r="K15" s="385">
        <f>'Water-Meter'!E16</f>
        <v>0</v>
      </c>
      <c r="L15" s="603">
        <f>'Lpg (2)'!G20</f>
        <v>0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0</v>
      </c>
      <c r="C16" s="89">
        <f>Gen!C22</f>
        <v>0</v>
      </c>
      <c r="D16" s="587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602">
        <f>Gen!D22</f>
        <v>45327.450000000004</v>
      </c>
      <c r="K16" s="385">
        <f>'Water-Meter'!E17</f>
        <v>0</v>
      </c>
      <c r="L16" s="603">
        <f>'Lpg (2)'!G21</f>
        <v>0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0</v>
      </c>
      <c r="C17" s="89">
        <f>Gen!C23</f>
        <v>0</v>
      </c>
      <c r="D17" s="587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602">
        <f>Gen!D23</f>
        <v>45327.450000000004</v>
      </c>
      <c r="K17" s="385">
        <f>'Water-Meter'!E18</f>
        <v>0</v>
      </c>
      <c r="L17" s="603">
        <f>'Lpg (2)'!G22</f>
        <v>0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0</v>
      </c>
      <c r="C18" s="89">
        <f>Gen!C24</f>
        <v>0</v>
      </c>
      <c r="D18" s="587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602">
        <f>Gen!D24</f>
        <v>45327.450000000004</v>
      </c>
      <c r="K18" s="385">
        <f>'Water-Meter'!E19</f>
        <v>0</v>
      </c>
      <c r="L18" s="603">
        <f>'Lpg (2)'!G23</f>
        <v>0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0</v>
      </c>
      <c r="C19" s="89">
        <f>Gen!C25</f>
        <v>0</v>
      </c>
      <c r="D19" s="587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602">
        <f>Gen!D25</f>
        <v>45327.450000000004</v>
      </c>
      <c r="K19" s="385">
        <f>'Water-Meter'!E20</f>
        <v>0</v>
      </c>
      <c r="L19" s="603">
        <f>'Lpg (2)'!G24</f>
        <v>0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0</v>
      </c>
      <c r="C20" s="89">
        <f>Gen!C26</f>
        <v>0</v>
      </c>
      <c r="D20" s="587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602">
        <f>Gen!D26</f>
        <v>45327.450000000004</v>
      </c>
      <c r="K20" s="385">
        <f>'Water-Meter'!E21</f>
        <v>0</v>
      </c>
      <c r="L20" s="603">
        <f>'Lpg (2)'!G25</f>
        <v>0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0</v>
      </c>
      <c r="C21" s="89">
        <f>Gen!C27</f>
        <v>0</v>
      </c>
      <c r="D21" s="587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602">
        <f>Gen!D27</f>
        <v>45327.450000000004</v>
      </c>
      <c r="K21" s="385">
        <f>'Water-Meter'!E22</f>
        <v>0</v>
      </c>
      <c r="L21" s="603">
        <f>'Lpg (2)'!G26</f>
        <v>0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602">
        <f>Gen!D28</f>
        <v>45327.450000000004</v>
      </c>
      <c r="K22" s="385">
        <f>'Water-Meter'!E23</f>
        <v>0</v>
      </c>
      <c r="L22" s="603">
        <f>'Lpg (2)'!G27</f>
        <v>0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45327.450000000004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45327.450000000004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45327.450000000004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45327.450000000004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45327.450000000004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45327.450000000004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45327.450000000004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45327.450000000004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45327.450000000004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45327.450000000004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45327.450000000004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45327.450000000004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45327.450000000004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45327.450000000004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X8" sqref="X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0">
        <v>43891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  <c r="R1" s="791"/>
      <c r="S1" s="791"/>
      <c r="T1" s="791"/>
      <c r="U1" s="791"/>
      <c r="V1" s="791"/>
      <c r="W1" s="791"/>
      <c r="X1" s="791"/>
      <c r="Y1" s="791"/>
      <c r="Z1" s="791"/>
      <c r="AA1" s="791"/>
      <c r="AB1" s="791"/>
      <c r="AC1" s="20"/>
    </row>
    <row r="2" spans="1:29" ht="12" customHeight="1" thickBo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2" t="s">
        <v>301</v>
      </c>
      <c r="L3" s="793"/>
      <c r="M3" s="794"/>
      <c r="N3" s="792" t="s">
        <v>302</v>
      </c>
      <c r="O3" s="793"/>
      <c r="P3" s="794"/>
      <c r="Q3" s="792" t="s">
        <v>303</v>
      </c>
      <c r="R3" s="793"/>
      <c r="S3" s="794"/>
      <c r="T3" s="792" t="s">
        <v>304</v>
      </c>
      <c r="U3" s="793"/>
      <c r="V3" s="794"/>
      <c r="W3" s="792" t="s">
        <v>305</v>
      </c>
      <c r="X3" s="793"/>
      <c r="Y3" s="794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8"/>
      <c r="L5" s="399">
        <v>34167</v>
      </c>
      <c r="M5" s="638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</v>
      </c>
      <c r="C8" s="399"/>
      <c r="D8" s="399">
        <v>22921.21</v>
      </c>
      <c r="E8" s="399"/>
      <c r="F8" s="399"/>
      <c r="G8" s="399"/>
      <c r="H8" s="399"/>
      <c r="I8" s="399"/>
      <c r="J8" s="399"/>
      <c r="K8" s="398">
        <f t="shared" si="0"/>
        <v>34184</v>
      </c>
      <c r="L8" s="399"/>
      <c r="M8" s="398">
        <f t="shared" si="1"/>
        <v>-34184</v>
      </c>
      <c r="N8" s="400">
        <f t="shared" si="2"/>
        <v>29001</v>
      </c>
      <c r="O8" s="399"/>
      <c r="P8" s="398">
        <f t="shared" si="3"/>
        <v>-29001</v>
      </c>
      <c r="Q8" s="398">
        <f t="shared" si="4"/>
        <v>34469</v>
      </c>
      <c r="R8" s="399"/>
      <c r="S8" s="398">
        <f t="shared" si="5"/>
        <v>-34469</v>
      </c>
      <c r="T8" s="398">
        <f t="shared" si="6"/>
        <v>31843</v>
      </c>
      <c r="U8" s="399"/>
      <c r="V8" s="398">
        <f t="shared" si="7"/>
        <v>-31843</v>
      </c>
      <c r="W8" s="400">
        <f t="shared" si="8"/>
        <v>19509</v>
      </c>
      <c r="X8" s="399"/>
      <c r="Y8" s="398">
        <f t="shared" si="9"/>
        <v>-19509</v>
      </c>
      <c r="Z8" s="401">
        <f t="shared" si="10"/>
        <v>-149006</v>
      </c>
      <c r="AA8" s="128"/>
      <c r="AB8" s="128"/>
      <c r="AC8" s="348">
        <f>Gen!T13</f>
        <v>0</v>
      </c>
    </row>
    <row r="9" spans="1:29" ht="20.100000000000001" customHeight="1">
      <c r="A9" s="343">
        <f>Gen!B14</f>
        <v>43894</v>
      </c>
      <c r="B9" s="441">
        <f>Gen!C14</f>
        <v>0</v>
      </c>
      <c r="C9" s="399"/>
      <c r="D9" s="399"/>
      <c r="E9" s="399"/>
      <c r="F9" s="399"/>
      <c r="G9" s="399"/>
      <c r="H9" s="399"/>
      <c r="I9" s="399"/>
      <c r="J9" s="399"/>
      <c r="K9" s="398">
        <f t="shared" si="0"/>
        <v>0</v>
      </c>
      <c r="L9" s="399"/>
      <c r="M9" s="398">
        <f t="shared" si="1"/>
        <v>0</v>
      </c>
      <c r="N9" s="400">
        <f t="shared" si="2"/>
        <v>0</v>
      </c>
      <c r="O9" s="399"/>
      <c r="P9" s="398">
        <f t="shared" si="3"/>
        <v>0</v>
      </c>
      <c r="Q9" s="398">
        <f t="shared" si="4"/>
        <v>0</v>
      </c>
      <c r="R9" s="399"/>
      <c r="S9" s="398">
        <f t="shared" si="5"/>
        <v>0</v>
      </c>
      <c r="T9" s="398">
        <f t="shared" si="6"/>
        <v>0</v>
      </c>
      <c r="U9" s="399"/>
      <c r="V9" s="398">
        <f t="shared" si="7"/>
        <v>0</v>
      </c>
      <c r="W9" s="400">
        <f t="shared" si="8"/>
        <v>0</v>
      </c>
      <c r="X9" s="399"/>
      <c r="Y9" s="398">
        <f t="shared" si="9"/>
        <v>0</v>
      </c>
      <c r="Z9" s="401">
        <f t="shared" si="10"/>
        <v>0</v>
      </c>
      <c r="AA9" s="128"/>
      <c r="AB9" s="128"/>
      <c r="AC9" s="348">
        <f>Gen!T14</f>
        <v>0</v>
      </c>
    </row>
    <row r="10" spans="1:29" ht="20.100000000000001" customHeight="1">
      <c r="A10" s="343">
        <f>Gen!B15</f>
        <v>43895</v>
      </c>
      <c r="B10" s="441">
        <f>Gen!C15</f>
        <v>0</v>
      </c>
      <c r="C10" s="399"/>
      <c r="D10" s="399"/>
      <c r="E10" s="399"/>
      <c r="F10" s="399"/>
      <c r="G10" s="399"/>
      <c r="H10" s="399"/>
      <c r="I10" s="399"/>
      <c r="J10" s="399"/>
      <c r="K10" s="398">
        <f t="shared" si="0"/>
        <v>0</v>
      </c>
      <c r="L10" s="399"/>
      <c r="M10" s="398">
        <f t="shared" si="1"/>
        <v>0</v>
      </c>
      <c r="N10" s="400">
        <f t="shared" si="2"/>
        <v>0</v>
      </c>
      <c r="O10" s="399"/>
      <c r="P10" s="398">
        <f t="shared" si="3"/>
        <v>0</v>
      </c>
      <c r="Q10" s="398">
        <f t="shared" si="4"/>
        <v>0</v>
      </c>
      <c r="R10" s="399"/>
      <c r="S10" s="398">
        <f t="shared" si="5"/>
        <v>0</v>
      </c>
      <c r="T10" s="398">
        <f t="shared" si="6"/>
        <v>0</v>
      </c>
      <c r="U10" s="399"/>
      <c r="V10" s="398">
        <f t="shared" si="7"/>
        <v>0</v>
      </c>
      <c r="W10" s="400">
        <f t="shared" si="8"/>
        <v>0</v>
      </c>
      <c r="X10" s="399"/>
      <c r="Y10" s="398">
        <f t="shared" si="9"/>
        <v>0</v>
      </c>
      <c r="Z10" s="401">
        <f t="shared" si="10"/>
        <v>0</v>
      </c>
      <c r="AA10" s="128"/>
      <c r="AB10" s="128"/>
      <c r="AC10" s="348">
        <f>Gen!T15</f>
        <v>0</v>
      </c>
    </row>
    <row r="11" spans="1:29" ht="20.100000000000001" customHeight="1">
      <c r="A11" s="343">
        <f>Gen!B16</f>
        <v>43896</v>
      </c>
      <c r="B11" s="441">
        <f>Gen!C16</f>
        <v>0</v>
      </c>
      <c r="C11" s="399"/>
      <c r="D11" s="399"/>
      <c r="E11" s="399"/>
      <c r="F11" s="399"/>
      <c r="G11" s="399"/>
      <c r="H11" s="399"/>
      <c r="I11" s="399"/>
      <c r="J11" s="399"/>
      <c r="K11" s="398">
        <f t="shared" si="0"/>
        <v>0</v>
      </c>
      <c r="L11" s="399"/>
      <c r="M11" s="398">
        <f t="shared" si="1"/>
        <v>0</v>
      </c>
      <c r="N11" s="400">
        <f t="shared" si="2"/>
        <v>0</v>
      </c>
      <c r="O11" s="399"/>
      <c r="P11" s="398">
        <f t="shared" si="3"/>
        <v>0</v>
      </c>
      <c r="Q11" s="398">
        <f t="shared" si="4"/>
        <v>0</v>
      </c>
      <c r="R11" s="399"/>
      <c r="S11" s="398">
        <f t="shared" si="5"/>
        <v>0</v>
      </c>
      <c r="T11" s="398">
        <f t="shared" si="6"/>
        <v>0</v>
      </c>
      <c r="U11" s="399"/>
      <c r="V11" s="398">
        <f t="shared" si="7"/>
        <v>0</v>
      </c>
      <c r="W11" s="400">
        <f t="shared" si="8"/>
        <v>0</v>
      </c>
      <c r="X11" s="399"/>
      <c r="Y11" s="398">
        <f t="shared" si="9"/>
        <v>0</v>
      </c>
      <c r="Z11" s="401">
        <f t="shared" si="10"/>
        <v>0</v>
      </c>
      <c r="AA11" s="128"/>
      <c r="AB11" s="128"/>
      <c r="AC11" s="348">
        <f>Gen!T16</f>
        <v>0</v>
      </c>
    </row>
    <row r="12" spans="1:29" ht="20.100000000000001" customHeight="1">
      <c r="A12" s="343">
        <f>Gen!B17</f>
        <v>43897</v>
      </c>
      <c r="B12" s="441">
        <f>Gen!C17</f>
        <v>0</v>
      </c>
      <c r="C12" s="399"/>
      <c r="D12" s="399"/>
      <c r="E12" s="399"/>
      <c r="F12" s="399"/>
      <c r="G12" s="399"/>
      <c r="H12" s="399"/>
      <c r="I12" s="399"/>
      <c r="J12" s="399"/>
      <c r="K12" s="398">
        <f t="shared" si="0"/>
        <v>0</v>
      </c>
      <c r="L12" s="399"/>
      <c r="M12" s="398">
        <f t="shared" si="1"/>
        <v>0</v>
      </c>
      <c r="N12" s="400">
        <f t="shared" si="2"/>
        <v>0</v>
      </c>
      <c r="O12" s="399"/>
      <c r="P12" s="398">
        <f t="shared" si="3"/>
        <v>0</v>
      </c>
      <c r="Q12" s="398">
        <f t="shared" si="4"/>
        <v>0</v>
      </c>
      <c r="R12" s="399"/>
      <c r="S12" s="398">
        <f t="shared" si="5"/>
        <v>0</v>
      </c>
      <c r="T12" s="398">
        <f t="shared" si="6"/>
        <v>0</v>
      </c>
      <c r="U12" s="399"/>
      <c r="V12" s="398">
        <f t="shared" si="7"/>
        <v>0</v>
      </c>
      <c r="W12" s="400">
        <f t="shared" si="8"/>
        <v>0</v>
      </c>
      <c r="X12" s="399"/>
      <c r="Y12" s="398">
        <f t="shared" si="9"/>
        <v>0</v>
      </c>
      <c r="Z12" s="401">
        <f t="shared" si="10"/>
        <v>0</v>
      </c>
      <c r="AA12" s="128"/>
      <c r="AB12" s="128"/>
      <c r="AC12" s="348">
        <f>Gen!T17</f>
        <v>0</v>
      </c>
    </row>
    <row r="13" spans="1:29" ht="20.100000000000001" customHeight="1">
      <c r="A13" s="343">
        <f>Gen!B18</f>
        <v>43898</v>
      </c>
      <c r="B13" s="441">
        <f>Gen!C18</f>
        <v>0</v>
      </c>
      <c r="C13" s="399"/>
      <c r="D13" s="399"/>
      <c r="E13" s="399"/>
      <c r="F13" s="399"/>
      <c r="G13" s="399"/>
      <c r="H13" s="399"/>
      <c r="I13" s="399"/>
      <c r="J13" s="399"/>
      <c r="K13" s="398">
        <f t="shared" si="0"/>
        <v>0</v>
      </c>
      <c r="L13" s="399"/>
      <c r="M13" s="398">
        <f t="shared" si="1"/>
        <v>0</v>
      </c>
      <c r="N13" s="400">
        <f t="shared" si="2"/>
        <v>0</v>
      </c>
      <c r="O13" s="399"/>
      <c r="P13" s="398">
        <f t="shared" si="3"/>
        <v>0</v>
      </c>
      <c r="Q13" s="398">
        <f t="shared" si="4"/>
        <v>0</v>
      </c>
      <c r="R13" s="399"/>
      <c r="S13" s="398">
        <f t="shared" si="5"/>
        <v>0</v>
      </c>
      <c r="T13" s="398">
        <f t="shared" si="6"/>
        <v>0</v>
      </c>
      <c r="U13" s="399"/>
      <c r="V13" s="398">
        <f t="shared" si="7"/>
        <v>0</v>
      </c>
      <c r="W13" s="400">
        <f t="shared" si="8"/>
        <v>0</v>
      </c>
      <c r="X13" s="399"/>
      <c r="Y13" s="398">
        <f t="shared" si="9"/>
        <v>0</v>
      </c>
      <c r="Z13" s="401">
        <f t="shared" si="10"/>
        <v>0</v>
      </c>
      <c r="AA13" s="128"/>
      <c r="AB13" s="128"/>
      <c r="AC13" s="348">
        <f>Gen!T18</f>
        <v>0</v>
      </c>
    </row>
    <row r="14" spans="1:29" ht="20.100000000000001" customHeight="1">
      <c r="A14" s="343">
        <f>Gen!B19</f>
        <v>43899</v>
      </c>
      <c r="B14" s="441">
        <f>Gen!C19</f>
        <v>0</v>
      </c>
      <c r="C14" s="399"/>
      <c r="D14" s="399"/>
      <c r="E14" s="399"/>
      <c r="F14" s="399"/>
      <c r="G14" s="399"/>
      <c r="H14" s="399"/>
      <c r="I14" s="399"/>
      <c r="J14" s="399"/>
      <c r="K14" s="398">
        <f t="shared" si="0"/>
        <v>0</v>
      </c>
      <c r="L14" s="399"/>
      <c r="M14" s="398">
        <f t="shared" si="1"/>
        <v>0</v>
      </c>
      <c r="N14" s="400">
        <f t="shared" si="2"/>
        <v>0</v>
      </c>
      <c r="O14" s="399"/>
      <c r="P14" s="398">
        <f t="shared" si="3"/>
        <v>0</v>
      </c>
      <c r="Q14" s="398">
        <f t="shared" si="4"/>
        <v>0</v>
      </c>
      <c r="R14" s="399"/>
      <c r="S14" s="398">
        <f t="shared" si="5"/>
        <v>0</v>
      </c>
      <c r="T14" s="398">
        <f t="shared" si="6"/>
        <v>0</v>
      </c>
      <c r="U14" s="399"/>
      <c r="V14" s="398">
        <f t="shared" si="7"/>
        <v>0</v>
      </c>
      <c r="W14" s="400">
        <f t="shared" si="8"/>
        <v>0</v>
      </c>
      <c r="X14" s="399"/>
      <c r="Y14" s="398">
        <f t="shared" si="9"/>
        <v>0</v>
      </c>
      <c r="Z14" s="401">
        <f t="shared" si="10"/>
        <v>0</v>
      </c>
      <c r="AA14" s="128"/>
      <c r="AB14" s="128"/>
      <c r="AC14" s="348">
        <f>Gen!T19</f>
        <v>0</v>
      </c>
    </row>
    <row r="15" spans="1:29" ht="20.100000000000001" customHeight="1">
      <c r="A15" s="343">
        <f>Gen!B20</f>
        <v>43900</v>
      </c>
      <c r="B15" s="441">
        <f>Gen!C20</f>
        <v>0</v>
      </c>
      <c r="C15" s="399"/>
      <c r="D15" s="399"/>
      <c r="E15" s="399"/>
      <c r="F15" s="399"/>
      <c r="G15" s="399"/>
      <c r="H15" s="399"/>
      <c r="I15" s="399"/>
      <c r="J15" s="399"/>
      <c r="K15" s="398">
        <f t="shared" si="0"/>
        <v>0</v>
      </c>
      <c r="L15" s="399"/>
      <c r="M15" s="398">
        <f t="shared" si="1"/>
        <v>0</v>
      </c>
      <c r="N15" s="400">
        <f t="shared" si="2"/>
        <v>0</v>
      </c>
      <c r="O15" s="399"/>
      <c r="P15" s="398">
        <f t="shared" si="3"/>
        <v>0</v>
      </c>
      <c r="Q15" s="398">
        <f t="shared" si="4"/>
        <v>0</v>
      </c>
      <c r="R15" s="399"/>
      <c r="S15" s="398">
        <f t="shared" si="5"/>
        <v>0</v>
      </c>
      <c r="T15" s="398">
        <f t="shared" si="6"/>
        <v>0</v>
      </c>
      <c r="U15" s="399"/>
      <c r="V15" s="398">
        <f t="shared" si="7"/>
        <v>0</v>
      </c>
      <c r="W15" s="400">
        <f t="shared" si="8"/>
        <v>0</v>
      </c>
      <c r="X15" s="399"/>
      <c r="Y15" s="398">
        <f t="shared" si="9"/>
        <v>0</v>
      </c>
      <c r="Z15" s="401">
        <f t="shared" si="10"/>
        <v>0</v>
      </c>
      <c r="AA15" s="128"/>
      <c r="AB15" s="128"/>
      <c r="AC15" s="348">
        <f>Gen!T20</f>
        <v>0</v>
      </c>
    </row>
    <row r="16" spans="1:29" ht="20.100000000000001" customHeight="1">
      <c r="A16" s="343">
        <f>Gen!B21</f>
        <v>43901</v>
      </c>
      <c r="B16" s="441">
        <f>Gen!C21</f>
        <v>0</v>
      </c>
      <c r="C16" s="399"/>
      <c r="D16" s="399"/>
      <c r="E16" s="399"/>
      <c r="F16" s="399"/>
      <c r="G16" s="399"/>
      <c r="H16" s="399"/>
      <c r="I16" s="399"/>
      <c r="J16" s="399"/>
      <c r="K16" s="398">
        <f t="shared" si="0"/>
        <v>0</v>
      </c>
      <c r="L16" s="399"/>
      <c r="M16" s="398">
        <f t="shared" si="1"/>
        <v>0</v>
      </c>
      <c r="N16" s="400">
        <f t="shared" si="2"/>
        <v>0</v>
      </c>
      <c r="O16" s="399"/>
      <c r="P16" s="398">
        <f t="shared" si="3"/>
        <v>0</v>
      </c>
      <c r="Q16" s="398">
        <f t="shared" si="4"/>
        <v>0</v>
      </c>
      <c r="R16" s="399"/>
      <c r="S16" s="398">
        <f t="shared" si="5"/>
        <v>0</v>
      </c>
      <c r="T16" s="398">
        <f t="shared" si="6"/>
        <v>0</v>
      </c>
      <c r="U16" s="399"/>
      <c r="V16" s="398">
        <f t="shared" si="7"/>
        <v>0</v>
      </c>
      <c r="W16" s="400">
        <f t="shared" si="8"/>
        <v>0</v>
      </c>
      <c r="X16" s="399"/>
      <c r="Y16" s="398">
        <f t="shared" si="9"/>
        <v>0</v>
      </c>
      <c r="Z16" s="401">
        <f t="shared" si="10"/>
        <v>0</v>
      </c>
      <c r="AA16" s="128"/>
      <c r="AB16" s="128"/>
      <c r="AC16" s="348">
        <f>Gen!T21</f>
        <v>0</v>
      </c>
    </row>
    <row r="17" spans="1:29" ht="20.100000000000001" customHeight="1">
      <c r="A17" s="343">
        <f>Gen!B22</f>
        <v>43902</v>
      </c>
      <c r="B17" s="441">
        <f>Gen!C22</f>
        <v>0</v>
      </c>
      <c r="C17" s="399"/>
      <c r="D17" s="399"/>
      <c r="E17" s="691"/>
      <c r="F17" s="399"/>
      <c r="G17" s="399"/>
      <c r="H17" s="399"/>
      <c r="I17" s="399"/>
      <c r="J17" s="399"/>
      <c r="K17" s="398">
        <f t="shared" si="0"/>
        <v>0</v>
      </c>
      <c r="L17" s="399"/>
      <c r="M17" s="398">
        <f t="shared" si="1"/>
        <v>0</v>
      </c>
      <c r="N17" s="400">
        <f t="shared" si="2"/>
        <v>0</v>
      </c>
      <c r="O17" s="399"/>
      <c r="P17" s="398">
        <f t="shared" si="3"/>
        <v>0</v>
      </c>
      <c r="Q17" s="398">
        <f t="shared" si="4"/>
        <v>0</v>
      </c>
      <c r="R17" s="399"/>
      <c r="S17" s="398">
        <f t="shared" si="5"/>
        <v>0</v>
      </c>
      <c r="T17" s="398">
        <f t="shared" si="6"/>
        <v>0</v>
      </c>
      <c r="U17" s="399"/>
      <c r="V17" s="398">
        <f t="shared" si="7"/>
        <v>0</v>
      </c>
      <c r="W17" s="400">
        <f t="shared" si="8"/>
        <v>0</v>
      </c>
      <c r="X17" s="399"/>
      <c r="Y17" s="398">
        <f t="shared" si="9"/>
        <v>0</v>
      </c>
      <c r="Z17" s="401">
        <f t="shared" si="10"/>
        <v>0</v>
      </c>
      <c r="AA17" s="128"/>
      <c r="AB17" s="128"/>
      <c r="AC17" s="348">
        <f>Gen!T22</f>
        <v>0</v>
      </c>
    </row>
    <row r="18" spans="1:29" ht="20.100000000000001" customHeight="1">
      <c r="A18" s="343">
        <f>Gen!B23</f>
        <v>43903</v>
      </c>
      <c r="B18" s="441">
        <f>Gen!C23</f>
        <v>0</v>
      </c>
      <c r="C18" s="399"/>
      <c r="D18" s="399"/>
      <c r="E18" s="399"/>
      <c r="F18" s="399"/>
      <c r="G18" s="399"/>
      <c r="H18" s="399"/>
      <c r="I18" s="399"/>
      <c r="J18" s="399"/>
      <c r="K18" s="398">
        <f t="shared" si="0"/>
        <v>0</v>
      </c>
      <c r="L18" s="399"/>
      <c r="M18" s="398">
        <f t="shared" si="1"/>
        <v>0</v>
      </c>
      <c r="N18" s="400">
        <f t="shared" si="2"/>
        <v>0</v>
      </c>
      <c r="O18" s="399"/>
      <c r="P18" s="398">
        <f t="shared" si="3"/>
        <v>0</v>
      </c>
      <c r="Q18" s="398">
        <f t="shared" si="4"/>
        <v>0</v>
      </c>
      <c r="R18" s="399"/>
      <c r="S18" s="398">
        <f t="shared" si="5"/>
        <v>0</v>
      </c>
      <c r="T18" s="398">
        <f t="shared" si="6"/>
        <v>0</v>
      </c>
      <c r="U18" s="399"/>
      <c r="V18" s="398">
        <f t="shared" si="7"/>
        <v>0</v>
      </c>
      <c r="W18" s="400">
        <f t="shared" si="8"/>
        <v>0</v>
      </c>
      <c r="X18" s="399"/>
      <c r="Y18" s="398">
        <f t="shared" si="9"/>
        <v>0</v>
      </c>
      <c r="Z18" s="401">
        <f t="shared" si="10"/>
        <v>0</v>
      </c>
      <c r="AA18" s="128"/>
      <c r="AB18" s="128"/>
      <c r="AC18" s="348">
        <f>Gen!T23</f>
        <v>0</v>
      </c>
    </row>
    <row r="19" spans="1:29" ht="20.100000000000001" customHeight="1">
      <c r="A19" s="343">
        <f>Gen!B24</f>
        <v>43904</v>
      </c>
      <c r="B19" s="441">
        <f>Gen!C24</f>
        <v>0</v>
      </c>
      <c r="C19" s="399"/>
      <c r="D19" s="399"/>
      <c r="E19" s="399"/>
      <c r="F19" s="399"/>
      <c r="G19" s="399"/>
      <c r="H19" s="399"/>
      <c r="I19" s="399"/>
      <c r="J19" s="399"/>
      <c r="K19" s="398">
        <f t="shared" si="0"/>
        <v>0</v>
      </c>
      <c r="L19" s="399"/>
      <c r="M19" s="398">
        <f t="shared" si="1"/>
        <v>0</v>
      </c>
      <c r="N19" s="400">
        <f t="shared" si="2"/>
        <v>0</v>
      </c>
      <c r="O19" s="399"/>
      <c r="P19" s="398">
        <f t="shared" si="3"/>
        <v>0</v>
      </c>
      <c r="Q19" s="398">
        <f t="shared" si="4"/>
        <v>0</v>
      </c>
      <c r="R19" s="399"/>
      <c r="S19" s="398">
        <f t="shared" si="5"/>
        <v>0</v>
      </c>
      <c r="T19" s="398">
        <f t="shared" si="6"/>
        <v>0</v>
      </c>
      <c r="U19" s="399"/>
      <c r="V19" s="398">
        <f t="shared" si="7"/>
        <v>0</v>
      </c>
      <c r="W19" s="400">
        <f t="shared" si="8"/>
        <v>0</v>
      </c>
      <c r="X19" s="399"/>
      <c r="Y19" s="398">
        <f t="shared" si="9"/>
        <v>0</v>
      </c>
      <c r="Z19" s="401">
        <f t="shared" si="10"/>
        <v>0</v>
      </c>
      <c r="AA19" s="128"/>
      <c r="AB19" s="128"/>
      <c r="AC19" s="348">
        <f>Gen!T24</f>
        <v>0</v>
      </c>
    </row>
    <row r="20" spans="1:29" ht="20.100000000000001" customHeight="1">
      <c r="A20" s="343">
        <f>Gen!B25</f>
        <v>43905</v>
      </c>
      <c r="B20" s="441">
        <f>Gen!C25</f>
        <v>0</v>
      </c>
      <c r="C20" s="399"/>
      <c r="D20" s="399"/>
      <c r="E20" s="399"/>
      <c r="F20" s="399"/>
      <c r="G20" s="399"/>
      <c r="H20" s="399"/>
      <c r="I20" s="399"/>
      <c r="J20" s="399"/>
      <c r="K20" s="398">
        <f t="shared" si="0"/>
        <v>0</v>
      </c>
      <c r="L20" s="399"/>
      <c r="M20" s="398">
        <f t="shared" si="1"/>
        <v>0</v>
      </c>
      <c r="N20" s="400">
        <f t="shared" si="2"/>
        <v>0</v>
      </c>
      <c r="O20" s="399"/>
      <c r="P20" s="398">
        <f t="shared" si="3"/>
        <v>0</v>
      </c>
      <c r="Q20" s="398">
        <f t="shared" si="4"/>
        <v>0</v>
      </c>
      <c r="R20" s="399"/>
      <c r="S20" s="398">
        <f t="shared" si="5"/>
        <v>0</v>
      </c>
      <c r="T20" s="398">
        <f t="shared" si="6"/>
        <v>0</v>
      </c>
      <c r="U20" s="399"/>
      <c r="V20" s="398">
        <f t="shared" si="7"/>
        <v>0</v>
      </c>
      <c r="W20" s="400">
        <f t="shared" si="8"/>
        <v>0</v>
      </c>
      <c r="X20" s="399"/>
      <c r="Y20" s="398">
        <f t="shared" si="9"/>
        <v>0</v>
      </c>
      <c r="Z20" s="401">
        <f t="shared" si="10"/>
        <v>0</v>
      </c>
      <c r="AA20" s="128"/>
      <c r="AB20" s="128"/>
      <c r="AC20" s="348">
        <f>Gen!T25</f>
        <v>0</v>
      </c>
    </row>
    <row r="21" spans="1:29" ht="20.100000000000001" customHeight="1">
      <c r="A21" s="343">
        <f>Gen!B26</f>
        <v>43906</v>
      </c>
      <c r="B21" s="441">
        <f>Gen!C26</f>
        <v>0</v>
      </c>
      <c r="C21" s="399"/>
      <c r="D21" s="399"/>
      <c r="E21" s="399"/>
      <c r="F21" s="399"/>
      <c r="G21" s="399"/>
      <c r="H21" s="399"/>
      <c r="I21" s="399"/>
      <c r="J21" s="399"/>
      <c r="K21" s="398">
        <f t="shared" si="0"/>
        <v>0</v>
      </c>
      <c r="L21" s="399"/>
      <c r="M21" s="398">
        <f t="shared" si="1"/>
        <v>0</v>
      </c>
      <c r="N21" s="400">
        <f t="shared" si="2"/>
        <v>0</v>
      </c>
      <c r="O21" s="399"/>
      <c r="P21" s="398">
        <f t="shared" si="3"/>
        <v>0</v>
      </c>
      <c r="Q21" s="398">
        <f t="shared" si="4"/>
        <v>0</v>
      </c>
      <c r="R21" s="399"/>
      <c r="S21" s="398">
        <f t="shared" si="5"/>
        <v>0</v>
      </c>
      <c r="T21" s="398">
        <f t="shared" si="6"/>
        <v>0</v>
      </c>
      <c r="U21" s="399"/>
      <c r="V21" s="398">
        <f t="shared" si="7"/>
        <v>0</v>
      </c>
      <c r="W21" s="400">
        <f t="shared" si="8"/>
        <v>0</v>
      </c>
      <c r="X21" s="399"/>
      <c r="Y21" s="398">
        <f t="shared" si="9"/>
        <v>0</v>
      </c>
      <c r="Z21" s="401">
        <f t="shared" si="10"/>
        <v>0</v>
      </c>
      <c r="AA21" s="128"/>
      <c r="AB21" s="128"/>
      <c r="AC21" s="348">
        <f>Gen!T26</f>
        <v>0</v>
      </c>
    </row>
    <row r="22" spans="1:29" ht="18.75" customHeight="1">
      <c r="A22" s="343">
        <f>Gen!B27</f>
        <v>43907</v>
      </c>
      <c r="B22" s="441">
        <f>Gen!C27</f>
        <v>0</v>
      </c>
      <c r="C22" s="399"/>
      <c r="D22" s="399"/>
      <c r="E22" s="399"/>
      <c r="F22" s="399"/>
      <c r="G22" s="399"/>
      <c r="H22" s="399"/>
      <c r="I22" s="399"/>
      <c r="J22" s="399"/>
      <c r="K22" s="398">
        <f t="shared" si="0"/>
        <v>0</v>
      </c>
      <c r="L22" s="399"/>
      <c r="M22" s="398">
        <f t="shared" si="1"/>
        <v>0</v>
      </c>
      <c r="N22" s="400">
        <f t="shared" si="2"/>
        <v>0</v>
      </c>
      <c r="O22" s="399"/>
      <c r="P22" s="398">
        <f t="shared" si="3"/>
        <v>0</v>
      </c>
      <c r="Q22" s="398">
        <f t="shared" si="4"/>
        <v>0</v>
      </c>
      <c r="R22" s="399"/>
      <c r="S22" s="398">
        <f t="shared" si="5"/>
        <v>0</v>
      </c>
      <c r="T22" s="398">
        <f t="shared" si="6"/>
        <v>0</v>
      </c>
      <c r="U22" s="399"/>
      <c r="V22" s="398">
        <f t="shared" si="7"/>
        <v>0</v>
      </c>
      <c r="W22" s="400">
        <f t="shared" si="8"/>
        <v>0</v>
      </c>
      <c r="X22" s="399"/>
      <c r="Y22" s="398">
        <f t="shared" si="9"/>
        <v>0</v>
      </c>
      <c r="Z22" s="401">
        <f t="shared" si="10"/>
        <v>0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43908</v>
      </c>
      <c r="B23" s="441">
        <f>Gen!C28</f>
        <v>0</v>
      </c>
      <c r="C23" s="399"/>
      <c r="D23" s="399"/>
      <c r="E23" s="691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43909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43910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9" zoomScale="120" zoomScaleNormal="120" workbookViewId="0">
      <pane xSplit="2" topLeftCell="X1" activePane="topRight" state="frozen"/>
      <selection pane="topRight" activeCell="AG17" sqref="AG17"/>
    </sheetView>
  </sheetViews>
  <sheetFormatPr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9.28515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1"/>
      <c r="C1" s="801"/>
    </row>
    <row r="2" spans="2:47" ht="26.25">
      <c r="B2" s="801"/>
      <c r="C2" s="801"/>
      <c r="E2" s="802" t="s">
        <v>317</v>
      </c>
      <c r="F2" s="802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</row>
    <row r="3" spans="2:47">
      <c r="B3" s="801"/>
      <c r="C3" s="801"/>
      <c r="L3" s="246"/>
      <c r="R3" s="246"/>
    </row>
    <row r="4" spans="2:47">
      <c r="B4" s="801"/>
      <c r="C4" s="801"/>
      <c r="L4" s="246"/>
      <c r="R4" s="246"/>
    </row>
    <row r="5" spans="2:47" ht="12" thickBot="1">
      <c r="B5" s="801"/>
      <c r="C5" s="801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1"/>
      <c r="C6" s="801"/>
      <c r="D6" s="251"/>
      <c r="G6" s="810" t="s">
        <v>58</v>
      </c>
      <c r="H6" s="811"/>
      <c r="I6" s="811"/>
      <c r="J6" s="811"/>
      <c r="K6" s="811"/>
      <c r="L6" s="811"/>
      <c r="M6" s="812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4" t="s">
        <v>203</v>
      </c>
      <c r="H7" s="805"/>
      <c r="I7" s="805"/>
      <c r="J7" s="805"/>
      <c r="K7" s="805"/>
      <c r="L7" s="805"/>
      <c r="M7" s="806"/>
      <c r="N7" s="807" t="s">
        <v>40</v>
      </c>
      <c r="O7" s="808"/>
      <c r="P7" s="808"/>
      <c r="Q7" s="808"/>
      <c r="R7" s="808"/>
      <c r="S7" s="809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96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700"/>
      <c r="C9" s="259"/>
      <c r="D9" s="277">
        <v>32302.73</v>
      </c>
      <c r="E9" s="507"/>
      <c r="F9" s="261"/>
      <c r="G9" s="701"/>
      <c r="H9" s="697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702"/>
      <c r="C10" s="274"/>
      <c r="D10" s="308"/>
      <c r="E10" s="260"/>
      <c r="F10" s="276"/>
      <c r="G10" s="703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704">
        <v>43891</v>
      </c>
      <c r="C11" s="303">
        <v>0.57140000000000002</v>
      </c>
      <c r="D11" s="291">
        <f>SUM(D9+E11)</f>
        <v>32302.73</v>
      </c>
      <c r="E11" s="298"/>
      <c r="F11" s="276"/>
      <c r="G11" s="705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704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706" t="s">
        <v>312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704">
        <v>43893</v>
      </c>
      <c r="C13" s="303"/>
      <c r="D13" s="291">
        <f t="shared" si="6"/>
        <v>45327.450000000004</v>
      </c>
      <c r="E13" s="298"/>
      <c r="F13" s="276"/>
      <c r="G13" s="707"/>
      <c r="H13" s="278"/>
      <c r="I13" s="277"/>
      <c r="J13" s="299"/>
      <c r="K13" s="277"/>
      <c r="L13" s="277"/>
      <c r="M13" s="389"/>
      <c r="N13" s="388"/>
      <c r="O13" s="279"/>
      <c r="P13" s="279"/>
      <c r="Q13" s="279"/>
      <c r="R13" s="279"/>
      <c r="S13" s="279"/>
      <c r="T13" s="292">
        <f t="shared" si="0"/>
        <v>0</v>
      </c>
      <c r="U13" s="293">
        <f t="shared" si="1"/>
        <v>0</v>
      </c>
      <c r="V13" s="293" t="e">
        <f t="shared" si="4"/>
        <v>#DIV/0!</v>
      </c>
      <c r="W13" s="282"/>
      <c r="X13" s="294"/>
      <c r="Y13" s="690"/>
      <c r="Z13" s="690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0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0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704">
        <v>43894</v>
      </c>
      <c r="C14" s="303"/>
      <c r="D14" s="291">
        <f t="shared" si="6"/>
        <v>45327.450000000004</v>
      </c>
      <c r="E14" s="298"/>
      <c r="F14" s="276"/>
      <c r="G14" s="707"/>
      <c r="H14" s="278"/>
      <c r="I14" s="277"/>
      <c r="J14" s="299"/>
      <c r="K14" s="277"/>
      <c r="L14" s="277"/>
      <c r="M14" s="389"/>
      <c r="N14" s="388"/>
      <c r="O14" s="279"/>
      <c r="P14" s="279"/>
      <c r="Q14" s="279"/>
      <c r="R14" s="279"/>
      <c r="S14" s="279"/>
      <c r="T14" s="292">
        <f t="shared" si="0"/>
        <v>0</v>
      </c>
      <c r="U14" s="293">
        <f t="shared" si="1"/>
        <v>0</v>
      </c>
      <c r="V14" s="293" t="e">
        <f t="shared" si="4"/>
        <v>#DIV/0!</v>
      </c>
      <c r="W14" s="282"/>
      <c r="X14" s="294"/>
      <c r="Z14" s="690"/>
      <c r="AA14" s="277"/>
      <c r="AB14" s="361"/>
      <c r="AC14" s="294"/>
      <c r="AD14" s="294"/>
      <c r="AE14" s="294"/>
      <c r="AF14" s="294"/>
      <c r="AG14" s="294"/>
      <c r="AH14" s="294"/>
      <c r="AI14" s="294"/>
      <c r="AJ14" s="519"/>
      <c r="AK14" s="359">
        <f t="shared" si="3"/>
        <v>0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0</v>
      </c>
      <c r="AT14" s="296">
        <f t="shared" si="7"/>
        <v>0</v>
      </c>
      <c r="AU14" s="371">
        <f t="shared" si="5"/>
        <v>45327.450000000004</v>
      </c>
    </row>
    <row r="15" spans="2:47" ht="13.5" customHeight="1">
      <c r="B15" s="704">
        <v>43895</v>
      </c>
      <c r="C15" s="303"/>
      <c r="D15" s="291">
        <f t="shared" si="6"/>
        <v>45327.450000000004</v>
      </c>
      <c r="E15" s="298"/>
      <c r="F15" s="276"/>
      <c r="G15" s="707"/>
      <c r="H15" s="278"/>
      <c r="I15" s="277"/>
      <c r="J15" s="299"/>
      <c r="K15" s="277"/>
      <c r="L15" s="277"/>
      <c r="M15" s="389"/>
      <c r="N15" s="388"/>
      <c r="O15" s="279"/>
      <c r="P15" s="279"/>
      <c r="Q15" s="279"/>
      <c r="R15" s="279"/>
      <c r="S15" s="279"/>
      <c r="T15" s="292">
        <f t="shared" si="0"/>
        <v>0</v>
      </c>
      <c r="U15" s="293">
        <f t="shared" si="1"/>
        <v>0</v>
      </c>
      <c r="V15" s="293" t="e">
        <f t="shared" si="4"/>
        <v>#DIV/0!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/>
      <c r="AH15" s="294"/>
      <c r="AI15" s="294"/>
      <c r="AJ15" s="519"/>
      <c r="AK15" s="359">
        <f t="shared" si="3"/>
        <v>0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0</v>
      </c>
      <c r="AT15" s="296">
        <f t="shared" si="7"/>
        <v>0</v>
      </c>
      <c r="AU15" s="371">
        <f t="shared" si="5"/>
        <v>45327.450000000004</v>
      </c>
    </row>
    <row r="16" spans="2:47" ht="13.5" customHeight="1">
      <c r="B16" s="704">
        <v>43896</v>
      </c>
      <c r="C16" s="303"/>
      <c r="D16" s="291">
        <f t="shared" si="6"/>
        <v>45327.450000000004</v>
      </c>
      <c r="E16" s="298"/>
      <c r="F16" s="276"/>
      <c r="G16" s="707"/>
      <c r="H16" s="278"/>
      <c r="I16" s="277"/>
      <c r="J16" s="299"/>
      <c r="K16" s="277"/>
      <c r="L16" s="277"/>
      <c r="M16" s="389"/>
      <c r="N16" s="388"/>
      <c r="O16" s="279"/>
      <c r="P16" s="279"/>
      <c r="Q16" s="279"/>
      <c r="R16" s="279"/>
      <c r="S16" s="279"/>
      <c r="T16" s="292">
        <f t="shared" si="0"/>
        <v>0</v>
      </c>
      <c r="U16" s="293">
        <f t="shared" si="1"/>
        <v>0</v>
      </c>
      <c r="V16" s="293" t="e">
        <f t="shared" si="4"/>
        <v>#DIV/0!</v>
      </c>
      <c r="W16" s="282"/>
      <c r="X16" s="294"/>
      <c r="Y16" s="267"/>
      <c r="Z16" s="294"/>
      <c r="AA16" s="277"/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0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0</v>
      </c>
      <c r="AT16" s="296">
        <f t="shared" si="7"/>
        <v>0</v>
      </c>
      <c r="AU16" s="371">
        <f t="shared" si="5"/>
        <v>45327.450000000004</v>
      </c>
    </row>
    <row r="17" spans="2:47" ht="13.5" customHeight="1">
      <c r="B17" s="704">
        <v>43897</v>
      </c>
      <c r="C17" s="303"/>
      <c r="D17" s="291">
        <f t="shared" si="6"/>
        <v>45327.450000000004</v>
      </c>
      <c r="E17" s="298"/>
      <c r="F17" s="276"/>
      <c r="G17" s="707"/>
      <c r="H17" s="278"/>
      <c r="I17" s="277"/>
      <c r="J17" s="299"/>
      <c r="K17" s="277"/>
      <c r="L17" s="277"/>
      <c r="M17" s="389"/>
      <c r="N17" s="388"/>
      <c r="O17" s="279"/>
      <c r="P17" s="279"/>
      <c r="Q17" s="279"/>
      <c r="R17" s="279"/>
      <c r="S17" s="279"/>
      <c r="T17" s="292">
        <f t="shared" si="0"/>
        <v>0</v>
      </c>
      <c r="U17" s="293">
        <f t="shared" si="1"/>
        <v>0</v>
      </c>
      <c r="V17" s="293" t="e">
        <f t="shared" si="4"/>
        <v>#DIV/0!</v>
      </c>
      <c r="W17" s="282"/>
      <c r="X17" s="294"/>
      <c r="Y17" s="267"/>
      <c r="Z17" s="294"/>
      <c r="AA17" s="277"/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0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0</v>
      </c>
      <c r="AT17" s="296">
        <f t="shared" si="7"/>
        <v>0</v>
      </c>
      <c r="AU17" s="371">
        <f t="shared" si="5"/>
        <v>45327.450000000004</v>
      </c>
    </row>
    <row r="18" spans="2:47" ht="13.5" customHeight="1">
      <c r="B18" s="704">
        <v>43898</v>
      </c>
      <c r="C18" s="303"/>
      <c r="D18" s="291">
        <f t="shared" si="6"/>
        <v>45327.450000000004</v>
      </c>
      <c r="E18" s="298"/>
      <c r="F18" s="276">
        <v>15000</v>
      </c>
      <c r="G18" s="708" t="s">
        <v>311</v>
      </c>
      <c r="H18" s="278"/>
      <c r="I18" s="277"/>
      <c r="J18" s="299"/>
      <c r="K18" s="277"/>
      <c r="L18" s="277"/>
      <c r="M18" s="389"/>
      <c r="N18" s="388"/>
      <c r="O18" s="279"/>
      <c r="P18" s="279"/>
      <c r="Q18" s="279"/>
      <c r="R18" s="279"/>
      <c r="S18" s="279"/>
      <c r="T18" s="292">
        <f t="shared" si="0"/>
        <v>0</v>
      </c>
      <c r="U18" s="293">
        <f t="shared" si="1"/>
        <v>0</v>
      </c>
      <c r="V18" s="293" t="e">
        <f t="shared" si="4"/>
        <v>#DIV/0!</v>
      </c>
      <c r="W18" s="282"/>
      <c r="X18" s="294"/>
      <c r="Y18" s="267"/>
      <c r="Z18" s="277"/>
      <c r="AA18" s="277"/>
      <c r="AB18" s="361"/>
      <c r="AC18" s="294"/>
      <c r="AD18" s="294"/>
      <c r="AE18" s="294"/>
      <c r="AF18" s="294"/>
      <c r="AG18" s="294"/>
      <c r="AH18" s="294"/>
      <c r="AI18" s="294"/>
      <c r="AJ18" s="519"/>
      <c r="AK18" s="359">
        <f t="shared" si="3"/>
        <v>0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0</v>
      </c>
      <c r="AT18" s="296">
        <f t="shared" si="7"/>
        <v>0</v>
      </c>
      <c r="AU18" s="371">
        <f t="shared" si="5"/>
        <v>45327.450000000004</v>
      </c>
    </row>
    <row r="19" spans="2:47" ht="13.5" customHeight="1">
      <c r="B19" s="704">
        <v>43899</v>
      </c>
      <c r="C19" s="303"/>
      <c r="D19" s="291">
        <f t="shared" si="6"/>
        <v>45327.450000000004</v>
      </c>
      <c r="E19" s="298"/>
      <c r="F19" s="276"/>
      <c r="G19" s="707"/>
      <c r="H19" s="278"/>
      <c r="I19" s="277"/>
      <c r="J19" s="299"/>
      <c r="K19" s="277"/>
      <c r="L19" s="277"/>
      <c r="M19" s="389"/>
      <c r="N19" s="388"/>
      <c r="O19" s="279"/>
      <c r="P19" s="279"/>
      <c r="Q19" s="279"/>
      <c r="R19" s="279"/>
      <c r="S19" s="279"/>
      <c r="T19" s="292">
        <f t="shared" si="0"/>
        <v>0</v>
      </c>
      <c r="U19" s="293">
        <f t="shared" si="1"/>
        <v>0</v>
      </c>
      <c r="V19" s="293" t="e">
        <f t="shared" si="4"/>
        <v>#DIV/0!</v>
      </c>
      <c r="W19" s="282"/>
      <c r="X19" s="294"/>
      <c r="Y19" s="267"/>
      <c r="Z19" s="294"/>
      <c r="AA19" s="277"/>
      <c r="AB19" s="361"/>
      <c r="AC19" s="294"/>
      <c r="AD19" s="294"/>
      <c r="AE19" s="294"/>
      <c r="AF19" s="294"/>
      <c r="AG19" s="294"/>
      <c r="AH19" s="294"/>
      <c r="AI19" s="294"/>
      <c r="AJ19" s="519"/>
      <c r="AK19" s="359">
        <f t="shared" si="3"/>
        <v>0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0</v>
      </c>
      <c r="AT19" s="296">
        <f t="shared" si="7"/>
        <v>0</v>
      </c>
      <c r="AU19" s="371">
        <f t="shared" si="5"/>
        <v>45327.450000000004</v>
      </c>
    </row>
    <row r="20" spans="2:47" ht="14.25">
      <c r="B20" s="704">
        <v>43900</v>
      </c>
      <c r="C20" s="303"/>
      <c r="D20" s="291">
        <f t="shared" si="6"/>
        <v>45327.450000000004</v>
      </c>
      <c r="E20" s="298"/>
      <c r="F20" s="276"/>
      <c r="G20" s="707"/>
      <c r="H20" s="278"/>
      <c r="I20" s="294"/>
      <c r="J20" s="299"/>
      <c r="K20" s="277"/>
      <c r="L20" s="277"/>
      <c r="M20" s="277"/>
      <c r="N20" s="388"/>
      <c r="O20" s="279"/>
      <c r="P20" s="279"/>
      <c r="Q20" s="279"/>
      <c r="R20" s="279"/>
      <c r="S20" s="391"/>
      <c r="T20" s="292">
        <f t="shared" si="0"/>
        <v>0</v>
      </c>
      <c r="U20" s="293">
        <f t="shared" si="1"/>
        <v>0</v>
      </c>
      <c r="V20" s="293" t="e">
        <f t="shared" si="4"/>
        <v>#DIV/0!</v>
      </c>
      <c r="W20" s="282"/>
      <c r="X20" s="294"/>
      <c r="Y20" s="267"/>
      <c r="Z20" s="294"/>
      <c r="AA20" s="277"/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0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0</v>
      </c>
      <c r="AT20" s="296">
        <f t="shared" si="7"/>
        <v>0</v>
      </c>
      <c r="AU20" s="371">
        <f t="shared" si="5"/>
        <v>45327.450000000004</v>
      </c>
    </row>
    <row r="21" spans="2:47" ht="14.25">
      <c r="B21" s="704">
        <v>43901</v>
      </c>
      <c r="C21" s="303"/>
      <c r="D21" s="291">
        <f t="shared" si="6"/>
        <v>45327.450000000004</v>
      </c>
      <c r="E21" s="298"/>
      <c r="F21" s="276"/>
      <c r="G21" s="707"/>
      <c r="H21" s="278"/>
      <c r="I21" s="294"/>
      <c r="J21" s="299"/>
      <c r="K21" s="277"/>
      <c r="L21" s="277"/>
      <c r="M21" s="389"/>
      <c r="N21" s="388"/>
      <c r="O21" s="388"/>
      <c r="P21" s="279"/>
      <c r="Q21" s="279"/>
      <c r="R21" s="279"/>
      <c r="S21" s="279"/>
      <c r="T21" s="292">
        <f t="shared" si="0"/>
        <v>0</v>
      </c>
      <c r="U21" s="293">
        <f t="shared" si="1"/>
        <v>0</v>
      </c>
      <c r="V21" s="293" t="e">
        <f t="shared" si="4"/>
        <v>#DIV/0!</v>
      </c>
      <c r="W21" s="282"/>
      <c r="X21" s="294"/>
      <c r="Y21" s="267"/>
      <c r="Z21" s="294"/>
      <c r="AA21" s="277"/>
      <c r="AB21" s="361"/>
      <c r="AC21" s="294"/>
      <c r="AD21" s="294"/>
      <c r="AE21" s="294"/>
      <c r="AF21" s="294"/>
      <c r="AG21" s="294"/>
      <c r="AH21" s="294"/>
      <c r="AI21" s="294"/>
      <c r="AJ21" s="519"/>
      <c r="AK21" s="359">
        <f t="shared" si="3"/>
        <v>0</v>
      </c>
      <c r="AL21" s="286"/>
      <c r="AM21" s="287"/>
      <c r="AN21" s="295"/>
      <c r="AO21" s="301"/>
      <c r="AP21" s="301"/>
      <c r="AQ21" s="301"/>
      <c r="AR21" s="302"/>
      <c r="AS21" s="288">
        <f>SUM(AK21+T21)</f>
        <v>0</v>
      </c>
      <c r="AT21" s="296">
        <f t="shared" si="7"/>
        <v>0</v>
      </c>
      <c r="AU21" s="371">
        <f t="shared" si="5"/>
        <v>45327.450000000004</v>
      </c>
    </row>
    <row r="22" spans="2:47" ht="14.25">
      <c r="B22" s="704">
        <v>43902</v>
      </c>
      <c r="C22" s="303"/>
      <c r="D22" s="291">
        <f t="shared" si="6"/>
        <v>45327.450000000004</v>
      </c>
      <c r="E22" s="298"/>
      <c r="F22" s="276"/>
      <c r="G22" s="707"/>
      <c r="H22" s="278"/>
      <c r="I22" s="277"/>
      <c r="J22" s="299"/>
      <c r="K22" s="277"/>
      <c r="L22" s="277"/>
      <c r="M22" s="389"/>
      <c r="N22" s="388"/>
      <c r="O22" s="388"/>
      <c r="P22" s="279"/>
      <c r="Q22" s="279"/>
      <c r="R22" s="279"/>
      <c r="S22" s="279"/>
      <c r="T22" s="292">
        <f t="shared" si="0"/>
        <v>0</v>
      </c>
      <c r="U22" s="293">
        <f t="shared" si="1"/>
        <v>0</v>
      </c>
      <c r="V22" s="293" t="e">
        <f t="shared" si="4"/>
        <v>#DIV/0!</v>
      </c>
      <c r="W22" s="282"/>
      <c r="X22" s="294"/>
      <c r="Y22" s="267"/>
      <c r="Z22" s="294"/>
      <c r="AA22" s="277"/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0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0</v>
      </c>
      <c r="AT22" s="296">
        <f t="shared" si="7"/>
        <v>0</v>
      </c>
      <c r="AU22" s="371">
        <f t="shared" si="5"/>
        <v>45327.450000000004</v>
      </c>
    </row>
    <row r="23" spans="2:47" ht="14.25">
      <c r="B23" s="704">
        <v>43903</v>
      </c>
      <c r="C23" s="303"/>
      <c r="D23" s="291">
        <f t="shared" si="6"/>
        <v>45327.450000000004</v>
      </c>
      <c r="E23" s="298"/>
      <c r="F23" s="276"/>
      <c r="G23" s="707"/>
      <c r="H23" s="278"/>
      <c r="I23" s="294"/>
      <c r="J23" s="299"/>
      <c r="K23" s="277"/>
      <c r="L23" s="277"/>
      <c r="M23" s="389"/>
      <c r="N23" s="388"/>
      <c r="O23" s="279"/>
      <c r="P23" s="279"/>
      <c r="Q23" s="279"/>
      <c r="R23" s="279"/>
      <c r="S23" s="279"/>
      <c r="T23" s="292">
        <f t="shared" si="0"/>
        <v>0</v>
      </c>
      <c r="U23" s="293">
        <f t="shared" si="1"/>
        <v>0</v>
      </c>
      <c r="V23" s="293" t="e">
        <f t="shared" si="4"/>
        <v>#DIV/0!</v>
      </c>
      <c r="W23" s="282"/>
      <c r="X23" s="294"/>
      <c r="Y23" s="267"/>
      <c r="Z23" s="294"/>
      <c r="AA23" s="277"/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0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0</v>
      </c>
      <c r="AT23" s="296">
        <f t="shared" si="7"/>
        <v>0</v>
      </c>
      <c r="AU23" s="371">
        <f t="shared" si="5"/>
        <v>45327.450000000004</v>
      </c>
    </row>
    <row r="24" spans="2:47" ht="14.25">
      <c r="B24" s="704">
        <v>43904</v>
      </c>
      <c r="C24" s="303"/>
      <c r="D24" s="291">
        <f t="shared" si="6"/>
        <v>45327.450000000004</v>
      </c>
      <c r="E24" s="298"/>
      <c r="F24" s="276">
        <v>18000</v>
      </c>
      <c r="G24" s="706" t="s">
        <v>312</v>
      </c>
      <c r="H24" s="278"/>
      <c r="I24" s="294"/>
      <c r="J24" s="299"/>
      <c r="K24" s="277"/>
      <c r="L24" s="277"/>
      <c r="M24" s="389"/>
      <c r="N24" s="388"/>
      <c r="O24" s="388"/>
      <c r="P24" s="279"/>
      <c r="Q24" s="279"/>
      <c r="R24" s="279"/>
      <c r="S24" s="279"/>
      <c r="T24" s="292">
        <f t="shared" si="0"/>
        <v>0</v>
      </c>
      <c r="U24" s="293">
        <f t="shared" si="1"/>
        <v>0</v>
      </c>
      <c r="V24" s="293" t="e">
        <f t="shared" si="4"/>
        <v>#DIV/0!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0</v>
      </c>
      <c r="AT24" s="296">
        <f t="shared" si="7"/>
        <v>0</v>
      </c>
      <c r="AU24" s="371">
        <f t="shared" si="5"/>
        <v>45327.450000000004</v>
      </c>
    </row>
    <row r="25" spans="2:47" ht="14.25">
      <c r="B25" s="704">
        <v>43905</v>
      </c>
      <c r="C25" s="303"/>
      <c r="D25" s="291">
        <f t="shared" si="6"/>
        <v>45327.450000000004</v>
      </c>
      <c r="E25" s="298"/>
      <c r="F25" s="276"/>
      <c r="G25" s="707"/>
      <c r="H25" s="278"/>
      <c r="I25" s="294"/>
      <c r="J25" s="299"/>
      <c r="K25" s="277"/>
      <c r="L25" s="277"/>
      <c r="M25" s="389"/>
      <c r="N25" s="388"/>
      <c r="O25" s="279"/>
      <c r="P25" s="279"/>
      <c r="Q25" s="279"/>
      <c r="R25" s="279"/>
      <c r="S25" s="279"/>
      <c r="T25" s="292">
        <f t="shared" si="0"/>
        <v>0</v>
      </c>
      <c r="U25" s="293">
        <f t="shared" si="1"/>
        <v>0</v>
      </c>
      <c r="V25" s="293" t="e">
        <f t="shared" si="4"/>
        <v>#DIV/0!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0</v>
      </c>
      <c r="AT25" s="296">
        <f t="shared" si="7"/>
        <v>0</v>
      </c>
      <c r="AU25" s="371">
        <f t="shared" si="5"/>
        <v>45327.450000000004</v>
      </c>
    </row>
    <row r="26" spans="2:47" ht="14.25">
      <c r="B26" s="704">
        <v>43906</v>
      </c>
      <c r="C26" s="303"/>
      <c r="D26" s="291">
        <f t="shared" si="6"/>
        <v>45327.450000000004</v>
      </c>
      <c r="E26" s="298"/>
      <c r="F26" s="276"/>
      <c r="G26" s="707"/>
      <c r="H26" s="278"/>
      <c r="I26" s="294"/>
      <c r="J26" s="299"/>
      <c r="K26" s="277"/>
      <c r="L26" s="277"/>
      <c r="M26" s="389"/>
      <c r="N26" s="388"/>
      <c r="O26" s="279"/>
      <c r="P26" s="279"/>
      <c r="Q26" s="279"/>
      <c r="R26" s="279"/>
      <c r="S26" s="279"/>
      <c r="T26" s="292">
        <f t="shared" si="0"/>
        <v>0</v>
      </c>
      <c r="U26" s="293">
        <f t="shared" si="1"/>
        <v>0</v>
      </c>
      <c r="V26" s="293" t="e">
        <f t="shared" si="4"/>
        <v>#DIV/0!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0</v>
      </c>
      <c r="AT26" s="296">
        <f t="shared" si="7"/>
        <v>0</v>
      </c>
      <c r="AU26" s="371">
        <f t="shared" si="5"/>
        <v>45327.450000000004</v>
      </c>
    </row>
    <row r="27" spans="2:47" ht="14.25">
      <c r="B27" s="704">
        <v>43907</v>
      </c>
      <c r="C27" s="303"/>
      <c r="D27" s="291">
        <f t="shared" si="6"/>
        <v>45327.450000000004</v>
      </c>
      <c r="E27" s="298"/>
      <c r="F27" s="276"/>
      <c r="G27" s="707"/>
      <c r="H27" s="278"/>
      <c r="I27" s="294"/>
      <c r="J27" s="299"/>
      <c r="K27" s="277"/>
      <c r="L27" s="277"/>
      <c r="M27" s="389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45327.450000000004</v>
      </c>
    </row>
    <row r="28" spans="2:47" ht="14.25">
      <c r="B28" s="704">
        <v>43908</v>
      </c>
      <c r="C28" s="303"/>
      <c r="D28" s="291">
        <f t="shared" si="6"/>
        <v>45327.450000000004</v>
      </c>
      <c r="E28" s="298"/>
      <c r="F28" s="276"/>
      <c r="G28" s="707"/>
      <c r="H28" s="278"/>
      <c r="I28" s="294"/>
      <c r="J28" s="278"/>
      <c r="K28" s="277"/>
      <c r="L28" s="277"/>
      <c r="M28" s="389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45327.450000000004</v>
      </c>
    </row>
    <row r="29" spans="2:47" ht="14.25">
      <c r="B29" s="704">
        <v>43909</v>
      </c>
      <c r="C29" s="303"/>
      <c r="D29" s="291">
        <f t="shared" si="6"/>
        <v>45327.450000000004</v>
      </c>
      <c r="E29" s="298"/>
      <c r="F29" s="276"/>
      <c r="G29" s="707"/>
      <c r="H29" s="278"/>
      <c r="I29" s="294"/>
      <c r="J29" s="278"/>
      <c r="K29" s="277"/>
      <c r="L29" s="277"/>
      <c r="M29" s="389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45327.450000000004</v>
      </c>
    </row>
    <row r="30" spans="2:47" ht="14.25">
      <c r="B30" s="704">
        <v>43910</v>
      </c>
      <c r="C30" s="303"/>
      <c r="D30" s="291">
        <f t="shared" si="6"/>
        <v>45327.450000000004</v>
      </c>
      <c r="E30" s="298"/>
      <c r="F30" s="276"/>
      <c r="G30" s="707"/>
      <c r="H30" s="278"/>
      <c r="I30" s="294"/>
      <c r="J30" s="278"/>
      <c r="K30" s="277"/>
      <c r="L30" s="277"/>
      <c r="M30" s="389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45327.450000000004</v>
      </c>
    </row>
    <row r="31" spans="2:47" ht="14.25">
      <c r="B31" s="704">
        <v>43911</v>
      </c>
      <c r="C31" s="303"/>
      <c r="D31" s="291">
        <f t="shared" si="6"/>
        <v>45327.450000000004</v>
      </c>
      <c r="E31" s="298"/>
      <c r="F31" s="276">
        <v>18000</v>
      </c>
      <c r="G31" s="706" t="s">
        <v>312</v>
      </c>
      <c r="H31" s="278"/>
      <c r="I31" s="294"/>
      <c r="J31" s="278"/>
      <c r="K31" s="277"/>
      <c r="L31" s="277"/>
      <c r="M31" s="389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45327.450000000004</v>
      </c>
    </row>
    <row r="32" spans="2:47" ht="14.25">
      <c r="B32" s="704">
        <v>43912</v>
      </c>
      <c r="C32" s="303"/>
      <c r="D32" s="291">
        <f t="shared" si="6"/>
        <v>45327.450000000004</v>
      </c>
      <c r="E32" s="298"/>
      <c r="F32" s="276"/>
      <c r="G32" s="707"/>
      <c r="H32" s="278"/>
      <c r="I32" s="294"/>
      <c r="J32" s="278"/>
      <c r="K32" s="277"/>
      <c r="L32" s="277"/>
      <c r="M32" s="389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45327.450000000004</v>
      </c>
    </row>
    <row r="33" spans="2:48" ht="14.25">
      <c r="B33" s="704">
        <v>43913</v>
      </c>
      <c r="C33" s="303"/>
      <c r="D33" s="291">
        <f t="shared" si="6"/>
        <v>45327.450000000004</v>
      </c>
      <c r="E33" s="298"/>
      <c r="F33" s="276"/>
      <c r="G33" s="703"/>
      <c r="H33" s="278"/>
      <c r="I33" s="294"/>
      <c r="J33" s="278"/>
      <c r="K33" s="277"/>
      <c r="L33" s="277"/>
      <c r="M33" s="389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45327.450000000004</v>
      </c>
      <c r="AV33" s="245">
        <f t="shared" ref="AV33:AV41" si="8">SUM(AV32)</f>
        <v>0</v>
      </c>
    </row>
    <row r="34" spans="2:48" ht="14.25">
      <c r="B34" s="704">
        <v>43914</v>
      </c>
      <c r="C34" s="303"/>
      <c r="D34" s="291">
        <f t="shared" si="6"/>
        <v>45327.450000000004</v>
      </c>
      <c r="E34" s="298"/>
      <c r="F34" s="276"/>
      <c r="G34" s="703"/>
      <c r="H34" s="278"/>
      <c r="I34" s="294"/>
      <c r="J34" s="278"/>
      <c r="K34" s="277"/>
      <c r="L34" s="277"/>
      <c r="M34" s="389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45327.450000000004</v>
      </c>
      <c r="AV34" s="245">
        <f t="shared" si="8"/>
        <v>0</v>
      </c>
    </row>
    <row r="35" spans="2:48" ht="14.25">
      <c r="B35" s="704">
        <v>43915</v>
      </c>
      <c r="C35" s="303"/>
      <c r="D35" s="291">
        <f t="shared" si="6"/>
        <v>45327.450000000004</v>
      </c>
      <c r="E35" s="298"/>
      <c r="F35" s="276"/>
      <c r="G35" s="703"/>
      <c r="H35" s="278"/>
      <c r="I35" s="294"/>
      <c r="J35" s="278"/>
      <c r="K35" s="277"/>
      <c r="L35" s="277"/>
      <c r="M35" s="389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45327.450000000004</v>
      </c>
      <c r="AV35" s="245">
        <f t="shared" si="8"/>
        <v>0</v>
      </c>
    </row>
    <row r="36" spans="2:48" ht="14.25">
      <c r="B36" s="704">
        <v>43916</v>
      </c>
      <c r="C36" s="303"/>
      <c r="D36" s="291">
        <f t="shared" si="6"/>
        <v>45327.450000000004</v>
      </c>
      <c r="E36" s="298"/>
      <c r="F36" s="276"/>
      <c r="G36" s="703"/>
      <c r="H36" s="278"/>
      <c r="I36" s="294"/>
      <c r="J36" s="278"/>
      <c r="K36" s="277"/>
      <c r="L36" s="277"/>
      <c r="M36" s="389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45327.450000000004</v>
      </c>
      <c r="AV36" s="245">
        <f t="shared" si="8"/>
        <v>0</v>
      </c>
    </row>
    <row r="37" spans="2:48" ht="14.25">
      <c r="B37" s="704">
        <v>43917</v>
      </c>
      <c r="C37" s="303"/>
      <c r="D37" s="291">
        <f t="shared" si="6"/>
        <v>45327.450000000004</v>
      </c>
      <c r="E37" s="298"/>
      <c r="F37" s="276"/>
      <c r="G37" s="703"/>
      <c r="H37" s="278"/>
      <c r="I37" s="294"/>
      <c r="J37" s="278"/>
      <c r="K37" s="277"/>
      <c r="L37" s="277"/>
      <c r="M37" s="389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45327.450000000004</v>
      </c>
      <c r="AV37" s="245">
        <f t="shared" si="8"/>
        <v>0</v>
      </c>
    </row>
    <row r="38" spans="2:48" ht="14.25">
      <c r="B38" s="704">
        <v>43918</v>
      </c>
      <c r="C38" s="303"/>
      <c r="D38" s="291">
        <f t="shared" si="6"/>
        <v>45327.450000000004</v>
      </c>
      <c r="E38" s="298"/>
      <c r="F38" s="276">
        <v>15000</v>
      </c>
      <c r="G38" s="708" t="s">
        <v>311</v>
      </c>
      <c r="H38" s="278"/>
      <c r="I38" s="294"/>
      <c r="J38" s="278"/>
      <c r="K38" s="277"/>
      <c r="L38" s="277"/>
      <c r="M38" s="389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45327.450000000004</v>
      </c>
      <c r="AV38" s="245">
        <f t="shared" si="8"/>
        <v>0</v>
      </c>
    </row>
    <row r="39" spans="2:48" ht="14.25">
      <c r="B39" s="704">
        <v>43919</v>
      </c>
      <c r="C39" s="303"/>
      <c r="D39" s="291">
        <f t="shared" si="6"/>
        <v>45327.450000000004</v>
      </c>
      <c r="E39" s="298"/>
      <c r="F39" s="276"/>
      <c r="G39" s="707"/>
      <c r="H39" s="278"/>
      <c r="I39" s="294"/>
      <c r="J39" s="304"/>
      <c r="K39" s="277"/>
      <c r="L39" s="277"/>
      <c r="M39" s="389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45327.450000000004</v>
      </c>
      <c r="AV39" s="245">
        <f t="shared" si="8"/>
        <v>0</v>
      </c>
    </row>
    <row r="40" spans="2:48" ht="14.25">
      <c r="B40" s="704">
        <v>43920</v>
      </c>
      <c r="C40" s="303"/>
      <c r="D40" s="291">
        <f t="shared" si="6"/>
        <v>45327.450000000004</v>
      </c>
      <c r="E40" s="298"/>
      <c r="F40" s="276"/>
      <c r="G40" s="707"/>
      <c r="H40" s="278"/>
      <c r="I40" s="294"/>
      <c r="J40" s="278"/>
      <c r="K40" s="277"/>
      <c r="L40" s="277"/>
      <c r="M40" s="389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45327.450000000004</v>
      </c>
      <c r="AV40" s="245">
        <f t="shared" si="8"/>
        <v>0</v>
      </c>
    </row>
    <row r="41" spans="2:48" ht="14.25">
      <c r="B41" s="704">
        <v>43921</v>
      </c>
      <c r="C41" s="303"/>
      <c r="D41" s="291">
        <f t="shared" si="6"/>
        <v>45327.450000000004</v>
      </c>
      <c r="E41" s="298"/>
      <c r="F41" s="276"/>
      <c r="G41" s="703"/>
      <c r="H41" s="278"/>
      <c r="I41" s="277"/>
      <c r="J41" s="277"/>
      <c r="K41" s="277"/>
      <c r="L41" s="277"/>
      <c r="M41" s="389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45327.450000000004</v>
      </c>
      <c r="AV41" s="245">
        <f t="shared" si="8"/>
        <v>0</v>
      </c>
    </row>
    <row r="42" spans="2:48" ht="14.25">
      <c r="B42" s="704">
        <v>43922</v>
      </c>
      <c r="C42" s="693"/>
      <c r="D42" s="291">
        <f t="shared" si="6"/>
        <v>45327.450000000004</v>
      </c>
      <c r="E42" s="275"/>
      <c r="F42" s="276"/>
      <c r="G42" s="703"/>
      <c r="H42" s="278"/>
      <c r="I42" s="277"/>
      <c r="J42" s="277"/>
      <c r="K42" s="277"/>
      <c r="L42" s="277"/>
      <c r="M42" s="389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45327.450000000004</v>
      </c>
    </row>
    <row r="43" spans="2:48" ht="14.25">
      <c r="B43" s="709" t="s">
        <v>25</v>
      </c>
      <c r="C43" s="637">
        <f>AVERAGE(C11:C42)</f>
        <v>0.39610000000000001</v>
      </c>
      <c r="D43" s="308">
        <f t="shared" si="6"/>
        <v>45327.450000000004</v>
      </c>
      <c r="E43" s="275"/>
      <c r="F43" s="275"/>
      <c r="G43" s="703"/>
      <c r="H43" s="692"/>
      <c r="I43" s="277"/>
      <c r="J43" s="277"/>
      <c r="K43" s="277"/>
      <c r="L43" s="277"/>
      <c r="M43" s="389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45327.450000000004</v>
      </c>
    </row>
    <row r="44" spans="2:48" ht="15" thickBot="1">
      <c r="B44" s="710"/>
      <c r="C44" s="711"/>
      <c r="D44" s="403"/>
      <c r="E44" s="404"/>
      <c r="F44" s="404"/>
      <c r="G44" s="712"/>
      <c r="H44" s="698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18000</v>
      </c>
      <c r="F45" s="412">
        <f>SUM(F11:F42)</f>
        <v>84000</v>
      </c>
      <c r="G45" s="414">
        <f t="shared" ref="G45" si="9">SUM(G11:G44)</f>
        <v>0</v>
      </c>
      <c r="H45" s="699">
        <f>SUM(H11:H44)</f>
        <v>873.43000000000006</v>
      </c>
      <c r="I45" s="536">
        <f t="shared" ref="I45:P45" si="10">SUM(I11:I44)</f>
        <v>678.47</v>
      </c>
      <c r="J45" s="536">
        <f t="shared" si="10"/>
        <v>0</v>
      </c>
      <c r="K45" s="536">
        <f t="shared" si="10"/>
        <v>810.5</v>
      </c>
      <c r="L45" s="536">
        <f>SUM(L11:L44)</f>
        <v>1031.1300000000001</v>
      </c>
      <c r="M45" s="536">
        <f t="shared" si="10"/>
        <v>978.64</v>
      </c>
      <c r="N45" s="536">
        <f t="shared" si="10"/>
        <v>2570</v>
      </c>
      <c r="O45" s="537">
        <f t="shared" si="10"/>
        <v>1745</v>
      </c>
      <c r="P45" s="412">
        <f t="shared" si="10"/>
        <v>0</v>
      </c>
      <c r="Q45" s="413">
        <f>SUM(Q11:Q43)</f>
        <v>1896</v>
      </c>
      <c r="R45" s="412">
        <f>SUM(R11:R44)</f>
        <v>2471</v>
      </c>
      <c r="S45" s="414">
        <f>SUM(S11:S44)</f>
        <v>2510</v>
      </c>
      <c r="T45" s="654">
        <f t="shared" si="0"/>
        <v>4372.17</v>
      </c>
      <c r="U45" s="402">
        <f>SUM(N45:S45)</f>
        <v>11192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0</v>
      </c>
      <c r="Y45" s="315">
        <f t="shared" si="11"/>
        <v>44.59</v>
      </c>
      <c r="Z45" s="315">
        <f t="shared" si="11"/>
        <v>0</v>
      </c>
      <c r="AA45" s="315">
        <f t="shared" si="11"/>
        <v>60.34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242.18</v>
      </c>
      <c r="AF45" s="315">
        <f t="shared" si="11"/>
        <v>0</v>
      </c>
      <c r="AG45" s="315">
        <f t="shared" si="11"/>
        <v>0</v>
      </c>
      <c r="AH45" s="315">
        <f t="shared" si="11"/>
        <v>0</v>
      </c>
      <c r="AI45" s="596">
        <f>SUM(AI9:AI43)</f>
        <v>0</v>
      </c>
      <c r="AJ45" s="596">
        <f>SUM(AJ9:AJ39)</f>
        <v>256</v>
      </c>
      <c r="AK45" s="315">
        <f t="shared" si="11"/>
        <v>603.11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4975.28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T45*2143</f>
        <v>9369560.3100000005</v>
      </c>
      <c r="V47" s="422" t="s">
        <v>246</v>
      </c>
      <c r="AT47" s="318"/>
      <c r="AU47" s="245"/>
    </row>
    <row r="48" spans="2:48" ht="14.25" thickBot="1">
      <c r="B48" s="430" t="s">
        <v>249</v>
      </c>
      <c r="C48" s="320"/>
      <c r="U48" s="421">
        <f>U47/2245</f>
        <v>4173.5235233853009</v>
      </c>
      <c r="V48" s="422" t="s">
        <v>247</v>
      </c>
      <c r="X48" s="256"/>
      <c r="Y48" s="256"/>
      <c r="Z48" s="256"/>
      <c r="AA48" s="256"/>
      <c r="AB48" s="256"/>
      <c r="AS48" s="246"/>
      <c r="AU48" s="318"/>
    </row>
    <row r="49" spans="3:47" ht="14.25" thickBot="1">
      <c r="H49" s="694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5" t="s">
        <v>243</v>
      </c>
      <c r="D50" s="796"/>
      <c r="E50" s="796"/>
      <c r="F50" s="796"/>
      <c r="G50" s="797"/>
      <c r="H50" s="728"/>
      <c r="I50" s="798" t="s">
        <v>215</v>
      </c>
      <c r="J50" s="799"/>
      <c r="K50" s="799"/>
      <c r="L50" s="799"/>
      <c r="M50" s="800"/>
      <c r="N50" s="740"/>
      <c r="O50" s="816" t="s">
        <v>315</v>
      </c>
      <c r="P50" s="817"/>
      <c r="Q50" s="817"/>
      <c r="R50" s="817"/>
      <c r="S50" s="818"/>
      <c r="T50" s="813" t="s">
        <v>228</v>
      </c>
      <c r="U50" s="814"/>
      <c r="V50" s="814"/>
      <c r="W50" s="814"/>
      <c r="X50" s="814"/>
      <c r="Y50" s="815"/>
    </row>
    <row r="51" spans="3:47" ht="25.5" customHeight="1" thickBot="1">
      <c r="C51" s="719" t="s">
        <v>99</v>
      </c>
      <c r="D51" s="563" t="s">
        <v>198</v>
      </c>
      <c r="E51" s="720" t="s">
        <v>199</v>
      </c>
      <c r="F51" s="720" t="s">
        <v>214</v>
      </c>
      <c r="G51" s="721" t="s">
        <v>314</v>
      </c>
      <c r="H51" s="729"/>
      <c r="I51" s="726" t="s">
        <v>99</v>
      </c>
      <c r="J51" s="563" t="s">
        <v>198</v>
      </c>
      <c r="K51" s="715" t="s">
        <v>199</v>
      </c>
      <c r="L51" s="727" t="s">
        <v>214</v>
      </c>
      <c r="M51" s="721" t="s">
        <v>314</v>
      </c>
      <c r="N51" s="741"/>
      <c r="O51" s="714" t="s">
        <v>99</v>
      </c>
      <c r="P51" s="563" t="s">
        <v>198</v>
      </c>
      <c r="Q51" s="715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16"/>
      <c r="D52" s="717"/>
      <c r="E52" s="718"/>
      <c r="F52" s="717"/>
      <c r="G52" s="722"/>
      <c r="H52" s="730"/>
      <c r="I52" s="751"/>
      <c r="J52" s="562"/>
      <c r="K52" s="562"/>
      <c r="L52" s="562"/>
      <c r="M52" s="722"/>
      <c r="N52" s="730"/>
      <c r="O52" s="742"/>
      <c r="P52" s="731"/>
      <c r="Q52" s="731"/>
      <c r="R52" s="735"/>
      <c r="S52" s="743"/>
      <c r="T52" s="468"/>
      <c r="U52" s="468"/>
      <c r="V52" s="519"/>
      <c r="W52" s="518"/>
      <c r="X52" s="468"/>
      <c r="Y52" s="468"/>
    </row>
    <row r="53" spans="3:47" ht="11.25" customHeight="1" thickBot="1">
      <c r="C53" s="457"/>
      <c r="D53" s="396"/>
      <c r="E53" s="514"/>
      <c r="F53" s="396"/>
      <c r="G53" s="722"/>
      <c r="H53" s="695"/>
      <c r="I53" s="752"/>
      <c r="J53" s="349"/>
      <c r="K53" s="349"/>
      <c r="L53" s="349"/>
      <c r="M53" s="722"/>
      <c r="N53" s="695"/>
      <c r="O53" s="744"/>
      <c r="P53" s="349"/>
      <c r="Q53" s="349"/>
      <c r="R53" s="736"/>
      <c r="S53" s="745"/>
      <c r="T53" s="468"/>
      <c r="U53" s="468"/>
      <c r="V53" s="519"/>
      <c r="W53" s="518"/>
      <c r="X53" s="468"/>
      <c r="Y53" s="468"/>
    </row>
    <row r="54" spans="3:47" ht="11.25" customHeight="1" thickBot="1">
      <c r="C54" s="457"/>
      <c r="D54" s="396"/>
      <c r="E54" s="514"/>
      <c r="F54" s="396"/>
      <c r="G54" s="722"/>
      <c r="H54" s="695"/>
      <c r="I54" s="752"/>
      <c r="J54" s="349"/>
      <c r="K54" s="349"/>
      <c r="L54" s="349"/>
      <c r="M54" s="723"/>
      <c r="N54" s="695"/>
      <c r="O54" s="744"/>
      <c r="P54" s="349"/>
      <c r="Q54" s="349"/>
      <c r="R54" s="736"/>
      <c r="S54" s="745"/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22"/>
      <c r="H55" s="695"/>
      <c r="I55" s="732"/>
      <c r="J55" s="349"/>
      <c r="K55" s="349"/>
      <c r="L55" s="349"/>
      <c r="M55" s="723"/>
      <c r="N55" s="695"/>
      <c r="O55" s="744"/>
      <c r="P55" s="349"/>
      <c r="Q55" s="349"/>
      <c r="R55" s="736"/>
      <c r="S55" s="745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22"/>
      <c r="H56" s="695"/>
      <c r="I56" s="732"/>
      <c r="J56" s="349"/>
      <c r="K56" s="349"/>
      <c r="L56" s="349"/>
      <c r="M56" s="723"/>
      <c r="N56" s="695"/>
      <c r="O56" s="744"/>
      <c r="P56" s="349"/>
      <c r="Q56" s="349"/>
      <c r="R56" s="736"/>
      <c r="S56" s="745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22"/>
      <c r="H57" s="695"/>
      <c r="I57" s="732"/>
      <c r="J57" s="349"/>
      <c r="K57" s="349"/>
      <c r="L57" s="349"/>
      <c r="M57" s="723"/>
      <c r="N57" s="695"/>
      <c r="O57" s="744"/>
      <c r="P57" s="349"/>
      <c r="Q57" s="349"/>
      <c r="R57" s="736"/>
      <c r="S57" s="745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23"/>
      <c r="H58" s="695"/>
      <c r="I58" s="732"/>
      <c r="J58" s="349"/>
      <c r="K58" s="349"/>
      <c r="L58" s="349"/>
      <c r="M58" s="723"/>
      <c r="N58" s="695"/>
      <c r="O58" s="744"/>
      <c r="P58" s="349"/>
      <c r="Q58" s="349"/>
      <c r="R58" s="736"/>
      <c r="S58" s="745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23"/>
      <c r="H59" s="695"/>
      <c r="I59" s="732"/>
      <c r="J59" s="349"/>
      <c r="K59" s="349"/>
      <c r="L59" s="349"/>
      <c r="M59" s="723"/>
      <c r="N59" s="695"/>
      <c r="O59" s="744"/>
      <c r="P59" s="349"/>
      <c r="Q59" s="349"/>
      <c r="R59" s="736"/>
      <c r="S59" s="745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23"/>
      <c r="H60" s="695"/>
      <c r="I60" s="732"/>
      <c r="J60" s="349"/>
      <c r="K60" s="349"/>
      <c r="L60" s="349"/>
      <c r="M60" s="723"/>
      <c r="N60" s="695"/>
      <c r="O60" s="744"/>
      <c r="P60" s="349"/>
      <c r="Q60" s="349"/>
      <c r="R60" s="736"/>
      <c r="S60" s="745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23"/>
      <c r="H61" s="695"/>
      <c r="I61" s="732"/>
      <c r="J61" s="349"/>
      <c r="K61" s="349"/>
      <c r="L61" s="349"/>
      <c r="M61" s="723"/>
      <c r="N61" s="695"/>
      <c r="O61" s="744"/>
      <c r="P61" s="349"/>
      <c r="Q61" s="349"/>
      <c r="R61" s="736"/>
      <c r="S61" s="746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23"/>
      <c r="H62" s="695"/>
      <c r="I62" s="732"/>
      <c r="J62" s="349"/>
      <c r="K62" s="349"/>
      <c r="L62" s="349"/>
      <c r="M62" s="723"/>
      <c r="N62" s="695"/>
      <c r="O62" s="744"/>
      <c r="P62" s="349"/>
      <c r="Q62" s="349"/>
      <c r="R62" s="736"/>
      <c r="S62" s="746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23"/>
      <c r="H63" s="695"/>
      <c r="I63" s="732"/>
      <c r="J63" s="349"/>
      <c r="K63" s="349"/>
      <c r="L63" s="349"/>
      <c r="M63" s="723"/>
      <c r="N63" s="695"/>
      <c r="O63" s="744"/>
      <c r="P63" s="349"/>
      <c r="Q63" s="349"/>
      <c r="R63" s="736"/>
      <c r="S63" s="746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23"/>
      <c r="H64" s="695"/>
      <c r="I64" s="732"/>
      <c r="J64" s="349"/>
      <c r="K64" s="349"/>
      <c r="L64" s="349"/>
      <c r="M64" s="723"/>
      <c r="N64" s="695"/>
      <c r="O64" s="744"/>
      <c r="P64" s="349"/>
      <c r="Q64" s="349"/>
      <c r="R64" s="736"/>
      <c r="S64" s="746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23"/>
      <c r="H65" s="695"/>
      <c r="I65" s="732"/>
      <c r="J65" s="349"/>
      <c r="K65" s="349"/>
      <c r="L65" s="349"/>
      <c r="M65" s="723"/>
      <c r="N65" s="695"/>
      <c r="O65" s="744"/>
      <c r="P65" s="349"/>
      <c r="Q65" s="349"/>
      <c r="R65" s="736"/>
      <c r="S65" s="746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23"/>
      <c r="H66" s="695"/>
      <c r="I66" s="732"/>
      <c r="J66" s="349"/>
      <c r="K66" s="349"/>
      <c r="L66" s="349"/>
      <c r="M66" s="723"/>
      <c r="N66" s="695"/>
      <c r="O66" s="744"/>
      <c r="P66" s="349"/>
      <c r="Q66" s="349"/>
      <c r="R66" s="737"/>
      <c r="S66" s="746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23"/>
      <c r="H67" s="695"/>
      <c r="I67" s="732"/>
      <c r="J67" s="349"/>
      <c r="K67" s="349"/>
      <c r="L67" s="349"/>
      <c r="M67" s="723"/>
      <c r="N67" s="695"/>
      <c r="O67" s="744"/>
      <c r="P67" s="349"/>
      <c r="Q67" s="349"/>
      <c r="R67" s="737"/>
      <c r="S67" s="746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23"/>
      <c r="H68" s="695"/>
      <c r="I68" s="732"/>
      <c r="J68" s="349"/>
      <c r="K68" s="349"/>
      <c r="L68" s="349"/>
      <c r="M68" s="723"/>
      <c r="N68" s="695"/>
      <c r="O68" s="744"/>
      <c r="P68" s="349"/>
      <c r="Q68" s="349"/>
      <c r="R68" s="736"/>
      <c r="S68" s="746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23"/>
      <c r="H69" s="695"/>
      <c r="I69" s="732"/>
      <c r="J69" s="349"/>
      <c r="K69" s="349"/>
      <c r="L69" s="349"/>
      <c r="M69" s="723"/>
      <c r="N69" s="695"/>
      <c r="O69" s="744"/>
      <c r="P69" s="349"/>
      <c r="Q69" s="349"/>
      <c r="R69" s="736"/>
      <c r="S69" s="746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23"/>
      <c r="H70" s="695"/>
      <c r="I70" s="732"/>
      <c r="J70" s="349"/>
      <c r="K70" s="349"/>
      <c r="L70" s="349"/>
      <c r="M70" s="723"/>
      <c r="N70" s="695"/>
      <c r="O70" s="744"/>
      <c r="P70" s="349"/>
      <c r="Q70" s="349"/>
      <c r="R70" s="736"/>
      <c r="S70" s="746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23"/>
      <c r="H71" s="695"/>
      <c r="I71" s="732"/>
      <c r="J71" s="349"/>
      <c r="K71" s="349"/>
      <c r="L71" s="349"/>
      <c r="M71" s="723"/>
      <c r="N71" s="695"/>
      <c r="O71" s="744"/>
      <c r="P71" s="349"/>
      <c r="Q71" s="349"/>
      <c r="R71" s="736"/>
      <c r="S71" s="746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23"/>
      <c r="H72" s="695"/>
      <c r="I72" s="733"/>
      <c r="J72" s="353"/>
      <c r="K72" s="353"/>
      <c r="L72" s="353"/>
      <c r="M72" s="723"/>
      <c r="N72" s="695"/>
      <c r="O72" s="744"/>
      <c r="P72" s="349"/>
      <c r="Q72" s="349"/>
      <c r="R72" s="738"/>
      <c r="S72" s="746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23"/>
      <c r="H73" s="695"/>
      <c r="I73" s="732"/>
      <c r="J73" s="349"/>
      <c r="K73" s="349"/>
      <c r="L73" s="349"/>
      <c r="M73" s="723"/>
      <c r="N73" s="695"/>
      <c r="O73" s="744"/>
      <c r="P73" s="349"/>
      <c r="Q73" s="349"/>
      <c r="R73" s="736"/>
      <c r="S73" s="746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23"/>
      <c r="H74" s="695"/>
      <c r="I74" s="732"/>
      <c r="J74" s="349"/>
      <c r="K74" s="349"/>
      <c r="L74" s="349"/>
      <c r="M74" s="723"/>
      <c r="N74" s="695"/>
      <c r="O74" s="744"/>
      <c r="P74" s="349"/>
      <c r="Q74" s="349"/>
      <c r="R74" s="736"/>
      <c r="S74" s="746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23"/>
      <c r="H75" s="695"/>
      <c r="I75" s="732"/>
      <c r="J75" s="349"/>
      <c r="K75" s="349"/>
      <c r="L75" s="349"/>
      <c r="M75" s="723"/>
      <c r="N75" s="695"/>
      <c r="O75" s="744"/>
      <c r="P75" s="349"/>
      <c r="Q75" s="349"/>
      <c r="R75" s="736"/>
      <c r="S75" s="746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23"/>
      <c r="H76" s="695"/>
      <c r="I76" s="732"/>
      <c r="J76" s="349"/>
      <c r="K76" s="349"/>
      <c r="L76" s="349"/>
      <c r="M76" s="723"/>
      <c r="N76" s="695"/>
      <c r="O76" s="744"/>
      <c r="P76" s="349"/>
      <c r="Q76" s="349"/>
      <c r="R76" s="736"/>
      <c r="S76" s="746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23"/>
      <c r="H77" s="695"/>
      <c r="I77" s="732"/>
      <c r="J77" s="560"/>
      <c r="K77" s="560"/>
      <c r="L77" s="349"/>
      <c r="M77" s="723"/>
      <c r="N77" s="695"/>
      <c r="O77" s="744"/>
      <c r="P77" s="349"/>
      <c r="Q77" s="349"/>
      <c r="R77" s="736"/>
      <c r="S77" s="746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23"/>
      <c r="H78" s="695"/>
      <c r="I78" s="732"/>
      <c r="J78" s="349"/>
      <c r="K78" s="349"/>
      <c r="L78" s="349"/>
      <c r="M78" s="723"/>
      <c r="N78" s="695"/>
      <c r="O78" s="744"/>
      <c r="P78" s="349"/>
      <c r="Q78" s="349"/>
      <c r="R78" s="736"/>
      <c r="S78" s="746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23"/>
      <c r="H79" s="695"/>
      <c r="I79" s="732"/>
      <c r="J79" s="349"/>
      <c r="K79" s="349"/>
      <c r="L79" s="349"/>
      <c r="M79" s="723"/>
      <c r="N79" s="695"/>
      <c r="O79" s="744"/>
      <c r="P79" s="349"/>
      <c r="Q79" s="349"/>
      <c r="R79" s="736"/>
      <c r="S79" s="746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23"/>
      <c r="H80" s="695"/>
      <c r="I80" s="732"/>
      <c r="J80" s="349"/>
      <c r="K80" s="349"/>
      <c r="L80" s="349"/>
      <c r="M80" s="723"/>
      <c r="N80" s="695"/>
      <c r="O80" s="744"/>
      <c r="P80" s="349"/>
      <c r="Q80" s="349"/>
      <c r="R80" s="736"/>
      <c r="S80" s="746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23"/>
      <c r="H81" s="695"/>
      <c r="I81" s="732"/>
      <c r="J81" s="349"/>
      <c r="K81" s="349"/>
      <c r="L81" s="349"/>
      <c r="M81" s="723"/>
      <c r="N81" s="695"/>
      <c r="O81" s="744"/>
      <c r="P81" s="349"/>
      <c r="Q81" s="349"/>
      <c r="R81" s="736"/>
      <c r="S81" s="746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23"/>
      <c r="H82" s="695"/>
      <c r="I82" s="732"/>
      <c r="J82" s="349"/>
      <c r="K82" s="349"/>
      <c r="L82" s="349"/>
      <c r="M82" s="723"/>
      <c r="N82" s="695"/>
      <c r="O82" s="744"/>
      <c r="P82" s="349"/>
      <c r="Q82" s="349"/>
      <c r="R82" s="736"/>
      <c r="S82" s="746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23"/>
      <c r="H83" s="695"/>
      <c r="I83" s="732"/>
      <c r="J83" s="349"/>
      <c r="K83" s="349"/>
      <c r="L83" s="349"/>
      <c r="M83" s="723"/>
      <c r="N83" s="695"/>
      <c r="O83" s="744"/>
      <c r="P83" s="349"/>
      <c r="Q83" s="349"/>
      <c r="R83" s="736"/>
      <c r="S83" s="746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23"/>
      <c r="H84" s="695"/>
      <c r="I84" s="732"/>
      <c r="J84" s="349"/>
      <c r="K84" s="349"/>
      <c r="L84" s="349"/>
      <c r="M84" s="723"/>
      <c r="N84" s="695"/>
      <c r="O84" s="744"/>
      <c r="P84" s="349"/>
      <c r="Q84" s="349"/>
      <c r="R84" s="736"/>
      <c r="S84" s="746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23"/>
      <c r="H85" s="695"/>
      <c r="I85" s="732"/>
      <c r="J85" s="349"/>
      <c r="K85" s="349"/>
      <c r="L85" s="349"/>
      <c r="M85" s="723"/>
      <c r="N85" s="695"/>
      <c r="O85" s="744"/>
      <c r="P85" s="349"/>
      <c r="Q85" s="349"/>
      <c r="R85" s="736"/>
      <c r="S85" s="746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23"/>
      <c r="H86" s="695"/>
      <c r="I86" s="732"/>
      <c r="J86" s="349"/>
      <c r="K86" s="349"/>
      <c r="L86" s="349"/>
      <c r="M86" s="723"/>
      <c r="N86" s="695"/>
      <c r="O86" s="744"/>
      <c r="P86" s="349"/>
      <c r="Q86" s="349"/>
      <c r="R86" s="736"/>
      <c r="S86" s="746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23"/>
      <c r="H87" s="695"/>
      <c r="I87" s="732"/>
      <c r="J87" s="349"/>
      <c r="K87" s="349"/>
      <c r="L87" s="349"/>
      <c r="M87" s="723"/>
      <c r="N87" s="695"/>
      <c r="O87" s="744"/>
      <c r="P87" s="349"/>
      <c r="Q87" s="349"/>
      <c r="R87" s="736"/>
      <c r="S87" s="746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23"/>
      <c r="H88" s="695"/>
      <c r="I88" s="732"/>
      <c r="J88" s="349"/>
      <c r="K88" s="349"/>
      <c r="L88" s="349"/>
      <c r="M88" s="723"/>
      <c r="N88" s="695"/>
      <c r="O88" s="744"/>
      <c r="P88" s="349"/>
      <c r="Q88" s="349"/>
      <c r="R88" s="736"/>
      <c r="S88" s="746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23"/>
      <c r="H89" s="695"/>
      <c r="I89" s="732"/>
      <c r="J89" s="349"/>
      <c r="K89" s="349"/>
      <c r="L89" s="349"/>
      <c r="M89" s="723"/>
      <c r="N89" s="695"/>
      <c r="O89" s="744"/>
      <c r="P89" s="349"/>
      <c r="Q89" s="349"/>
      <c r="R89" s="736"/>
      <c r="S89" s="746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23"/>
      <c r="H90" s="695"/>
      <c r="I90" s="732"/>
      <c r="J90" s="349"/>
      <c r="K90" s="349"/>
      <c r="L90" s="349"/>
      <c r="M90" s="723"/>
      <c r="N90" s="695"/>
      <c r="O90" s="744"/>
      <c r="P90" s="349"/>
      <c r="Q90" s="349"/>
      <c r="R90" s="736"/>
      <c r="S90" s="746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23"/>
      <c r="H91" s="695"/>
      <c r="I91" s="732"/>
      <c r="J91" s="349"/>
      <c r="K91" s="349"/>
      <c r="L91" s="349"/>
      <c r="M91" s="723"/>
      <c r="N91" s="695"/>
      <c r="O91" s="744"/>
      <c r="P91" s="349"/>
      <c r="Q91" s="349"/>
      <c r="R91" s="736"/>
      <c r="S91" s="746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23"/>
      <c r="H92" s="695"/>
      <c r="I92" s="732"/>
      <c r="J92" s="349"/>
      <c r="K92" s="349"/>
      <c r="L92" s="349"/>
      <c r="M92" s="723"/>
      <c r="N92" s="695"/>
      <c r="O92" s="744"/>
      <c r="P92" s="349"/>
      <c r="Q92" s="349"/>
      <c r="R92" s="736"/>
      <c r="S92" s="746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23"/>
      <c r="H93" s="695"/>
      <c r="I93" s="732"/>
      <c r="J93" s="349"/>
      <c r="K93" s="349"/>
      <c r="L93" s="349"/>
      <c r="M93" s="723"/>
      <c r="N93" s="695"/>
      <c r="O93" s="744"/>
      <c r="P93" s="349"/>
      <c r="Q93" s="349"/>
      <c r="R93" s="736"/>
      <c r="S93" s="746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23"/>
      <c r="H94" s="695"/>
      <c r="I94" s="732"/>
      <c r="J94" s="349"/>
      <c r="K94" s="349"/>
      <c r="L94" s="349"/>
      <c r="M94" s="723"/>
      <c r="N94" s="695"/>
      <c r="O94" s="744"/>
      <c r="P94" s="349"/>
      <c r="Q94" s="349"/>
      <c r="R94" s="736"/>
      <c r="S94" s="746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23"/>
      <c r="H95" s="695"/>
      <c r="I95" s="732"/>
      <c r="J95" s="349"/>
      <c r="K95" s="349"/>
      <c r="L95" s="349"/>
      <c r="M95" s="723"/>
      <c r="N95" s="695"/>
      <c r="O95" s="744"/>
      <c r="P95" s="349"/>
      <c r="Q95" s="349"/>
      <c r="R95" s="736"/>
      <c r="S95" s="746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23"/>
      <c r="H96" s="695"/>
      <c r="I96" s="732"/>
      <c r="J96" s="349"/>
      <c r="K96" s="349"/>
      <c r="L96" s="349"/>
      <c r="M96" s="723"/>
      <c r="N96" s="695"/>
      <c r="O96" s="744"/>
      <c r="P96" s="349"/>
      <c r="Q96" s="349"/>
      <c r="R96" s="736"/>
      <c r="S96" s="746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24"/>
      <c r="H97" s="713"/>
      <c r="I97" s="734"/>
      <c r="J97" s="725"/>
      <c r="K97" s="725"/>
      <c r="L97" s="725"/>
      <c r="M97" s="724"/>
      <c r="N97" s="713"/>
      <c r="O97" s="747"/>
      <c r="P97" s="725"/>
      <c r="Q97" s="725"/>
      <c r="R97" s="739"/>
      <c r="S97" s="748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2" sqref="F1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53" t="s">
        <v>71</v>
      </c>
      <c r="D3" s="754"/>
      <c r="E3" s="754"/>
      <c r="F3" s="755"/>
      <c r="G3" s="756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6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4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/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70387.97</v>
      </c>
      <c r="G10" s="354">
        <f t="shared" ref="G10:G40" si="0">(F10-F9)*4.4</f>
        <v>309707.06800000003</v>
      </c>
      <c r="H10" s="114">
        <f>Gen!C11</f>
        <v>0.57140000000000002</v>
      </c>
      <c r="I10" s="6">
        <f>SUM(F10/H10)</f>
        <v>123185.10675533777</v>
      </c>
      <c r="J10" s="119">
        <f t="shared" ref="J10:J40" si="1">SUM(G10/I10)</f>
        <v>2.5141600000000004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219.07599999997186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6.8673366103626503E-4</v>
      </c>
      <c r="M11" s="188"/>
      <c r="N11" s="188"/>
    </row>
    <row r="12" spans="1:15" ht="18.75">
      <c r="A12" s="97">
        <f>Gen!B13</f>
        <v>43893</v>
      </c>
      <c r="B12" s="354"/>
      <c r="C12" s="354"/>
      <c r="D12" s="354"/>
      <c r="E12" s="354"/>
      <c r="F12" s="354"/>
      <c r="G12" s="354">
        <f t="shared" si="0"/>
        <v>-309926.14400000003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43894</v>
      </c>
      <c r="B13" s="354"/>
      <c r="C13" s="354"/>
      <c r="D13" s="354"/>
      <c r="E13" s="354"/>
      <c r="F13" s="354"/>
      <c r="G13" s="354">
        <f t="shared" si="0"/>
        <v>0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43895</v>
      </c>
      <c r="B14" s="354"/>
      <c r="C14" s="354"/>
      <c r="D14" s="354"/>
      <c r="E14" s="354"/>
      <c r="F14" s="354"/>
      <c r="G14" s="354">
        <f t="shared" si="0"/>
        <v>0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43896</v>
      </c>
      <c r="B15" s="354"/>
      <c r="C15" s="354"/>
      <c r="D15" s="354"/>
      <c r="E15" s="354"/>
      <c r="F15" s="354"/>
      <c r="G15" s="354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43897</v>
      </c>
      <c r="B16" s="354"/>
      <c r="C16" s="354"/>
      <c r="D16" s="354"/>
      <c r="E16" s="354"/>
      <c r="F16" s="354"/>
      <c r="G16" s="354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43898</v>
      </c>
      <c r="B17" s="354"/>
      <c r="C17" s="354"/>
      <c r="D17" s="354"/>
      <c r="E17" s="354"/>
      <c r="F17" s="354"/>
      <c r="G17" s="354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43899</v>
      </c>
      <c r="B18" s="354"/>
      <c r="C18" s="354"/>
      <c r="D18" s="354"/>
      <c r="E18" s="354"/>
      <c r="F18" s="354"/>
      <c r="G18" s="354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43900</v>
      </c>
      <c r="B19" s="354"/>
      <c r="C19" s="354"/>
      <c r="D19" s="354"/>
      <c r="E19" s="354"/>
      <c r="F19" s="354"/>
      <c r="G19" s="354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43901</v>
      </c>
      <c r="B20" s="354"/>
      <c r="C20" s="354"/>
      <c r="D20" s="354"/>
      <c r="E20" s="354"/>
      <c r="F20" s="354"/>
      <c r="G20" s="354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43902</v>
      </c>
      <c r="B21" s="354"/>
      <c r="C21" s="354"/>
      <c r="D21" s="354"/>
      <c r="E21" s="354"/>
      <c r="F21" s="354"/>
      <c r="G21" s="354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43903</v>
      </c>
      <c r="B22" s="354"/>
      <c r="C22" s="354"/>
      <c r="D22" s="354"/>
      <c r="E22" s="354"/>
      <c r="F22" s="354"/>
      <c r="G22" s="354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43904</v>
      </c>
      <c r="B23" s="354"/>
      <c r="C23" s="354"/>
      <c r="D23" s="354"/>
      <c r="E23" s="354"/>
      <c r="F23" s="354"/>
      <c r="G23" s="354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43905</v>
      </c>
      <c r="B24" s="354"/>
      <c r="C24" s="354"/>
      <c r="D24" s="354"/>
      <c r="E24" s="354"/>
      <c r="F24" s="354"/>
      <c r="G24" s="354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43906</v>
      </c>
      <c r="B25" s="354"/>
      <c r="C25" s="354"/>
      <c r="D25" s="354"/>
      <c r="E25" s="354"/>
      <c r="F25" s="354"/>
      <c r="G25" s="354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43907</v>
      </c>
      <c r="B26" s="354"/>
      <c r="C26" s="354"/>
      <c r="D26" s="354"/>
      <c r="E26" s="354"/>
      <c r="F26" s="354"/>
      <c r="G26" s="354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43908</v>
      </c>
      <c r="B27" s="354"/>
      <c r="C27" s="354"/>
      <c r="D27" s="354"/>
      <c r="E27" s="354"/>
      <c r="F27" s="354"/>
      <c r="G27" s="354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43909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43910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43911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9" t="s">
        <v>6</v>
      </c>
      <c r="D42" s="819"/>
      <c r="E42" s="2">
        <f t="shared" ref="E42:F42" si="4">SUM(E10:E40)</f>
        <v>0</v>
      </c>
      <c r="F42" s="2">
        <f t="shared" si="4"/>
        <v>140825.72999999998</v>
      </c>
      <c r="G42" s="104">
        <f>SUM(G10:G40)</f>
        <v>0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R1" activePane="topRight" state="frozen"/>
      <selection pane="topRight" activeCell="AI13" sqref="AI1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29" t="s">
        <v>316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0"/>
      <c r="AF1" s="830"/>
      <c r="AG1" s="830"/>
      <c r="AH1" s="830"/>
      <c r="AI1" s="830"/>
      <c r="AJ1" s="830"/>
      <c r="AK1" s="830"/>
      <c r="AL1" s="830"/>
      <c r="AM1" s="830"/>
      <c r="AN1" s="830"/>
    </row>
    <row r="2" spans="1:40" ht="13.5" customHeight="1" thickTop="1">
      <c r="A2" s="30"/>
      <c r="B2" s="30"/>
      <c r="C2" s="826" t="s">
        <v>53</v>
      </c>
      <c r="D2" s="826"/>
      <c r="E2" s="826"/>
      <c r="F2" s="826" t="s">
        <v>17</v>
      </c>
      <c r="G2" s="826"/>
      <c r="H2" s="826"/>
      <c r="I2" s="826" t="s">
        <v>132</v>
      </c>
      <c r="J2" s="826"/>
      <c r="K2" s="826"/>
      <c r="L2" s="826" t="s">
        <v>135</v>
      </c>
      <c r="M2" s="826"/>
      <c r="N2" s="826"/>
      <c r="O2" s="826" t="s">
        <v>133</v>
      </c>
      <c r="P2" s="826"/>
      <c r="Q2" s="826"/>
      <c r="R2" s="334"/>
      <c r="S2" s="837" t="s">
        <v>183</v>
      </c>
      <c r="T2" s="838"/>
      <c r="U2" s="839"/>
      <c r="V2" s="837" t="s">
        <v>184</v>
      </c>
      <c r="W2" s="838"/>
      <c r="X2" s="839"/>
      <c r="Y2" s="837" t="s">
        <v>185</v>
      </c>
      <c r="Z2" s="838"/>
      <c r="AA2" s="839"/>
      <c r="AB2" s="837" t="s">
        <v>186</v>
      </c>
      <c r="AC2" s="838"/>
      <c r="AD2" s="839"/>
      <c r="AE2" s="831" t="s">
        <v>241</v>
      </c>
      <c r="AF2" s="832"/>
      <c r="AG2" s="843"/>
      <c r="AH2" s="831" t="s">
        <v>245</v>
      </c>
      <c r="AI2" s="832"/>
      <c r="AJ2" s="843"/>
      <c r="AK2" s="831" t="s">
        <v>242</v>
      </c>
      <c r="AL2" s="832"/>
      <c r="AM2" s="832"/>
      <c r="AN2" s="835" t="s">
        <v>191</v>
      </c>
    </row>
    <row r="3" spans="1:40" ht="21.75" customHeight="1" thickBot="1">
      <c r="A3" s="827" t="s">
        <v>7</v>
      </c>
      <c r="B3" s="30"/>
      <c r="C3" s="826" t="s">
        <v>134</v>
      </c>
      <c r="D3" s="826" t="s">
        <v>15</v>
      </c>
      <c r="E3" s="826" t="s">
        <v>16</v>
      </c>
      <c r="F3" s="826" t="s">
        <v>134</v>
      </c>
      <c r="G3" s="826" t="s">
        <v>15</v>
      </c>
      <c r="H3" s="826" t="s">
        <v>16</v>
      </c>
      <c r="I3" s="826" t="s">
        <v>134</v>
      </c>
      <c r="J3" s="826" t="s">
        <v>15</v>
      </c>
      <c r="K3" s="826" t="s">
        <v>16</v>
      </c>
      <c r="L3" s="826" t="s">
        <v>134</v>
      </c>
      <c r="M3" s="826" t="s">
        <v>15</v>
      </c>
      <c r="N3" s="826" t="s">
        <v>16</v>
      </c>
      <c r="O3" s="826" t="s">
        <v>134</v>
      </c>
      <c r="P3" s="826" t="s">
        <v>15</v>
      </c>
      <c r="Q3" s="826" t="s">
        <v>16</v>
      </c>
      <c r="R3" s="845" t="s">
        <v>187</v>
      </c>
      <c r="S3" s="840"/>
      <c r="T3" s="841"/>
      <c r="U3" s="842"/>
      <c r="V3" s="840"/>
      <c r="W3" s="841"/>
      <c r="X3" s="842"/>
      <c r="Y3" s="840"/>
      <c r="Z3" s="841"/>
      <c r="AA3" s="842"/>
      <c r="AB3" s="840"/>
      <c r="AC3" s="841"/>
      <c r="AD3" s="842"/>
      <c r="AE3" s="833"/>
      <c r="AF3" s="834"/>
      <c r="AG3" s="844"/>
      <c r="AH3" s="833"/>
      <c r="AI3" s="834"/>
      <c r="AJ3" s="844"/>
      <c r="AK3" s="833"/>
      <c r="AL3" s="834"/>
      <c r="AM3" s="834"/>
      <c r="AN3" s="836"/>
    </row>
    <row r="4" spans="1:40" ht="15.75" thickTop="1">
      <c r="A4" s="828"/>
      <c r="B4" s="326"/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6"/>
      <c r="P4" s="826"/>
      <c r="Q4" s="826"/>
      <c r="R4" s="845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43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43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43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43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49">
        <v>12982</v>
      </c>
      <c r="AD5" s="342"/>
      <c r="AE5" s="327" t="str">
        <f t="shared" ref="AE5:AE37" si="13">AF4</f>
        <v>FINAL</v>
      </c>
      <c r="AF5" s="750">
        <v>16558</v>
      </c>
      <c r="AG5" s="342"/>
      <c r="AH5" s="327" t="str">
        <f t="shared" ref="AH5:AH37" si="14">AI4</f>
        <v>FINAL</v>
      </c>
      <c r="AI5" s="750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43">
        <f t="shared" si="3"/>
        <v>0</v>
      </c>
      <c r="I6" s="98">
        <f t="shared" si="4"/>
        <v>7823</v>
      </c>
      <c r="J6" s="1">
        <v>7826</v>
      </c>
      <c r="K6" s="643">
        <f t="shared" si="5"/>
        <v>3</v>
      </c>
      <c r="L6" s="98">
        <f t="shared" si="6"/>
        <v>11787</v>
      </c>
      <c r="M6" s="1">
        <v>11850</v>
      </c>
      <c r="N6" s="643">
        <f t="shared" si="7"/>
        <v>63</v>
      </c>
      <c r="O6" s="98">
        <f t="shared" si="8"/>
        <v>19909</v>
      </c>
      <c r="P6" s="515">
        <v>19920</v>
      </c>
      <c r="Q6" s="643">
        <f t="shared" si="9"/>
        <v>11</v>
      </c>
      <c r="R6" s="332"/>
      <c r="S6" s="327">
        <f t="shared" ref="S6:S24" si="16">T5</f>
        <v>49970</v>
      </c>
      <c r="T6" s="516">
        <v>50028</v>
      </c>
      <c r="U6" s="644">
        <f t="shared" ref="U6:U37" si="17">IF((T6-T5)&lt;0,"0",(T6-T5))</f>
        <v>58</v>
      </c>
      <c r="V6" s="327">
        <f t="shared" si="10"/>
        <v>70354</v>
      </c>
      <c r="W6" s="516">
        <v>70396</v>
      </c>
      <c r="X6" s="644">
        <f t="shared" ref="X6:X37" si="18">IF((W6-W5)&lt;0,"0",(W6-W5))</f>
        <v>42</v>
      </c>
      <c r="Y6" s="327">
        <f t="shared" si="11"/>
        <v>79563</v>
      </c>
      <c r="Z6" s="516">
        <v>79631</v>
      </c>
      <c r="AA6" s="644">
        <f t="shared" ref="AA6:AA37" si="19">IF((Z6-Z5)&lt;0,"0",(Z6-Z5))</f>
        <v>68</v>
      </c>
      <c r="AB6" s="327">
        <f t="shared" si="12"/>
        <v>12982</v>
      </c>
      <c r="AC6" s="647">
        <v>12996</v>
      </c>
      <c r="AD6" s="644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44">
        <f t="shared" ref="AG6:AG37" si="21">IF((AF6-AF5)&lt;0,"0",(AF6-AF5))</f>
        <v>24</v>
      </c>
      <c r="AH6" s="327">
        <f t="shared" si="14"/>
        <v>24349</v>
      </c>
      <c r="AI6" s="750">
        <v>24349</v>
      </c>
      <c r="AJ6" s="644">
        <f>IF((AI7-AI5)&lt;0,"0",(AI7-AI5))</f>
        <v>0</v>
      </c>
      <c r="AK6" s="420">
        <f t="shared" si="15"/>
        <v>15154</v>
      </c>
      <c r="AL6" s="516">
        <v>15154</v>
      </c>
      <c r="AM6" s="644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43">
        <f t="shared" si="3"/>
        <v>0</v>
      </c>
      <c r="I7" s="98">
        <f t="shared" si="4"/>
        <v>7826</v>
      </c>
      <c r="J7" s="1">
        <v>7829</v>
      </c>
      <c r="K7" s="643">
        <f t="shared" si="5"/>
        <v>3</v>
      </c>
      <c r="L7" s="98">
        <f t="shared" si="6"/>
        <v>11850</v>
      </c>
      <c r="M7" s="1"/>
      <c r="N7" s="643" t="str">
        <f t="shared" si="7"/>
        <v>0</v>
      </c>
      <c r="O7" s="98">
        <f t="shared" si="8"/>
        <v>19920</v>
      </c>
      <c r="P7" s="515">
        <v>19929</v>
      </c>
      <c r="Q7" s="643">
        <f t="shared" si="9"/>
        <v>9</v>
      </c>
      <c r="R7" s="332"/>
      <c r="S7" s="327">
        <f t="shared" si="16"/>
        <v>50028</v>
      </c>
      <c r="T7" s="516">
        <v>50087</v>
      </c>
      <c r="U7" s="644">
        <f t="shared" si="17"/>
        <v>59</v>
      </c>
      <c r="V7" s="327">
        <f t="shared" si="10"/>
        <v>70396</v>
      </c>
      <c r="W7" s="516">
        <v>70443</v>
      </c>
      <c r="X7" s="644">
        <f t="shared" si="18"/>
        <v>47</v>
      </c>
      <c r="Y7" s="327">
        <f t="shared" si="11"/>
        <v>79631</v>
      </c>
      <c r="Z7" s="516">
        <v>79677</v>
      </c>
      <c r="AA7" s="644">
        <f t="shared" si="19"/>
        <v>46</v>
      </c>
      <c r="AB7" s="327">
        <f t="shared" si="12"/>
        <v>12996</v>
      </c>
      <c r="AC7" s="647">
        <v>13004</v>
      </c>
      <c r="AD7" s="644">
        <f t="shared" si="20"/>
        <v>8</v>
      </c>
      <c r="AE7" s="327">
        <f t="shared" si="13"/>
        <v>16582</v>
      </c>
      <c r="AF7" s="517">
        <v>16608</v>
      </c>
      <c r="AG7" s="644">
        <f t="shared" si="21"/>
        <v>26</v>
      </c>
      <c r="AH7" s="327">
        <f t="shared" si="14"/>
        <v>24349</v>
      </c>
      <c r="AI7" s="750">
        <v>24349</v>
      </c>
      <c r="AJ7" s="644" t="str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44">
        <f t="shared" si="22"/>
        <v>0</v>
      </c>
      <c r="AN7" s="523">
        <f t="shared" ref="AN7:AN36" si="24">U7+X7+AA7+AD7+AG7+AJ7+AM7</f>
        <v>186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/>
      <c r="E8" s="59" t="str">
        <f t="shared" si="1"/>
        <v>0</v>
      </c>
      <c r="F8" s="98">
        <f t="shared" si="2"/>
        <v>38000</v>
      </c>
      <c r="G8" s="521"/>
      <c r="H8" s="643" t="str">
        <f t="shared" si="3"/>
        <v>0</v>
      </c>
      <c r="I8" s="98">
        <f t="shared" si="4"/>
        <v>7829</v>
      </c>
      <c r="J8" s="1"/>
      <c r="K8" s="643" t="str">
        <f t="shared" si="5"/>
        <v>0</v>
      </c>
      <c r="L8" s="98">
        <f t="shared" si="6"/>
        <v>0</v>
      </c>
      <c r="M8" s="1"/>
      <c r="N8" s="643">
        <f t="shared" si="7"/>
        <v>0</v>
      </c>
      <c r="O8" s="98">
        <f t="shared" si="8"/>
        <v>19929</v>
      </c>
      <c r="P8" s="515"/>
      <c r="Q8" s="643" t="str">
        <f t="shared" si="9"/>
        <v>0</v>
      </c>
      <c r="R8" s="332"/>
      <c r="S8" s="327">
        <f t="shared" si="16"/>
        <v>50087</v>
      </c>
      <c r="T8" s="516"/>
      <c r="U8" s="644" t="str">
        <f t="shared" si="17"/>
        <v>0</v>
      </c>
      <c r="V8" s="327">
        <f t="shared" si="10"/>
        <v>70443</v>
      </c>
      <c r="W8" s="516"/>
      <c r="X8" s="644" t="str">
        <f t="shared" si="18"/>
        <v>0</v>
      </c>
      <c r="Y8" s="327">
        <f t="shared" si="11"/>
        <v>79677</v>
      </c>
      <c r="Z8" s="516"/>
      <c r="AA8" s="644" t="str">
        <f t="shared" si="19"/>
        <v>0</v>
      </c>
      <c r="AB8" s="327">
        <f t="shared" si="12"/>
        <v>13004</v>
      </c>
      <c r="AC8" s="647"/>
      <c r="AD8" s="644" t="str">
        <f t="shared" si="20"/>
        <v>0</v>
      </c>
      <c r="AE8" s="327">
        <f t="shared" si="13"/>
        <v>16608</v>
      </c>
      <c r="AF8" s="517"/>
      <c r="AG8" s="644" t="str">
        <f t="shared" si="21"/>
        <v>0</v>
      </c>
      <c r="AH8" s="327">
        <f t="shared" si="14"/>
        <v>24349</v>
      </c>
      <c r="AI8" s="517"/>
      <c r="AJ8" s="644" t="str">
        <f t="shared" si="23"/>
        <v>0</v>
      </c>
      <c r="AK8" s="420">
        <f t="shared" si="15"/>
        <v>15154</v>
      </c>
      <c r="AL8" s="516"/>
      <c r="AM8" s="644" t="str">
        <f t="shared" si="22"/>
        <v>0</v>
      </c>
      <c r="AN8" s="523">
        <f t="shared" si="24"/>
        <v>0</v>
      </c>
    </row>
    <row r="9" spans="1:40" ht="23.1" customHeight="1">
      <c r="A9" s="58">
        <f>Gen!B14</f>
        <v>43894</v>
      </c>
      <c r="B9" s="4"/>
      <c r="C9" s="98">
        <f t="shared" si="0"/>
        <v>0</v>
      </c>
      <c r="D9" s="1"/>
      <c r="E9" s="59">
        <f t="shared" si="1"/>
        <v>0</v>
      </c>
      <c r="F9" s="98">
        <f t="shared" si="2"/>
        <v>0</v>
      </c>
      <c r="G9" s="521"/>
      <c r="H9" s="643">
        <f t="shared" si="3"/>
        <v>0</v>
      </c>
      <c r="I9" s="98">
        <f t="shared" si="4"/>
        <v>0</v>
      </c>
      <c r="J9" s="1"/>
      <c r="K9" s="643">
        <f t="shared" si="5"/>
        <v>0</v>
      </c>
      <c r="L9" s="98">
        <f t="shared" si="6"/>
        <v>0</v>
      </c>
      <c r="M9" s="1"/>
      <c r="N9" s="643">
        <f t="shared" si="7"/>
        <v>0</v>
      </c>
      <c r="O9" s="98">
        <f t="shared" si="8"/>
        <v>0</v>
      </c>
      <c r="P9" s="515"/>
      <c r="Q9" s="643">
        <f t="shared" si="9"/>
        <v>0</v>
      </c>
      <c r="R9" s="332"/>
      <c r="S9" s="327">
        <f t="shared" si="16"/>
        <v>0</v>
      </c>
      <c r="T9" s="516"/>
      <c r="U9" s="644">
        <f t="shared" si="17"/>
        <v>0</v>
      </c>
      <c r="V9" s="327">
        <f t="shared" si="10"/>
        <v>0</v>
      </c>
      <c r="W9" s="516"/>
      <c r="X9" s="644">
        <f t="shared" si="18"/>
        <v>0</v>
      </c>
      <c r="Y9" s="327">
        <f t="shared" si="11"/>
        <v>0</v>
      </c>
      <c r="Z9" s="516"/>
      <c r="AA9" s="644">
        <f t="shared" si="19"/>
        <v>0</v>
      </c>
      <c r="AB9" s="327">
        <f t="shared" si="12"/>
        <v>0</v>
      </c>
      <c r="AC9" s="647"/>
      <c r="AD9" s="644">
        <f t="shared" si="20"/>
        <v>0</v>
      </c>
      <c r="AE9" s="327">
        <f t="shared" si="13"/>
        <v>0</v>
      </c>
      <c r="AF9" s="517"/>
      <c r="AG9" s="644">
        <f t="shared" si="21"/>
        <v>0</v>
      </c>
      <c r="AH9" s="327">
        <f t="shared" ref="AH8:AH9" si="25">AI9</f>
        <v>0</v>
      </c>
      <c r="AI9" s="517"/>
      <c r="AJ9" s="644">
        <f t="shared" si="23"/>
        <v>0</v>
      </c>
      <c r="AK9" s="420">
        <f t="shared" si="15"/>
        <v>0</v>
      </c>
      <c r="AL9" s="516"/>
      <c r="AM9" s="644">
        <f t="shared" si="22"/>
        <v>0</v>
      </c>
      <c r="AN9" s="523">
        <f t="shared" si="24"/>
        <v>0</v>
      </c>
    </row>
    <row r="10" spans="1:40" ht="23.1" customHeight="1">
      <c r="A10" s="58">
        <f>Gen!B15</f>
        <v>43895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521"/>
      <c r="H10" s="643">
        <f t="shared" si="3"/>
        <v>0</v>
      </c>
      <c r="I10" s="98">
        <f t="shared" si="4"/>
        <v>0</v>
      </c>
      <c r="J10" s="1"/>
      <c r="K10" s="643">
        <f t="shared" si="5"/>
        <v>0</v>
      </c>
      <c r="L10" s="98">
        <f t="shared" si="6"/>
        <v>0</v>
      </c>
      <c r="M10" s="1"/>
      <c r="N10" s="643">
        <f t="shared" si="7"/>
        <v>0</v>
      </c>
      <c r="O10" s="98">
        <f t="shared" si="8"/>
        <v>0</v>
      </c>
      <c r="P10" s="515"/>
      <c r="Q10" s="643">
        <f t="shared" si="9"/>
        <v>0</v>
      </c>
      <c r="R10" s="332"/>
      <c r="S10" s="327">
        <f t="shared" si="16"/>
        <v>0</v>
      </c>
      <c r="T10" s="516"/>
      <c r="U10" s="644">
        <f t="shared" si="17"/>
        <v>0</v>
      </c>
      <c r="V10" s="327">
        <f t="shared" si="10"/>
        <v>0</v>
      </c>
      <c r="W10" s="516"/>
      <c r="X10" s="644">
        <f t="shared" si="18"/>
        <v>0</v>
      </c>
      <c r="Y10" s="327">
        <f t="shared" si="11"/>
        <v>0</v>
      </c>
      <c r="Z10" s="516"/>
      <c r="AA10" s="644">
        <f t="shared" si="19"/>
        <v>0</v>
      </c>
      <c r="AB10" s="327">
        <f t="shared" si="12"/>
        <v>0</v>
      </c>
      <c r="AC10" s="648"/>
      <c r="AD10" s="644">
        <f t="shared" si="20"/>
        <v>0</v>
      </c>
      <c r="AE10" s="327">
        <f t="shared" si="13"/>
        <v>0</v>
      </c>
      <c r="AF10" s="517"/>
      <c r="AG10" s="644">
        <f t="shared" si="21"/>
        <v>0</v>
      </c>
      <c r="AH10" s="327">
        <f t="shared" si="14"/>
        <v>0</v>
      </c>
      <c r="AI10" s="517"/>
      <c r="AJ10" s="644">
        <f t="shared" si="23"/>
        <v>0</v>
      </c>
      <c r="AK10" s="420">
        <f t="shared" si="15"/>
        <v>0</v>
      </c>
      <c r="AL10" s="516"/>
      <c r="AM10" s="644">
        <f t="shared" si="22"/>
        <v>0</v>
      </c>
      <c r="AN10" s="523">
        <f t="shared" si="24"/>
        <v>0</v>
      </c>
    </row>
    <row r="11" spans="1:40" ht="23.1" customHeight="1">
      <c r="A11" s="58">
        <f>Gen!B16</f>
        <v>43896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521"/>
      <c r="H11" s="643">
        <f t="shared" si="3"/>
        <v>0</v>
      </c>
      <c r="I11" s="98">
        <f t="shared" si="4"/>
        <v>0</v>
      </c>
      <c r="J11" s="1"/>
      <c r="K11" s="643">
        <f t="shared" si="5"/>
        <v>0</v>
      </c>
      <c r="L11" s="98">
        <f t="shared" si="6"/>
        <v>0</v>
      </c>
      <c r="M11" s="1"/>
      <c r="N11" s="643">
        <f t="shared" si="7"/>
        <v>0</v>
      </c>
      <c r="O11" s="98">
        <f t="shared" si="8"/>
        <v>0</v>
      </c>
      <c r="P11" s="515"/>
      <c r="Q11" s="643">
        <f t="shared" si="9"/>
        <v>0</v>
      </c>
      <c r="R11" s="332"/>
      <c r="S11" s="327">
        <f t="shared" si="16"/>
        <v>0</v>
      </c>
      <c r="T11" s="516"/>
      <c r="U11" s="644">
        <f t="shared" si="17"/>
        <v>0</v>
      </c>
      <c r="V11" s="327">
        <f t="shared" si="10"/>
        <v>0</v>
      </c>
      <c r="W11" s="516"/>
      <c r="X11" s="644">
        <f t="shared" si="18"/>
        <v>0</v>
      </c>
      <c r="Y11" s="327">
        <f t="shared" si="11"/>
        <v>0</v>
      </c>
      <c r="Z11" s="516"/>
      <c r="AA11" s="644">
        <f t="shared" si="19"/>
        <v>0</v>
      </c>
      <c r="AB11" s="327">
        <f t="shared" si="12"/>
        <v>0</v>
      </c>
      <c r="AC11" s="648"/>
      <c r="AD11" s="644">
        <f t="shared" si="20"/>
        <v>0</v>
      </c>
      <c r="AE11" s="327">
        <f t="shared" si="13"/>
        <v>0</v>
      </c>
      <c r="AF11" s="517"/>
      <c r="AG11" s="644">
        <f t="shared" si="21"/>
        <v>0</v>
      </c>
      <c r="AH11" s="327">
        <f t="shared" si="14"/>
        <v>0</v>
      </c>
      <c r="AI11" s="517"/>
      <c r="AJ11" s="644">
        <f t="shared" si="23"/>
        <v>0</v>
      </c>
      <c r="AK11" s="420">
        <f t="shared" si="15"/>
        <v>0</v>
      </c>
      <c r="AL11" s="516"/>
      <c r="AM11" s="644">
        <f t="shared" si="22"/>
        <v>0</v>
      </c>
      <c r="AN11" s="523">
        <f t="shared" si="24"/>
        <v>0</v>
      </c>
    </row>
    <row r="12" spans="1:40" ht="23.1" customHeight="1">
      <c r="A12" s="58">
        <f>Gen!B17</f>
        <v>43897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521"/>
      <c r="H12" s="643">
        <f t="shared" si="3"/>
        <v>0</v>
      </c>
      <c r="I12" s="98">
        <f t="shared" si="4"/>
        <v>0</v>
      </c>
      <c r="J12" s="1"/>
      <c r="K12" s="643">
        <f t="shared" si="5"/>
        <v>0</v>
      </c>
      <c r="L12" s="98">
        <f t="shared" si="6"/>
        <v>0</v>
      </c>
      <c r="M12" s="1"/>
      <c r="N12" s="643">
        <f t="shared" si="7"/>
        <v>0</v>
      </c>
      <c r="O12" s="98">
        <f t="shared" si="8"/>
        <v>0</v>
      </c>
      <c r="P12" s="515"/>
      <c r="Q12" s="643">
        <f t="shared" si="9"/>
        <v>0</v>
      </c>
      <c r="R12" s="332"/>
      <c r="S12" s="327">
        <f t="shared" si="16"/>
        <v>0</v>
      </c>
      <c r="T12" s="516"/>
      <c r="U12" s="644">
        <f t="shared" si="17"/>
        <v>0</v>
      </c>
      <c r="V12" s="327">
        <f t="shared" si="10"/>
        <v>0</v>
      </c>
      <c r="W12" s="516"/>
      <c r="X12" s="644">
        <f t="shared" si="18"/>
        <v>0</v>
      </c>
      <c r="Y12" s="327">
        <f t="shared" si="11"/>
        <v>0</v>
      </c>
      <c r="Z12" s="516"/>
      <c r="AA12" s="644">
        <f t="shared" si="19"/>
        <v>0</v>
      </c>
      <c r="AB12" s="327">
        <f t="shared" si="12"/>
        <v>0</v>
      </c>
      <c r="AC12" s="648"/>
      <c r="AD12" s="644">
        <f t="shared" si="20"/>
        <v>0</v>
      </c>
      <c r="AE12" s="327">
        <f t="shared" si="13"/>
        <v>0</v>
      </c>
      <c r="AF12" s="517"/>
      <c r="AG12" s="644">
        <f t="shared" si="21"/>
        <v>0</v>
      </c>
      <c r="AH12" s="327">
        <f t="shared" si="14"/>
        <v>0</v>
      </c>
      <c r="AI12" s="517"/>
      <c r="AJ12" s="644">
        <f t="shared" si="23"/>
        <v>0</v>
      </c>
      <c r="AK12" s="420">
        <f t="shared" si="15"/>
        <v>0</v>
      </c>
      <c r="AL12" s="516"/>
      <c r="AM12" s="644">
        <f t="shared" si="22"/>
        <v>0</v>
      </c>
      <c r="AN12" s="523">
        <f t="shared" si="24"/>
        <v>0</v>
      </c>
    </row>
    <row r="13" spans="1:40" ht="23.1" customHeight="1">
      <c r="A13" s="58">
        <f>Gen!B18</f>
        <v>43898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521"/>
      <c r="H13" s="643">
        <f t="shared" si="3"/>
        <v>0</v>
      </c>
      <c r="I13" s="98">
        <f t="shared" si="4"/>
        <v>0</v>
      </c>
      <c r="J13" s="1"/>
      <c r="K13" s="643">
        <f t="shared" si="5"/>
        <v>0</v>
      </c>
      <c r="L13" s="98">
        <f t="shared" si="6"/>
        <v>0</v>
      </c>
      <c r="M13" s="1"/>
      <c r="N13" s="643">
        <f t="shared" si="7"/>
        <v>0</v>
      </c>
      <c r="O13" s="98">
        <f t="shared" si="8"/>
        <v>0</v>
      </c>
      <c r="P13" s="515"/>
      <c r="Q13" s="643">
        <f t="shared" si="9"/>
        <v>0</v>
      </c>
      <c r="R13" s="332"/>
      <c r="S13" s="327">
        <f t="shared" si="16"/>
        <v>0</v>
      </c>
      <c r="T13" s="516"/>
      <c r="U13" s="644">
        <f t="shared" si="17"/>
        <v>0</v>
      </c>
      <c r="V13" s="327">
        <f t="shared" si="10"/>
        <v>0</v>
      </c>
      <c r="W13" s="516"/>
      <c r="X13" s="644">
        <f t="shared" si="18"/>
        <v>0</v>
      </c>
      <c r="Y13" s="327">
        <f t="shared" si="11"/>
        <v>0</v>
      </c>
      <c r="Z13" s="516"/>
      <c r="AA13" s="644">
        <f t="shared" si="19"/>
        <v>0</v>
      </c>
      <c r="AB13" s="327">
        <f t="shared" si="12"/>
        <v>0</v>
      </c>
      <c r="AC13" s="648"/>
      <c r="AD13" s="644">
        <f t="shared" si="20"/>
        <v>0</v>
      </c>
      <c r="AE13" s="327">
        <f>AF12</f>
        <v>0</v>
      </c>
      <c r="AF13" s="517"/>
      <c r="AG13" s="644">
        <f t="shared" si="21"/>
        <v>0</v>
      </c>
      <c r="AH13" s="327">
        <f t="shared" si="14"/>
        <v>0</v>
      </c>
      <c r="AI13" s="517"/>
      <c r="AJ13" s="644">
        <f t="shared" si="23"/>
        <v>0</v>
      </c>
      <c r="AK13" s="420">
        <f t="shared" si="15"/>
        <v>0</v>
      </c>
      <c r="AL13" s="516"/>
      <c r="AM13" s="644">
        <f t="shared" si="22"/>
        <v>0</v>
      </c>
      <c r="AN13" s="523">
        <f t="shared" si="24"/>
        <v>0</v>
      </c>
    </row>
    <row r="14" spans="1:40" ht="23.1" customHeight="1">
      <c r="A14" s="58">
        <f>Gen!B19</f>
        <v>43899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521"/>
      <c r="H14" s="643">
        <f t="shared" si="3"/>
        <v>0</v>
      </c>
      <c r="I14" s="98">
        <f t="shared" si="4"/>
        <v>0</v>
      </c>
      <c r="J14" s="1"/>
      <c r="K14" s="643">
        <f t="shared" si="5"/>
        <v>0</v>
      </c>
      <c r="L14" s="98">
        <f t="shared" si="6"/>
        <v>0</v>
      </c>
      <c r="M14" s="1"/>
      <c r="N14" s="643">
        <f t="shared" si="7"/>
        <v>0</v>
      </c>
      <c r="O14" s="98">
        <f t="shared" si="8"/>
        <v>0</v>
      </c>
      <c r="P14" s="515"/>
      <c r="Q14" s="643">
        <f t="shared" si="9"/>
        <v>0</v>
      </c>
      <c r="R14" s="332"/>
      <c r="S14" s="327">
        <f t="shared" si="16"/>
        <v>0</v>
      </c>
      <c r="T14" s="516"/>
      <c r="U14" s="644">
        <f t="shared" si="17"/>
        <v>0</v>
      </c>
      <c r="V14" s="327">
        <f t="shared" si="10"/>
        <v>0</v>
      </c>
      <c r="W14" s="516"/>
      <c r="X14" s="644">
        <f t="shared" si="18"/>
        <v>0</v>
      </c>
      <c r="Y14" s="327">
        <f t="shared" si="11"/>
        <v>0</v>
      </c>
      <c r="Z14" s="516"/>
      <c r="AA14" s="644">
        <f t="shared" si="19"/>
        <v>0</v>
      </c>
      <c r="AB14" s="327">
        <f t="shared" si="12"/>
        <v>0</v>
      </c>
      <c r="AC14" s="648"/>
      <c r="AD14" s="644">
        <f t="shared" si="20"/>
        <v>0</v>
      </c>
      <c r="AE14" s="327">
        <f t="shared" si="13"/>
        <v>0</v>
      </c>
      <c r="AF14" s="517"/>
      <c r="AG14" s="644">
        <f t="shared" si="21"/>
        <v>0</v>
      </c>
      <c r="AH14" s="327">
        <f t="shared" si="14"/>
        <v>0</v>
      </c>
      <c r="AI14" s="517"/>
      <c r="AJ14" s="644">
        <f t="shared" si="23"/>
        <v>0</v>
      </c>
      <c r="AK14" s="420">
        <f t="shared" si="15"/>
        <v>0</v>
      </c>
      <c r="AL14" s="516"/>
      <c r="AM14" s="644">
        <f t="shared" si="22"/>
        <v>0</v>
      </c>
      <c r="AN14" s="523">
        <f t="shared" si="24"/>
        <v>0</v>
      </c>
    </row>
    <row r="15" spans="1:40" ht="23.1" customHeight="1">
      <c r="A15" s="58">
        <f>Gen!B20</f>
        <v>43900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521"/>
      <c r="H15" s="643">
        <f t="shared" si="3"/>
        <v>0</v>
      </c>
      <c r="I15" s="98">
        <f t="shared" si="4"/>
        <v>0</v>
      </c>
      <c r="J15" s="1"/>
      <c r="K15" s="643">
        <f t="shared" si="5"/>
        <v>0</v>
      </c>
      <c r="L15" s="98">
        <f t="shared" si="6"/>
        <v>0</v>
      </c>
      <c r="M15" s="1"/>
      <c r="N15" s="643">
        <f t="shared" si="7"/>
        <v>0</v>
      </c>
      <c r="O15" s="98">
        <f t="shared" si="8"/>
        <v>0</v>
      </c>
      <c r="P15" s="515"/>
      <c r="Q15" s="643">
        <f t="shared" si="9"/>
        <v>0</v>
      </c>
      <c r="R15" s="332"/>
      <c r="S15" s="327">
        <f t="shared" si="16"/>
        <v>0</v>
      </c>
      <c r="T15" s="516"/>
      <c r="U15" s="644">
        <f t="shared" si="17"/>
        <v>0</v>
      </c>
      <c r="V15" s="327">
        <f t="shared" si="10"/>
        <v>0</v>
      </c>
      <c r="W15" s="516"/>
      <c r="X15" s="644">
        <f t="shared" si="18"/>
        <v>0</v>
      </c>
      <c r="Y15" s="327">
        <f t="shared" si="11"/>
        <v>0</v>
      </c>
      <c r="Z15" s="516"/>
      <c r="AA15" s="644">
        <f t="shared" si="19"/>
        <v>0</v>
      </c>
      <c r="AB15" s="327">
        <f t="shared" si="12"/>
        <v>0</v>
      </c>
      <c r="AC15" s="648"/>
      <c r="AD15" s="644">
        <f t="shared" si="20"/>
        <v>0</v>
      </c>
      <c r="AE15" s="327">
        <f t="shared" si="13"/>
        <v>0</v>
      </c>
      <c r="AF15" s="517"/>
      <c r="AG15" s="644">
        <f t="shared" si="21"/>
        <v>0</v>
      </c>
      <c r="AH15" s="327">
        <f t="shared" si="14"/>
        <v>0</v>
      </c>
      <c r="AI15" s="517"/>
      <c r="AJ15" s="644">
        <f t="shared" si="23"/>
        <v>0</v>
      </c>
      <c r="AK15" s="420">
        <f t="shared" si="15"/>
        <v>0</v>
      </c>
      <c r="AL15" s="516"/>
      <c r="AM15" s="644">
        <f t="shared" si="22"/>
        <v>0</v>
      </c>
      <c r="AN15" s="523">
        <f t="shared" si="24"/>
        <v>0</v>
      </c>
    </row>
    <row r="16" spans="1:40" ht="23.1" customHeight="1">
      <c r="A16" s="58">
        <f>Gen!B21</f>
        <v>43901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1"/>
      <c r="H16" s="643">
        <f t="shared" si="3"/>
        <v>0</v>
      </c>
      <c r="I16" s="98">
        <f t="shared" si="4"/>
        <v>0</v>
      </c>
      <c r="J16" s="1"/>
      <c r="K16" s="643">
        <f t="shared" si="5"/>
        <v>0</v>
      </c>
      <c r="L16" s="98"/>
      <c r="M16" s="1"/>
      <c r="N16" s="643">
        <f t="shared" si="7"/>
        <v>0</v>
      </c>
      <c r="O16" s="98">
        <f t="shared" si="8"/>
        <v>0</v>
      </c>
      <c r="P16" s="515"/>
      <c r="Q16" s="643">
        <f t="shared" si="9"/>
        <v>0</v>
      </c>
      <c r="R16" s="332"/>
      <c r="S16" s="327">
        <f t="shared" si="16"/>
        <v>0</v>
      </c>
      <c r="T16" s="516"/>
      <c r="U16" s="644">
        <f t="shared" si="17"/>
        <v>0</v>
      </c>
      <c r="V16" s="327">
        <f t="shared" si="10"/>
        <v>0</v>
      </c>
      <c r="W16" s="516"/>
      <c r="X16" s="644">
        <f t="shared" si="18"/>
        <v>0</v>
      </c>
      <c r="Y16" s="327">
        <f t="shared" si="11"/>
        <v>0</v>
      </c>
      <c r="Z16" s="516"/>
      <c r="AA16" s="644">
        <f t="shared" si="19"/>
        <v>0</v>
      </c>
      <c r="AB16" s="327">
        <f t="shared" si="12"/>
        <v>0</v>
      </c>
      <c r="AC16" s="648"/>
      <c r="AD16" s="644">
        <f t="shared" si="20"/>
        <v>0</v>
      </c>
      <c r="AE16" s="327">
        <f t="shared" si="13"/>
        <v>0</v>
      </c>
      <c r="AF16" s="517"/>
      <c r="AG16" s="644">
        <f t="shared" si="21"/>
        <v>0</v>
      </c>
      <c r="AH16" s="327">
        <f t="shared" si="14"/>
        <v>0</v>
      </c>
      <c r="AI16" s="517"/>
      <c r="AJ16" s="644">
        <f t="shared" si="23"/>
        <v>0</v>
      </c>
      <c r="AK16" s="420">
        <f t="shared" si="15"/>
        <v>0</v>
      </c>
      <c r="AL16" s="516"/>
      <c r="AM16" s="644">
        <f t="shared" si="22"/>
        <v>0</v>
      </c>
      <c r="AN16" s="523">
        <f t="shared" si="24"/>
        <v>0</v>
      </c>
    </row>
    <row r="17" spans="1:40" ht="23.1" customHeight="1">
      <c r="A17" s="58">
        <f>Gen!B22</f>
        <v>43902</v>
      </c>
      <c r="B17" s="4"/>
      <c r="C17" s="98">
        <f t="shared" si="0"/>
        <v>0</v>
      </c>
      <c r="D17" s="1"/>
      <c r="E17" s="643">
        <f>IF((D17-D16)&lt;0,"0",(D17-D16))</f>
        <v>0</v>
      </c>
      <c r="F17" s="98">
        <f t="shared" si="2"/>
        <v>0</v>
      </c>
      <c r="G17" s="521"/>
      <c r="H17" s="643">
        <f t="shared" si="3"/>
        <v>0</v>
      </c>
      <c r="I17" s="98">
        <f t="shared" si="4"/>
        <v>0</v>
      </c>
      <c r="J17" s="1"/>
      <c r="K17" s="643">
        <f t="shared" si="5"/>
        <v>0</v>
      </c>
      <c r="L17" s="98"/>
      <c r="M17" s="1"/>
      <c r="N17" s="643">
        <f t="shared" si="7"/>
        <v>0</v>
      </c>
      <c r="O17" s="98">
        <f t="shared" si="8"/>
        <v>0</v>
      </c>
      <c r="P17" s="515"/>
      <c r="Q17" s="643">
        <f t="shared" si="9"/>
        <v>0</v>
      </c>
      <c r="R17" s="332"/>
      <c r="S17" s="327">
        <f t="shared" si="16"/>
        <v>0</v>
      </c>
      <c r="T17" s="516"/>
      <c r="U17" s="644">
        <f>IF((T17-T16)&lt;0,"0",(T17-T16))</f>
        <v>0</v>
      </c>
      <c r="V17" s="327">
        <f t="shared" si="10"/>
        <v>0</v>
      </c>
      <c r="W17" s="516"/>
      <c r="X17" s="644">
        <f>IF((W17-W16)&lt;0,"0",(W17-W16))</f>
        <v>0</v>
      </c>
      <c r="Y17" s="327">
        <f t="shared" si="11"/>
        <v>0</v>
      </c>
      <c r="Z17" s="516"/>
      <c r="AA17" s="644">
        <f>IF((Z17-Z16)&lt;0,"0",(Z17-Z16))</f>
        <v>0</v>
      </c>
      <c r="AB17" s="327">
        <f t="shared" si="12"/>
        <v>0</v>
      </c>
      <c r="AC17" s="648"/>
      <c r="AD17" s="644">
        <f>IF((AC17-AC16)&lt;0,"0",(AC17-AC16))</f>
        <v>0</v>
      </c>
      <c r="AE17" s="327">
        <f t="shared" si="13"/>
        <v>0</v>
      </c>
      <c r="AF17" s="517"/>
      <c r="AG17" s="644">
        <f>IF((AF17-AF16)&lt;0,"0",(AF17-AF16))</f>
        <v>0</v>
      </c>
      <c r="AH17" s="327">
        <f t="shared" si="14"/>
        <v>0</v>
      </c>
      <c r="AI17" s="517"/>
      <c r="AJ17" s="644">
        <f t="shared" si="23"/>
        <v>0</v>
      </c>
      <c r="AK17" s="420">
        <f t="shared" si="15"/>
        <v>0</v>
      </c>
      <c r="AL17" s="516"/>
      <c r="AM17" s="644">
        <f>IF((AL17-AL16)&lt;0,"0",(AL17-AL16))</f>
        <v>0</v>
      </c>
      <c r="AN17" s="523">
        <f t="shared" si="24"/>
        <v>0</v>
      </c>
    </row>
    <row r="18" spans="1:40" ht="23.1" customHeight="1">
      <c r="A18" s="58">
        <f>Gen!B23</f>
        <v>43903</v>
      </c>
      <c r="B18" s="4"/>
      <c r="C18" s="98">
        <f t="shared" si="0"/>
        <v>0</v>
      </c>
      <c r="D18" s="1"/>
      <c r="E18" s="643">
        <f t="shared" ref="E18:E37" si="26">IF((D18-D17)&lt;0,"0",(D18-D17))</f>
        <v>0</v>
      </c>
      <c r="F18" s="98">
        <f t="shared" si="2"/>
        <v>0</v>
      </c>
      <c r="G18" s="521"/>
      <c r="H18" s="643">
        <f t="shared" si="3"/>
        <v>0</v>
      </c>
      <c r="I18" s="98"/>
      <c r="J18" s="1"/>
      <c r="K18" s="643">
        <f t="shared" si="5"/>
        <v>0</v>
      </c>
      <c r="L18" s="98">
        <f t="shared" si="6"/>
        <v>0</v>
      </c>
      <c r="M18" s="1"/>
      <c r="N18" s="643">
        <f t="shared" si="7"/>
        <v>0</v>
      </c>
      <c r="O18" s="98">
        <f t="shared" si="8"/>
        <v>0</v>
      </c>
      <c r="P18" s="515"/>
      <c r="Q18" s="643">
        <f t="shared" si="9"/>
        <v>0</v>
      </c>
      <c r="R18" s="332"/>
      <c r="S18" s="327">
        <f t="shared" si="16"/>
        <v>0</v>
      </c>
      <c r="T18" s="516"/>
      <c r="U18" s="644">
        <f t="shared" si="17"/>
        <v>0</v>
      </c>
      <c r="V18" s="327">
        <f t="shared" si="10"/>
        <v>0</v>
      </c>
      <c r="W18" s="516"/>
      <c r="X18" s="644">
        <f t="shared" si="18"/>
        <v>0</v>
      </c>
      <c r="Y18" s="327">
        <f t="shared" si="11"/>
        <v>0</v>
      </c>
      <c r="Z18" s="516"/>
      <c r="AA18" s="644">
        <f t="shared" si="19"/>
        <v>0</v>
      </c>
      <c r="AB18" s="327">
        <f t="shared" si="12"/>
        <v>0</v>
      </c>
      <c r="AC18" s="648"/>
      <c r="AD18" s="644">
        <f t="shared" si="20"/>
        <v>0</v>
      </c>
      <c r="AE18" s="327">
        <f t="shared" si="13"/>
        <v>0</v>
      </c>
      <c r="AF18" s="517"/>
      <c r="AG18" s="644">
        <f t="shared" si="21"/>
        <v>0</v>
      </c>
      <c r="AH18" s="327">
        <f t="shared" si="14"/>
        <v>0</v>
      </c>
      <c r="AI18" s="517"/>
      <c r="AJ18" s="644">
        <f t="shared" si="23"/>
        <v>0</v>
      </c>
      <c r="AK18" s="420">
        <f t="shared" si="15"/>
        <v>0</v>
      </c>
      <c r="AL18" s="516"/>
      <c r="AM18" s="644">
        <f t="shared" ref="AM18:AM26" si="27">IF((AL18-AL17)&lt;0,"0",(AL18-AL17))</f>
        <v>0</v>
      </c>
      <c r="AN18" s="523">
        <f t="shared" si="24"/>
        <v>0</v>
      </c>
    </row>
    <row r="19" spans="1:40" ht="23.1" customHeight="1">
      <c r="A19" s="58">
        <f>Gen!B24</f>
        <v>43904</v>
      </c>
      <c r="B19" s="4"/>
      <c r="C19" s="98">
        <f t="shared" si="0"/>
        <v>0</v>
      </c>
      <c r="D19" s="1"/>
      <c r="E19" s="643">
        <f t="shared" si="26"/>
        <v>0</v>
      </c>
      <c r="F19" s="98">
        <f t="shared" si="2"/>
        <v>0</v>
      </c>
      <c r="G19" s="521"/>
      <c r="H19" s="643">
        <f t="shared" si="3"/>
        <v>0</v>
      </c>
      <c r="I19" s="98">
        <f t="shared" si="4"/>
        <v>0</v>
      </c>
      <c r="J19" s="1"/>
      <c r="K19" s="643">
        <f t="shared" si="5"/>
        <v>0</v>
      </c>
      <c r="L19" s="98">
        <f t="shared" si="6"/>
        <v>0</v>
      </c>
      <c r="M19" s="1"/>
      <c r="N19" s="643">
        <f t="shared" si="7"/>
        <v>0</v>
      </c>
      <c r="O19" s="98">
        <f t="shared" si="8"/>
        <v>0</v>
      </c>
      <c r="P19" s="515"/>
      <c r="Q19" s="643">
        <f t="shared" si="9"/>
        <v>0</v>
      </c>
      <c r="R19" s="332"/>
      <c r="S19" s="327">
        <f t="shared" si="16"/>
        <v>0</v>
      </c>
      <c r="T19" s="516"/>
      <c r="U19" s="644">
        <f t="shared" si="17"/>
        <v>0</v>
      </c>
      <c r="V19" s="327">
        <f t="shared" si="10"/>
        <v>0</v>
      </c>
      <c r="W19" s="516"/>
      <c r="X19" s="644">
        <f t="shared" si="18"/>
        <v>0</v>
      </c>
      <c r="Y19" s="327">
        <f t="shared" si="11"/>
        <v>0</v>
      </c>
      <c r="Z19" s="516"/>
      <c r="AA19" s="644">
        <f t="shared" si="19"/>
        <v>0</v>
      </c>
      <c r="AB19" s="327">
        <f t="shared" si="12"/>
        <v>0</v>
      </c>
      <c r="AC19" s="648"/>
      <c r="AD19" s="644">
        <f t="shared" si="20"/>
        <v>0</v>
      </c>
      <c r="AE19" s="327">
        <f t="shared" si="13"/>
        <v>0</v>
      </c>
      <c r="AF19" s="517"/>
      <c r="AG19" s="644">
        <f t="shared" si="21"/>
        <v>0</v>
      </c>
      <c r="AH19" s="327">
        <f t="shared" si="14"/>
        <v>0</v>
      </c>
      <c r="AI19" s="517"/>
      <c r="AJ19" s="644">
        <f t="shared" si="23"/>
        <v>0</v>
      </c>
      <c r="AK19" s="420">
        <f t="shared" si="15"/>
        <v>0</v>
      </c>
      <c r="AL19" s="516"/>
      <c r="AM19" s="644">
        <f t="shared" si="27"/>
        <v>0</v>
      </c>
      <c r="AN19" s="523">
        <f t="shared" si="24"/>
        <v>0</v>
      </c>
    </row>
    <row r="20" spans="1:40" ht="23.1" customHeight="1">
      <c r="A20" s="58">
        <f>Gen!B25</f>
        <v>43905</v>
      </c>
      <c r="B20" s="4"/>
      <c r="C20" s="98">
        <f t="shared" si="0"/>
        <v>0</v>
      </c>
      <c r="D20" s="1"/>
      <c r="E20" s="643">
        <f t="shared" si="26"/>
        <v>0</v>
      </c>
      <c r="F20" s="98">
        <f t="shared" si="2"/>
        <v>0</v>
      </c>
      <c r="G20" s="521"/>
      <c r="H20" s="643">
        <f t="shared" si="3"/>
        <v>0</v>
      </c>
      <c r="I20" s="98">
        <f t="shared" si="4"/>
        <v>0</v>
      </c>
      <c r="J20" s="1"/>
      <c r="K20" s="643">
        <f t="shared" si="5"/>
        <v>0</v>
      </c>
      <c r="L20" s="98">
        <f t="shared" si="6"/>
        <v>0</v>
      </c>
      <c r="M20" s="1"/>
      <c r="N20" s="643">
        <f t="shared" si="7"/>
        <v>0</v>
      </c>
      <c r="O20" s="98">
        <f t="shared" si="8"/>
        <v>0</v>
      </c>
      <c r="P20" s="515"/>
      <c r="Q20" s="643">
        <f t="shared" si="9"/>
        <v>0</v>
      </c>
      <c r="R20" s="332"/>
      <c r="S20" s="327">
        <f t="shared" si="16"/>
        <v>0</v>
      </c>
      <c r="T20" s="516"/>
      <c r="U20" s="644">
        <f t="shared" si="17"/>
        <v>0</v>
      </c>
      <c r="V20" s="327">
        <f t="shared" si="10"/>
        <v>0</v>
      </c>
      <c r="W20" s="516"/>
      <c r="X20" s="644">
        <f t="shared" si="18"/>
        <v>0</v>
      </c>
      <c r="Y20" s="327">
        <f t="shared" si="11"/>
        <v>0</v>
      </c>
      <c r="Z20" s="516"/>
      <c r="AA20" s="644">
        <f t="shared" si="19"/>
        <v>0</v>
      </c>
      <c r="AB20" s="327">
        <f t="shared" si="12"/>
        <v>0</v>
      </c>
      <c r="AC20" s="648"/>
      <c r="AD20" s="644">
        <f t="shared" si="20"/>
        <v>0</v>
      </c>
      <c r="AE20" s="327">
        <f t="shared" si="13"/>
        <v>0</v>
      </c>
      <c r="AF20" s="517"/>
      <c r="AG20" s="644">
        <f t="shared" si="21"/>
        <v>0</v>
      </c>
      <c r="AH20" s="327">
        <f t="shared" si="14"/>
        <v>0</v>
      </c>
      <c r="AI20" s="517"/>
      <c r="AJ20" s="644">
        <f t="shared" si="23"/>
        <v>0</v>
      </c>
      <c r="AK20" s="420">
        <f t="shared" si="15"/>
        <v>0</v>
      </c>
      <c r="AL20" s="516"/>
      <c r="AM20" s="644">
        <f t="shared" si="27"/>
        <v>0</v>
      </c>
      <c r="AN20" s="523">
        <f t="shared" si="24"/>
        <v>0</v>
      </c>
    </row>
    <row r="21" spans="1:40" ht="23.1" customHeight="1">
      <c r="A21" s="58">
        <f>Gen!B26</f>
        <v>43906</v>
      </c>
      <c r="B21" s="4"/>
      <c r="C21" s="98">
        <f t="shared" si="0"/>
        <v>0</v>
      </c>
      <c r="D21" s="1"/>
      <c r="E21" s="643">
        <f t="shared" si="26"/>
        <v>0</v>
      </c>
      <c r="F21" s="98">
        <f t="shared" si="2"/>
        <v>0</v>
      </c>
      <c r="G21" s="521"/>
      <c r="H21" s="643">
        <f t="shared" si="3"/>
        <v>0</v>
      </c>
      <c r="I21" s="98">
        <f t="shared" si="4"/>
        <v>0</v>
      </c>
      <c r="J21" s="1"/>
      <c r="K21" s="643">
        <f t="shared" si="5"/>
        <v>0</v>
      </c>
      <c r="L21" s="98">
        <f t="shared" si="6"/>
        <v>0</v>
      </c>
      <c r="M21" s="1"/>
      <c r="N21" s="643">
        <f t="shared" si="7"/>
        <v>0</v>
      </c>
      <c r="O21" s="98">
        <f t="shared" si="8"/>
        <v>0</v>
      </c>
      <c r="P21" s="515"/>
      <c r="Q21" s="643">
        <f t="shared" si="9"/>
        <v>0</v>
      </c>
      <c r="R21" s="332"/>
      <c r="S21" s="327">
        <f t="shared" si="16"/>
        <v>0</v>
      </c>
      <c r="T21" s="516"/>
      <c r="U21" s="644">
        <f t="shared" si="17"/>
        <v>0</v>
      </c>
      <c r="V21" s="327">
        <f t="shared" ref="V21:V37" si="28">W20</f>
        <v>0</v>
      </c>
      <c r="W21" s="516"/>
      <c r="X21" s="644">
        <f t="shared" si="18"/>
        <v>0</v>
      </c>
      <c r="Y21" s="327">
        <f t="shared" si="11"/>
        <v>0</v>
      </c>
      <c r="Z21" s="516"/>
      <c r="AA21" s="644">
        <f t="shared" si="19"/>
        <v>0</v>
      </c>
      <c r="AB21" s="327">
        <f t="shared" si="12"/>
        <v>0</v>
      </c>
      <c r="AC21" s="648"/>
      <c r="AD21" s="644">
        <f t="shared" si="20"/>
        <v>0</v>
      </c>
      <c r="AE21" s="327">
        <f t="shared" si="13"/>
        <v>0</v>
      </c>
      <c r="AF21" s="517"/>
      <c r="AG21" s="644">
        <f t="shared" si="21"/>
        <v>0</v>
      </c>
      <c r="AH21" s="327">
        <f t="shared" si="14"/>
        <v>0</v>
      </c>
      <c r="AI21" s="517"/>
      <c r="AJ21" s="644">
        <f t="shared" si="23"/>
        <v>0</v>
      </c>
      <c r="AK21" s="420">
        <f t="shared" si="15"/>
        <v>0</v>
      </c>
      <c r="AL21" s="516"/>
      <c r="AM21" s="644">
        <f t="shared" si="27"/>
        <v>0</v>
      </c>
      <c r="AN21" s="523">
        <f t="shared" si="24"/>
        <v>0</v>
      </c>
    </row>
    <row r="22" spans="1:40" ht="23.1" customHeight="1">
      <c r="A22" s="58">
        <f>Gen!B27</f>
        <v>43907</v>
      </c>
      <c r="B22" s="4"/>
      <c r="C22" s="98">
        <f t="shared" si="0"/>
        <v>0</v>
      </c>
      <c r="D22" s="1"/>
      <c r="E22" s="643">
        <f t="shared" si="26"/>
        <v>0</v>
      </c>
      <c r="F22" s="98">
        <f t="shared" si="2"/>
        <v>0</v>
      </c>
      <c r="G22" s="521"/>
      <c r="H22" s="643">
        <f t="shared" si="3"/>
        <v>0</v>
      </c>
      <c r="I22" s="98">
        <f t="shared" si="4"/>
        <v>0</v>
      </c>
      <c r="J22" s="1"/>
      <c r="K22" s="643">
        <f t="shared" si="5"/>
        <v>0</v>
      </c>
      <c r="L22" s="98">
        <f t="shared" si="6"/>
        <v>0</v>
      </c>
      <c r="M22" s="1"/>
      <c r="N22" s="643">
        <f t="shared" si="7"/>
        <v>0</v>
      </c>
      <c r="O22" s="98">
        <f t="shared" si="8"/>
        <v>0</v>
      </c>
      <c r="P22" s="515"/>
      <c r="Q22" s="643">
        <f t="shared" si="9"/>
        <v>0</v>
      </c>
      <c r="R22" s="332"/>
      <c r="S22" s="327">
        <f t="shared" si="16"/>
        <v>0</v>
      </c>
      <c r="T22" s="516"/>
      <c r="U22" s="644">
        <f t="shared" si="17"/>
        <v>0</v>
      </c>
      <c r="V22" s="327">
        <f t="shared" si="28"/>
        <v>0</v>
      </c>
      <c r="W22" s="516"/>
      <c r="X22" s="644">
        <f t="shared" si="18"/>
        <v>0</v>
      </c>
      <c r="Y22" s="327">
        <f t="shared" si="11"/>
        <v>0</v>
      </c>
      <c r="Z22" s="516"/>
      <c r="AA22" s="644">
        <f t="shared" si="19"/>
        <v>0</v>
      </c>
      <c r="AB22" s="327">
        <f t="shared" si="12"/>
        <v>0</v>
      </c>
      <c r="AC22" s="648"/>
      <c r="AD22" s="644">
        <f t="shared" si="20"/>
        <v>0</v>
      </c>
      <c r="AE22" s="327">
        <f t="shared" si="13"/>
        <v>0</v>
      </c>
      <c r="AF22" s="517"/>
      <c r="AG22" s="644">
        <f t="shared" si="21"/>
        <v>0</v>
      </c>
      <c r="AH22" s="327">
        <f t="shared" si="14"/>
        <v>0</v>
      </c>
      <c r="AI22" s="517"/>
      <c r="AJ22" s="644">
        <f t="shared" si="23"/>
        <v>0</v>
      </c>
      <c r="AK22" s="420">
        <f t="shared" si="15"/>
        <v>0</v>
      </c>
      <c r="AL22" s="516"/>
      <c r="AM22" s="644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43908</v>
      </c>
      <c r="B23" s="4"/>
      <c r="C23" s="98">
        <f t="shared" si="0"/>
        <v>0</v>
      </c>
      <c r="D23" s="1"/>
      <c r="E23" s="643">
        <f t="shared" si="26"/>
        <v>0</v>
      </c>
      <c r="F23" s="98">
        <f t="shared" si="2"/>
        <v>0</v>
      </c>
      <c r="G23" s="521"/>
      <c r="H23" s="643">
        <f t="shared" si="3"/>
        <v>0</v>
      </c>
      <c r="I23" s="98">
        <f t="shared" si="4"/>
        <v>0</v>
      </c>
      <c r="J23" s="1"/>
      <c r="K23" s="643">
        <f t="shared" si="5"/>
        <v>0</v>
      </c>
      <c r="L23" s="98">
        <f t="shared" si="6"/>
        <v>0</v>
      </c>
      <c r="M23" s="1"/>
      <c r="N23" s="643">
        <f t="shared" si="7"/>
        <v>0</v>
      </c>
      <c r="O23" s="98">
        <f t="shared" si="8"/>
        <v>0</v>
      </c>
      <c r="P23" s="515"/>
      <c r="Q23" s="643">
        <f t="shared" si="9"/>
        <v>0</v>
      </c>
      <c r="R23" s="332"/>
      <c r="S23" s="327">
        <f t="shared" si="16"/>
        <v>0</v>
      </c>
      <c r="T23" s="516"/>
      <c r="U23" s="644">
        <f t="shared" si="17"/>
        <v>0</v>
      </c>
      <c r="V23" s="327">
        <f t="shared" si="28"/>
        <v>0</v>
      </c>
      <c r="W23" s="516"/>
      <c r="X23" s="644">
        <f t="shared" si="18"/>
        <v>0</v>
      </c>
      <c r="Y23" s="327">
        <f t="shared" si="11"/>
        <v>0</v>
      </c>
      <c r="Z23" s="516"/>
      <c r="AA23" s="644">
        <f t="shared" si="19"/>
        <v>0</v>
      </c>
      <c r="AB23" s="327">
        <f t="shared" si="12"/>
        <v>0</v>
      </c>
      <c r="AC23" s="328"/>
      <c r="AD23" s="644">
        <f t="shared" si="20"/>
        <v>0</v>
      </c>
      <c r="AE23" s="327">
        <f t="shared" si="13"/>
        <v>0</v>
      </c>
      <c r="AF23" s="517"/>
      <c r="AG23" s="644">
        <f t="shared" si="21"/>
        <v>0</v>
      </c>
      <c r="AH23" s="327">
        <f t="shared" si="14"/>
        <v>0</v>
      </c>
      <c r="AI23" s="517"/>
      <c r="AJ23" s="644">
        <f t="shared" si="23"/>
        <v>0</v>
      </c>
      <c r="AK23" s="420">
        <f t="shared" si="15"/>
        <v>0</v>
      </c>
      <c r="AL23" s="516"/>
      <c r="AM23" s="644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43909</v>
      </c>
      <c r="B24" s="4"/>
      <c r="C24" s="98">
        <f t="shared" si="0"/>
        <v>0</v>
      </c>
      <c r="D24" s="1"/>
      <c r="E24" s="643">
        <f t="shared" si="26"/>
        <v>0</v>
      </c>
      <c r="F24" s="98">
        <f t="shared" si="2"/>
        <v>0</v>
      </c>
      <c r="G24" s="521"/>
      <c r="H24" s="643">
        <f t="shared" si="3"/>
        <v>0</v>
      </c>
      <c r="I24" s="98">
        <f t="shared" si="4"/>
        <v>0</v>
      </c>
      <c r="J24" s="1"/>
      <c r="K24" s="643">
        <f t="shared" si="5"/>
        <v>0</v>
      </c>
      <c r="L24" s="98">
        <f t="shared" si="6"/>
        <v>0</v>
      </c>
      <c r="M24" s="1"/>
      <c r="N24" s="643">
        <f t="shared" si="7"/>
        <v>0</v>
      </c>
      <c r="O24" s="98">
        <f t="shared" si="8"/>
        <v>0</v>
      </c>
      <c r="P24" s="515"/>
      <c r="Q24" s="643">
        <f t="shared" si="9"/>
        <v>0</v>
      </c>
      <c r="R24" s="332"/>
      <c r="S24" s="327">
        <f t="shared" si="16"/>
        <v>0</v>
      </c>
      <c r="T24" s="516"/>
      <c r="U24" s="644">
        <f t="shared" si="17"/>
        <v>0</v>
      </c>
      <c r="V24" s="327">
        <f t="shared" si="28"/>
        <v>0</v>
      </c>
      <c r="W24" s="516"/>
      <c r="X24" s="644">
        <f t="shared" si="18"/>
        <v>0</v>
      </c>
      <c r="Y24" s="327">
        <f t="shared" si="11"/>
        <v>0</v>
      </c>
      <c r="Z24" s="516"/>
      <c r="AA24" s="644">
        <f t="shared" si="19"/>
        <v>0</v>
      </c>
      <c r="AB24" s="327">
        <f t="shared" si="12"/>
        <v>0</v>
      </c>
      <c r="AC24" s="328"/>
      <c r="AD24" s="644">
        <f t="shared" si="20"/>
        <v>0</v>
      </c>
      <c r="AE24" s="327">
        <f t="shared" si="13"/>
        <v>0</v>
      </c>
      <c r="AF24" s="517"/>
      <c r="AG24" s="644">
        <f t="shared" si="21"/>
        <v>0</v>
      </c>
      <c r="AH24" s="327">
        <f t="shared" si="14"/>
        <v>0</v>
      </c>
      <c r="AI24" s="517"/>
      <c r="AJ24" s="644">
        <f t="shared" si="23"/>
        <v>0</v>
      </c>
      <c r="AK24" s="420">
        <f t="shared" si="15"/>
        <v>0</v>
      </c>
      <c r="AL24" s="516"/>
      <c r="AM24" s="644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43910</v>
      </c>
      <c r="B25" s="4"/>
      <c r="C25" s="98">
        <f>D24</f>
        <v>0</v>
      </c>
      <c r="D25" s="1"/>
      <c r="E25" s="643">
        <f t="shared" si="26"/>
        <v>0</v>
      </c>
      <c r="F25" s="98">
        <f t="shared" si="2"/>
        <v>0</v>
      </c>
      <c r="G25" s="521"/>
      <c r="H25" s="643">
        <f t="shared" si="3"/>
        <v>0</v>
      </c>
      <c r="I25" s="98">
        <f t="shared" ref="I25:I37" si="29">J24</f>
        <v>0</v>
      </c>
      <c r="J25" s="1"/>
      <c r="K25" s="643">
        <f t="shared" ref="K25:K37" si="30">IF((J25-J24)&lt;0,"0",(J25-J24))</f>
        <v>0</v>
      </c>
      <c r="L25" s="98">
        <f t="shared" ref="L25:L37" si="31">M24</f>
        <v>0</v>
      </c>
      <c r="M25" s="1"/>
      <c r="N25" s="643">
        <f t="shared" ref="N25:N37" si="32">IF((M25-M24)&lt;0,"0",(M25-M24))</f>
        <v>0</v>
      </c>
      <c r="O25" s="98">
        <f t="shared" ref="O25:O37" si="33">P24</f>
        <v>0</v>
      </c>
      <c r="P25" s="515"/>
      <c r="Q25" s="643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44">
        <f t="shared" si="17"/>
        <v>0</v>
      </c>
      <c r="V25" s="327">
        <f t="shared" si="28"/>
        <v>0</v>
      </c>
      <c r="W25" s="516"/>
      <c r="X25" s="644">
        <f t="shared" si="18"/>
        <v>0</v>
      </c>
      <c r="Y25" s="327">
        <f t="shared" si="11"/>
        <v>0</v>
      </c>
      <c r="Z25" s="516"/>
      <c r="AA25" s="644">
        <f t="shared" si="19"/>
        <v>0</v>
      </c>
      <c r="AB25" s="327">
        <f t="shared" si="12"/>
        <v>0</v>
      </c>
      <c r="AC25" s="328"/>
      <c r="AD25" s="644">
        <f t="shared" si="20"/>
        <v>0</v>
      </c>
      <c r="AE25" s="327">
        <f t="shared" si="13"/>
        <v>0</v>
      </c>
      <c r="AF25" s="517"/>
      <c r="AG25" s="644">
        <f t="shared" si="21"/>
        <v>0</v>
      </c>
      <c r="AH25" s="327">
        <f t="shared" si="14"/>
        <v>0</v>
      </c>
      <c r="AI25" s="517"/>
      <c r="AJ25" s="644">
        <f t="shared" si="23"/>
        <v>0</v>
      </c>
      <c r="AK25" s="420">
        <f t="shared" si="15"/>
        <v>0</v>
      </c>
      <c r="AL25" s="516"/>
      <c r="AM25" s="644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43911</v>
      </c>
      <c r="B26" s="4"/>
      <c r="C26" s="98">
        <f>D25</f>
        <v>0</v>
      </c>
      <c r="D26" s="1"/>
      <c r="E26" s="643">
        <f t="shared" si="26"/>
        <v>0</v>
      </c>
      <c r="F26" s="98">
        <f t="shared" si="2"/>
        <v>0</v>
      </c>
      <c r="G26" s="521"/>
      <c r="H26" s="643">
        <f t="shared" ref="H26:H37" si="36">IF((G26-G25)&lt;0,"0",(G26-G25))</f>
        <v>0</v>
      </c>
      <c r="I26" s="98">
        <f t="shared" si="29"/>
        <v>0</v>
      </c>
      <c r="J26" s="1"/>
      <c r="K26" s="643">
        <f t="shared" si="30"/>
        <v>0</v>
      </c>
      <c r="L26" s="98">
        <f t="shared" si="31"/>
        <v>0</v>
      </c>
      <c r="M26" s="1"/>
      <c r="N26" s="643">
        <f t="shared" si="32"/>
        <v>0</v>
      </c>
      <c r="O26" s="98">
        <f t="shared" si="33"/>
        <v>0</v>
      </c>
      <c r="P26" s="515"/>
      <c r="Q26" s="643">
        <f t="shared" si="34"/>
        <v>0</v>
      </c>
      <c r="R26" s="332"/>
      <c r="S26" s="327">
        <f t="shared" si="35"/>
        <v>0</v>
      </c>
      <c r="T26" s="516"/>
      <c r="U26" s="644">
        <f t="shared" si="17"/>
        <v>0</v>
      </c>
      <c r="V26" s="327">
        <f t="shared" si="28"/>
        <v>0</v>
      </c>
      <c r="W26" s="516"/>
      <c r="X26" s="644">
        <f t="shared" si="18"/>
        <v>0</v>
      </c>
      <c r="Y26" s="327">
        <f t="shared" si="11"/>
        <v>0</v>
      </c>
      <c r="Z26" s="516"/>
      <c r="AA26" s="644">
        <f t="shared" si="19"/>
        <v>0</v>
      </c>
      <c r="AB26" s="327">
        <f t="shared" si="12"/>
        <v>0</v>
      </c>
      <c r="AC26" s="328"/>
      <c r="AD26" s="644">
        <f t="shared" si="20"/>
        <v>0</v>
      </c>
      <c r="AE26" s="327">
        <f t="shared" si="13"/>
        <v>0</v>
      </c>
      <c r="AF26" s="517"/>
      <c r="AG26" s="644">
        <f t="shared" si="21"/>
        <v>0</v>
      </c>
      <c r="AH26" s="327">
        <f t="shared" si="14"/>
        <v>0</v>
      </c>
      <c r="AI26" s="517"/>
      <c r="AJ26" s="644">
        <f t="shared" si="23"/>
        <v>0</v>
      </c>
      <c r="AK26" s="420">
        <f t="shared" si="15"/>
        <v>0</v>
      </c>
      <c r="AL26" s="516"/>
      <c r="AM26" s="644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43912</v>
      </c>
      <c r="B27" s="4"/>
      <c r="C27" s="98">
        <f>D26</f>
        <v>0</v>
      </c>
      <c r="D27" s="1"/>
      <c r="E27" s="643">
        <f t="shared" si="26"/>
        <v>0</v>
      </c>
      <c r="F27" s="98">
        <f t="shared" si="2"/>
        <v>0</v>
      </c>
      <c r="G27" s="521"/>
      <c r="H27" s="643">
        <f t="shared" si="36"/>
        <v>0</v>
      </c>
      <c r="I27" s="98">
        <f t="shared" si="29"/>
        <v>0</v>
      </c>
      <c r="J27" s="1"/>
      <c r="K27" s="643">
        <f t="shared" si="30"/>
        <v>0</v>
      </c>
      <c r="L27" s="98">
        <f t="shared" si="31"/>
        <v>0</v>
      </c>
      <c r="M27" s="1"/>
      <c r="N27" s="643">
        <f t="shared" si="32"/>
        <v>0</v>
      </c>
      <c r="O27" s="98">
        <f t="shared" si="33"/>
        <v>0</v>
      </c>
      <c r="P27" s="515"/>
      <c r="Q27" s="643">
        <f t="shared" si="34"/>
        <v>0</v>
      </c>
      <c r="R27" s="332"/>
      <c r="S27" s="327">
        <f t="shared" si="35"/>
        <v>0</v>
      </c>
      <c r="T27" s="516"/>
      <c r="U27" s="644">
        <f t="shared" si="17"/>
        <v>0</v>
      </c>
      <c r="V27" s="327">
        <f t="shared" si="28"/>
        <v>0</v>
      </c>
      <c r="W27" s="516"/>
      <c r="X27" s="644">
        <f t="shared" si="18"/>
        <v>0</v>
      </c>
      <c r="Y27" s="327">
        <f t="shared" si="11"/>
        <v>0</v>
      </c>
      <c r="Z27" s="516"/>
      <c r="AA27" s="644">
        <f t="shared" si="19"/>
        <v>0</v>
      </c>
      <c r="AB27" s="327">
        <f t="shared" si="12"/>
        <v>0</v>
      </c>
      <c r="AC27" s="328"/>
      <c r="AD27" s="644">
        <f t="shared" si="20"/>
        <v>0</v>
      </c>
      <c r="AE27" s="327">
        <f t="shared" si="13"/>
        <v>0</v>
      </c>
      <c r="AF27" s="517"/>
      <c r="AG27" s="644">
        <f t="shared" si="21"/>
        <v>0</v>
      </c>
      <c r="AH27" s="327">
        <f t="shared" si="14"/>
        <v>0</v>
      </c>
      <c r="AI27" s="517"/>
      <c r="AJ27" s="644">
        <f t="shared" si="23"/>
        <v>0</v>
      </c>
      <c r="AK27" s="420">
        <f t="shared" si="15"/>
        <v>0</v>
      </c>
      <c r="AL27" s="516"/>
      <c r="AM27" s="644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43913</v>
      </c>
      <c r="B28" s="4"/>
      <c r="C28" s="98">
        <f t="shared" ref="C28:C37" si="37">D27</f>
        <v>0</v>
      </c>
      <c r="D28" s="1"/>
      <c r="E28" s="643">
        <f t="shared" si="26"/>
        <v>0</v>
      </c>
      <c r="F28" s="98">
        <f t="shared" si="2"/>
        <v>0</v>
      </c>
      <c r="G28" s="521"/>
      <c r="H28" s="643">
        <f t="shared" si="36"/>
        <v>0</v>
      </c>
      <c r="I28" s="98">
        <f t="shared" si="29"/>
        <v>0</v>
      </c>
      <c r="J28" s="1"/>
      <c r="K28" s="643">
        <f t="shared" si="30"/>
        <v>0</v>
      </c>
      <c r="L28" s="98">
        <f t="shared" si="31"/>
        <v>0</v>
      </c>
      <c r="M28" s="1"/>
      <c r="N28" s="643">
        <f t="shared" si="32"/>
        <v>0</v>
      </c>
      <c r="O28" s="98">
        <f t="shared" si="33"/>
        <v>0</v>
      </c>
      <c r="P28" s="515"/>
      <c r="Q28" s="643">
        <f t="shared" si="34"/>
        <v>0</v>
      </c>
      <c r="R28" s="332"/>
      <c r="S28" s="327">
        <f t="shared" si="35"/>
        <v>0</v>
      </c>
      <c r="T28" s="516"/>
      <c r="U28" s="644">
        <f t="shared" si="17"/>
        <v>0</v>
      </c>
      <c r="V28" s="327">
        <f t="shared" si="28"/>
        <v>0</v>
      </c>
      <c r="W28" s="516"/>
      <c r="X28" s="644">
        <f t="shared" si="18"/>
        <v>0</v>
      </c>
      <c r="Y28" s="327">
        <f t="shared" si="11"/>
        <v>0</v>
      </c>
      <c r="Z28" s="516"/>
      <c r="AA28" s="644">
        <f t="shared" si="19"/>
        <v>0</v>
      </c>
      <c r="AB28" s="327">
        <f t="shared" si="12"/>
        <v>0</v>
      </c>
      <c r="AC28" s="328"/>
      <c r="AD28" s="644">
        <f t="shared" si="20"/>
        <v>0</v>
      </c>
      <c r="AE28" s="327">
        <f t="shared" si="13"/>
        <v>0</v>
      </c>
      <c r="AF28" s="517"/>
      <c r="AG28" s="644">
        <f t="shared" si="21"/>
        <v>0</v>
      </c>
      <c r="AH28" s="327">
        <f t="shared" si="14"/>
        <v>0</v>
      </c>
      <c r="AI28" s="517"/>
      <c r="AJ28" s="644">
        <f t="shared" si="23"/>
        <v>0</v>
      </c>
      <c r="AK28" s="420">
        <f t="shared" si="15"/>
        <v>0</v>
      </c>
      <c r="AL28" s="516"/>
      <c r="AM28" s="644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43">
        <f t="shared" si="26"/>
        <v>0</v>
      </c>
      <c r="F29" s="98">
        <f t="shared" si="2"/>
        <v>0</v>
      </c>
      <c r="G29" s="521"/>
      <c r="H29" s="643">
        <f t="shared" si="36"/>
        <v>0</v>
      </c>
      <c r="I29" s="98">
        <f t="shared" si="29"/>
        <v>0</v>
      </c>
      <c r="J29" s="1"/>
      <c r="K29" s="643">
        <f t="shared" si="30"/>
        <v>0</v>
      </c>
      <c r="L29" s="98">
        <f t="shared" si="31"/>
        <v>0</v>
      </c>
      <c r="M29" s="1"/>
      <c r="N29" s="643">
        <f t="shared" si="32"/>
        <v>0</v>
      </c>
      <c r="O29" s="98">
        <f t="shared" si="33"/>
        <v>0</v>
      </c>
      <c r="P29" s="515"/>
      <c r="Q29" s="643">
        <f t="shared" si="34"/>
        <v>0</v>
      </c>
      <c r="R29" s="332"/>
      <c r="S29" s="327">
        <f t="shared" si="35"/>
        <v>0</v>
      </c>
      <c r="T29" s="516"/>
      <c r="U29" s="644">
        <f t="shared" si="17"/>
        <v>0</v>
      </c>
      <c r="V29" s="327">
        <f t="shared" si="28"/>
        <v>0</v>
      </c>
      <c r="W29" s="516"/>
      <c r="X29" s="644">
        <f t="shared" si="18"/>
        <v>0</v>
      </c>
      <c r="Y29" s="327">
        <f t="shared" si="11"/>
        <v>0</v>
      </c>
      <c r="Z29" s="516"/>
      <c r="AA29" s="644">
        <f t="shared" si="19"/>
        <v>0</v>
      </c>
      <c r="AB29" s="327">
        <f t="shared" si="12"/>
        <v>0</v>
      </c>
      <c r="AC29" s="328"/>
      <c r="AD29" s="644">
        <f t="shared" si="20"/>
        <v>0</v>
      </c>
      <c r="AE29" s="327">
        <f t="shared" si="13"/>
        <v>0</v>
      </c>
      <c r="AF29" s="517"/>
      <c r="AG29" s="644">
        <f t="shared" si="21"/>
        <v>0</v>
      </c>
      <c r="AH29" s="327">
        <f t="shared" si="14"/>
        <v>0</v>
      </c>
      <c r="AI29" s="517"/>
      <c r="AJ29" s="644">
        <f t="shared" si="23"/>
        <v>0</v>
      </c>
      <c r="AK29" s="420">
        <f t="shared" si="15"/>
        <v>0</v>
      </c>
      <c r="AL29" s="516"/>
      <c r="AM29" s="644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43">
        <f t="shared" si="26"/>
        <v>0</v>
      </c>
      <c r="F30" s="98">
        <f t="shared" si="2"/>
        <v>0</v>
      </c>
      <c r="G30" s="521"/>
      <c r="H30" s="643">
        <f t="shared" si="36"/>
        <v>0</v>
      </c>
      <c r="I30" s="98">
        <f t="shared" si="29"/>
        <v>0</v>
      </c>
      <c r="J30" s="1"/>
      <c r="K30" s="643">
        <f t="shared" si="30"/>
        <v>0</v>
      </c>
      <c r="L30" s="98">
        <f t="shared" si="31"/>
        <v>0</v>
      </c>
      <c r="M30" s="1"/>
      <c r="N30" s="643">
        <f t="shared" si="32"/>
        <v>0</v>
      </c>
      <c r="O30" s="98">
        <f t="shared" si="33"/>
        <v>0</v>
      </c>
      <c r="P30" s="515"/>
      <c r="Q30" s="643">
        <f t="shared" si="34"/>
        <v>0</v>
      </c>
      <c r="R30" s="332"/>
      <c r="S30" s="327">
        <f t="shared" si="35"/>
        <v>0</v>
      </c>
      <c r="T30" s="516"/>
      <c r="U30" s="644">
        <f t="shared" si="17"/>
        <v>0</v>
      </c>
      <c r="V30" s="327">
        <f t="shared" si="28"/>
        <v>0</v>
      </c>
      <c r="W30" s="516"/>
      <c r="X30" s="644">
        <f t="shared" si="18"/>
        <v>0</v>
      </c>
      <c r="Y30" s="327">
        <f t="shared" si="11"/>
        <v>0</v>
      </c>
      <c r="Z30" s="516"/>
      <c r="AA30" s="644">
        <f t="shared" si="19"/>
        <v>0</v>
      </c>
      <c r="AB30" s="327">
        <f t="shared" si="12"/>
        <v>0</v>
      </c>
      <c r="AC30" s="328"/>
      <c r="AD30" s="644">
        <f t="shared" si="20"/>
        <v>0</v>
      </c>
      <c r="AE30" s="327">
        <f t="shared" si="13"/>
        <v>0</v>
      </c>
      <c r="AF30" s="517"/>
      <c r="AG30" s="644">
        <f t="shared" si="21"/>
        <v>0</v>
      </c>
      <c r="AH30" s="327">
        <f t="shared" si="14"/>
        <v>0</v>
      </c>
      <c r="AI30" s="517"/>
      <c r="AJ30" s="644">
        <f t="shared" si="23"/>
        <v>0</v>
      </c>
      <c r="AK30" s="420">
        <f t="shared" si="15"/>
        <v>0</v>
      </c>
      <c r="AL30" s="516"/>
      <c r="AM30" s="644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43">
        <f t="shared" si="26"/>
        <v>0</v>
      </c>
      <c r="F31" s="98">
        <f t="shared" si="2"/>
        <v>0</v>
      </c>
      <c r="G31" s="521"/>
      <c r="H31" s="643">
        <f t="shared" si="36"/>
        <v>0</v>
      </c>
      <c r="I31" s="98">
        <f t="shared" si="29"/>
        <v>0</v>
      </c>
      <c r="J31" s="1"/>
      <c r="K31" s="643">
        <f t="shared" si="30"/>
        <v>0</v>
      </c>
      <c r="L31" s="98">
        <f t="shared" si="31"/>
        <v>0</v>
      </c>
      <c r="M31" s="1"/>
      <c r="N31" s="643">
        <f t="shared" si="32"/>
        <v>0</v>
      </c>
      <c r="O31" s="98">
        <f t="shared" si="33"/>
        <v>0</v>
      </c>
      <c r="P31" s="515"/>
      <c r="Q31" s="643">
        <f t="shared" si="34"/>
        <v>0</v>
      </c>
      <c r="R31" s="332"/>
      <c r="S31" s="327">
        <f t="shared" si="35"/>
        <v>0</v>
      </c>
      <c r="T31" s="516"/>
      <c r="U31" s="644">
        <f t="shared" si="17"/>
        <v>0</v>
      </c>
      <c r="V31" s="327">
        <f t="shared" si="28"/>
        <v>0</v>
      </c>
      <c r="W31" s="516"/>
      <c r="X31" s="644">
        <f t="shared" si="18"/>
        <v>0</v>
      </c>
      <c r="Y31" s="327">
        <f t="shared" si="11"/>
        <v>0</v>
      </c>
      <c r="Z31" s="516"/>
      <c r="AA31" s="644">
        <f t="shared" si="19"/>
        <v>0</v>
      </c>
      <c r="AB31" s="327">
        <f t="shared" si="12"/>
        <v>0</v>
      </c>
      <c r="AC31" s="328"/>
      <c r="AD31" s="644">
        <f t="shared" si="20"/>
        <v>0</v>
      </c>
      <c r="AE31" s="327">
        <f t="shared" si="13"/>
        <v>0</v>
      </c>
      <c r="AF31" s="517"/>
      <c r="AG31" s="644">
        <f t="shared" si="21"/>
        <v>0</v>
      </c>
      <c r="AH31" s="327">
        <f t="shared" si="14"/>
        <v>0</v>
      </c>
      <c r="AI31" s="517"/>
      <c r="AJ31" s="644">
        <f t="shared" si="23"/>
        <v>0</v>
      </c>
      <c r="AK31" s="420">
        <f t="shared" si="15"/>
        <v>0</v>
      </c>
      <c r="AL31" s="516"/>
      <c r="AM31" s="644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43">
        <f t="shared" si="26"/>
        <v>0</v>
      </c>
      <c r="F32" s="98">
        <f t="shared" si="2"/>
        <v>0</v>
      </c>
      <c r="G32" s="521"/>
      <c r="H32" s="643">
        <f t="shared" si="36"/>
        <v>0</v>
      </c>
      <c r="I32" s="98">
        <f t="shared" si="29"/>
        <v>0</v>
      </c>
      <c r="J32" s="1"/>
      <c r="K32" s="643">
        <f t="shared" si="30"/>
        <v>0</v>
      </c>
      <c r="L32" s="98">
        <f t="shared" si="31"/>
        <v>0</v>
      </c>
      <c r="M32" s="1"/>
      <c r="N32" s="643">
        <f t="shared" si="32"/>
        <v>0</v>
      </c>
      <c r="O32" s="98">
        <f t="shared" si="33"/>
        <v>0</v>
      </c>
      <c r="P32" s="515"/>
      <c r="Q32" s="643">
        <f t="shared" si="34"/>
        <v>0</v>
      </c>
      <c r="R32" s="332"/>
      <c r="S32" s="327">
        <f t="shared" si="35"/>
        <v>0</v>
      </c>
      <c r="T32" s="516"/>
      <c r="U32" s="644">
        <f t="shared" si="17"/>
        <v>0</v>
      </c>
      <c r="V32" s="327">
        <f t="shared" si="28"/>
        <v>0</v>
      </c>
      <c r="W32" s="516"/>
      <c r="X32" s="644">
        <f t="shared" si="18"/>
        <v>0</v>
      </c>
      <c r="Y32" s="327">
        <f t="shared" si="11"/>
        <v>0</v>
      </c>
      <c r="Z32" s="516"/>
      <c r="AA32" s="644">
        <f t="shared" si="19"/>
        <v>0</v>
      </c>
      <c r="AB32" s="327">
        <f t="shared" si="12"/>
        <v>0</v>
      </c>
      <c r="AC32" s="328"/>
      <c r="AD32" s="644">
        <f t="shared" si="20"/>
        <v>0</v>
      </c>
      <c r="AE32" s="327">
        <f t="shared" si="13"/>
        <v>0</v>
      </c>
      <c r="AF32" s="517"/>
      <c r="AG32" s="644">
        <f t="shared" si="21"/>
        <v>0</v>
      </c>
      <c r="AH32" s="327">
        <f t="shared" si="14"/>
        <v>0</v>
      </c>
      <c r="AI32" s="517"/>
      <c r="AJ32" s="644">
        <f t="shared" si="23"/>
        <v>0</v>
      </c>
      <c r="AK32" s="420">
        <f t="shared" si="15"/>
        <v>0</v>
      </c>
      <c r="AL32" s="516"/>
      <c r="AM32" s="644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43">
        <f t="shared" si="26"/>
        <v>0</v>
      </c>
      <c r="F33" s="98">
        <f t="shared" si="2"/>
        <v>0</v>
      </c>
      <c r="G33" s="521"/>
      <c r="H33" s="643">
        <f t="shared" si="36"/>
        <v>0</v>
      </c>
      <c r="I33" s="98">
        <f t="shared" si="29"/>
        <v>0</v>
      </c>
      <c r="J33" s="1"/>
      <c r="K33" s="643">
        <f t="shared" si="30"/>
        <v>0</v>
      </c>
      <c r="L33" s="98">
        <f t="shared" si="31"/>
        <v>0</v>
      </c>
      <c r="M33" s="1"/>
      <c r="N33" s="643">
        <f t="shared" si="32"/>
        <v>0</v>
      </c>
      <c r="O33" s="98">
        <f t="shared" si="33"/>
        <v>0</v>
      </c>
      <c r="P33" s="515"/>
      <c r="Q33" s="643">
        <f t="shared" si="34"/>
        <v>0</v>
      </c>
      <c r="R33" s="332"/>
      <c r="S33" s="327">
        <f t="shared" si="35"/>
        <v>0</v>
      </c>
      <c r="T33" s="516"/>
      <c r="U33" s="644">
        <f t="shared" si="17"/>
        <v>0</v>
      </c>
      <c r="V33" s="327">
        <f t="shared" si="28"/>
        <v>0</v>
      </c>
      <c r="W33" s="516"/>
      <c r="X33" s="644">
        <f t="shared" si="18"/>
        <v>0</v>
      </c>
      <c r="Y33" s="327">
        <f t="shared" si="11"/>
        <v>0</v>
      </c>
      <c r="Z33" s="516"/>
      <c r="AA33" s="644">
        <f t="shared" si="19"/>
        <v>0</v>
      </c>
      <c r="AB33" s="327">
        <f t="shared" si="12"/>
        <v>0</v>
      </c>
      <c r="AC33" s="328"/>
      <c r="AD33" s="644">
        <f t="shared" si="20"/>
        <v>0</v>
      </c>
      <c r="AE33" s="327">
        <f t="shared" si="13"/>
        <v>0</v>
      </c>
      <c r="AF33" s="517"/>
      <c r="AG33" s="644">
        <f t="shared" si="21"/>
        <v>0</v>
      </c>
      <c r="AH33" s="327">
        <f t="shared" si="14"/>
        <v>0</v>
      </c>
      <c r="AI33" s="517"/>
      <c r="AJ33" s="644">
        <f t="shared" si="23"/>
        <v>0</v>
      </c>
      <c r="AK33" s="420">
        <f t="shared" si="15"/>
        <v>0</v>
      </c>
      <c r="AL33" s="516"/>
      <c r="AM33" s="644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43">
        <f t="shared" si="26"/>
        <v>0</v>
      </c>
      <c r="F34" s="98">
        <f t="shared" si="2"/>
        <v>0</v>
      </c>
      <c r="G34" s="521"/>
      <c r="H34" s="643">
        <f t="shared" si="36"/>
        <v>0</v>
      </c>
      <c r="I34" s="98">
        <f t="shared" si="29"/>
        <v>0</v>
      </c>
      <c r="J34" s="1"/>
      <c r="K34" s="643">
        <f t="shared" si="30"/>
        <v>0</v>
      </c>
      <c r="L34" s="98">
        <f t="shared" si="31"/>
        <v>0</v>
      </c>
      <c r="M34" s="1"/>
      <c r="N34" s="643">
        <f t="shared" si="32"/>
        <v>0</v>
      </c>
      <c r="O34" s="98">
        <f t="shared" si="33"/>
        <v>0</v>
      </c>
      <c r="P34" s="515"/>
      <c r="Q34" s="643">
        <f t="shared" si="34"/>
        <v>0</v>
      </c>
      <c r="R34" s="332"/>
      <c r="S34" s="327">
        <f t="shared" si="35"/>
        <v>0</v>
      </c>
      <c r="T34" s="516"/>
      <c r="U34" s="644">
        <f t="shared" si="17"/>
        <v>0</v>
      </c>
      <c r="V34" s="327">
        <f t="shared" si="28"/>
        <v>0</v>
      </c>
      <c r="W34" s="516"/>
      <c r="X34" s="644">
        <f t="shared" si="18"/>
        <v>0</v>
      </c>
      <c r="Y34" s="327">
        <f t="shared" si="11"/>
        <v>0</v>
      </c>
      <c r="Z34" s="516"/>
      <c r="AA34" s="644">
        <f t="shared" si="19"/>
        <v>0</v>
      </c>
      <c r="AB34" s="327">
        <f t="shared" si="12"/>
        <v>0</v>
      </c>
      <c r="AC34" s="328"/>
      <c r="AD34" s="644">
        <f t="shared" si="20"/>
        <v>0</v>
      </c>
      <c r="AE34" s="327">
        <f t="shared" si="13"/>
        <v>0</v>
      </c>
      <c r="AF34" s="517"/>
      <c r="AG34" s="644">
        <f t="shared" si="21"/>
        <v>0</v>
      </c>
      <c r="AH34" s="327">
        <f t="shared" si="14"/>
        <v>0</v>
      </c>
      <c r="AI34" s="517"/>
      <c r="AJ34" s="644">
        <f t="shared" si="23"/>
        <v>0</v>
      </c>
      <c r="AK34" s="420">
        <f t="shared" si="15"/>
        <v>0</v>
      </c>
      <c r="AL34" s="516"/>
      <c r="AM34" s="644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43">
        <f t="shared" si="26"/>
        <v>0</v>
      </c>
      <c r="F35" s="98">
        <f t="shared" si="2"/>
        <v>0</v>
      </c>
      <c r="G35" s="521"/>
      <c r="H35" s="643">
        <f t="shared" si="36"/>
        <v>0</v>
      </c>
      <c r="I35" s="98">
        <f t="shared" si="29"/>
        <v>0</v>
      </c>
      <c r="J35" s="1"/>
      <c r="K35" s="643">
        <f t="shared" si="30"/>
        <v>0</v>
      </c>
      <c r="L35" s="98">
        <f t="shared" si="31"/>
        <v>0</v>
      </c>
      <c r="M35" s="1"/>
      <c r="N35" s="643">
        <f t="shared" si="32"/>
        <v>0</v>
      </c>
      <c r="O35" s="98">
        <f t="shared" si="33"/>
        <v>0</v>
      </c>
      <c r="P35" s="515"/>
      <c r="Q35" s="643">
        <f t="shared" si="34"/>
        <v>0</v>
      </c>
      <c r="R35" s="332"/>
      <c r="S35" s="327">
        <f t="shared" si="35"/>
        <v>0</v>
      </c>
      <c r="T35" s="516"/>
      <c r="U35" s="644">
        <f t="shared" si="17"/>
        <v>0</v>
      </c>
      <c r="V35" s="327">
        <f t="shared" si="28"/>
        <v>0</v>
      </c>
      <c r="W35" s="516"/>
      <c r="X35" s="644">
        <f t="shared" si="18"/>
        <v>0</v>
      </c>
      <c r="Y35" s="327">
        <f t="shared" si="11"/>
        <v>0</v>
      </c>
      <c r="Z35" s="516"/>
      <c r="AA35" s="644">
        <f t="shared" si="19"/>
        <v>0</v>
      </c>
      <c r="AB35" s="327">
        <f t="shared" si="12"/>
        <v>0</v>
      </c>
      <c r="AC35" s="328"/>
      <c r="AD35" s="644">
        <f t="shared" si="20"/>
        <v>0</v>
      </c>
      <c r="AE35" s="327">
        <f t="shared" si="13"/>
        <v>0</v>
      </c>
      <c r="AF35" s="517"/>
      <c r="AG35" s="644">
        <f t="shared" si="21"/>
        <v>0</v>
      </c>
      <c r="AH35" s="327">
        <f t="shared" si="14"/>
        <v>0</v>
      </c>
      <c r="AI35" s="517"/>
      <c r="AJ35" s="644">
        <f t="shared" si="23"/>
        <v>0</v>
      </c>
      <c r="AK35" s="420">
        <f t="shared" si="15"/>
        <v>0</v>
      </c>
      <c r="AL35" s="516"/>
      <c r="AM35" s="644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43">
        <f t="shared" si="26"/>
        <v>0</v>
      </c>
      <c r="F36" s="98">
        <f t="shared" si="2"/>
        <v>0</v>
      </c>
      <c r="G36" s="521"/>
      <c r="H36" s="643">
        <f t="shared" si="36"/>
        <v>0</v>
      </c>
      <c r="I36" s="98">
        <f t="shared" si="29"/>
        <v>0</v>
      </c>
      <c r="J36" s="1"/>
      <c r="K36" s="643">
        <f t="shared" si="30"/>
        <v>0</v>
      </c>
      <c r="L36" s="98">
        <f t="shared" si="31"/>
        <v>0</v>
      </c>
      <c r="M36" s="1"/>
      <c r="N36" s="643">
        <f t="shared" si="32"/>
        <v>0</v>
      </c>
      <c r="O36" s="98">
        <f t="shared" si="33"/>
        <v>0</v>
      </c>
      <c r="P36" s="515"/>
      <c r="Q36" s="643">
        <f t="shared" si="34"/>
        <v>0</v>
      </c>
      <c r="R36" s="332"/>
      <c r="S36" s="327">
        <f t="shared" si="35"/>
        <v>0</v>
      </c>
      <c r="T36" s="516"/>
      <c r="U36" s="644">
        <f t="shared" si="17"/>
        <v>0</v>
      </c>
      <c r="V36" s="327">
        <f t="shared" si="28"/>
        <v>0</v>
      </c>
      <c r="W36" s="516"/>
      <c r="X36" s="644">
        <f t="shared" si="18"/>
        <v>0</v>
      </c>
      <c r="Y36" s="327">
        <f t="shared" si="11"/>
        <v>0</v>
      </c>
      <c r="Z36" s="516"/>
      <c r="AA36" s="644">
        <f t="shared" si="19"/>
        <v>0</v>
      </c>
      <c r="AB36" s="327">
        <f t="shared" si="12"/>
        <v>0</v>
      </c>
      <c r="AC36" s="328"/>
      <c r="AD36" s="644">
        <f t="shared" si="20"/>
        <v>0</v>
      </c>
      <c r="AE36" s="327">
        <f t="shared" si="13"/>
        <v>0</v>
      </c>
      <c r="AF36" s="517"/>
      <c r="AG36" s="644">
        <f t="shared" si="21"/>
        <v>0</v>
      </c>
      <c r="AH36" s="327">
        <f t="shared" si="14"/>
        <v>0</v>
      </c>
      <c r="AI36" s="517"/>
      <c r="AJ36" s="644">
        <f t="shared" si="23"/>
        <v>0</v>
      </c>
      <c r="AK36" s="420">
        <f t="shared" si="15"/>
        <v>0</v>
      </c>
      <c r="AL36" s="516"/>
      <c r="AM36" s="644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43">
        <f t="shared" si="26"/>
        <v>0</v>
      </c>
      <c r="F37" s="98">
        <f t="shared" si="2"/>
        <v>0</v>
      </c>
      <c r="G37" s="521"/>
      <c r="H37" s="643">
        <f t="shared" si="36"/>
        <v>0</v>
      </c>
      <c r="I37" s="98">
        <f t="shared" si="29"/>
        <v>0</v>
      </c>
      <c r="J37" s="1"/>
      <c r="K37" s="643">
        <f t="shared" si="30"/>
        <v>0</v>
      </c>
      <c r="L37" s="98">
        <f t="shared" si="31"/>
        <v>0</v>
      </c>
      <c r="M37" s="1"/>
      <c r="N37" s="643">
        <f t="shared" si="32"/>
        <v>0</v>
      </c>
      <c r="O37" s="98">
        <f t="shared" si="33"/>
        <v>0</v>
      </c>
      <c r="P37" s="515"/>
      <c r="Q37" s="643">
        <f t="shared" si="34"/>
        <v>0</v>
      </c>
      <c r="R37" s="332"/>
      <c r="S37" s="327">
        <f t="shared" si="35"/>
        <v>0</v>
      </c>
      <c r="T37" s="516"/>
      <c r="U37" s="644">
        <f t="shared" si="17"/>
        <v>0</v>
      </c>
      <c r="V37" s="327">
        <f t="shared" si="28"/>
        <v>0</v>
      </c>
      <c r="W37" s="516"/>
      <c r="X37" s="644">
        <f t="shared" si="18"/>
        <v>0</v>
      </c>
      <c r="Y37" s="327">
        <f t="shared" si="11"/>
        <v>0</v>
      </c>
      <c r="Z37" s="516"/>
      <c r="AA37" s="644">
        <f t="shared" si="19"/>
        <v>0</v>
      </c>
      <c r="AB37" s="327">
        <f t="shared" si="12"/>
        <v>0</v>
      </c>
      <c r="AC37" s="328"/>
      <c r="AD37" s="644">
        <f t="shared" si="20"/>
        <v>0</v>
      </c>
      <c r="AE37" s="327">
        <f t="shared" si="13"/>
        <v>0</v>
      </c>
      <c r="AF37" s="517"/>
      <c r="AG37" s="644">
        <f t="shared" si="21"/>
        <v>0</v>
      </c>
      <c r="AH37" s="327">
        <f t="shared" si="14"/>
        <v>0</v>
      </c>
      <c r="AI37" s="517"/>
      <c r="AJ37" s="644">
        <f t="shared" si="23"/>
        <v>0</v>
      </c>
      <c r="AK37" s="420">
        <f t="shared" si="15"/>
        <v>0</v>
      </c>
      <c r="AL37" s="516"/>
      <c r="AM37" s="644">
        <f t="shared" si="22"/>
        <v>0</v>
      </c>
      <c r="AN37" s="523">
        <f t="shared" ref="AN37" si="38">U38+X38+AA38+AD38+AG38+AJ38+AM38</f>
        <v>117</v>
      </c>
    </row>
    <row r="38" spans="1:41" ht="17.25">
      <c r="A38" s="58"/>
      <c r="B38" s="22"/>
      <c r="C38" s="825" t="s">
        <v>6</v>
      </c>
      <c r="D38" s="825"/>
      <c r="E38" s="23">
        <f>SUM(E6:E36)</f>
        <v>310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310</v>
      </c>
      <c r="S38" s="329"/>
      <c r="T38" s="329"/>
      <c r="U38" s="339">
        <f>SUM(U6:U37)</f>
        <v>117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117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51"/>
      <c r="B42" s="365"/>
      <c r="C42" s="848" t="s">
        <v>224</v>
      </c>
      <c r="D42" s="849"/>
      <c r="E42" s="849"/>
      <c r="F42" s="849"/>
      <c r="G42" s="849"/>
      <c r="H42" s="849"/>
      <c r="I42" s="849"/>
      <c r="J42" s="849"/>
      <c r="K42" s="850"/>
      <c r="R42" s="20"/>
    </row>
    <row r="43" spans="1:41" ht="24.75" customHeight="1">
      <c r="A43" s="852"/>
      <c r="B43" s="20"/>
      <c r="C43" s="854" t="s">
        <v>218</v>
      </c>
      <c r="D43" s="855"/>
      <c r="E43" s="856" t="s">
        <v>239</v>
      </c>
      <c r="F43" s="857"/>
      <c r="G43" s="858" t="s">
        <v>219</v>
      </c>
      <c r="H43" s="859"/>
      <c r="I43" s="858" t="s">
        <v>240</v>
      </c>
      <c r="J43" s="859"/>
      <c r="K43" s="846" t="s">
        <v>225</v>
      </c>
      <c r="R43" s="20"/>
      <c r="T43" s="653"/>
      <c r="U43" s="653"/>
      <c r="V43" s="653"/>
      <c r="W43" s="653"/>
      <c r="X43" s="653"/>
      <c r="Y43" s="653"/>
      <c r="Z43" s="653"/>
      <c r="AA43" s="653"/>
      <c r="AB43" s="653"/>
      <c r="AC43" s="653"/>
      <c r="AD43" s="653"/>
      <c r="AE43" s="653"/>
      <c r="AF43" s="653"/>
      <c r="AG43" s="653"/>
      <c r="AH43" s="653"/>
      <c r="AI43" s="653"/>
      <c r="AJ43" s="653"/>
      <c r="AK43" s="653"/>
      <c r="AL43" s="653"/>
      <c r="AM43" s="653"/>
      <c r="AN43" s="653"/>
      <c r="AO43" s="653"/>
    </row>
    <row r="44" spans="1:41" ht="21" customHeight="1" thickBot="1">
      <c r="A44" s="852"/>
      <c r="B44" s="20"/>
      <c r="C44" s="860" t="s">
        <v>220</v>
      </c>
      <c r="D44" s="861"/>
      <c r="E44" s="860" t="s">
        <v>221</v>
      </c>
      <c r="F44" s="861"/>
      <c r="G44" s="860" t="s">
        <v>222</v>
      </c>
      <c r="H44" s="861"/>
      <c r="I44" s="860" t="s">
        <v>223</v>
      </c>
      <c r="J44" s="861"/>
      <c r="K44" s="847"/>
      <c r="R44" s="20"/>
      <c r="T44" s="653"/>
      <c r="U44" s="653"/>
      <c r="V44" s="653"/>
      <c r="W44" s="653"/>
      <c r="X44" s="653"/>
      <c r="Y44" s="653"/>
      <c r="Z44" s="653"/>
      <c r="AA44" s="653"/>
      <c r="AB44" s="653"/>
      <c r="AC44" s="653"/>
      <c r="AD44" s="653"/>
      <c r="AE44" s="653"/>
      <c r="AF44" s="653"/>
      <c r="AG44" s="653"/>
      <c r="AH44" s="653"/>
      <c r="AI44" s="653"/>
      <c r="AJ44" s="653"/>
      <c r="AK44" s="653"/>
      <c r="AL44" s="653"/>
      <c r="AM44" s="653"/>
      <c r="AN44" s="653"/>
      <c r="AO44" s="653"/>
    </row>
    <row r="45" spans="1:41" ht="21" customHeight="1" thickBot="1">
      <c r="A45" s="853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5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53"/>
      <c r="U45" s="653"/>
      <c r="V45" s="653"/>
      <c r="W45" s="653"/>
      <c r="X45" s="653"/>
      <c r="Y45" s="653"/>
      <c r="Z45" s="653"/>
      <c r="AA45" s="653"/>
      <c r="AB45" s="653"/>
      <c r="AC45" s="653"/>
      <c r="AD45" s="653"/>
      <c r="AE45" s="653"/>
      <c r="AF45" s="653"/>
      <c r="AG45" s="653"/>
      <c r="AH45" s="653"/>
      <c r="AI45" s="653"/>
      <c r="AJ45" s="653"/>
      <c r="AK45" s="653"/>
      <c r="AL45" s="653"/>
      <c r="AM45" s="653"/>
      <c r="AN45" s="653"/>
      <c r="AO45" s="653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6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53"/>
      <c r="U46" s="653"/>
      <c r="V46" s="653"/>
      <c r="W46" s="653"/>
      <c r="X46" s="653"/>
      <c r="Y46" s="653"/>
      <c r="Z46" s="653"/>
      <c r="AA46" s="653"/>
      <c r="AB46" s="653"/>
      <c r="AC46" s="653"/>
      <c r="AD46" s="653"/>
      <c r="AE46" s="653"/>
      <c r="AF46" s="653"/>
      <c r="AG46" s="653"/>
      <c r="AH46" s="653"/>
      <c r="AI46" s="653"/>
      <c r="AJ46" s="653"/>
      <c r="AK46" s="653"/>
      <c r="AL46" s="653"/>
      <c r="AM46" s="653"/>
      <c r="AN46" s="653"/>
      <c r="AO46" s="653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6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53"/>
      <c r="U47" s="653"/>
      <c r="V47" s="653"/>
      <c r="W47" s="653"/>
      <c r="X47" s="653"/>
      <c r="Y47" s="653"/>
      <c r="Z47" s="653"/>
      <c r="AA47" s="653"/>
      <c r="AB47" s="653"/>
      <c r="AC47" s="653"/>
      <c r="AD47" s="653"/>
      <c r="AE47" s="653"/>
      <c r="AF47" s="653"/>
      <c r="AG47" s="653"/>
      <c r="AH47" s="653"/>
      <c r="AI47" s="653"/>
      <c r="AJ47" s="653"/>
      <c r="AK47" s="653"/>
      <c r="AL47" s="653"/>
      <c r="AM47" s="653"/>
      <c r="AN47" s="653"/>
      <c r="AO47" s="653"/>
    </row>
    <row r="48" spans="1:41" ht="13.5">
      <c r="A48" s="383">
        <f>Gen!B13</f>
        <v>43893</v>
      </c>
      <c r="B48" s="20"/>
      <c r="C48" s="63"/>
      <c r="D48" s="431">
        <f t="shared" si="42"/>
        <v>0</v>
      </c>
      <c r="E48" s="6"/>
      <c r="F48" s="431">
        <f t="shared" si="43"/>
        <v>0</v>
      </c>
      <c r="G48" s="646"/>
      <c r="H48" s="431">
        <f t="shared" si="44"/>
        <v>0</v>
      </c>
      <c r="I48" s="6"/>
      <c r="J48" s="431">
        <f t="shared" si="45"/>
        <v>0</v>
      </c>
      <c r="K48" s="437">
        <f t="shared" si="46"/>
        <v>0</v>
      </c>
      <c r="T48" s="653"/>
      <c r="U48" s="653"/>
      <c r="V48" s="653"/>
      <c r="W48" s="653"/>
      <c r="X48" s="653"/>
      <c r="Y48" s="653"/>
      <c r="Z48" s="653"/>
      <c r="AA48" s="653"/>
      <c r="AB48" s="653"/>
      <c r="AC48" s="653"/>
      <c r="AD48" s="653"/>
      <c r="AE48" s="653"/>
      <c r="AF48" s="653"/>
      <c r="AG48" s="653"/>
      <c r="AH48" s="653"/>
      <c r="AI48" s="653"/>
      <c r="AJ48" s="653"/>
      <c r="AK48" s="653"/>
      <c r="AL48" s="653"/>
      <c r="AM48" s="653"/>
      <c r="AN48" s="653"/>
      <c r="AO48" s="653"/>
    </row>
    <row r="49" spans="1:15" ht="13.5">
      <c r="A49" s="383">
        <f>Gen!B14</f>
        <v>43894</v>
      </c>
      <c r="B49" s="20"/>
      <c r="C49" s="63"/>
      <c r="D49" s="431">
        <f t="shared" si="42"/>
        <v>0</v>
      </c>
      <c r="E49" s="6"/>
      <c r="F49" s="431">
        <f t="shared" si="43"/>
        <v>0</v>
      </c>
      <c r="G49" s="646"/>
      <c r="H49" s="431">
        <f t="shared" si="44"/>
        <v>0</v>
      </c>
      <c r="I49" s="6"/>
      <c r="J49" s="431">
        <f t="shared" si="45"/>
        <v>0</v>
      </c>
      <c r="K49" s="437">
        <f t="shared" si="46"/>
        <v>0</v>
      </c>
    </row>
    <row r="50" spans="1:15" ht="13.5">
      <c r="A50" s="383">
        <f>Gen!B15</f>
        <v>43895</v>
      </c>
      <c r="B50" s="20"/>
      <c r="C50" s="63"/>
      <c r="D50" s="431">
        <f t="shared" si="42"/>
        <v>0</v>
      </c>
      <c r="E50" s="6"/>
      <c r="F50" s="431">
        <f t="shared" si="43"/>
        <v>0</v>
      </c>
      <c r="G50" s="646"/>
      <c r="H50" s="431">
        <f t="shared" si="44"/>
        <v>0</v>
      </c>
      <c r="I50" s="6"/>
      <c r="J50" s="431">
        <f t="shared" si="45"/>
        <v>0</v>
      </c>
      <c r="K50" s="437">
        <f t="shared" si="46"/>
        <v>0</v>
      </c>
    </row>
    <row r="51" spans="1:15" ht="13.5">
      <c r="A51" s="383">
        <f>Gen!B16</f>
        <v>43896</v>
      </c>
      <c r="B51" s="20"/>
      <c r="C51" s="63"/>
      <c r="D51" s="431">
        <f t="shared" si="42"/>
        <v>0</v>
      </c>
      <c r="E51" s="6"/>
      <c r="F51" s="431">
        <f t="shared" si="43"/>
        <v>0</v>
      </c>
      <c r="G51" s="646"/>
      <c r="H51" s="431">
        <f t="shared" si="44"/>
        <v>0</v>
      </c>
      <c r="I51" s="6"/>
      <c r="J51" s="431">
        <f t="shared" si="45"/>
        <v>0</v>
      </c>
      <c r="K51" s="437">
        <f t="shared" si="46"/>
        <v>0</v>
      </c>
    </row>
    <row r="52" spans="1:15" ht="13.5">
      <c r="A52" s="383">
        <f>Gen!B17</f>
        <v>43897</v>
      </c>
      <c r="B52" s="20"/>
      <c r="C52" s="63"/>
      <c r="D52" s="431">
        <f t="shared" si="42"/>
        <v>0</v>
      </c>
      <c r="E52" s="6"/>
      <c r="F52" s="431">
        <f t="shared" si="43"/>
        <v>0</v>
      </c>
      <c r="G52" s="646"/>
      <c r="H52" s="431">
        <f t="shared" si="44"/>
        <v>0</v>
      </c>
      <c r="I52" s="6"/>
      <c r="J52" s="431">
        <f t="shared" si="45"/>
        <v>0</v>
      </c>
      <c r="K52" s="437">
        <f t="shared" si="46"/>
        <v>0</v>
      </c>
    </row>
    <row r="53" spans="1:15" ht="13.5">
      <c r="A53" s="383">
        <f>Gen!B18</f>
        <v>43898</v>
      </c>
      <c r="B53" s="20"/>
      <c r="C53" s="63"/>
      <c r="D53" s="431">
        <f t="shared" si="42"/>
        <v>0</v>
      </c>
      <c r="E53" s="6"/>
      <c r="F53" s="431">
        <f t="shared" si="43"/>
        <v>0</v>
      </c>
      <c r="G53" s="646"/>
      <c r="H53" s="431">
        <f t="shared" si="44"/>
        <v>0</v>
      </c>
      <c r="I53" s="6"/>
      <c r="J53" s="431">
        <f t="shared" si="45"/>
        <v>0</v>
      </c>
      <c r="K53" s="437">
        <f t="shared" si="46"/>
        <v>0</v>
      </c>
    </row>
    <row r="54" spans="1:15" ht="13.5">
      <c r="A54" s="383">
        <f>Gen!B19</f>
        <v>43899</v>
      </c>
      <c r="B54" s="20"/>
      <c r="C54" s="63"/>
      <c r="D54" s="431">
        <f t="shared" si="42"/>
        <v>0</v>
      </c>
      <c r="E54" s="6"/>
      <c r="F54" s="431">
        <f t="shared" si="43"/>
        <v>0</v>
      </c>
      <c r="G54" s="646"/>
      <c r="H54" s="431">
        <f t="shared" si="44"/>
        <v>0</v>
      </c>
      <c r="I54" s="6"/>
      <c r="J54" s="431">
        <f t="shared" si="45"/>
        <v>0</v>
      </c>
      <c r="K54" s="437">
        <f t="shared" si="46"/>
        <v>0</v>
      </c>
    </row>
    <row r="55" spans="1:15" ht="13.5">
      <c r="A55" s="383">
        <f>Gen!B20</f>
        <v>43900</v>
      </c>
      <c r="B55" s="20"/>
      <c r="C55" s="63"/>
      <c r="D55" s="431">
        <f t="shared" si="42"/>
        <v>0</v>
      </c>
      <c r="E55" s="6"/>
      <c r="F55" s="431">
        <f t="shared" si="43"/>
        <v>0</v>
      </c>
      <c r="G55" s="646"/>
      <c r="H55" s="431">
        <f t="shared" si="44"/>
        <v>0</v>
      </c>
      <c r="I55" s="6"/>
      <c r="J55" s="431">
        <f t="shared" si="45"/>
        <v>0</v>
      </c>
      <c r="K55" s="437">
        <f t="shared" si="46"/>
        <v>0</v>
      </c>
    </row>
    <row r="56" spans="1:15" ht="13.5">
      <c r="A56" s="383">
        <f>Gen!B21</f>
        <v>43901</v>
      </c>
      <c r="B56" s="20"/>
      <c r="C56" s="63"/>
      <c r="D56" s="431">
        <f t="shared" si="42"/>
        <v>0</v>
      </c>
      <c r="E56" s="6"/>
      <c r="F56" s="431">
        <f t="shared" si="43"/>
        <v>0</v>
      </c>
      <c r="G56" s="646"/>
      <c r="H56" s="431">
        <f t="shared" si="44"/>
        <v>0</v>
      </c>
      <c r="I56" s="6"/>
      <c r="J56" s="431">
        <f t="shared" si="45"/>
        <v>0</v>
      </c>
      <c r="K56" s="437">
        <f t="shared" si="46"/>
        <v>0</v>
      </c>
    </row>
    <row r="57" spans="1:15" ht="13.5">
      <c r="A57" s="383">
        <f>Gen!B22</f>
        <v>43902</v>
      </c>
      <c r="B57" s="20"/>
      <c r="C57" s="63"/>
      <c r="D57" s="431">
        <f t="shared" si="42"/>
        <v>0</v>
      </c>
      <c r="E57" s="6"/>
      <c r="F57" s="431">
        <f t="shared" si="43"/>
        <v>0</v>
      </c>
      <c r="G57" s="646"/>
      <c r="H57" s="431">
        <f t="shared" si="44"/>
        <v>0</v>
      </c>
      <c r="I57" s="6"/>
      <c r="J57" s="431">
        <f t="shared" si="45"/>
        <v>0</v>
      </c>
      <c r="K57" s="437">
        <f t="shared" si="46"/>
        <v>0</v>
      </c>
    </row>
    <row r="58" spans="1:15" ht="13.5">
      <c r="A58" s="383">
        <f>Gen!B23</f>
        <v>43903</v>
      </c>
      <c r="B58" s="20"/>
      <c r="C58" s="63"/>
      <c r="D58" s="431">
        <f t="shared" si="42"/>
        <v>0</v>
      </c>
      <c r="E58" s="6"/>
      <c r="F58" s="431">
        <f t="shared" si="43"/>
        <v>0</v>
      </c>
      <c r="G58" s="646"/>
      <c r="H58" s="431">
        <f t="shared" si="44"/>
        <v>0</v>
      </c>
      <c r="I58" s="6"/>
      <c r="J58" s="431">
        <f t="shared" si="45"/>
        <v>0</v>
      </c>
      <c r="K58" s="437">
        <f t="shared" si="46"/>
        <v>0</v>
      </c>
    </row>
    <row r="59" spans="1:15" ht="13.5">
      <c r="A59" s="383">
        <f>Gen!B24</f>
        <v>43904</v>
      </c>
      <c r="B59" s="20"/>
      <c r="C59" s="63"/>
      <c r="D59" s="431">
        <f t="shared" si="42"/>
        <v>0</v>
      </c>
      <c r="E59" s="6"/>
      <c r="F59" s="431">
        <f t="shared" si="43"/>
        <v>0</v>
      </c>
      <c r="G59" s="646"/>
      <c r="H59" s="431">
        <f t="shared" si="44"/>
        <v>0</v>
      </c>
      <c r="I59" s="6"/>
      <c r="J59" s="431">
        <f t="shared" si="45"/>
        <v>0</v>
      </c>
      <c r="K59" s="437">
        <f t="shared" si="46"/>
        <v>0</v>
      </c>
    </row>
    <row r="60" spans="1:15" ht="13.5">
      <c r="A60" s="383">
        <f>Gen!B25</f>
        <v>43905</v>
      </c>
      <c r="B60" s="20"/>
      <c r="C60" s="63"/>
      <c r="D60" s="431">
        <f t="shared" si="42"/>
        <v>0</v>
      </c>
      <c r="E60" s="6"/>
      <c r="F60" s="431">
        <f t="shared" si="43"/>
        <v>0</v>
      </c>
      <c r="G60" s="646"/>
      <c r="H60" s="431">
        <f t="shared" si="44"/>
        <v>0</v>
      </c>
      <c r="I60" s="6"/>
      <c r="J60" s="431">
        <f t="shared" si="45"/>
        <v>0</v>
      </c>
      <c r="K60" s="437">
        <f t="shared" si="46"/>
        <v>0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/>
      <c r="D61" s="431">
        <f t="shared" si="42"/>
        <v>0</v>
      </c>
      <c r="E61" s="6"/>
      <c r="F61" s="431">
        <f t="shared" si="43"/>
        <v>0</v>
      </c>
      <c r="G61" s="646"/>
      <c r="H61" s="431">
        <f t="shared" si="44"/>
        <v>0</v>
      </c>
      <c r="I61" s="6"/>
      <c r="J61" s="431">
        <f t="shared" si="45"/>
        <v>0</v>
      </c>
      <c r="K61" s="437">
        <f t="shared" si="46"/>
        <v>0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/>
      <c r="D62" s="431">
        <f t="shared" si="42"/>
        <v>0</v>
      </c>
      <c r="E62" s="6"/>
      <c r="F62" s="431">
        <f t="shared" si="43"/>
        <v>0</v>
      </c>
      <c r="G62" s="646"/>
      <c r="H62" s="431">
        <f t="shared" si="44"/>
        <v>0</v>
      </c>
      <c r="I62" s="6"/>
      <c r="J62" s="431">
        <f t="shared" si="45"/>
        <v>0</v>
      </c>
      <c r="K62" s="437">
        <f t="shared" si="46"/>
        <v>0</v>
      </c>
    </row>
    <row r="63" spans="1:15" ht="13.5">
      <c r="A63" s="383">
        <f>Gen!B28</f>
        <v>43908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6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43909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6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43910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6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43911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6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43912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6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6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6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6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6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6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6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6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6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6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6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3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5">
        <v>42095</v>
      </c>
      <c r="B4" s="656">
        <v>0</v>
      </c>
      <c r="C4" s="455">
        <v>193</v>
      </c>
      <c r="D4" s="657">
        <f>C4-B4</f>
        <v>193</v>
      </c>
      <c r="E4" s="658">
        <v>0</v>
      </c>
      <c r="F4" s="659">
        <v>0</v>
      </c>
      <c r="G4" s="456">
        <f>F4-E4</f>
        <v>0</v>
      </c>
    </row>
    <row r="5" spans="1:7" ht="12" customHeight="1">
      <c r="A5" s="322">
        <v>42125</v>
      </c>
      <c r="B5" s="660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60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60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60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60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60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60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60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60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60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60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60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60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60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60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60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60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60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60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60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60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60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60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60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60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60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60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60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60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60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60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60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60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60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60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60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60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60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60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60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60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60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60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60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60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60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60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60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60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60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60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60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60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60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60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60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60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60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60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60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60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60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60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60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60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60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60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60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60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60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60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60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60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60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60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60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60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60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60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60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60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60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60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60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60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60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60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60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60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60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60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60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60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60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61">
        <f t="shared" si="6"/>
        <v>0</v>
      </c>
      <c r="C99" s="8"/>
      <c r="D99" s="662">
        <f t="shared" si="4"/>
        <v>0</v>
      </c>
      <c r="E99" s="663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2"/>
      <c r="H1" s="363" t="s">
        <v>233</v>
      </c>
      <c r="I1" s="363"/>
      <c r="J1" s="362"/>
      <c r="K1" s="362"/>
    </row>
    <row r="2" spans="1:12" ht="39" thickBot="1">
      <c r="A2" s="664" t="s">
        <v>7</v>
      </c>
      <c r="B2" s="665" t="s">
        <v>178</v>
      </c>
      <c r="C2" s="665" t="s">
        <v>179</v>
      </c>
      <c r="D2" s="666" t="s">
        <v>196</v>
      </c>
      <c r="E2" s="666" t="s">
        <v>238</v>
      </c>
      <c r="F2" s="667" t="s">
        <v>216</v>
      </c>
      <c r="G2" s="668" t="s">
        <v>234</v>
      </c>
      <c r="H2" s="669" t="s">
        <v>235</v>
      </c>
      <c r="I2" s="670" t="s">
        <v>236</v>
      </c>
      <c r="J2" s="669" t="s">
        <v>237</v>
      </c>
      <c r="K2" s="669" t="s">
        <v>216</v>
      </c>
      <c r="L2" s="671" t="s">
        <v>197</v>
      </c>
    </row>
    <row r="3" spans="1:12">
      <c r="A3" s="345">
        <v>42430</v>
      </c>
      <c r="B3" s="672">
        <v>5000778</v>
      </c>
      <c r="C3" s="673">
        <v>5057715</v>
      </c>
      <c r="D3" s="674">
        <f>C3-B3</f>
        <v>56937</v>
      </c>
      <c r="E3" s="542"/>
      <c r="F3" s="675"/>
      <c r="G3" s="676">
        <f>H3</f>
        <v>0</v>
      </c>
      <c r="H3" s="677"/>
      <c r="I3" s="678">
        <f>H3-G3</f>
        <v>0</v>
      </c>
      <c r="J3" s="677"/>
      <c r="K3" s="679">
        <f>I3-J3</f>
        <v>0</v>
      </c>
      <c r="L3" s="680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81"/>
      <c r="G4" s="682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83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81"/>
      <c r="G5" s="682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83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81"/>
      <c r="G6" s="682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83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81"/>
      <c r="G7" s="682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83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81">
        <f t="shared" ref="F8:F71" si="5">D8-E8</f>
        <v>18</v>
      </c>
      <c r="G8" s="682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83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81">
        <f t="shared" si="5"/>
        <v>-117.49999999999272</v>
      </c>
      <c r="G9" s="682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83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84">
        <v>76057.09</v>
      </c>
      <c r="F10" s="681">
        <f t="shared" si="5"/>
        <v>-1357.0899999999965</v>
      </c>
      <c r="G10" s="682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83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84">
        <v>73462.489999999991</v>
      </c>
      <c r="F11" s="681">
        <f t="shared" si="5"/>
        <v>23.510000000009313</v>
      </c>
      <c r="G11" s="682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83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81">
        <f t="shared" si="5"/>
        <v>0.80000000000291038</v>
      </c>
      <c r="G12" s="682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83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81">
        <f t="shared" si="5"/>
        <v>2.930000000000291</v>
      </c>
      <c r="G13" s="682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83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81">
        <f t="shared" si="5"/>
        <v>-0.90000000000145519</v>
      </c>
      <c r="G14" s="682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83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5">
        <v>66820.89</v>
      </c>
      <c r="F15" s="681">
        <f t="shared" si="5"/>
        <v>0.11000000000058208</v>
      </c>
      <c r="G15" s="682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83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81">
        <f t="shared" si="5"/>
        <v>0.62000000000261934</v>
      </c>
      <c r="G16" s="682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83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81">
        <f t="shared" si="5"/>
        <v>3.5299999999988358</v>
      </c>
      <c r="G17" s="682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83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81">
        <f t="shared" si="5"/>
        <v>-0.60000000000582077</v>
      </c>
      <c r="G18" s="682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83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81">
        <f t="shared" si="5"/>
        <v>0</v>
      </c>
      <c r="G19" s="682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83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81">
        <f t="shared" si="5"/>
        <v>1.1000000000058208</v>
      </c>
      <c r="G20" s="682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83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81">
        <f t="shared" si="5"/>
        <v>0.37999999999738066</v>
      </c>
      <c r="G21" s="682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83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81">
        <f t="shared" si="5"/>
        <v>3.2100000000064028</v>
      </c>
      <c r="G22" s="682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83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81">
        <f t="shared" si="5"/>
        <v>0.48999999999796273</v>
      </c>
      <c r="G23" s="682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83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81">
        <f t="shared" si="5"/>
        <v>-1.1399999999994179</v>
      </c>
      <c r="G24" s="682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83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81">
        <f t="shared" si="5"/>
        <v>-1.7700000000040745</v>
      </c>
      <c r="G25" s="682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83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81">
        <f t="shared" si="5"/>
        <v>0.97000000000116415</v>
      </c>
      <c r="G26" s="682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83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81">
        <f t="shared" si="5"/>
        <v>0.25</v>
      </c>
      <c r="G27" s="682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83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81">
        <f t="shared" si="5"/>
        <v>0.72000000000116415</v>
      </c>
      <c r="G28" s="682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83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81">
        <f t="shared" si="5"/>
        <v>0.52999999999883585</v>
      </c>
      <c r="G29" s="682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83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81">
        <f t="shared" si="5"/>
        <v>0.71000000000640284</v>
      </c>
      <c r="G30" s="682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83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81">
        <f t="shared" si="5"/>
        <v>-0.25</v>
      </c>
      <c r="G31" s="682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83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81">
        <f t="shared" si="5"/>
        <v>-1.5599999999976717</v>
      </c>
      <c r="G32" s="682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83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81">
        <f t="shared" si="5"/>
        <v>-1.9600000000064028</v>
      </c>
      <c r="G33" s="682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83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81">
        <f t="shared" si="5"/>
        <v>1.1600000000034925</v>
      </c>
      <c r="G34" s="682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83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81">
        <f t="shared" si="5"/>
        <v>0.11999999999534339</v>
      </c>
      <c r="G35" s="682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83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81">
        <f t="shared" si="5"/>
        <v>0.77999999999883585</v>
      </c>
      <c r="G36" s="682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83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81">
        <f t="shared" si="5"/>
        <v>1.1399999999994179</v>
      </c>
      <c r="G37" s="682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83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81">
        <f t="shared" si="5"/>
        <v>0.73000000000320142</v>
      </c>
      <c r="G38" s="682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83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81">
        <f t="shared" si="5"/>
        <v>1.3500000000058208</v>
      </c>
      <c r="G39" s="682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83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81">
        <f t="shared" si="5"/>
        <v>0.42999999999301508</v>
      </c>
      <c r="G40" s="682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83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81">
        <f t="shared" si="5"/>
        <v>-0.47999999999592546</v>
      </c>
      <c r="G41" s="682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83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81">
        <f>D42-E42</f>
        <v>5.8000000000029104</v>
      </c>
      <c r="G42" s="682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83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81">
        <f t="shared" si="5"/>
        <v>0.74000000000523869</v>
      </c>
      <c r="G43" s="682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83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81">
        <f>D44-E44</f>
        <v>-0.60000000000582077</v>
      </c>
      <c r="G44" s="682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83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81">
        <f t="shared" si="5"/>
        <v>0.69000000000232831</v>
      </c>
      <c r="G45" s="682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83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81">
        <f t="shared" si="5"/>
        <v>0.75999999999476131</v>
      </c>
      <c r="G46" s="682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83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81">
        <f t="shared" si="5"/>
        <v>1.5599999999976717</v>
      </c>
      <c r="G47" s="682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83">
        <f t="shared" si="6"/>
        <v>66374</v>
      </c>
    </row>
    <row r="48" spans="1:12">
      <c r="A48" s="322">
        <v>43800</v>
      </c>
      <c r="B48" s="419">
        <f t="shared" si="3"/>
        <v>8069975</v>
      </c>
      <c r="C48" s="686">
        <v>8103174</v>
      </c>
      <c r="D48" s="526">
        <f t="shared" si="0"/>
        <v>33199</v>
      </c>
      <c r="E48" s="687">
        <v>33228.35</v>
      </c>
      <c r="F48" s="688">
        <f t="shared" si="5"/>
        <v>-29.349999999998545</v>
      </c>
      <c r="G48" s="682">
        <f t="shared" si="4"/>
        <v>235486</v>
      </c>
      <c r="H48" s="686">
        <v>241845</v>
      </c>
      <c r="I48" s="357">
        <f t="shared" si="1"/>
        <v>6359</v>
      </c>
      <c r="J48" s="686">
        <v>6359.28</v>
      </c>
      <c r="K48" s="689">
        <f t="shared" si="2"/>
        <v>-0.27999999999974534</v>
      </c>
      <c r="L48" s="683">
        <f t="shared" si="6"/>
        <v>39558</v>
      </c>
    </row>
    <row r="49" spans="1:12">
      <c r="A49" s="322">
        <v>43831</v>
      </c>
      <c r="B49" s="419">
        <f t="shared" si="3"/>
        <v>8103174</v>
      </c>
      <c r="C49" s="324"/>
      <c r="D49" s="526">
        <f t="shared" si="0"/>
        <v>-8103174</v>
      </c>
      <c r="E49" s="324"/>
      <c r="F49" s="681">
        <f t="shared" si="5"/>
        <v>-8103174</v>
      </c>
      <c r="G49" s="682">
        <f t="shared" si="4"/>
        <v>241845</v>
      </c>
      <c r="H49" s="324"/>
      <c r="I49" s="357">
        <f t="shared" si="1"/>
        <v>-241845</v>
      </c>
      <c r="J49" s="324"/>
      <c r="K49" s="364">
        <f t="shared" si="2"/>
        <v>-241845</v>
      </c>
      <c r="L49" s="683">
        <f t="shared" si="6"/>
        <v>-8345019</v>
      </c>
    </row>
    <row r="50" spans="1:12">
      <c r="A50" s="322">
        <v>43862</v>
      </c>
      <c r="B50" s="419">
        <f t="shared" si="3"/>
        <v>0</v>
      </c>
      <c r="C50" s="324"/>
      <c r="D50" s="526">
        <f t="shared" si="0"/>
        <v>0</v>
      </c>
      <c r="E50" s="324"/>
      <c r="F50" s="681">
        <f t="shared" si="5"/>
        <v>0</v>
      </c>
      <c r="G50" s="682">
        <f t="shared" si="4"/>
        <v>0</v>
      </c>
      <c r="H50" s="324"/>
      <c r="I50" s="357">
        <f t="shared" si="1"/>
        <v>0</v>
      </c>
      <c r="J50" s="324"/>
      <c r="K50" s="364">
        <f t="shared" si="2"/>
        <v>0</v>
      </c>
      <c r="L50" s="683">
        <f t="shared" si="6"/>
        <v>0</v>
      </c>
    </row>
    <row r="51" spans="1:12">
      <c r="A51" s="322">
        <v>43891</v>
      </c>
      <c r="B51" s="419">
        <f t="shared" si="3"/>
        <v>0</v>
      </c>
      <c r="C51" s="324"/>
      <c r="D51" s="526">
        <f t="shared" si="0"/>
        <v>0</v>
      </c>
      <c r="E51" s="324"/>
      <c r="F51" s="681">
        <f t="shared" si="5"/>
        <v>0</v>
      </c>
      <c r="G51" s="682">
        <f t="shared" si="4"/>
        <v>0</v>
      </c>
      <c r="H51" s="324"/>
      <c r="I51" s="357">
        <f t="shared" si="1"/>
        <v>0</v>
      </c>
      <c r="J51" s="324"/>
      <c r="K51" s="364">
        <f t="shared" si="2"/>
        <v>0</v>
      </c>
      <c r="L51" s="683">
        <f t="shared" si="6"/>
        <v>0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81">
        <f t="shared" si="5"/>
        <v>0</v>
      </c>
      <c r="G52" s="682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83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81">
        <f t="shared" si="5"/>
        <v>0</v>
      </c>
      <c r="G53" s="682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83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81">
        <f t="shared" si="5"/>
        <v>0</v>
      </c>
      <c r="G54" s="682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83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81">
        <f t="shared" si="5"/>
        <v>0</v>
      </c>
      <c r="G55" s="682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83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81">
        <f t="shared" si="5"/>
        <v>0</v>
      </c>
      <c r="G56" s="682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83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81">
        <f t="shared" si="5"/>
        <v>0</v>
      </c>
      <c r="G57" s="682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83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81">
        <f t="shared" si="5"/>
        <v>0</v>
      </c>
      <c r="G58" s="682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83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81">
        <f t="shared" si="5"/>
        <v>0</v>
      </c>
      <c r="G59" s="682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83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81">
        <f t="shared" si="5"/>
        <v>0</v>
      </c>
      <c r="G60" s="682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83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81">
        <f t="shared" si="5"/>
        <v>0</v>
      </c>
      <c r="G61" s="682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83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81">
        <f t="shared" si="5"/>
        <v>0</v>
      </c>
      <c r="G62" s="682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83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81">
        <f t="shared" si="5"/>
        <v>0</v>
      </c>
      <c r="G63" s="682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83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81">
        <f t="shared" si="5"/>
        <v>0</v>
      </c>
      <c r="G64" s="682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83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81">
        <f t="shared" si="5"/>
        <v>0</v>
      </c>
      <c r="G65" s="682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83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81">
        <f t="shared" si="5"/>
        <v>0</v>
      </c>
      <c r="G66" s="682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83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81">
        <f t="shared" si="5"/>
        <v>0</v>
      </c>
      <c r="G67" s="682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83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6" si="7">C68-B68</f>
        <v>0</v>
      </c>
      <c r="E68" s="324"/>
      <c r="F68" s="681">
        <f t="shared" si="5"/>
        <v>0</v>
      </c>
      <c r="G68" s="682">
        <f t="shared" si="4"/>
        <v>0</v>
      </c>
      <c r="H68" s="324"/>
      <c r="I68" s="357">
        <f t="shared" ref="I68:I86" si="8">H68-G68</f>
        <v>0</v>
      </c>
      <c r="J68" s="324"/>
      <c r="K68" s="364">
        <f t="shared" ref="K68:K86" si="9">I68-J68</f>
        <v>0</v>
      </c>
      <c r="L68" s="683">
        <f t="shared" si="6"/>
        <v>0</v>
      </c>
    </row>
    <row r="69" spans="1:12">
      <c r="A69" s="322">
        <v>44440</v>
      </c>
      <c r="B69" s="419">
        <f t="shared" ref="B69:B86" si="10">C68</f>
        <v>0</v>
      </c>
      <c r="C69" s="324"/>
      <c r="D69" s="526">
        <f t="shared" si="7"/>
        <v>0</v>
      </c>
      <c r="E69" s="324"/>
      <c r="F69" s="681">
        <f t="shared" si="5"/>
        <v>0</v>
      </c>
      <c r="G69" s="682">
        <f t="shared" ref="G69:G86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83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81">
        <f t="shared" si="5"/>
        <v>0</v>
      </c>
      <c r="G70" s="682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83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81">
        <f t="shared" si="5"/>
        <v>0</v>
      </c>
      <c r="G71" s="682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83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81">
        <f t="shared" ref="F72:F86" si="12">D72-E72</f>
        <v>0</v>
      </c>
      <c r="G72" s="682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83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81">
        <f t="shared" si="12"/>
        <v>0</v>
      </c>
      <c r="G73" s="682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83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81">
        <f t="shared" si="12"/>
        <v>0</v>
      </c>
      <c r="G74" s="682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83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81">
        <f t="shared" si="12"/>
        <v>0</v>
      </c>
      <c r="G75" s="682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83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81">
        <f t="shared" si="12"/>
        <v>0</v>
      </c>
      <c r="G76" s="682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83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81">
        <f t="shared" si="12"/>
        <v>0</v>
      </c>
      <c r="G77" s="682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83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81">
        <f t="shared" si="12"/>
        <v>0</v>
      </c>
      <c r="G78" s="682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83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81">
        <f t="shared" si="12"/>
        <v>0</v>
      </c>
      <c r="G79" s="682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83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81">
        <f t="shared" si="12"/>
        <v>0</v>
      </c>
      <c r="G80" s="682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83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81">
        <f t="shared" si="12"/>
        <v>0</v>
      </c>
      <c r="G81" s="682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83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81">
        <f t="shared" si="12"/>
        <v>0</v>
      </c>
      <c r="G82" s="682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83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81">
        <f t="shared" si="12"/>
        <v>0</v>
      </c>
      <c r="G83" s="682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83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81">
        <f t="shared" si="12"/>
        <v>0</v>
      </c>
      <c r="G84" s="682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83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81">
        <f t="shared" si="12"/>
        <v>0</v>
      </c>
      <c r="G85" s="682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83">
        <f t="shared" ref="L85:L86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81">
        <f t="shared" si="12"/>
        <v>0</v>
      </c>
      <c r="G86" s="682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83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G7" sqref="G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43891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4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186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</v>
      </c>
      <c r="C7" s="599">
        <f>Gen!AK13</f>
        <v>0</v>
      </c>
      <c r="D7" s="600">
        <f>Gen!T13</f>
        <v>0</v>
      </c>
      <c r="E7" s="529">
        <f>Gen!D13</f>
        <v>45327.450000000004</v>
      </c>
      <c r="F7" s="530" t="str">
        <f>'Water-Meter'!E8</f>
        <v>0</v>
      </c>
      <c r="G7" s="531">
        <f>'Water-Meter'!AN8</f>
        <v>0</v>
      </c>
      <c r="H7" s="529">
        <f>'Utility report '!AC8</f>
        <v>-27359</v>
      </c>
      <c r="I7" s="528">
        <f>'Kit report'!F6</f>
        <v>-1026612</v>
      </c>
      <c r="J7" s="529">
        <f>'Kit report'!X6</f>
        <v>-1545440</v>
      </c>
    </row>
    <row r="8" spans="1:10" ht="17.100000000000001" customHeight="1">
      <c r="A8" s="290">
        <v>43894</v>
      </c>
      <c r="B8" s="533">
        <f>Gen!C14</f>
        <v>0</v>
      </c>
      <c r="C8" s="599">
        <f>Gen!AK14</f>
        <v>0</v>
      </c>
      <c r="D8" s="600">
        <f>Gen!T14</f>
        <v>0</v>
      </c>
      <c r="E8" s="529">
        <f>Gen!D14</f>
        <v>45327.450000000004</v>
      </c>
      <c r="F8" s="530">
        <f>'Water-Meter'!E9</f>
        <v>0</v>
      </c>
      <c r="G8" s="531">
        <f>'Water-Meter'!AN9</f>
        <v>0</v>
      </c>
      <c r="H8" s="529">
        <f>'Utility report '!AC9</f>
        <v>0</v>
      </c>
      <c r="I8" s="528">
        <f>'Kit report'!F7</f>
        <v>0</v>
      </c>
      <c r="J8" s="529">
        <f>'Kit report'!X7</f>
        <v>0</v>
      </c>
    </row>
    <row r="9" spans="1:10" ht="17.100000000000001" customHeight="1">
      <c r="A9" s="290">
        <v>43895</v>
      </c>
      <c r="B9" s="533">
        <f>Gen!C15</f>
        <v>0</v>
      </c>
      <c r="C9" s="599">
        <f>Gen!AK15</f>
        <v>0</v>
      </c>
      <c r="D9" s="600">
        <f>Gen!T15</f>
        <v>0</v>
      </c>
      <c r="E9" s="529">
        <f>Gen!D15</f>
        <v>45327.450000000004</v>
      </c>
      <c r="F9" s="530">
        <f>'Water-Meter'!E10</f>
        <v>0</v>
      </c>
      <c r="G9" s="531">
        <f>'Water-Meter'!AN10</f>
        <v>0</v>
      </c>
      <c r="H9" s="529">
        <f>'Utility report '!AC10</f>
        <v>0</v>
      </c>
      <c r="I9" s="528">
        <f>'Kit report'!F8</f>
        <v>0</v>
      </c>
      <c r="J9" s="529">
        <f>'Kit report'!X8</f>
        <v>0</v>
      </c>
    </row>
    <row r="10" spans="1:10" ht="17.100000000000001" customHeight="1">
      <c r="A10" s="290">
        <v>43896</v>
      </c>
      <c r="B10" s="533">
        <f>Gen!C16</f>
        <v>0</v>
      </c>
      <c r="C10" s="599">
        <f>Gen!AK16</f>
        <v>0</v>
      </c>
      <c r="D10" s="600">
        <f>Gen!T16</f>
        <v>0</v>
      </c>
      <c r="E10" s="529">
        <f>Gen!D16</f>
        <v>45327.450000000004</v>
      </c>
      <c r="F10" s="530">
        <f>'Water-Meter'!E11</f>
        <v>0</v>
      </c>
      <c r="G10" s="531">
        <f>'Water-Meter'!AN11</f>
        <v>0</v>
      </c>
      <c r="H10" s="529">
        <f>'Utility report '!AC11</f>
        <v>0</v>
      </c>
      <c r="I10" s="528">
        <f>'Kit report'!F9</f>
        <v>0</v>
      </c>
      <c r="J10" s="529">
        <f>'Kit report'!X9</f>
        <v>0</v>
      </c>
    </row>
    <row r="11" spans="1:10" ht="17.100000000000001" customHeight="1">
      <c r="A11" s="290">
        <v>43897</v>
      </c>
      <c r="B11" s="533">
        <f>Gen!C17</f>
        <v>0</v>
      </c>
      <c r="C11" s="599">
        <f>Gen!AK17</f>
        <v>0</v>
      </c>
      <c r="D11" s="600">
        <f>Gen!T17</f>
        <v>0</v>
      </c>
      <c r="E11" s="529">
        <f>Gen!D17</f>
        <v>45327.450000000004</v>
      </c>
      <c r="F11" s="530">
        <f>'Water-Meter'!E12</f>
        <v>0</v>
      </c>
      <c r="G11" s="531">
        <f>'Water-Meter'!AN12</f>
        <v>0</v>
      </c>
      <c r="H11" s="529">
        <f>'Utility report '!AC12</f>
        <v>0</v>
      </c>
      <c r="I11" s="528">
        <f>'Kit report'!F10</f>
        <v>0</v>
      </c>
      <c r="J11" s="529">
        <f>'Kit report'!X10</f>
        <v>0</v>
      </c>
    </row>
    <row r="12" spans="1:10" ht="17.100000000000001" customHeight="1">
      <c r="A12" s="290">
        <v>43898</v>
      </c>
      <c r="B12" s="533">
        <f>Gen!C18</f>
        <v>0</v>
      </c>
      <c r="C12" s="599">
        <f>Gen!AK18</f>
        <v>0</v>
      </c>
      <c r="D12" s="600">
        <f>Gen!T18</f>
        <v>0</v>
      </c>
      <c r="E12" s="529">
        <f>Gen!D18</f>
        <v>45327.450000000004</v>
      </c>
      <c r="F12" s="530">
        <f>'Water-Meter'!E13</f>
        <v>0</v>
      </c>
      <c r="G12" s="531">
        <f>'Water-Meter'!AN13</f>
        <v>0</v>
      </c>
      <c r="H12" s="529">
        <f>'Utility report '!AC13</f>
        <v>0</v>
      </c>
      <c r="I12" s="528">
        <f>'Kit report'!F11</f>
        <v>0</v>
      </c>
      <c r="J12" s="529">
        <f>'Kit report'!X11</f>
        <v>0</v>
      </c>
    </row>
    <row r="13" spans="1:10" ht="17.100000000000001" customHeight="1">
      <c r="A13" s="290">
        <v>43899</v>
      </c>
      <c r="B13" s="533">
        <f>Gen!C19</f>
        <v>0</v>
      </c>
      <c r="C13" s="599">
        <f>Gen!AK19</f>
        <v>0</v>
      </c>
      <c r="D13" s="600">
        <f>Gen!T19</f>
        <v>0</v>
      </c>
      <c r="E13" s="529">
        <f>Gen!D19</f>
        <v>45327.450000000004</v>
      </c>
      <c r="F13" s="530">
        <f>'Water-Meter'!E14</f>
        <v>0</v>
      </c>
      <c r="G13" s="531">
        <f>'Water-Meter'!AN14</f>
        <v>0</v>
      </c>
      <c r="H13" s="529">
        <f>'Utility report '!AC14</f>
        <v>0</v>
      </c>
      <c r="I13" s="528">
        <f>'Kit report'!F12</f>
        <v>0</v>
      </c>
      <c r="J13" s="529">
        <f>'Kit report'!X12</f>
        <v>0</v>
      </c>
    </row>
    <row r="14" spans="1:10" ht="17.100000000000001" customHeight="1">
      <c r="A14" s="290">
        <v>43900</v>
      </c>
      <c r="B14" s="533">
        <f>Gen!C20</f>
        <v>0</v>
      </c>
      <c r="C14" s="599">
        <f>Gen!AK20</f>
        <v>0</v>
      </c>
      <c r="D14" s="600">
        <f>Gen!T20</f>
        <v>0</v>
      </c>
      <c r="E14" s="529">
        <f>Gen!D20</f>
        <v>45327.450000000004</v>
      </c>
      <c r="F14" s="530">
        <f>'Water-Meter'!E15</f>
        <v>0</v>
      </c>
      <c r="G14" s="531">
        <f>'Water-Meter'!AN15</f>
        <v>0</v>
      </c>
      <c r="H14" s="529">
        <f>'Utility report '!AC15</f>
        <v>0</v>
      </c>
      <c r="I14" s="528">
        <f>'Kit report'!F13</f>
        <v>0</v>
      </c>
      <c r="J14" s="529">
        <f>'Kit report'!X13</f>
        <v>0</v>
      </c>
    </row>
    <row r="15" spans="1:10" ht="17.100000000000001" customHeight="1">
      <c r="A15" s="290">
        <v>43901</v>
      </c>
      <c r="B15" s="533">
        <f>Gen!C21</f>
        <v>0</v>
      </c>
      <c r="C15" s="599">
        <f>Gen!AK21</f>
        <v>0</v>
      </c>
      <c r="D15" s="600">
        <f>Gen!T21</f>
        <v>0</v>
      </c>
      <c r="E15" s="529">
        <f>Gen!D21</f>
        <v>45327.450000000004</v>
      </c>
      <c r="F15" s="530">
        <f>'Water-Meter'!E16</f>
        <v>0</v>
      </c>
      <c r="G15" s="531">
        <f>'Water-Meter'!AN16</f>
        <v>0</v>
      </c>
      <c r="H15" s="529">
        <f>'Utility report '!AC16</f>
        <v>0</v>
      </c>
      <c r="I15" s="528">
        <f>'Kit report'!F14</f>
        <v>0</v>
      </c>
      <c r="J15" s="529">
        <f>'Kit report'!X14</f>
        <v>0</v>
      </c>
    </row>
    <row r="16" spans="1:10" ht="17.100000000000001" customHeight="1">
      <c r="A16" s="290">
        <v>43902</v>
      </c>
      <c r="B16" s="533">
        <f>Gen!C22</f>
        <v>0</v>
      </c>
      <c r="C16" s="599">
        <f>Gen!AK22</f>
        <v>0</v>
      </c>
      <c r="D16" s="600">
        <f>Gen!T22</f>
        <v>0</v>
      </c>
      <c r="E16" s="529">
        <f>Gen!D22</f>
        <v>45327.450000000004</v>
      </c>
      <c r="F16" s="530">
        <f>'Water-Meter'!E17</f>
        <v>0</v>
      </c>
      <c r="G16" s="531">
        <f>'Water-Meter'!AN17</f>
        <v>0</v>
      </c>
      <c r="H16" s="529">
        <f>'Utility report '!AC17</f>
        <v>0</v>
      </c>
      <c r="I16" s="528">
        <f>'Kit report'!F15</f>
        <v>0</v>
      </c>
      <c r="J16" s="529">
        <f>'Kit report'!X15</f>
        <v>0</v>
      </c>
    </row>
    <row r="17" spans="1:10" ht="17.100000000000001" customHeight="1">
      <c r="A17" s="290">
        <v>43903</v>
      </c>
      <c r="B17" s="533">
        <f>Gen!C23</f>
        <v>0</v>
      </c>
      <c r="C17" s="599">
        <f>Gen!AK23</f>
        <v>0</v>
      </c>
      <c r="D17" s="600">
        <f>Gen!T23</f>
        <v>0</v>
      </c>
      <c r="E17" s="529">
        <f>Gen!D23</f>
        <v>45327.450000000004</v>
      </c>
      <c r="F17" s="530">
        <f>'Water-Meter'!E18</f>
        <v>0</v>
      </c>
      <c r="G17" s="531">
        <f>'Water-Meter'!AN18</f>
        <v>0</v>
      </c>
      <c r="H17" s="529">
        <f>'Utility report '!AC18</f>
        <v>0</v>
      </c>
      <c r="I17" s="528">
        <f>'Kit report'!F16</f>
        <v>0</v>
      </c>
      <c r="J17" s="529">
        <f>'Kit report'!X16</f>
        <v>0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0</v>
      </c>
      <c r="E18" s="529">
        <f>Gen!D24</f>
        <v>45327.450000000004</v>
      </c>
      <c r="F18" s="530">
        <f>'Water-Meter'!E19</f>
        <v>0</v>
      </c>
      <c r="G18" s="531">
        <f>'Water-Meter'!AN19</f>
        <v>0</v>
      </c>
      <c r="H18" s="529">
        <f>'Utility report '!AC19</f>
        <v>0</v>
      </c>
      <c r="I18" s="528">
        <f>'Kit report'!F17</f>
        <v>0</v>
      </c>
      <c r="J18" s="529">
        <f>'Kit report'!X17</f>
        <v>0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0</v>
      </c>
      <c r="E19" s="529">
        <f>Gen!D25</f>
        <v>45327.450000000004</v>
      </c>
      <c r="F19" s="530">
        <f>'Water-Meter'!E20</f>
        <v>0</v>
      </c>
      <c r="G19" s="531">
        <f>'Water-Meter'!AN20</f>
        <v>0</v>
      </c>
      <c r="H19" s="529">
        <f>'Utility report '!AC20</f>
        <v>0</v>
      </c>
      <c r="I19" s="528">
        <f>'Kit report'!F18</f>
        <v>0</v>
      </c>
      <c r="J19" s="529">
        <f>'Kit report'!X18</f>
        <v>0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0</v>
      </c>
      <c r="E20" s="529">
        <f>Gen!D26</f>
        <v>45327.450000000004</v>
      </c>
      <c r="F20" s="530">
        <f>'Water-Meter'!E21</f>
        <v>0</v>
      </c>
      <c r="G20" s="531">
        <f>'Water-Meter'!AN21</f>
        <v>0</v>
      </c>
      <c r="H20" s="529">
        <f>'Utility report '!AC21</f>
        <v>0</v>
      </c>
      <c r="I20" s="528">
        <f>'Kit report'!F19</f>
        <v>0</v>
      </c>
      <c r="J20" s="529">
        <f>'Kit report'!X19</f>
        <v>0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45327.450000000004</v>
      </c>
      <c r="F21" s="530">
        <f>'Water-Meter'!E22</f>
        <v>0</v>
      </c>
      <c r="G21" s="531">
        <f>'Water-Meter'!AN22</f>
        <v>0</v>
      </c>
      <c r="H21" s="529">
        <f>'Utility report '!AC22</f>
        <v>0</v>
      </c>
      <c r="I21" s="528">
        <f>'Kit report'!F20</f>
        <v>0</v>
      </c>
      <c r="J21" s="529">
        <f>'Kit report'!X20</f>
        <v>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45327.450000000004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45327.450000000004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45327.450000000004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45327.450000000004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45327.450000000004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45327.450000000004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45327.450000000004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45327.450000000004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45327.450000000004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45327.450000000004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45327.450000000004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45327.450000000004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45327.450000000004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45327.450000000004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45327.450000000004</v>
      </c>
      <c r="F36" s="530">
        <f>'Water-Meter'!E37</f>
        <v>0</v>
      </c>
      <c r="G36" s="531">
        <f>'Water-Meter'!AN37</f>
        <v>117</v>
      </c>
      <c r="H36" s="529">
        <f>'Utility report '!AC37</f>
        <v>0</v>
      </c>
      <c r="I36" s="528">
        <f>'Kit report'!F35</f>
        <v>-1025532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2020-03-03T05:49:23Z</dcterms:modified>
</cp:coreProperties>
</file>