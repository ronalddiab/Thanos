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266" documentId="13_ncr:1_{76C55D63-F869-4AF5-AAA3-3D809A91432B}" xr6:coauthVersionLast="47" xr6:coauthVersionMax="47" xr10:uidLastSave="{264ADBE4-C870-45B9-9254-9C605040EFD5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7" l="1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<sst xmlns="http://schemas.openxmlformats.org/spreadsheetml/2006/main" count="72" uniqueCount="33">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</sst>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79">
        <v>9.3200000000000005E-2</v>
      </c>
      <c r="G2" s="11">
        <f>IF('Water, Gas, Diesel'!K6&lt;0,0,'Water, Gas, Diesel'!K6)</f>
        <v>0</v>
      </c>
      <c r="H2" s="79">
        <v>0.7</v>
      </c>
      <c r="I2" s="11">
        <f>IF('Water, Gas, Diesel'!C6&lt;0,0,'Water, Gas, Diesel'!C6)</f>
        <v>3941</v>
      </c>
      <c r="J2" s="79">
        <v>0.21186441</v>
      </c>
      <c r="K2" s="11">
        <f>IF('Water, Gas, Diesel'!F6&lt;0,0,'Water, Gas, Diesel'!F6)</f>
        <v>216</v>
      </c>
      <c r="L2" s="79">
        <v>1.6949000000000001</v>
      </c>
      <c r="M2" s="11">
        <f>Electricity!H8</f>
        <v>86</v>
      </c>
      <c r="O2" s="102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79">
        <v>9.3200000000000005E-2</v>
      </c>
      <c r="G3" s="11">
        <f>IF('Water, Gas, Diesel'!K7&lt;0,0,'Water, Gas, Diesel'!K7)</f>
        <v>10</v>
      </c>
      <c r="H3" s="79">
        <v>0.7</v>
      </c>
      <c r="I3" s="11">
        <f>IF('Water, Gas, Diesel'!C7&lt;0,0,'Water, Gas, Diesel'!C7)</f>
        <v>3821</v>
      </c>
      <c r="J3" s="79">
        <v>0.21186441</v>
      </c>
      <c r="K3" s="11">
        <f>IF('Water, Gas, Diesel'!F7&lt;0,0,'Water, Gas, Diesel'!F7)</f>
        <v>326</v>
      </c>
      <c r="L3" s="79">
        <v>1.6949000000000001</v>
      </c>
      <c r="M3" s="11">
        <f>Electricity!H9</f>
        <v>68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79">
        <v>9.3200000000000005E-2</v>
      </c>
      <c r="G4" s="11">
        <f>IF('Water, Gas, Diesel'!K8&lt;0,0,'Water, Gas, Diesel'!K8)</f>
        <v>0</v>
      </c>
      <c r="H4" s="79">
        <v>0.7</v>
      </c>
      <c r="I4" s="11">
        <f>IF('Water, Gas, Diesel'!C8&lt;0,0,'Water, Gas, Diesel'!C8)</f>
        <v>4956</v>
      </c>
      <c r="J4" s="79">
        <v>0.21186441</v>
      </c>
      <c r="K4" s="11">
        <f>IF('Water, Gas, Diesel'!F8&lt;0,0,'Water, Gas, Diesel'!F8)</f>
        <v>259</v>
      </c>
      <c r="L4" s="79">
        <v>1.6949000000000001</v>
      </c>
      <c r="M4" s="11">
        <f>Electricity!H10</f>
        <v>56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79">
        <v>9.3200000000000005E-2</v>
      </c>
      <c r="G5" s="11">
        <f>IF('Water, Gas, Diesel'!K9&lt;0,0,'Water, Gas, Diesel'!K9)</f>
        <v>0</v>
      </c>
      <c r="H5" s="79">
        <v>0.7</v>
      </c>
      <c r="I5" s="11">
        <f>IF('Water, Gas, Diesel'!C9&lt;0,0,'Water, Gas, Diesel'!C9)</f>
        <v>4204</v>
      </c>
      <c r="J5" s="79">
        <v>0.21186441</v>
      </c>
      <c r="K5" s="11">
        <f>IF('Water, Gas, Diesel'!F9&lt;0,0,'Water, Gas, Diesel'!F9)</f>
        <v>18</v>
      </c>
      <c r="L5" s="79">
        <v>1.6949000000000001</v>
      </c>
      <c r="M5" s="11">
        <f>Electricity!H11</f>
        <v>65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79">
        <v>9.3200000000000005E-2</v>
      </c>
      <c r="G6" s="11">
        <f>IF('Water, Gas, Diesel'!K10&lt;0,0,'Water, Gas, Diesel'!K10)</f>
        <v>0</v>
      </c>
      <c r="H6" s="79">
        <v>0.7</v>
      </c>
      <c r="I6" s="11">
        <f>IF('Water, Gas, Diesel'!C10&lt;0,0,'Water, Gas, Diesel'!C10)</f>
        <v>4039</v>
      </c>
      <c r="J6" s="79">
        <v>0.21186441</v>
      </c>
      <c r="K6" s="11">
        <f>IF('Water, Gas, Diesel'!F10&lt;0,0,'Water, Gas, Diesel'!F10)</f>
        <v>171</v>
      </c>
      <c r="L6" s="79">
        <v>1.6949000000000001</v>
      </c>
      <c r="M6" s="11">
        <f>Electricity!H12</f>
        <v>82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79">
        <v>9.3200000000000005E-2</v>
      </c>
      <c r="G7" s="11">
        <f>IF('Water, Gas, Diesel'!K11&lt;0,0,'Water, Gas, Diesel'!K11)</f>
        <v>0</v>
      </c>
      <c r="H7" s="79">
        <v>0.7</v>
      </c>
      <c r="I7" s="11">
        <f>IF('Water, Gas, Diesel'!C11&lt;0,0,'Water, Gas, Diesel'!C11)</f>
        <v>4756</v>
      </c>
      <c r="J7" s="79">
        <v>0.21186441</v>
      </c>
      <c r="K7" s="11">
        <f>IF('Water, Gas, Diesel'!F11&lt;0,0,'Water, Gas, Diesel'!F11)</f>
        <v>227</v>
      </c>
      <c r="L7" s="79">
        <v>1.6949000000000001</v>
      </c>
      <c r="M7" s="11">
        <f>Electricity!H13</f>
        <v>71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79">
        <v>9.3200000000000005E-2</v>
      </c>
      <c r="G8" s="11">
        <f>IF('Water, Gas, Diesel'!K12&lt;0,0,'Water, Gas, Diesel'!K12)</f>
        <v>0</v>
      </c>
      <c r="H8" s="79">
        <v>0.7</v>
      </c>
      <c r="I8" s="11">
        <f>IF('Water, Gas, Diesel'!C12&lt;0,0,'Water, Gas, Diesel'!C12)</f>
        <v>4763</v>
      </c>
      <c r="J8" s="79">
        <v>0.21186441</v>
      </c>
      <c r="K8" s="11">
        <f>IF('Water, Gas, Diesel'!F12&lt;0,0,'Water, Gas, Diesel'!F12)</f>
        <v>300</v>
      </c>
      <c r="L8" s="79">
        <v>1.6949000000000001</v>
      </c>
      <c r="M8" s="11">
        <f>Electricity!H14</f>
        <v>80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79">
        <v>9.3200000000000005E-2</v>
      </c>
      <c r="G9" s="11">
        <f>IF('Water, Gas, Diesel'!K13&lt;0,0,'Water, Gas, Diesel'!K13)</f>
        <v>0</v>
      </c>
      <c r="H9" s="79">
        <v>0.7</v>
      </c>
      <c r="I9" s="11">
        <f>IF('Water, Gas, Diesel'!C13&lt;0,0,'Water, Gas, Diesel'!C13)</f>
        <v>2797</v>
      </c>
      <c r="J9" s="79">
        <v>0.21186441</v>
      </c>
      <c r="K9" s="11">
        <f>IF('Water, Gas, Diesel'!F13&lt;0,0,'Water, Gas, Diesel'!F13)</f>
        <v>273</v>
      </c>
      <c r="L9" s="79">
        <v>1.6949000000000001</v>
      </c>
      <c r="M9" s="11">
        <f>Electricity!H15</f>
        <v>45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79">
        <v>9.3200000000000005E-2</v>
      </c>
      <c r="G10" s="11">
        <f>IF('Water, Gas, Diesel'!K14&lt;0,0,'Water, Gas, Diesel'!K14)</f>
        <v>0</v>
      </c>
      <c r="H10" s="79">
        <v>0.7</v>
      </c>
      <c r="I10" s="11">
        <f>IF('Water, Gas, Diesel'!C14&lt;0,0,'Water, Gas, Diesel'!C14)</f>
        <v>7254</v>
      </c>
      <c r="J10" s="79">
        <v>0.21186441</v>
      </c>
      <c r="K10" s="11">
        <f>IF('Water, Gas, Diesel'!F14&lt;0,0,'Water, Gas, Diesel'!F14)</f>
        <v>294</v>
      </c>
      <c r="L10" s="79">
        <v>1.6949000000000001</v>
      </c>
      <c r="M10" s="11">
        <f>Electricity!H16</f>
        <v>42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79">
        <v>9.3200000000000005E-2</v>
      </c>
      <c r="G11" s="11">
        <f>IF('Water, Gas, Diesel'!K15&lt;0,0,'Water, Gas, Diesel'!K15)</f>
        <v>11</v>
      </c>
      <c r="H11" s="79">
        <v>0.7</v>
      </c>
      <c r="I11" s="11">
        <f>IF('Water, Gas, Diesel'!C15&lt;0,0,'Water, Gas, Diesel'!C15)</f>
        <v>4036</v>
      </c>
      <c r="J11" s="79">
        <v>0.21186441</v>
      </c>
      <c r="K11" s="11">
        <f>IF('Water, Gas, Diesel'!F15&lt;0,0,'Water, Gas, Diesel'!F15)</f>
        <v>299</v>
      </c>
      <c r="L11" s="79">
        <v>1.6949000000000001</v>
      </c>
      <c r="M11" s="11">
        <f>Electricity!H17</f>
        <v>46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79">
        <v>9.3200000000000005E-2</v>
      </c>
      <c r="G12" s="11">
        <f>IF('Water, Gas, Diesel'!K16&lt;0,0,'Water, Gas, Diesel'!K16)</f>
        <v>0</v>
      </c>
      <c r="H12" s="79">
        <v>0.7</v>
      </c>
      <c r="I12" s="11">
        <f>IF('Water, Gas, Diesel'!C16&lt;0,0,'Water, Gas, Diesel'!C16)</f>
        <v>4973</v>
      </c>
      <c r="J12" s="79">
        <v>0.21186441</v>
      </c>
      <c r="K12" s="11">
        <f>IF('Water, Gas, Diesel'!F16&lt;0,0,'Water, Gas, Diesel'!F16)</f>
        <v>324</v>
      </c>
      <c r="L12" s="79">
        <v>1.6949000000000001</v>
      </c>
      <c r="M12" s="11">
        <f>Electricity!H18</f>
        <v>66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20525.000000002365</v>
      </c>
      <c r="F13" s="79">
        <v>9.3200000000000005E-2</v>
      </c>
      <c r="G13" s="11">
        <f>IF('Water, Gas, Diesel'!K17&lt;0,0,'Water, Gas, Diesel'!K17)</f>
        <v>0</v>
      </c>
      <c r="H13" s="79">
        <v>0.7</v>
      </c>
      <c r="I13" s="11">
        <f>IF('Water, Gas, Diesel'!C17&lt;0,0,'Water, Gas, Diesel'!C17)</f>
        <v>4328</v>
      </c>
      <c r="J13" s="79">
        <v>0.21186441</v>
      </c>
      <c r="K13" s="11">
        <f>IF('Water, Gas, Diesel'!F17&lt;0,0,'Water, Gas, Diesel'!F17)</f>
        <v>320</v>
      </c>
      <c r="L13" s="79">
        <v>1.6949000000000001</v>
      </c>
      <c r="M13" s="11">
        <f>Electricity!H19</f>
        <v>51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13159.999999998035</v>
      </c>
      <c r="F14" s="79">
        <v>9.3200000000000005E-2</v>
      </c>
      <c r="G14" s="11">
        <f>IF('Water, Gas, Diesel'!K18&lt;0,0,'Water, Gas, Diesel'!K18)</f>
        <v>0</v>
      </c>
      <c r="H14" s="79">
        <v>0.7</v>
      </c>
      <c r="I14" s="11">
        <f>IF('Water, Gas, Diesel'!C18&lt;0,0,'Water, Gas, Diesel'!C18)</f>
        <v>3890</v>
      </c>
      <c r="J14" s="79">
        <v>0.21186441</v>
      </c>
      <c r="K14" s="11">
        <f>IF('Water, Gas, Diesel'!F18&lt;0,0,'Water, Gas, Diesel'!F18)</f>
        <v>63</v>
      </c>
      <c r="L14" s="79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24684.999999999491</v>
      </c>
      <c r="F15" s="79">
        <v>9.3200000000000005E-2</v>
      </c>
      <c r="G15" s="11">
        <f>IF('Water, Gas, Diesel'!K19&lt;0,0,'Water, Gas, Diesel'!K19)</f>
        <v>0</v>
      </c>
      <c r="H15" s="79">
        <v>0.7</v>
      </c>
      <c r="I15" s="11">
        <f>IF('Water, Gas, Diesel'!C19&lt;0,0,'Water, Gas, Diesel'!C19)</f>
        <v>4261</v>
      </c>
      <c r="J15" s="79">
        <v>0.21186441</v>
      </c>
      <c r="K15" s="11">
        <f>IF('Water, Gas, Diesel'!F19&lt;0,0,'Water, Gas, Diesel'!F19)</f>
        <v>35</v>
      </c>
      <c r="L15" s="79">
        <v>1.6949000000000001</v>
      </c>
      <c r="M15" s="11">
        <f>Electricity!H21</f>
        <v>77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19655.000000002474</v>
      </c>
      <c r="F16" s="79">
        <v>9.3200000000000005E-2</v>
      </c>
      <c r="G16" s="11">
        <f>IF('Water, Gas, Diesel'!K20&lt;0,0,'Water, Gas, Diesel'!K20)</f>
        <v>0</v>
      </c>
      <c r="H16" s="79">
        <v>0.7</v>
      </c>
      <c r="I16" s="11">
        <f>IF('Water, Gas, Diesel'!C20&lt;0,0,'Water, Gas, Diesel'!C20)</f>
        <v>4516</v>
      </c>
      <c r="J16" s="79">
        <v>0.21186441</v>
      </c>
      <c r="K16" s="11">
        <f>IF('Water, Gas, Diesel'!F20&lt;0,0,'Water, Gas, Diesel'!F20)</f>
        <v>297</v>
      </c>
      <c r="L16" s="79">
        <v>1.6949000000000001</v>
      </c>
      <c r="M16" s="11">
        <f>Electricity!H22</f>
        <v>71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18382.500000002437</v>
      </c>
      <c r="F17" s="79">
        <v>9.3200000000000005E-2</v>
      </c>
      <c r="G17" s="11">
        <f>IF('Water, Gas, Diesel'!K21&lt;0,0,'Water, Gas, Diesel'!K21)</f>
        <v>0</v>
      </c>
      <c r="H17" s="79">
        <v>0.7</v>
      </c>
      <c r="I17" s="11">
        <f>IF('Water, Gas, Diesel'!C21&lt;0,0,'Water, Gas, Diesel'!C21)</f>
        <v>4417</v>
      </c>
      <c r="J17" s="79">
        <v>0.21186441</v>
      </c>
      <c r="K17" s="11">
        <f>IF('Water, Gas, Diesel'!F21&lt;0,0,'Water, Gas, Diesel'!F21)</f>
        <v>299</v>
      </c>
      <c r="L17" s="79">
        <v>1.6949000000000001</v>
      </c>
      <c r="M17" s="11">
        <f>Electricity!H23</f>
        <v>79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21749.999999992724</v>
      </c>
      <c r="F18" s="79">
        <v>9.3200000000000005E-2</v>
      </c>
      <c r="G18" s="11">
        <f>IF('Water, Gas, Diesel'!K22&lt;0,0,'Water, Gas, Diesel'!K22)</f>
        <v>0</v>
      </c>
      <c r="H18" s="79">
        <v>0.7</v>
      </c>
      <c r="I18" s="11">
        <f>IF('Water, Gas, Diesel'!C22&lt;0,0,'Water, Gas, Diesel'!C22)</f>
        <v>4056</v>
      </c>
      <c r="J18" s="79">
        <v>0.21186441</v>
      </c>
      <c r="K18" s="11">
        <f>IF('Water, Gas, Diesel'!F22&lt;0,0,'Water, Gas, Diesel'!F22)</f>
        <v>298</v>
      </c>
      <c r="L18" s="79">
        <v>1.6949000000000001</v>
      </c>
      <c r="M18" s="11">
        <f>Electricity!H24</f>
        <v>62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17930.000000001201</v>
      </c>
      <c r="F19" s="79">
        <v>9.3200000000000005E-2</v>
      </c>
      <c r="G19" s="11">
        <f>IF('Water, Gas, Diesel'!K23&lt;0,0,'Water, Gas, Diesel'!K23)</f>
        <v>0</v>
      </c>
      <c r="H19" s="79">
        <v>0.7</v>
      </c>
      <c r="I19" s="11">
        <f>IF('Water, Gas, Diesel'!C23&lt;0,0,'Water, Gas, Diesel'!C23)</f>
        <v>3796</v>
      </c>
      <c r="J19" s="79">
        <v>0.21186441</v>
      </c>
      <c r="K19" s="11">
        <f>IF('Water, Gas, Diesel'!F23&lt;0,0,'Water, Gas, Diesel'!F23)</f>
        <v>304</v>
      </c>
      <c r="L19" s="79">
        <v>1.6949000000000001</v>
      </c>
      <c r="M19" s="11">
        <f>Electricity!H25</f>
        <v>78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17935.000000002219</v>
      </c>
      <c r="F20" s="79">
        <v>9.3200000000000005E-2</v>
      </c>
      <c r="G20" s="11">
        <f>IF('Water, Gas, Diesel'!K24&lt;0,0,'Water, Gas, Diesel'!K24)</f>
        <v>0</v>
      </c>
      <c r="H20" s="79">
        <v>0.7</v>
      </c>
      <c r="I20" s="11">
        <f>IF('Water, Gas, Diesel'!C24&lt;0,0,'Water, Gas, Diesel'!C24)</f>
        <v>3561</v>
      </c>
      <c r="J20" s="79">
        <v>0.21186441</v>
      </c>
      <c r="K20" s="11">
        <f>IF('Water, Gas, Diesel'!F24&lt;0,0,'Water, Gas, Diesel'!F24)</f>
        <v>0</v>
      </c>
      <c r="L20" s="79">
        <v>1.6949000000000001</v>
      </c>
      <c r="M20" s="11">
        <f>Electricity!H26</f>
        <v>45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18132.49999999698</v>
      </c>
      <c r="F21" s="79">
        <v>9.3200000000000005E-2</v>
      </c>
      <c r="G21" s="11">
        <f>IF('Water, Gas, Diesel'!K25&lt;0,0,'Water, Gas, Diesel'!K25)</f>
        <v>0</v>
      </c>
      <c r="H21" s="79">
        <v>0.7</v>
      </c>
      <c r="I21" s="11">
        <f>IF('Water, Gas, Diesel'!C25&lt;0,0,'Water, Gas, Diesel'!C25)</f>
        <v>3665</v>
      </c>
      <c r="J21" s="79">
        <v>0.21186441</v>
      </c>
      <c r="K21" s="11">
        <f>IF('Water, Gas, Diesel'!F25&lt;0,0,'Water, Gas, Diesel'!F25)</f>
        <v>265</v>
      </c>
      <c r="L21" s="79">
        <v>1.6949000000000001</v>
      </c>
      <c r="M21" s="11">
        <f>Electricity!H27</f>
        <v>42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17654.999999999745</v>
      </c>
      <c r="F22" s="79">
        <v>9.3200000000000005E-2</v>
      </c>
      <c r="G22" s="11">
        <f>IF('Water, Gas, Diesel'!K26&lt;0,0,'Water, Gas, Diesel'!K26)</f>
        <v>0</v>
      </c>
      <c r="H22" s="79">
        <v>0.7</v>
      </c>
      <c r="I22" s="11">
        <f>IF('Water, Gas, Diesel'!C26&lt;0,0,'Water, Gas, Diesel'!C26)</f>
        <v>3645</v>
      </c>
      <c r="J22" s="79">
        <v>0.21186441</v>
      </c>
      <c r="K22" s="11">
        <f>IF('Water, Gas, Diesel'!F26&lt;0,0,'Water, Gas, Diesel'!F26)</f>
        <v>270</v>
      </c>
      <c r="L22" s="79">
        <v>1.6949000000000001</v>
      </c>
      <c r="M22" s="11">
        <f>Electricity!H28</f>
        <v>41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17752.500000001419</v>
      </c>
      <c r="F23" s="79">
        <v>9.3200000000000005E-2</v>
      </c>
      <c r="G23" s="11">
        <f>IF('Water, Gas, Diesel'!K27&lt;0,0,'Water, Gas, Diesel'!K27)</f>
        <v>0</v>
      </c>
      <c r="H23" s="79">
        <v>0.7</v>
      </c>
      <c r="I23" s="11">
        <f>IF('Water, Gas, Diesel'!C27&lt;0,0,'Water, Gas, Diesel'!C27)</f>
        <v>3573</v>
      </c>
      <c r="J23" s="79">
        <v>0.21186441</v>
      </c>
      <c r="K23" s="11">
        <f>IF('Water, Gas, Diesel'!F27&lt;0,0,'Water, Gas, Diesel'!F27)</f>
        <v>267</v>
      </c>
      <c r="L23" s="79">
        <v>1.6949000000000001</v>
      </c>
      <c r="M23" s="11">
        <f>Electricity!H29</f>
        <v>51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18265.000000005784</v>
      </c>
      <c r="F24" s="79">
        <v>9.3200000000000005E-2</v>
      </c>
      <c r="G24" s="11">
        <f>IF('Water, Gas, Diesel'!K28&lt;0,0,'Water, Gas, Diesel'!K28)</f>
        <v>0</v>
      </c>
      <c r="H24" s="79">
        <v>0.7</v>
      </c>
      <c r="I24" s="11">
        <f>IF('Water, Gas, Diesel'!C28&lt;0,0,'Water, Gas, Diesel'!C28)</f>
        <v>3784</v>
      </c>
      <c r="J24" s="79">
        <v>0.21186441</v>
      </c>
      <c r="K24" s="11">
        <f>IF('Water, Gas, Diesel'!F28&lt;0,0,'Water, Gas, Diesel'!F28)</f>
        <v>265</v>
      </c>
      <c r="L24" s="79">
        <v>1.6949000000000001</v>
      </c>
      <c r="M24" s="11">
        <f>Electricity!H30</f>
        <v>57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17647.499999989122</v>
      </c>
      <c r="F25" s="79">
        <v>9.3200000000000005E-2</v>
      </c>
      <c r="G25" s="11">
        <f>IF('Water, Gas, Diesel'!K29&lt;0,0,'Water, Gas, Diesel'!K29)</f>
        <v>0</v>
      </c>
      <c r="H25" s="79">
        <v>0.7</v>
      </c>
      <c r="I25" s="11">
        <f>IF('Water, Gas, Diesel'!C29&lt;0,0,'Water, Gas, Diesel'!C29)</f>
        <v>4292</v>
      </c>
      <c r="J25" s="79">
        <v>0.21186441</v>
      </c>
      <c r="K25" s="11">
        <f>IF('Water, Gas, Diesel'!F29&lt;0,0,'Water, Gas, Diesel'!F29)</f>
        <v>249</v>
      </c>
      <c r="L25" s="79">
        <v>1.6949000000000001</v>
      </c>
      <c r="M25" s="11">
        <f>Electricity!H31</f>
        <v>82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18047.500000011496</v>
      </c>
      <c r="F26" s="79">
        <v>9.3200000000000005E-2</v>
      </c>
      <c r="G26" s="11">
        <f>IF('Water, Gas, Diesel'!K30&lt;0,0,'Water, Gas, Diesel'!K30)</f>
        <v>0</v>
      </c>
      <c r="H26" s="79">
        <v>0.7</v>
      </c>
      <c r="I26" s="11">
        <f>IF('Water, Gas, Diesel'!C30&lt;0,0,'Water, Gas, Diesel'!C30)</f>
        <v>3866</v>
      </c>
      <c r="J26" s="79">
        <v>0.21186441</v>
      </c>
      <c r="K26" s="11">
        <f>IF('Water, Gas, Diesel'!F30&lt;0,0,'Water, Gas, Diesel'!F30)</f>
        <v>251</v>
      </c>
      <c r="L26" s="79">
        <v>1.6949000000000001</v>
      </c>
      <c r="M26" s="11">
        <f>Electricity!H32</f>
        <v>66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18889.999999996689</v>
      </c>
      <c r="F27" s="79">
        <v>9.3200000000000005E-2</v>
      </c>
      <c r="G27" s="11">
        <f>IF('Water, Gas, Diesel'!K31&lt;0,0,'Water, Gas, Diesel'!K31)</f>
        <v>0</v>
      </c>
      <c r="H27" s="79">
        <v>0.7</v>
      </c>
      <c r="I27" s="11">
        <f>IF('Water, Gas, Diesel'!C31&lt;0,0,'Water, Gas, Diesel'!C31)</f>
        <v>3959</v>
      </c>
      <c r="J27" s="79">
        <v>0.21186441</v>
      </c>
      <c r="K27" s="11">
        <f>IF('Water, Gas, Diesel'!F31&lt;0,0,'Water, Gas, Diesel'!F31)</f>
        <v>0</v>
      </c>
      <c r="L27" s="79">
        <v>1.6949000000000001</v>
      </c>
      <c r="M27" s="11">
        <f>Electricity!H33</f>
        <v>40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17917.499999998654</v>
      </c>
      <c r="F28" s="79">
        <v>9.3200000000000005E-2</v>
      </c>
      <c r="G28" s="11">
        <f>IF('Water, Gas, Diesel'!K32&lt;0,0,'Water, Gas, Diesel'!K32)</f>
        <v>50</v>
      </c>
      <c r="H28" s="79">
        <v>0.7</v>
      </c>
      <c r="I28" s="11">
        <f>IF('Water, Gas, Diesel'!C32&lt;0,0,'Water, Gas, Diesel'!C32)</f>
        <v>3396</v>
      </c>
      <c r="J28" s="79">
        <v>0.21186441</v>
      </c>
      <c r="K28" s="11">
        <f>IF('Water, Gas, Diesel'!F32&lt;0,0,'Water, Gas, Diesel'!F32)</f>
        <v>70</v>
      </c>
      <c r="L28" s="79">
        <v>1.6949000000000001</v>
      </c>
      <c r="M28" s="11">
        <f>Electricity!H34</f>
        <v>80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16742.500000000291</v>
      </c>
      <c r="F29" s="79">
        <v>9.3200000000000005E-2</v>
      </c>
      <c r="G29" s="11">
        <f>IF('Water, Gas, Diesel'!K33&lt;0,0,'Water, Gas, Diesel'!K33)</f>
        <v>0</v>
      </c>
      <c r="H29" s="79">
        <v>0.7</v>
      </c>
      <c r="I29" s="11">
        <f>IF('Water, Gas, Diesel'!C33&lt;0,0,'Water, Gas, Diesel'!C33)</f>
        <v>3283</v>
      </c>
      <c r="J29" s="79">
        <v>0.21186441</v>
      </c>
      <c r="K29" s="11">
        <f>IF('Water, Gas, Diesel'!F33&lt;0,0,'Water, Gas, Diesel'!F33)</f>
        <v>303</v>
      </c>
      <c r="L29" s="79">
        <v>1.6949000000000001</v>
      </c>
      <c r="M29" s="11">
        <f>Electricity!H35</f>
        <v>46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9">
        <v>9.3200000000000005E-2</v>
      </c>
      <c r="G30" s="11">
        <f>IF('Water, Gas, Diesel'!K34&lt;0,0,'Water, Gas, Diesel'!K34)</f>
        <v>16250</v>
      </c>
      <c r="H30" s="79">
        <v>0.7</v>
      </c>
      <c r="I30" s="11">
        <f>IF('Water, Gas, Diesel'!C34&lt;0,0,'Water, Gas, Diesel'!C34)</f>
        <v>0</v>
      </c>
      <c r="J30" s="79">
        <v>0.21186441</v>
      </c>
      <c r="K30" s="11">
        <f>IF('Water, Gas, Diesel'!F34&lt;0,0,'Water, Gas, Diesel'!F34)</f>
        <v>0</v>
      </c>
      <c r="L30" s="79">
        <v>1.6949000000000001</v>
      </c>
      <c r="M30" s="11">
        <f>Electricity!H36</f>
        <v>34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9">
        <v>9.3200000000000005E-2</v>
      </c>
      <c r="G31" s="11">
        <f>IF('Water, Gas, Diesel'!K35&lt;0,0,'Water, Gas, Diesel'!K35)</f>
        <v>0</v>
      </c>
      <c r="H31" s="79">
        <v>0.7</v>
      </c>
      <c r="I31" s="11">
        <f>IF('Water, Gas, Diesel'!C35&lt;0,0,'Water, Gas, Diesel'!C35)</f>
        <v>0</v>
      </c>
      <c r="J31" s="79">
        <v>0.21186441</v>
      </c>
      <c r="K31" s="11">
        <f>IF('Water, Gas, Diesel'!F35&lt;0,0,'Water, Gas, Diesel'!F35)</f>
        <v>0</v>
      </c>
      <c r="L31" s="79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9">
        <v>9.3200000000000005E-2</v>
      </c>
      <c r="G32" s="11">
        <f>IF('Water, Gas, Diesel'!K36&lt;0,0,'Water, Gas, Diesel'!K36)</f>
        <v>0</v>
      </c>
      <c r="H32" s="79">
        <v>0.7</v>
      </c>
      <c r="I32" s="11">
        <f>IF('Water, Gas, Diesel'!C36&lt;0,0,'Water, Gas, Diesel'!C36)</f>
        <v>0</v>
      </c>
      <c r="J32" s="79">
        <v>0.21186441</v>
      </c>
      <c r="K32" s="11">
        <f>IF('Water, Gas, Diesel'!F36&lt;0,0,'Water, Gas, Diesel'!F36)</f>
        <v>0</v>
      </c>
      <c r="L32" s="79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33" activePane="bottomLeft" state="frozen"/>
      <selection pane="bottomLeft" activeCell="J35" sqref="J35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91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>
      <c r="A5" s="145"/>
      <c r="B5" s="15" t="s">
        <v>22</v>
      </c>
      <c r="C5" s="59" t="s">
        <v>23</v>
      </c>
      <c r="D5" s="60" t="s">
        <v>22</v>
      </c>
      <c r="E5" s="59" t="s">
        <v>23</v>
      </c>
      <c r="F5" s="150"/>
      <c r="G5" s="152"/>
      <c r="H5" s="142"/>
    </row>
    <row r="6" spans="1:8" ht="15.75" hidden="1">
      <c r="A6" s="92"/>
      <c r="B6" s="22"/>
      <c r="C6" s="61"/>
      <c r="D6" s="62"/>
      <c r="E6" s="61"/>
      <c r="F6" s="25"/>
      <c r="G6" s="63"/>
      <c r="H6" s="93"/>
    </row>
    <row r="7" spans="1:8" ht="27.75" customHeight="1">
      <c r="A7" s="94">
        <v>31</v>
      </c>
      <c r="B7" s="65">
        <v>16272.04</v>
      </c>
      <c r="C7" s="66">
        <f t="shared" ref="C7:C24" si="0">(B8-B7)*2500</f>
        <v>12717.499999998836</v>
      </c>
      <c r="D7" s="65">
        <v>16491.627</v>
      </c>
      <c r="E7" s="66">
        <f t="shared" ref="E7:E24" si="1">(D8-D7)*2500</f>
        <v>8294.9999999982538</v>
      </c>
      <c r="F7" s="90">
        <f t="shared" ref="F7:F38" si="2">C7+E7</f>
        <v>21012.49999999709</v>
      </c>
      <c r="G7" s="64">
        <f>F7*0.0932</f>
        <v>1958.3649999997288</v>
      </c>
      <c r="H7" s="136">
        <v>104</v>
      </c>
    </row>
    <row r="8" spans="1:8" ht="30.95" customHeight="1">
      <c r="A8" s="95">
        <v>1</v>
      </c>
      <c r="B8" s="89">
        <v>16277.127</v>
      </c>
      <c r="C8" s="67">
        <f t="shared" si="0"/>
        <v>10115.000000000691</v>
      </c>
      <c r="D8" s="68">
        <v>16494.945</v>
      </c>
      <c r="E8" s="67">
        <f t="shared" si="1"/>
        <v>6670.0000000037107</v>
      </c>
      <c r="F8" s="48">
        <f t="shared" si="2"/>
        <v>16785.000000004402</v>
      </c>
      <c r="G8" s="64">
        <f t="shared" ref="G8:G39" si="3">F8*0.0932</f>
        <v>1564.3620000004103</v>
      </c>
      <c r="H8" s="96">
        <v>86</v>
      </c>
    </row>
    <row r="9" spans="1:8" ht="30.95" customHeight="1">
      <c r="A9" s="97">
        <v>2</v>
      </c>
      <c r="B9" s="69">
        <v>16281.173000000001</v>
      </c>
      <c r="C9" s="37">
        <f t="shared" si="0"/>
        <v>9800.0000000001819</v>
      </c>
      <c r="D9" s="68">
        <v>16497.613000000001</v>
      </c>
      <c r="E9" s="37">
        <f t="shared" si="1"/>
        <v>6352.4999999935972</v>
      </c>
      <c r="F9" s="45">
        <f t="shared" si="2"/>
        <v>16152.499999993779</v>
      </c>
      <c r="G9" s="64">
        <f t="shared" si="3"/>
        <v>1505.4129999994202</v>
      </c>
      <c r="H9" s="98">
        <v>68</v>
      </c>
    </row>
    <row r="10" spans="1:8" ht="30.95" customHeight="1">
      <c r="A10" s="95">
        <v>3</v>
      </c>
      <c r="B10" s="70">
        <v>16285.093000000001</v>
      </c>
      <c r="C10" s="67">
        <f t="shared" si="0"/>
        <v>13084.999999996398</v>
      </c>
      <c r="D10" s="71">
        <v>16500.153999999999</v>
      </c>
      <c r="E10" s="67">
        <f t="shared" si="1"/>
        <v>8475.0000000076398</v>
      </c>
      <c r="F10" s="48">
        <f t="shared" si="2"/>
        <v>21560.000000004038</v>
      </c>
      <c r="G10" s="64">
        <f t="shared" si="3"/>
        <v>2009.3920000003764</v>
      </c>
      <c r="H10" s="98">
        <v>56</v>
      </c>
    </row>
    <row r="11" spans="1:8" ht="30.95" customHeight="1">
      <c r="A11" s="97">
        <v>4</v>
      </c>
      <c r="B11" s="72">
        <v>16290.326999999999</v>
      </c>
      <c r="C11" s="37">
        <f t="shared" si="0"/>
        <v>10765.000000001237</v>
      </c>
      <c r="D11" s="73">
        <v>16503.544000000002</v>
      </c>
      <c r="E11" s="37">
        <f t="shared" si="1"/>
        <v>6929.9999999930151</v>
      </c>
      <c r="F11" s="45">
        <f t="shared" si="2"/>
        <v>17694.999999994252</v>
      </c>
      <c r="G11" s="64">
        <f t="shared" si="3"/>
        <v>1649.1739999994643</v>
      </c>
      <c r="H11" s="98">
        <v>65</v>
      </c>
    </row>
    <row r="12" spans="1:8" ht="30.95" customHeight="1">
      <c r="A12" s="95">
        <v>5</v>
      </c>
      <c r="B12" s="74">
        <v>16294.633</v>
      </c>
      <c r="C12" s="67">
        <f t="shared" si="0"/>
        <v>10727.500000002692</v>
      </c>
      <c r="D12" s="71">
        <v>16506.315999999999</v>
      </c>
      <c r="E12" s="67">
        <f t="shared" si="1"/>
        <v>6757.5000000033469</v>
      </c>
      <c r="F12" s="48">
        <f t="shared" si="2"/>
        <v>17485.000000006039</v>
      </c>
      <c r="G12" s="64">
        <f t="shared" si="3"/>
        <v>1629.6020000005628</v>
      </c>
      <c r="H12" s="98">
        <v>82</v>
      </c>
    </row>
    <row r="13" spans="1:8" ht="30.95" customHeight="1">
      <c r="A13" s="97">
        <v>6</v>
      </c>
      <c r="B13" s="72">
        <v>16298.924000000001</v>
      </c>
      <c r="C13" s="37">
        <f t="shared" si="0"/>
        <v>9602.4999999963256</v>
      </c>
      <c r="D13" s="73">
        <v>16509.019</v>
      </c>
      <c r="E13" s="37">
        <f t="shared" si="1"/>
        <v>8365.0000000034197</v>
      </c>
      <c r="F13" s="45">
        <f t="shared" si="2"/>
        <v>17967.499999999745</v>
      </c>
      <c r="G13" s="64">
        <f t="shared" si="3"/>
        <v>1674.5709999999763</v>
      </c>
      <c r="H13" s="98">
        <v>71</v>
      </c>
    </row>
    <row r="14" spans="1:8" ht="30.95" customHeight="1">
      <c r="A14" s="95">
        <v>7</v>
      </c>
      <c r="B14" s="74">
        <v>16302.764999999999</v>
      </c>
      <c r="C14" s="67">
        <f t="shared" si="0"/>
        <v>8027.500000002874</v>
      </c>
      <c r="D14" s="99">
        <v>16512.365000000002</v>
      </c>
      <c r="E14" s="67">
        <f t="shared" si="1"/>
        <v>8629.9999999937427</v>
      </c>
      <c r="F14" s="48">
        <f t="shared" si="2"/>
        <v>16657.499999996617</v>
      </c>
      <c r="G14" s="64">
        <f t="shared" si="3"/>
        <v>1552.4789999996847</v>
      </c>
      <c r="H14" s="98">
        <v>80</v>
      </c>
    </row>
    <row r="15" spans="1:8" ht="30.95" customHeight="1">
      <c r="A15" s="97">
        <v>8</v>
      </c>
      <c r="B15" s="72">
        <v>16305.976000000001</v>
      </c>
      <c r="C15" s="37">
        <f t="shared" si="0"/>
        <v>7987.4999999992724</v>
      </c>
      <c r="D15" s="75">
        <v>16515.816999999999</v>
      </c>
      <c r="E15" s="37">
        <f t="shared" si="1"/>
        <v>8802.5000000016007</v>
      </c>
      <c r="F15" s="45">
        <f t="shared" si="2"/>
        <v>16790.000000000873</v>
      </c>
      <c r="G15" s="64">
        <f t="shared" si="3"/>
        <v>1564.8280000000814</v>
      </c>
      <c r="H15" s="98">
        <v>45</v>
      </c>
    </row>
    <row r="16" spans="1:8" ht="30.95" customHeight="1">
      <c r="A16" s="95">
        <v>9</v>
      </c>
      <c r="B16" s="137">
        <v>16309.171</v>
      </c>
      <c r="C16" s="67">
        <f t="shared" si="0"/>
        <v>8049.9999999983629</v>
      </c>
      <c r="D16" s="76">
        <v>16519.338</v>
      </c>
      <c r="E16" s="67">
        <f t="shared" si="1"/>
        <v>9200.0000000007276</v>
      </c>
      <c r="F16" s="48">
        <f t="shared" si="2"/>
        <v>17249.999999999091</v>
      </c>
      <c r="G16" s="64">
        <f t="shared" si="3"/>
        <v>1607.6999999999152</v>
      </c>
      <c r="H16" s="98">
        <v>42</v>
      </c>
    </row>
    <row r="17" spans="1:8" ht="30.95" customHeight="1">
      <c r="A17" s="97">
        <v>10</v>
      </c>
      <c r="B17" s="74">
        <v>16312.391</v>
      </c>
      <c r="C17" s="37">
        <f t="shared" si="0"/>
        <v>8220.0000000011642</v>
      </c>
      <c r="D17" s="99">
        <v>16523.018</v>
      </c>
      <c r="E17" s="37">
        <f t="shared" si="1"/>
        <v>10444.999999999709</v>
      </c>
      <c r="F17" s="45">
        <f t="shared" si="2"/>
        <v>18665.000000000873</v>
      </c>
      <c r="G17" s="64">
        <f t="shared" si="3"/>
        <v>1739.5780000000814</v>
      </c>
      <c r="H17" s="98">
        <v>46</v>
      </c>
    </row>
    <row r="18" spans="1:8" ht="30.95" customHeight="1">
      <c r="A18" s="95">
        <v>11</v>
      </c>
      <c r="B18" s="72">
        <v>16315.679</v>
      </c>
      <c r="C18" s="67">
        <f t="shared" si="0"/>
        <v>8719.9999999984357</v>
      </c>
      <c r="D18" s="75">
        <v>16527.196</v>
      </c>
      <c r="E18" s="67">
        <f t="shared" si="1"/>
        <v>11527.500000001965</v>
      </c>
      <c r="F18" s="48">
        <f t="shared" si="2"/>
        <v>20247.5000000004</v>
      </c>
      <c r="G18" s="64">
        <f t="shared" si="3"/>
        <v>1887.0670000000373</v>
      </c>
      <c r="H18" s="98">
        <v>66</v>
      </c>
    </row>
    <row r="19" spans="1:8" ht="30.95" customHeight="1">
      <c r="A19" s="97">
        <v>12</v>
      </c>
      <c r="B19" s="74">
        <v>16319.166999999999</v>
      </c>
      <c r="C19" s="37">
        <f t="shared" si="0"/>
        <v>8682.4999999998909</v>
      </c>
      <c r="D19" s="99">
        <v>16531.807000000001</v>
      </c>
      <c r="E19" s="37">
        <f t="shared" si="1"/>
        <v>11842.500000002474</v>
      </c>
      <c r="F19" s="45">
        <f t="shared" si="2"/>
        <v>20525.000000002365</v>
      </c>
      <c r="G19" s="64">
        <f t="shared" si="3"/>
        <v>1912.9300000002204</v>
      </c>
      <c r="H19" s="98">
        <v>51</v>
      </c>
    </row>
    <row r="20" spans="1:8" ht="30.95" customHeight="1">
      <c r="A20" s="95">
        <v>13</v>
      </c>
      <c r="B20" s="72">
        <v>16322.64</v>
      </c>
      <c r="C20" s="67">
        <f t="shared" si="0"/>
        <v>2500</v>
      </c>
      <c r="D20" s="77">
        <v>16536.544000000002</v>
      </c>
      <c r="E20" s="67">
        <f t="shared" si="1"/>
        <v>10659.999999998035</v>
      </c>
      <c r="F20" s="48">
        <f t="shared" si="2"/>
        <v>13159.999999998035</v>
      </c>
      <c r="G20" s="64">
        <f t="shared" si="3"/>
        <v>1226.5119999998169</v>
      </c>
      <c r="H20" s="98">
        <v>66</v>
      </c>
    </row>
    <row r="21" spans="1:8" ht="30.95" customHeight="1">
      <c r="A21" s="97">
        <v>14</v>
      </c>
      <c r="B21" s="72">
        <v>16323.64</v>
      </c>
      <c r="C21" s="37">
        <f t="shared" si="0"/>
        <v>13900.000000003274</v>
      </c>
      <c r="D21" s="75">
        <v>16540.808000000001</v>
      </c>
      <c r="E21" s="37">
        <f t="shared" si="1"/>
        <v>10784.999999996217</v>
      </c>
      <c r="F21" s="45">
        <f t="shared" si="2"/>
        <v>24684.999999999491</v>
      </c>
      <c r="G21" s="64">
        <f t="shared" si="3"/>
        <v>2300.6419999999525</v>
      </c>
      <c r="H21" s="98">
        <v>77</v>
      </c>
    </row>
    <row r="22" spans="1:8" ht="30.95" customHeight="1">
      <c r="A22" s="95">
        <v>15</v>
      </c>
      <c r="B22" s="72">
        <v>16329.2</v>
      </c>
      <c r="C22" s="67">
        <f t="shared" si="0"/>
        <v>9012.4999999989086</v>
      </c>
      <c r="D22" s="54">
        <v>16545.121999999999</v>
      </c>
      <c r="E22" s="67">
        <f t="shared" si="1"/>
        <v>10642.500000003565</v>
      </c>
      <c r="F22" s="48">
        <f t="shared" si="2"/>
        <v>19655.000000002474</v>
      </c>
      <c r="G22" s="64">
        <f t="shared" si="3"/>
        <v>1831.8460000002306</v>
      </c>
      <c r="H22" s="98">
        <v>71</v>
      </c>
    </row>
    <row r="23" spans="1:8" ht="30.95" customHeight="1">
      <c r="A23" s="97">
        <v>16</v>
      </c>
      <c r="B23" s="80">
        <v>16332.805</v>
      </c>
      <c r="C23" s="37">
        <f t="shared" si="0"/>
        <v>8417.5000000004729</v>
      </c>
      <c r="D23" s="81">
        <v>16549.379000000001</v>
      </c>
      <c r="E23" s="37">
        <f t="shared" si="1"/>
        <v>9965.0000000019645</v>
      </c>
      <c r="F23" s="45">
        <f t="shared" si="2"/>
        <v>18382.500000002437</v>
      </c>
      <c r="G23" s="64">
        <f t="shared" si="3"/>
        <v>1713.2490000002272</v>
      </c>
      <c r="H23" s="98">
        <v>79</v>
      </c>
    </row>
    <row r="24" spans="1:8" ht="30.95" customHeight="1">
      <c r="A24" s="95">
        <v>17</v>
      </c>
      <c r="B24" s="82">
        <v>16336.172</v>
      </c>
      <c r="C24" s="67">
        <f t="shared" si="0"/>
        <v>9322.4999999983993</v>
      </c>
      <c r="D24" s="99">
        <v>16553.365000000002</v>
      </c>
      <c r="E24" s="67">
        <f t="shared" si="1"/>
        <v>12427.499999994325</v>
      </c>
      <c r="F24" s="48">
        <f t="shared" si="2"/>
        <v>21749.999999992724</v>
      </c>
      <c r="G24" s="64">
        <f t="shared" si="3"/>
        <v>2027.0999999993219</v>
      </c>
      <c r="H24" s="98">
        <v>62</v>
      </c>
    </row>
    <row r="25" spans="1:8" ht="30.95" customHeight="1">
      <c r="A25" s="97">
        <v>18</v>
      </c>
      <c r="B25" s="72">
        <v>16339.901</v>
      </c>
      <c r="C25" s="37">
        <f>(B26-B25)*2500</f>
        <v>7255.0000000001091</v>
      </c>
      <c r="D25" s="75">
        <v>16558.335999999999</v>
      </c>
      <c r="E25" s="37">
        <f>(D26-D25)*2500</f>
        <v>10675.000000001091</v>
      </c>
      <c r="F25" s="45">
        <f t="shared" si="2"/>
        <v>17930.000000001201</v>
      </c>
      <c r="G25" s="64">
        <f t="shared" si="3"/>
        <v>1671.0760000001119</v>
      </c>
      <c r="H25" s="98">
        <v>78</v>
      </c>
    </row>
    <row r="26" spans="1:8" ht="30.95" customHeight="1">
      <c r="A26" s="95">
        <v>19</v>
      </c>
      <c r="B26" s="74">
        <v>16342.803</v>
      </c>
      <c r="C26" s="67">
        <f t="shared" ref="C26:C38" si="4">(B27-B26)*2500</f>
        <v>8144.9999999995271</v>
      </c>
      <c r="D26" s="99">
        <v>16562.606</v>
      </c>
      <c r="E26" s="67">
        <f t="shared" ref="E26:E38" si="5">(D27-D26)*2500</f>
        <v>9790.0000000026921</v>
      </c>
      <c r="F26" s="45">
        <f t="shared" si="2"/>
        <v>17935.000000002219</v>
      </c>
      <c r="G26" s="64">
        <f t="shared" si="3"/>
        <v>1671.5420000002068</v>
      </c>
      <c r="H26" s="98">
        <v>45</v>
      </c>
    </row>
    <row r="27" spans="1:8" ht="30.95" customHeight="1">
      <c r="A27" s="97">
        <v>20</v>
      </c>
      <c r="B27" s="72">
        <v>16346.061</v>
      </c>
      <c r="C27" s="37">
        <f t="shared" si="4"/>
        <v>8152.500000001055</v>
      </c>
      <c r="D27" s="77">
        <v>16566.522000000001</v>
      </c>
      <c r="E27" s="37">
        <f t="shared" si="5"/>
        <v>9979.9999999959255</v>
      </c>
      <c r="F27" s="48">
        <f t="shared" si="2"/>
        <v>18132.49999999698</v>
      </c>
      <c r="G27" s="64">
        <f t="shared" si="3"/>
        <v>1689.9489999997186</v>
      </c>
      <c r="H27" s="98">
        <v>42</v>
      </c>
    </row>
    <row r="28" spans="1:8" ht="30.95" customHeight="1">
      <c r="A28" s="95">
        <v>21</v>
      </c>
      <c r="B28" s="74">
        <v>16349.322</v>
      </c>
      <c r="C28" s="67">
        <f t="shared" si="4"/>
        <v>8139.9999999985084</v>
      </c>
      <c r="D28" s="99">
        <v>16570.513999999999</v>
      </c>
      <c r="E28" s="67">
        <f t="shared" si="5"/>
        <v>9515.0000000012369</v>
      </c>
      <c r="F28" s="45">
        <f t="shared" si="2"/>
        <v>17654.999999999745</v>
      </c>
      <c r="G28" s="64">
        <f t="shared" si="3"/>
        <v>1645.4459999999763</v>
      </c>
      <c r="H28" s="98">
        <v>41</v>
      </c>
    </row>
    <row r="29" spans="1:8" ht="30.95" customHeight="1">
      <c r="A29" s="97">
        <v>22</v>
      </c>
      <c r="B29" s="72">
        <v>16352.578</v>
      </c>
      <c r="C29" s="37">
        <f t="shared" si="4"/>
        <v>8192.5000000001091</v>
      </c>
      <c r="D29" s="75">
        <v>16574.32</v>
      </c>
      <c r="E29" s="37">
        <f t="shared" si="5"/>
        <v>9560.0000000013097</v>
      </c>
      <c r="F29" s="48">
        <f t="shared" si="2"/>
        <v>17752.500000001419</v>
      </c>
      <c r="G29" s="64">
        <f t="shared" si="3"/>
        <v>1654.5330000001322</v>
      </c>
      <c r="H29" s="98">
        <v>51</v>
      </c>
    </row>
    <row r="30" spans="1:8" ht="30.95" customHeight="1">
      <c r="A30" s="95">
        <v>23</v>
      </c>
      <c r="B30" s="74">
        <v>16355.855</v>
      </c>
      <c r="C30" s="67">
        <f t="shared" si="4"/>
        <v>8117.5000000030195</v>
      </c>
      <c r="D30" s="99">
        <v>16578.144</v>
      </c>
      <c r="E30" s="67">
        <f t="shared" si="5"/>
        <v>10147.500000002765</v>
      </c>
      <c r="F30" s="45">
        <f t="shared" si="2"/>
        <v>18265.000000005784</v>
      </c>
      <c r="G30" s="64">
        <f t="shared" si="3"/>
        <v>1702.2980000005391</v>
      </c>
      <c r="H30" s="98">
        <v>57</v>
      </c>
    </row>
    <row r="31" spans="1:8" ht="30.95" customHeight="1">
      <c r="A31" s="97">
        <v>24</v>
      </c>
      <c r="B31" s="72">
        <v>16359.102000000001</v>
      </c>
      <c r="C31" s="37">
        <f t="shared" si="4"/>
        <v>8132.4999999969805</v>
      </c>
      <c r="D31" s="75">
        <v>16582.203000000001</v>
      </c>
      <c r="E31" s="37">
        <f t="shared" si="5"/>
        <v>9514.999999992142</v>
      </c>
      <c r="F31" s="48">
        <f t="shared" si="2"/>
        <v>17647.499999989122</v>
      </c>
      <c r="G31" s="64">
        <f t="shared" si="3"/>
        <v>1644.7469999989862</v>
      </c>
      <c r="H31" s="98">
        <v>82</v>
      </c>
    </row>
    <row r="32" spans="1:8" ht="30.95" customHeight="1">
      <c r="A32" s="95">
        <v>25</v>
      </c>
      <c r="B32" s="74">
        <v>16362.355</v>
      </c>
      <c r="C32" s="67">
        <f t="shared" si="4"/>
        <v>7960.0000000027649</v>
      </c>
      <c r="D32" s="99">
        <v>16586.008999999998</v>
      </c>
      <c r="E32" s="67">
        <f t="shared" si="5"/>
        <v>10087.500000008731</v>
      </c>
      <c r="F32" s="45">
        <f t="shared" si="2"/>
        <v>18047.500000011496</v>
      </c>
      <c r="G32" s="64">
        <f t="shared" si="3"/>
        <v>1682.0270000010714</v>
      </c>
      <c r="H32" s="98">
        <v>66</v>
      </c>
    </row>
    <row r="33" spans="1:8" ht="30.95" customHeight="1">
      <c r="A33" s="97">
        <v>26</v>
      </c>
      <c r="B33" s="72">
        <v>16365.539000000001</v>
      </c>
      <c r="C33" s="37">
        <f t="shared" si="4"/>
        <v>8105.0000000004729</v>
      </c>
      <c r="D33" s="75">
        <v>16590.044000000002</v>
      </c>
      <c r="E33" s="37">
        <f t="shared" si="5"/>
        <v>10784.999999996217</v>
      </c>
      <c r="F33" s="48">
        <f t="shared" si="2"/>
        <v>18889.999999996689</v>
      </c>
      <c r="G33" s="64">
        <f t="shared" si="3"/>
        <v>1760.5479999996915</v>
      </c>
      <c r="H33" s="98">
        <v>40</v>
      </c>
    </row>
    <row r="34" spans="1:8" ht="30.95" customHeight="1">
      <c r="A34" s="95">
        <v>27</v>
      </c>
      <c r="B34" s="74">
        <v>16368.781000000001</v>
      </c>
      <c r="C34" s="67">
        <f t="shared" si="4"/>
        <v>8192.5000000001091</v>
      </c>
      <c r="D34" s="99">
        <v>16594.358</v>
      </c>
      <c r="E34" s="37">
        <f t="shared" si="5"/>
        <v>9724.9999999985448</v>
      </c>
      <c r="F34" s="45">
        <f t="shared" si="2"/>
        <v>17917.499999998654</v>
      </c>
      <c r="G34" s="64">
        <f t="shared" si="3"/>
        <v>1669.9109999998745</v>
      </c>
      <c r="H34" s="98">
        <v>80</v>
      </c>
    </row>
    <row r="35" spans="1:8" ht="30.95" customHeight="1">
      <c r="A35" s="97">
        <v>28</v>
      </c>
      <c r="B35" s="78">
        <v>16372.058000000001</v>
      </c>
      <c r="C35" s="37">
        <f t="shared" si="4"/>
        <v>7797.4999999969441</v>
      </c>
      <c r="D35" s="75">
        <v>16598.248</v>
      </c>
      <c r="E35" s="37">
        <f t="shared" si="5"/>
        <v>8945.0000000033469</v>
      </c>
      <c r="F35" s="45">
        <f t="shared" si="2"/>
        <v>16742.500000000291</v>
      </c>
      <c r="G35" s="64">
        <f t="shared" si="3"/>
        <v>1560.4010000000271</v>
      </c>
      <c r="H35" s="98">
        <v>46</v>
      </c>
    </row>
    <row r="36" spans="1:8" ht="30.95" customHeight="1">
      <c r="A36" s="95">
        <v>29</v>
      </c>
      <c r="B36" s="74">
        <v>16375.177</v>
      </c>
      <c r="C36" s="66">
        <f t="shared" si="4"/>
        <v>-40937942.5</v>
      </c>
      <c r="D36" s="54">
        <v>16601.826000000001</v>
      </c>
      <c r="E36" s="66">
        <f t="shared" si="5"/>
        <v>-41504565</v>
      </c>
      <c r="F36" s="40">
        <f t="shared" si="2"/>
        <v>-82442507.5</v>
      </c>
      <c r="G36" s="64">
        <f t="shared" si="3"/>
        <v>-7683641.699</v>
      </c>
      <c r="H36" s="96">
        <v>34</v>
      </c>
    </row>
    <row r="37" spans="1:8" ht="30.95" customHeight="1">
      <c r="A37" s="103">
        <v>30</v>
      </c>
      <c r="B37" s="104"/>
      <c r="C37" s="105">
        <f>(B38-B37)*2500</f>
        <v>0</v>
      </c>
      <c r="D37" s="106"/>
      <c r="E37" s="105">
        <f>(D38-D37)*2500</f>
        <v>0</v>
      </c>
      <c r="F37" s="107">
        <f t="shared" si="2"/>
        <v>0</v>
      </c>
      <c r="G37" s="64">
        <f t="shared" si="3"/>
        <v>0</v>
      </c>
      <c r="H37" s="108"/>
    </row>
    <row r="38" spans="1:8" ht="30.95" customHeight="1">
      <c r="A38" s="95">
        <v>31</v>
      </c>
      <c r="B38" s="71"/>
      <c r="C38" s="67">
        <f t="shared" si="4"/>
        <v>0</v>
      </c>
      <c r="D38" s="99"/>
      <c r="E38" s="67">
        <f t="shared" si="5"/>
        <v>0</v>
      </c>
      <c r="F38" s="48">
        <f t="shared" si="2"/>
        <v>0</v>
      </c>
      <c r="G38" s="134">
        <f t="shared" si="3"/>
        <v>0</v>
      </c>
      <c r="H38" s="135"/>
    </row>
    <row r="39" spans="1:8" ht="30.95" customHeight="1">
      <c r="A39" s="127">
        <v>1</v>
      </c>
      <c r="B39" s="128"/>
      <c r="C39" s="129">
        <f t="shared" ref="C39" si="6">(B40-B39)*2500</f>
        <v>0</v>
      </c>
      <c r="D39" s="130"/>
      <c r="E39" s="129">
        <f t="shared" ref="E39" si="7">(D40-D39)*2500</f>
        <v>0</v>
      </c>
      <c r="F39" s="131">
        <f t="shared" ref="F39" si="8">C39+E39</f>
        <v>0</v>
      </c>
      <c r="G39" s="132">
        <f t="shared" si="3"/>
        <v>0</v>
      </c>
      <c r="H39" s="133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31" activePane="bottomLeft" state="frozen"/>
      <selection pane="bottomLeft" activeCell="N33" sqref="N33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88" t="s">
        <v>15</v>
      </c>
      <c r="B3" s="15" t="s">
        <v>22</v>
      </c>
      <c r="C3" s="16" t="s">
        <v>27</v>
      </c>
      <c r="D3" s="17" t="s">
        <v>28</v>
      </c>
      <c r="E3" s="85" t="s">
        <v>22</v>
      </c>
      <c r="F3" s="18" t="s">
        <v>23</v>
      </c>
      <c r="G3" s="19" t="s">
        <v>29</v>
      </c>
      <c r="H3" s="19" t="s">
        <v>30</v>
      </c>
      <c r="I3" s="84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6">
        <v>31</v>
      </c>
      <c r="B5" s="86">
        <v>7313440</v>
      </c>
      <c r="C5" s="100">
        <f>B6-B5</f>
        <v>4432</v>
      </c>
      <c r="D5" s="32">
        <f>C5*0.21186441</f>
        <v>938.98306511999999</v>
      </c>
      <c r="E5" s="33">
        <v>587640</v>
      </c>
      <c r="F5" s="101">
        <f>E6-E5</f>
        <v>305</v>
      </c>
      <c r="G5" s="34">
        <f>F5*0.84746</f>
        <v>258.4753</v>
      </c>
      <c r="H5" s="34">
        <f>F5*0.84746</f>
        <v>258.4753</v>
      </c>
      <c r="I5" s="87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6">
        <v>7317872</v>
      </c>
      <c r="C6" s="50">
        <f t="shared" ref="C6:C15" si="0">B7-B6</f>
        <v>3941</v>
      </c>
      <c r="D6" s="39">
        <f>C6*0.21186441</f>
        <v>834.95763981000005</v>
      </c>
      <c r="E6" s="40">
        <v>587945</v>
      </c>
      <c r="F6" s="51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6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7321813</v>
      </c>
      <c r="C7" s="52">
        <f t="shared" si="0"/>
        <v>3821</v>
      </c>
      <c r="D7" s="44">
        <f>C7*0.21186441</f>
        <v>809.53391061000002</v>
      </c>
      <c r="E7" s="45">
        <v>588161</v>
      </c>
      <c r="F7" s="53">
        <f t="shared" si="1"/>
        <v>326</v>
      </c>
      <c r="G7" s="46">
        <f t="shared" ref="G7:G36" si="4">F7*0.84746</f>
        <v>276.27195999999998</v>
      </c>
      <c r="H7" s="46">
        <f t="shared" ref="H7:H36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50000000000003" customHeight="1">
      <c r="A8" s="38">
        <v>3</v>
      </c>
      <c r="B8" s="38">
        <v>7325634</v>
      </c>
      <c r="C8" s="50">
        <f t="shared" si="0"/>
        <v>4956</v>
      </c>
      <c r="D8" s="44">
        <f t="shared" ref="D8:D36" si="7">C8*0.21186441</f>
        <v>1050.0000159599999</v>
      </c>
      <c r="E8" s="45">
        <v>588487</v>
      </c>
      <c r="F8" s="51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50000000000003" customHeight="1">
      <c r="A9" s="43">
        <v>4</v>
      </c>
      <c r="B9" s="43">
        <v>7330590</v>
      </c>
      <c r="C9" s="52">
        <f t="shared" si="0"/>
        <v>4204</v>
      </c>
      <c r="D9" s="44">
        <f t="shared" si="7"/>
        <v>890.67797963999999</v>
      </c>
      <c r="E9" s="45">
        <v>588746</v>
      </c>
      <c r="F9" s="53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>10000+6290</f>
        <v>16290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7334794</v>
      </c>
      <c r="C10" s="50">
        <f t="shared" si="0"/>
        <v>4039</v>
      </c>
      <c r="D10" s="44">
        <f t="shared" si="7"/>
        <v>855.72035199000004</v>
      </c>
      <c r="E10" s="45">
        <v>588764</v>
      </c>
      <c r="F10" s="51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>10000+6290</f>
        <v>16290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7338833</v>
      </c>
      <c r="C11" s="52">
        <f t="shared" si="0"/>
        <v>4756</v>
      </c>
      <c r="D11" s="44">
        <f t="shared" si="7"/>
        <v>1007.62713396</v>
      </c>
      <c r="E11" s="45">
        <v>588935</v>
      </c>
      <c r="F11" s="53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>10000+6290</f>
        <v>16290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7343589</v>
      </c>
      <c r="C12" s="50">
        <f t="shared" si="0"/>
        <v>4763</v>
      </c>
      <c r="D12" s="44">
        <f t="shared" si="7"/>
        <v>1009.11018483</v>
      </c>
      <c r="E12" s="45">
        <v>589162</v>
      </c>
      <c r="F12" s="51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>10000+6290</f>
        <v>16290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7348352</v>
      </c>
      <c r="C13" s="52">
        <f t="shared" si="0"/>
        <v>2797</v>
      </c>
      <c r="D13" s="44">
        <f t="shared" si="7"/>
        <v>592.58475477000002</v>
      </c>
      <c r="E13" s="45">
        <v>589462</v>
      </c>
      <c r="F13" s="53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>10000+6290</f>
        <v>16290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7351149</v>
      </c>
      <c r="C14" s="50">
        <f t="shared" si="0"/>
        <v>7254</v>
      </c>
      <c r="D14" s="44">
        <f t="shared" si="7"/>
        <v>1536.86443014</v>
      </c>
      <c r="E14" s="45">
        <v>589735</v>
      </c>
      <c r="F14" s="51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>10000+6290</f>
        <v>16290</v>
      </c>
      <c r="K14" s="36">
        <f>J14-J15</f>
        <v>-21</v>
      </c>
      <c r="L14" s="37">
        <f t="shared" si="6"/>
        <v>-14.7</v>
      </c>
    </row>
    <row r="15" spans="1:12" ht="32.450000000000003" customHeight="1">
      <c r="A15" s="43">
        <v>10</v>
      </c>
      <c r="B15" s="43">
        <v>7358403</v>
      </c>
      <c r="C15" s="52">
        <f t="shared" si="0"/>
        <v>4036</v>
      </c>
      <c r="D15" s="44">
        <f t="shared" si="7"/>
        <v>855.08475876</v>
      </c>
      <c r="E15" s="45">
        <v>590029</v>
      </c>
      <c r="F15" s="53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50000000000003" customHeight="1">
      <c r="A16" s="38">
        <v>11</v>
      </c>
      <c r="B16" s="38">
        <v>7362439</v>
      </c>
      <c r="C16" s="50">
        <f>B17-B16</f>
        <v>4973</v>
      </c>
      <c r="D16" s="44">
        <f t="shared" si="7"/>
        <v>1053.6017109300001</v>
      </c>
      <c r="E16" s="45">
        <v>590328</v>
      </c>
      <c r="F16" s="51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>10000+6300</f>
        <v>16300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7367412</v>
      </c>
      <c r="C17" s="52">
        <f t="shared" ref="C17:C35" si="8">B18-B17</f>
        <v>4328</v>
      </c>
      <c r="D17" s="44">
        <f t="shared" si="7"/>
        <v>916.94916648000003</v>
      </c>
      <c r="E17" s="45">
        <v>590652</v>
      </c>
      <c r="F17" s="53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10000+6300</f>
        <v>16300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7371740</v>
      </c>
      <c r="C18" s="50">
        <f t="shared" si="8"/>
        <v>3890</v>
      </c>
      <c r="D18" s="44">
        <f t="shared" si="7"/>
        <v>824.15255490000004</v>
      </c>
      <c r="E18" s="48">
        <v>590972</v>
      </c>
      <c r="F18" s="51">
        <f t="shared" si="9"/>
        <v>63</v>
      </c>
      <c r="G18" s="41">
        <f t="shared" si="4"/>
        <v>53.389980000000001</v>
      </c>
      <c r="H18" s="41">
        <f t="shared" si="5"/>
        <v>53.389980000000001</v>
      </c>
      <c r="I18" s="47">
        <f t="shared" si="2"/>
        <v>106.77996</v>
      </c>
      <c r="J18" s="35">
        <f>10000+6300</f>
        <v>16300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7375630</v>
      </c>
      <c r="C19" s="52">
        <f t="shared" si="8"/>
        <v>4261</v>
      </c>
      <c r="D19" s="44">
        <f t="shared" si="7"/>
        <v>902.75425100999996</v>
      </c>
      <c r="E19" s="49">
        <v>591035</v>
      </c>
      <c r="F19" s="53">
        <f t="shared" si="9"/>
        <v>35</v>
      </c>
      <c r="G19" s="46">
        <f t="shared" si="4"/>
        <v>29.661100000000001</v>
      </c>
      <c r="H19" s="46">
        <f t="shared" si="5"/>
        <v>29.661100000000001</v>
      </c>
      <c r="I19" s="47">
        <f t="shared" si="2"/>
        <v>59.322200000000002</v>
      </c>
      <c r="J19" s="35">
        <f>10000+6300</f>
        <v>16300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7379891</v>
      </c>
      <c r="C20" s="50">
        <f t="shared" si="8"/>
        <v>4516</v>
      </c>
      <c r="D20" s="44">
        <f t="shared" si="7"/>
        <v>956.77967555999999</v>
      </c>
      <c r="E20" s="48">
        <v>591070</v>
      </c>
      <c r="F20" s="51">
        <f t="shared" si="9"/>
        <v>297</v>
      </c>
      <c r="G20" s="41">
        <f t="shared" si="4"/>
        <v>251.69561999999999</v>
      </c>
      <c r="H20" s="41">
        <f t="shared" si="5"/>
        <v>251.69561999999999</v>
      </c>
      <c r="I20" s="47">
        <f t="shared" si="2"/>
        <v>503.39123999999998</v>
      </c>
      <c r="J20" s="35">
        <f>10000+6300</f>
        <v>16300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2">
        <v>7384407</v>
      </c>
      <c r="C21" s="52">
        <f t="shared" si="8"/>
        <v>4417</v>
      </c>
      <c r="D21" s="44">
        <f t="shared" si="7"/>
        <v>935.80509897000002</v>
      </c>
      <c r="E21" s="83">
        <v>591367</v>
      </c>
      <c r="F21" s="53">
        <f t="shared" si="9"/>
        <v>299</v>
      </c>
      <c r="G21" s="46">
        <f t="shared" si="4"/>
        <v>253.39053999999999</v>
      </c>
      <c r="H21" s="46">
        <f t="shared" si="5"/>
        <v>253.39053999999999</v>
      </c>
      <c r="I21" s="47">
        <f t="shared" si="2"/>
        <v>506.78107999999997</v>
      </c>
      <c r="J21" s="35">
        <f>10000+6300</f>
        <v>16300</v>
      </c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>
        <v>7388824</v>
      </c>
      <c r="C22" s="50">
        <f t="shared" si="8"/>
        <v>4056</v>
      </c>
      <c r="D22" s="44">
        <f t="shared" si="7"/>
        <v>859.32204695999997</v>
      </c>
      <c r="E22" s="49">
        <v>591666</v>
      </c>
      <c r="F22" s="51">
        <f t="shared" si="9"/>
        <v>298</v>
      </c>
      <c r="G22" s="41">
        <f t="shared" si="4"/>
        <v>252.54308</v>
      </c>
      <c r="H22" s="41">
        <f t="shared" si="5"/>
        <v>252.54308</v>
      </c>
      <c r="I22" s="47">
        <f t="shared" si="2"/>
        <v>505.08616000000001</v>
      </c>
      <c r="J22" s="35">
        <f>10000+6300</f>
        <v>16300</v>
      </c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>
        <v>7392880</v>
      </c>
      <c r="C23" s="52">
        <f t="shared" si="8"/>
        <v>3796</v>
      </c>
      <c r="D23" s="44">
        <f t="shared" si="7"/>
        <v>804.23730036000006</v>
      </c>
      <c r="E23" s="49">
        <v>591964</v>
      </c>
      <c r="F23" s="53">
        <f t="shared" si="9"/>
        <v>304</v>
      </c>
      <c r="G23" s="46">
        <f t="shared" si="4"/>
        <v>257.62783999999999</v>
      </c>
      <c r="H23" s="46">
        <f t="shared" si="5"/>
        <v>257.62783999999999</v>
      </c>
      <c r="I23" s="47">
        <f t="shared" si="2"/>
        <v>515.25567999999998</v>
      </c>
      <c r="J23" s="35">
        <f>10000+6300</f>
        <v>16300</v>
      </c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>
        <v>7396676</v>
      </c>
      <c r="C24" s="50">
        <f t="shared" si="8"/>
        <v>3561</v>
      </c>
      <c r="D24" s="44">
        <f t="shared" si="7"/>
        <v>754.44916401</v>
      </c>
      <c r="E24" s="49">
        <v>592268</v>
      </c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>
        <f>10000+6300</f>
        <v>16300</v>
      </c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>
        <v>7400237</v>
      </c>
      <c r="C25" s="52">
        <f t="shared" si="8"/>
        <v>3665</v>
      </c>
      <c r="D25" s="44">
        <f t="shared" si="7"/>
        <v>776.48306264999997</v>
      </c>
      <c r="E25" s="49">
        <v>592268</v>
      </c>
      <c r="F25" s="53">
        <f t="shared" si="9"/>
        <v>265</v>
      </c>
      <c r="G25" s="46">
        <f t="shared" si="4"/>
        <v>224.57689999999999</v>
      </c>
      <c r="H25" s="46">
        <f t="shared" si="5"/>
        <v>224.57689999999999</v>
      </c>
      <c r="I25" s="47">
        <f t="shared" si="2"/>
        <v>449.15379999999999</v>
      </c>
      <c r="J25" s="35">
        <f>10000+6300</f>
        <v>16300</v>
      </c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>
        <v>7403902</v>
      </c>
      <c r="C26" s="50">
        <f t="shared" si="8"/>
        <v>3645</v>
      </c>
      <c r="D26" s="44">
        <f t="shared" si="7"/>
        <v>772.24577445</v>
      </c>
      <c r="E26" s="49">
        <v>592533</v>
      </c>
      <c r="F26" s="51">
        <f t="shared" si="9"/>
        <v>270</v>
      </c>
      <c r="G26" s="41">
        <f t="shared" si="4"/>
        <v>228.8142</v>
      </c>
      <c r="H26" s="41">
        <f t="shared" si="5"/>
        <v>228.8142</v>
      </c>
      <c r="I26" s="47">
        <f t="shared" si="2"/>
        <v>457.6284</v>
      </c>
      <c r="J26" s="35">
        <f>10000+6300</f>
        <v>16300</v>
      </c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>
        <v>7407547</v>
      </c>
      <c r="C27" s="52">
        <f t="shared" si="8"/>
        <v>3573</v>
      </c>
      <c r="D27" s="44">
        <f t="shared" si="7"/>
        <v>756.99153693000005</v>
      </c>
      <c r="E27" s="49">
        <v>592803</v>
      </c>
      <c r="F27" s="53">
        <f t="shared" si="9"/>
        <v>267</v>
      </c>
      <c r="G27" s="46">
        <f t="shared" si="4"/>
        <v>226.27181999999999</v>
      </c>
      <c r="H27" s="46">
        <f t="shared" si="5"/>
        <v>226.27181999999999</v>
      </c>
      <c r="I27" s="47">
        <f t="shared" si="2"/>
        <v>452.54363999999998</v>
      </c>
      <c r="J27" s="35">
        <f>10000+6300</f>
        <v>16300</v>
      </c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>
        <v>7411120</v>
      </c>
      <c r="C28" s="50">
        <f t="shared" si="8"/>
        <v>3784</v>
      </c>
      <c r="D28" s="44">
        <f t="shared" si="7"/>
        <v>801.69492744000001</v>
      </c>
      <c r="E28" s="49">
        <v>593070</v>
      </c>
      <c r="F28" s="51">
        <f t="shared" si="9"/>
        <v>265</v>
      </c>
      <c r="G28" s="41">
        <f t="shared" si="4"/>
        <v>224.57689999999999</v>
      </c>
      <c r="H28" s="41">
        <f t="shared" si="5"/>
        <v>224.57689999999999</v>
      </c>
      <c r="I28" s="47">
        <f t="shared" si="2"/>
        <v>449.15379999999999</v>
      </c>
      <c r="J28" s="35">
        <f>10000+6300</f>
        <v>16300</v>
      </c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>
        <v>7414904</v>
      </c>
      <c r="C29" s="52">
        <f t="shared" si="8"/>
        <v>4292</v>
      </c>
      <c r="D29" s="44">
        <f t="shared" si="7"/>
        <v>909.32204772</v>
      </c>
      <c r="E29" s="49">
        <v>593335</v>
      </c>
      <c r="F29" s="53">
        <f t="shared" si="9"/>
        <v>249</v>
      </c>
      <c r="G29" s="46">
        <f t="shared" si="4"/>
        <v>211.01754</v>
      </c>
      <c r="H29" s="46">
        <f t="shared" si="5"/>
        <v>211.01754</v>
      </c>
      <c r="I29" s="47">
        <f t="shared" si="2"/>
        <v>422.03507999999999</v>
      </c>
      <c r="J29" s="35">
        <f>10000+6300</f>
        <v>16300</v>
      </c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>
        <v>7419196</v>
      </c>
      <c r="C30" s="50">
        <f t="shared" si="8"/>
        <v>3866</v>
      </c>
      <c r="D30" s="44">
        <f t="shared" si="7"/>
        <v>819.06780906000006</v>
      </c>
      <c r="E30" s="49">
        <v>593584</v>
      </c>
      <c r="F30" s="51">
        <f t="shared" si="9"/>
        <v>251</v>
      </c>
      <c r="G30" s="41">
        <f t="shared" si="4"/>
        <v>212.71245999999999</v>
      </c>
      <c r="H30" s="41">
        <f t="shared" si="5"/>
        <v>212.71245999999999</v>
      </c>
      <c r="I30" s="47">
        <f t="shared" si="2"/>
        <v>425.42491999999999</v>
      </c>
      <c r="J30" s="35">
        <f>10000+6300</f>
        <v>16300</v>
      </c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>
        <v>7423062</v>
      </c>
      <c r="C31" s="52">
        <f t="shared" si="8"/>
        <v>3959</v>
      </c>
      <c r="D31" s="44">
        <f t="shared" si="7"/>
        <v>838.77119919000006</v>
      </c>
      <c r="E31" s="49">
        <v>593835</v>
      </c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>
        <f>10000+6300</f>
        <v>16300</v>
      </c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>
        <v>7427021</v>
      </c>
      <c r="C32" s="50">
        <f t="shared" si="8"/>
        <v>3396</v>
      </c>
      <c r="D32" s="44">
        <f t="shared" si="7"/>
        <v>719.49153636000005</v>
      </c>
      <c r="E32" s="49">
        <v>593835</v>
      </c>
      <c r="F32" s="52">
        <f t="shared" si="9"/>
        <v>70</v>
      </c>
      <c r="G32" s="41">
        <f t="shared" si="4"/>
        <v>59.322200000000002</v>
      </c>
      <c r="H32" s="41">
        <f t="shared" si="5"/>
        <v>59.322200000000002</v>
      </c>
      <c r="I32" s="47">
        <f t="shared" si="2"/>
        <v>118.6444</v>
      </c>
      <c r="J32" s="35">
        <f>10000+6300</f>
        <v>16300</v>
      </c>
      <c r="K32" s="36">
        <f t="shared" si="3"/>
        <v>50</v>
      </c>
      <c r="L32" s="37">
        <f t="shared" si="6"/>
        <v>35</v>
      </c>
    </row>
    <row r="33" spans="1:12" ht="32.450000000000003" customHeight="1">
      <c r="A33" s="43">
        <v>28</v>
      </c>
      <c r="B33" s="43">
        <v>7430417</v>
      </c>
      <c r="C33" s="52">
        <f t="shared" si="8"/>
        <v>3283</v>
      </c>
      <c r="D33" s="44">
        <f t="shared" si="7"/>
        <v>695.55085802999997</v>
      </c>
      <c r="E33" s="49">
        <v>593905</v>
      </c>
      <c r="F33" s="51">
        <f t="shared" si="9"/>
        <v>303</v>
      </c>
      <c r="G33" s="46">
        <f t="shared" si="4"/>
        <v>256.78037999999998</v>
      </c>
      <c r="H33" s="46">
        <f t="shared" si="5"/>
        <v>256.78037999999998</v>
      </c>
      <c r="I33" s="47">
        <f t="shared" si="2"/>
        <v>513.56075999999996</v>
      </c>
      <c r="J33" s="35">
        <f>10000+6250</f>
        <v>16250</v>
      </c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>
        <v>7433700</v>
      </c>
      <c r="C34" s="52">
        <f t="shared" si="8"/>
        <v>-7433700</v>
      </c>
      <c r="D34" s="44">
        <f t="shared" si="7"/>
        <v>-1574936.464617</v>
      </c>
      <c r="E34" s="49">
        <v>594208</v>
      </c>
      <c r="F34" s="52">
        <f t="shared" si="9"/>
        <v>-594208</v>
      </c>
      <c r="G34" s="41">
        <f t="shared" si="4"/>
        <v>-503567.51168</v>
      </c>
      <c r="H34" s="41">
        <f t="shared" si="5"/>
        <v>-503567.51168</v>
      </c>
      <c r="I34" s="47">
        <f t="shared" si="2"/>
        <v>-1007135.02336</v>
      </c>
      <c r="J34" s="35">
        <f>10000+6250</f>
        <v>16250</v>
      </c>
      <c r="K34" s="36">
        <f t="shared" si="3"/>
        <v>16250</v>
      </c>
      <c r="L34" s="37">
        <f t="shared" si="6"/>
        <v>11375</v>
      </c>
    </row>
    <row r="35" spans="1:12" ht="32.450000000000003" customHeight="1">
      <c r="A35" s="112">
        <v>30</v>
      </c>
      <c r="B35" s="113"/>
      <c r="C35" s="114">
        <f t="shared" si="8"/>
        <v>0</v>
      </c>
      <c r="D35" s="115">
        <f t="shared" si="7"/>
        <v>0</v>
      </c>
      <c r="E35" s="107"/>
      <c r="F35" s="114">
        <f t="shared" si="9"/>
        <v>0</v>
      </c>
      <c r="G35" s="116">
        <f t="shared" si="4"/>
        <v>0</v>
      </c>
      <c r="H35" s="116">
        <f t="shared" si="5"/>
        <v>0</v>
      </c>
      <c r="I35" s="117">
        <f t="shared" si="2"/>
        <v>0</v>
      </c>
      <c r="J35" s="118"/>
      <c r="K35" s="119">
        <f t="shared" si="3"/>
        <v>0</v>
      </c>
      <c r="L35" s="37">
        <f t="shared" si="6"/>
        <v>0</v>
      </c>
    </row>
    <row r="36" spans="1:12" ht="32.450000000000003" customHeight="1">
      <c r="A36" s="109">
        <v>31</v>
      </c>
      <c r="B36" s="110"/>
      <c r="C36" s="120">
        <f t="shared" ref="C36" si="10">B37-B36</f>
        <v>0</v>
      </c>
      <c r="D36" s="121">
        <f t="shared" si="7"/>
        <v>0</v>
      </c>
      <c r="E36" s="111"/>
      <c r="F36" s="120">
        <f t="shared" ref="F36" si="11">E37-E36</f>
        <v>0</v>
      </c>
      <c r="G36" s="122">
        <f t="shared" ref="G36" si="12">F36*0.84746</f>
        <v>0</v>
      </c>
      <c r="H36" s="122">
        <f t="shared" ref="H36" si="13">F36*0.84746</f>
        <v>0</v>
      </c>
      <c r="I36" s="123">
        <f t="shared" ref="I36" si="14">G36+H36</f>
        <v>0</v>
      </c>
      <c r="J36" s="124"/>
      <c r="K36" s="125">
        <f t="shared" ref="K36" si="15">J36-J37</f>
        <v>0</v>
      </c>
      <c r="L36" s="126">
        <f>K36*0.7</f>
        <v>0</v>
      </c>
    </row>
    <row r="37" spans="1:12" ht="32.450000000000003" customHeight="1">
      <c r="A37" s="109">
        <v>1</v>
      </c>
      <c r="B37" s="110"/>
      <c r="C37" s="120">
        <f t="shared" ref="C37" si="16">B38-B37</f>
        <v>0</v>
      </c>
      <c r="D37" s="121">
        <f t="shared" ref="D37" si="17">C37*0.21186441</f>
        <v>0</v>
      </c>
      <c r="E37" s="111"/>
      <c r="F37" s="120">
        <f t="shared" ref="F37" si="18">E38-E37</f>
        <v>0</v>
      </c>
      <c r="G37" s="122">
        <f t="shared" ref="G37" si="19">F37*0.84746</f>
        <v>0</v>
      </c>
      <c r="H37" s="122">
        <f t="shared" ref="H37" si="20">F37*0.84746</f>
        <v>0</v>
      </c>
      <c r="I37" s="123">
        <f t="shared" ref="I37" si="21">G37+H37</f>
        <v>0</v>
      </c>
      <c r="J37" s="124"/>
      <c r="K37" s="125">
        <f t="shared" ref="K37" si="22">J37-J38</f>
        <v>0</v>
      </c>
      <c r="L37" s="126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32A88E-4F20-4310-AD4B-B43665ADED7A}"/>
</file>

<file path=customXml/itemProps2.xml><?xml version="1.0" encoding="utf-8"?>
<ds:datastoreItem xmlns:ds="http://schemas.openxmlformats.org/officeDocument/2006/customXml" ds:itemID="{8169A055-6880-4B7E-B153-32E81666CB30}"/>
</file>

<file path=customXml/itemProps3.xml><?xml version="1.0" encoding="utf-8"?>
<ds:datastoreItem xmlns:ds="http://schemas.openxmlformats.org/officeDocument/2006/customXml" ds:itemID="{B764E2F0-68A0-4923-AC43-D41B6713E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2023-01-30T05:27:01Z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