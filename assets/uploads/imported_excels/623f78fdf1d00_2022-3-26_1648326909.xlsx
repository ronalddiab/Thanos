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27" i="7" l="1"/>
  <c r="CQ14" i="7" l="1"/>
  <c r="CQ15" i="7"/>
  <c r="CS14" i="7"/>
  <c r="CS15" i="7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6" i="7"/>
  <c r="CQ17" i="7"/>
  <c r="CQ18" i="7"/>
  <c r="CQ19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<sst xmlns="http://schemas.openxmlformats.org/spreadsheetml/2006/main" count="315" uniqueCount="148">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</sst>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21.977999999999998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13469.999999999609</v>
      </c>
      <c r="F8" s="11">
        <f t="shared" si="0"/>
        <v>0.58765030286592534</v>
      </c>
      <c r="G8" s="12">
        <f>(Submetering!AX8+Submetering!AY8+Submetering!AZ8+Submetering!BA8+Submetering!BB8)</f>
        <v>36.629999999999995</v>
      </c>
      <c r="H8" s="11">
        <f t="shared" si="1"/>
        <v>0.99</v>
      </c>
      <c r="I8" s="12">
        <f>'FS Desroches Daily'!CM10</f>
        <v>103</v>
      </c>
      <c r="J8" s="11">
        <f t="shared" si="2"/>
        <v>10.487297712684205</v>
      </c>
      <c r="K8" s="13">
        <f>'FS Desroches Daily'!CN10</f>
        <v>31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14190.000000000065</v>
      </c>
      <c r="F9" s="11">
        <f t="shared" si="0"/>
        <v>0.58765030286592534</v>
      </c>
      <c r="G9" s="12">
        <f>(Submetering!AX9+Submetering!AY9+Submetering!AZ9+Submetering!BA9+Submetering!BB9)</f>
        <v>38.461499999999994</v>
      </c>
      <c r="H9" s="11">
        <f t="shared" si="1"/>
        <v>0.99</v>
      </c>
      <c r="I9" s="12">
        <f>'FS Desroches Daily'!CM11</f>
        <v>120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13890.000000000657</v>
      </c>
      <c r="F10" s="11">
        <f t="shared" si="0"/>
        <v>0.58765030286592534</v>
      </c>
      <c r="G10" s="12">
        <f>(Submetering!AX10+Submetering!AY10+Submetering!AZ10+Submetering!BA10+Submetering!BB10)</f>
        <v>42.124499999999998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31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12839.999999999145</v>
      </c>
      <c r="F11" s="11">
        <f t="shared" si="0"/>
        <v>0.58765030286592534</v>
      </c>
      <c r="G11" s="12">
        <f>(Submetering!AX11+Submetering!AY11+Submetering!AZ11+Submetering!BA11+Submetering!BB11)</f>
        <v>25.640999999999998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10270.000000000069</v>
      </c>
      <c r="F12" s="11">
        <f t="shared" si="0"/>
        <v>0.58765030286592534</v>
      </c>
      <c r="G12" s="12">
        <f>(Submetering!AX12+Submetering!AY12+Submetering!AZ12+Submetering!BA12+Submetering!BB12)</f>
        <v>23.8095</v>
      </c>
      <c r="H12" s="11">
        <f t="shared" si="1"/>
        <v>0.99</v>
      </c>
      <c r="I12" s="12">
        <f>'FS Desroches Daily'!CM14</f>
        <v>89</v>
      </c>
      <c r="J12" s="11">
        <f t="shared" si="2"/>
        <v>10.487297712684205</v>
      </c>
      <c r="K12" s="13">
        <f>'FS Desroches Daily'!CN14</f>
        <v>26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11620.000000000695</v>
      </c>
      <c r="F13" s="11">
        <f t="shared" si="0"/>
        <v>0.58765030286592534</v>
      </c>
      <c r="G13" s="12">
        <f>(Submetering!AX13+Submetering!AY13+Submetering!AZ13+Submetering!BA13+Submetering!BB13)</f>
        <v>14.651999999999999</v>
      </c>
      <c r="H13" s="11">
        <f t="shared" si="1"/>
        <v>0.99</v>
      </c>
      <c r="I13" s="12">
        <f>'FS Desroches Daily'!CM15</f>
        <v>101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13429.999999999342</v>
      </c>
      <c r="F14" s="11">
        <f t="shared" si="0"/>
        <v>0.58765030286592534</v>
      </c>
      <c r="G14" s="12">
        <f>(Submetering!AX14+Submetering!AY14+Submetering!AZ14+Submetering!BA14+Submetering!BB14)</f>
        <v>27.4725</v>
      </c>
      <c r="H14" s="11">
        <f t="shared" si="1"/>
        <v>0.99</v>
      </c>
      <c r="I14" s="12">
        <f>'FS Desroches Daily'!CM16</f>
        <v>103.5</v>
      </c>
      <c r="J14" s="11">
        <f t="shared" si="2"/>
        <v>10.487297712684205</v>
      </c>
      <c r="K14" s="13">
        <f>'FS Desroches Daily'!CN16</f>
        <v>25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11480.000000000406</v>
      </c>
      <c r="F15" s="11">
        <f t="shared" si="0"/>
        <v>0.58765030286592534</v>
      </c>
      <c r="G15" s="12">
        <f>(Submetering!AX15+Submetering!AY15+Submetering!AZ15+Submetering!BA15+Submetering!BB15)</f>
        <v>20.1465</v>
      </c>
      <c r="H15" s="11">
        <f t="shared" si="1"/>
        <v>0.99</v>
      </c>
      <c r="I15" s="12">
        <f>'FS Desroches Daily'!CM17</f>
        <v>103.29999999999927</v>
      </c>
      <c r="J15" s="11">
        <f t="shared" si="2"/>
        <v>10.487297712684205</v>
      </c>
      <c r="K15" s="13">
        <f>'FS Desroches Daily'!CN17</f>
        <v>25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12380.000000000085</v>
      </c>
      <c r="F16" s="11">
        <f t="shared" si="0"/>
        <v>0.58765030286592534</v>
      </c>
      <c r="G16" s="12">
        <f>(Submetering!AX16+Submetering!AY16+Submetering!AZ16+Submetering!BA16+Submetering!BB16)</f>
        <v>23.809499999999996</v>
      </c>
      <c r="H16" s="11">
        <f t="shared" si="1"/>
        <v>0.99</v>
      </c>
      <c r="I16" s="12">
        <f>'FS Desroches Daily'!CM18</f>
        <v>104.40000000000146</v>
      </c>
      <c r="J16" s="11">
        <f t="shared" si="2"/>
        <v>10.487297712684205</v>
      </c>
      <c r="K16" s="13">
        <f>'FS Desroches Daily'!CN18</f>
        <v>25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13069.999999999794</v>
      </c>
      <c r="F17" s="11">
        <f t="shared" si="0"/>
        <v>0.58765030286592534</v>
      </c>
      <c r="G17" s="12">
        <f>(Submetering!AX17+Submetering!AY17+Submetering!AZ17+Submetering!BA17+Submetering!BB17)</f>
        <v>20.1465</v>
      </c>
      <c r="H17" s="11">
        <f t="shared" si="1"/>
        <v>0.99</v>
      </c>
      <c r="I17" s="12">
        <f>'FS Desroches Daily'!CM19</f>
        <v>111.89999999999782</v>
      </c>
      <c r="J17" s="11">
        <f t="shared" si="2"/>
        <v>10.487297712684205</v>
      </c>
      <c r="K17" s="13">
        <f>'FS Desroches Daily'!CN19</f>
        <v>25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13000.000000000335</v>
      </c>
      <c r="F18" s="11">
        <f t="shared" si="0"/>
        <v>0.58765030286592534</v>
      </c>
      <c r="G18" s="12">
        <f>(Submetering!AX18+Submetering!AY18+Submetering!AZ18+Submetering!BA18+Submetering!BB18)</f>
        <v>29.303999999999998</v>
      </c>
      <c r="H18" s="11">
        <f t="shared" si="1"/>
        <v>0.99</v>
      </c>
      <c r="I18" s="12">
        <f>'FS Desroches Daily'!CM20</f>
        <v>2201.7000000000021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11790.000000000075</v>
      </c>
      <c r="F19" s="11">
        <f t="shared" si="0"/>
        <v>0.58765030286592534</v>
      </c>
      <c r="G19" s="12">
        <f>(Submetering!AX19+Submetering!AY19+Submetering!AZ19+Submetering!BA19+Submetering!BB19)</f>
        <v>27.472499999999997</v>
      </c>
      <c r="H19" s="11">
        <f t="shared" si="1"/>
        <v>0.99</v>
      </c>
      <c r="I19" s="12">
        <f>'FS Desroches Daily'!CM21</f>
        <v>106.29999999999927</v>
      </c>
      <c r="J19" s="11">
        <f t="shared" si="2"/>
        <v>10.487297712684205</v>
      </c>
      <c r="K19" s="13">
        <f>'FS Desroches Daily'!CN21</f>
        <v>38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12539.999999999913</v>
      </c>
      <c r="F20" s="11">
        <f t="shared" si="0"/>
        <v>0.58765030286592534</v>
      </c>
      <c r="G20" s="12">
        <f>(Submetering!AX20+Submetering!AY20+Submetering!AZ20+Submetering!BA20+Submetering!BB20)</f>
        <v>20.1465</v>
      </c>
      <c r="H20" s="11">
        <f t="shared" si="1"/>
        <v>0.99</v>
      </c>
      <c r="I20" s="12">
        <f>'FS Desroches Daily'!CM22</f>
        <v>96.799999999999272</v>
      </c>
      <c r="J20" s="11">
        <f t="shared" si="2"/>
        <v>10.487297712684205</v>
      </c>
      <c r="K20" s="13">
        <f>'FS Desroches Daily'!CN22</f>
        <v>38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14309.999999999705</v>
      </c>
      <c r="F21" s="11">
        <f t="shared" si="0"/>
        <v>0.58765030286592534</v>
      </c>
      <c r="G21" s="12">
        <f>(Submetering!AX21+Submetering!AY21+Submetering!AZ21+Submetering!BA21+Submetering!BB21)</f>
        <v>29.303999999999998</v>
      </c>
      <c r="H21" s="11">
        <f t="shared" si="1"/>
        <v>0.99</v>
      </c>
      <c r="I21" s="12">
        <f>'FS Desroches Daily'!CM23</f>
        <v>112.10000000000218</v>
      </c>
      <c r="J21" s="11">
        <f t="shared" si="2"/>
        <v>10.487297712684205</v>
      </c>
      <c r="K21" s="13">
        <f>'FS Desroches Daily'!CN23</f>
        <v>38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13579.999999999285</v>
      </c>
      <c r="F22" s="11">
        <f t="shared" si="0"/>
        <v>0.58765030286592534</v>
      </c>
      <c r="G22" s="12">
        <f>(Submetering!AX22+Submetering!AY22+Submetering!AZ22+Submetering!BA22+Submetering!BB22)</f>
        <v>20.1465</v>
      </c>
      <c r="H22" s="11">
        <f t="shared" si="1"/>
        <v>0.99</v>
      </c>
      <c r="I22" s="12">
        <f>'FS Desroches Daily'!CM24</f>
        <v>104.59999999999854</v>
      </c>
      <c r="J22" s="11">
        <f t="shared" si="2"/>
        <v>10.487297712684205</v>
      </c>
      <c r="K22" s="13">
        <f>'FS Desroches Daily'!CN24</f>
        <v>35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13780.000000001344</v>
      </c>
      <c r="F23" s="11">
        <f t="shared" si="0"/>
        <v>0.58765030286592534</v>
      </c>
      <c r="G23" s="12">
        <f>(Submetering!AX23+Submetering!AY23+Submetering!AZ23+Submetering!BA23+Submetering!BB23)</f>
        <v>27.472499999999997</v>
      </c>
      <c r="H23" s="11">
        <f t="shared" si="1"/>
        <v>0.99</v>
      </c>
      <c r="I23" s="12">
        <f>'FS Desroches Daily'!CM25</f>
        <v>116.29999999999927</v>
      </c>
      <c r="J23" s="11">
        <f t="shared" si="2"/>
        <v>10.487297712684205</v>
      </c>
      <c r="K23" s="13">
        <f>'FS Desroches Daily'!CN25</f>
        <v>35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14379.999999999131</v>
      </c>
      <c r="F24" s="11">
        <f t="shared" si="0"/>
        <v>0.58765030286592534</v>
      </c>
      <c r="G24" s="12">
        <f>(Submetering!AX24+Submetering!AY24+Submetering!AZ24+Submetering!BA24+Submetering!BB24)</f>
        <v>27.472499999999997</v>
      </c>
      <c r="H24" s="11">
        <f t="shared" si="1"/>
        <v>0.99</v>
      </c>
      <c r="I24" s="12">
        <f>'FS Desroches Daily'!CM26</f>
        <v>120.79999999999927</v>
      </c>
      <c r="J24" s="11">
        <f t="shared" si="2"/>
        <v>10.487297712684205</v>
      </c>
      <c r="K24" s="13">
        <f>'FS Desroches Daily'!CN26</f>
        <v>31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13680.000000000908</v>
      </c>
      <c r="F25" s="11">
        <f t="shared" si="0"/>
        <v>0.58765030286592534</v>
      </c>
      <c r="G25" s="12">
        <f>(Submetering!AX25+Submetering!AY25+Submetering!AZ25+Submetering!BA25+Submetering!BB25)</f>
        <v>32.966999999999999</v>
      </c>
      <c r="H25" s="11">
        <f t="shared" si="1"/>
        <v>0.99</v>
      </c>
      <c r="I25" s="12">
        <f>'FS Desroches Daily'!CM27</f>
        <v>102.90000000000146</v>
      </c>
      <c r="J25" s="11">
        <f t="shared" si="2"/>
        <v>10.487297712684205</v>
      </c>
      <c r="K25" s="13">
        <f>'FS Desroches Daily'!CN27</f>
        <v>33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15329.999999999545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113</v>
      </c>
      <c r="J26" s="11">
        <f t="shared" si="2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 t="e">
        <f>Submetering!E27+Submetering!F27+Submetering!G27+Submetering!H27+Submetering!J27-Submetering!AV27</f>
        <v>#VALUE!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 t="e">
        <f>'FS Desroches Daily'!CM29</f>
        <v>#VALUE!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3700.0000000002588</v>
      </c>
      <c r="F8" s="32">
        <f>'FS Desroches Daily'!F10</f>
        <v>3499.9999999998367</v>
      </c>
      <c r="G8" s="31">
        <f>'FS Desroches Daily'!H10</f>
        <v>3199.9999999996476</v>
      </c>
      <c r="H8" s="32">
        <f>'FS Desroches Daily'!J10</f>
        <v>1900.0000000000127</v>
      </c>
      <c r="I8" s="31">
        <f>'FS Desroches Daily'!L10</f>
        <v>2499.9999999999468</v>
      </c>
      <c r="J8" s="32">
        <f>'FS Desroches Daily'!N10</f>
        <v>1999.9999999997797</v>
      </c>
      <c r="K8" s="13">
        <f>'FS Desroches Daily'!P10</f>
        <v>58</v>
      </c>
      <c r="L8" s="31">
        <f>'FS Desroches Daily'!R10</f>
        <v>7</v>
      </c>
      <c r="M8" s="31">
        <f>'FS Desroches Daily'!T10</f>
        <v>1</v>
      </c>
      <c r="N8" s="31">
        <f>'FS Desroches Daily'!V10</f>
        <v>391</v>
      </c>
      <c r="O8" s="31">
        <f>'FS Desroches Daily'!X10</f>
        <v>420.00000000001592</v>
      </c>
      <c r="P8" s="31">
        <f>'FS Desroches Daily'!Z10</f>
        <v>3100.0000000003247</v>
      </c>
      <c r="Q8" s="31">
        <f>'FS Desroches Daily'!AB10</f>
        <v>450.00000000004547</v>
      </c>
      <c r="R8" s="31">
        <f>'FS Desroches Daily'!AD10</f>
        <v>480.00000000001819</v>
      </c>
      <c r="S8" s="31">
        <f>'FS Desroches Daily'!AF10</f>
        <v>899.99999999997726</v>
      </c>
      <c r="T8" s="31">
        <f>'FS Desroches Daily'!AH10</f>
        <v>40</v>
      </c>
      <c r="U8" s="35">
        <f>'FS Desroches Daily'!AJ10</f>
        <v>889.99999999998636</v>
      </c>
      <c r="V8" s="35">
        <f>'FS Desroches Daily'!AL10</f>
        <v>240.00000000000909</v>
      </c>
      <c r="W8" s="35">
        <f>'FS Desroches Daily'!AN10</f>
        <v>250</v>
      </c>
      <c r="X8" s="35">
        <f>'FS Desroches Daily'!AP10</f>
        <v>399.99999999997726</v>
      </c>
      <c r="Y8" s="35">
        <f>'FS Desroches Daily'!AR10</f>
        <v>290.00000000002046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250</v>
      </c>
      <c r="AC8" s="35">
        <f>'FS Desroches Daily'!AZ10</f>
        <v>269.99999999998181</v>
      </c>
      <c r="AD8" s="35">
        <f>'FS Desroches Daily'!BB10</f>
        <v>199.99999999998863</v>
      </c>
      <c r="AE8" s="35">
        <f>'FS Desroches Daily'!BD10</f>
        <v>79.999999999984084</v>
      </c>
      <c r="AF8" s="31">
        <f>'FS Desroches Daily'!BF10</f>
        <v>30</v>
      </c>
      <c r="AG8" s="32">
        <f>'FS Desroches Daily'!BH10</f>
        <v>59.999999999973852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40.000000000020464</v>
      </c>
      <c r="AK8" s="32">
        <f>'FS Desroches Daily'!BP10</f>
        <v>79.999999999984084</v>
      </c>
      <c r="AL8" s="32">
        <f>'FS Desroches Daily'!BR10</f>
        <v>42</v>
      </c>
      <c r="AM8" s="32">
        <f>'FS Desroches Daily'!BT10</f>
        <v>69.999999999993179</v>
      </c>
      <c r="AN8" s="32">
        <f>'FS Desroches Daily'!BV10</f>
        <v>65</v>
      </c>
      <c r="AO8" s="32">
        <f>'FS Desroches Daily'!BX10</f>
        <v>60.000000000002274</v>
      </c>
      <c r="AP8" s="32">
        <f>'FS Desroches Daily'!BZ10</f>
        <v>58</v>
      </c>
      <c r="AQ8" s="31">
        <f>'FS Desroches Daily'!CB10</f>
        <v>55.700000000004366</v>
      </c>
      <c r="AR8" s="31">
        <f>'FS Desroches Daily'!CD10</f>
        <v>13.600000000000364</v>
      </c>
      <c r="AS8" s="31">
        <f>'FS Desroches Daily'!CF10</f>
        <v>2.8999999999996362</v>
      </c>
      <c r="AT8" s="31">
        <f>'FS Desroches Daily'!CH10</f>
        <v>50.700000000011642</v>
      </c>
      <c r="AU8" s="31">
        <f>'FS Desroches Daily'!CJ10</f>
        <v>326</v>
      </c>
      <c r="AV8" s="31">
        <f>'FS Desroches Daily'!CL10</f>
        <v>829.99999999992724</v>
      </c>
      <c r="AW8" s="31">
        <f>'FS Desroches Daily'!CM10</f>
        <v>103</v>
      </c>
      <c r="AX8" s="31">
        <f>IF(LPG!F16-LPG!F14&lt;0,"0",(LPG!F16-LPG!F14)*1.8315)</f>
        <v>20.1465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31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4000.0000000000036</v>
      </c>
      <c r="F9" s="32">
        <f>'FS Desroches Daily'!F11</f>
        <v>3800.0000000000255</v>
      </c>
      <c r="G9" s="31">
        <f>'FS Desroches Daily'!H11</f>
        <v>3400.0000000000696</v>
      </c>
      <c r="H9" s="32">
        <f>'FS Desroches Daily'!J11</f>
        <v>1900.0000000000127</v>
      </c>
      <c r="I9" s="31">
        <f>'FS Desroches Daily'!L11</f>
        <v>2499.9999999999468</v>
      </c>
      <c r="J9" s="32">
        <f>'FS Desroches Daily'!N11</f>
        <v>1900.0000000000127</v>
      </c>
      <c r="K9" s="13">
        <f>'FS Desroches Daily'!P11</f>
        <v>48</v>
      </c>
      <c r="L9" s="31">
        <f>'FS Desroches Daily'!R11</f>
        <v>8</v>
      </c>
      <c r="M9" s="31">
        <f>'FS Desroches Daily'!T11</f>
        <v>1.3000000000001819</v>
      </c>
      <c r="N9" s="31">
        <f>'FS Desroches Daily'!V11</f>
        <v>497.09999999997672</v>
      </c>
      <c r="O9" s="31">
        <f>'FS Desroches Daily'!X11</f>
        <v>479.99999999996135</v>
      </c>
      <c r="P9" s="31">
        <f>'FS Desroches Daily'!Z11</f>
        <v>3199.9999999996476</v>
      </c>
      <c r="Q9" s="31">
        <f>'FS Desroches Daily'!AB11</f>
        <v>329.99999999998408</v>
      </c>
      <c r="R9" s="31">
        <f>'FS Desroches Daily'!AD11</f>
        <v>550.00000000001137</v>
      </c>
      <c r="S9" s="31">
        <f>'FS Desroches Daily'!AF11</f>
        <v>929.99999999994998</v>
      </c>
      <c r="T9" s="31">
        <f>'FS Desroches Daily'!AH11</f>
        <v>43</v>
      </c>
      <c r="U9" s="35">
        <f>'FS Desroches Daily'!AJ11</f>
        <v>889.99999999998636</v>
      </c>
      <c r="V9" s="35">
        <f>'FS Desroches Daily'!AL11</f>
        <v>370.00000000000455</v>
      </c>
      <c r="W9" s="35">
        <f>'FS Desroches Daily'!AN11</f>
        <v>229.99999999998977</v>
      </c>
      <c r="X9" s="35">
        <f>'FS Desroches Daily'!AP11</f>
        <v>250</v>
      </c>
      <c r="Y9" s="35">
        <f>'FS Desroches Daily'!AR11</f>
        <v>299.99999999995453</v>
      </c>
      <c r="Z9" s="35">
        <f>'FS Desroches Daily'!AT11</f>
        <v>349.99999999996589</v>
      </c>
      <c r="AA9" s="35">
        <f>'FS Desroches Daily'!AT11</f>
        <v>349.99999999996589</v>
      </c>
      <c r="AB9" s="35">
        <f>'FS Desroches Daily'!AV11</f>
        <v>250</v>
      </c>
      <c r="AC9" s="35">
        <f>'FS Desroches Daily'!AZ11</f>
        <v>270.00000000003865</v>
      </c>
      <c r="AD9" s="35">
        <f>'FS Desroches Daily'!BB11</f>
        <v>400.00000000003411</v>
      </c>
      <c r="AE9" s="35">
        <f>'FS Desroches Daily'!BD11</f>
        <v>89.999999999974989</v>
      </c>
      <c r="AF9" s="31">
        <f>'FS Desroches Daily'!BF11</f>
        <v>35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49.999999999982947</v>
      </c>
      <c r="AK9" s="32">
        <f>'FS Desroches Daily'!BP11</f>
        <v>69.999999999993179</v>
      </c>
      <c r="AL9" s="32">
        <f>'FS Desroches Daily'!BR11</f>
        <v>45</v>
      </c>
      <c r="AM9" s="32">
        <f>'FS Desroches Daily'!BT11</f>
        <v>49.999999999982947</v>
      </c>
      <c r="AN9" s="32">
        <f>'FS Desroches Daily'!BV11</f>
        <v>57</v>
      </c>
      <c r="AO9" s="32">
        <f>'FS Desroches Daily'!BX11</f>
        <v>60.000000000002274</v>
      </c>
      <c r="AP9" s="32">
        <f>'FS Desroches Daily'!BZ11</f>
        <v>56</v>
      </c>
      <c r="AQ9" s="31">
        <f>'FS Desroches Daily'!CB11</f>
        <v>48.899999999994179</v>
      </c>
      <c r="AR9" s="31">
        <f>'FS Desroches Daily'!CD11</f>
        <v>11.399999999999636</v>
      </c>
      <c r="AS9" s="31">
        <f>'FS Desroches Daily'!CF11</f>
        <v>3.5</v>
      </c>
      <c r="AT9" s="31">
        <f>'FS Desroches Daily'!CH11</f>
        <v>47.19999999999709</v>
      </c>
      <c r="AU9" s="31">
        <f>'FS Desroches Daily'!CJ11</f>
        <v>336</v>
      </c>
      <c r="AV9" s="31">
        <f>'FS Desroches Daily'!CL11</f>
        <v>810.00000000005912</v>
      </c>
      <c r="AW9" s="31">
        <f>'FS Desroches Daily'!CM11</f>
        <v>120</v>
      </c>
      <c r="AX9" s="31">
        <f>IF(LPG!F17-LPG!F15&lt;0,"0",(LPG!F17-LPG!F15)*1.8315)</f>
        <v>21.977999999999998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3899.9999999997926</v>
      </c>
      <c r="F10" s="32">
        <f>'FS Desroches Daily'!F12</f>
        <v>3500.0000000007249</v>
      </c>
      <c r="G10" s="31">
        <f>'FS Desroches Daily'!H12</f>
        <v>3400.0000000000696</v>
      </c>
      <c r="H10" s="32">
        <f>'FS Desroches Daily'!J12</f>
        <v>1900.0000000000127</v>
      </c>
      <c r="I10" s="31">
        <f>'FS Desroches Daily'!L12</f>
        <v>2600.0000000001578</v>
      </c>
      <c r="J10" s="32">
        <f>'FS Desroches Daily'!N12</f>
        <v>2000.0000000000018</v>
      </c>
      <c r="K10" s="13">
        <f>'FS Desroches Daily'!P12</f>
        <v>62</v>
      </c>
      <c r="L10" s="31">
        <f>'FS Desroches Daily'!R12</f>
        <v>6</v>
      </c>
      <c r="M10" s="31">
        <f>'FS Desroches Daily'!T12</f>
        <v>1.3999999999998636</v>
      </c>
      <c r="N10" s="31">
        <f>'FS Desroches Daily'!V12</f>
        <v>508.70000000001164</v>
      </c>
      <c r="O10" s="31">
        <f>'FS Desroches Daily'!X12</f>
        <v>400.00000000003411</v>
      </c>
      <c r="P10" s="31">
        <f>'FS Desroches Daily'!Z12</f>
        <v>3200.0000000000919</v>
      </c>
      <c r="Q10" s="31">
        <f>'FS Desroches Daily'!AB12</f>
        <v>439.99999999999773</v>
      </c>
      <c r="R10" s="31">
        <f>'FS Desroches Daily'!AD12</f>
        <v>490.00000000000909</v>
      </c>
      <c r="S10" s="31">
        <f>'FS Desroches Daily'!AF12</f>
        <v>900.00000000009095</v>
      </c>
      <c r="T10" s="31">
        <f>'FS Desroches Daily'!AH12</f>
        <v>42</v>
      </c>
      <c r="U10" s="35">
        <f>'FS Desroches Daily'!AJ12</f>
        <v>789.99999999996362</v>
      </c>
      <c r="V10" s="35">
        <f>'FS Desroches Daily'!AL12</f>
        <v>340.00000000003183</v>
      </c>
      <c r="W10" s="35">
        <f>'FS Desroches Daily'!AN12</f>
        <v>259.99999999999091</v>
      </c>
      <c r="X10" s="35">
        <f>'FS Desroches Daily'!AP12</f>
        <v>290.00000000002046</v>
      </c>
      <c r="Y10" s="35">
        <f>'FS Desroches Daily'!AR12</f>
        <v>270.00000000003865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259.99999999999091</v>
      </c>
      <c r="AC10" s="35">
        <f>'FS Desroches Daily'!AZ12</f>
        <v>259.99999999999091</v>
      </c>
      <c r="AD10" s="35">
        <f>'FS Desroches Daily'!BB12</f>
        <v>399.99999999997726</v>
      </c>
      <c r="AE10" s="35">
        <f>'FS Desroches Daily'!BD12</f>
        <v>129.99999999999545</v>
      </c>
      <c r="AF10" s="31">
        <f>'FS Desroches Daily'!BF12</f>
        <v>29</v>
      </c>
      <c r="AG10" s="32">
        <f>'FS Desroches Daily'!BH12</f>
        <v>60.000000000002274</v>
      </c>
      <c r="AH10" s="32">
        <f>'FS Desroches Daily'!BJ12</f>
        <v>39.99999999996362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89.999999999974989</v>
      </c>
      <c r="AL10" s="32">
        <f>'FS Desroches Daily'!BR12</f>
        <v>40</v>
      </c>
      <c r="AM10" s="32">
        <f>'FS Desroches Daily'!BT12</f>
        <v>60.000000000002274</v>
      </c>
      <c r="AN10" s="32">
        <f>'FS Desroches Daily'!BV12</f>
        <v>54</v>
      </c>
      <c r="AO10" s="32">
        <f>'FS Desroches Daily'!BX12</f>
        <v>50.000000000011369</v>
      </c>
      <c r="AP10" s="32">
        <f>'FS Desroches Daily'!BZ12</f>
        <v>56</v>
      </c>
      <c r="AQ10" s="31">
        <f>'FS Desroches Daily'!CB12</f>
        <v>50.600000000005821</v>
      </c>
      <c r="AR10" s="31">
        <f>'FS Desroches Daily'!CD12</f>
        <v>11.799999999999272</v>
      </c>
      <c r="AS10" s="31">
        <f>'FS Desroches Daily'!CF12</f>
        <v>7</v>
      </c>
      <c r="AT10" s="31">
        <f>'FS Desroches Daily'!CH12</f>
        <v>47.099999999991269</v>
      </c>
      <c r="AU10" s="31">
        <f>'FS Desroches Daily'!CJ12</f>
        <v>350</v>
      </c>
      <c r="AV10" s="31">
        <f>'FS Desroches Daily'!CL12</f>
        <v>809.99999999994543</v>
      </c>
      <c r="AW10" s="31">
        <f>'FS Desroches Daily'!CM12</f>
        <v>125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31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3200.0000000000919</v>
      </c>
      <c r="F11" s="32">
        <f>'FS Desroches Daily'!F13</f>
        <v>3399.9999999991815</v>
      </c>
      <c r="G11" s="31">
        <f>'FS Desroches Daily'!H13</f>
        <v>3400.0000000000696</v>
      </c>
      <c r="H11" s="32">
        <f>'FS Desroches Daily'!J13</f>
        <v>1799.9999999998017</v>
      </c>
      <c r="I11" s="31">
        <f>'FS Desroches Daily'!L13</f>
        <v>2199.9999999997576</v>
      </c>
      <c r="J11" s="32">
        <f>'FS Desroches Daily'!N13</f>
        <v>1900.0000000000127</v>
      </c>
      <c r="K11" s="13">
        <f>'FS Desroches Daily'!P13</f>
        <v>40</v>
      </c>
      <c r="L11" s="31">
        <f>'FS Desroches Daily'!R13</f>
        <v>9</v>
      </c>
      <c r="M11" s="31">
        <f>'FS Desroches Daily'!T13</f>
        <v>1.7000000000000455</v>
      </c>
      <c r="N11" s="31">
        <f>'FS Desroches Daily'!V13</f>
        <v>532.20000000001164</v>
      </c>
      <c r="O11" s="31">
        <f>'FS Desroches Daily'!X13</f>
        <v>379.99999999999545</v>
      </c>
      <c r="P11" s="31">
        <f>'FS Desroches Daily'!Z13</f>
        <v>3100.0000000003247</v>
      </c>
      <c r="Q11" s="31">
        <f>'FS Desroches Daily'!AB13</f>
        <v>420.00000000001592</v>
      </c>
      <c r="R11" s="31">
        <f>'FS Desroches Daily'!AD13</f>
        <v>500</v>
      </c>
      <c r="S11" s="31">
        <f>'FS Desroches Daily'!AF13</f>
        <v>809.99999999994543</v>
      </c>
      <c r="T11" s="31">
        <f>'FS Desroches Daily'!AH13</f>
        <v>41</v>
      </c>
      <c r="U11" s="35">
        <f>'FS Desroches Daily'!AJ13</f>
        <v>660.00000000008185</v>
      </c>
      <c r="V11" s="35">
        <f>'FS Desroches Daily'!AL13</f>
        <v>329.99999999998408</v>
      </c>
      <c r="W11" s="35">
        <f>'FS Desroches Daily'!AN13</f>
        <v>220.00000000002728</v>
      </c>
      <c r="X11" s="35">
        <f>'FS Desroches Daily'!AP13</f>
        <v>229.99999999998977</v>
      </c>
      <c r="Y11" s="35">
        <f>'FS Desroches Daily'!AR13</f>
        <v>279.99999999997272</v>
      </c>
      <c r="Z11" s="35">
        <f>'FS Desroches Daily'!AT13</f>
        <v>220.00000000002728</v>
      </c>
      <c r="AA11" s="35">
        <f>'FS Desroches Daily'!AT13</f>
        <v>220.00000000002728</v>
      </c>
      <c r="AB11" s="35">
        <f>'FS Desroches Daily'!AV13</f>
        <v>199.99999999998863</v>
      </c>
      <c r="AC11" s="35">
        <f>'FS Desroches Daily'!AZ13</f>
        <v>209.99999999997954</v>
      </c>
      <c r="AD11" s="35">
        <f>'FS Desroches Daily'!BB13</f>
        <v>329.99999999998408</v>
      </c>
      <c r="AE11" s="35">
        <f>'FS Desroches Daily'!BD13</f>
        <v>110.00000000001364</v>
      </c>
      <c r="AF11" s="31">
        <f>'FS Desroches Daily'!BF13</f>
        <v>28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31</v>
      </c>
      <c r="AM11" s="32">
        <f>'FS Desroches Daily'!BT13</f>
        <v>50.000000000011369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50.69999999999709</v>
      </c>
      <c r="AR11" s="31">
        <f>'FS Desroches Daily'!CD13</f>
        <v>13.300000000001091</v>
      </c>
      <c r="AS11" s="31">
        <f>'FS Desroches Daily'!CF13</f>
        <v>10</v>
      </c>
      <c r="AT11" s="31">
        <f>'FS Desroches Daily'!CH13</f>
        <v>56.700000000011642</v>
      </c>
      <c r="AU11" s="31">
        <f>'FS Desroches Daily'!CJ13</f>
        <v>298</v>
      </c>
      <c r="AV11" s="31">
        <f>'FS Desroches Daily'!CL13</f>
        <v>860.00000000001364</v>
      </c>
      <c r="AW11" s="31">
        <f>'FS Desroches Daily'!CM13</f>
        <v>127</v>
      </c>
      <c r="AX11" s="31">
        <f>IF(LPG!F18-LPG!F17&lt;0,"0",(LPG!F18-LPG!F17)*1.8315)</f>
        <v>10.988999999999999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7.3259999999999996</v>
      </c>
      <c r="BB11" s="31">
        <f>IF(LPG!Q18-LPG!Q17&lt;0,"0",(LPG!Q18-LPG!Q17)*1.8315)</f>
        <v>3.6629999999999998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2299.9999999999686</v>
      </c>
      <c r="F12" s="32">
        <f>'FS Desroches Daily'!F14</f>
        <v>2900.0000000003465</v>
      </c>
      <c r="G12" s="31">
        <f>'FS Desroches Daily'!H14</f>
        <v>3099.9999999998809</v>
      </c>
      <c r="H12" s="32">
        <f>'FS Desroches Daily'!J14</f>
        <v>1399.9999999998458</v>
      </c>
      <c r="I12" s="31">
        <f>'FS Desroches Daily'!L14</f>
        <v>2000.0000000002237</v>
      </c>
      <c r="J12" s="32">
        <f>'FS Desroches Daily'!N14</f>
        <v>1400.0000000000678</v>
      </c>
      <c r="K12" s="13">
        <f>'FS Desroches Daily'!P14</f>
        <v>7</v>
      </c>
      <c r="L12" s="31">
        <f>'FS Desroches Daily'!R14</f>
        <v>0</v>
      </c>
      <c r="M12" s="31">
        <f>'FS Desroches Daily'!T14</f>
        <v>0.79999999999995453</v>
      </c>
      <c r="N12" s="31">
        <f>'FS Desroches Daily'!V14</f>
        <v>255.20000000001164</v>
      </c>
      <c r="O12" s="31">
        <f>'FS Desroches Daily'!X14</f>
        <v>310.00000000000227</v>
      </c>
      <c r="P12" s="31">
        <f>'FS Desroches Daily'!Z14</f>
        <v>2399.9999999997358</v>
      </c>
      <c r="Q12" s="31">
        <f>'FS Desroches Daily'!AB14</f>
        <v>379.99999999999545</v>
      </c>
      <c r="R12" s="31">
        <f>'FS Desroches Daily'!AD14</f>
        <v>359.9999999999568</v>
      </c>
      <c r="S12" s="31">
        <f>'FS Desroches Daily'!AF14</f>
        <v>639.99999999998636</v>
      </c>
      <c r="T12" s="31">
        <f>'FS Desroches Daily'!AH14</f>
        <v>35</v>
      </c>
      <c r="U12" s="35">
        <f>'FS Desroches Daily'!AJ14</f>
        <v>509.99999999999091</v>
      </c>
      <c r="V12" s="35">
        <f>'FS Desroches Daily'!AL14</f>
        <v>250</v>
      </c>
      <c r="W12" s="35">
        <f>'FS Desroches Daily'!AN14</f>
        <v>149.99999999997726</v>
      </c>
      <c r="X12" s="35">
        <f>'FS Desroches Daily'!AP14</f>
        <v>140.00000000001478</v>
      </c>
      <c r="Y12" s="35">
        <f>'FS Desroches Daily'!AR14</f>
        <v>170.00000000001592</v>
      </c>
      <c r="Z12" s="35">
        <f>'FS Desroches Daily'!AT14</f>
        <v>109.9999999999568</v>
      </c>
      <c r="AA12" s="35">
        <f>'FS Desroches Daily'!AT14</f>
        <v>109.9999999999568</v>
      </c>
      <c r="AB12" s="35">
        <f>'FS Desroches Daily'!AV14</f>
        <v>120.00000000000455</v>
      </c>
      <c r="AC12" s="35">
        <f>'FS Desroches Daily'!AZ14</f>
        <v>160.00000000002501</v>
      </c>
      <c r="AD12" s="35">
        <f>'FS Desroches Daily'!BB14</f>
        <v>220.00000000002728</v>
      </c>
      <c r="AE12" s="35">
        <f>'FS Desroches Daily'!BD14</f>
        <v>79.999999999984084</v>
      </c>
      <c r="AF12" s="31">
        <f>'FS Desroches Daily'!BF14</f>
        <v>35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50.000000000011369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29</v>
      </c>
      <c r="AM12" s="32">
        <f>'FS Desroches Daily'!BT14</f>
        <v>39.999999999992042</v>
      </c>
      <c r="AN12" s="32">
        <f>'FS Desroches Daily'!BV14</f>
        <v>35</v>
      </c>
      <c r="AO12" s="32">
        <f>'FS Desroches Daily'!BX14</f>
        <v>39.999999999992042</v>
      </c>
      <c r="AP12" s="32">
        <f>'FS Desroches Daily'!BZ14</f>
        <v>32</v>
      </c>
      <c r="AQ12" s="31">
        <f>'FS Desroches Daily'!CB14</f>
        <v>47.099999999998545</v>
      </c>
      <c r="AR12" s="31">
        <f>'FS Desroches Daily'!CD14</f>
        <v>10.399999999999636</v>
      </c>
      <c r="AS12" s="31">
        <f>'FS Desroches Daily'!CF14</f>
        <v>9.3000000000001819</v>
      </c>
      <c r="AT12" s="31">
        <f>'FS Desroches Daily'!CH14</f>
        <v>38</v>
      </c>
      <c r="AU12" s="31">
        <f>'FS Desroches Daily'!CJ14</f>
        <v>313</v>
      </c>
      <c r="AV12" s="31">
        <f>'FS Desroches Daily'!CL14</f>
        <v>830.00000000004093</v>
      </c>
      <c r="AW12" s="31">
        <f>'FS Desroches Daily'!CM14</f>
        <v>89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7.3259999999999996</v>
      </c>
      <c r="BC12" s="13">
        <f>'FS Desroches Daily'!CN14</f>
        <v>26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3000.0000000001137</v>
      </c>
      <c r="F13" s="32">
        <f>'FS Desroches Daily'!F15</f>
        <v>3200.0000000005357</v>
      </c>
      <c r="G13" s="31">
        <f>'FS Desroches Daily'!H15</f>
        <v>2799.9999999996917</v>
      </c>
      <c r="H13" s="32">
        <f>'FS Desroches Daily'!J15</f>
        <v>1600.0000000002678</v>
      </c>
      <c r="I13" s="31">
        <f>'FS Desroches Daily'!L15</f>
        <v>1999.9999999997797</v>
      </c>
      <c r="J13" s="32">
        <f>'FS Desroches Daily'!N15</f>
        <v>1700.0000000000348</v>
      </c>
      <c r="K13" s="13">
        <f>'FS Desroches Daily'!P15</f>
        <v>3</v>
      </c>
      <c r="L13" s="31">
        <f>'FS Desroches Daily'!R15</f>
        <v>5</v>
      </c>
      <c r="M13" s="31">
        <f>'FS Desroches Daily'!T15</f>
        <v>1.2000000000000455</v>
      </c>
      <c r="N13" s="31">
        <f>'FS Desroches Daily'!V15</f>
        <v>435.19999999995343</v>
      </c>
      <c r="O13" s="31">
        <f>'FS Desroches Daily'!X15</f>
        <v>409.99999999996817</v>
      </c>
      <c r="P13" s="31">
        <f>'FS Desroches Daily'!Z15</f>
        <v>2899.9999999999027</v>
      </c>
      <c r="Q13" s="31">
        <f>'FS Desroches Daily'!AB15</f>
        <v>439.99999999999773</v>
      </c>
      <c r="R13" s="31">
        <f>'FS Desroches Daily'!AD15</f>
        <v>370.00000000000455</v>
      </c>
      <c r="S13" s="31">
        <f>'FS Desroches Daily'!AF15</f>
        <v>759.99999999999091</v>
      </c>
      <c r="T13" s="31">
        <f>'FS Desroches Daily'!AH15</f>
        <v>39</v>
      </c>
      <c r="U13" s="35">
        <f>'FS Desroches Daily'!AJ15</f>
        <v>599.99999999990905</v>
      </c>
      <c r="V13" s="35">
        <f>'FS Desroches Daily'!AL15</f>
        <v>259.99999999999091</v>
      </c>
      <c r="W13" s="35">
        <f>'FS Desroches Daily'!AN15</f>
        <v>180.00000000000682</v>
      </c>
      <c r="X13" s="35">
        <f>'FS Desroches Daily'!AP15</f>
        <v>229.99999999998977</v>
      </c>
      <c r="Y13" s="35">
        <f>'FS Desroches Daily'!AR15</f>
        <v>219.99999999997044</v>
      </c>
      <c r="Z13" s="35">
        <f>'FS Desroches Daily'!AT15</f>
        <v>140.0000000000432</v>
      </c>
      <c r="AA13" s="35">
        <f>'FS Desroches Daily'!AT15</f>
        <v>140.0000000000432</v>
      </c>
      <c r="AB13" s="35">
        <f>'FS Desroches Daily'!AV15</f>
        <v>230.00000000001819</v>
      </c>
      <c r="AC13" s="35">
        <f>'FS Desroches Daily'!AZ15</f>
        <v>229.99999999996135</v>
      </c>
      <c r="AD13" s="35">
        <f>'FS Desroches Daily'!BB15</f>
        <v>350.00000000002274</v>
      </c>
      <c r="AE13" s="35">
        <f>'FS Desroches Daily'!BD15</f>
        <v>150.00000000003411</v>
      </c>
      <c r="AF13" s="31">
        <f>'FS Desroches Daily'!BF15</f>
        <v>46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69.999999999993179</v>
      </c>
      <c r="AL13" s="32">
        <f>'FS Desroches Daily'!BR15</f>
        <v>29</v>
      </c>
      <c r="AM13" s="32">
        <f>'FS Desroches Daily'!BT15</f>
        <v>50.000000000011369</v>
      </c>
      <c r="AN13" s="32">
        <f>'FS Desroches Daily'!BV15</f>
        <v>43</v>
      </c>
      <c r="AO13" s="32">
        <f>'FS Desroches Daily'!BX15</f>
        <v>40.000000000020464</v>
      </c>
      <c r="AP13" s="32">
        <f>'FS Desroches Daily'!BZ15</f>
        <v>39</v>
      </c>
      <c r="AQ13" s="31">
        <f>'FS Desroches Daily'!CB15</f>
        <v>45.599999999998545</v>
      </c>
      <c r="AR13" s="31">
        <f>'FS Desroches Daily'!CD15</f>
        <v>13.5</v>
      </c>
      <c r="AS13" s="31">
        <f>'FS Desroches Daily'!CF15</f>
        <v>6.0999999999994543</v>
      </c>
      <c r="AT13" s="31">
        <f>'FS Desroches Daily'!CH15</f>
        <v>52</v>
      </c>
      <c r="AU13" s="31">
        <f>'FS Desroches Daily'!CJ15</f>
        <v>307</v>
      </c>
      <c r="AV13" s="31">
        <f>'FS Desroches Daily'!CL15</f>
        <v>679.99999999994998</v>
      </c>
      <c r="AW13" s="31">
        <f>'FS Desroches Daily'!CM15</f>
        <v>101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1.8314999999999999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3499.9999999998367</v>
      </c>
      <c r="F14" s="32">
        <f>'FS Desroches Daily'!F16</f>
        <v>3399.9999999991815</v>
      </c>
      <c r="G14" s="31">
        <f>'FS Desroches Daily'!H16</f>
        <v>3600.0000000004916</v>
      </c>
      <c r="H14" s="32">
        <f>'FS Desroches Daily'!J16</f>
        <v>1799.9999999998017</v>
      </c>
      <c r="I14" s="31">
        <f>'FS Desroches Daily'!L16</f>
        <v>2699.9999999999245</v>
      </c>
      <c r="J14" s="32">
        <f>'FS Desroches Daily'!N16</f>
        <v>1900.0000000000127</v>
      </c>
      <c r="K14" s="13">
        <f>'FS Desroches Daily'!P16</f>
        <v>39</v>
      </c>
      <c r="L14" s="31">
        <f>'FS Desroches Daily'!R16</f>
        <v>7</v>
      </c>
      <c r="M14" s="31">
        <f>'FS Desroches Daily'!T16</f>
        <v>1.5</v>
      </c>
      <c r="N14" s="31">
        <f>'FS Desroches Daily'!V16</f>
        <v>501.90000000002328</v>
      </c>
      <c r="O14" s="31">
        <f>'FS Desroches Daily'!X16</f>
        <v>400.00000000003411</v>
      </c>
      <c r="P14" s="31">
        <f>'FS Desroches Daily'!Z16</f>
        <v>2800.0000000001355</v>
      </c>
      <c r="Q14" s="31">
        <f>'FS Desroches Daily'!AB16</f>
        <v>439.99999999999773</v>
      </c>
      <c r="R14" s="31">
        <f>'FS Desroches Daily'!AD16</f>
        <v>420.00000000001592</v>
      </c>
      <c r="S14" s="31">
        <f>'FS Desroches Daily'!AF16</f>
        <v>850.00000000002274</v>
      </c>
      <c r="T14" s="31">
        <f>'FS Desroches Daily'!AH16</f>
        <v>40</v>
      </c>
      <c r="U14" s="35">
        <f>'FS Desroches Daily'!AJ16</f>
        <v>680.00000000006366</v>
      </c>
      <c r="V14" s="35">
        <f>'FS Desroches Daily'!AL16</f>
        <v>280.00000000002956</v>
      </c>
      <c r="W14" s="35">
        <f>'FS Desroches Daily'!AN16</f>
        <v>229.99999999998977</v>
      </c>
      <c r="X14" s="35">
        <f>'FS Desroches Daily'!AP16</f>
        <v>210.00000000000796</v>
      </c>
      <c r="Y14" s="35">
        <f>'FS Desroches Daily'!AR16</f>
        <v>310.00000000000227</v>
      </c>
      <c r="Z14" s="35">
        <f>'FS Desroches Daily'!AT16</f>
        <v>159.99999999996817</v>
      </c>
      <c r="AA14" s="35">
        <f>'FS Desroches Daily'!AT16</f>
        <v>159.99999999996817</v>
      </c>
      <c r="AB14" s="35">
        <f>'FS Desroches Daily'!AV16</f>
        <v>290.00000000002046</v>
      </c>
      <c r="AC14" s="35">
        <f>'FS Desroches Daily'!AZ16</f>
        <v>200.00000000004547</v>
      </c>
      <c r="AD14" s="35">
        <f>'FS Desroches Daily'!BB16</f>
        <v>289.99999999996362</v>
      </c>
      <c r="AE14" s="35">
        <f>'FS Desroches Daily'!BD16</f>
        <v>149.99999999997726</v>
      </c>
      <c r="AF14" s="31">
        <f>'FS Desroches Daily'!BF16</f>
        <v>33</v>
      </c>
      <c r="AG14" s="32">
        <f>'FS Desroches Daily'!BH16</f>
        <v>49.999999999982947</v>
      </c>
      <c r="AH14" s="32">
        <f>'FS Desroches Daily'!BJ16</f>
        <v>39.99999999996362</v>
      </c>
      <c r="AI14" s="32">
        <f>'FS Desroches Daily'!BL16</f>
        <v>69.999999999993179</v>
      </c>
      <c r="AJ14" s="32">
        <f>'FS Desroches Daily'!BN16</f>
        <v>49.999999999982947</v>
      </c>
      <c r="AK14" s="32">
        <f>'FS Desroches Daily'!BP16</f>
        <v>80.000000000040927</v>
      </c>
      <c r="AL14" s="32">
        <f>'FS Desroches Daily'!BR16</f>
        <v>33</v>
      </c>
      <c r="AM14" s="32">
        <f>'FS Desroches Daily'!BT16</f>
        <v>60.000000000002274</v>
      </c>
      <c r="AN14" s="32">
        <f>'FS Desroches Daily'!BV16</f>
        <v>52</v>
      </c>
      <c r="AO14" s="32">
        <f>'FS Desroches Daily'!BX16</f>
        <v>60.000000000002274</v>
      </c>
      <c r="AP14" s="32">
        <f>'FS Desroches Daily'!BZ16</f>
        <v>48</v>
      </c>
      <c r="AQ14" s="31">
        <f>'FS Desroches Daily'!CB16</f>
        <v>59.30000000000291</v>
      </c>
      <c r="AR14" s="31">
        <f>'FS Desroches Daily'!CD16</f>
        <v>10</v>
      </c>
      <c r="AS14" s="31">
        <f>'FS Desroches Daily'!CF16</f>
        <v>10.400000000000546</v>
      </c>
      <c r="AT14" s="31">
        <f>'FS Desroches Daily'!CH16</f>
        <v>44.5</v>
      </c>
      <c r="AU14" s="31">
        <f>'FS Desroches Daily'!CJ16</f>
        <v>305</v>
      </c>
      <c r="AV14" s="31">
        <f>'FS Desroches Daily'!CL16</f>
        <v>769.99999999998181</v>
      </c>
      <c r="AW14" s="31">
        <f>'FS Desroches Daily'!CM16</f>
        <v>103.5</v>
      </c>
      <c r="AX14" s="31">
        <f>IF(LPG!F21-LPG!F20&lt;0,"0",(LPG!F21-LPG!F20)*1.8315)</f>
        <v>10.988999999999999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7.3259999999999996</v>
      </c>
      <c r="BC14" s="13">
        <f>'FS Desroches Daily'!CN16</f>
        <v>25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2899.9999999999027</v>
      </c>
      <c r="F15" s="32">
        <f>'FS Desroches Daily'!F17</f>
        <v>3300.0000000003029</v>
      </c>
      <c r="G15" s="31">
        <f>'FS Desroches Daily'!H17</f>
        <v>2699.9999999999245</v>
      </c>
      <c r="H15" s="32">
        <f>'FS Desroches Daily'!J17</f>
        <v>1600.0000000002678</v>
      </c>
      <c r="I15" s="31">
        <f>'FS Desroches Daily'!L17</f>
        <v>2400.0000000001796</v>
      </c>
      <c r="J15" s="32">
        <f>'FS Desroches Daily'!N17</f>
        <v>1700.0000000000348</v>
      </c>
      <c r="K15" s="13">
        <f>'FS Desroches Daily'!P17</f>
        <v>4</v>
      </c>
      <c r="L15" s="31">
        <f>'FS Desroches Daily'!R17</f>
        <v>5</v>
      </c>
      <c r="M15" s="31">
        <f>'FS Desroches Daily'!T17</f>
        <v>1.4000000000000909</v>
      </c>
      <c r="N15" s="31">
        <f>'FS Desroches Daily'!V17</f>
        <v>552</v>
      </c>
      <c r="O15" s="31">
        <f>'FS Desroches Daily'!X17</f>
        <v>409.99999999996817</v>
      </c>
      <c r="P15" s="31">
        <f>'FS Desroches Daily'!Z17</f>
        <v>2899.9999999999027</v>
      </c>
      <c r="Q15" s="31">
        <f>'FS Desroches Daily'!AB17</f>
        <v>409.99999999996817</v>
      </c>
      <c r="R15" s="31">
        <f>'FS Desroches Daily'!AD17</f>
        <v>459.99999999997954</v>
      </c>
      <c r="S15" s="31">
        <f>'FS Desroches Daily'!AF17</f>
        <v>789.99999999996362</v>
      </c>
      <c r="T15" s="31">
        <f>'FS Desroches Daily'!AH17</f>
        <v>39</v>
      </c>
      <c r="U15" s="35">
        <f>'FS Desroches Daily'!AJ17</f>
        <v>580.00000000004093</v>
      </c>
      <c r="V15" s="35">
        <f>'FS Desroches Daily'!AL17</f>
        <v>269.99999999998181</v>
      </c>
      <c r="W15" s="35">
        <f>'FS Desroches Daily'!AN17</f>
        <v>200.00000000001705</v>
      </c>
      <c r="X15" s="35">
        <f>'FS Desroches Daily'!AP17</f>
        <v>209.99999999997954</v>
      </c>
      <c r="Y15" s="35">
        <f>'FS Desroches Daily'!AR17</f>
        <v>280.00000000002956</v>
      </c>
      <c r="Z15" s="35">
        <f>'FS Desroches Daily'!AT17</f>
        <v>160.00000000002501</v>
      </c>
      <c r="AA15" s="35">
        <f>'FS Desroches Daily'!AT17</f>
        <v>160.00000000002501</v>
      </c>
      <c r="AB15" s="35">
        <f>'FS Desroches Daily'!AV17</f>
        <v>279.99999999997272</v>
      </c>
      <c r="AC15" s="35">
        <f>'FS Desroches Daily'!AZ17</f>
        <v>189.99999999999773</v>
      </c>
      <c r="AD15" s="35">
        <f>'FS Desroches Daily'!BB17</f>
        <v>230.00000000001819</v>
      </c>
      <c r="AE15" s="35">
        <f>'FS Desroches Daily'!BD17</f>
        <v>110.00000000001364</v>
      </c>
      <c r="AF15" s="31">
        <f>'FS Desroches Daily'!BF17</f>
        <v>18</v>
      </c>
      <c r="AG15" s="32">
        <f>'FS Desroches Daily'!BH17</f>
        <v>50.000000000011369</v>
      </c>
      <c r="AH15" s="32">
        <f>'FS Desroches Daily'!BJ17</f>
        <v>30.000000000029559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59.99999999994543</v>
      </c>
      <c r="AL15" s="32">
        <f>'FS Desroches Daily'!BR17</f>
        <v>26</v>
      </c>
      <c r="AM15" s="32">
        <f>'FS Desroches Daily'!BT17</f>
        <v>39.999999999992042</v>
      </c>
      <c r="AN15" s="32">
        <f>'FS Desroches Daily'!BV17</f>
        <v>42</v>
      </c>
      <c r="AO15" s="32">
        <f>'FS Desroches Daily'!BX17</f>
        <v>39.999999999992042</v>
      </c>
      <c r="AP15" s="32">
        <f>'FS Desroches Daily'!BZ17</f>
        <v>45</v>
      </c>
      <c r="AQ15" s="31">
        <f>'FS Desroches Daily'!CB17</f>
        <v>48.69999999999709</v>
      </c>
      <c r="AR15" s="31">
        <f>'FS Desroches Daily'!CD17</f>
        <v>11.399999999999636</v>
      </c>
      <c r="AS15" s="31">
        <f>'FS Desroches Daily'!CF17</f>
        <v>2.5</v>
      </c>
      <c r="AT15" s="31">
        <f>'FS Desroches Daily'!CH17</f>
        <v>57.399999999994179</v>
      </c>
      <c r="AU15" s="31">
        <f>'FS Desroches Daily'!CJ17</f>
        <v>282</v>
      </c>
      <c r="AV15" s="31">
        <f>'FS Desroches Daily'!CL17</f>
        <v>720.00000000002728</v>
      </c>
      <c r="AW15" s="31">
        <f>'FS Desroches Daily'!CM17</f>
        <v>103.29999999999927</v>
      </c>
      <c r="AX15" s="31">
        <f>IF(LPG!F22-LPG!F21&lt;0,"0",(LPG!F22-LPG!F21)*1.8315)</f>
        <v>10.988999999999999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3200.0000000000919</v>
      </c>
      <c r="F16" s="32">
        <f>'FS Desroches Daily'!F18</f>
        <v>3400.0000000000696</v>
      </c>
      <c r="G16" s="31">
        <f>'FS Desroches Daily'!H18</f>
        <v>3000.0000000001137</v>
      </c>
      <c r="H16" s="32">
        <f>'FS Desroches Daily'!J18</f>
        <v>1799.9999999998017</v>
      </c>
      <c r="I16" s="31">
        <f>'FS Desroches Daily'!L18</f>
        <v>2600.0000000001578</v>
      </c>
      <c r="J16" s="32">
        <f>'FS Desroches Daily'!N18</f>
        <v>1700.0000000000348</v>
      </c>
      <c r="K16" s="13">
        <f>'FS Desroches Daily'!P18</f>
        <v>64</v>
      </c>
      <c r="L16" s="31">
        <f>'FS Desroches Daily'!R18</f>
        <v>7</v>
      </c>
      <c r="M16" s="31">
        <f>'FS Desroches Daily'!T18</f>
        <v>1.8999999999998636</v>
      </c>
      <c r="N16" s="31">
        <f>'FS Desroches Daily'!V18</f>
        <v>496</v>
      </c>
      <c r="O16" s="31">
        <f>'FS Desroches Daily'!X18</f>
        <v>439.99999999999773</v>
      </c>
      <c r="P16" s="31">
        <f>'FS Desroches Daily'!Z18</f>
        <v>2899.9999999999027</v>
      </c>
      <c r="Q16" s="31">
        <f>'FS Desroches Daily'!AB18</f>
        <v>310.00000000000227</v>
      </c>
      <c r="R16" s="31">
        <f>'FS Desroches Daily'!AD18</f>
        <v>480.00000000001819</v>
      </c>
      <c r="S16" s="31">
        <f>'FS Desroches Daily'!AF18</f>
        <v>810.00000000005912</v>
      </c>
      <c r="T16" s="31">
        <f>'FS Desroches Daily'!AH18</f>
        <v>40</v>
      </c>
      <c r="U16" s="35">
        <f>'FS Desroches Daily'!AJ18</f>
        <v>589.99999999991815</v>
      </c>
      <c r="V16" s="35">
        <f>'FS Desroches Daily'!AL18</f>
        <v>0</v>
      </c>
      <c r="W16" s="35">
        <f>'FS Desroches Daily'!AN18</f>
        <v>229.99999999998977</v>
      </c>
      <c r="X16" s="35">
        <f>'FS Desroches Daily'!AP18</f>
        <v>230.00000000001819</v>
      </c>
      <c r="Y16" s="35">
        <f>'FS Desroches Daily'!AR18</f>
        <v>300.00000000001137</v>
      </c>
      <c r="Z16" s="35">
        <f>'FS Desroches Daily'!AT18</f>
        <v>159.99999999996817</v>
      </c>
      <c r="AA16" s="35">
        <f>'FS Desroches Daily'!AT18</f>
        <v>159.99999999996817</v>
      </c>
      <c r="AB16" s="35">
        <f>'FS Desroches Daily'!AV18</f>
        <v>300.00000000001137</v>
      </c>
      <c r="AC16" s="35">
        <f>'FS Desroches Daily'!AZ18</f>
        <v>219.99999999997044</v>
      </c>
      <c r="AD16" s="35">
        <f>'FS Desroches Daily'!BB18</f>
        <v>199.99999999998863</v>
      </c>
      <c r="AE16" s="35">
        <f>'FS Desroches Daily'!BD18</f>
        <v>160.00000000002501</v>
      </c>
      <c r="AF16" s="31">
        <f>'FS Desroches Daily'!BF18</f>
        <v>20</v>
      </c>
      <c r="AG16" s="32">
        <f>'FS Desroches Daily'!BH18</f>
        <v>39.999999999992042</v>
      </c>
      <c r="AH16" s="32">
        <f>'FS Desroches Daily'!BJ18</f>
        <v>40.000000000020464</v>
      </c>
      <c r="AI16" s="32">
        <f>'FS Desroches Daily'!BL18</f>
        <v>59.999999999973852</v>
      </c>
      <c r="AJ16" s="32">
        <f>'FS Desroches Daily'!BN18</f>
        <v>49.999999999982947</v>
      </c>
      <c r="AK16" s="32">
        <f>'FS Desroches Daily'!BP18</f>
        <v>70.000000000050022</v>
      </c>
      <c r="AL16" s="32">
        <f>'FS Desroches Daily'!BR18</f>
        <v>29</v>
      </c>
      <c r="AM16" s="32">
        <f>'FS Desroches Daily'!BT18</f>
        <v>60.000000000002274</v>
      </c>
      <c r="AN16" s="32">
        <f>'FS Desroches Daily'!BV18</f>
        <v>52</v>
      </c>
      <c r="AO16" s="32">
        <f>'FS Desroches Daily'!BX18</f>
        <v>49.999999999982947</v>
      </c>
      <c r="AP16" s="32">
        <f>'FS Desroches Daily'!BZ18</f>
        <v>54</v>
      </c>
      <c r="AQ16" s="31">
        <f>'FS Desroches Daily'!CB18</f>
        <v>43.700000000004366</v>
      </c>
      <c r="AR16" s="31">
        <f>'FS Desroches Daily'!CD18</f>
        <v>15.200000000000728</v>
      </c>
      <c r="AS16" s="31">
        <f>'FS Desroches Daily'!CF18</f>
        <v>3.0999999999994543</v>
      </c>
      <c r="AT16" s="31">
        <f>'FS Desroches Daily'!CH18</f>
        <v>51.69999999999709</v>
      </c>
      <c r="AU16" s="31">
        <f>'FS Desroches Daily'!CJ18</f>
        <v>308</v>
      </c>
      <c r="AV16" s="31">
        <f>'FS Desroches Daily'!CL18</f>
        <v>720.00000000002728</v>
      </c>
      <c r="AW16" s="31">
        <f>'FS Desroches Daily'!CM18</f>
        <v>104.40000000000146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5.4944999999999995</v>
      </c>
      <c r="BB16" s="31">
        <f>IF(LPG!Q23-LPG!Q22&lt;0,"0",(LPG!Q23-LPG!Q22)*1.8315)</f>
        <v>5.4944999999999995</v>
      </c>
      <c r="BC16" s="13">
        <f>'FS Desroches Daily'!CN18</f>
        <v>25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3299.9999999998586</v>
      </c>
      <c r="F17" s="32">
        <f>'FS Desroches Daily'!F19</f>
        <v>3499.9999999998367</v>
      </c>
      <c r="G17" s="31">
        <f>'FS Desroches Daily'!H19</f>
        <v>3099.9999999998809</v>
      </c>
      <c r="H17" s="32">
        <f>'FS Desroches Daily'!J19</f>
        <v>1800.0000000002458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1</v>
      </c>
      <c r="L17" s="31">
        <f>'FS Desroches Daily'!R19</f>
        <v>6</v>
      </c>
      <c r="M17" s="31">
        <f>'FS Desroches Daily'!T19</f>
        <v>0.5</v>
      </c>
      <c r="N17" s="31">
        <f>'FS Desroches Daily'!V19</f>
        <v>153.59999999997672</v>
      </c>
      <c r="O17" s="31">
        <f>'FS Desroches Daily'!X19</f>
        <v>410.00000000002501</v>
      </c>
      <c r="P17" s="31">
        <f>'FS Desroches Daily'!Z19</f>
        <v>3100.0000000003247</v>
      </c>
      <c r="Q17" s="31">
        <f>'FS Desroches Daily'!AB19</f>
        <v>490.00000000000909</v>
      </c>
      <c r="R17" s="31">
        <f>'FS Desroches Daily'!AD19</f>
        <v>560.00000000000227</v>
      </c>
      <c r="S17" s="31">
        <f>'FS Desroches Daily'!AF19</f>
        <v>870.00000000000455</v>
      </c>
      <c r="T17" s="31">
        <f>'FS Desroches Daily'!AH19</f>
        <v>41</v>
      </c>
      <c r="U17" s="35">
        <f>'FS Desroches Daily'!AJ19</f>
        <v>570.00000000005002</v>
      </c>
      <c r="V17" s="35">
        <f>'FS Desroches Daily'!AL19</f>
        <v>550.00000000001137</v>
      </c>
      <c r="W17" s="35">
        <f>'FS Desroches Daily'!AN19</f>
        <v>219.99999999999886</v>
      </c>
      <c r="X17" s="35">
        <f>'FS Desroches Daily'!AP19</f>
        <v>250</v>
      </c>
      <c r="Y17" s="35">
        <f>'FS Desroches Daily'!AR19</f>
        <v>310.00000000000227</v>
      </c>
      <c r="Z17" s="35">
        <f>'FS Desroches Daily'!AU20</f>
        <v>329.42</v>
      </c>
      <c r="AA17" s="35">
        <f>'FS Desroches Daily'!AU20</f>
        <v>329.42</v>
      </c>
      <c r="AB17" s="35">
        <f>'FS Desroches Daily'!AV19</f>
        <v>310.00000000000227</v>
      </c>
      <c r="AC17" s="35">
        <f>'FS Desroches Daily'!AZ19</f>
        <v>220.00000000002728</v>
      </c>
      <c r="AD17" s="35">
        <f>'FS Desroches Daily'!BB19</f>
        <v>189.99999999999773</v>
      </c>
      <c r="AE17" s="35">
        <f>'FS Desroches Daily'!BD19</f>
        <v>109.9999999999568</v>
      </c>
      <c r="AF17" s="31">
        <f>'FS Desroches Daily'!BF19</f>
        <v>19</v>
      </c>
      <c r="AG17" s="32">
        <f>'FS Desroches Daily'!BH19</f>
        <v>40.000000000020464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44</v>
      </c>
      <c r="AM17" s="32">
        <f>'FS Desroches Daily'!BT19</f>
        <v>50.000000000011369</v>
      </c>
      <c r="AN17" s="32">
        <f>'FS Desroches Daily'!BV19</f>
        <v>50</v>
      </c>
      <c r="AO17" s="32">
        <f>'FS Desroches Daily'!BX19</f>
        <v>50.000000000011369</v>
      </c>
      <c r="AP17" s="32">
        <f>'FS Desroches Daily'!BZ19</f>
        <v>54</v>
      </c>
      <c r="AQ17" s="31">
        <f>'FS Desroches Daily'!CB19</f>
        <v>36.900000000001455</v>
      </c>
      <c r="AR17" s="31">
        <f>'FS Desroches Daily'!CD19</f>
        <v>12.299999999999272</v>
      </c>
      <c r="AS17" s="31">
        <f>'FS Desroches Daily'!CF19</f>
        <v>8.1000000000003638</v>
      </c>
      <c r="AT17" s="31">
        <f>'FS Desroches Daily'!CH19</f>
        <v>57.5</v>
      </c>
      <c r="AU17" s="31">
        <f>'FS Desroches Daily'!CJ19</f>
        <v>323</v>
      </c>
      <c r="AV17" s="31">
        <f>'FS Desroches Daily'!CL19</f>
        <v>730.00000000001819</v>
      </c>
      <c r="AW17" s="31">
        <f>'FS Desroches Daily'!CM19</f>
        <v>111.89999999999782</v>
      </c>
      <c r="AX17" s="31">
        <f>IF(LPG!F24-LPG!F23&lt;0,"0",(LPG!F24-LPG!F23)*1.8315)</f>
        <v>12.820499999999999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3100.0000000003247</v>
      </c>
      <c r="F18" s="32">
        <f>'FS Desroches Daily'!F20</f>
        <v>3600.0000000004916</v>
      </c>
      <c r="G18" s="31">
        <f>'FS Desroches Daily'!H20</f>
        <v>3199.9999999996476</v>
      </c>
      <c r="H18" s="32">
        <f>'FS Desroches Daily'!J20</f>
        <v>1799.9999999998017</v>
      </c>
      <c r="I18" s="31">
        <f>'FS Desroches Daily'!L20</f>
        <v>2299.9999999999686</v>
      </c>
      <c r="J18" s="32">
        <f>'FS Desroches Daily'!N20</f>
        <v>2000.0000000000018</v>
      </c>
      <c r="K18" s="13">
        <f>'FS Desroches Daily'!P20</f>
        <v>0</v>
      </c>
      <c r="L18" s="31">
        <f>'FS Desroches Daily'!R20</f>
        <v>6</v>
      </c>
      <c r="M18" s="31">
        <f>'FS Desroches Daily'!T20</f>
        <v>0.79999999999995453</v>
      </c>
      <c r="N18" s="31">
        <f>'FS Desroches Daily'!V20</f>
        <v>479.40000000002328</v>
      </c>
      <c r="O18" s="31">
        <f>'FS Desroches Daily'!X20</f>
        <v>420.00000000001592</v>
      </c>
      <c r="P18" s="31">
        <f>'FS Desroches Daily'!Z20</f>
        <v>2999.9999999996694</v>
      </c>
      <c r="Q18" s="31">
        <f>'FS Desroches Daily'!AB20</f>
        <v>300.00000000001137</v>
      </c>
      <c r="R18" s="31">
        <f>'FS Desroches Daily'!AD20</f>
        <v>689.99999999999773</v>
      </c>
      <c r="S18" s="31">
        <f>'FS Desroches Daily'!AF20</f>
        <v>919.99999999995907</v>
      </c>
      <c r="T18" s="31">
        <f>'FS Desroches Daily'!AH20</f>
        <v>39</v>
      </c>
      <c r="U18" s="35">
        <f>'FS Desroches Daily'!AJ20</f>
        <v>480.00000000001819</v>
      </c>
      <c r="V18" s="35">
        <f>'FS Desroches Daily'!AL20</f>
        <v>239.99999999995225</v>
      </c>
      <c r="W18" s="35">
        <f>'FS Desroches Daily'!AN20</f>
        <v>240.00000000000909</v>
      </c>
      <c r="X18" s="35">
        <f>'FS Desroches Daily'!AP20</f>
        <v>280.00000000000114</v>
      </c>
      <c r="Y18" s="35">
        <f>'FS Desroches Daily'!AR20</f>
        <v>279.99999999997272</v>
      </c>
      <c r="Z18" s="35">
        <f>'FS Desroches Daily'!AT20</f>
        <v>230.00000000001819</v>
      </c>
      <c r="AA18" s="35">
        <f>'FS Desroches Daily'!AT20</f>
        <v>230.00000000001819</v>
      </c>
      <c r="AB18" s="35">
        <f>'FS Desroches Daily'!AV20</f>
        <v>310.00000000000227</v>
      </c>
      <c r="AC18" s="35">
        <f>'FS Desroches Daily'!AZ20</f>
        <v>149.99999999997726</v>
      </c>
      <c r="AD18" s="35">
        <f>'FS Desroches Daily'!BB20</f>
        <v>170.00000000001592</v>
      </c>
      <c r="AE18" s="35">
        <f>'FS Desroches Daily'!BD20</f>
        <v>150.00000000003411</v>
      </c>
      <c r="AF18" s="31">
        <f>'FS Desroches Daily'!BF20</f>
        <v>29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50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38.799999999995634</v>
      </c>
      <c r="AR18" s="31">
        <f>'FS Desroches Daily'!CD20</f>
        <v>13.200000000000728</v>
      </c>
      <c r="AS18" s="31">
        <f>'FS Desroches Daily'!CF20</f>
        <v>7</v>
      </c>
      <c r="AT18" s="31">
        <f>'FS Desroches Daily'!CH20</f>
        <v>39.80000000000291</v>
      </c>
      <c r="AU18" s="31">
        <f>'FS Desroches Daily'!CJ20</f>
        <v>316</v>
      </c>
      <c r="AV18" s="31">
        <f>'FS Desroches Daily'!CL20</f>
        <v>699.99999999993179</v>
      </c>
      <c r="AW18" s="31">
        <f>'FS Desroches Daily'!CM20</f>
        <v>2201.7000000000021</v>
      </c>
      <c r="AX18" s="31">
        <f>IF(LPG!F25-LPG!F24&lt;0,"0",(LPG!F25-LPG!F24)*1.8315)</f>
        <v>12.820499999999999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7.3259999999999996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2899.9999999999027</v>
      </c>
      <c r="F19" s="32">
        <f>'FS Desroches Daily'!F21</f>
        <v>3099.9999999998809</v>
      </c>
      <c r="G19" s="31">
        <f>'FS Desroches Daily'!H21</f>
        <v>3200.0000000005357</v>
      </c>
      <c r="H19" s="32">
        <f>'FS Desroches Daily'!J21</f>
        <v>1599.9999999998238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51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402.90000000002328</v>
      </c>
      <c r="O19" s="31">
        <f>'FS Desroches Daily'!X21</f>
        <v>339.99999999997499</v>
      </c>
      <c r="P19" s="31">
        <f>'FS Desroches Daily'!Z21</f>
        <v>2900.0000000003465</v>
      </c>
      <c r="Q19" s="31">
        <f>'FS Desroches Daily'!AB21</f>
        <v>480.00000000001819</v>
      </c>
      <c r="R19" s="31">
        <f>'FS Desroches Daily'!AD21</f>
        <v>579.99999999998408</v>
      </c>
      <c r="S19" s="31">
        <f>'FS Desroches Daily'!AF21</f>
        <v>790.00000000007731</v>
      </c>
      <c r="T19" s="31">
        <f>'FS Desroches Daily'!AH21</f>
        <v>41</v>
      </c>
      <c r="U19" s="35">
        <f>'FS Desroches Daily'!AJ21</f>
        <v>419.99999999995907</v>
      </c>
      <c r="V19" s="35">
        <f>'FS Desroches Daily'!AL21</f>
        <v>210.00000000003638</v>
      </c>
      <c r="W19" s="35">
        <f>'FS Desroches Daily'!AN21</f>
        <v>210.00000000000796</v>
      </c>
      <c r="X19" s="35">
        <f>'FS Desroches Daily'!AP21</f>
        <v>239.99999999998067</v>
      </c>
      <c r="Y19" s="35">
        <f>'FS Desroches Daily'!AR21</f>
        <v>269.99999999998181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279.99999999997272</v>
      </c>
      <c r="AC19" s="35">
        <f>'FS Desroches Daily'!AZ21</f>
        <v>240.00000000000909</v>
      </c>
      <c r="AD19" s="35">
        <f>'FS Desroches Daily'!BB21</f>
        <v>180.00000000000682</v>
      </c>
      <c r="AE19" s="35">
        <f>'FS Desroches Daily'!BD21</f>
        <v>120.00000000000455</v>
      </c>
      <c r="AF19" s="31">
        <f>'FS Desroches Daily'!BF21</f>
        <v>29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60.000000000002274</v>
      </c>
      <c r="AL19" s="32">
        <f>'FS Desroches Daily'!BR21</f>
        <v>29</v>
      </c>
      <c r="AM19" s="32">
        <f>'FS Desroches Daily'!BT21</f>
        <v>49.999999999982947</v>
      </c>
      <c r="AN19" s="32">
        <f>'FS Desroches Daily'!BV21</f>
        <v>41</v>
      </c>
      <c r="AO19" s="32">
        <f>'FS Desroches Daily'!BX21</f>
        <v>40.000000000020464</v>
      </c>
      <c r="AP19" s="32">
        <f>'FS Desroches Daily'!BZ21</f>
        <v>45</v>
      </c>
      <c r="AQ19" s="31">
        <f>'FS Desroches Daily'!CB21</f>
        <v>37.400000000001455</v>
      </c>
      <c r="AR19" s="31">
        <f>'FS Desroches Daily'!CD21</f>
        <v>11.099999999998545</v>
      </c>
      <c r="AS19" s="31">
        <f>'FS Desroches Daily'!CF21</f>
        <v>3.5</v>
      </c>
      <c r="AT19" s="31">
        <f>'FS Desroches Daily'!CH21</f>
        <v>35</v>
      </c>
      <c r="AU19" s="31">
        <f>'FS Desroches Daily'!CJ21</f>
        <v>296</v>
      </c>
      <c r="AV19" s="31">
        <f>'FS Desroches Daily'!CL21</f>
        <v>910.00000000008185</v>
      </c>
      <c r="AW19" s="31">
        <f>'FS Desroches Daily'!CM21</f>
        <v>106.29999999999927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7.3259999999999996</v>
      </c>
      <c r="BC19" s="13">
        <f>'FS Desroches Daily'!CN21</f>
        <v>38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3200.0000000000919</v>
      </c>
      <c r="F20" s="32">
        <f>'FS Desroches Daily'!F22</f>
        <v>3099.9999999998809</v>
      </c>
      <c r="G20" s="31">
        <f>'FS Desroches Daily'!H22</f>
        <v>3099.9999999998809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1</v>
      </c>
      <c r="L20" s="31">
        <f>'FS Desroches Daily'!R22</f>
        <v>6</v>
      </c>
      <c r="M20" s="31">
        <f>'FS Desroches Daily'!T22</f>
        <v>1.5</v>
      </c>
      <c r="N20" s="31">
        <f>'FS Desroches Daily'!V22</f>
        <v>516.39999999996508</v>
      </c>
      <c r="O20" s="31">
        <f>'FS Desroches Daily'!X22</f>
        <v>439.99999999999773</v>
      </c>
      <c r="P20" s="31">
        <f>'FS Desroches Daily'!Z22</f>
        <v>2999.9999999996694</v>
      </c>
      <c r="Q20" s="31">
        <f>'FS Desroches Daily'!AB22</f>
        <v>509.99999999999091</v>
      </c>
      <c r="R20" s="31">
        <f>'FS Desroches Daily'!AD22</f>
        <v>670.00000000001592</v>
      </c>
      <c r="S20" s="31">
        <f>'FS Desroches Daily'!AF22</f>
        <v>1009.9999999999909</v>
      </c>
      <c r="T20" s="31">
        <f>'FS Desroches Daily'!AH22</f>
        <v>48</v>
      </c>
      <c r="U20" s="35">
        <f>'FS Desroches Daily'!AJ22</f>
        <v>810.00000000005912</v>
      </c>
      <c r="V20" s="35">
        <f>'FS Desroches Daily'!AL22</f>
        <v>310.00000000000227</v>
      </c>
      <c r="W20" s="35">
        <f>'FS Desroches Daily'!AN22</f>
        <v>269.99999999998181</v>
      </c>
      <c r="X20" s="35">
        <f>'FS Desroches Daily'!AP22</f>
        <v>280.00000000000114</v>
      </c>
      <c r="Y20" s="35">
        <f>'FS Desroches Daily'!AR22</f>
        <v>310.00000000000227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319.99999999999318</v>
      </c>
      <c r="AC20" s="35">
        <f>'FS Desroches Daily'!AZ22</f>
        <v>279.99999999997272</v>
      </c>
      <c r="AD20" s="35">
        <f>'FS Desroches Daily'!BB22</f>
        <v>240.00000000000909</v>
      </c>
      <c r="AE20" s="35">
        <f>'FS Desroches Daily'!BD22</f>
        <v>159.99999999996817</v>
      </c>
      <c r="AF20" s="31">
        <f>'FS Desroches Daily'!BF22</f>
        <v>33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49.999999999982947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35</v>
      </c>
      <c r="AM20" s="32">
        <f>'FS Desroches Daily'!BT22</f>
        <v>50.000000000011369</v>
      </c>
      <c r="AN20" s="32">
        <f>'FS Desroches Daily'!BV22</f>
        <v>44</v>
      </c>
      <c r="AO20" s="32">
        <f>'FS Desroches Daily'!BX22</f>
        <v>39.999999999992042</v>
      </c>
      <c r="AP20" s="32">
        <f>'FS Desroches Daily'!BZ22</f>
        <v>46</v>
      </c>
      <c r="AQ20" s="31">
        <f>'FS Desroches Daily'!CB22</f>
        <v>36.099999999998545</v>
      </c>
      <c r="AR20" s="31">
        <f>'FS Desroches Daily'!CD22</f>
        <v>11.900000000001455</v>
      </c>
      <c r="AS20" s="31">
        <f>'FS Desroches Daily'!CF22</f>
        <v>2.3000000000001819</v>
      </c>
      <c r="AT20" s="31">
        <f>'FS Desroches Daily'!CH22</f>
        <v>53</v>
      </c>
      <c r="AU20" s="31">
        <f>'FS Desroches Daily'!CJ22</f>
        <v>318</v>
      </c>
      <c r="AV20" s="31">
        <f>'FS Desroches Daily'!CL22</f>
        <v>659.99999999996817</v>
      </c>
      <c r="AW20" s="31">
        <f>'FS Desroches Daily'!CM22</f>
        <v>96.799999999999272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38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3600.0000000000477</v>
      </c>
      <c r="F21" s="32">
        <f>'FS Desroches Daily'!F23</f>
        <v>3800.0000000000255</v>
      </c>
      <c r="G21" s="31">
        <f>'FS Desroches Daily'!H23</f>
        <v>3599.9999999996035</v>
      </c>
      <c r="H21" s="32">
        <f>'FS Desroches Daily'!J23</f>
        <v>1900.0000000000127</v>
      </c>
      <c r="I21" s="31">
        <f>'FS Desroches Daily'!L23</f>
        <v>2400.0000000001796</v>
      </c>
      <c r="J21" s="32">
        <f>'FS Desroches Daily'!N23</f>
        <v>2199.9999999999795</v>
      </c>
      <c r="K21" s="13">
        <f>'FS Desroches Daily'!P23</f>
        <v>85</v>
      </c>
      <c r="L21" s="31">
        <f>'FS Desroches Daily'!R23</f>
        <v>7</v>
      </c>
      <c r="M21" s="31">
        <f>'FS Desroches Daily'!T23</f>
        <v>1.4000000000000909</v>
      </c>
      <c r="N21" s="31">
        <f>'FS Desroches Daily'!V23</f>
        <v>474</v>
      </c>
      <c r="O21" s="31">
        <f>'FS Desroches Daily'!X23</f>
        <v>430.00000000000682</v>
      </c>
      <c r="P21" s="31">
        <f>'FS Desroches Daily'!Z23</f>
        <v>3100.0000000003247</v>
      </c>
      <c r="Q21" s="31">
        <f>'FS Desroches Daily'!AB23</f>
        <v>279.99999999997272</v>
      </c>
      <c r="R21" s="31">
        <f>'FS Desroches Daily'!AD23</f>
        <v>550.00000000001137</v>
      </c>
      <c r="S21" s="31">
        <f>'FS Desroches Daily'!AF23</f>
        <v>1059.9999999999454</v>
      </c>
      <c r="T21" s="31">
        <f>'FS Desroches Daily'!AH23</f>
        <v>40</v>
      </c>
      <c r="U21" s="35">
        <f>'FS Desroches Daily'!AJ23</f>
        <v>889.99999999998636</v>
      </c>
      <c r="V21" s="35">
        <f>'FS Desroches Daily'!AL23</f>
        <v>289.99999999996362</v>
      </c>
      <c r="W21" s="35">
        <f>'FS Desroches Daily'!AN23</f>
        <v>219.99999999999886</v>
      </c>
      <c r="X21" s="35">
        <f>'FS Desroches Daily'!AP23</f>
        <v>250</v>
      </c>
      <c r="Y21" s="35">
        <f>'FS Desroches Daily'!AR23</f>
        <v>260.00000000004775</v>
      </c>
      <c r="Z21" s="35">
        <f>'FS Desroches Daily'!AT23</f>
        <v>169.99999999995907</v>
      </c>
      <c r="AA21" s="35">
        <f>'FS Desroches Daily'!AT23</f>
        <v>169.99999999995907</v>
      </c>
      <c r="AB21" s="35">
        <f>'FS Desroches Daily'!AV23</f>
        <v>250</v>
      </c>
      <c r="AC21" s="35">
        <f>'FS Desroches Daily'!AZ23</f>
        <v>250</v>
      </c>
      <c r="AD21" s="35">
        <f>'FS Desroches Daily'!BB23</f>
        <v>159.99999999996817</v>
      </c>
      <c r="AE21" s="35">
        <f>'FS Desroches Daily'!BD23</f>
        <v>100.00000000002274</v>
      </c>
      <c r="AF21" s="31">
        <f>'FS Desroches Daily'!BF23</f>
        <v>28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49.999999999982947</v>
      </c>
      <c r="AK21" s="32">
        <f>'FS Desroches Daily'!BP23</f>
        <v>60.000000000002274</v>
      </c>
      <c r="AL21" s="32">
        <f>'FS Desroches Daily'!BR23</f>
        <v>39</v>
      </c>
      <c r="AM21" s="32">
        <f>'FS Desroches Daily'!BT23</f>
        <v>49.999999999982947</v>
      </c>
      <c r="AN21" s="32">
        <f>'FS Desroches Daily'!BV23</f>
        <v>56</v>
      </c>
      <c r="AO21" s="32">
        <f>'FS Desroches Daily'!BX23</f>
        <v>49.999999999982947</v>
      </c>
      <c r="AP21" s="32">
        <f>'FS Desroches Daily'!BZ23</f>
        <v>54</v>
      </c>
      <c r="AQ21" s="31">
        <f>'FS Desroches Daily'!CB23</f>
        <v>37.80000000000291</v>
      </c>
      <c r="AR21" s="31">
        <f>'FS Desroches Daily'!CD23</f>
        <v>18.799999999999272</v>
      </c>
      <c r="AS21" s="31">
        <f>'FS Desroches Daily'!CF23</f>
        <v>4.3000000000001819</v>
      </c>
      <c r="AT21" s="31">
        <f>'FS Desroches Daily'!CH23</f>
        <v>55</v>
      </c>
      <c r="AU21" s="31">
        <f>'FS Desroches Daily'!CJ23</f>
        <v>309</v>
      </c>
      <c r="AV21" s="31">
        <f>'FS Desroches Daily'!CL23</f>
        <v>789.99999999996362</v>
      </c>
      <c r="AW21" s="31">
        <f>'FS Desroches Daily'!CM23</f>
        <v>112.10000000000218</v>
      </c>
      <c r="AX21" s="31">
        <f>IF(LPG!F28-LPG!F27&lt;0,"0",(LPG!F28-LPG!F27)*1.8315)</f>
        <v>10.988999999999999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5.4944999999999995</v>
      </c>
      <c r="BB21" s="31">
        <f>IF(LPG!Q28-LPG!Q27&lt;0,"0",(LPG!Q28-LPG!Q27)*1.8315)</f>
        <v>7.3259999999999996</v>
      </c>
      <c r="BC21" s="13">
        <f>'FS Desroches Daily'!CN23</f>
        <v>38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3199.9999999996476</v>
      </c>
      <c r="F22" s="32">
        <f>'FS Desroches Daily'!F24</f>
        <v>3599.9999999996035</v>
      </c>
      <c r="G22" s="31">
        <f>'FS Desroches Daily'!H24</f>
        <v>3400.0000000000696</v>
      </c>
      <c r="H22" s="32">
        <f>'FS Desroches Daily'!J24</f>
        <v>1900.0000000000127</v>
      </c>
      <c r="I22" s="31">
        <f>'FS Desroches Daily'!L24</f>
        <v>2099.9999999999909</v>
      </c>
      <c r="J22" s="32">
        <f>'FS Desroches Daily'!N24</f>
        <v>2199.9999999999795</v>
      </c>
      <c r="K22" s="13">
        <f>'FS Desroches Daily'!P24</f>
        <v>92</v>
      </c>
      <c r="L22" s="31">
        <f>'FS Desroches Daily'!R24</f>
        <v>6</v>
      </c>
      <c r="M22" s="31">
        <f>'FS Desroches Daily'!T24</f>
        <v>1.5999999999999091</v>
      </c>
      <c r="N22" s="31">
        <f>'FS Desroches Daily'!V24</f>
        <v>512.10000000003492</v>
      </c>
      <c r="O22" s="31">
        <f>'FS Desroches Daily'!X24</f>
        <v>430.00000000000682</v>
      </c>
      <c r="P22" s="31">
        <f>'FS Desroches Daily'!Z24</f>
        <v>3199.9999999996476</v>
      </c>
      <c r="Q22" s="31">
        <f>'FS Desroches Daily'!AB24</f>
        <v>540.00000000002046</v>
      </c>
      <c r="R22" s="31">
        <f>'FS Desroches Daily'!AD24</f>
        <v>479.99999999996135</v>
      </c>
      <c r="S22" s="31">
        <f>'FS Desroches Daily'!AF24</f>
        <v>1120.0000000000045</v>
      </c>
      <c r="T22" s="31">
        <f>'FS Desroches Daily'!AH24</f>
        <v>45</v>
      </c>
      <c r="U22" s="35">
        <f>'FS Desroches Daily'!AJ24</f>
        <v>899.99999999997726</v>
      </c>
      <c r="V22" s="35">
        <f>'FS Desroches Daily'!AL24</f>
        <v>310.00000000000227</v>
      </c>
      <c r="W22" s="35">
        <f>'FS Desroches Daily'!AN24</f>
        <v>230.00000000001819</v>
      </c>
      <c r="X22" s="35">
        <f>'FS Desroches Daily'!AP24</f>
        <v>200.00000000001705</v>
      </c>
      <c r="Y22" s="35">
        <f>'FS Desroches Daily'!AR24</f>
        <v>139.99999999998636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210.00000000003638</v>
      </c>
      <c r="AD22" s="35">
        <f>'FS Desroches Daily'!BB24</f>
        <v>189.99999999999773</v>
      </c>
      <c r="AE22" s="35">
        <f>'FS Desroches Daily'!BD24</f>
        <v>139.99999999998636</v>
      </c>
      <c r="AF22" s="31">
        <f>'FS Desroches Daily'!BF24</f>
        <v>16</v>
      </c>
      <c r="AG22" s="32">
        <f>'FS Desroches Daily'!BH24</f>
        <v>50.000000000011369</v>
      </c>
      <c r="AH22" s="32">
        <f>'FS Desroches Daily'!BJ24</f>
        <v>30.000000000029559</v>
      </c>
      <c r="AI22" s="32">
        <f>'FS Desroches Daily'!BL24</f>
        <v>50.000000000011369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38</v>
      </c>
      <c r="AM22" s="32">
        <f>'FS Desroches Daily'!BT24</f>
        <v>60.000000000002274</v>
      </c>
      <c r="AN22" s="32">
        <f>'FS Desroches Daily'!BV24</f>
        <v>52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30.900000000001455</v>
      </c>
      <c r="AR22" s="31">
        <f>'FS Desroches Daily'!CD24</f>
        <v>12.200000000000728</v>
      </c>
      <c r="AS22" s="31">
        <f>'FS Desroches Daily'!CF24</f>
        <v>14</v>
      </c>
      <c r="AT22" s="31">
        <f>'FS Desroches Daily'!CH24</f>
        <v>39.399999999994179</v>
      </c>
      <c r="AU22" s="31">
        <f>'FS Desroches Daily'!CJ24</f>
        <v>352</v>
      </c>
      <c r="AV22" s="31">
        <f>'FS Desroches Daily'!CL24</f>
        <v>720.00000000002728</v>
      </c>
      <c r="AW22" s="31">
        <f>'FS Desroches Daily'!CM24</f>
        <v>104.59999999999854</v>
      </c>
      <c r="AX22" s="31">
        <f>IF(LPG!F29-LPG!F28&lt;0,"0",(LPG!F29-LPG!F28)*1.8315)</f>
        <v>10.988999999999999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35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3300.0000000003029</v>
      </c>
      <c r="F23" s="32">
        <f>'FS Desroches Daily'!F25</f>
        <v>3900.0000000006808</v>
      </c>
      <c r="G23" s="31">
        <f>'FS Desroches Daily'!H25</f>
        <v>3300.0000000003029</v>
      </c>
      <c r="H23" s="32">
        <f>'FS Desroches Daily'!J25</f>
        <v>1900.0000000000127</v>
      </c>
      <c r="I23" s="31">
        <f>'FS Desroches Daily'!L25</f>
        <v>2299.9999999999686</v>
      </c>
      <c r="J23" s="32">
        <f>'FS Desroches Daily'!N25</f>
        <v>2199.9999999999795</v>
      </c>
      <c r="K23" s="13">
        <f>'FS Desroches Daily'!P25</f>
        <v>34</v>
      </c>
      <c r="L23" s="31">
        <f>'FS Desroches Daily'!R25</f>
        <v>7</v>
      </c>
      <c r="M23" s="31">
        <f>'FS Desroches Daily'!T25</f>
        <v>1.2999999999999545</v>
      </c>
      <c r="N23" s="31">
        <f>'FS Desroches Daily'!V25</f>
        <v>461.59999999997672</v>
      </c>
      <c r="O23" s="31">
        <f>'FS Desroches Daily'!X25</f>
        <v>459.99999999997954</v>
      </c>
      <c r="P23" s="31">
        <f>'FS Desroches Daily'!Z25</f>
        <v>3400.0000000000696</v>
      </c>
      <c r="Q23" s="31">
        <f>'FS Desroches Daily'!AB25</f>
        <v>360.00000000001364</v>
      </c>
      <c r="R23" s="31">
        <f>'FS Desroches Daily'!AD25</f>
        <v>490.00000000000909</v>
      </c>
      <c r="S23" s="31">
        <f>'FS Desroches Daily'!AF25</f>
        <v>1180.0000000000637</v>
      </c>
      <c r="T23" s="31">
        <f>'FS Desroches Daily'!AH25</f>
        <v>50</v>
      </c>
      <c r="U23" s="35">
        <f>'FS Desroches Daily'!AJ25</f>
        <v>870.00000000000455</v>
      </c>
      <c r="V23" s="35">
        <f>'FS Desroches Daily'!AL25</f>
        <v>340.00000000003183</v>
      </c>
      <c r="W23" s="35">
        <f>'FS Desroches Daily'!AN25</f>
        <v>219.99999999999886</v>
      </c>
      <c r="X23" s="35">
        <f>'FS Desroches Daily'!AP25</f>
        <v>229.99999999998977</v>
      </c>
      <c r="Y23" s="35">
        <f>'FS Desroches Daily'!AR25</f>
        <v>149.99999999997726</v>
      </c>
      <c r="Z23" s="35">
        <f>'FS Desroches Daily'!AT25</f>
        <v>180.00000000000682</v>
      </c>
      <c r="AA23" s="35">
        <f>'FS Desroches Daily'!AT25</f>
        <v>180.00000000000682</v>
      </c>
      <c r="AB23" s="35">
        <f>'FS Desroches Daily'!AV25</f>
        <v>300.00000000001137</v>
      </c>
      <c r="AC23" s="35">
        <f>'FS Desroches Daily'!AZ25</f>
        <v>269.99999999998181</v>
      </c>
      <c r="AD23" s="35">
        <f>'FS Desroches Daily'!BB25</f>
        <v>180.00000000000682</v>
      </c>
      <c r="AE23" s="35">
        <f>'FS Desroches Daily'!BD25</f>
        <v>160.00000000002501</v>
      </c>
      <c r="AF23" s="31">
        <f>'FS Desroches Daily'!BF25</f>
        <v>30</v>
      </c>
      <c r="AG23" s="32">
        <f>'FS Desroches Daily'!BH25</f>
        <v>49.999999999982947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50.000000000011369</v>
      </c>
      <c r="AK23" s="32">
        <f>'FS Desroches Daily'!BP25</f>
        <v>69.999999999993179</v>
      </c>
      <c r="AL23" s="32">
        <f>'FS Desroches Daily'!BR25</f>
        <v>42</v>
      </c>
      <c r="AM23" s="32">
        <f>'FS Desroches Daily'!BT25</f>
        <v>60.000000000002274</v>
      </c>
      <c r="AN23" s="32">
        <f>'FS Desroches Daily'!BV25</f>
        <v>48</v>
      </c>
      <c r="AO23" s="32">
        <f>'FS Desroches Daily'!BX25</f>
        <v>60.000000000002274</v>
      </c>
      <c r="AP23" s="32">
        <f>'FS Desroches Daily'!BZ25</f>
        <v>48</v>
      </c>
      <c r="AQ23" s="31">
        <f>'FS Desroches Daily'!CB25</f>
        <v>42.69999999999709</v>
      </c>
      <c r="AR23" s="31">
        <f>'FS Desroches Daily'!CD25</f>
        <v>14.099999999998545</v>
      </c>
      <c r="AS23" s="31">
        <f>'FS Desroches Daily'!CF25</f>
        <v>4.7999999999992724</v>
      </c>
      <c r="AT23" s="31">
        <f>'FS Desroches Daily'!CH25</f>
        <v>39.80000000000291</v>
      </c>
      <c r="AU23" s="31">
        <f>'FS Desroches Daily'!CJ25</f>
        <v>308</v>
      </c>
      <c r="AV23" s="31">
        <f>'FS Desroches Daily'!CL25</f>
        <v>819.99999999993634</v>
      </c>
      <c r="AW23" s="31">
        <f>'FS Desroches Daily'!CM25</f>
        <v>116.29999999999927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5.4944999999999995</v>
      </c>
      <c r="BB23" s="31">
        <f>IF(LPG!Q30-LPG!Q29&lt;0,"0",(LPG!Q30-LPG!Q29)*1.8315)</f>
        <v>7.3259999999999996</v>
      </c>
      <c r="BC23" s="13">
        <f>'FS Desroches Daily'!CN25</f>
        <v>35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3399.9999999996257</v>
      </c>
      <c r="F24" s="32">
        <f>'FS Desroches Daily'!F26</f>
        <v>3899.9999999997926</v>
      </c>
      <c r="G24" s="31">
        <f>'FS Desroches Daily'!H26</f>
        <v>3499.9999999998367</v>
      </c>
      <c r="H24" s="32">
        <f>'FS Desroches Daily'!J26</f>
        <v>2099.9999999999909</v>
      </c>
      <c r="I24" s="31">
        <f>'FS Desroches Daily'!L26</f>
        <v>2499.9999999999468</v>
      </c>
      <c r="J24" s="32">
        <f>'FS Desroches Daily'!N26</f>
        <v>2399.9999999999577</v>
      </c>
      <c r="K24" s="13">
        <f>'FS Desroches Daily'!P26</f>
        <v>47</v>
      </c>
      <c r="L24" s="31">
        <f>'FS Desroches Daily'!R26</f>
        <v>8</v>
      </c>
      <c r="M24" s="31">
        <f>'FS Desroches Daily'!T26</f>
        <v>1.3000000000001819</v>
      </c>
      <c r="N24" s="31">
        <f>'FS Desroches Daily'!V26</f>
        <v>525.90000000002328</v>
      </c>
      <c r="O24" s="31">
        <f>'FS Desroches Daily'!X26</f>
        <v>449.99999999998863</v>
      </c>
      <c r="P24" s="31">
        <f>'FS Desroches Daily'!Z26</f>
        <v>3500.0000000002806</v>
      </c>
      <c r="Q24" s="31">
        <f>'FS Desroches Daily'!AB26</f>
        <v>519.99999999998181</v>
      </c>
      <c r="R24" s="31">
        <f>'FS Desroches Daily'!AD26</f>
        <v>550.00000000001137</v>
      </c>
      <c r="S24" s="31">
        <f>'FS Desroches Daily'!AF26</f>
        <v>1250</v>
      </c>
      <c r="T24" s="31">
        <f>'FS Desroches Daily'!AH26</f>
        <v>45</v>
      </c>
      <c r="U24" s="35">
        <f>'FS Desroches Daily'!AJ26</f>
        <v>889.99999999998636</v>
      </c>
      <c r="V24" s="35">
        <f>'FS Desroches Daily'!AL26</f>
        <v>360.00000000001364</v>
      </c>
      <c r="W24" s="35">
        <f>'FS Desroches Daily'!AN26</f>
        <v>259.99999999999091</v>
      </c>
      <c r="X24" s="35">
        <f>'FS Desroches Daily'!AP26</f>
        <v>219.99999999999886</v>
      </c>
      <c r="Y24" s="35">
        <f>'FS Desroches Daily'!AR26</f>
        <v>180.00000000000682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329.99999999998408</v>
      </c>
      <c r="AC24" s="35">
        <f>'FS Desroches Daily'!AZ26</f>
        <v>160.00000000002501</v>
      </c>
      <c r="AD24" s="35">
        <f>'FS Desroches Daily'!BB26</f>
        <v>189.99999999999773</v>
      </c>
      <c r="AE24" s="35">
        <f>'FS Desroches Daily'!BD26</f>
        <v>129.99999999999545</v>
      </c>
      <c r="AF24" s="31">
        <f>'FS Desroches Daily'!BF26</f>
        <v>31</v>
      </c>
      <c r="AG24" s="32">
        <f>'FS Desroches Daily'!BH26</f>
        <v>50.000000000011369</v>
      </c>
      <c r="AH24" s="32">
        <f>'FS Desroches Daily'!BJ26</f>
        <v>30.000000000029559</v>
      </c>
      <c r="AI24" s="32">
        <f>'FS Desroches Daily'!BL26</f>
        <v>49.999999999982947</v>
      </c>
      <c r="AJ24" s="32">
        <f>'FS Desroches Daily'!BN26</f>
        <v>60.000000000002274</v>
      </c>
      <c r="AK24" s="32">
        <f>'FS Desroches Daily'!BP26</f>
        <v>69.999999999993179</v>
      </c>
      <c r="AL24" s="32">
        <f>'FS Desroches Daily'!BR26</f>
        <v>44</v>
      </c>
      <c r="AM24" s="32">
        <f>'FS Desroches Daily'!BT26</f>
        <v>60.000000000002274</v>
      </c>
      <c r="AN24" s="32">
        <f>'FS Desroches Daily'!BV26</f>
        <v>57</v>
      </c>
      <c r="AO24" s="32">
        <f>'FS Desroches Daily'!BX26</f>
        <v>60.000000000002274</v>
      </c>
      <c r="AP24" s="32">
        <f>'FS Desroches Daily'!BZ26</f>
        <v>57</v>
      </c>
      <c r="AQ24" s="31">
        <f>'FS Desroches Daily'!CB26</f>
        <v>40.80000000000291</v>
      </c>
      <c r="AR24" s="31">
        <f>'FS Desroches Daily'!CD26</f>
        <v>13.400000000001455</v>
      </c>
      <c r="AS24" s="31">
        <f>'FS Desroches Daily'!CF26</f>
        <v>1.3000000000001819</v>
      </c>
      <c r="AT24" s="31">
        <f>'FS Desroches Daily'!CH26</f>
        <v>47.30000000000291</v>
      </c>
      <c r="AU24" s="31">
        <f>'FS Desroches Daily'!CJ26</f>
        <v>331</v>
      </c>
      <c r="AV24" s="31">
        <f>'FS Desroches Daily'!CL26</f>
        <v>920.00000000007276</v>
      </c>
      <c r="AW24" s="31">
        <f>'FS Desroches Daily'!CM26</f>
        <v>120.79999999999927</v>
      </c>
      <c r="AX24" s="31">
        <f>IF(LPG!F31-LPG!F30&lt;0,"0",(LPG!F31-LPG!F30)*1.8315)</f>
        <v>9.1574999999999989</v>
      </c>
      <c r="AY24" s="31">
        <f>IF(LPG!H31-LPG!H30&lt;0,"0",(LPG!H31-LPG!H30)*1.8315)</f>
        <v>5.4944999999999995</v>
      </c>
      <c r="AZ24" s="31">
        <f>IF(LPG!J31-LPG!J30&lt;0,"0",(LPG!J31-LPG!J30)*1.8315)</f>
        <v>0</v>
      </c>
      <c r="BA24" s="31">
        <f>IF(LPG!M31-LPG!M30&lt;0,"0",(LPG!M31-LPG!M30)*1.8315)</f>
        <v>9.1574999999999989</v>
      </c>
      <c r="BB24" s="31">
        <f>IF(LPG!Q31-LPG!Q30&lt;0,"0",(LPG!Q31-LPG!Q30)*1.8315)</f>
        <v>3.6629999999999998</v>
      </c>
      <c r="BC24" s="13">
        <f>'FS Desroches Daily'!CN26</f>
        <v>31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3500.0000000002806</v>
      </c>
      <c r="F25" s="32">
        <f>'FS Desroches Daily'!F27</f>
        <v>3800.0000000000255</v>
      </c>
      <c r="G25" s="31">
        <f>'FS Desroches Daily'!H27</f>
        <v>2900.0000000003465</v>
      </c>
      <c r="H25" s="32">
        <f>'FS Desroches Daily'!J27</f>
        <v>2000.0000000002237</v>
      </c>
      <c r="I25" s="31">
        <f>'FS Desroches Daily'!L27</f>
        <v>2299.9999999999686</v>
      </c>
      <c r="J25" s="32">
        <f>'FS Desroches Daily'!N27</f>
        <v>2299.9999999999686</v>
      </c>
      <c r="K25" s="13">
        <f>'FS Desroches Daily'!P27</f>
        <v>35</v>
      </c>
      <c r="L25" s="31">
        <f>'FS Desroches Daily'!R27</f>
        <v>7</v>
      </c>
      <c r="M25" s="31">
        <f>'FS Desroches Daily'!T27</f>
        <v>1.5</v>
      </c>
      <c r="N25" s="31">
        <f>'FS Desroches Daily'!V27</f>
        <v>554.89999999996508</v>
      </c>
      <c r="O25" s="31">
        <f>'FS Desroches Daily'!X27</f>
        <v>500</v>
      </c>
      <c r="P25" s="31">
        <f>'FS Desroches Daily'!Z27</f>
        <v>3600.0000000000477</v>
      </c>
      <c r="Q25" s="31">
        <f>'FS Desroches Daily'!AB27</f>
        <v>459.99999999997954</v>
      </c>
      <c r="R25" s="31">
        <f>'FS Desroches Daily'!AD27</f>
        <v>650.00000000003411</v>
      </c>
      <c r="S25" s="31">
        <f>'FS Desroches Daily'!AF27</f>
        <v>1179.99999999995</v>
      </c>
      <c r="T25" s="31">
        <f>'FS Desroches Daily'!AH27</f>
        <v>44</v>
      </c>
      <c r="U25" s="35">
        <f>'FS Desroches Daily'!AJ27</f>
        <v>1019.9999999999818</v>
      </c>
      <c r="V25" s="35">
        <f>'FS Desroches Daily'!AL27</f>
        <v>399.99999999997726</v>
      </c>
      <c r="W25" s="35">
        <f>'FS Desroches Daily'!AN27</f>
        <v>310.00000000000227</v>
      </c>
      <c r="X25" s="35">
        <f>'FS Desroches Daily'!AP27</f>
        <v>230.00000000001819</v>
      </c>
      <c r="Y25" s="35">
        <f>'FS Desroches Daily'!AR27</f>
        <v>290.00000000002046</v>
      </c>
      <c r="Z25" s="35">
        <f>'FS Desroches Daily'!AT27</f>
        <v>220.00000000002728</v>
      </c>
      <c r="AA25" s="35">
        <f>'FS Desroches Daily'!AT27</f>
        <v>220.00000000002728</v>
      </c>
      <c r="AB25" s="35">
        <f>'FS Desroches Daily'!AV27</f>
        <v>360.00000000001364</v>
      </c>
      <c r="AC25" s="35">
        <f>'FS Desroches Daily'!AZ27</f>
        <v>169.99999999995907</v>
      </c>
      <c r="AD25" s="35">
        <f>'FS Desroches Daily'!BB27</f>
        <v>199.99999999998863</v>
      </c>
      <c r="AE25" s="35">
        <f>'FS Desroches Daily'!BD27</f>
        <v>120.00000000000455</v>
      </c>
      <c r="AF25" s="31">
        <f>'FS Desroches Daily'!BF27</f>
        <v>40</v>
      </c>
      <c r="AG25" s="32">
        <f>'FS Desroches Daily'!BH27</f>
        <v>49.999999999982947</v>
      </c>
      <c r="AH25" s="32">
        <f>'FS Desroches Daily'!BJ27</f>
        <v>39.99999999996362</v>
      </c>
      <c r="AI25" s="32">
        <f>'FS Desroches Daily'!BL27</f>
        <v>60.000000000002274</v>
      </c>
      <c r="AJ25" s="32">
        <f>'FS Desroches Daily'!BN27</f>
        <v>50.000000000011369</v>
      </c>
      <c r="AK25" s="32">
        <f>'FS Desroches Daily'!BP27</f>
        <v>79.999999999984084</v>
      </c>
      <c r="AL25" s="32">
        <f>'FS Desroches Daily'!BR27</f>
        <v>44</v>
      </c>
      <c r="AM25" s="32">
        <f>'FS Desroches Daily'!BT27</f>
        <v>50.000000000011369</v>
      </c>
      <c r="AN25" s="32">
        <f>'FS Desroches Daily'!BV27</f>
        <v>54</v>
      </c>
      <c r="AO25" s="32">
        <f>'FS Desroches Daily'!BX27</f>
        <v>60.000000000002274</v>
      </c>
      <c r="AP25" s="32">
        <f>'FS Desroches Daily'!BZ27</f>
        <v>56</v>
      </c>
      <c r="AQ25" s="31">
        <f>'FS Desroches Daily'!CB27</f>
        <v>39.299999999995634</v>
      </c>
      <c r="AR25" s="31">
        <f>'FS Desroches Daily'!CD27</f>
        <v>14</v>
      </c>
      <c r="AS25" s="31">
        <f>'FS Desroches Daily'!CF27</f>
        <v>5.8000000000001819</v>
      </c>
      <c r="AT25" s="31">
        <f>'FS Desroches Daily'!CH27</f>
        <v>40.80000000000291</v>
      </c>
      <c r="AU25" s="31">
        <f>'FS Desroches Daily'!CJ27</f>
        <v>392</v>
      </c>
      <c r="AV25" s="31">
        <f>'FS Desroches Daily'!CL27</f>
        <v>819.99999999993634</v>
      </c>
      <c r="AW25" s="31">
        <f>'FS Desroches Daily'!CM27</f>
        <v>102.90000000000146</v>
      </c>
      <c r="AX25" s="31">
        <f>IF(LPG!F32-LPG!F31&lt;0,"0",(LPG!F32-LPG!F31)*1.8315)</f>
        <v>20.1465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9.1574999999999989</v>
      </c>
      <c r="BC25" s="13">
        <f>'FS Desroches Daily'!CN27</f>
        <v>33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4099.9999999997708</v>
      </c>
      <c r="F26" s="32">
        <f>'FS Desroches Daily'!F28</f>
        <v>3800.0000000000255</v>
      </c>
      <c r="G26" s="31">
        <f>'FS Desroches Daily'!H28</f>
        <v>3800.0000000000255</v>
      </c>
      <c r="H26" s="32">
        <f>'FS Desroches Daily'!J28</f>
        <v>2199.9999999997576</v>
      </c>
      <c r="I26" s="31">
        <f>'FS Desroches Daily'!L28</f>
        <v>2499.9999999999468</v>
      </c>
      <c r="J26" s="32">
        <f>'FS Desroches Daily'!N28</f>
        <v>2299.9999999999686</v>
      </c>
      <c r="K26" s="13" t="str">
        <f>'FS Desroches Daily'!P28</f>
        <v/>
      </c>
      <c r="L26" s="31">
        <f>'FS Desroches Daily'!R28</f>
        <v>8</v>
      </c>
      <c r="M26" s="31">
        <f>'FS Desroches Daily'!T28</f>
        <v>1.5</v>
      </c>
      <c r="N26" s="31">
        <f>'FS Desroches Daily'!V28</f>
        <v>625.5</v>
      </c>
      <c r="O26" s="31">
        <f>'FS Desroches Daily'!X28</f>
        <v>490.00000000000909</v>
      </c>
      <c r="P26" s="31">
        <f>'FS Desroches Daily'!Z28</f>
        <v>3399.9999999996257</v>
      </c>
      <c r="Q26" s="31">
        <f>'FS Desroches Daily'!AB28</f>
        <v>500</v>
      </c>
      <c r="R26" s="31">
        <f>'FS Desroches Daily'!AD28</f>
        <v>619.9999999999477</v>
      </c>
      <c r="S26" s="31">
        <f>'FS Desroches Daily'!AF28</f>
        <v>1070.00000000005</v>
      </c>
      <c r="T26" s="31">
        <f>'FS Desroches Daily'!AH28</f>
        <v>41</v>
      </c>
      <c r="U26" s="35">
        <f>'FS Desroches Daily'!AJ28</f>
        <v>1029.9999999999727</v>
      </c>
      <c r="V26" s="35">
        <f>'FS Desroches Daily'!AL28</f>
        <v>329.99999999998408</v>
      </c>
      <c r="W26" s="35">
        <f>'FS Desroches Daily'!AN28</f>
        <v>280.00000000000114</v>
      </c>
      <c r="X26" s="35">
        <f>'FS Desroches Daily'!AP28</f>
        <v>229.99999999998977</v>
      </c>
      <c r="Y26" s="35">
        <f>'FS Desroches Daily'!AR28</f>
        <v>379.99999999999545</v>
      </c>
      <c r="Z26" s="35">
        <f>'FS Desroches Daily'!AT28</f>
        <v>209.99999999997954</v>
      </c>
      <c r="AA26" s="35">
        <f>'FS Desroches Daily'!AT28</f>
        <v>209.99999999997954</v>
      </c>
      <c r="AB26" s="35">
        <f>'FS Desroches Daily'!AV28</f>
        <v>329.99999999998408</v>
      </c>
      <c r="AC26" s="35">
        <f>'FS Desroches Daily'!AZ28</f>
        <v>150.00000000003411</v>
      </c>
      <c r="AD26" s="35">
        <f>'FS Desroches Daily'!BB28</f>
        <v>199.99999999998863</v>
      </c>
      <c r="AE26" s="35">
        <f>'FS Desroches Daily'!BD28</f>
        <v>169.99999999995907</v>
      </c>
      <c r="AF26" s="31">
        <f>'FS Desroches Daily'!BF28</f>
        <v>33</v>
      </c>
      <c r="AG26" s="32">
        <f>'FS Desroches Daily'!BH28</f>
        <v>50.000000000011369</v>
      </c>
      <c r="AH26" s="32">
        <f>'FS Desroches Daily'!BJ28</f>
        <v>40.000000000020464</v>
      </c>
      <c r="AI26" s="32">
        <f>'FS Desroches Daily'!BL28</f>
        <v>69.999999999993179</v>
      </c>
      <c r="AJ26" s="32">
        <f>'FS Desroches Daily'!BN28</f>
        <v>39.999999999992042</v>
      </c>
      <c r="AK26" s="32">
        <f>'FS Desroches Daily'!BP28</f>
        <v>79.999999999984084</v>
      </c>
      <c r="AL26" s="32">
        <f>'FS Desroches Daily'!BR28</f>
        <v>45</v>
      </c>
      <c r="AM26" s="32">
        <f>'FS Desroches Daily'!BT28</f>
        <v>69.999999999993179</v>
      </c>
      <c r="AN26" s="32">
        <f>'FS Desroches Daily'!BV28</f>
        <v>61</v>
      </c>
      <c r="AO26" s="32">
        <f>'FS Desroches Daily'!BX28</f>
        <v>59.999999999973852</v>
      </c>
      <c r="AP26" s="32">
        <f>'FS Desroches Daily'!BZ28</f>
        <v>66</v>
      </c>
      <c r="AQ26" s="31">
        <f>'FS Desroches Daily'!CB28</f>
        <v>57.099999999998545</v>
      </c>
      <c r="AR26" s="31">
        <f>'FS Desroches Daily'!CD28</f>
        <v>12</v>
      </c>
      <c r="AS26" s="31" t="str">
        <f>'FS Desroches Daily'!CF28</f>
        <v/>
      </c>
      <c r="AT26" s="31">
        <f>'FS Desroches Daily'!CH28</f>
        <v>44.80000000000291</v>
      </c>
      <c r="AU26" s="31">
        <f>'FS Desroches Daily'!CJ28</f>
        <v>380</v>
      </c>
      <c r="AV26" s="31">
        <f>'FS Desroches Daily'!CL28</f>
        <v>870.00000000000455</v>
      </c>
      <c r="AW26" s="31">
        <f>'FS Desroches Daily'!CM28</f>
        <v>113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34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>
        <f>'FS Desroches Daily'!P29</f>
        <v>0</v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>
        <f>'FS Desroches Daily'!CF29</f>
        <v>0</v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87899.999999999884</v>
      </c>
      <c r="F33" s="17">
        <f t="shared" ref="F33:BC33" si="0">SUM(F2:F32)</f>
        <v>88499.999999999854</v>
      </c>
      <c r="G33" s="17">
        <f t="shared" si="0"/>
        <v>81900.000000000131</v>
      </c>
      <c r="H33" s="17">
        <f t="shared" si="0"/>
        <v>45399.999999999913</v>
      </c>
      <c r="I33" s="17">
        <f t="shared" si="0"/>
        <v>58099.999999999614</v>
      </c>
      <c r="J33" s="17">
        <f t="shared" si="0"/>
        <v>49899.99999999984</v>
      </c>
      <c r="K33" s="17">
        <f t="shared" si="0"/>
        <v>932</v>
      </c>
      <c r="L33" s="17">
        <f t="shared" si="0"/>
        <v>161</v>
      </c>
      <c r="M33" s="17">
        <f t="shared" si="0"/>
        <v>33.600000000000136</v>
      </c>
      <c r="N33" s="17">
        <f t="shared" si="0"/>
        <v>11795.700000000012</v>
      </c>
      <c r="O33" s="17">
        <f t="shared" si="0"/>
        <v>10789.999999999965</v>
      </c>
      <c r="P33" s="17">
        <f t="shared" si="0"/>
        <v>77999.999999999854</v>
      </c>
      <c r="Q33" s="17">
        <f t="shared" si="0"/>
        <v>10509.999999999991</v>
      </c>
      <c r="R33" s="17">
        <f t="shared" si="0"/>
        <v>13039.999999999964</v>
      </c>
      <c r="S33" s="17">
        <f t="shared" si="0"/>
        <v>23900.000000000087</v>
      </c>
      <c r="T33" s="17">
        <f t="shared" si="0"/>
        <v>1074</v>
      </c>
      <c r="U33" s="35">
        <f t="shared" si="0"/>
        <v>20370</v>
      </c>
      <c r="V33" s="35">
        <f t="shared" si="0"/>
        <v>7550.0000000000109</v>
      </c>
      <c r="W33" s="35">
        <f t="shared" si="0"/>
        <v>6140.0000000000155</v>
      </c>
      <c r="X33" s="35">
        <f t="shared" si="0"/>
        <v>6500.0000000000009</v>
      </c>
      <c r="Y33" s="35">
        <f t="shared" si="0"/>
        <v>6759.99999999999</v>
      </c>
      <c r="Z33" s="35">
        <f t="shared" si="0"/>
        <v>6299.4200000000292</v>
      </c>
      <c r="AA33" s="35">
        <f t="shared" si="0"/>
        <v>6299.4200000000292</v>
      </c>
      <c r="AB33" s="35">
        <f t="shared" si="0"/>
        <v>6999.9999999999982</v>
      </c>
      <c r="AC33" s="35">
        <f t="shared" si="0"/>
        <v>5990.0000000000091</v>
      </c>
      <c r="AD33" s="35">
        <f t="shared" si="0"/>
        <v>6039.9999999999654</v>
      </c>
      <c r="AE33" s="35">
        <f t="shared" si="0"/>
        <v>3019.9999999999818</v>
      </c>
      <c r="AF33" s="17">
        <f t="shared" si="0"/>
        <v>761</v>
      </c>
      <c r="AG33" s="32">
        <f t="shared" si="0"/>
        <v>1219.9999999999989</v>
      </c>
      <c r="AH33" s="32">
        <f t="shared" si="0"/>
        <v>879.99999999999545</v>
      </c>
      <c r="AI33" s="32">
        <f t="shared" si="0"/>
        <v>1359.9999999999852</v>
      </c>
      <c r="AJ33" s="32">
        <f t="shared" si="0"/>
        <v>1140.0000000000148</v>
      </c>
      <c r="AK33" s="32">
        <f t="shared" si="0"/>
        <v>1689.9999999999977</v>
      </c>
      <c r="AL33" s="32">
        <f t="shared" si="0"/>
        <v>926</v>
      </c>
      <c r="AM33" s="32">
        <f t="shared" si="0"/>
        <v>1360.0000000000136</v>
      </c>
      <c r="AN33" s="32">
        <f t="shared" si="0"/>
        <v>1258</v>
      </c>
      <c r="AO33" s="32">
        <f t="shared" si="0"/>
        <v>1239.9999999999807</v>
      </c>
      <c r="AP33" s="32">
        <f t="shared" si="0"/>
        <v>1256</v>
      </c>
      <c r="AQ33" s="17">
        <f t="shared" si="0"/>
        <v>1166.6999999999971</v>
      </c>
      <c r="AR33" s="17">
        <f t="shared" si="0"/>
        <v>329.40000000000146</v>
      </c>
      <c r="AS33" s="17">
        <f t="shared" si="0"/>
        <v>140.39999999999964</v>
      </c>
      <c r="AT33" s="17">
        <f t="shared" si="0"/>
        <v>1144.6000000000058</v>
      </c>
      <c r="AU33" s="17">
        <f t="shared" si="0"/>
        <v>8161</v>
      </c>
      <c r="AV33" s="17">
        <f t="shared" si="0"/>
        <v>19490.000000000011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131.86799999999997</v>
      </c>
      <c r="BC33" s="17">
        <f t="shared" si="0"/>
        <v>783</v>
      </c>
    </row>
    <row r="35" spans="5:55" x14ac:dyDescent="0.25">
      <c r="E35" s="38">
        <f>E33/E37</f>
        <v>0.25497624282788667</v>
      </c>
      <c r="G35" s="29">
        <f>G33-M36</f>
        <v>70070.700000000114</v>
      </c>
      <c r="AE35" s="35">
        <f>SUM(U33:AE33)</f>
        <v>81968.84000000004</v>
      </c>
      <c r="AG35" s="32">
        <f>SUM(AG33:AP33)</f>
        <v>12329.999999999987</v>
      </c>
    </row>
    <row r="36" spans="5:55" x14ac:dyDescent="0.25">
      <c r="G36" s="29">
        <f>G35-633*14</f>
        <v>61208.700000000114</v>
      </c>
      <c r="M36" s="29">
        <f>M33+N33</f>
        <v>11829.300000000012</v>
      </c>
    </row>
    <row r="37" spans="5:55" x14ac:dyDescent="0.25">
      <c r="E37" s="17">
        <f>E33+F33+G33+H33+J33-633*14</f>
        <v>344737.99999999959</v>
      </c>
      <c r="G37" s="37">
        <f>M36/E37</f>
        <v>3.4313884747257412E-2</v>
      </c>
      <c r="M37" s="35">
        <f>AE35</f>
        <v>81968.84000000004</v>
      </c>
    </row>
    <row r="38" spans="5:55" x14ac:dyDescent="0.25">
      <c r="L38" s="27">
        <f>M38/E37</f>
        <v>3.5766292082683088E-2</v>
      </c>
      <c r="M38" s="29">
        <f>AG35</f>
        <v>12329.999999999987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opLeftCell="CG1" zoomScale="82" zoomScaleNormal="82" workbookViewId="0">
      <pane ySplit="1" topLeftCell="A5" activePane="bottomLeft" state="frozen"/>
      <selection pane="bottomLeft" activeCell="BE29" sqref="B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>
        <v>2.9559000000000002</v>
      </c>
      <c r="D10" s="64">
        <f t="shared" si="50"/>
        <v>3700.0000000002588</v>
      </c>
      <c r="E10" s="58">
        <v>4.0416999999999996</v>
      </c>
      <c r="F10" s="64">
        <f t="shared" si="51"/>
        <v>3499.9999999998367</v>
      </c>
      <c r="G10" s="58">
        <v>4.0156999999999998</v>
      </c>
      <c r="H10" s="64">
        <f t="shared" si="52"/>
        <v>3199.9999999996476</v>
      </c>
      <c r="I10" s="58">
        <v>2.0089000000000001</v>
      </c>
      <c r="J10" s="64">
        <f t="shared" si="53"/>
        <v>1900.0000000000127</v>
      </c>
      <c r="K10" s="58">
        <v>3.1633</v>
      </c>
      <c r="L10" s="64">
        <f t="shared" si="54"/>
        <v>2499.9999999999468</v>
      </c>
      <c r="M10" s="58">
        <v>1.7751999999999999</v>
      </c>
      <c r="N10" s="64">
        <f t="shared" si="55"/>
        <v>1999.9999999997797</v>
      </c>
      <c r="O10" s="58">
        <v>18085</v>
      </c>
      <c r="P10" s="67">
        <f t="shared" si="56"/>
        <v>58</v>
      </c>
      <c r="Q10" s="58">
        <v>2101</v>
      </c>
      <c r="R10" s="67">
        <f t="shared" si="57"/>
        <v>7</v>
      </c>
      <c r="S10" s="58">
        <v>1245.5999999999999</v>
      </c>
      <c r="T10" s="67">
        <f t="shared" si="58"/>
        <v>1</v>
      </c>
      <c r="U10" s="58">
        <v>512919.7</v>
      </c>
      <c r="V10" s="67">
        <f t="shared" si="59"/>
        <v>391</v>
      </c>
      <c r="W10" s="58">
        <v>479.29</v>
      </c>
      <c r="X10" s="65">
        <f t="shared" si="60"/>
        <v>420.00000000001592</v>
      </c>
      <c r="Y10" s="58">
        <v>3.5510000000000002</v>
      </c>
      <c r="Z10" s="65">
        <f t="shared" si="61"/>
        <v>3100.0000000003247</v>
      </c>
      <c r="AA10" s="58">
        <v>481.6</v>
      </c>
      <c r="AB10" s="65">
        <f t="shared" si="62"/>
        <v>450.00000000004547</v>
      </c>
      <c r="AC10" s="58">
        <v>467.12</v>
      </c>
      <c r="AD10" s="65">
        <f t="shared" si="63"/>
        <v>480.00000000001819</v>
      </c>
      <c r="AE10" s="58">
        <v>675.75</v>
      </c>
      <c r="AF10" s="65">
        <f t="shared" si="64"/>
        <v>899.99999999997726</v>
      </c>
      <c r="AG10" s="58">
        <v>14075</v>
      </c>
      <c r="AH10" s="67">
        <f t="shared" si="65"/>
        <v>40</v>
      </c>
      <c r="AI10" s="58">
        <v>789.61</v>
      </c>
      <c r="AJ10" s="65">
        <f t="shared" si="66"/>
        <v>889.99999999998636</v>
      </c>
      <c r="AK10" s="58">
        <v>263.39</v>
      </c>
      <c r="AL10" s="65">
        <f t="shared" si="67"/>
        <v>240.00000000000909</v>
      </c>
      <c r="AM10" s="58">
        <v>247.4</v>
      </c>
      <c r="AN10" s="65">
        <f t="shared" si="68"/>
        <v>250</v>
      </c>
      <c r="AO10" s="58">
        <v>238.39</v>
      </c>
      <c r="AP10" s="65">
        <f t="shared" si="69"/>
        <v>399.99999999997726</v>
      </c>
      <c r="AQ10" s="58">
        <v>295.16000000000003</v>
      </c>
      <c r="AR10" s="65">
        <f t="shared" si="70"/>
        <v>290.00000000002046</v>
      </c>
      <c r="AS10" s="58">
        <v>421.92</v>
      </c>
      <c r="AT10" s="65">
        <f t="shared" si="71"/>
        <v>360.00000000001364</v>
      </c>
      <c r="AU10" s="58">
        <v>326.87</v>
      </c>
      <c r="AV10" s="65">
        <f t="shared" si="72"/>
        <v>250</v>
      </c>
      <c r="AW10" s="58">
        <v>359.41</v>
      </c>
      <c r="AX10" s="65">
        <f t="shared" si="73"/>
        <v>280.00000000002956</v>
      </c>
      <c r="AY10" s="58">
        <v>394.15</v>
      </c>
      <c r="AZ10" s="65">
        <f t="shared" si="74"/>
        <v>269.99999999998181</v>
      </c>
      <c r="BA10" s="58">
        <v>413.52</v>
      </c>
      <c r="BB10" s="65">
        <f t="shared" si="75"/>
        <v>199.99999999998863</v>
      </c>
      <c r="BC10" s="58">
        <v>264.62</v>
      </c>
      <c r="BD10" s="65">
        <f t="shared" si="76"/>
        <v>79.999999999984084</v>
      </c>
      <c r="BE10" s="59">
        <v>48816</v>
      </c>
      <c r="BF10" s="67">
        <f t="shared" si="77"/>
        <v>30</v>
      </c>
      <c r="BG10" s="60">
        <v>244.89</v>
      </c>
      <c r="BH10" s="65">
        <f t="shared" si="78"/>
        <v>59.999999999973852</v>
      </c>
      <c r="BI10" s="60">
        <v>300.45</v>
      </c>
      <c r="BJ10" s="65">
        <f t="shared" si="79"/>
        <v>39.99999999996362</v>
      </c>
      <c r="BK10" s="60">
        <v>247.46</v>
      </c>
      <c r="BL10" s="65">
        <f t="shared" si="80"/>
        <v>50.000000000011369</v>
      </c>
      <c r="BM10" s="60">
        <v>234.55</v>
      </c>
      <c r="BN10" s="65">
        <f t="shared" si="81"/>
        <v>40.000000000020464</v>
      </c>
      <c r="BO10" s="60">
        <v>300.8</v>
      </c>
      <c r="BP10" s="65">
        <f t="shared" si="82"/>
        <v>79.999999999984084</v>
      </c>
      <c r="BQ10" s="60">
        <v>53213</v>
      </c>
      <c r="BR10" s="65">
        <f t="shared" si="83"/>
        <v>42</v>
      </c>
      <c r="BS10" s="60">
        <v>211.59</v>
      </c>
      <c r="BT10" s="65">
        <f t="shared" si="84"/>
        <v>69.999999999993179</v>
      </c>
      <c r="BU10" s="60">
        <v>50349</v>
      </c>
      <c r="BV10" s="65">
        <f t="shared" si="85"/>
        <v>65</v>
      </c>
      <c r="BW10" s="60">
        <v>239.79</v>
      </c>
      <c r="BX10" s="65">
        <f t="shared" si="86"/>
        <v>60.000000000002274</v>
      </c>
      <c r="BY10" s="60">
        <v>70066</v>
      </c>
      <c r="BZ10" s="67">
        <f t="shared" si="87"/>
        <v>58</v>
      </c>
      <c r="CA10" s="60">
        <v>44133.8</v>
      </c>
      <c r="CB10" s="67">
        <f t="shared" si="88"/>
        <v>55.700000000004366</v>
      </c>
      <c r="CC10" s="60">
        <v>14610.2</v>
      </c>
      <c r="CD10" s="67">
        <f t="shared" si="89"/>
        <v>13.600000000000364</v>
      </c>
      <c r="CE10" s="60">
        <v>7714</v>
      </c>
      <c r="CF10" s="67">
        <f t="shared" si="90"/>
        <v>2.8999999999996362</v>
      </c>
      <c r="CG10" s="60">
        <v>70639.600000000006</v>
      </c>
      <c r="CH10" s="67">
        <f t="shared" si="91"/>
        <v>50.700000000011642</v>
      </c>
      <c r="CI10" s="60">
        <v>1021675</v>
      </c>
      <c r="CJ10" s="67">
        <f t="shared" si="92"/>
        <v>326</v>
      </c>
      <c r="CK10" s="60">
        <v>927.03</v>
      </c>
      <c r="CL10" s="64">
        <f t="shared" si="93"/>
        <v>829.99999999992724</v>
      </c>
      <c r="CM10" s="65">
        <f t="shared" si="94"/>
        <v>103</v>
      </c>
      <c r="CN10" s="62">
        <v>31</v>
      </c>
      <c r="CO10" s="62">
        <v>77</v>
      </c>
      <c r="CP10" s="68">
        <v>23794</v>
      </c>
      <c r="CQ10" s="67">
        <f t="shared" si="95"/>
        <v>81</v>
      </c>
      <c r="CR10" s="68">
        <v>19703</v>
      </c>
      <c r="CS10" s="67">
        <f t="shared" si="96"/>
        <v>22</v>
      </c>
      <c r="CT10" s="75">
        <v>9082</v>
      </c>
      <c r="CU10" s="67">
        <f t="shared" si="97"/>
        <v>9</v>
      </c>
      <c r="CV10" s="68">
        <v>22566</v>
      </c>
      <c r="CW10" s="67">
        <f t="shared" si="98"/>
        <v>18</v>
      </c>
      <c r="CX10" s="58">
        <v>2071.6</v>
      </c>
      <c r="CY10" s="67">
        <f t="shared" si="99"/>
        <v>11.699999999999818</v>
      </c>
    </row>
    <row r="11" spans="1:103" ht="25.5" customHeight="1" thickBot="1" x14ac:dyDescent="0.45">
      <c r="A11" s="63">
        <v>44628</v>
      </c>
      <c r="B11" s="44"/>
      <c r="C11" s="58">
        <v>2.9599000000000002</v>
      </c>
      <c r="D11" s="64">
        <f t="shared" si="50"/>
        <v>4000.0000000000036</v>
      </c>
      <c r="E11" s="58">
        <v>4.0454999999999997</v>
      </c>
      <c r="F11" s="64">
        <f t="shared" si="51"/>
        <v>3800.0000000000255</v>
      </c>
      <c r="G11" s="58">
        <v>4.0190999999999999</v>
      </c>
      <c r="H11" s="64">
        <f t="shared" si="52"/>
        <v>3400.0000000000696</v>
      </c>
      <c r="I11" s="58">
        <v>2.0108000000000001</v>
      </c>
      <c r="J11" s="64">
        <f t="shared" si="53"/>
        <v>1900.0000000000127</v>
      </c>
      <c r="K11" s="58">
        <v>3.1657999999999999</v>
      </c>
      <c r="L11" s="64">
        <f t="shared" si="54"/>
        <v>2499.9999999999468</v>
      </c>
      <c r="M11" s="58">
        <v>1.7770999999999999</v>
      </c>
      <c r="N11" s="64">
        <f t="shared" si="55"/>
        <v>1900.0000000000127</v>
      </c>
      <c r="O11" s="58">
        <v>18133</v>
      </c>
      <c r="P11" s="67">
        <f t="shared" si="56"/>
        <v>48</v>
      </c>
      <c r="Q11" s="58">
        <v>2109</v>
      </c>
      <c r="R11" s="67">
        <f t="shared" si="57"/>
        <v>8</v>
      </c>
      <c r="S11" s="58">
        <v>1246.9000000000001</v>
      </c>
      <c r="T11" s="67">
        <f t="shared" si="58"/>
        <v>1.3000000000001819</v>
      </c>
      <c r="U11" s="58">
        <v>513416.8</v>
      </c>
      <c r="V11" s="67">
        <f t="shared" si="59"/>
        <v>497.09999999997672</v>
      </c>
      <c r="W11" s="58">
        <v>479.77</v>
      </c>
      <c r="X11" s="65">
        <f t="shared" si="60"/>
        <v>479.99999999996135</v>
      </c>
      <c r="Y11" s="58">
        <v>3.5541999999999998</v>
      </c>
      <c r="Z11" s="65">
        <f t="shared" si="61"/>
        <v>3199.9999999996476</v>
      </c>
      <c r="AA11" s="58">
        <v>481.93</v>
      </c>
      <c r="AB11" s="65">
        <f t="shared" si="62"/>
        <v>329.99999999998408</v>
      </c>
      <c r="AC11" s="58">
        <v>467.67</v>
      </c>
      <c r="AD11" s="65">
        <f t="shared" si="63"/>
        <v>550.00000000001137</v>
      </c>
      <c r="AE11" s="58">
        <v>676.68</v>
      </c>
      <c r="AF11" s="65">
        <f t="shared" si="64"/>
        <v>929.99999999994998</v>
      </c>
      <c r="AG11" s="58">
        <v>14118</v>
      </c>
      <c r="AH11" s="67">
        <f t="shared" si="65"/>
        <v>43</v>
      </c>
      <c r="AI11" s="58">
        <v>790.5</v>
      </c>
      <c r="AJ11" s="65">
        <f t="shared" si="66"/>
        <v>889.99999999998636</v>
      </c>
      <c r="AK11" s="58">
        <v>263.76</v>
      </c>
      <c r="AL11" s="65">
        <f t="shared" si="67"/>
        <v>370.00000000000455</v>
      </c>
      <c r="AM11" s="58">
        <v>247.63</v>
      </c>
      <c r="AN11" s="65">
        <f t="shared" si="68"/>
        <v>229.99999999998977</v>
      </c>
      <c r="AO11" s="58">
        <v>238.64</v>
      </c>
      <c r="AP11" s="65">
        <f t="shared" si="69"/>
        <v>250</v>
      </c>
      <c r="AQ11" s="58">
        <v>295.45999999999998</v>
      </c>
      <c r="AR11" s="65">
        <f t="shared" si="70"/>
        <v>299.99999999995453</v>
      </c>
      <c r="AS11" s="58">
        <v>422.27</v>
      </c>
      <c r="AT11" s="65">
        <f t="shared" si="71"/>
        <v>349.99999999996589</v>
      </c>
      <c r="AU11" s="58">
        <v>327.12</v>
      </c>
      <c r="AV11" s="65">
        <f t="shared" si="72"/>
        <v>250</v>
      </c>
      <c r="AW11" s="58">
        <v>359.66</v>
      </c>
      <c r="AX11" s="65">
        <f t="shared" si="73"/>
        <v>250</v>
      </c>
      <c r="AY11" s="58">
        <v>394.42</v>
      </c>
      <c r="AZ11" s="65">
        <f t="shared" si="74"/>
        <v>270.00000000003865</v>
      </c>
      <c r="BA11" s="58">
        <v>413.92</v>
      </c>
      <c r="BB11" s="65">
        <f t="shared" si="75"/>
        <v>400.00000000003411</v>
      </c>
      <c r="BC11" s="58">
        <v>264.70999999999998</v>
      </c>
      <c r="BD11" s="65">
        <f t="shared" si="76"/>
        <v>89.999999999974989</v>
      </c>
      <c r="BE11" s="59">
        <v>48851</v>
      </c>
      <c r="BF11" s="67">
        <f t="shared" si="77"/>
        <v>35</v>
      </c>
      <c r="BG11" s="60">
        <v>244.94</v>
      </c>
      <c r="BH11" s="65">
        <f t="shared" si="78"/>
        <v>50.000000000011369</v>
      </c>
      <c r="BI11" s="60">
        <v>300.49</v>
      </c>
      <c r="BJ11" s="65">
        <f t="shared" si="79"/>
        <v>40.000000000020464</v>
      </c>
      <c r="BK11" s="60">
        <v>247.52</v>
      </c>
      <c r="BL11" s="65">
        <f t="shared" si="80"/>
        <v>60.000000000002274</v>
      </c>
      <c r="BM11" s="60">
        <v>234.6</v>
      </c>
      <c r="BN11" s="65">
        <f t="shared" si="81"/>
        <v>49.999999999982947</v>
      </c>
      <c r="BO11" s="60">
        <v>300.87</v>
      </c>
      <c r="BP11" s="65">
        <f t="shared" si="82"/>
        <v>69.999999999993179</v>
      </c>
      <c r="BQ11" s="60">
        <v>53258</v>
      </c>
      <c r="BR11" s="65">
        <f t="shared" si="83"/>
        <v>45</v>
      </c>
      <c r="BS11" s="60">
        <v>211.64</v>
      </c>
      <c r="BT11" s="65">
        <f t="shared" si="84"/>
        <v>49.999999999982947</v>
      </c>
      <c r="BU11" s="60">
        <v>50406</v>
      </c>
      <c r="BV11" s="65">
        <f t="shared" si="85"/>
        <v>57</v>
      </c>
      <c r="BW11" s="60">
        <v>239.85</v>
      </c>
      <c r="BX11" s="65">
        <f t="shared" si="86"/>
        <v>60.000000000002274</v>
      </c>
      <c r="BY11" s="60">
        <v>70122</v>
      </c>
      <c r="BZ11" s="67">
        <f t="shared" si="87"/>
        <v>56</v>
      </c>
      <c r="CA11" s="60">
        <v>44182.7</v>
      </c>
      <c r="CB11" s="67">
        <f t="shared" si="88"/>
        <v>48.899999999994179</v>
      </c>
      <c r="CC11" s="60">
        <v>14621.6</v>
      </c>
      <c r="CD11" s="67">
        <f t="shared" si="89"/>
        <v>11.399999999999636</v>
      </c>
      <c r="CE11" s="60">
        <v>7717.5</v>
      </c>
      <c r="CF11" s="67">
        <f t="shared" si="90"/>
        <v>3.5</v>
      </c>
      <c r="CG11" s="60">
        <v>70686.8</v>
      </c>
      <c r="CH11" s="67">
        <f t="shared" si="91"/>
        <v>47.19999999999709</v>
      </c>
      <c r="CI11" s="60">
        <v>1022011</v>
      </c>
      <c r="CJ11" s="67">
        <f t="shared" si="92"/>
        <v>336</v>
      </c>
      <c r="CK11" s="60">
        <v>927.84</v>
      </c>
      <c r="CL11" s="64">
        <f t="shared" si="93"/>
        <v>810.00000000005912</v>
      </c>
      <c r="CM11" s="65">
        <f t="shared" si="94"/>
        <v>120</v>
      </c>
      <c r="CN11" s="62">
        <v>31</v>
      </c>
      <c r="CO11" s="62">
        <v>75</v>
      </c>
      <c r="CP11" s="68">
        <v>23888</v>
      </c>
      <c r="CQ11" s="67">
        <f t="shared" si="95"/>
        <v>94</v>
      </c>
      <c r="CR11" s="68">
        <v>19729</v>
      </c>
      <c r="CS11" s="67">
        <f t="shared" si="96"/>
        <v>26</v>
      </c>
      <c r="CT11" s="75">
        <v>9091</v>
      </c>
      <c r="CU11" s="67">
        <f t="shared" si="97"/>
        <v>9</v>
      </c>
      <c r="CV11" s="68">
        <v>22589</v>
      </c>
      <c r="CW11" s="67">
        <f t="shared" si="98"/>
        <v>23</v>
      </c>
      <c r="CX11" s="58">
        <v>2085.1</v>
      </c>
      <c r="CY11" s="67">
        <f t="shared" si="99"/>
        <v>13.5</v>
      </c>
    </row>
    <row r="12" spans="1:103" ht="25.5" customHeight="1" thickBot="1" x14ac:dyDescent="0.45">
      <c r="A12" s="63">
        <v>44629</v>
      </c>
      <c r="B12" s="44"/>
      <c r="C12" s="58">
        <v>2.9638</v>
      </c>
      <c r="D12" s="64">
        <f t="shared" si="50"/>
        <v>3899.9999999997926</v>
      </c>
      <c r="E12" s="58">
        <v>4.0490000000000004</v>
      </c>
      <c r="F12" s="64">
        <f t="shared" si="51"/>
        <v>3500.0000000007249</v>
      </c>
      <c r="G12" s="58">
        <v>4.0225</v>
      </c>
      <c r="H12" s="64">
        <f t="shared" si="52"/>
        <v>3400.0000000000696</v>
      </c>
      <c r="I12" s="58">
        <v>2.0127000000000002</v>
      </c>
      <c r="J12" s="64">
        <f t="shared" si="53"/>
        <v>1900.0000000000127</v>
      </c>
      <c r="K12" s="58">
        <v>3.1684000000000001</v>
      </c>
      <c r="L12" s="64">
        <f t="shared" si="54"/>
        <v>2600.0000000001578</v>
      </c>
      <c r="M12" s="58">
        <v>1.7790999999999999</v>
      </c>
      <c r="N12" s="64">
        <f t="shared" si="55"/>
        <v>2000.0000000000018</v>
      </c>
      <c r="O12" s="58">
        <v>18195</v>
      </c>
      <c r="P12" s="67">
        <f t="shared" si="56"/>
        <v>62</v>
      </c>
      <c r="Q12" s="58">
        <v>2115</v>
      </c>
      <c r="R12" s="67">
        <f t="shared" si="57"/>
        <v>6</v>
      </c>
      <c r="S12" s="58">
        <v>1248.3</v>
      </c>
      <c r="T12" s="67">
        <f t="shared" si="58"/>
        <v>1.3999999999998636</v>
      </c>
      <c r="U12" s="58">
        <v>513925.5</v>
      </c>
      <c r="V12" s="67">
        <f t="shared" si="59"/>
        <v>508.70000000001164</v>
      </c>
      <c r="W12" s="58">
        <v>480.17</v>
      </c>
      <c r="X12" s="65">
        <f t="shared" si="60"/>
        <v>400.00000000003411</v>
      </c>
      <c r="Y12" s="58">
        <v>3.5573999999999999</v>
      </c>
      <c r="Z12" s="65">
        <f t="shared" si="61"/>
        <v>3200.0000000000919</v>
      </c>
      <c r="AA12" s="58">
        <v>482.37</v>
      </c>
      <c r="AB12" s="65">
        <f t="shared" si="62"/>
        <v>439.99999999999773</v>
      </c>
      <c r="AC12" s="58">
        <v>468.16</v>
      </c>
      <c r="AD12" s="65">
        <f t="shared" si="63"/>
        <v>490.00000000000909</v>
      </c>
      <c r="AE12" s="58">
        <v>677.58</v>
      </c>
      <c r="AF12" s="65">
        <f t="shared" si="64"/>
        <v>900.00000000009095</v>
      </c>
      <c r="AG12" s="58">
        <v>14160</v>
      </c>
      <c r="AH12" s="67">
        <f t="shared" si="65"/>
        <v>42</v>
      </c>
      <c r="AI12" s="58">
        <v>791.29</v>
      </c>
      <c r="AJ12" s="65">
        <f t="shared" si="66"/>
        <v>789.99999999996362</v>
      </c>
      <c r="AK12" s="58">
        <v>264.10000000000002</v>
      </c>
      <c r="AL12" s="65">
        <f t="shared" si="67"/>
        <v>340.00000000003183</v>
      </c>
      <c r="AM12" s="58">
        <v>247.89</v>
      </c>
      <c r="AN12" s="65">
        <f t="shared" si="68"/>
        <v>259.99999999999091</v>
      </c>
      <c r="AO12" s="58">
        <v>238.93</v>
      </c>
      <c r="AP12" s="65">
        <f t="shared" si="69"/>
        <v>290.00000000002046</v>
      </c>
      <c r="AQ12" s="58">
        <v>295.73</v>
      </c>
      <c r="AR12" s="65">
        <f t="shared" si="70"/>
        <v>270.00000000003865</v>
      </c>
      <c r="AS12" s="58">
        <v>422.5</v>
      </c>
      <c r="AT12" s="65">
        <f t="shared" si="71"/>
        <v>230.00000000001819</v>
      </c>
      <c r="AU12" s="58">
        <v>327.38</v>
      </c>
      <c r="AV12" s="65">
        <f t="shared" si="72"/>
        <v>259.99999999999091</v>
      </c>
      <c r="AW12" s="58">
        <v>359.89</v>
      </c>
      <c r="AX12" s="65">
        <f t="shared" si="73"/>
        <v>229.99999999996135</v>
      </c>
      <c r="AY12" s="58">
        <v>394.68</v>
      </c>
      <c r="AZ12" s="65">
        <f t="shared" si="74"/>
        <v>259.99999999999091</v>
      </c>
      <c r="BA12" s="58">
        <v>414.32</v>
      </c>
      <c r="BB12" s="65">
        <f t="shared" si="75"/>
        <v>399.99999999997726</v>
      </c>
      <c r="BC12" s="58">
        <v>264.83999999999997</v>
      </c>
      <c r="BD12" s="65">
        <f t="shared" si="76"/>
        <v>129.99999999999545</v>
      </c>
      <c r="BE12" s="59">
        <v>48880</v>
      </c>
      <c r="BF12" s="67">
        <f t="shared" si="77"/>
        <v>29</v>
      </c>
      <c r="BG12" s="60">
        <v>245</v>
      </c>
      <c r="BH12" s="65">
        <f t="shared" si="78"/>
        <v>60.000000000002274</v>
      </c>
      <c r="BI12" s="60">
        <v>300.52999999999997</v>
      </c>
      <c r="BJ12" s="65">
        <f t="shared" si="79"/>
        <v>39.99999999996362</v>
      </c>
      <c r="BK12" s="60">
        <v>247.58</v>
      </c>
      <c r="BL12" s="65">
        <f t="shared" si="80"/>
        <v>60.000000000002274</v>
      </c>
      <c r="BM12" s="60">
        <v>234.65</v>
      </c>
      <c r="BN12" s="65">
        <f t="shared" si="81"/>
        <v>50.000000000011369</v>
      </c>
      <c r="BO12" s="60">
        <v>300.95999999999998</v>
      </c>
      <c r="BP12" s="65">
        <f t="shared" si="82"/>
        <v>89.999999999974989</v>
      </c>
      <c r="BQ12" s="60">
        <v>53298</v>
      </c>
      <c r="BR12" s="65">
        <f t="shared" si="83"/>
        <v>40</v>
      </c>
      <c r="BS12" s="60">
        <v>211.7</v>
      </c>
      <c r="BT12" s="65">
        <f t="shared" si="84"/>
        <v>60.000000000002274</v>
      </c>
      <c r="BU12" s="60">
        <v>50460</v>
      </c>
      <c r="BV12" s="65">
        <f t="shared" si="85"/>
        <v>54</v>
      </c>
      <c r="BW12" s="60">
        <v>239.9</v>
      </c>
      <c r="BX12" s="65">
        <f t="shared" si="86"/>
        <v>50.000000000011369</v>
      </c>
      <c r="BY12" s="60">
        <v>70178</v>
      </c>
      <c r="BZ12" s="67">
        <f t="shared" si="87"/>
        <v>56</v>
      </c>
      <c r="CA12" s="60">
        <v>44233.3</v>
      </c>
      <c r="CB12" s="67">
        <f t="shared" si="88"/>
        <v>50.600000000005821</v>
      </c>
      <c r="CC12" s="60">
        <v>14633.4</v>
      </c>
      <c r="CD12" s="67">
        <f t="shared" si="89"/>
        <v>11.799999999999272</v>
      </c>
      <c r="CE12" s="60">
        <v>7724.5</v>
      </c>
      <c r="CF12" s="67">
        <f t="shared" si="90"/>
        <v>7</v>
      </c>
      <c r="CG12" s="60">
        <v>70733.899999999994</v>
      </c>
      <c r="CH12" s="67">
        <f t="shared" si="91"/>
        <v>47.099999999991269</v>
      </c>
      <c r="CI12" s="60">
        <v>1022361</v>
      </c>
      <c r="CJ12" s="67">
        <f t="shared" si="92"/>
        <v>350</v>
      </c>
      <c r="CK12" s="60">
        <v>928.65</v>
      </c>
      <c r="CL12" s="64">
        <f t="shared" si="93"/>
        <v>809.99999999994543</v>
      </c>
      <c r="CM12" s="65">
        <f t="shared" si="94"/>
        <v>125</v>
      </c>
      <c r="CN12" s="62">
        <v>31</v>
      </c>
      <c r="CO12" s="62">
        <v>78</v>
      </c>
      <c r="CP12" s="68">
        <v>23991</v>
      </c>
      <c r="CQ12" s="67">
        <f t="shared" si="95"/>
        <v>103</v>
      </c>
      <c r="CR12" s="68">
        <v>19751</v>
      </c>
      <c r="CS12" s="67">
        <f t="shared" si="96"/>
        <v>22</v>
      </c>
      <c r="CT12" s="75">
        <v>9103</v>
      </c>
      <c r="CU12" s="67">
        <f t="shared" si="97"/>
        <v>12</v>
      </c>
      <c r="CV12" s="68">
        <v>22616</v>
      </c>
      <c r="CW12" s="67">
        <f t="shared" si="98"/>
        <v>27</v>
      </c>
      <c r="CX12" s="58">
        <v>2097.1</v>
      </c>
      <c r="CY12" s="67">
        <f t="shared" si="99"/>
        <v>12</v>
      </c>
    </row>
    <row r="13" spans="1:103" ht="25.5" customHeight="1" thickBot="1" x14ac:dyDescent="0.45">
      <c r="A13" s="63">
        <v>44630</v>
      </c>
      <c r="B13" s="44"/>
      <c r="C13" s="58">
        <v>2.9670000000000001</v>
      </c>
      <c r="D13" s="64">
        <f t="shared" si="50"/>
        <v>3200.0000000000919</v>
      </c>
      <c r="E13" s="58">
        <v>4.0523999999999996</v>
      </c>
      <c r="F13" s="64">
        <f t="shared" si="51"/>
        <v>3399.9999999991815</v>
      </c>
      <c r="G13" s="58">
        <v>4.0259</v>
      </c>
      <c r="H13" s="64">
        <f t="shared" si="52"/>
        <v>3400.0000000000696</v>
      </c>
      <c r="I13" s="58">
        <v>2.0145</v>
      </c>
      <c r="J13" s="64">
        <f t="shared" si="53"/>
        <v>1799.9999999998017</v>
      </c>
      <c r="K13" s="58">
        <v>3.1705999999999999</v>
      </c>
      <c r="L13" s="64">
        <f t="shared" si="54"/>
        <v>2199.9999999997576</v>
      </c>
      <c r="M13" s="58">
        <v>1.7809999999999999</v>
      </c>
      <c r="N13" s="64">
        <f t="shared" si="55"/>
        <v>1900.0000000000127</v>
      </c>
      <c r="O13" s="58">
        <v>18235</v>
      </c>
      <c r="P13" s="67">
        <f t="shared" si="56"/>
        <v>40</v>
      </c>
      <c r="Q13" s="58">
        <v>2124</v>
      </c>
      <c r="R13" s="67">
        <f t="shared" si="57"/>
        <v>9</v>
      </c>
      <c r="S13" s="58">
        <v>1250</v>
      </c>
      <c r="T13" s="67">
        <f t="shared" si="58"/>
        <v>1.7000000000000455</v>
      </c>
      <c r="U13" s="58">
        <v>514457.7</v>
      </c>
      <c r="V13" s="67">
        <f t="shared" si="59"/>
        <v>532.20000000001164</v>
      </c>
      <c r="W13" s="58">
        <v>480.55</v>
      </c>
      <c r="X13" s="65">
        <f t="shared" si="60"/>
        <v>379.99999999999545</v>
      </c>
      <c r="Y13" s="58">
        <v>3.5605000000000002</v>
      </c>
      <c r="Z13" s="65">
        <f t="shared" si="61"/>
        <v>3100.0000000003247</v>
      </c>
      <c r="AA13" s="58">
        <v>482.79</v>
      </c>
      <c r="AB13" s="65">
        <f t="shared" si="62"/>
        <v>420.00000000001592</v>
      </c>
      <c r="AC13" s="58">
        <v>468.66</v>
      </c>
      <c r="AD13" s="65">
        <f t="shared" si="63"/>
        <v>500</v>
      </c>
      <c r="AE13" s="58">
        <v>678.39</v>
      </c>
      <c r="AF13" s="65">
        <f t="shared" si="64"/>
        <v>809.99999999994543</v>
      </c>
      <c r="AG13" s="58">
        <v>14201</v>
      </c>
      <c r="AH13" s="67">
        <f t="shared" si="65"/>
        <v>41</v>
      </c>
      <c r="AI13" s="58">
        <v>791.95</v>
      </c>
      <c r="AJ13" s="65">
        <f t="shared" si="66"/>
        <v>660.00000000008185</v>
      </c>
      <c r="AK13" s="58">
        <v>264.43</v>
      </c>
      <c r="AL13" s="65">
        <f t="shared" si="67"/>
        <v>329.99999999998408</v>
      </c>
      <c r="AM13" s="58">
        <v>248.11</v>
      </c>
      <c r="AN13" s="65">
        <f t="shared" si="68"/>
        <v>220.00000000002728</v>
      </c>
      <c r="AO13" s="58">
        <v>239.16</v>
      </c>
      <c r="AP13" s="65">
        <f t="shared" si="69"/>
        <v>229.99999999998977</v>
      </c>
      <c r="AQ13" s="58">
        <v>296.01</v>
      </c>
      <c r="AR13" s="65">
        <f t="shared" si="70"/>
        <v>279.99999999997272</v>
      </c>
      <c r="AS13" s="58">
        <v>422.72</v>
      </c>
      <c r="AT13" s="65">
        <f t="shared" si="71"/>
        <v>220.00000000002728</v>
      </c>
      <c r="AU13" s="58">
        <v>327.58</v>
      </c>
      <c r="AV13" s="65">
        <f t="shared" si="72"/>
        <v>199.99999999998863</v>
      </c>
      <c r="AW13" s="58">
        <v>360.12</v>
      </c>
      <c r="AX13" s="65">
        <f t="shared" si="73"/>
        <v>230.00000000001819</v>
      </c>
      <c r="AY13" s="58">
        <v>394.89</v>
      </c>
      <c r="AZ13" s="65">
        <f t="shared" si="74"/>
        <v>209.99999999997954</v>
      </c>
      <c r="BA13" s="58">
        <v>414.65</v>
      </c>
      <c r="BB13" s="65">
        <f t="shared" si="75"/>
        <v>329.99999999998408</v>
      </c>
      <c r="BC13" s="58">
        <v>264.95</v>
      </c>
      <c r="BD13" s="65">
        <f t="shared" si="76"/>
        <v>110.00000000001364</v>
      </c>
      <c r="BE13" s="59">
        <v>48908</v>
      </c>
      <c r="BF13" s="67">
        <f t="shared" si="77"/>
        <v>28</v>
      </c>
      <c r="BG13" s="60">
        <v>245.04</v>
      </c>
      <c r="BH13" s="65">
        <f t="shared" si="78"/>
        <v>39.999999999992042</v>
      </c>
      <c r="BI13" s="60">
        <v>300.56</v>
      </c>
      <c r="BJ13" s="65">
        <f t="shared" si="79"/>
        <v>30.000000000029559</v>
      </c>
      <c r="BK13" s="60">
        <v>247.63</v>
      </c>
      <c r="BL13" s="65">
        <f t="shared" si="80"/>
        <v>49.999999999982947</v>
      </c>
      <c r="BM13" s="60">
        <v>234.69</v>
      </c>
      <c r="BN13" s="65">
        <f t="shared" si="81"/>
        <v>39.999999999992042</v>
      </c>
      <c r="BO13" s="60">
        <v>301.02</v>
      </c>
      <c r="BP13" s="65">
        <f t="shared" si="82"/>
        <v>60.000000000002274</v>
      </c>
      <c r="BQ13" s="60">
        <v>53329</v>
      </c>
      <c r="BR13" s="65">
        <f t="shared" si="83"/>
        <v>31</v>
      </c>
      <c r="BS13" s="60">
        <v>211.75</v>
      </c>
      <c r="BT13" s="65">
        <f t="shared" si="84"/>
        <v>50.000000000011369</v>
      </c>
      <c r="BU13" s="60">
        <v>50507</v>
      </c>
      <c r="BV13" s="65">
        <f t="shared" si="85"/>
        <v>47</v>
      </c>
      <c r="BW13" s="60">
        <v>239.94</v>
      </c>
      <c r="BX13" s="65">
        <f t="shared" si="86"/>
        <v>39.999999999992042</v>
      </c>
      <c r="BY13" s="60">
        <v>70224</v>
      </c>
      <c r="BZ13" s="67">
        <f t="shared" si="87"/>
        <v>46</v>
      </c>
      <c r="CA13" s="60">
        <v>44284</v>
      </c>
      <c r="CB13" s="67">
        <f t="shared" si="88"/>
        <v>50.69999999999709</v>
      </c>
      <c r="CC13" s="60">
        <v>14646.7</v>
      </c>
      <c r="CD13" s="67">
        <f t="shared" si="89"/>
        <v>13.300000000001091</v>
      </c>
      <c r="CE13" s="60">
        <v>7734.5</v>
      </c>
      <c r="CF13" s="67">
        <f t="shared" si="90"/>
        <v>10</v>
      </c>
      <c r="CG13" s="60">
        <v>70790.600000000006</v>
      </c>
      <c r="CH13" s="67">
        <f t="shared" si="91"/>
        <v>56.700000000011642</v>
      </c>
      <c r="CI13" s="60">
        <v>1022659</v>
      </c>
      <c r="CJ13" s="67">
        <f t="shared" si="92"/>
        <v>298</v>
      </c>
      <c r="CK13" s="60">
        <v>929.51</v>
      </c>
      <c r="CL13" s="64">
        <f t="shared" si="93"/>
        <v>860.00000000001364</v>
      </c>
      <c r="CM13" s="65">
        <f t="shared" si="94"/>
        <v>127</v>
      </c>
      <c r="CN13" s="62">
        <v>33</v>
      </c>
      <c r="CO13" s="62">
        <v>67</v>
      </c>
      <c r="CP13" s="68">
        <v>24092</v>
      </c>
      <c r="CQ13" s="67">
        <f t="shared" si="95"/>
        <v>101</v>
      </c>
      <c r="CR13" s="68">
        <v>19777</v>
      </c>
      <c r="CS13" s="67">
        <f t="shared" si="96"/>
        <v>26</v>
      </c>
      <c r="CT13" s="75">
        <v>9113</v>
      </c>
      <c r="CU13" s="67">
        <f t="shared" si="97"/>
        <v>10</v>
      </c>
      <c r="CV13" s="68">
        <v>22639</v>
      </c>
      <c r="CW13" s="67">
        <f t="shared" si="98"/>
        <v>23</v>
      </c>
      <c r="CX13" s="58">
        <v>2107.6999999999998</v>
      </c>
      <c r="CY13" s="67">
        <f t="shared" si="99"/>
        <v>10.599999999999909</v>
      </c>
    </row>
    <row r="14" spans="1:103" ht="25.5" customHeight="1" thickBot="1" x14ac:dyDescent="0.45">
      <c r="A14" s="63">
        <v>44631</v>
      </c>
      <c r="B14" s="44"/>
      <c r="C14" s="58">
        <v>2.9693000000000001</v>
      </c>
      <c r="D14" s="64">
        <f t="shared" si="50"/>
        <v>2299.9999999999686</v>
      </c>
      <c r="E14" s="58">
        <v>4.0552999999999999</v>
      </c>
      <c r="F14" s="64">
        <f t="shared" si="51"/>
        <v>2900.0000000003465</v>
      </c>
      <c r="G14" s="58">
        <v>4.0289999999999999</v>
      </c>
      <c r="H14" s="64">
        <f t="shared" si="52"/>
        <v>3099.9999999998809</v>
      </c>
      <c r="I14" s="58">
        <v>2.0158999999999998</v>
      </c>
      <c r="J14" s="64">
        <f t="shared" si="53"/>
        <v>1399.9999999998458</v>
      </c>
      <c r="K14" s="58">
        <v>3.1726000000000001</v>
      </c>
      <c r="L14" s="64">
        <f t="shared" si="54"/>
        <v>2000.0000000002237</v>
      </c>
      <c r="M14" s="58">
        <v>1.7824</v>
      </c>
      <c r="N14" s="64">
        <f t="shared" si="55"/>
        <v>1400.0000000000678</v>
      </c>
      <c r="O14" s="58">
        <v>18242</v>
      </c>
      <c r="P14" s="67">
        <f t="shared" si="56"/>
        <v>7</v>
      </c>
      <c r="Q14" s="58">
        <v>2124</v>
      </c>
      <c r="R14" s="67">
        <f t="shared" si="57"/>
        <v>0</v>
      </c>
      <c r="S14" s="58">
        <v>1250.8</v>
      </c>
      <c r="T14" s="67">
        <f t="shared" si="58"/>
        <v>0.79999999999995453</v>
      </c>
      <c r="U14" s="58">
        <v>514712.9</v>
      </c>
      <c r="V14" s="67">
        <f t="shared" si="59"/>
        <v>255.20000000001164</v>
      </c>
      <c r="W14" s="58">
        <v>480.86</v>
      </c>
      <c r="X14" s="65">
        <f t="shared" si="60"/>
        <v>310.00000000000227</v>
      </c>
      <c r="Y14" s="58">
        <v>3.5629</v>
      </c>
      <c r="Z14" s="65">
        <f t="shared" si="61"/>
        <v>2399.9999999997358</v>
      </c>
      <c r="AA14" s="58">
        <v>483.17</v>
      </c>
      <c r="AB14" s="65">
        <f t="shared" si="62"/>
        <v>379.99999999999545</v>
      </c>
      <c r="AC14" s="58">
        <v>469.02</v>
      </c>
      <c r="AD14" s="65">
        <f t="shared" si="63"/>
        <v>359.9999999999568</v>
      </c>
      <c r="AE14" s="58">
        <v>679.03</v>
      </c>
      <c r="AF14" s="65">
        <f t="shared" si="64"/>
        <v>639.99999999998636</v>
      </c>
      <c r="AG14" s="58">
        <v>14236</v>
      </c>
      <c r="AH14" s="67">
        <f t="shared" si="65"/>
        <v>35</v>
      </c>
      <c r="AI14" s="58">
        <v>792.46</v>
      </c>
      <c r="AJ14" s="65">
        <f t="shared" si="66"/>
        <v>509.99999999999091</v>
      </c>
      <c r="AK14" s="58">
        <v>264.68</v>
      </c>
      <c r="AL14" s="65">
        <f t="shared" si="67"/>
        <v>250</v>
      </c>
      <c r="AM14" s="58">
        <v>248.26</v>
      </c>
      <c r="AN14" s="65">
        <f t="shared" si="68"/>
        <v>149.99999999997726</v>
      </c>
      <c r="AO14" s="58">
        <v>239.3</v>
      </c>
      <c r="AP14" s="65">
        <f t="shared" si="69"/>
        <v>140.00000000001478</v>
      </c>
      <c r="AQ14" s="58">
        <v>296.18</v>
      </c>
      <c r="AR14" s="65">
        <f t="shared" si="70"/>
        <v>170.00000000001592</v>
      </c>
      <c r="AS14" s="58">
        <v>422.83</v>
      </c>
      <c r="AT14" s="65">
        <f t="shared" si="71"/>
        <v>109.9999999999568</v>
      </c>
      <c r="AU14" s="58">
        <v>327.7</v>
      </c>
      <c r="AV14" s="65">
        <f t="shared" si="72"/>
        <v>120.00000000000455</v>
      </c>
      <c r="AW14" s="58">
        <v>360.29</v>
      </c>
      <c r="AX14" s="65">
        <f t="shared" si="73"/>
        <v>170.00000000001592</v>
      </c>
      <c r="AY14" s="58">
        <v>395.05</v>
      </c>
      <c r="AZ14" s="65">
        <f t="shared" si="74"/>
        <v>160.00000000002501</v>
      </c>
      <c r="BA14" s="58">
        <v>414.87</v>
      </c>
      <c r="BB14" s="65">
        <f t="shared" si="75"/>
        <v>220.00000000002728</v>
      </c>
      <c r="BC14" s="58">
        <v>265.02999999999997</v>
      </c>
      <c r="BD14" s="65">
        <f t="shared" si="76"/>
        <v>79.999999999984084</v>
      </c>
      <c r="BE14" s="59">
        <v>48943</v>
      </c>
      <c r="BF14" s="67">
        <f t="shared" si="77"/>
        <v>35</v>
      </c>
      <c r="BG14" s="60">
        <v>245.07</v>
      </c>
      <c r="BH14" s="65">
        <f t="shared" si="78"/>
        <v>30.000000000001137</v>
      </c>
      <c r="BI14" s="60">
        <v>300.58</v>
      </c>
      <c r="BJ14" s="65">
        <f t="shared" si="79"/>
        <v>19.99999999998181</v>
      </c>
      <c r="BK14" s="60">
        <v>247.68</v>
      </c>
      <c r="BL14" s="65">
        <f t="shared" si="80"/>
        <v>50.000000000011369</v>
      </c>
      <c r="BM14" s="60">
        <v>234.72</v>
      </c>
      <c r="BN14" s="65">
        <f t="shared" si="81"/>
        <v>30.000000000001137</v>
      </c>
      <c r="BO14" s="60">
        <v>301.07</v>
      </c>
      <c r="BP14" s="65">
        <f t="shared" si="82"/>
        <v>50.000000000011369</v>
      </c>
      <c r="BQ14" s="60">
        <v>53358</v>
      </c>
      <c r="BR14" s="65">
        <f t="shared" si="83"/>
        <v>29</v>
      </c>
      <c r="BS14" s="60">
        <v>211.79</v>
      </c>
      <c r="BT14" s="65">
        <f t="shared" si="84"/>
        <v>39.999999999992042</v>
      </c>
      <c r="BU14" s="60">
        <v>50542</v>
      </c>
      <c r="BV14" s="65">
        <f t="shared" si="85"/>
        <v>35</v>
      </c>
      <c r="BW14" s="60">
        <v>239.98</v>
      </c>
      <c r="BX14" s="65">
        <f t="shared" si="86"/>
        <v>39.999999999992042</v>
      </c>
      <c r="BY14" s="60">
        <v>70256</v>
      </c>
      <c r="BZ14" s="67">
        <f t="shared" si="87"/>
        <v>32</v>
      </c>
      <c r="CA14" s="60">
        <v>44331.1</v>
      </c>
      <c r="CB14" s="67">
        <f t="shared" si="88"/>
        <v>47.099999999998545</v>
      </c>
      <c r="CC14" s="60">
        <v>14657.1</v>
      </c>
      <c r="CD14" s="67">
        <f t="shared" si="89"/>
        <v>10.399999999999636</v>
      </c>
      <c r="CE14" s="60">
        <v>7743.8</v>
      </c>
      <c r="CF14" s="67">
        <f t="shared" si="90"/>
        <v>9.3000000000001819</v>
      </c>
      <c r="CG14" s="60">
        <v>70828.600000000006</v>
      </c>
      <c r="CH14" s="67">
        <f t="shared" si="91"/>
        <v>38</v>
      </c>
      <c r="CI14" s="60">
        <v>1022972</v>
      </c>
      <c r="CJ14" s="67">
        <f t="shared" si="92"/>
        <v>313</v>
      </c>
      <c r="CK14" s="60">
        <v>930.34</v>
      </c>
      <c r="CL14" s="64">
        <f t="shared" si="93"/>
        <v>830.00000000004093</v>
      </c>
      <c r="CM14" s="65">
        <f t="shared" si="94"/>
        <v>89</v>
      </c>
      <c r="CN14" s="62">
        <v>26</v>
      </c>
      <c r="CO14" s="62">
        <v>52</v>
      </c>
      <c r="CP14" s="68">
        <v>24167</v>
      </c>
      <c r="CQ14" s="67">
        <f t="shared" si="95"/>
        <v>75</v>
      </c>
      <c r="CR14" s="68">
        <v>19791</v>
      </c>
      <c r="CS14" s="67">
        <f t="shared" si="96"/>
        <v>14</v>
      </c>
      <c r="CT14" s="75">
        <v>9124</v>
      </c>
      <c r="CU14" s="67">
        <f t="shared" si="97"/>
        <v>11</v>
      </c>
      <c r="CV14" s="68">
        <v>22663</v>
      </c>
      <c r="CW14" s="67">
        <f t="shared" si="98"/>
        <v>24</v>
      </c>
      <c r="CX14" s="58">
        <v>2112.1999999999998</v>
      </c>
      <c r="CY14" s="67">
        <f t="shared" si="99"/>
        <v>4.5</v>
      </c>
    </row>
    <row r="15" spans="1:103" ht="25.5" customHeight="1" thickBot="1" x14ac:dyDescent="0.45">
      <c r="A15" s="63">
        <v>44632</v>
      </c>
      <c r="B15" s="44"/>
      <c r="C15" s="58">
        <v>2.9723000000000002</v>
      </c>
      <c r="D15" s="64">
        <f t="shared" si="50"/>
        <v>3000.0000000001137</v>
      </c>
      <c r="E15" s="58">
        <v>4.0585000000000004</v>
      </c>
      <c r="F15" s="64">
        <f t="shared" si="51"/>
        <v>3200.0000000005357</v>
      </c>
      <c r="G15" s="58">
        <v>4.0317999999999996</v>
      </c>
      <c r="H15" s="64">
        <f t="shared" si="52"/>
        <v>2799.9999999996917</v>
      </c>
      <c r="I15" s="58">
        <v>2.0175000000000001</v>
      </c>
      <c r="J15" s="64">
        <f t="shared" si="53"/>
        <v>1600.0000000002678</v>
      </c>
      <c r="K15" s="58">
        <v>3.1745999999999999</v>
      </c>
      <c r="L15" s="64">
        <f t="shared" si="54"/>
        <v>1999.9999999997797</v>
      </c>
      <c r="M15" s="58">
        <v>1.7841</v>
      </c>
      <c r="N15" s="64">
        <f t="shared" si="55"/>
        <v>1700.0000000000348</v>
      </c>
      <c r="O15" s="58">
        <v>18245</v>
      </c>
      <c r="P15" s="67">
        <f t="shared" si="56"/>
        <v>3</v>
      </c>
      <c r="Q15" s="58">
        <v>2129</v>
      </c>
      <c r="R15" s="67">
        <f>IF((Q15-Q14&lt;0), "",Q15-Q14)</f>
        <v>5</v>
      </c>
      <c r="S15" s="58">
        <v>1252</v>
      </c>
      <c r="T15" s="67">
        <f t="shared" si="58"/>
        <v>1.2000000000000455</v>
      </c>
      <c r="U15" s="58">
        <v>515148.1</v>
      </c>
      <c r="V15" s="67">
        <f t="shared" si="59"/>
        <v>435.19999999995343</v>
      </c>
      <c r="W15" s="58">
        <v>481.27</v>
      </c>
      <c r="X15" s="65">
        <f t="shared" si="60"/>
        <v>409.99999999996817</v>
      </c>
      <c r="Y15" s="58">
        <v>3.5657999999999999</v>
      </c>
      <c r="Z15" s="65">
        <f t="shared" si="61"/>
        <v>2899.9999999999027</v>
      </c>
      <c r="AA15" s="58">
        <v>483.61</v>
      </c>
      <c r="AB15" s="65">
        <f t="shared" si="62"/>
        <v>439.99999999999773</v>
      </c>
      <c r="AC15" s="58">
        <v>469.39</v>
      </c>
      <c r="AD15" s="65">
        <f t="shared" si="63"/>
        <v>370.00000000000455</v>
      </c>
      <c r="AE15" s="58">
        <v>679.79</v>
      </c>
      <c r="AF15" s="65">
        <f t="shared" si="64"/>
        <v>759.99999999999091</v>
      </c>
      <c r="AG15" s="58">
        <v>14275</v>
      </c>
      <c r="AH15" s="67">
        <f t="shared" si="65"/>
        <v>39</v>
      </c>
      <c r="AI15" s="58">
        <v>793.06</v>
      </c>
      <c r="AJ15" s="65">
        <f t="shared" si="66"/>
        <v>599.99999999990905</v>
      </c>
      <c r="AK15" s="58">
        <v>264.94</v>
      </c>
      <c r="AL15" s="65">
        <f t="shared" si="67"/>
        <v>259.99999999999091</v>
      </c>
      <c r="AM15" s="58">
        <v>248.44</v>
      </c>
      <c r="AN15" s="65">
        <f t="shared" si="68"/>
        <v>180.00000000000682</v>
      </c>
      <c r="AO15" s="58">
        <v>239.53</v>
      </c>
      <c r="AP15" s="65">
        <f t="shared" si="69"/>
        <v>229.99999999998977</v>
      </c>
      <c r="AQ15" s="58">
        <v>296.39999999999998</v>
      </c>
      <c r="AR15" s="65">
        <f t="shared" si="70"/>
        <v>219.99999999997044</v>
      </c>
      <c r="AS15" s="58">
        <v>422.97</v>
      </c>
      <c r="AT15" s="65">
        <f t="shared" si="71"/>
        <v>140.0000000000432</v>
      </c>
      <c r="AU15" s="58">
        <v>327.93</v>
      </c>
      <c r="AV15" s="65">
        <f t="shared" si="72"/>
        <v>230.00000000001819</v>
      </c>
      <c r="AW15" s="58">
        <v>360.54</v>
      </c>
      <c r="AX15" s="65">
        <f t="shared" si="73"/>
        <v>250</v>
      </c>
      <c r="AY15" s="58">
        <v>395.28</v>
      </c>
      <c r="AZ15" s="65">
        <f t="shared" si="74"/>
        <v>229.99999999996135</v>
      </c>
      <c r="BA15" s="58">
        <v>415.22</v>
      </c>
      <c r="BB15" s="65">
        <f t="shared" si="75"/>
        <v>350.00000000002274</v>
      </c>
      <c r="BC15" s="58">
        <v>265.18</v>
      </c>
      <c r="BD15" s="65">
        <f t="shared" si="76"/>
        <v>150.00000000003411</v>
      </c>
      <c r="BE15" s="59">
        <v>48989</v>
      </c>
      <c r="BF15" s="67">
        <f t="shared" si="77"/>
        <v>46</v>
      </c>
      <c r="BG15" s="60">
        <v>245.12</v>
      </c>
      <c r="BH15" s="65">
        <f t="shared" si="78"/>
        <v>50.000000000011369</v>
      </c>
      <c r="BI15" s="60">
        <v>300.61</v>
      </c>
      <c r="BJ15" s="65">
        <f t="shared" si="79"/>
        <v>30.000000000029559</v>
      </c>
      <c r="BK15" s="60">
        <v>247.74</v>
      </c>
      <c r="BL15" s="65">
        <f t="shared" si="80"/>
        <v>60.000000000002274</v>
      </c>
      <c r="BM15" s="60">
        <v>234.77</v>
      </c>
      <c r="BN15" s="65">
        <f t="shared" si="81"/>
        <v>50.000000000011369</v>
      </c>
      <c r="BO15" s="60">
        <v>301.14</v>
      </c>
      <c r="BP15" s="65">
        <f t="shared" si="82"/>
        <v>69.999999999993179</v>
      </c>
      <c r="BQ15" s="60">
        <v>53387</v>
      </c>
      <c r="BR15" s="65">
        <f t="shared" si="83"/>
        <v>29</v>
      </c>
      <c r="BS15" s="60">
        <v>211.84</v>
      </c>
      <c r="BT15" s="65">
        <f t="shared" si="84"/>
        <v>50.000000000011369</v>
      </c>
      <c r="BU15" s="60">
        <v>50585</v>
      </c>
      <c r="BV15" s="65">
        <f t="shared" si="85"/>
        <v>43</v>
      </c>
      <c r="BW15" s="60">
        <v>240.02</v>
      </c>
      <c r="BX15" s="65">
        <f t="shared" si="86"/>
        <v>40.000000000020464</v>
      </c>
      <c r="BY15" s="60">
        <v>70295</v>
      </c>
      <c r="BZ15" s="67">
        <f t="shared" si="87"/>
        <v>39</v>
      </c>
      <c r="CA15" s="60">
        <v>44376.7</v>
      </c>
      <c r="CB15" s="67">
        <f t="shared" si="88"/>
        <v>45.599999999998545</v>
      </c>
      <c r="CC15" s="60">
        <v>14670.6</v>
      </c>
      <c r="CD15" s="67">
        <f t="shared" si="89"/>
        <v>13.5</v>
      </c>
      <c r="CE15" s="60">
        <v>7749.9</v>
      </c>
      <c r="CF15" s="67">
        <f t="shared" si="90"/>
        <v>6.0999999999994543</v>
      </c>
      <c r="CG15" s="60">
        <v>70880.600000000006</v>
      </c>
      <c r="CH15" s="67">
        <f t="shared" si="91"/>
        <v>52</v>
      </c>
      <c r="CI15" s="60">
        <v>1023279</v>
      </c>
      <c r="CJ15" s="67">
        <f t="shared" si="92"/>
        <v>307</v>
      </c>
      <c r="CK15" s="60">
        <v>931.02</v>
      </c>
      <c r="CL15" s="64">
        <f t="shared" si="93"/>
        <v>679.99999999994998</v>
      </c>
      <c r="CM15" s="65">
        <f t="shared" si="94"/>
        <v>101</v>
      </c>
      <c r="CN15" s="62">
        <v>28</v>
      </c>
      <c r="CO15" s="62">
        <v>55</v>
      </c>
      <c r="CP15" s="68">
        <v>24244</v>
      </c>
      <c r="CQ15" s="67">
        <f t="shared" si="95"/>
        <v>77</v>
      </c>
      <c r="CR15" s="68">
        <v>19815</v>
      </c>
      <c r="CS15" s="67">
        <f t="shared" si="96"/>
        <v>24</v>
      </c>
      <c r="CT15" s="75">
        <v>9133</v>
      </c>
      <c r="CU15" s="67">
        <f t="shared" si="97"/>
        <v>9</v>
      </c>
      <c r="CV15" s="68">
        <v>22689</v>
      </c>
      <c r="CW15" s="67">
        <f t="shared" si="98"/>
        <v>26</v>
      </c>
      <c r="CX15" s="58">
        <v>2124.6999999999998</v>
      </c>
      <c r="CY15" s="67">
        <f t="shared" si="99"/>
        <v>12.5</v>
      </c>
    </row>
    <row r="16" spans="1:103" ht="25.5" customHeight="1" thickBot="1" x14ac:dyDescent="0.45">
      <c r="A16" s="63">
        <v>44633</v>
      </c>
      <c r="B16" s="44"/>
      <c r="C16" s="58">
        <v>2.9758</v>
      </c>
      <c r="D16" s="64">
        <f t="shared" si="50"/>
        <v>3499.9999999998367</v>
      </c>
      <c r="E16" s="58">
        <v>4.0618999999999996</v>
      </c>
      <c r="F16" s="64">
        <f t="shared" si="51"/>
        <v>3399.9999999991815</v>
      </c>
      <c r="G16" s="58">
        <v>4.0354000000000001</v>
      </c>
      <c r="H16" s="64">
        <f t="shared" si="52"/>
        <v>3600.0000000004916</v>
      </c>
      <c r="I16" s="58">
        <v>2.0192999999999999</v>
      </c>
      <c r="J16" s="64">
        <f>IF((I16-I15&lt;0), "0",(I16-I15)*1000000)</f>
        <v>1799.9999999998017</v>
      </c>
      <c r="K16" s="58">
        <v>3.1772999999999998</v>
      </c>
      <c r="L16" s="64">
        <f t="shared" si="54"/>
        <v>2699.9999999999245</v>
      </c>
      <c r="M16" s="58">
        <v>1.786</v>
      </c>
      <c r="N16" s="64">
        <f t="shared" si="55"/>
        <v>1900.0000000000127</v>
      </c>
      <c r="O16" s="58">
        <v>18284</v>
      </c>
      <c r="P16" s="67">
        <f t="shared" si="56"/>
        <v>39</v>
      </c>
      <c r="Q16" s="58">
        <v>2136</v>
      </c>
      <c r="R16" s="67">
        <f t="shared" si="57"/>
        <v>7</v>
      </c>
      <c r="S16" s="58">
        <v>1253.5</v>
      </c>
      <c r="T16" s="67">
        <f t="shared" si="58"/>
        <v>1.5</v>
      </c>
      <c r="U16" s="58">
        <v>515650</v>
      </c>
      <c r="V16" s="67">
        <f t="shared" si="59"/>
        <v>501.90000000002328</v>
      </c>
      <c r="W16" s="58">
        <v>481.67</v>
      </c>
      <c r="X16" s="65">
        <f t="shared" si="60"/>
        <v>400.00000000003411</v>
      </c>
      <c r="Y16" s="58">
        <v>3.5686</v>
      </c>
      <c r="Z16" s="65">
        <f t="shared" si="61"/>
        <v>2800.0000000001355</v>
      </c>
      <c r="AA16" s="58">
        <v>484.05</v>
      </c>
      <c r="AB16" s="65">
        <f t="shared" si="62"/>
        <v>439.99999999999773</v>
      </c>
      <c r="AC16" s="58">
        <v>469.81</v>
      </c>
      <c r="AD16" s="65">
        <f t="shared" si="63"/>
        <v>420.00000000001592</v>
      </c>
      <c r="AE16" s="58">
        <v>680.64</v>
      </c>
      <c r="AF16" s="65">
        <f t="shared" si="64"/>
        <v>850.00000000002274</v>
      </c>
      <c r="AG16" s="58">
        <v>14315</v>
      </c>
      <c r="AH16" s="67">
        <f t="shared" si="65"/>
        <v>40</v>
      </c>
      <c r="AI16" s="58">
        <v>793.74</v>
      </c>
      <c r="AJ16" s="65">
        <f t="shared" si="66"/>
        <v>680.00000000006366</v>
      </c>
      <c r="AK16" s="58">
        <v>265.22000000000003</v>
      </c>
      <c r="AL16" s="65">
        <f t="shared" si="67"/>
        <v>280.00000000002956</v>
      </c>
      <c r="AM16" s="58">
        <v>248.67</v>
      </c>
      <c r="AN16" s="65">
        <f t="shared" si="68"/>
        <v>229.99999999998977</v>
      </c>
      <c r="AO16" s="58">
        <v>239.74</v>
      </c>
      <c r="AP16" s="65">
        <f t="shared" si="69"/>
        <v>210.00000000000796</v>
      </c>
      <c r="AQ16" s="58">
        <v>296.70999999999998</v>
      </c>
      <c r="AR16" s="65">
        <f t="shared" si="70"/>
        <v>310.00000000000227</v>
      </c>
      <c r="AS16" s="58">
        <v>423.13</v>
      </c>
      <c r="AT16" s="65">
        <f t="shared" si="71"/>
        <v>159.99999999996817</v>
      </c>
      <c r="AU16" s="58">
        <v>328.22</v>
      </c>
      <c r="AV16" s="65">
        <f t="shared" si="72"/>
        <v>290.00000000002046</v>
      </c>
      <c r="AW16" s="58">
        <v>360.79</v>
      </c>
      <c r="AX16" s="65">
        <f t="shared" si="73"/>
        <v>250</v>
      </c>
      <c r="AY16" s="58">
        <v>395.48</v>
      </c>
      <c r="AZ16" s="65">
        <f t="shared" si="74"/>
        <v>200.00000000004547</v>
      </c>
      <c r="BA16" s="58">
        <v>415.51</v>
      </c>
      <c r="BB16" s="65">
        <f t="shared" si="75"/>
        <v>289.99999999996362</v>
      </c>
      <c r="BC16" s="58">
        <v>265.33</v>
      </c>
      <c r="BD16" s="65">
        <f t="shared" si="76"/>
        <v>149.99999999997726</v>
      </c>
      <c r="BE16" s="59">
        <v>49022</v>
      </c>
      <c r="BF16" s="67">
        <f t="shared" si="77"/>
        <v>33</v>
      </c>
      <c r="BG16" s="60">
        <v>245.17</v>
      </c>
      <c r="BH16" s="65">
        <f t="shared" si="78"/>
        <v>49.999999999982947</v>
      </c>
      <c r="BI16" s="60">
        <v>300.64999999999998</v>
      </c>
      <c r="BJ16" s="65">
        <f t="shared" si="79"/>
        <v>39.99999999996362</v>
      </c>
      <c r="BK16" s="60">
        <v>247.81</v>
      </c>
      <c r="BL16" s="65">
        <f t="shared" si="80"/>
        <v>69.999999999993179</v>
      </c>
      <c r="BM16" s="60">
        <v>234.82</v>
      </c>
      <c r="BN16" s="65">
        <f t="shared" si="81"/>
        <v>49.999999999982947</v>
      </c>
      <c r="BO16" s="60">
        <v>301.22000000000003</v>
      </c>
      <c r="BP16" s="65">
        <f t="shared" si="82"/>
        <v>80.000000000040927</v>
      </c>
      <c r="BQ16" s="60">
        <v>53420</v>
      </c>
      <c r="BR16" s="65">
        <f t="shared" si="83"/>
        <v>33</v>
      </c>
      <c r="BS16" s="60">
        <v>211.9</v>
      </c>
      <c r="BT16" s="65">
        <f t="shared" si="84"/>
        <v>60.000000000002274</v>
      </c>
      <c r="BU16" s="60">
        <v>50637</v>
      </c>
      <c r="BV16" s="65">
        <f t="shared" si="85"/>
        <v>52</v>
      </c>
      <c r="BW16" s="60">
        <v>240.08</v>
      </c>
      <c r="BX16" s="65">
        <f t="shared" si="86"/>
        <v>60.000000000002274</v>
      </c>
      <c r="BY16" s="60">
        <v>70343</v>
      </c>
      <c r="BZ16" s="67">
        <f t="shared" si="87"/>
        <v>48</v>
      </c>
      <c r="CA16" s="60">
        <v>44436</v>
      </c>
      <c r="CB16" s="67">
        <f t="shared" si="88"/>
        <v>59.30000000000291</v>
      </c>
      <c r="CC16" s="60">
        <v>14680.6</v>
      </c>
      <c r="CD16" s="67">
        <f t="shared" si="89"/>
        <v>10</v>
      </c>
      <c r="CE16" s="60">
        <v>7760.3</v>
      </c>
      <c r="CF16" s="67">
        <f t="shared" si="90"/>
        <v>10.400000000000546</v>
      </c>
      <c r="CG16" s="60">
        <v>70925.100000000006</v>
      </c>
      <c r="CH16" s="67">
        <f t="shared" si="91"/>
        <v>44.5</v>
      </c>
      <c r="CI16" s="60">
        <v>1023584</v>
      </c>
      <c r="CJ16" s="67">
        <f t="shared" si="92"/>
        <v>305</v>
      </c>
      <c r="CK16" s="60">
        <v>931.79</v>
      </c>
      <c r="CL16" s="64">
        <f t="shared" si="93"/>
        <v>769.99999999998181</v>
      </c>
      <c r="CM16" s="65">
        <f t="shared" si="94"/>
        <v>103.5</v>
      </c>
      <c r="CN16" s="62">
        <v>25</v>
      </c>
      <c r="CO16" s="62">
        <v>51</v>
      </c>
      <c r="CP16" s="68">
        <v>24325</v>
      </c>
      <c r="CQ16" s="67">
        <f t="shared" si="95"/>
        <v>81</v>
      </c>
      <c r="CR16" s="68">
        <v>19837.5</v>
      </c>
      <c r="CS16" s="67">
        <f t="shared" si="96"/>
        <v>22.5</v>
      </c>
      <c r="CT16" s="75">
        <v>9142</v>
      </c>
      <c r="CU16" s="67">
        <f t="shared" si="97"/>
        <v>9</v>
      </c>
      <c r="CV16" s="68">
        <v>22710</v>
      </c>
      <c r="CW16" s="67">
        <f t="shared" si="98"/>
        <v>21</v>
      </c>
      <c r="CX16" s="58">
        <v>2137.3000000000002</v>
      </c>
      <c r="CY16" s="67">
        <f t="shared" si="99"/>
        <v>12.600000000000364</v>
      </c>
    </row>
    <row r="17" spans="1:103" ht="25.5" customHeight="1" thickBot="1" x14ac:dyDescent="0.45">
      <c r="A17" s="63">
        <v>44634</v>
      </c>
      <c r="B17" s="44"/>
      <c r="C17" s="58">
        <v>2.9786999999999999</v>
      </c>
      <c r="D17" s="64">
        <f t="shared" si="50"/>
        <v>2899.9999999999027</v>
      </c>
      <c r="E17" s="58">
        <v>4.0651999999999999</v>
      </c>
      <c r="F17" s="64">
        <f t="shared" si="51"/>
        <v>3300.0000000003029</v>
      </c>
      <c r="G17" s="58">
        <v>4.0381</v>
      </c>
      <c r="H17" s="64">
        <f t="shared" si="52"/>
        <v>2699.9999999999245</v>
      </c>
      <c r="I17" s="58">
        <v>2.0209000000000001</v>
      </c>
      <c r="J17" s="64">
        <f t="shared" si="53"/>
        <v>1600.0000000002678</v>
      </c>
      <c r="K17" s="58">
        <v>3.1797</v>
      </c>
      <c r="L17" s="64">
        <f t="shared" si="54"/>
        <v>2400.0000000001796</v>
      </c>
      <c r="M17" s="58">
        <v>1.7877000000000001</v>
      </c>
      <c r="N17" s="64">
        <f t="shared" si="55"/>
        <v>1700.0000000000348</v>
      </c>
      <c r="O17" s="58">
        <v>18288</v>
      </c>
      <c r="P17" s="67">
        <f t="shared" si="56"/>
        <v>4</v>
      </c>
      <c r="Q17" s="58">
        <v>2141</v>
      </c>
      <c r="R17" s="67">
        <f t="shared" si="57"/>
        <v>5</v>
      </c>
      <c r="S17" s="58">
        <v>1254.9000000000001</v>
      </c>
      <c r="T17" s="67">
        <f t="shared" si="58"/>
        <v>1.4000000000000909</v>
      </c>
      <c r="U17" s="58">
        <v>516202</v>
      </c>
      <c r="V17" s="67">
        <f t="shared" si="59"/>
        <v>552</v>
      </c>
      <c r="W17" s="58">
        <v>482.08</v>
      </c>
      <c r="X17" s="65">
        <f t="shared" si="60"/>
        <v>409.99999999996817</v>
      </c>
      <c r="Y17" s="58">
        <v>3.5714999999999999</v>
      </c>
      <c r="Z17" s="65">
        <f t="shared" si="61"/>
        <v>2899.9999999999027</v>
      </c>
      <c r="AA17" s="58">
        <v>484.46</v>
      </c>
      <c r="AB17" s="65">
        <f t="shared" si="62"/>
        <v>409.99999999996817</v>
      </c>
      <c r="AC17" s="58">
        <v>470.27</v>
      </c>
      <c r="AD17" s="65">
        <f t="shared" si="63"/>
        <v>459.99999999997954</v>
      </c>
      <c r="AE17" s="58">
        <v>681.43</v>
      </c>
      <c r="AF17" s="65">
        <f t="shared" si="64"/>
        <v>789.99999999996362</v>
      </c>
      <c r="AG17" s="58">
        <v>14354</v>
      </c>
      <c r="AH17" s="67">
        <f t="shared" si="65"/>
        <v>39</v>
      </c>
      <c r="AI17" s="58">
        <v>794.32</v>
      </c>
      <c r="AJ17" s="65">
        <f t="shared" si="66"/>
        <v>580.00000000004093</v>
      </c>
      <c r="AK17" s="58">
        <v>265.49</v>
      </c>
      <c r="AL17" s="65">
        <f t="shared" si="67"/>
        <v>269.99999999998181</v>
      </c>
      <c r="AM17" s="58">
        <v>248.87</v>
      </c>
      <c r="AN17" s="65">
        <f t="shared" si="68"/>
        <v>200.00000000001705</v>
      </c>
      <c r="AO17" s="58">
        <v>239.95</v>
      </c>
      <c r="AP17" s="65">
        <f t="shared" si="69"/>
        <v>209.99999999997954</v>
      </c>
      <c r="AQ17" s="58">
        <v>296.99</v>
      </c>
      <c r="AR17" s="65">
        <f t="shared" si="70"/>
        <v>280.00000000002956</v>
      </c>
      <c r="AS17" s="58">
        <v>423.29</v>
      </c>
      <c r="AT17" s="65">
        <f t="shared" si="71"/>
        <v>160.00000000002501</v>
      </c>
      <c r="AU17" s="58">
        <v>328.5</v>
      </c>
      <c r="AV17" s="65">
        <f t="shared" si="72"/>
        <v>279.99999999997272</v>
      </c>
      <c r="AW17" s="58">
        <v>361.02</v>
      </c>
      <c r="AX17" s="65">
        <f t="shared" si="73"/>
        <v>229.99999999996135</v>
      </c>
      <c r="AY17" s="58">
        <v>395.67</v>
      </c>
      <c r="AZ17" s="65">
        <f t="shared" si="74"/>
        <v>189.99999999999773</v>
      </c>
      <c r="BA17" s="58">
        <v>415.74</v>
      </c>
      <c r="BB17" s="65">
        <f t="shared" si="75"/>
        <v>230.00000000001819</v>
      </c>
      <c r="BC17" s="58">
        <v>265.44</v>
      </c>
      <c r="BD17" s="65">
        <f t="shared" si="76"/>
        <v>110.00000000001364</v>
      </c>
      <c r="BE17" s="59">
        <v>49040</v>
      </c>
      <c r="BF17" s="67">
        <f t="shared" si="77"/>
        <v>18</v>
      </c>
      <c r="BG17" s="60">
        <v>245.22</v>
      </c>
      <c r="BH17" s="65">
        <f t="shared" si="78"/>
        <v>50.000000000011369</v>
      </c>
      <c r="BI17" s="60">
        <v>300.68</v>
      </c>
      <c r="BJ17" s="65">
        <f t="shared" si="79"/>
        <v>30.000000000029559</v>
      </c>
      <c r="BK17" s="60">
        <v>247.86</v>
      </c>
      <c r="BL17" s="65">
        <f t="shared" si="80"/>
        <v>50.000000000011369</v>
      </c>
      <c r="BM17" s="60">
        <v>234.86</v>
      </c>
      <c r="BN17" s="65">
        <f t="shared" si="81"/>
        <v>40.000000000020464</v>
      </c>
      <c r="BO17" s="60">
        <v>301.27999999999997</v>
      </c>
      <c r="BP17" s="65">
        <f t="shared" si="82"/>
        <v>59.99999999994543</v>
      </c>
      <c r="BQ17" s="60">
        <v>53446</v>
      </c>
      <c r="BR17" s="65">
        <f t="shared" si="83"/>
        <v>26</v>
      </c>
      <c r="BS17" s="60">
        <v>211.94</v>
      </c>
      <c r="BT17" s="65">
        <f t="shared" si="84"/>
        <v>39.999999999992042</v>
      </c>
      <c r="BU17" s="60">
        <v>50679</v>
      </c>
      <c r="BV17" s="65">
        <f t="shared" si="85"/>
        <v>42</v>
      </c>
      <c r="BW17" s="60">
        <v>240.12</v>
      </c>
      <c r="BX17" s="65">
        <f t="shared" si="86"/>
        <v>39.999999999992042</v>
      </c>
      <c r="BY17" s="60">
        <v>70388</v>
      </c>
      <c r="BZ17" s="67">
        <f t="shared" si="87"/>
        <v>45</v>
      </c>
      <c r="CA17" s="60">
        <v>44484.7</v>
      </c>
      <c r="CB17" s="67">
        <f t="shared" si="88"/>
        <v>48.69999999999709</v>
      </c>
      <c r="CC17" s="60">
        <v>14692</v>
      </c>
      <c r="CD17" s="67">
        <f t="shared" si="89"/>
        <v>11.399999999999636</v>
      </c>
      <c r="CE17" s="60">
        <v>7762.8</v>
      </c>
      <c r="CF17" s="67">
        <f t="shared" si="90"/>
        <v>2.5</v>
      </c>
      <c r="CG17" s="60">
        <v>70982.5</v>
      </c>
      <c r="CH17" s="67">
        <f t="shared" si="91"/>
        <v>57.399999999994179</v>
      </c>
      <c r="CI17" s="60">
        <v>1023866</v>
      </c>
      <c r="CJ17" s="67">
        <f t="shared" si="92"/>
        <v>282</v>
      </c>
      <c r="CK17" s="60">
        <v>932.51</v>
      </c>
      <c r="CL17" s="64">
        <f t="shared" si="93"/>
        <v>720.00000000002728</v>
      </c>
      <c r="CM17" s="65">
        <f t="shared" si="94"/>
        <v>103.29999999999927</v>
      </c>
      <c r="CN17" s="62">
        <v>25</v>
      </c>
      <c r="CO17" s="62">
        <v>51</v>
      </c>
      <c r="CP17" s="68">
        <v>24407</v>
      </c>
      <c r="CQ17" s="67">
        <f t="shared" si="95"/>
        <v>82</v>
      </c>
      <c r="CR17" s="68">
        <v>19858.8</v>
      </c>
      <c r="CS17" s="67">
        <f t="shared" si="96"/>
        <v>21.299999999999272</v>
      </c>
      <c r="CT17" s="75">
        <v>9152</v>
      </c>
      <c r="CU17" s="67">
        <f t="shared" si="97"/>
        <v>10</v>
      </c>
      <c r="CV17" s="68">
        <v>22729</v>
      </c>
      <c r="CW17" s="67">
        <f t="shared" si="98"/>
        <v>19</v>
      </c>
      <c r="CX17" s="58">
        <v>2149.1</v>
      </c>
      <c r="CY17" s="67">
        <f t="shared" si="99"/>
        <v>11.799999999999727</v>
      </c>
    </row>
    <row r="18" spans="1:103" ht="25.5" customHeight="1" thickBot="1" x14ac:dyDescent="0.45">
      <c r="A18" s="63">
        <v>44635</v>
      </c>
      <c r="B18" s="44"/>
      <c r="C18" s="58">
        <v>2.9819</v>
      </c>
      <c r="D18" s="64">
        <f t="shared" si="50"/>
        <v>3200.0000000000919</v>
      </c>
      <c r="E18" s="58">
        <v>4.0686</v>
      </c>
      <c r="F18" s="64">
        <f t="shared" si="51"/>
        <v>3400.0000000000696</v>
      </c>
      <c r="G18" s="58">
        <v>4.0411000000000001</v>
      </c>
      <c r="H18" s="64">
        <f t="shared" si="52"/>
        <v>3000.0000000001137</v>
      </c>
      <c r="I18" s="58">
        <v>2.0226999999999999</v>
      </c>
      <c r="J18" s="64">
        <f t="shared" si="53"/>
        <v>1799.9999999998017</v>
      </c>
      <c r="K18" s="58">
        <v>3.1823000000000001</v>
      </c>
      <c r="L18" s="64">
        <f t="shared" si="54"/>
        <v>2600.0000000001578</v>
      </c>
      <c r="M18" s="58">
        <v>1.7894000000000001</v>
      </c>
      <c r="N18" s="64">
        <f t="shared" si="55"/>
        <v>1700.0000000000348</v>
      </c>
      <c r="O18" s="58">
        <v>18352</v>
      </c>
      <c r="P18" s="67">
        <f t="shared" si="56"/>
        <v>64</v>
      </c>
      <c r="Q18" s="58">
        <v>2148</v>
      </c>
      <c r="R18" s="67">
        <f t="shared" si="57"/>
        <v>7</v>
      </c>
      <c r="S18" s="58">
        <v>1256.8</v>
      </c>
      <c r="T18" s="67">
        <f t="shared" si="58"/>
        <v>1.8999999999998636</v>
      </c>
      <c r="U18" s="58">
        <v>516698</v>
      </c>
      <c r="V18" s="67">
        <f t="shared" si="59"/>
        <v>496</v>
      </c>
      <c r="W18" s="58">
        <v>482.52</v>
      </c>
      <c r="X18" s="65">
        <f t="shared" si="60"/>
        <v>439.99999999999773</v>
      </c>
      <c r="Y18" s="58">
        <v>3.5743999999999998</v>
      </c>
      <c r="Z18" s="65">
        <f t="shared" si="61"/>
        <v>2899.9999999999027</v>
      </c>
      <c r="AA18" s="58">
        <v>484.77</v>
      </c>
      <c r="AB18" s="65">
        <f t="shared" si="62"/>
        <v>310.00000000000227</v>
      </c>
      <c r="AC18" s="58">
        <v>470.75</v>
      </c>
      <c r="AD18" s="65">
        <f t="shared" si="63"/>
        <v>480.00000000001819</v>
      </c>
      <c r="AE18" s="58">
        <v>682.24</v>
      </c>
      <c r="AF18" s="65">
        <f t="shared" si="64"/>
        <v>810.00000000005912</v>
      </c>
      <c r="AG18" s="58">
        <v>14394</v>
      </c>
      <c r="AH18" s="67">
        <f t="shared" si="65"/>
        <v>40</v>
      </c>
      <c r="AI18" s="58">
        <v>794.91</v>
      </c>
      <c r="AJ18" s="65">
        <f t="shared" si="66"/>
        <v>589.99999999991815</v>
      </c>
      <c r="AK18" s="58">
        <v>265.49</v>
      </c>
      <c r="AL18" s="65">
        <f t="shared" si="67"/>
        <v>0</v>
      </c>
      <c r="AM18" s="58">
        <v>249.1</v>
      </c>
      <c r="AN18" s="65">
        <f t="shared" si="68"/>
        <v>229.99999999998977</v>
      </c>
      <c r="AO18" s="58">
        <v>240.18</v>
      </c>
      <c r="AP18" s="65">
        <f t="shared" si="69"/>
        <v>230.00000000001819</v>
      </c>
      <c r="AQ18" s="58">
        <v>297.29000000000002</v>
      </c>
      <c r="AR18" s="65">
        <f t="shared" si="70"/>
        <v>300.00000000001137</v>
      </c>
      <c r="AS18" s="58">
        <v>423.45</v>
      </c>
      <c r="AT18" s="65">
        <f t="shared" si="71"/>
        <v>159.99999999996817</v>
      </c>
      <c r="AU18" s="58">
        <v>328.8</v>
      </c>
      <c r="AV18" s="65">
        <f t="shared" si="72"/>
        <v>300.00000000001137</v>
      </c>
      <c r="AW18" s="58">
        <v>361.29</v>
      </c>
      <c r="AX18" s="65">
        <f t="shared" si="73"/>
        <v>270.00000000003865</v>
      </c>
      <c r="AY18" s="58">
        <v>395.89</v>
      </c>
      <c r="AZ18" s="65">
        <f t="shared" si="74"/>
        <v>219.99999999997044</v>
      </c>
      <c r="BA18" s="58">
        <v>415.94</v>
      </c>
      <c r="BB18" s="65">
        <f t="shared" si="75"/>
        <v>199.99999999998863</v>
      </c>
      <c r="BC18" s="58">
        <v>265.60000000000002</v>
      </c>
      <c r="BD18" s="65">
        <f t="shared" si="76"/>
        <v>160.00000000002501</v>
      </c>
      <c r="BE18" s="59">
        <v>49060</v>
      </c>
      <c r="BF18" s="67">
        <f t="shared" si="77"/>
        <v>20</v>
      </c>
      <c r="BG18" s="60">
        <v>245.26</v>
      </c>
      <c r="BH18" s="65">
        <f t="shared" si="78"/>
        <v>39.999999999992042</v>
      </c>
      <c r="BI18" s="60">
        <v>300.72000000000003</v>
      </c>
      <c r="BJ18" s="65">
        <f t="shared" si="79"/>
        <v>40.000000000020464</v>
      </c>
      <c r="BK18" s="60">
        <v>247.92</v>
      </c>
      <c r="BL18" s="65">
        <f t="shared" si="80"/>
        <v>59.999999999973852</v>
      </c>
      <c r="BM18" s="60">
        <v>234.91</v>
      </c>
      <c r="BN18" s="65">
        <f t="shared" si="81"/>
        <v>49.999999999982947</v>
      </c>
      <c r="BO18" s="60">
        <v>301.35000000000002</v>
      </c>
      <c r="BP18" s="65">
        <f t="shared" si="82"/>
        <v>70.000000000050022</v>
      </c>
      <c r="BQ18" s="60">
        <v>53475</v>
      </c>
      <c r="BR18" s="65">
        <f t="shared" si="83"/>
        <v>29</v>
      </c>
      <c r="BS18" s="60">
        <v>212</v>
      </c>
      <c r="BT18" s="65">
        <f t="shared" si="84"/>
        <v>60.000000000002274</v>
      </c>
      <c r="BU18" s="60">
        <v>50731</v>
      </c>
      <c r="BV18" s="65">
        <f t="shared" si="85"/>
        <v>52</v>
      </c>
      <c r="BW18" s="60">
        <v>240.17</v>
      </c>
      <c r="BX18" s="65">
        <f t="shared" si="86"/>
        <v>49.999999999982947</v>
      </c>
      <c r="BY18" s="60">
        <v>70442</v>
      </c>
      <c r="BZ18" s="67">
        <f t="shared" si="87"/>
        <v>54</v>
      </c>
      <c r="CA18" s="60">
        <v>44528.4</v>
      </c>
      <c r="CB18" s="67">
        <f t="shared" si="88"/>
        <v>43.700000000004366</v>
      </c>
      <c r="CC18" s="60">
        <v>14707.2</v>
      </c>
      <c r="CD18" s="67">
        <f t="shared" si="89"/>
        <v>15.200000000000728</v>
      </c>
      <c r="CE18" s="60">
        <v>7765.9</v>
      </c>
      <c r="CF18" s="67">
        <f t="shared" si="90"/>
        <v>3.0999999999994543</v>
      </c>
      <c r="CG18" s="60">
        <v>71034.2</v>
      </c>
      <c r="CH18" s="67">
        <f t="shared" si="91"/>
        <v>51.69999999999709</v>
      </c>
      <c r="CI18" s="60">
        <v>1024174</v>
      </c>
      <c r="CJ18" s="67">
        <f t="shared" si="92"/>
        <v>308</v>
      </c>
      <c r="CK18" s="60">
        <v>933.23</v>
      </c>
      <c r="CL18" s="64">
        <f t="shared" si="93"/>
        <v>720.00000000002728</v>
      </c>
      <c r="CM18" s="65">
        <f t="shared" si="94"/>
        <v>104.40000000000146</v>
      </c>
      <c r="CN18" s="62">
        <v>25</v>
      </c>
      <c r="CO18" s="62">
        <v>51</v>
      </c>
      <c r="CP18" s="68">
        <v>24479</v>
      </c>
      <c r="CQ18" s="67">
        <f t="shared" si="95"/>
        <v>72</v>
      </c>
      <c r="CR18" s="68">
        <v>19891.2</v>
      </c>
      <c r="CS18" s="67">
        <f t="shared" si="96"/>
        <v>32.400000000001455</v>
      </c>
      <c r="CT18" s="75">
        <v>9161</v>
      </c>
      <c r="CU18" s="67">
        <f t="shared" si="97"/>
        <v>9</v>
      </c>
      <c r="CV18" s="68">
        <v>22748</v>
      </c>
      <c r="CW18" s="67">
        <f t="shared" si="98"/>
        <v>19</v>
      </c>
      <c r="CX18" s="58">
        <v>2161.8000000000002</v>
      </c>
      <c r="CY18" s="67">
        <f t="shared" si="99"/>
        <v>12.700000000000273</v>
      </c>
    </row>
    <row r="19" spans="1:103" ht="25.5" customHeight="1" thickBot="1" x14ac:dyDescent="0.45">
      <c r="A19" s="63">
        <v>44636</v>
      </c>
      <c r="B19" s="44"/>
      <c r="C19" s="58">
        <v>2.9851999999999999</v>
      </c>
      <c r="D19" s="64">
        <f t="shared" si="50"/>
        <v>3299.9999999998586</v>
      </c>
      <c r="E19" s="58">
        <v>4.0720999999999998</v>
      </c>
      <c r="F19" s="64">
        <f t="shared" si="51"/>
        <v>3499.9999999998367</v>
      </c>
      <c r="G19" s="58">
        <v>4.0442</v>
      </c>
      <c r="H19" s="64">
        <f t="shared" si="52"/>
        <v>3099.9999999998809</v>
      </c>
      <c r="I19" s="58">
        <v>2.0245000000000002</v>
      </c>
      <c r="J19" s="64">
        <f t="shared" si="53"/>
        <v>1800.0000000002458</v>
      </c>
      <c r="K19" s="58">
        <v>3.1846999999999999</v>
      </c>
      <c r="L19" s="64">
        <f t="shared" si="54"/>
        <v>2399.9999999997358</v>
      </c>
      <c r="M19" s="58">
        <v>1.7915000000000001</v>
      </c>
      <c r="N19" s="64">
        <f t="shared" si="55"/>
        <v>2099.9999999999909</v>
      </c>
      <c r="O19" s="58">
        <v>18353</v>
      </c>
      <c r="P19" s="67">
        <f t="shared" si="56"/>
        <v>1</v>
      </c>
      <c r="Q19" s="58">
        <v>2154</v>
      </c>
      <c r="R19" s="67">
        <f t="shared" si="57"/>
        <v>6</v>
      </c>
      <c r="S19" s="58">
        <v>1257.3</v>
      </c>
      <c r="T19" s="67">
        <f t="shared" si="58"/>
        <v>0.5</v>
      </c>
      <c r="U19" s="58">
        <v>516851.6</v>
      </c>
      <c r="V19" s="67">
        <f t="shared" si="59"/>
        <v>153.59999999997672</v>
      </c>
      <c r="W19" s="58">
        <v>482.93</v>
      </c>
      <c r="X19" s="65">
        <f t="shared" si="60"/>
        <v>410.00000000002501</v>
      </c>
      <c r="Y19" s="58">
        <v>3.5775000000000001</v>
      </c>
      <c r="Z19" s="65">
        <f t="shared" si="61"/>
        <v>3100.0000000003247</v>
      </c>
      <c r="AA19" s="58">
        <v>485.26</v>
      </c>
      <c r="AB19" s="65">
        <f t="shared" si="62"/>
        <v>490.00000000000909</v>
      </c>
      <c r="AC19" s="58">
        <v>471.31</v>
      </c>
      <c r="AD19" s="65">
        <f t="shared" si="63"/>
        <v>560.00000000000227</v>
      </c>
      <c r="AE19" s="58">
        <v>683.11</v>
      </c>
      <c r="AF19" s="65">
        <f t="shared" si="64"/>
        <v>870.00000000000455</v>
      </c>
      <c r="AG19" s="58">
        <v>14435</v>
      </c>
      <c r="AH19" s="67">
        <f t="shared" si="65"/>
        <v>41</v>
      </c>
      <c r="AI19" s="58">
        <v>795.48</v>
      </c>
      <c r="AJ19" s="65">
        <f t="shared" si="66"/>
        <v>570.00000000005002</v>
      </c>
      <c r="AK19" s="58">
        <v>266.04000000000002</v>
      </c>
      <c r="AL19" s="65">
        <f t="shared" si="67"/>
        <v>550.00000000001137</v>
      </c>
      <c r="AM19" s="58">
        <v>249.32</v>
      </c>
      <c r="AN19" s="65">
        <f t="shared" si="68"/>
        <v>219.99999999999886</v>
      </c>
      <c r="AO19" s="58">
        <v>240.43</v>
      </c>
      <c r="AP19" s="65">
        <f t="shared" si="69"/>
        <v>250</v>
      </c>
      <c r="AQ19" s="58">
        <v>297.60000000000002</v>
      </c>
      <c r="AR19" s="65">
        <f t="shared" si="70"/>
        <v>310.00000000000227</v>
      </c>
      <c r="AS19" s="58">
        <v>423.71</v>
      </c>
      <c r="AT19" s="65">
        <f t="shared" si="71"/>
        <v>259.99999999999091</v>
      </c>
      <c r="AU19" s="58">
        <v>329.11</v>
      </c>
      <c r="AV19" s="65">
        <f t="shared" si="72"/>
        <v>310.00000000000227</v>
      </c>
      <c r="AW19" s="58">
        <v>361.56</v>
      </c>
      <c r="AX19" s="65">
        <f t="shared" si="73"/>
        <v>269.99999999998181</v>
      </c>
      <c r="AY19" s="58">
        <v>396.11</v>
      </c>
      <c r="AZ19" s="65">
        <f t="shared" si="74"/>
        <v>220.00000000002728</v>
      </c>
      <c r="BA19" s="58">
        <v>416.13</v>
      </c>
      <c r="BB19" s="65">
        <f t="shared" si="75"/>
        <v>189.99999999999773</v>
      </c>
      <c r="BC19" s="58">
        <v>265.70999999999998</v>
      </c>
      <c r="BD19" s="65">
        <f t="shared" si="76"/>
        <v>109.9999999999568</v>
      </c>
      <c r="BE19" s="59">
        <v>49079</v>
      </c>
      <c r="BF19" s="67">
        <f t="shared" si="77"/>
        <v>19</v>
      </c>
      <c r="BG19" s="60">
        <v>245.3</v>
      </c>
      <c r="BH19" s="65">
        <f t="shared" si="78"/>
        <v>40.000000000020464</v>
      </c>
      <c r="BI19" s="60">
        <v>300.75</v>
      </c>
      <c r="BJ19" s="65">
        <f t="shared" si="79"/>
        <v>29.999999999972715</v>
      </c>
      <c r="BK19" s="60">
        <v>247.97</v>
      </c>
      <c r="BL19" s="65">
        <f t="shared" si="80"/>
        <v>50.000000000011369</v>
      </c>
      <c r="BM19" s="60">
        <v>234.95</v>
      </c>
      <c r="BN19" s="65">
        <f t="shared" si="81"/>
        <v>39.999999999992042</v>
      </c>
      <c r="BO19" s="60">
        <v>301.42</v>
      </c>
      <c r="BP19" s="65">
        <f t="shared" si="82"/>
        <v>69.999999999993179</v>
      </c>
      <c r="BQ19" s="60">
        <v>53519</v>
      </c>
      <c r="BR19" s="65">
        <f t="shared" si="83"/>
        <v>44</v>
      </c>
      <c r="BS19" s="60">
        <v>212.05</v>
      </c>
      <c r="BT19" s="65">
        <f t="shared" si="84"/>
        <v>50.000000000011369</v>
      </c>
      <c r="BU19" s="60">
        <v>50781</v>
      </c>
      <c r="BV19" s="65">
        <f t="shared" si="85"/>
        <v>50</v>
      </c>
      <c r="BW19" s="60">
        <v>240.22</v>
      </c>
      <c r="BX19" s="65">
        <f t="shared" si="86"/>
        <v>50.000000000011369</v>
      </c>
      <c r="BY19" s="60">
        <v>70496</v>
      </c>
      <c r="BZ19" s="67">
        <f t="shared" si="87"/>
        <v>54</v>
      </c>
      <c r="CA19" s="60">
        <v>44565.3</v>
      </c>
      <c r="CB19" s="67">
        <f t="shared" si="88"/>
        <v>36.900000000001455</v>
      </c>
      <c r="CC19" s="60">
        <v>14719.5</v>
      </c>
      <c r="CD19" s="67">
        <f t="shared" si="89"/>
        <v>12.299999999999272</v>
      </c>
      <c r="CE19" s="60">
        <v>7774</v>
      </c>
      <c r="CF19" s="67">
        <f t="shared" si="90"/>
        <v>8.1000000000003638</v>
      </c>
      <c r="CG19" s="60">
        <v>71091.7</v>
      </c>
      <c r="CH19" s="67">
        <f t="shared" si="91"/>
        <v>57.5</v>
      </c>
      <c r="CI19" s="60">
        <v>1024497</v>
      </c>
      <c r="CJ19" s="67">
        <f t="shared" si="92"/>
        <v>323</v>
      </c>
      <c r="CK19" s="60">
        <v>933.96</v>
      </c>
      <c r="CL19" s="64">
        <f t="shared" si="93"/>
        <v>730.00000000001819</v>
      </c>
      <c r="CM19" s="65">
        <f t="shared" si="94"/>
        <v>111.89999999999782</v>
      </c>
      <c r="CN19" s="62">
        <v>25</v>
      </c>
      <c r="CO19" s="62">
        <v>52</v>
      </c>
      <c r="CP19" s="68">
        <v>24550</v>
      </c>
      <c r="CQ19" s="67">
        <f t="shared" si="95"/>
        <v>71</v>
      </c>
      <c r="CR19" s="68">
        <v>19932.099999999999</v>
      </c>
      <c r="CS19" s="67">
        <f t="shared" si="96"/>
        <v>40.899999999997817</v>
      </c>
      <c r="CT19" s="75">
        <v>9170</v>
      </c>
      <c r="CU19" s="67">
        <f t="shared" si="97"/>
        <v>9</v>
      </c>
      <c r="CV19" s="68">
        <v>22770</v>
      </c>
      <c r="CW19" s="67">
        <f t="shared" si="98"/>
        <v>22</v>
      </c>
      <c r="CX19" s="58">
        <v>2175.3000000000002</v>
      </c>
      <c r="CY19" s="67">
        <f t="shared" si="99"/>
        <v>13.5</v>
      </c>
    </row>
    <row r="20" spans="1:103" ht="25.5" customHeight="1" thickBot="1" x14ac:dyDescent="0.45">
      <c r="A20" s="63">
        <v>44637</v>
      </c>
      <c r="B20" s="44"/>
      <c r="C20" s="58">
        <v>2.9883000000000002</v>
      </c>
      <c r="D20" s="64">
        <f t="shared" si="50"/>
        <v>3100.0000000003247</v>
      </c>
      <c r="E20" s="58">
        <v>4.0757000000000003</v>
      </c>
      <c r="F20" s="64">
        <f t="shared" si="51"/>
        <v>3600.0000000004916</v>
      </c>
      <c r="G20" s="58">
        <v>4.0473999999999997</v>
      </c>
      <c r="H20" s="64">
        <f t="shared" si="52"/>
        <v>3199.9999999996476</v>
      </c>
      <c r="I20" s="58">
        <v>2.0263</v>
      </c>
      <c r="J20" s="64">
        <f t="shared" si="53"/>
        <v>1799.9999999998017</v>
      </c>
      <c r="K20" s="58">
        <v>3.1869999999999998</v>
      </c>
      <c r="L20" s="64">
        <f t="shared" si="54"/>
        <v>2299.9999999999686</v>
      </c>
      <c r="M20" s="58">
        <v>1.7935000000000001</v>
      </c>
      <c r="N20" s="64">
        <f t="shared" si="55"/>
        <v>2000.0000000000018</v>
      </c>
      <c r="O20" s="58">
        <v>18353</v>
      </c>
      <c r="P20" s="67">
        <f t="shared" si="56"/>
        <v>0</v>
      </c>
      <c r="Q20" s="58">
        <v>2160</v>
      </c>
      <c r="R20" s="67">
        <f t="shared" si="57"/>
        <v>6</v>
      </c>
      <c r="S20" s="58">
        <v>1258.0999999999999</v>
      </c>
      <c r="T20" s="67">
        <f t="shared" si="58"/>
        <v>0.79999999999995453</v>
      </c>
      <c r="U20" s="58">
        <v>517331</v>
      </c>
      <c r="V20" s="67">
        <f t="shared" si="59"/>
        <v>479.40000000002328</v>
      </c>
      <c r="W20" s="58">
        <v>483.35</v>
      </c>
      <c r="X20" s="65">
        <f t="shared" si="60"/>
        <v>420.00000000001592</v>
      </c>
      <c r="Y20" s="58">
        <v>3.5804999999999998</v>
      </c>
      <c r="Z20" s="65">
        <f t="shared" si="61"/>
        <v>2999.9999999996694</v>
      </c>
      <c r="AA20" s="58">
        <v>485.56</v>
      </c>
      <c r="AB20" s="65">
        <f t="shared" si="62"/>
        <v>300.00000000001137</v>
      </c>
      <c r="AC20" s="58">
        <v>472</v>
      </c>
      <c r="AD20" s="65">
        <f t="shared" si="63"/>
        <v>689.99999999999773</v>
      </c>
      <c r="AE20" s="58">
        <v>684.03</v>
      </c>
      <c r="AF20" s="65">
        <f t="shared" si="64"/>
        <v>919.99999999995907</v>
      </c>
      <c r="AG20" s="58">
        <v>14474</v>
      </c>
      <c r="AH20" s="67">
        <f t="shared" si="65"/>
        <v>39</v>
      </c>
      <c r="AI20" s="58">
        <v>795.96</v>
      </c>
      <c r="AJ20" s="65">
        <f t="shared" si="66"/>
        <v>480.00000000001819</v>
      </c>
      <c r="AK20" s="58">
        <v>266.27999999999997</v>
      </c>
      <c r="AL20" s="65">
        <f t="shared" si="67"/>
        <v>239.99999999995225</v>
      </c>
      <c r="AM20" s="58">
        <v>249.56</v>
      </c>
      <c r="AN20" s="65">
        <f t="shared" si="68"/>
        <v>240.00000000000909</v>
      </c>
      <c r="AO20" s="58">
        <v>240.71</v>
      </c>
      <c r="AP20" s="65">
        <f t="shared" si="69"/>
        <v>280.00000000000114</v>
      </c>
      <c r="AQ20" s="58">
        <v>297.88</v>
      </c>
      <c r="AR20" s="65">
        <f t="shared" si="70"/>
        <v>279.99999999997272</v>
      </c>
      <c r="AS20" s="58">
        <v>423.94</v>
      </c>
      <c r="AT20" s="65">
        <f t="shared" si="71"/>
        <v>230.00000000001819</v>
      </c>
      <c r="AU20" s="58">
        <v>329.42</v>
      </c>
      <c r="AV20" s="65">
        <f t="shared" si="72"/>
        <v>310.00000000000227</v>
      </c>
      <c r="AW20" s="58">
        <v>361.81</v>
      </c>
      <c r="AX20" s="65">
        <f t="shared" si="73"/>
        <v>250</v>
      </c>
      <c r="AY20" s="58">
        <v>396.26</v>
      </c>
      <c r="AZ20" s="65">
        <f t="shared" si="74"/>
        <v>149.99999999997726</v>
      </c>
      <c r="BA20" s="58">
        <v>416.3</v>
      </c>
      <c r="BB20" s="65">
        <f t="shared" si="75"/>
        <v>170.00000000001592</v>
      </c>
      <c r="BC20" s="58">
        <v>265.86</v>
      </c>
      <c r="BD20" s="65">
        <f t="shared" si="76"/>
        <v>150.00000000003411</v>
      </c>
      <c r="BE20" s="59">
        <v>49108</v>
      </c>
      <c r="BF20" s="67">
        <f t="shared" si="77"/>
        <v>29</v>
      </c>
      <c r="BG20" s="60">
        <v>245.34</v>
      </c>
      <c r="BH20" s="65">
        <f t="shared" si="78"/>
        <v>39.999999999992042</v>
      </c>
      <c r="BI20" s="60">
        <v>300.77999999999997</v>
      </c>
      <c r="BJ20" s="65">
        <f t="shared" si="79"/>
        <v>29.999999999972715</v>
      </c>
      <c r="BK20" s="60">
        <v>248.02</v>
      </c>
      <c r="BL20" s="65">
        <f t="shared" si="80"/>
        <v>50.000000000011369</v>
      </c>
      <c r="BM20" s="60">
        <v>235</v>
      </c>
      <c r="BN20" s="65">
        <f t="shared" si="81"/>
        <v>50.000000000011369</v>
      </c>
      <c r="BO20" s="60">
        <v>301.49</v>
      </c>
      <c r="BP20" s="65">
        <f t="shared" si="82"/>
        <v>69.999999999993179</v>
      </c>
      <c r="BQ20" s="60">
        <v>53555</v>
      </c>
      <c r="BR20" s="65">
        <f t="shared" si="83"/>
        <v>36</v>
      </c>
      <c r="BS20" s="60">
        <v>212.11</v>
      </c>
      <c r="BT20" s="65">
        <f t="shared" si="84"/>
        <v>60.000000000002274</v>
      </c>
      <c r="BU20" s="60">
        <v>50831</v>
      </c>
      <c r="BV20" s="65">
        <f t="shared" si="85"/>
        <v>50</v>
      </c>
      <c r="BW20" s="60">
        <v>240.26</v>
      </c>
      <c r="BX20" s="65">
        <f t="shared" si="86"/>
        <v>39.999999999992042</v>
      </c>
      <c r="BY20" s="60">
        <v>70545</v>
      </c>
      <c r="BZ20" s="67">
        <f t="shared" si="87"/>
        <v>49</v>
      </c>
      <c r="CA20" s="60">
        <v>44604.1</v>
      </c>
      <c r="CB20" s="67">
        <f t="shared" si="88"/>
        <v>38.799999999995634</v>
      </c>
      <c r="CC20" s="60">
        <v>14732.7</v>
      </c>
      <c r="CD20" s="67">
        <f t="shared" si="89"/>
        <v>13.200000000000728</v>
      </c>
      <c r="CE20" s="60">
        <v>7781</v>
      </c>
      <c r="CF20" s="67">
        <f t="shared" si="90"/>
        <v>7</v>
      </c>
      <c r="CG20" s="60">
        <v>71131.5</v>
      </c>
      <c r="CH20" s="67">
        <f t="shared" si="91"/>
        <v>39.80000000000291</v>
      </c>
      <c r="CI20" s="60">
        <v>1024813</v>
      </c>
      <c r="CJ20" s="67">
        <f t="shared" si="92"/>
        <v>316</v>
      </c>
      <c r="CK20" s="60">
        <v>934.66</v>
      </c>
      <c r="CL20" s="64">
        <f t="shared" si="93"/>
        <v>699.99999999993179</v>
      </c>
      <c r="CM20" s="65">
        <f t="shared" si="94"/>
        <v>2201.7000000000021</v>
      </c>
      <c r="CN20" s="62"/>
      <c r="CO20" s="62"/>
      <c r="CP20" s="68">
        <v>24628</v>
      </c>
      <c r="CQ20" s="67">
        <v>2188.6</v>
      </c>
      <c r="CR20" s="68">
        <v>19945.2</v>
      </c>
      <c r="CS20" s="67">
        <f t="shared" si="96"/>
        <v>13.100000000002183</v>
      </c>
      <c r="CT20" s="75">
        <v>9180</v>
      </c>
      <c r="CU20" s="67">
        <f t="shared" si="97"/>
        <v>10</v>
      </c>
      <c r="CV20" s="68">
        <v>22796</v>
      </c>
      <c r="CW20" s="67">
        <f t="shared" si="98"/>
        <v>26</v>
      </c>
      <c r="CX20" s="58">
        <v>2188.6</v>
      </c>
      <c r="CY20" s="67">
        <f t="shared" si="99"/>
        <v>13.299999999999727</v>
      </c>
    </row>
    <row r="21" spans="1:103" ht="25.5" customHeight="1" thickBot="1" x14ac:dyDescent="0.45">
      <c r="A21" s="63">
        <v>44638</v>
      </c>
      <c r="B21" s="44"/>
      <c r="C21" s="58">
        <v>2.9912000000000001</v>
      </c>
      <c r="D21" s="64">
        <f t="shared" si="50"/>
        <v>2899.9999999999027</v>
      </c>
      <c r="E21" s="58">
        <v>4.0788000000000002</v>
      </c>
      <c r="F21" s="64">
        <f t="shared" si="51"/>
        <v>3099.9999999998809</v>
      </c>
      <c r="G21" s="58">
        <v>4.0506000000000002</v>
      </c>
      <c r="H21" s="64">
        <f t="shared" si="52"/>
        <v>3200.0000000005357</v>
      </c>
      <c r="I21" s="58">
        <v>2.0278999999999998</v>
      </c>
      <c r="J21" s="64">
        <f t="shared" si="53"/>
        <v>1599.9999999998238</v>
      </c>
      <c r="K21" s="58">
        <v>3.1892</v>
      </c>
      <c r="L21" s="64">
        <f t="shared" si="54"/>
        <v>2200.0000000002019</v>
      </c>
      <c r="M21" s="58">
        <v>1.7954000000000001</v>
      </c>
      <c r="N21" s="64">
        <f t="shared" si="55"/>
        <v>1900.0000000000127</v>
      </c>
      <c r="O21" s="58">
        <v>18404</v>
      </c>
      <c r="P21" s="67">
        <f t="shared" si="56"/>
        <v>51</v>
      </c>
      <c r="Q21" s="58">
        <v>2165</v>
      </c>
      <c r="R21" s="67">
        <f t="shared" si="57"/>
        <v>5</v>
      </c>
      <c r="S21" s="58">
        <v>1259.3</v>
      </c>
      <c r="T21" s="67">
        <f t="shared" si="58"/>
        <v>1.2000000000000455</v>
      </c>
      <c r="U21" s="58">
        <v>517733.9</v>
      </c>
      <c r="V21" s="67">
        <f t="shared" si="59"/>
        <v>402.90000000002328</v>
      </c>
      <c r="W21" s="58">
        <v>483.69</v>
      </c>
      <c r="X21" s="65">
        <f t="shared" si="60"/>
        <v>339.99999999997499</v>
      </c>
      <c r="Y21" s="58">
        <v>3.5834000000000001</v>
      </c>
      <c r="Z21" s="65">
        <f t="shared" si="61"/>
        <v>2900.0000000003465</v>
      </c>
      <c r="AA21" s="58">
        <v>486.04</v>
      </c>
      <c r="AB21" s="65">
        <f t="shared" si="62"/>
        <v>480.00000000001819</v>
      </c>
      <c r="AC21" s="58">
        <v>472.58</v>
      </c>
      <c r="AD21" s="65">
        <f t="shared" si="63"/>
        <v>579.99999999998408</v>
      </c>
      <c r="AE21" s="58">
        <v>684.82</v>
      </c>
      <c r="AF21" s="65">
        <f t="shared" si="64"/>
        <v>790.00000000007731</v>
      </c>
      <c r="AG21" s="58">
        <v>14515</v>
      </c>
      <c r="AH21" s="67">
        <f t="shared" si="65"/>
        <v>41</v>
      </c>
      <c r="AI21" s="58">
        <v>796.38</v>
      </c>
      <c r="AJ21" s="65">
        <f t="shared" si="66"/>
        <v>419.99999999995907</v>
      </c>
      <c r="AK21" s="58">
        <v>266.49</v>
      </c>
      <c r="AL21" s="65">
        <f t="shared" si="67"/>
        <v>210.00000000003638</v>
      </c>
      <c r="AM21" s="58">
        <v>249.77</v>
      </c>
      <c r="AN21" s="65">
        <f t="shared" si="68"/>
        <v>210.00000000000796</v>
      </c>
      <c r="AO21" s="58">
        <v>240.95</v>
      </c>
      <c r="AP21" s="65">
        <f t="shared" si="69"/>
        <v>239.99999999998067</v>
      </c>
      <c r="AQ21" s="58">
        <v>298.14999999999998</v>
      </c>
      <c r="AR21" s="65">
        <f t="shared" si="70"/>
        <v>269.99999999998181</v>
      </c>
      <c r="AS21" s="58">
        <v>424.17</v>
      </c>
      <c r="AT21" s="65">
        <f t="shared" si="71"/>
        <v>230.00000000001819</v>
      </c>
      <c r="AU21" s="58">
        <v>329.7</v>
      </c>
      <c r="AV21" s="65">
        <f t="shared" si="72"/>
        <v>279.99999999997272</v>
      </c>
      <c r="AW21" s="58">
        <v>362.04</v>
      </c>
      <c r="AX21" s="65">
        <f t="shared" si="73"/>
        <v>230.00000000001819</v>
      </c>
      <c r="AY21" s="58">
        <v>396.5</v>
      </c>
      <c r="AZ21" s="65">
        <f t="shared" si="74"/>
        <v>240.00000000000909</v>
      </c>
      <c r="BA21" s="58">
        <v>416.48</v>
      </c>
      <c r="BB21" s="65">
        <f t="shared" si="75"/>
        <v>180.00000000000682</v>
      </c>
      <c r="BC21" s="58">
        <v>265.98</v>
      </c>
      <c r="BD21" s="65">
        <f t="shared" si="76"/>
        <v>120.00000000000455</v>
      </c>
      <c r="BE21" s="59">
        <v>49137</v>
      </c>
      <c r="BF21" s="67">
        <f t="shared" si="77"/>
        <v>29</v>
      </c>
      <c r="BG21" s="60">
        <v>245.38</v>
      </c>
      <c r="BH21" s="65">
        <f t="shared" si="78"/>
        <v>39.999999999992042</v>
      </c>
      <c r="BI21" s="60">
        <v>300.81</v>
      </c>
      <c r="BJ21" s="65">
        <f t="shared" si="79"/>
        <v>30.000000000029559</v>
      </c>
      <c r="BK21" s="60">
        <v>248.08</v>
      </c>
      <c r="BL21" s="65">
        <f t="shared" si="80"/>
        <v>60.000000000002274</v>
      </c>
      <c r="BM21" s="60">
        <v>235.04</v>
      </c>
      <c r="BN21" s="65">
        <f t="shared" si="81"/>
        <v>39.999999999992042</v>
      </c>
      <c r="BO21" s="60">
        <v>301.55</v>
      </c>
      <c r="BP21" s="65">
        <f t="shared" si="82"/>
        <v>60.000000000002274</v>
      </c>
      <c r="BQ21" s="60">
        <v>53584</v>
      </c>
      <c r="BR21" s="65">
        <f t="shared" si="83"/>
        <v>29</v>
      </c>
      <c r="BS21" s="60">
        <v>212.16</v>
      </c>
      <c r="BT21" s="65">
        <f t="shared" si="84"/>
        <v>49.999999999982947</v>
      </c>
      <c r="BU21" s="60">
        <v>50872</v>
      </c>
      <c r="BV21" s="65">
        <f t="shared" si="85"/>
        <v>41</v>
      </c>
      <c r="BW21" s="60">
        <v>240.3</v>
      </c>
      <c r="BX21" s="65">
        <f t="shared" si="86"/>
        <v>40.000000000020464</v>
      </c>
      <c r="BY21" s="60">
        <v>70590</v>
      </c>
      <c r="BZ21" s="67">
        <f t="shared" si="87"/>
        <v>45</v>
      </c>
      <c r="CA21" s="60">
        <v>44641.5</v>
      </c>
      <c r="CB21" s="67">
        <f t="shared" si="88"/>
        <v>37.400000000001455</v>
      </c>
      <c r="CC21" s="60">
        <v>14743.8</v>
      </c>
      <c r="CD21" s="67">
        <f t="shared" si="89"/>
        <v>11.099999999998545</v>
      </c>
      <c r="CE21" s="60">
        <v>7784.5</v>
      </c>
      <c r="CF21" s="67">
        <f t="shared" si="90"/>
        <v>3.5</v>
      </c>
      <c r="CG21" s="60">
        <v>71166.5</v>
      </c>
      <c r="CH21" s="67">
        <f t="shared" si="91"/>
        <v>35</v>
      </c>
      <c r="CI21" s="60">
        <v>1025109</v>
      </c>
      <c r="CJ21" s="67">
        <f t="shared" si="92"/>
        <v>296</v>
      </c>
      <c r="CK21" s="60">
        <v>935.57</v>
      </c>
      <c r="CL21" s="64">
        <f t="shared" si="93"/>
        <v>910.00000000008185</v>
      </c>
      <c r="CM21" s="65">
        <f t="shared" si="94"/>
        <v>106.29999999999927</v>
      </c>
      <c r="CN21" s="62">
        <v>38</v>
      </c>
      <c r="CO21" s="62">
        <v>91</v>
      </c>
      <c r="CP21" s="68">
        <v>24707</v>
      </c>
      <c r="CQ21" s="67">
        <f t="shared" si="95"/>
        <v>79</v>
      </c>
      <c r="CR21" s="68">
        <v>19972.5</v>
      </c>
      <c r="CS21" s="67">
        <f t="shared" si="96"/>
        <v>27.299999999999272</v>
      </c>
      <c r="CT21" s="75">
        <v>9189</v>
      </c>
      <c r="CU21" s="67">
        <f t="shared" si="97"/>
        <v>9</v>
      </c>
      <c r="CV21" s="68">
        <v>22816</v>
      </c>
      <c r="CW21" s="67">
        <f t="shared" si="98"/>
        <v>20</v>
      </c>
      <c r="CX21" s="58">
        <v>2196.9</v>
      </c>
      <c r="CY21" s="67">
        <f t="shared" si="99"/>
        <v>8.3000000000001819</v>
      </c>
    </row>
    <row r="22" spans="1:103" ht="25.5" customHeight="1" thickBot="1" x14ac:dyDescent="0.45">
      <c r="A22" s="63">
        <v>44639</v>
      </c>
      <c r="B22" s="44"/>
      <c r="C22" s="58">
        <v>2.9944000000000002</v>
      </c>
      <c r="D22" s="64">
        <f t="shared" si="50"/>
        <v>3200.0000000000919</v>
      </c>
      <c r="E22" s="58">
        <v>4.0819000000000001</v>
      </c>
      <c r="F22" s="64">
        <f t="shared" si="51"/>
        <v>3099.9999999998809</v>
      </c>
      <c r="G22" s="58">
        <v>4.0537000000000001</v>
      </c>
      <c r="H22" s="64">
        <f t="shared" si="52"/>
        <v>3099.9999999998809</v>
      </c>
      <c r="I22" s="58">
        <v>2.0295999999999998</v>
      </c>
      <c r="J22" s="64">
        <f t="shared" si="53"/>
        <v>1700.0000000000348</v>
      </c>
      <c r="K22" s="58">
        <v>3.1913999999999998</v>
      </c>
      <c r="L22" s="64">
        <f t="shared" si="54"/>
        <v>2199.9999999997576</v>
      </c>
      <c r="M22" s="58">
        <v>1.7975000000000001</v>
      </c>
      <c r="N22" s="64">
        <f t="shared" si="55"/>
        <v>2099.9999999999909</v>
      </c>
      <c r="O22" s="58">
        <v>18405</v>
      </c>
      <c r="P22" s="67">
        <f t="shared" si="56"/>
        <v>1</v>
      </c>
      <c r="Q22" s="58">
        <v>2171</v>
      </c>
      <c r="R22" s="67">
        <f t="shared" si="57"/>
        <v>6</v>
      </c>
      <c r="S22" s="58">
        <v>1260.8</v>
      </c>
      <c r="T22" s="67">
        <f t="shared" si="58"/>
        <v>1.5</v>
      </c>
      <c r="U22" s="58">
        <v>518250.3</v>
      </c>
      <c r="V22" s="67">
        <f t="shared" si="59"/>
        <v>516.39999999996508</v>
      </c>
      <c r="W22" s="58">
        <v>484.13</v>
      </c>
      <c r="X22" s="65">
        <f t="shared" si="60"/>
        <v>439.99999999999773</v>
      </c>
      <c r="Y22" s="58">
        <v>3.5863999999999998</v>
      </c>
      <c r="Z22" s="65">
        <f t="shared" si="61"/>
        <v>2999.9999999996694</v>
      </c>
      <c r="AA22" s="58">
        <v>486.55</v>
      </c>
      <c r="AB22" s="65">
        <f t="shared" si="62"/>
        <v>509.99999999999091</v>
      </c>
      <c r="AC22" s="58">
        <v>473.25</v>
      </c>
      <c r="AD22" s="65">
        <f t="shared" si="63"/>
        <v>670.00000000001592</v>
      </c>
      <c r="AE22" s="58">
        <v>685.83</v>
      </c>
      <c r="AF22" s="65">
        <f t="shared" si="64"/>
        <v>1009.9999999999909</v>
      </c>
      <c r="AG22" s="58">
        <v>14563</v>
      </c>
      <c r="AH22" s="67">
        <f t="shared" si="65"/>
        <v>48</v>
      </c>
      <c r="AI22" s="58">
        <v>797.19</v>
      </c>
      <c r="AJ22" s="65">
        <f t="shared" si="66"/>
        <v>810.00000000005912</v>
      </c>
      <c r="AK22" s="58">
        <v>266.8</v>
      </c>
      <c r="AL22" s="65">
        <f t="shared" si="67"/>
        <v>310.00000000000227</v>
      </c>
      <c r="AM22" s="58">
        <v>250.04</v>
      </c>
      <c r="AN22" s="65">
        <f t="shared" si="68"/>
        <v>269.99999999998181</v>
      </c>
      <c r="AO22" s="58">
        <v>241.23</v>
      </c>
      <c r="AP22" s="65">
        <f t="shared" si="69"/>
        <v>280.00000000000114</v>
      </c>
      <c r="AQ22" s="58">
        <v>298.45999999999998</v>
      </c>
      <c r="AR22" s="65">
        <f t="shared" si="70"/>
        <v>310.00000000000227</v>
      </c>
      <c r="AS22" s="58">
        <v>424.36</v>
      </c>
      <c r="AT22" s="65">
        <f t="shared" si="71"/>
        <v>189.99999999999773</v>
      </c>
      <c r="AU22" s="58">
        <v>330.02</v>
      </c>
      <c r="AV22" s="65">
        <f t="shared" si="72"/>
        <v>319.99999999999318</v>
      </c>
      <c r="AW22" s="58">
        <v>362.28</v>
      </c>
      <c r="AX22" s="65">
        <f t="shared" si="73"/>
        <v>239.99999999995225</v>
      </c>
      <c r="AY22" s="58">
        <v>396.78</v>
      </c>
      <c r="AZ22" s="65">
        <f t="shared" si="74"/>
        <v>279.99999999997272</v>
      </c>
      <c r="BA22" s="58">
        <v>416.72</v>
      </c>
      <c r="BB22" s="65">
        <f t="shared" si="75"/>
        <v>240.00000000000909</v>
      </c>
      <c r="BC22" s="58">
        <v>266.14</v>
      </c>
      <c r="BD22" s="65">
        <f t="shared" si="76"/>
        <v>159.99999999996817</v>
      </c>
      <c r="BE22" s="59">
        <v>49170</v>
      </c>
      <c r="BF22" s="67">
        <f t="shared" si="77"/>
        <v>33</v>
      </c>
      <c r="BG22" s="60">
        <v>245.42</v>
      </c>
      <c r="BH22" s="65">
        <f t="shared" si="78"/>
        <v>39.999999999992042</v>
      </c>
      <c r="BI22" s="60">
        <v>300.83999999999997</v>
      </c>
      <c r="BJ22" s="65">
        <f t="shared" si="79"/>
        <v>29.999999999972715</v>
      </c>
      <c r="BK22" s="60">
        <v>248.13</v>
      </c>
      <c r="BL22" s="65">
        <f t="shared" si="80"/>
        <v>49.999999999982947</v>
      </c>
      <c r="BM22" s="60">
        <v>235.08</v>
      </c>
      <c r="BN22" s="65">
        <f t="shared" si="81"/>
        <v>40.000000000020464</v>
      </c>
      <c r="BO22" s="60">
        <v>301.60000000000002</v>
      </c>
      <c r="BP22" s="65">
        <f t="shared" si="82"/>
        <v>50.000000000011369</v>
      </c>
      <c r="BQ22" s="60">
        <v>53619</v>
      </c>
      <c r="BR22" s="65">
        <f t="shared" si="83"/>
        <v>35</v>
      </c>
      <c r="BS22" s="60">
        <v>212.21</v>
      </c>
      <c r="BT22" s="65">
        <f t="shared" si="84"/>
        <v>50.000000000011369</v>
      </c>
      <c r="BU22" s="60">
        <v>50916</v>
      </c>
      <c r="BV22" s="65">
        <f t="shared" si="85"/>
        <v>44</v>
      </c>
      <c r="BW22" s="60">
        <v>240.34</v>
      </c>
      <c r="BX22" s="65">
        <f t="shared" si="86"/>
        <v>39.999999999992042</v>
      </c>
      <c r="BY22" s="60">
        <v>70636</v>
      </c>
      <c r="BZ22" s="67">
        <f t="shared" si="87"/>
        <v>46</v>
      </c>
      <c r="CA22" s="60">
        <v>44677.599999999999</v>
      </c>
      <c r="CB22" s="67">
        <f t="shared" si="88"/>
        <v>36.099999999998545</v>
      </c>
      <c r="CC22" s="60">
        <v>14755.7</v>
      </c>
      <c r="CD22" s="67">
        <f t="shared" si="89"/>
        <v>11.900000000001455</v>
      </c>
      <c r="CE22" s="60">
        <v>7786.8</v>
      </c>
      <c r="CF22" s="67">
        <f t="shared" si="90"/>
        <v>2.3000000000001819</v>
      </c>
      <c r="CG22" s="60">
        <v>71219.5</v>
      </c>
      <c r="CH22" s="67">
        <f t="shared" si="91"/>
        <v>53</v>
      </c>
      <c r="CI22" s="60">
        <v>1025427</v>
      </c>
      <c r="CJ22" s="67">
        <f t="shared" si="92"/>
        <v>318</v>
      </c>
      <c r="CK22" s="60">
        <v>936.23</v>
      </c>
      <c r="CL22" s="64">
        <f t="shared" si="93"/>
        <v>659.99999999996817</v>
      </c>
      <c r="CM22" s="65">
        <f t="shared" si="94"/>
        <v>96.799999999999272</v>
      </c>
      <c r="CN22" s="62">
        <v>38</v>
      </c>
      <c r="CO22" s="62">
        <v>91</v>
      </c>
      <c r="CP22" s="68">
        <v>24784</v>
      </c>
      <c r="CQ22" s="67">
        <f t="shared" si="95"/>
        <v>77</v>
      </c>
      <c r="CR22" s="68">
        <v>19992.3</v>
      </c>
      <c r="CS22" s="67">
        <f t="shared" si="96"/>
        <v>19.799999999999272</v>
      </c>
      <c r="CT22" s="75">
        <v>9199</v>
      </c>
      <c r="CU22" s="67">
        <f t="shared" si="97"/>
        <v>10</v>
      </c>
      <c r="CV22" s="68">
        <v>22837</v>
      </c>
      <c r="CW22" s="67">
        <f t="shared" si="98"/>
        <v>21</v>
      </c>
      <c r="CX22" s="58">
        <v>2209.5</v>
      </c>
      <c r="CY22" s="67">
        <f t="shared" si="99"/>
        <v>12.599999999999909</v>
      </c>
    </row>
    <row r="23" spans="1:103" ht="25.5" customHeight="1" thickBot="1" x14ac:dyDescent="0.45">
      <c r="A23" s="63">
        <v>44640</v>
      </c>
      <c r="B23" s="44"/>
      <c r="C23" s="58">
        <v>2.9980000000000002</v>
      </c>
      <c r="D23" s="64">
        <f t="shared" si="50"/>
        <v>3600.0000000000477</v>
      </c>
      <c r="E23" s="58">
        <v>4.0857000000000001</v>
      </c>
      <c r="F23" s="64">
        <f t="shared" si="51"/>
        <v>3800.0000000000255</v>
      </c>
      <c r="G23" s="58">
        <v>4.0572999999999997</v>
      </c>
      <c r="H23" s="64">
        <f t="shared" si="52"/>
        <v>3599.9999999996035</v>
      </c>
      <c r="I23" s="58">
        <v>2.0314999999999999</v>
      </c>
      <c r="J23" s="64">
        <f t="shared" si="53"/>
        <v>1900.0000000000127</v>
      </c>
      <c r="K23" s="58">
        <v>3.1938</v>
      </c>
      <c r="L23" s="64">
        <f t="shared" si="54"/>
        <v>2400.0000000001796</v>
      </c>
      <c r="M23" s="58">
        <v>1.7997000000000001</v>
      </c>
      <c r="N23" s="64">
        <f t="shared" si="55"/>
        <v>2199.9999999999795</v>
      </c>
      <c r="O23" s="58">
        <v>18490</v>
      </c>
      <c r="P23" s="67">
        <f t="shared" si="56"/>
        <v>85</v>
      </c>
      <c r="Q23" s="58">
        <v>2178</v>
      </c>
      <c r="R23" s="67">
        <f t="shared" si="57"/>
        <v>7</v>
      </c>
      <c r="S23" s="58">
        <v>1262.2</v>
      </c>
      <c r="T23" s="67">
        <f t="shared" si="58"/>
        <v>1.4000000000000909</v>
      </c>
      <c r="U23" s="58">
        <v>518724.3</v>
      </c>
      <c r="V23" s="67">
        <f t="shared" si="59"/>
        <v>474</v>
      </c>
      <c r="W23" s="58">
        <v>484.56</v>
      </c>
      <c r="X23" s="65">
        <f t="shared" si="60"/>
        <v>430.00000000000682</v>
      </c>
      <c r="Y23" s="58">
        <v>3.5895000000000001</v>
      </c>
      <c r="Z23" s="65">
        <f t="shared" si="61"/>
        <v>3100.0000000003247</v>
      </c>
      <c r="AA23" s="58">
        <v>486.83</v>
      </c>
      <c r="AB23" s="65">
        <f t="shared" si="62"/>
        <v>279.99999999997272</v>
      </c>
      <c r="AC23" s="58">
        <v>473.8</v>
      </c>
      <c r="AD23" s="65">
        <f t="shared" si="63"/>
        <v>550.00000000001137</v>
      </c>
      <c r="AE23" s="58">
        <v>686.89</v>
      </c>
      <c r="AF23" s="65">
        <f t="shared" si="64"/>
        <v>1059.9999999999454</v>
      </c>
      <c r="AG23" s="58">
        <v>14603</v>
      </c>
      <c r="AH23" s="67">
        <f t="shared" si="65"/>
        <v>40</v>
      </c>
      <c r="AI23" s="58">
        <v>798.08</v>
      </c>
      <c r="AJ23" s="65">
        <f t="shared" si="66"/>
        <v>889.99999999998636</v>
      </c>
      <c r="AK23" s="58">
        <v>267.08999999999997</v>
      </c>
      <c r="AL23" s="65">
        <f t="shared" si="67"/>
        <v>289.99999999996362</v>
      </c>
      <c r="AM23" s="58">
        <v>250.26</v>
      </c>
      <c r="AN23" s="65">
        <f t="shared" si="68"/>
        <v>219.99999999999886</v>
      </c>
      <c r="AO23" s="58">
        <v>241.48</v>
      </c>
      <c r="AP23" s="65">
        <f t="shared" si="69"/>
        <v>250</v>
      </c>
      <c r="AQ23" s="58">
        <v>298.72000000000003</v>
      </c>
      <c r="AR23" s="65">
        <f t="shared" si="70"/>
        <v>260.00000000004775</v>
      </c>
      <c r="AS23" s="58">
        <v>424.53</v>
      </c>
      <c r="AT23" s="65">
        <f t="shared" si="71"/>
        <v>169.99999999995907</v>
      </c>
      <c r="AU23" s="58">
        <v>330.27</v>
      </c>
      <c r="AV23" s="65">
        <f t="shared" si="72"/>
        <v>250</v>
      </c>
      <c r="AW23" s="58">
        <v>362.43</v>
      </c>
      <c r="AX23" s="65">
        <f t="shared" si="73"/>
        <v>150.00000000003411</v>
      </c>
      <c r="AY23" s="58">
        <v>397.03</v>
      </c>
      <c r="AZ23" s="65">
        <f t="shared" si="74"/>
        <v>250</v>
      </c>
      <c r="BA23" s="58">
        <v>416.88</v>
      </c>
      <c r="BB23" s="65">
        <f t="shared" si="75"/>
        <v>159.99999999996817</v>
      </c>
      <c r="BC23" s="58">
        <v>266.24</v>
      </c>
      <c r="BD23" s="65">
        <f t="shared" si="76"/>
        <v>100.00000000002274</v>
      </c>
      <c r="BE23" s="59">
        <v>49198</v>
      </c>
      <c r="BF23" s="67">
        <f t="shared" si="77"/>
        <v>28</v>
      </c>
      <c r="BG23" s="60">
        <v>245.47</v>
      </c>
      <c r="BH23" s="65">
        <f t="shared" si="78"/>
        <v>50.000000000011369</v>
      </c>
      <c r="BI23" s="60">
        <v>300.88</v>
      </c>
      <c r="BJ23" s="65">
        <f t="shared" si="79"/>
        <v>40.000000000020464</v>
      </c>
      <c r="BK23" s="60">
        <v>248.19</v>
      </c>
      <c r="BL23" s="65">
        <f t="shared" si="80"/>
        <v>60.000000000002274</v>
      </c>
      <c r="BM23" s="60">
        <v>235.13</v>
      </c>
      <c r="BN23" s="65">
        <f t="shared" si="81"/>
        <v>49.999999999982947</v>
      </c>
      <c r="BO23" s="60">
        <v>301.66000000000003</v>
      </c>
      <c r="BP23" s="65">
        <f t="shared" si="82"/>
        <v>60.000000000002274</v>
      </c>
      <c r="BQ23" s="60">
        <v>53658</v>
      </c>
      <c r="BR23" s="65">
        <f t="shared" si="83"/>
        <v>39</v>
      </c>
      <c r="BS23" s="60">
        <v>212.26</v>
      </c>
      <c r="BT23" s="65">
        <f t="shared" si="84"/>
        <v>49.999999999982947</v>
      </c>
      <c r="BU23" s="60">
        <v>50972</v>
      </c>
      <c r="BV23" s="65">
        <f t="shared" si="85"/>
        <v>56</v>
      </c>
      <c r="BW23" s="60">
        <v>240.39</v>
      </c>
      <c r="BX23" s="65">
        <f t="shared" si="86"/>
        <v>49.999999999982947</v>
      </c>
      <c r="BY23" s="60">
        <v>70690</v>
      </c>
      <c r="BZ23" s="67">
        <f t="shared" si="87"/>
        <v>54</v>
      </c>
      <c r="CA23" s="60">
        <v>44715.4</v>
      </c>
      <c r="CB23" s="67">
        <f t="shared" si="88"/>
        <v>37.80000000000291</v>
      </c>
      <c r="CC23" s="60">
        <v>14774.5</v>
      </c>
      <c r="CD23" s="67">
        <f t="shared" si="89"/>
        <v>18.799999999999272</v>
      </c>
      <c r="CE23" s="60">
        <v>7791.1</v>
      </c>
      <c r="CF23" s="67">
        <f t="shared" si="90"/>
        <v>4.3000000000001819</v>
      </c>
      <c r="CG23" s="60">
        <v>71274.5</v>
      </c>
      <c r="CH23" s="67">
        <f t="shared" si="91"/>
        <v>55</v>
      </c>
      <c r="CI23" s="60">
        <v>1025736</v>
      </c>
      <c r="CJ23" s="67">
        <f t="shared" si="92"/>
        <v>309</v>
      </c>
      <c r="CK23" s="60">
        <v>937.02</v>
      </c>
      <c r="CL23" s="64">
        <f t="shared" si="93"/>
        <v>789.99999999996362</v>
      </c>
      <c r="CM23" s="65">
        <f>CQ23+CS23</f>
        <v>112.10000000000218</v>
      </c>
      <c r="CN23" s="62">
        <v>38</v>
      </c>
      <c r="CO23" s="62">
        <v>91</v>
      </c>
      <c r="CP23" s="68">
        <v>24877</v>
      </c>
      <c r="CQ23" s="67">
        <f t="shared" si="95"/>
        <v>93</v>
      </c>
      <c r="CR23" s="68">
        <v>20011.400000000001</v>
      </c>
      <c r="CS23" s="67">
        <f t="shared" si="96"/>
        <v>19.100000000002183</v>
      </c>
      <c r="CT23" s="75">
        <v>9207</v>
      </c>
      <c r="CU23" s="67">
        <f t="shared" si="97"/>
        <v>8</v>
      </c>
      <c r="CV23" s="68">
        <v>22857</v>
      </c>
      <c r="CW23" s="67">
        <f t="shared" si="98"/>
        <v>20</v>
      </c>
      <c r="CX23" s="58">
        <v>2223.1999999999998</v>
      </c>
      <c r="CY23" s="67">
        <f t="shared" si="99"/>
        <v>13.699999999999818</v>
      </c>
    </row>
    <row r="24" spans="1:103" ht="25.5" customHeight="1" thickBot="1" x14ac:dyDescent="0.45">
      <c r="A24" s="63">
        <v>44641</v>
      </c>
      <c r="B24" s="44"/>
      <c r="C24" s="58">
        <v>3.0011999999999999</v>
      </c>
      <c r="D24" s="64">
        <f t="shared" si="50"/>
        <v>3199.9999999996476</v>
      </c>
      <c r="E24" s="58">
        <v>4.0892999999999997</v>
      </c>
      <c r="F24" s="64">
        <f t="shared" si="51"/>
        <v>3599.9999999996035</v>
      </c>
      <c r="G24" s="58">
        <v>4.0606999999999998</v>
      </c>
      <c r="H24" s="64">
        <f t="shared" si="52"/>
        <v>3400.0000000000696</v>
      </c>
      <c r="I24" s="58">
        <v>2.0333999999999999</v>
      </c>
      <c r="J24" s="64">
        <f t="shared" si="53"/>
        <v>1900.0000000000127</v>
      </c>
      <c r="K24" s="58">
        <v>3.1959</v>
      </c>
      <c r="L24" s="64">
        <f t="shared" si="54"/>
        <v>2099.9999999999909</v>
      </c>
      <c r="M24" s="58">
        <v>1.8019000000000001</v>
      </c>
      <c r="N24" s="64">
        <f t="shared" si="55"/>
        <v>2199.9999999999795</v>
      </c>
      <c r="O24" s="58">
        <v>18582</v>
      </c>
      <c r="P24" s="67">
        <f t="shared" si="56"/>
        <v>92</v>
      </c>
      <c r="Q24" s="58">
        <v>2184</v>
      </c>
      <c r="R24" s="67">
        <f t="shared" si="57"/>
        <v>6</v>
      </c>
      <c r="S24" s="58">
        <v>1263.8</v>
      </c>
      <c r="T24" s="67">
        <f t="shared" si="58"/>
        <v>1.5999999999999091</v>
      </c>
      <c r="U24" s="58">
        <v>519236.4</v>
      </c>
      <c r="V24" s="67">
        <f t="shared" si="59"/>
        <v>512.10000000003492</v>
      </c>
      <c r="W24" s="58">
        <v>484.99</v>
      </c>
      <c r="X24" s="65">
        <f t="shared" si="60"/>
        <v>430.00000000000682</v>
      </c>
      <c r="Y24" s="58">
        <v>3.5926999999999998</v>
      </c>
      <c r="Z24" s="65">
        <f t="shared" si="61"/>
        <v>3199.9999999996476</v>
      </c>
      <c r="AA24" s="58">
        <v>487.37</v>
      </c>
      <c r="AB24" s="65">
        <f t="shared" si="62"/>
        <v>540.00000000002046</v>
      </c>
      <c r="AC24" s="58">
        <v>474.28</v>
      </c>
      <c r="AD24" s="65">
        <f t="shared" si="63"/>
        <v>479.99999999996135</v>
      </c>
      <c r="AE24" s="58">
        <v>688.01</v>
      </c>
      <c r="AF24" s="65">
        <f t="shared" si="64"/>
        <v>1120.0000000000045</v>
      </c>
      <c r="AG24" s="58">
        <v>14648</v>
      </c>
      <c r="AH24" s="67">
        <f t="shared" si="65"/>
        <v>45</v>
      </c>
      <c r="AI24" s="58">
        <v>798.98</v>
      </c>
      <c r="AJ24" s="65">
        <f t="shared" si="66"/>
        <v>899.99999999997726</v>
      </c>
      <c r="AK24" s="58">
        <v>267.39999999999998</v>
      </c>
      <c r="AL24" s="65">
        <f t="shared" si="67"/>
        <v>310.00000000000227</v>
      </c>
      <c r="AM24" s="58">
        <v>250.49</v>
      </c>
      <c r="AN24" s="65">
        <f t="shared" si="68"/>
        <v>230.00000000001819</v>
      </c>
      <c r="AO24" s="58">
        <v>241.68</v>
      </c>
      <c r="AP24" s="65">
        <f t="shared" si="69"/>
        <v>200.00000000001705</v>
      </c>
      <c r="AQ24" s="58">
        <v>298.86</v>
      </c>
      <c r="AR24" s="65">
        <f t="shared" si="70"/>
        <v>139.99999999998636</v>
      </c>
      <c r="AS24" s="58">
        <v>424.71</v>
      </c>
      <c r="AT24" s="65">
        <f t="shared" si="71"/>
        <v>180.00000000000682</v>
      </c>
      <c r="AU24" s="58">
        <v>330.56</v>
      </c>
      <c r="AV24" s="65">
        <f t="shared" si="72"/>
        <v>290.00000000002046</v>
      </c>
      <c r="AW24" s="58">
        <v>362.59</v>
      </c>
      <c r="AX24" s="65">
        <f t="shared" si="73"/>
        <v>159.99999999996817</v>
      </c>
      <c r="AY24" s="58">
        <v>397.24</v>
      </c>
      <c r="AZ24" s="65">
        <f t="shared" si="74"/>
        <v>210.00000000003638</v>
      </c>
      <c r="BA24" s="58">
        <v>417.07</v>
      </c>
      <c r="BB24" s="65">
        <f t="shared" si="75"/>
        <v>189.99999999999773</v>
      </c>
      <c r="BC24" s="58">
        <v>266.38</v>
      </c>
      <c r="BD24" s="65">
        <f t="shared" si="76"/>
        <v>139.99999999998636</v>
      </c>
      <c r="BE24" s="59">
        <v>49214</v>
      </c>
      <c r="BF24" s="67">
        <f t="shared" si="77"/>
        <v>16</v>
      </c>
      <c r="BG24" s="60">
        <v>245.52</v>
      </c>
      <c r="BH24" s="65">
        <f t="shared" si="78"/>
        <v>50.000000000011369</v>
      </c>
      <c r="BI24" s="60">
        <v>300.91000000000003</v>
      </c>
      <c r="BJ24" s="65">
        <f t="shared" si="79"/>
        <v>30.000000000029559</v>
      </c>
      <c r="BK24" s="60">
        <v>248.24</v>
      </c>
      <c r="BL24" s="65">
        <f t="shared" si="80"/>
        <v>50.000000000011369</v>
      </c>
      <c r="BM24" s="60">
        <v>235.17</v>
      </c>
      <c r="BN24" s="65">
        <f t="shared" si="81"/>
        <v>39.999999999992042</v>
      </c>
      <c r="BO24" s="60">
        <v>301.72000000000003</v>
      </c>
      <c r="BP24" s="65">
        <f t="shared" si="82"/>
        <v>60.000000000002274</v>
      </c>
      <c r="BQ24" s="60">
        <v>53696</v>
      </c>
      <c r="BR24" s="65">
        <f t="shared" si="83"/>
        <v>38</v>
      </c>
      <c r="BS24" s="60">
        <v>212.32</v>
      </c>
      <c r="BT24" s="65">
        <f t="shared" si="84"/>
        <v>60.000000000002274</v>
      </c>
      <c r="BU24" s="60">
        <v>51024</v>
      </c>
      <c r="BV24" s="65">
        <f t="shared" si="85"/>
        <v>52</v>
      </c>
      <c r="BW24" s="60">
        <v>240.43</v>
      </c>
      <c r="BX24" s="65">
        <f t="shared" si="86"/>
        <v>40.000000000020464</v>
      </c>
      <c r="BY24" s="60">
        <v>70738</v>
      </c>
      <c r="BZ24" s="67">
        <f t="shared" si="87"/>
        <v>48</v>
      </c>
      <c r="CA24" s="60">
        <v>44746.3</v>
      </c>
      <c r="CB24" s="67">
        <f t="shared" si="88"/>
        <v>30.900000000001455</v>
      </c>
      <c r="CC24" s="60">
        <v>14786.7</v>
      </c>
      <c r="CD24" s="67">
        <f t="shared" si="89"/>
        <v>12.200000000000728</v>
      </c>
      <c r="CE24" s="60">
        <v>7805.1</v>
      </c>
      <c r="CF24" s="67">
        <f t="shared" si="90"/>
        <v>14</v>
      </c>
      <c r="CG24" s="60">
        <v>71313.899999999994</v>
      </c>
      <c r="CH24" s="67">
        <f t="shared" si="91"/>
        <v>39.399999999994179</v>
      </c>
      <c r="CI24" s="60">
        <v>1026088</v>
      </c>
      <c r="CJ24" s="67">
        <f t="shared" si="92"/>
        <v>352</v>
      </c>
      <c r="CK24" s="60">
        <v>937.74</v>
      </c>
      <c r="CL24" s="64">
        <f t="shared" si="93"/>
        <v>720.00000000002728</v>
      </c>
      <c r="CM24" s="65">
        <f t="shared" si="94"/>
        <v>104.59999999999854</v>
      </c>
      <c r="CN24" s="62">
        <v>35</v>
      </c>
      <c r="CO24" s="62">
        <v>80</v>
      </c>
      <c r="CP24" s="68">
        <v>24967</v>
      </c>
      <c r="CQ24" s="67">
        <f t="shared" si="95"/>
        <v>90</v>
      </c>
      <c r="CR24" s="68">
        <v>20026</v>
      </c>
      <c r="CS24" s="67">
        <f t="shared" si="96"/>
        <v>14.599999999998545</v>
      </c>
      <c r="CT24" s="75">
        <v>9219</v>
      </c>
      <c r="CU24" s="67">
        <f t="shared" si="97"/>
        <v>12</v>
      </c>
      <c r="CV24" s="68">
        <v>22884</v>
      </c>
      <c r="CW24" s="67">
        <f t="shared" si="98"/>
        <v>27</v>
      </c>
      <c r="CX24" s="58">
        <v>2237</v>
      </c>
      <c r="CY24" s="67">
        <f t="shared" si="99"/>
        <v>13.800000000000182</v>
      </c>
    </row>
    <row r="25" spans="1:103" ht="25.5" customHeight="1" thickBot="1" x14ac:dyDescent="0.45">
      <c r="A25" s="63">
        <v>44642</v>
      </c>
      <c r="B25" s="44"/>
      <c r="C25" s="58">
        <v>3.0045000000000002</v>
      </c>
      <c r="D25" s="64">
        <f t="shared" si="50"/>
        <v>3300.0000000003029</v>
      </c>
      <c r="E25" s="58">
        <v>4.0932000000000004</v>
      </c>
      <c r="F25" s="64">
        <f t="shared" si="51"/>
        <v>3900.0000000006808</v>
      </c>
      <c r="G25" s="58">
        <v>4.0640000000000001</v>
      </c>
      <c r="H25" s="64">
        <f t="shared" si="52"/>
        <v>3300.0000000003029</v>
      </c>
      <c r="I25" s="58">
        <v>2.0352999999999999</v>
      </c>
      <c r="J25" s="64">
        <f t="shared" si="53"/>
        <v>1900.0000000000127</v>
      </c>
      <c r="K25" s="58">
        <v>3.1981999999999999</v>
      </c>
      <c r="L25" s="64">
        <f t="shared" si="54"/>
        <v>2299.9999999999686</v>
      </c>
      <c r="M25" s="58">
        <v>1.8041</v>
      </c>
      <c r="N25" s="64">
        <f t="shared" si="55"/>
        <v>2199.9999999999795</v>
      </c>
      <c r="O25" s="58">
        <v>18616</v>
      </c>
      <c r="P25" s="67">
        <f t="shared" si="56"/>
        <v>34</v>
      </c>
      <c r="Q25" s="58">
        <v>2191</v>
      </c>
      <c r="R25" s="67">
        <f t="shared" si="57"/>
        <v>7</v>
      </c>
      <c r="S25" s="58">
        <v>1265.0999999999999</v>
      </c>
      <c r="T25" s="67">
        <f t="shared" si="58"/>
        <v>1.2999999999999545</v>
      </c>
      <c r="U25" s="58">
        <v>519698</v>
      </c>
      <c r="V25" s="67">
        <f t="shared" si="59"/>
        <v>461.59999999997672</v>
      </c>
      <c r="W25" s="58">
        <v>485.45</v>
      </c>
      <c r="X25" s="65">
        <f t="shared" si="60"/>
        <v>459.99999999997954</v>
      </c>
      <c r="Y25" s="58">
        <v>3.5960999999999999</v>
      </c>
      <c r="Z25" s="65">
        <f t="shared" si="61"/>
        <v>3400.0000000000696</v>
      </c>
      <c r="AA25" s="58">
        <v>487.73</v>
      </c>
      <c r="AB25" s="65">
        <f t="shared" si="62"/>
        <v>360.00000000001364</v>
      </c>
      <c r="AC25" s="58">
        <v>474.77</v>
      </c>
      <c r="AD25" s="65">
        <f t="shared" si="63"/>
        <v>490.00000000000909</v>
      </c>
      <c r="AE25" s="58">
        <v>689.19</v>
      </c>
      <c r="AF25" s="65">
        <f t="shared" si="64"/>
        <v>1180.0000000000637</v>
      </c>
      <c r="AG25" s="58">
        <v>14698</v>
      </c>
      <c r="AH25" s="67">
        <f t="shared" si="65"/>
        <v>50</v>
      </c>
      <c r="AI25" s="58">
        <v>799.85</v>
      </c>
      <c r="AJ25" s="65">
        <f t="shared" si="66"/>
        <v>870.00000000000455</v>
      </c>
      <c r="AK25" s="58">
        <v>267.74</v>
      </c>
      <c r="AL25" s="65">
        <f t="shared" si="67"/>
        <v>340.00000000003183</v>
      </c>
      <c r="AM25" s="58">
        <v>250.71</v>
      </c>
      <c r="AN25" s="65">
        <f t="shared" si="68"/>
        <v>219.99999999999886</v>
      </c>
      <c r="AO25" s="58">
        <v>241.91</v>
      </c>
      <c r="AP25" s="65">
        <f t="shared" si="69"/>
        <v>229.99999999998977</v>
      </c>
      <c r="AQ25" s="58">
        <v>299.01</v>
      </c>
      <c r="AR25" s="65">
        <f t="shared" si="70"/>
        <v>149.99999999997726</v>
      </c>
      <c r="AS25" s="58">
        <v>424.89</v>
      </c>
      <c r="AT25" s="65">
        <f t="shared" si="71"/>
        <v>180.00000000000682</v>
      </c>
      <c r="AU25" s="58">
        <v>330.86</v>
      </c>
      <c r="AV25" s="65">
        <f t="shared" si="72"/>
        <v>300.00000000001137</v>
      </c>
      <c r="AW25" s="58">
        <v>362.77</v>
      </c>
      <c r="AX25" s="65">
        <f t="shared" si="73"/>
        <v>180.00000000000682</v>
      </c>
      <c r="AY25" s="58">
        <v>397.51</v>
      </c>
      <c r="AZ25" s="65">
        <f t="shared" si="74"/>
        <v>269.99999999998181</v>
      </c>
      <c r="BA25" s="58">
        <v>417.25</v>
      </c>
      <c r="BB25" s="65">
        <f t="shared" si="75"/>
        <v>180.00000000000682</v>
      </c>
      <c r="BC25" s="58">
        <v>266.54000000000002</v>
      </c>
      <c r="BD25" s="65">
        <f t="shared" si="76"/>
        <v>160.00000000002501</v>
      </c>
      <c r="BE25" s="59">
        <v>49244</v>
      </c>
      <c r="BF25" s="67">
        <f t="shared" si="77"/>
        <v>30</v>
      </c>
      <c r="BG25" s="60">
        <v>245.57</v>
      </c>
      <c r="BH25" s="65">
        <f t="shared" si="78"/>
        <v>49.999999999982947</v>
      </c>
      <c r="BI25" s="60">
        <v>300.95</v>
      </c>
      <c r="BJ25" s="65">
        <f t="shared" si="79"/>
        <v>39.99999999996362</v>
      </c>
      <c r="BK25" s="60">
        <v>248.3</v>
      </c>
      <c r="BL25" s="65">
        <f t="shared" si="80"/>
        <v>60.000000000002274</v>
      </c>
      <c r="BM25" s="60">
        <v>235.22</v>
      </c>
      <c r="BN25" s="65">
        <f t="shared" si="81"/>
        <v>50.000000000011369</v>
      </c>
      <c r="BO25" s="60">
        <v>301.79000000000002</v>
      </c>
      <c r="BP25" s="65">
        <f t="shared" si="82"/>
        <v>69.999999999993179</v>
      </c>
      <c r="BQ25" s="60">
        <v>53738</v>
      </c>
      <c r="BR25" s="65">
        <f t="shared" si="83"/>
        <v>42</v>
      </c>
      <c r="BS25" s="60">
        <v>212.38</v>
      </c>
      <c r="BT25" s="65">
        <f t="shared" si="84"/>
        <v>60.000000000002274</v>
      </c>
      <c r="BU25" s="60">
        <v>51072</v>
      </c>
      <c r="BV25" s="65">
        <f t="shared" si="85"/>
        <v>48</v>
      </c>
      <c r="BW25" s="60">
        <v>240.49</v>
      </c>
      <c r="BX25" s="65">
        <f t="shared" si="86"/>
        <v>60.000000000002274</v>
      </c>
      <c r="BY25" s="60">
        <v>70786</v>
      </c>
      <c r="BZ25" s="67">
        <f t="shared" si="87"/>
        <v>48</v>
      </c>
      <c r="CA25" s="60">
        <v>44789</v>
      </c>
      <c r="CB25" s="67">
        <f t="shared" si="88"/>
        <v>42.69999999999709</v>
      </c>
      <c r="CC25" s="60">
        <v>14800.8</v>
      </c>
      <c r="CD25" s="67">
        <f t="shared" si="89"/>
        <v>14.099999999998545</v>
      </c>
      <c r="CE25" s="60">
        <v>7809.9</v>
      </c>
      <c r="CF25" s="67">
        <f t="shared" si="90"/>
        <v>4.7999999999992724</v>
      </c>
      <c r="CG25" s="60">
        <v>71353.7</v>
      </c>
      <c r="CH25" s="67">
        <f t="shared" si="91"/>
        <v>39.80000000000291</v>
      </c>
      <c r="CI25" s="60">
        <v>1026396</v>
      </c>
      <c r="CJ25" s="67">
        <f t="shared" si="92"/>
        <v>308</v>
      </c>
      <c r="CK25" s="60">
        <v>938.56</v>
      </c>
      <c r="CL25" s="64">
        <f t="shared" si="93"/>
        <v>819.99999999993634</v>
      </c>
      <c r="CM25" s="65">
        <f t="shared" si="94"/>
        <v>116.29999999999927</v>
      </c>
      <c r="CN25" s="62">
        <v>35</v>
      </c>
      <c r="CO25" s="62">
        <v>80</v>
      </c>
      <c r="CP25" s="68">
        <v>25060</v>
      </c>
      <c r="CQ25" s="67">
        <f t="shared" si="95"/>
        <v>93</v>
      </c>
      <c r="CR25" s="68">
        <v>20049.3</v>
      </c>
      <c r="CS25" s="67">
        <f t="shared" si="96"/>
        <v>23.299999999999272</v>
      </c>
      <c r="CT25" s="75">
        <v>9229</v>
      </c>
      <c r="CU25" s="67">
        <f t="shared" si="97"/>
        <v>10</v>
      </c>
      <c r="CV25" s="68">
        <v>22907</v>
      </c>
      <c r="CW25" s="67">
        <f t="shared" si="98"/>
        <v>23</v>
      </c>
      <c r="CX25" s="58">
        <v>2250.6999999999998</v>
      </c>
      <c r="CY25" s="67">
        <f t="shared" si="99"/>
        <v>13.699999999999818</v>
      </c>
    </row>
    <row r="26" spans="1:103" ht="25.5" customHeight="1" thickBot="1" x14ac:dyDescent="0.45">
      <c r="A26" s="63">
        <v>44643</v>
      </c>
      <c r="B26" s="44"/>
      <c r="C26" s="58">
        <v>3.0078999999999998</v>
      </c>
      <c r="D26" s="64">
        <f t="shared" si="50"/>
        <v>3399.9999999996257</v>
      </c>
      <c r="E26" s="58">
        <v>4.0971000000000002</v>
      </c>
      <c r="F26" s="64">
        <f t="shared" si="51"/>
        <v>3899.9999999997926</v>
      </c>
      <c r="G26" s="58">
        <v>4.0674999999999999</v>
      </c>
      <c r="H26" s="64">
        <f t="shared" si="52"/>
        <v>3499.9999999998367</v>
      </c>
      <c r="I26" s="58">
        <v>2.0373999999999999</v>
      </c>
      <c r="J26" s="64">
        <f t="shared" si="53"/>
        <v>2099.9999999999909</v>
      </c>
      <c r="K26" s="58">
        <v>3.2006999999999999</v>
      </c>
      <c r="L26" s="64">
        <f t="shared" si="54"/>
        <v>2499.9999999999468</v>
      </c>
      <c r="M26" s="58">
        <v>1.8065</v>
      </c>
      <c r="N26" s="64">
        <f t="shared" si="55"/>
        <v>2399.9999999999577</v>
      </c>
      <c r="O26" s="58">
        <v>18663</v>
      </c>
      <c r="P26" s="67">
        <f t="shared" si="56"/>
        <v>47</v>
      </c>
      <c r="Q26" s="58">
        <v>2199</v>
      </c>
      <c r="R26" s="67">
        <f t="shared" si="57"/>
        <v>8</v>
      </c>
      <c r="S26" s="58">
        <v>1266.4000000000001</v>
      </c>
      <c r="T26" s="67">
        <f t="shared" si="58"/>
        <v>1.3000000000001819</v>
      </c>
      <c r="U26" s="58">
        <v>520223.9</v>
      </c>
      <c r="V26" s="67">
        <f t="shared" si="59"/>
        <v>525.90000000002328</v>
      </c>
      <c r="W26" s="58">
        <v>485.9</v>
      </c>
      <c r="X26" s="65">
        <f t="shared" si="60"/>
        <v>449.99999999998863</v>
      </c>
      <c r="Y26" s="58">
        <v>3.5996000000000001</v>
      </c>
      <c r="Z26" s="65">
        <f t="shared" si="61"/>
        <v>3500.0000000002806</v>
      </c>
      <c r="AA26" s="58">
        <v>488.25</v>
      </c>
      <c r="AB26" s="65">
        <f t="shared" si="62"/>
        <v>519.99999999998181</v>
      </c>
      <c r="AC26" s="58">
        <v>475.32</v>
      </c>
      <c r="AD26" s="65">
        <f t="shared" si="63"/>
        <v>550.00000000001137</v>
      </c>
      <c r="AE26" s="58">
        <v>690.44</v>
      </c>
      <c r="AF26" s="65">
        <f t="shared" si="64"/>
        <v>1250</v>
      </c>
      <c r="AG26" s="58">
        <v>14743</v>
      </c>
      <c r="AH26" s="67">
        <f t="shared" si="65"/>
        <v>45</v>
      </c>
      <c r="AI26" s="58">
        <v>800.74</v>
      </c>
      <c r="AJ26" s="65">
        <f t="shared" si="66"/>
        <v>889.99999999998636</v>
      </c>
      <c r="AK26" s="58">
        <v>268.10000000000002</v>
      </c>
      <c r="AL26" s="65">
        <f t="shared" si="67"/>
        <v>360.00000000001364</v>
      </c>
      <c r="AM26" s="58">
        <v>250.97</v>
      </c>
      <c r="AN26" s="65">
        <f t="shared" si="68"/>
        <v>259.99999999999091</v>
      </c>
      <c r="AO26" s="58">
        <v>242.13</v>
      </c>
      <c r="AP26" s="65">
        <f t="shared" si="69"/>
        <v>219.99999999999886</v>
      </c>
      <c r="AQ26" s="58">
        <v>299.19</v>
      </c>
      <c r="AR26" s="65">
        <f t="shared" si="70"/>
        <v>180.00000000000682</v>
      </c>
      <c r="AS26" s="58">
        <v>425.07</v>
      </c>
      <c r="AT26" s="65">
        <f t="shared" si="71"/>
        <v>180.00000000000682</v>
      </c>
      <c r="AU26" s="58">
        <v>331.19</v>
      </c>
      <c r="AV26" s="65">
        <f t="shared" si="72"/>
        <v>329.99999999998408</v>
      </c>
      <c r="AW26" s="58">
        <v>362.98</v>
      </c>
      <c r="AX26" s="65">
        <f t="shared" si="73"/>
        <v>210.00000000003638</v>
      </c>
      <c r="AY26" s="58">
        <v>397.67</v>
      </c>
      <c r="AZ26" s="65">
        <f t="shared" si="74"/>
        <v>160.00000000002501</v>
      </c>
      <c r="BA26" s="58">
        <v>417.44</v>
      </c>
      <c r="BB26" s="65">
        <f t="shared" si="75"/>
        <v>189.99999999999773</v>
      </c>
      <c r="BC26" s="58">
        <v>266.67</v>
      </c>
      <c r="BD26" s="65">
        <f t="shared" si="76"/>
        <v>129.99999999999545</v>
      </c>
      <c r="BE26" s="59">
        <v>49275</v>
      </c>
      <c r="BF26" s="67">
        <f t="shared" si="77"/>
        <v>31</v>
      </c>
      <c r="BG26" s="60">
        <v>245.62</v>
      </c>
      <c r="BH26" s="65">
        <f t="shared" si="78"/>
        <v>50.000000000011369</v>
      </c>
      <c r="BI26" s="60">
        <v>300.98</v>
      </c>
      <c r="BJ26" s="65">
        <f t="shared" si="79"/>
        <v>30.000000000029559</v>
      </c>
      <c r="BK26" s="60">
        <v>248.35</v>
      </c>
      <c r="BL26" s="65">
        <f t="shared" si="80"/>
        <v>49.999999999982947</v>
      </c>
      <c r="BM26" s="60">
        <v>235.28</v>
      </c>
      <c r="BN26" s="65">
        <f t="shared" si="81"/>
        <v>60.000000000002274</v>
      </c>
      <c r="BO26" s="60">
        <v>301.86</v>
      </c>
      <c r="BP26" s="65">
        <f t="shared" si="82"/>
        <v>69.999999999993179</v>
      </c>
      <c r="BQ26" s="60">
        <v>53782</v>
      </c>
      <c r="BR26" s="65">
        <f t="shared" si="83"/>
        <v>44</v>
      </c>
      <c r="BS26" s="60">
        <v>212.44</v>
      </c>
      <c r="BT26" s="65">
        <f t="shared" si="84"/>
        <v>60.000000000002274</v>
      </c>
      <c r="BU26" s="60">
        <v>51129</v>
      </c>
      <c r="BV26" s="65">
        <f t="shared" si="85"/>
        <v>57</v>
      </c>
      <c r="BW26" s="60">
        <v>240.55</v>
      </c>
      <c r="BX26" s="65">
        <f t="shared" si="86"/>
        <v>60.000000000002274</v>
      </c>
      <c r="BY26" s="60">
        <v>70843</v>
      </c>
      <c r="BZ26" s="67">
        <f t="shared" si="87"/>
        <v>57</v>
      </c>
      <c r="CA26" s="60">
        <v>44829.8</v>
      </c>
      <c r="CB26" s="67">
        <f t="shared" si="88"/>
        <v>40.80000000000291</v>
      </c>
      <c r="CC26" s="60">
        <v>14814.2</v>
      </c>
      <c r="CD26" s="67">
        <f t="shared" si="89"/>
        <v>13.400000000001455</v>
      </c>
      <c r="CE26" s="60">
        <v>7811.2</v>
      </c>
      <c r="CF26" s="67">
        <f t="shared" si="90"/>
        <v>1.3000000000001819</v>
      </c>
      <c r="CG26" s="60">
        <v>71401</v>
      </c>
      <c r="CH26" s="67">
        <f t="shared" si="91"/>
        <v>47.30000000000291</v>
      </c>
      <c r="CI26" s="60">
        <v>1026727</v>
      </c>
      <c r="CJ26" s="67">
        <f t="shared" si="92"/>
        <v>331</v>
      </c>
      <c r="CK26" s="60">
        <v>939.48</v>
      </c>
      <c r="CL26" s="64">
        <f t="shared" si="93"/>
        <v>920.00000000007276</v>
      </c>
      <c r="CM26" s="65">
        <f t="shared" si="94"/>
        <v>120.79999999999927</v>
      </c>
      <c r="CN26" s="62">
        <v>31</v>
      </c>
      <c r="CO26" s="62">
        <v>73</v>
      </c>
      <c r="CP26" s="68">
        <v>25155</v>
      </c>
      <c r="CQ26" s="67">
        <f t="shared" si="95"/>
        <v>95</v>
      </c>
      <c r="CR26" s="68">
        <v>20075.099999999999</v>
      </c>
      <c r="CS26" s="67">
        <f t="shared" si="96"/>
        <v>25.799999999999272</v>
      </c>
      <c r="CT26" s="75">
        <v>9239</v>
      </c>
      <c r="CU26" s="67">
        <f t="shared" si="97"/>
        <v>10</v>
      </c>
      <c r="CV26" s="68">
        <v>22934</v>
      </c>
      <c r="CW26" s="67">
        <f t="shared" si="98"/>
        <v>27</v>
      </c>
      <c r="CX26" s="58">
        <v>2264.5</v>
      </c>
      <c r="CY26" s="67">
        <f t="shared" si="99"/>
        <v>13.800000000000182</v>
      </c>
    </row>
    <row r="27" spans="1:103" ht="25.5" customHeight="1" thickBot="1" x14ac:dyDescent="0.45">
      <c r="A27" s="63">
        <v>44644</v>
      </c>
      <c r="B27" s="44"/>
      <c r="C27" s="58">
        <v>3.0114000000000001</v>
      </c>
      <c r="D27" s="64">
        <f t="shared" si="50"/>
        <v>3500.0000000002806</v>
      </c>
      <c r="E27" s="58">
        <v>4.1009000000000002</v>
      </c>
      <c r="F27" s="64">
        <f t="shared" si="51"/>
        <v>3800.0000000000255</v>
      </c>
      <c r="G27" s="58">
        <v>4.0704000000000002</v>
      </c>
      <c r="H27" s="64">
        <f t="shared" si="52"/>
        <v>2900.0000000003465</v>
      </c>
      <c r="I27" s="58">
        <v>2.0394000000000001</v>
      </c>
      <c r="J27" s="64">
        <f t="shared" si="53"/>
        <v>2000.0000000002237</v>
      </c>
      <c r="K27" s="58">
        <v>3.2029999999999998</v>
      </c>
      <c r="L27" s="64">
        <f t="shared" si="54"/>
        <v>2299.9999999999686</v>
      </c>
      <c r="M27" s="58">
        <v>1.8088</v>
      </c>
      <c r="N27" s="64">
        <f t="shared" si="55"/>
        <v>2299.9999999999686</v>
      </c>
      <c r="O27" s="58">
        <v>18698</v>
      </c>
      <c r="P27" s="67">
        <f t="shared" si="56"/>
        <v>35</v>
      </c>
      <c r="Q27" s="58">
        <v>2206</v>
      </c>
      <c r="R27" s="67">
        <f t="shared" si="57"/>
        <v>7</v>
      </c>
      <c r="S27" s="58">
        <v>1267.9000000000001</v>
      </c>
      <c r="T27" s="67">
        <f t="shared" si="58"/>
        <v>1.5</v>
      </c>
      <c r="U27" s="58">
        <v>520778.8</v>
      </c>
      <c r="V27" s="67">
        <f t="shared" si="59"/>
        <v>554.89999999996508</v>
      </c>
      <c r="W27" s="58">
        <v>486.4</v>
      </c>
      <c r="X27" s="65">
        <f t="shared" si="60"/>
        <v>500</v>
      </c>
      <c r="Y27" s="58">
        <v>3.6032000000000002</v>
      </c>
      <c r="Z27" s="65">
        <f t="shared" si="61"/>
        <v>3600.0000000000477</v>
      </c>
      <c r="AA27" s="58">
        <v>488.71</v>
      </c>
      <c r="AB27" s="65">
        <f t="shared" si="62"/>
        <v>459.99999999997954</v>
      </c>
      <c r="AC27" s="58">
        <v>475.97</v>
      </c>
      <c r="AD27" s="65">
        <f t="shared" si="63"/>
        <v>650.00000000003411</v>
      </c>
      <c r="AE27" s="58">
        <v>691.62</v>
      </c>
      <c r="AF27" s="65">
        <f t="shared" si="64"/>
        <v>1179.99999999995</v>
      </c>
      <c r="AG27" s="58">
        <v>14787</v>
      </c>
      <c r="AH27" s="67">
        <f t="shared" si="65"/>
        <v>44</v>
      </c>
      <c r="AI27" s="58">
        <v>801.76</v>
      </c>
      <c r="AJ27" s="65">
        <f t="shared" si="66"/>
        <v>1019.9999999999818</v>
      </c>
      <c r="AK27" s="58">
        <v>268.5</v>
      </c>
      <c r="AL27" s="65">
        <f t="shared" si="67"/>
        <v>399.99999999997726</v>
      </c>
      <c r="AM27" s="58">
        <v>251.28</v>
      </c>
      <c r="AN27" s="65">
        <f t="shared" si="68"/>
        <v>310.00000000000227</v>
      </c>
      <c r="AO27" s="58">
        <v>242.36</v>
      </c>
      <c r="AP27" s="65">
        <f t="shared" si="69"/>
        <v>230.00000000001819</v>
      </c>
      <c r="AQ27" s="58">
        <v>299.48</v>
      </c>
      <c r="AR27" s="65">
        <f t="shared" si="70"/>
        <v>290.00000000002046</v>
      </c>
      <c r="AS27" s="58">
        <v>425.29</v>
      </c>
      <c r="AT27" s="65">
        <f t="shared" si="71"/>
        <v>220.00000000002728</v>
      </c>
      <c r="AU27" s="58">
        <v>331.55</v>
      </c>
      <c r="AV27" s="65">
        <f t="shared" si="72"/>
        <v>360.00000000001364</v>
      </c>
      <c r="AW27" s="58">
        <v>363.2</v>
      </c>
      <c r="AX27" s="65">
        <f t="shared" si="73"/>
        <v>219.99999999997044</v>
      </c>
      <c r="AY27" s="58">
        <v>397.84</v>
      </c>
      <c r="AZ27" s="65">
        <f t="shared" si="74"/>
        <v>169.99999999995907</v>
      </c>
      <c r="BA27" s="58">
        <v>417.64</v>
      </c>
      <c r="BB27" s="65">
        <f t="shared" si="75"/>
        <v>199.99999999998863</v>
      </c>
      <c r="BC27" s="58">
        <v>266.79000000000002</v>
      </c>
      <c r="BD27" s="65">
        <f t="shared" si="76"/>
        <v>120.00000000000455</v>
      </c>
      <c r="BE27" s="59">
        <v>49315</v>
      </c>
      <c r="BF27" s="67">
        <f t="shared" si="77"/>
        <v>40</v>
      </c>
      <c r="BG27" s="60">
        <v>245.67</v>
      </c>
      <c r="BH27" s="65">
        <f t="shared" si="78"/>
        <v>49.999999999982947</v>
      </c>
      <c r="BI27" s="60">
        <v>301.02</v>
      </c>
      <c r="BJ27" s="65">
        <f t="shared" si="79"/>
        <v>39.99999999996362</v>
      </c>
      <c r="BK27" s="60">
        <v>248.41</v>
      </c>
      <c r="BL27" s="65">
        <f t="shared" si="80"/>
        <v>60.000000000002274</v>
      </c>
      <c r="BM27" s="60">
        <v>235.33</v>
      </c>
      <c r="BN27" s="65">
        <f t="shared" si="81"/>
        <v>50.000000000011369</v>
      </c>
      <c r="BO27" s="60">
        <v>301.94</v>
      </c>
      <c r="BP27" s="65">
        <f t="shared" si="82"/>
        <v>79.999999999984084</v>
      </c>
      <c r="BQ27" s="60">
        <v>53826</v>
      </c>
      <c r="BR27" s="65">
        <f t="shared" si="83"/>
        <v>44</v>
      </c>
      <c r="BS27" s="60">
        <v>212.49</v>
      </c>
      <c r="BT27" s="65">
        <f t="shared" si="84"/>
        <v>50.000000000011369</v>
      </c>
      <c r="BU27" s="60">
        <v>51183</v>
      </c>
      <c r="BV27" s="65">
        <f t="shared" si="85"/>
        <v>54</v>
      </c>
      <c r="BW27" s="60">
        <v>240.61</v>
      </c>
      <c r="BX27" s="65">
        <f t="shared" si="86"/>
        <v>60.000000000002274</v>
      </c>
      <c r="BY27" s="60">
        <v>70899</v>
      </c>
      <c r="BZ27" s="67">
        <f t="shared" si="87"/>
        <v>56</v>
      </c>
      <c r="CA27" s="60">
        <v>44869.1</v>
      </c>
      <c r="CB27" s="67">
        <f t="shared" si="88"/>
        <v>39.299999999995634</v>
      </c>
      <c r="CC27" s="60">
        <v>14828.2</v>
      </c>
      <c r="CD27" s="67">
        <f t="shared" si="89"/>
        <v>14</v>
      </c>
      <c r="CE27" s="60">
        <v>7817</v>
      </c>
      <c r="CF27" s="67">
        <f t="shared" si="90"/>
        <v>5.8000000000001819</v>
      </c>
      <c r="CG27" s="60">
        <v>71441.8</v>
      </c>
      <c r="CH27" s="67">
        <f t="shared" si="91"/>
        <v>40.80000000000291</v>
      </c>
      <c r="CI27" s="60">
        <v>1027119</v>
      </c>
      <c r="CJ27" s="67">
        <f t="shared" si="92"/>
        <v>392</v>
      </c>
      <c r="CK27" s="60">
        <v>940.3</v>
      </c>
      <c r="CL27" s="64">
        <f t="shared" si="93"/>
        <v>819.99999999993634</v>
      </c>
      <c r="CM27" s="65">
        <f t="shared" si="94"/>
        <v>102.90000000000146</v>
      </c>
      <c r="CN27" s="62">
        <v>33</v>
      </c>
      <c r="CO27" s="62">
        <v>71</v>
      </c>
      <c r="CP27" s="68">
        <v>25231</v>
      </c>
      <c r="CQ27" s="67">
        <f t="shared" si="95"/>
        <v>76</v>
      </c>
      <c r="CR27" s="68">
        <v>20102</v>
      </c>
      <c r="CS27" s="67">
        <f t="shared" si="96"/>
        <v>26.900000000001455</v>
      </c>
      <c r="CT27" s="75">
        <v>9249</v>
      </c>
      <c r="CU27" s="67">
        <f t="shared" si="97"/>
        <v>10</v>
      </c>
      <c r="CV27" s="68">
        <v>22973</v>
      </c>
      <c r="CW27" s="67">
        <f t="shared" si="98"/>
        <v>39</v>
      </c>
      <c r="CX27" s="58">
        <v>2278</v>
      </c>
      <c r="CY27" s="67">
        <f t="shared" si="99"/>
        <v>13.5</v>
      </c>
    </row>
    <row r="28" spans="1:103" ht="25.5" customHeight="1" thickBot="1" x14ac:dyDescent="0.45">
      <c r="A28" s="63">
        <v>44645</v>
      </c>
      <c r="B28" s="44"/>
      <c r="C28" s="58">
        <v>3.0154999999999998</v>
      </c>
      <c r="D28" s="64">
        <f t="shared" si="50"/>
        <v>4099.9999999997708</v>
      </c>
      <c r="E28" s="58">
        <v>4.1047000000000002</v>
      </c>
      <c r="F28" s="64">
        <f t="shared" si="51"/>
        <v>3800.0000000000255</v>
      </c>
      <c r="G28" s="58">
        <v>4.0742000000000003</v>
      </c>
      <c r="H28" s="64">
        <f t="shared" si="52"/>
        <v>3800.0000000000255</v>
      </c>
      <c r="I28" s="58">
        <v>2.0415999999999999</v>
      </c>
      <c r="J28" s="64">
        <f t="shared" si="53"/>
        <v>2199.9999999997576</v>
      </c>
      <c r="K28" s="58">
        <v>3.2054999999999998</v>
      </c>
      <c r="L28" s="64">
        <f t="shared" si="54"/>
        <v>2499.9999999999468</v>
      </c>
      <c r="M28" s="58">
        <v>1.8110999999999999</v>
      </c>
      <c r="N28" s="64">
        <f t="shared" si="55"/>
        <v>2299.9999999999686</v>
      </c>
      <c r="O28" s="58"/>
      <c r="P28" s="67" t="str">
        <f t="shared" si="56"/>
        <v/>
      </c>
      <c r="Q28" s="58">
        <v>2214</v>
      </c>
      <c r="R28" s="67">
        <f t="shared" si="57"/>
        <v>8</v>
      </c>
      <c r="S28" s="58">
        <v>1269.4000000000001</v>
      </c>
      <c r="T28" s="67">
        <f t="shared" si="58"/>
        <v>1.5</v>
      </c>
      <c r="U28" s="58">
        <v>521404.3</v>
      </c>
      <c r="V28" s="67">
        <f t="shared" si="59"/>
        <v>625.5</v>
      </c>
      <c r="W28" s="58">
        <v>486.89</v>
      </c>
      <c r="X28" s="65">
        <f t="shared" si="60"/>
        <v>490.00000000000909</v>
      </c>
      <c r="Y28" s="58">
        <v>3.6065999999999998</v>
      </c>
      <c r="Z28" s="65">
        <f t="shared" si="61"/>
        <v>3399.9999999996257</v>
      </c>
      <c r="AA28" s="58">
        <v>489.21</v>
      </c>
      <c r="AB28" s="65">
        <f t="shared" si="62"/>
        <v>500</v>
      </c>
      <c r="AC28" s="58">
        <v>476.59</v>
      </c>
      <c r="AD28" s="65">
        <f t="shared" si="63"/>
        <v>619.9999999999477</v>
      </c>
      <c r="AE28" s="58">
        <v>692.69</v>
      </c>
      <c r="AF28" s="65">
        <f t="shared" si="64"/>
        <v>1070.00000000005</v>
      </c>
      <c r="AG28" s="58">
        <v>14828</v>
      </c>
      <c r="AH28" s="67">
        <f t="shared" si="65"/>
        <v>41</v>
      </c>
      <c r="AI28" s="58">
        <v>802.79</v>
      </c>
      <c r="AJ28" s="65">
        <f t="shared" si="66"/>
        <v>1029.9999999999727</v>
      </c>
      <c r="AK28" s="58">
        <v>268.83</v>
      </c>
      <c r="AL28" s="65">
        <f t="shared" si="67"/>
        <v>329.99999999998408</v>
      </c>
      <c r="AM28" s="58">
        <v>251.56</v>
      </c>
      <c r="AN28" s="65">
        <f t="shared" si="68"/>
        <v>280.00000000000114</v>
      </c>
      <c r="AO28" s="58">
        <v>242.59</v>
      </c>
      <c r="AP28" s="65">
        <f t="shared" si="69"/>
        <v>229.99999999998977</v>
      </c>
      <c r="AQ28" s="58">
        <v>299.86</v>
      </c>
      <c r="AR28" s="65">
        <f t="shared" si="70"/>
        <v>379.99999999999545</v>
      </c>
      <c r="AS28" s="58">
        <v>425.5</v>
      </c>
      <c r="AT28" s="65">
        <f t="shared" si="71"/>
        <v>209.99999999997954</v>
      </c>
      <c r="AU28" s="58">
        <v>331.88</v>
      </c>
      <c r="AV28" s="65">
        <f t="shared" si="72"/>
        <v>329.99999999998408</v>
      </c>
      <c r="AW28" s="58">
        <v>363.44</v>
      </c>
      <c r="AX28" s="65">
        <f t="shared" si="73"/>
        <v>240.00000000000909</v>
      </c>
      <c r="AY28" s="58">
        <v>397.99</v>
      </c>
      <c r="AZ28" s="65">
        <f t="shared" si="74"/>
        <v>150.00000000003411</v>
      </c>
      <c r="BA28" s="58">
        <v>417.84</v>
      </c>
      <c r="BB28" s="65">
        <f t="shared" si="75"/>
        <v>199.99999999998863</v>
      </c>
      <c r="BC28" s="58">
        <v>266.95999999999998</v>
      </c>
      <c r="BD28" s="65">
        <f t="shared" si="76"/>
        <v>169.99999999995907</v>
      </c>
      <c r="BE28" s="59">
        <v>49348</v>
      </c>
      <c r="BF28" s="67">
        <f t="shared" si="77"/>
        <v>33</v>
      </c>
      <c r="BG28" s="60">
        <v>245.72</v>
      </c>
      <c r="BH28" s="65">
        <f t="shared" si="78"/>
        <v>50.000000000011369</v>
      </c>
      <c r="BI28" s="60">
        <v>301.06</v>
      </c>
      <c r="BJ28" s="65">
        <f t="shared" si="79"/>
        <v>40.000000000020464</v>
      </c>
      <c r="BK28" s="60">
        <v>248.48</v>
      </c>
      <c r="BL28" s="65">
        <f t="shared" si="80"/>
        <v>69.999999999993179</v>
      </c>
      <c r="BM28" s="60">
        <v>235.37</v>
      </c>
      <c r="BN28" s="65">
        <f t="shared" si="81"/>
        <v>39.999999999992042</v>
      </c>
      <c r="BO28" s="60">
        <v>302.02</v>
      </c>
      <c r="BP28" s="65">
        <f t="shared" si="82"/>
        <v>79.999999999984084</v>
      </c>
      <c r="BQ28" s="60">
        <v>53871</v>
      </c>
      <c r="BR28" s="65">
        <f t="shared" si="83"/>
        <v>45</v>
      </c>
      <c r="BS28" s="60">
        <v>212.56</v>
      </c>
      <c r="BT28" s="65">
        <f t="shared" si="84"/>
        <v>69.999999999993179</v>
      </c>
      <c r="BU28" s="60">
        <v>51244</v>
      </c>
      <c r="BV28" s="65">
        <f t="shared" si="85"/>
        <v>61</v>
      </c>
      <c r="BW28" s="60">
        <v>240.67</v>
      </c>
      <c r="BX28" s="65">
        <f t="shared" si="86"/>
        <v>59.999999999973852</v>
      </c>
      <c r="BY28" s="60">
        <v>70965</v>
      </c>
      <c r="BZ28" s="67">
        <f t="shared" si="87"/>
        <v>66</v>
      </c>
      <c r="CA28" s="60">
        <v>44926.2</v>
      </c>
      <c r="CB28" s="67">
        <f t="shared" si="88"/>
        <v>57.099999999998545</v>
      </c>
      <c r="CC28" s="60">
        <v>14840.2</v>
      </c>
      <c r="CD28" s="67">
        <f t="shared" si="89"/>
        <v>12</v>
      </c>
      <c r="CE28" s="60"/>
      <c r="CF28" s="67" t="str">
        <f t="shared" si="90"/>
        <v/>
      </c>
      <c r="CG28" s="60">
        <v>71486.600000000006</v>
      </c>
      <c r="CH28" s="67">
        <f t="shared" si="91"/>
        <v>44.80000000000291</v>
      </c>
      <c r="CI28" s="60">
        <v>1027499</v>
      </c>
      <c r="CJ28" s="67">
        <f t="shared" si="92"/>
        <v>380</v>
      </c>
      <c r="CK28" s="60">
        <v>941.17</v>
      </c>
      <c r="CL28" s="64">
        <f t="shared" si="93"/>
        <v>870.00000000000455</v>
      </c>
      <c r="CM28" s="65">
        <f t="shared" si="94"/>
        <v>113</v>
      </c>
      <c r="CN28" s="62">
        <v>34</v>
      </c>
      <c r="CO28" s="62">
        <v>77</v>
      </c>
      <c r="CP28" s="68">
        <v>25325</v>
      </c>
      <c r="CQ28" s="67">
        <f t="shared" si="95"/>
        <v>94</v>
      </c>
      <c r="CR28" s="68">
        <v>20121</v>
      </c>
      <c r="CS28" s="67">
        <f t="shared" si="96"/>
        <v>19</v>
      </c>
      <c r="CT28" s="75">
        <v>9259</v>
      </c>
      <c r="CU28" s="67">
        <f t="shared" si="97"/>
        <v>10</v>
      </c>
      <c r="CV28" s="68">
        <v>23000</v>
      </c>
      <c r="CW28" s="67">
        <f t="shared" si="98"/>
        <v>27</v>
      </c>
      <c r="CX28" s="58">
        <v>2293</v>
      </c>
      <c r="CY28" s="67">
        <f t="shared" si="99"/>
        <v>15</v>
      </c>
    </row>
    <row r="29" spans="1:103" ht="25.5" customHeight="1" thickBot="1" x14ac:dyDescent="0.45">
      <c r="A29" s="63">
        <v>44646</v>
      </c>
      <c r="B29" s="44"/>
      <c r="C29" s="58"/>
      <c r="D29" s="64" t="str">
        <f t="shared" si="50"/>
        <v>0</v>
      </c>
      <c r="E29" s="58"/>
      <c r="F29" s="64" t="str">
        <f t="shared" si="51"/>
        <v>0</v>
      </c>
      <c r="G29" s="58"/>
      <c r="H29" s="64" t="str">
        <f t="shared" si="52"/>
        <v>0</v>
      </c>
      <c r="I29" s="58"/>
      <c r="J29" s="64" t="str">
        <f t="shared" si="53"/>
        <v>0</v>
      </c>
      <c r="K29" s="58"/>
      <c r="L29" s="64" t="str">
        <f t="shared" si="54"/>
        <v>0</v>
      </c>
      <c r="M29" s="58"/>
      <c r="N29" s="64" t="str">
        <f t="shared" si="55"/>
        <v/>
      </c>
      <c r="O29" s="58"/>
      <c r="P29" s="67">
        <f t="shared" si="56"/>
        <v>0</v>
      </c>
      <c r="Q29" s="58"/>
      <c r="R29" s="67" t="str">
        <f t="shared" si="57"/>
        <v/>
      </c>
      <c r="S29" s="58"/>
      <c r="T29" s="67" t="str">
        <f t="shared" si="58"/>
        <v/>
      </c>
      <c r="U29" s="58"/>
      <c r="V29" s="67" t="str">
        <f t="shared" si="59"/>
        <v/>
      </c>
      <c r="W29" s="58"/>
      <c r="X29" s="65" t="str">
        <f t="shared" si="60"/>
        <v/>
      </c>
      <c r="Y29" s="58"/>
      <c r="Z29" s="65" t="str">
        <f t="shared" si="61"/>
        <v/>
      </c>
      <c r="AA29" s="58"/>
      <c r="AB29" s="65" t="str">
        <f t="shared" si="62"/>
        <v/>
      </c>
      <c r="AC29" s="58"/>
      <c r="AD29" s="65" t="str">
        <f t="shared" si="63"/>
        <v/>
      </c>
      <c r="AE29" s="58"/>
      <c r="AF29" s="65" t="str">
        <f t="shared" si="64"/>
        <v/>
      </c>
      <c r="AG29" s="58"/>
      <c r="AH29" s="67" t="str">
        <f t="shared" si="65"/>
        <v/>
      </c>
      <c r="AI29" s="58"/>
      <c r="AJ29" s="65" t="str">
        <f t="shared" si="66"/>
        <v/>
      </c>
      <c r="AK29" s="58"/>
      <c r="AL29" s="65" t="str">
        <f t="shared" si="67"/>
        <v/>
      </c>
      <c r="AM29" s="58"/>
      <c r="AN29" s="65" t="str">
        <f t="shared" si="68"/>
        <v/>
      </c>
      <c r="AO29" s="58"/>
      <c r="AP29" s="65" t="str">
        <f t="shared" si="69"/>
        <v/>
      </c>
      <c r="AQ29" s="58"/>
      <c r="AR29" s="65" t="str">
        <f t="shared" si="70"/>
        <v/>
      </c>
      <c r="AS29" s="58"/>
      <c r="AT29" s="65" t="str">
        <f t="shared" si="71"/>
        <v/>
      </c>
      <c r="AU29" s="58"/>
      <c r="AV29" s="65" t="str">
        <f t="shared" si="72"/>
        <v/>
      </c>
      <c r="AW29" s="58"/>
      <c r="AX29" s="65" t="str">
        <f t="shared" si="73"/>
        <v/>
      </c>
      <c r="AY29" s="58"/>
      <c r="AZ29" s="65" t="str">
        <f t="shared" si="74"/>
        <v/>
      </c>
      <c r="BA29" s="58"/>
      <c r="BB29" s="65" t="str">
        <f t="shared" si="75"/>
        <v/>
      </c>
      <c r="BC29" s="58"/>
      <c r="BD29" s="65" t="str">
        <f t="shared" si="76"/>
        <v/>
      </c>
      <c r="BE29" s="59"/>
      <c r="BF29" s="67" t="str">
        <f t="shared" si="77"/>
        <v/>
      </c>
      <c r="BG29" s="60"/>
      <c r="BH29" s="65" t="str">
        <f t="shared" si="78"/>
        <v/>
      </c>
      <c r="BI29" s="60"/>
      <c r="BJ29" s="65" t="str">
        <f t="shared" si="79"/>
        <v/>
      </c>
      <c r="BK29" s="60"/>
      <c r="BL29" s="65" t="str">
        <f t="shared" si="80"/>
        <v/>
      </c>
      <c r="BM29" s="60"/>
      <c r="BN29" s="65" t="str">
        <f t="shared" si="81"/>
        <v/>
      </c>
      <c r="BO29" s="60"/>
      <c r="BP29" s="65" t="str">
        <f t="shared" si="82"/>
        <v/>
      </c>
      <c r="BQ29" s="60"/>
      <c r="BR29" s="65" t="str">
        <f t="shared" si="83"/>
        <v/>
      </c>
      <c r="BS29" s="60"/>
      <c r="BT29" s="65" t="str">
        <f t="shared" si="84"/>
        <v/>
      </c>
      <c r="BU29" s="60"/>
      <c r="BV29" s="65" t="str">
        <f t="shared" si="85"/>
        <v/>
      </c>
      <c r="BW29" s="60"/>
      <c r="BX29" s="65" t="str">
        <f t="shared" si="86"/>
        <v/>
      </c>
      <c r="BY29" s="60"/>
      <c r="BZ29" s="67" t="str">
        <f t="shared" si="87"/>
        <v/>
      </c>
      <c r="CA29" s="60"/>
      <c r="CB29" s="67" t="str">
        <f t="shared" si="88"/>
        <v/>
      </c>
      <c r="CC29" s="60"/>
      <c r="CD29" s="67" t="str">
        <f t="shared" si="89"/>
        <v/>
      </c>
      <c r="CE29" s="60"/>
      <c r="CF29" s="67">
        <f t="shared" si="90"/>
        <v>0</v>
      </c>
      <c r="CG29" s="60"/>
      <c r="CH29" s="67" t="str">
        <f t="shared" si="91"/>
        <v/>
      </c>
      <c r="CI29" s="60"/>
      <c r="CJ29" s="67" t="str">
        <f t="shared" si="92"/>
        <v/>
      </c>
      <c r="CK29" s="60"/>
      <c r="CL29" s="64" t="str">
        <f t="shared" si="93"/>
        <v/>
      </c>
      <c r="CM29" s="65" t="e">
        <f t="shared" si="94"/>
        <v>#VALUE!</v>
      </c>
      <c r="CN29" s="62"/>
      <c r="CO29" s="62"/>
      <c r="CP29" s="68"/>
      <c r="CQ29" s="67" t="str">
        <f t="shared" si="95"/>
        <v/>
      </c>
      <c r="CR29" s="68"/>
      <c r="CS29" s="67" t="str">
        <f t="shared" si="96"/>
        <v/>
      </c>
      <c r="CT29" s="75"/>
      <c r="CU29" s="67" t="str">
        <f t="shared" si="97"/>
        <v/>
      </c>
      <c r="CV29" s="68"/>
      <c r="CW29" s="67" t="str">
        <f t="shared" si="98"/>
        <v/>
      </c>
      <c r="CX29" s="58"/>
      <c r="CY29" s="67" t="str">
        <f t="shared" si="99"/>
        <v/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G32" sqref="G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>
        <v>0</v>
      </c>
      <c r="C14" s="40">
        <v>31</v>
      </c>
      <c r="D14" s="40">
        <v>77</v>
      </c>
      <c r="E14" s="41">
        <v>85</v>
      </c>
      <c r="F14" s="41">
        <v>6635</v>
      </c>
      <c r="G14" s="41">
        <v>0</v>
      </c>
      <c r="H14" s="41">
        <v>2097</v>
      </c>
      <c r="I14" s="41">
        <v>35</v>
      </c>
      <c r="J14" s="41">
        <v>541</v>
      </c>
      <c r="K14" s="42">
        <v>85</v>
      </c>
      <c r="L14" s="42">
        <v>61</v>
      </c>
      <c r="M14" s="42">
        <v>1614</v>
      </c>
      <c r="N14" s="39">
        <v>85</v>
      </c>
      <c r="O14" s="39">
        <v>45</v>
      </c>
      <c r="P14" s="39">
        <v>83</v>
      </c>
      <c r="Q14" s="39">
        <v>4737</v>
      </c>
      <c r="R14" s="77">
        <v>81</v>
      </c>
      <c r="S14" s="77">
        <v>220</v>
      </c>
      <c r="T14">
        <f t="shared" si="1"/>
        <v>0</v>
      </c>
    </row>
    <row r="15" spans="1:20" x14ac:dyDescent="0.25">
      <c r="A15" s="73">
        <v>44628</v>
      </c>
      <c r="B15" s="40">
        <v>0</v>
      </c>
      <c r="C15" s="40">
        <v>31</v>
      </c>
      <c r="D15" s="40">
        <v>75</v>
      </c>
      <c r="E15" s="41">
        <v>85</v>
      </c>
      <c r="F15" s="41">
        <v>6640</v>
      </c>
      <c r="G15" s="41">
        <v>0</v>
      </c>
      <c r="H15" s="41">
        <v>2099</v>
      </c>
      <c r="I15" s="41">
        <v>24</v>
      </c>
      <c r="J15" s="41">
        <v>541</v>
      </c>
      <c r="K15" s="42">
        <v>85</v>
      </c>
      <c r="L15" s="42">
        <v>61</v>
      </c>
      <c r="M15" s="42">
        <v>1614</v>
      </c>
      <c r="N15" s="39">
        <v>85</v>
      </c>
      <c r="O15" s="39">
        <v>40</v>
      </c>
      <c r="P15" s="39">
        <v>83</v>
      </c>
      <c r="Q15" s="39">
        <v>4741</v>
      </c>
      <c r="R15" s="77">
        <v>81</v>
      </c>
      <c r="S15" s="77">
        <v>220</v>
      </c>
      <c r="T15">
        <f t="shared" si="1"/>
        <v>0</v>
      </c>
    </row>
    <row r="16" spans="1:20" x14ac:dyDescent="0.25">
      <c r="A16" s="73">
        <v>44629</v>
      </c>
      <c r="B16" s="40">
        <v>0</v>
      </c>
      <c r="C16" s="40">
        <v>31</v>
      </c>
      <c r="D16" s="40">
        <v>78</v>
      </c>
      <c r="E16" s="41">
        <v>85</v>
      </c>
      <c r="F16" s="41">
        <v>6646</v>
      </c>
      <c r="G16" s="41">
        <v>0</v>
      </c>
      <c r="H16" s="41">
        <v>2101</v>
      </c>
      <c r="I16" s="41">
        <v>16</v>
      </c>
      <c r="J16" s="41">
        <v>541</v>
      </c>
      <c r="K16" s="42">
        <v>85</v>
      </c>
      <c r="L16" s="42">
        <v>60</v>
      </c>
      <c r="M16" s="42">
        <v>1615</v>
      </c>
      <c r="N16" s="39">
        <v>85</v>
      </c>
      <c r="O16" s="39">
        <v>35</v>
      </c>
      <c r="P16" s="39">
        <v>83</v>
      </c>
      <c r="Q16" s="39">
        <v>4743</v>
      </c>
      <c r="R16" s="77">
        <v>81</v>
      </c>
      <c r="S16" s="77">
        <v>220</v>
      </c>
      <c r="T16">
        <f t="shared" si="1"/>
        <v>0</v>
      </c>
    </row>
    <row r="17" spans="1:20" x14ac:dyDescent="0.25">
      <c r="A17" s="73">
        <v>44630</v>
      </c>
      <c r="B17" s="40">
        <v>0</v>
      </c>
      <c r="C17" s="40">
        <v>33</v>
      </c>
      <c r="D17" s="40">
        <v>67</v>
      </c>
      <c r="E17" s="41">
        <v>85</v>
      </c>
      <c r="F17" s="41">
        <v>6652</v>
      </c>
      <c r="G17" s="41">
        <v>0</v>
      </c>
      <c r="H17" s="41">
        <v>2104</v>
      </c>
      <c r="I17" s="41">
        <v>10</v>
      </c>
      <c r="J17" s="41">
        <v>541</v>
      </c>
      <c r="K17" s="42">
        <v>85</v>
      </c>
      <c r="L17" s="42">
        <v>60</v>
      </c>
      <c r="M17" s="42">
        <v>1616</v>
      </c>
      <c r="N17" s="39">
        <v>85</v>
      </c>
      <c r="O17" s="39">
        <v>30</v>
      </c>
      <c r="P17" s="39">
        <v>83</v>
      </c>
      <c r="Q17" s="39">
        <v>4746</v>
      </c>
      <c r="R17" s="77">
        <v>81</v>
      </c>
      <c r="S17" s="77">
        <v>220</v>
      </c>
      <c r="T17">
        <f t="shared" si="1"/>
        <v>0</v>
      </c>
    </row>
    <row r="18" spans="1:20" x14ac:dyDescent="0.25">
      <c r="A18" s="73">
        <v>44631</v>
      </c>
      <c r="B18" s="40">
        <v>0</v>
      </c>
      <c r="C18" s="40">
        <v>26</v>
      </c>
      <c r="D18" s="40">
        <v>52</v>
      </c>
      <c r="E18" s="41">
        <v>85</v>
      </c>
      <c r="F18" s="41">
        <v>6658</v>
      </c>
      <c r="G18" s="41">
        <v>0</v>
      </c>
      <c r="H18" s="41">
        <v>2106</v>
      </c>
      <c r="I18" s="41">
        <v>0</v>
      </c>
      <c r="J18" s="41">
        <v>541</v>
      </c>
      <c r="K18" s="42">
        <v>85</v>
      </c>
      <c r="L18" s="42">
        <v>55</v>
      </c>
      <c r="M18" s="42">
        <v>1618</v>
      </c>
      <c r="N18" s="39">
        <v>85</v>
      </c>
      <c r="O18" s="39">
        <v>30</v>
      </c>
      <c r="P18" s="39">
        <v>83</v>
      </c>
      <c r="Q18" s="39">
        <v>4748</v>
      </c>
      <c r="R18" s="77">
        <v>81</v>
      </c>
      <c r="S18" s="77">
        <v>220</v>
      </c>
      <c r="T18">
        <f t="shared" si="1"/>
        <v>0</v>
      </c>
    </row>
    <row r="19" spans="1:20" x14ac:dyDescent="0.25">
      <c r="A19" s="73">
        <v>44632</v>
      </c>
      <c r="B19" s="40">
        <v>0</v>
      </c>
      <c r="C19" s="40">
        <v>28</v>
      </c>
      <c r="D19" s="40">
        <v>55</v>
      </c>
      <c r="E19" s="41">
        <v>85</v>
      </c>
      <c r="F19" s="41">
        <v>6663</v>
      </c>
      <c r="G19" s="41">
        <v>0</v>
      </c>
      <c r="H19" s="41">
        <v>2108</v>
      </c>
      <c r="I19" s="41">
        <v>0</v>
      </c>
      <c r="J19" s="41">
        <v>541</v>
      </c>
      <c r="K19" s="42">
        <v>85</v>
      </c>
      <c r="L19" s="42">
        <v>52</v>
      </c>
      <c r="M19" s="42">
        <v>1620</v>
      </c>
      <c r="N19" s="39">
        <v>85</v>
      </c>
      <c r="O19" s="39">
        <v>28</v>
      </c>
      <c r="P19" s="39">
        <v>83</v>
      </c>
      <c r="Q19" s="39">
        <v>4751</v>
      </c>
      <c r="R19" s="77">
        <v>81</v>
      </c>
      <c r="S19" s="77">
        <v>220</v>
      </c>
      <c r="T19">
        <f t="shared" si="1"/>
        <v>0</v>
      </c>
    </row>
    <row r="20" spans="1:20" x14ac:dyDescent="0.25">
      <c r="A20" s="73">
        <v>44633</v>
      </c>
      <c r="B20" s="40">
        <v>0</v>
      </c>
      <c r="C20" s="40">
        <v>25</v>
      </c>
      <c r="D20" s="40">
        <v>51</v>
      </c>
      <c r="E20" s="41">
        <v>74</v>
      </c>
      <c r="F20" s="41">
        <v>6668</v>
      </c>
      <c r="G20" s="41">
        <v>0</v>
      </c>
      <c r="H20" s="41">
        <v>2110</v>
      </c>
      <c r="I20" s="41">
        <v>0</v>
      </c>
      <c r="J20" s="41">
        <v>541</v>
      </c>
      <c r="K20" s="42">
        <v>85</v>
      </c>
      <c r="L20" s="42">
        <v>52</v>
      </c>
      <c r="M20" s="42">
        <v>1620</v>
      </c>
      <c r="N20" s="39">
        <v>85</v>
      </c>
      <c r="O20" s="39">
        <v>28</v>
      </c>
      <c r="P20" s="39">
        <v>83</v>
      </c>
      <c r="Q20" s="39">
        <v>4752</v>
      </c>
      <c r="R20" s="77">
        <v>81</v>
      </c>
      <c r="S20" s="77">
        <v>220</v>
      </c>
      <c r="T20">
        <f t="shared" si="1"/>
        <v>0</v>
      </c>
    </row>
    <row r="21" spans="1:20" x14ac:dyDescent="0.25">
      <c r="A21" s="73">
        <v>44634</v>
      </c>
      <c r="B21" s="40">
        <v>0</v>
      </c>
      <c r="C21" s="40">
        <v>25</v>
      </c>
      <c r="D21" s="40">
        <v>51</v>
      </c>
      <c r="E21" s="41">
        <v>65</v>
      </c>
      <c r="F21" s="41">
        <v>6674</v>
      </c>
      <c r="G21" s="41">
        <v>0</v>
      </c>
      <c r="H21" s="41">
        <v>2112</v>
      </c>
      <c r="I21" s="41">
        <v>0</v>
      </c>
      <c r="J21" s="41">
        <v>541</v>
      </c>
      <c r="K21" s="42">
        <v>85</v>
      </c>
      <c r="L21" s="42">
        <v>50</v>
      </c>
      <c r="M21" s="42">
        <v>1623</v>
      </c>
      <c r="N21" s="39">
        <v>85</v>
      </c>
      <c r="O21" s="39">
        <v>20</v>
      </c>
      <c r="P21" s="39">
        <v>83</v>
      </c>
      <c r="Q21" s="39">
        <v>4756</v>
      </c>
      <c r="R21" s="77">
        <v>81</v>
      </c>
      <c r="S21" s="77">
        <v>220</v>
      </c>
      <c r="T21">
        <f t="shared" si="1"/>
        <v>0</v>
      </c>
    </row>
    <row r="22" spans="1:20" x14ac:dyDescent="0.25">
      <c r="A22" s="73">
        <v>44635</v>
      </c>
      <c r="B22" s="40">
        <v>0</v>
      </c>
      <c r="C22" s="40">
        <v>25</v>
      </c>
      <c r="D22" s="40">
        <v>51</v>
      </c>
      <c r="E22" s="41">
        <v>55</v>
      </c>
      <c r="F22" s="41">
        <v>6680</v>
      </c>
      <c r="G22" s="41">
        <v>85</v>
      </c>
      <c r="H22" s="41">
        <v>2115</v>
      </c>
      <c r="I22" s="41">
        <v>85</v>
      </c>
      <c r="J22" s="41">
        <v>541</v>
      </c>
      <c r="K22" s="42">
        <v>85</v>
      </c>
      <c r="L22" s="42">
        <v>50</v>
      </c>
      <c r="M22" s="42">
        <v>1623</v>
      </c>
      <c r="N22" s="39">
        <v>85</v>
      </c>
      <c r="O22" s="39">
        <v>18</v>
      </c>
      <c r="P22" s="39">
        <v>83</v>
      </c>
      <c r="Q22" s="39">
        <v>4758</v>
      </c>
      <c r="R22" s="77">
        <v>81</v>
      </c>
      <c r="S22" s="77">
        <v>220</v>
      </c>
      <c r="T22">
        <f t="shared" si="1"/>
        <v>0</v>
      </c>
    </row>
    <row r="23" spans="1:20" x14ac:dyDescent="0.25">
      <c r="A23" s="73">
        <v>44636</v>
      </c>
      <c r="B23" s="40">
        <v>0</v>
      </c>
      <c r="C23" s="40">
        <v>25</v>
      </c>
      <c r="D23" s="40">
        <v>51</v>
      </c>
      <c r="E23" s="41">
        <v>45</v>
      </c>
      <c r="F23" s="41">
        <v>6685</v>
      </c>
      <c r="G23" s="41">
        <v>85</v>
      </c>
      <c r="H23" s="41">
        <v>2117</v>
      </c>
      <c r="I23" s="41">
        <v>85</v>
      </c>
      <c r="J23" s="41">
        <v>541</v>
      </c>
      <c r="K23" s="42">
        <v>85</v>
      </c>
      <c r="L23" s="42">
        <v>48</v>
      </c>
      <c r="M23" s="42">
        <v>1626</v>
      </c>
      <c r="N23" s="39">
        <v>85</v>
      </c>
      <c r="O23" s="39">
        <v>18</v>
      </c>
      <c r="P23" s="39">
        <v>83</v>
      </c>
      <c r="Q23" s="39">
        <v>4761</v>
      </c>
      <c r="R23" s="77">
        <v>81</v>
      </c>
      <c r="S23" s="77">
        <v>220</v>
      </c>
      <c r="T23">
        <f t="shared" si="1"/>
        <v>0</v>
      </c>
    </row>
    <row r="24" spans="1:20" x14ac:dyDescent="0.25">
      <c r="A24" s="73">
        <v>44637</v>
      </c>
      <c r="B24" s="40">
        <v>0</v>
      </c>
      <c r="C24" s="40">
        <v>25</v>
      </c>
      <c r="D24" s="40">
        <v>51</v>
      </c>
      <c r="E24" s="41">
        <v>30</v>
      </c>
      <c r="F24" s="41">
        <v>6692</v>
      </c>
      <c r="G24" s="41">
        <v>85</v>
      </c>
      <c r="H24" s="41">
        <v>2119</v>
      </c>
      <c r="I24" s="41">
        <v>85</v>
      </c>
      <c r="J24" s="41">
        <v>541</v>
      </c>
      <c r="K24" s="42">
        <v>85</v>
      </c>
      <c r="L24" s="42">
        <v>48</v>
      </c>
      <c r="M24" s="42">
        <v>1626</v>
      </c>
      <c r="N24" s="39">
        <v>85</v>
      </c>
      <c r="O24" s="39">
        <v>16</v>
      </c>
      <c r="P24" s="39">
        <v>85</v>
      </c>
      <c r="Q24" s="39">
        <v>4763</v>
      </c>
      <c r="R24" s="77">
        <v>81</v>
      </c>
      <c r="S24" s="77">
        <v>220</v>
      </c>
      <c r="T24">
        <f t="shared" si="1"/>
        <v>0</v>
      </c>
    </row>
    <row r="25" spans="1:20" x14ac:dyDescent="0.25">
      <c r="A25" s="73">
        <v>44638</v>
      </c>
      <c r="B25" s="40">
        <v>0</v>
      </c>
      <c r="C25" s="40">
        <v>38</v>
      </c>
      <c r="D25" s="40">
        <v>91</v>
      </c>
      <c r="E25" s="41">
        <v>20</v>
      </c>
      <c r="F25" s="41">
        <v>6699</v>
      </c>
      <c r="G25" s="41">
        <v>85</v>
      </c>
      <c r="H25" s="41">
        <v>2121</v>
      </c>
      <c r="I25" s="41">
        <v>85</v>
      </c>
      <c r="J25" s="41">
        <v>541</v>
      </c>
      <c r="K25" s="42">
        <v>85</v>
      </c>
      <c r="L25" s="42">
        <v>40</v>
      </c>
      <c r="M25" s="42">
        <v>1630</v>
      </c>
      <c r="N25" s="39">
        <v>85</v>
      </c>
      <c r="O25" s="39">
        <v>12</v>
      </c>
      <c r="P25" s="39">
        <v>85</v>
      </c>
      <c r="Q25" s="39">
        <v>4766</v>
      </c>
      <c r="R25" s="77">
        <v>81</v>
      </c>
      <c r="S25" s="77">
        <v>220</v>
      </c>
      <c r="T25">
        <f t="shared" si="1"/>
        <v>0</v>
      </c>
    </row>
    <row r="26" spans="1:20" x14ac:dyDescent="0.25">
      <c r="A26" s="73">
        <v>44639</v>
      </c>
      <c r="B26" s="40">
        <v>0</v>
      </c>
      <c r="C26" s="40">
        <v>38</v>
      </c>
      <c r="D26" s="40">
        <v>91</v>
      </c>
      <c r="E26" s="41">
        <v>10</v>
      </c>
      <c r="F26" s="41">
        <v>6704</v>
      </c>
      <c r="G26" s="41">
        <v>85</v>
      </c>
      <c r="H26" s="41">
        <v>2124</v>
      </c>
      <c r="I26" s="41">
        <v>85</v>
      </c>
      <c r="J26" s="41">
        <v>541</v>
      </c>
      <c r="K26" s="42">
        <v>85</v>
      </c>
      <c r="L26" s="42">
        <v>35</v>
      </c>
      <c r="M26" s="42">
        <v>1633</v>
      </c>
      <c r="N26" s="39">
        <v>85</v>
      </c>
      <c r="O26" s="39">
        <v>5</v>
      </c>
      <c r="P26" s="39">
        <v>85</v>
      </c>
      <c r="Q26" s="39">
        <v>4770</v>
      </c>
      <c r="R26" s="77">
        <v>81</v>
      </c>
      <c r="S26" s="77">
        <v>220</v>
      </c>
      <c r="T26">
        <f t="shared" si="1"/>
        <v>0</v>
      </c>
    </row>
    <row r="27" spans="1:20" x14ac:dyDescent="0.25">
      <c r="A27" s="73">
        <v>44640</v>
      </c>
      <c r="B27" s="40">
        <v>0</v>
      </c>
      <c r="C27" s="40">
        <v>38</v>
      </c>
      <c r="D27" s="40">
        <v>91</v>
      </c>
      <c r="E27" s="41">
        <v>5</v>
      </c>
      <c r="F27" s="41">
        <v>6710</v>
      </c>
      <c r="G27" s="41">
        <v>85</v>
      </c>
      <c r="H27" s="41">
        <v>2126</v>
      </c>
      <c r="I27" s="41">
        <v>85</v>
      </c>
      <c r="J27" s="41">
        <v>541</v>
      </c>
      <c r="K27" s="42">
        <v>85</v>
      </c>
      <c r="L27" s="42">
        <v>35</v>
      </c>
      <c r="M27" s="42">
        <v>1633</v>
      </c>
      <c r="N27" s="39">
        <v>85</v>
      </c>
      <c r="O27" s="39">
        <v>5</v>
      </c>
      <c r="P27" s="39">
        <v>85</v>
      </c>
      <c r="Q27" s="39">
        <v>4773</v>
      </c>
      <c r="R27" s="77">
        <v>81</v>
      </c>
      <c r="S27" s="77">
        <v>220</v>
      </c>
      <c r="T27">
        <f t="shared" si="1"/>
        <v>0</v>
      </c>
    </row>
    <row r="28" spans="1:20" x14ac:dyDescent="0.25">
      <c r="A28" s="73">
        <v>44641</v>
      </c>
      <c r="B28" s="40">
        <v>0</v>
      </c>
      <c r="C28" s="40">
        <v>35</v>
      </c>
      <c r="D28" s="40">
        <v>80</v>
      </c>
      <c r="E28" s="41">
        <v>5</v>
      </c>
      <c r="F28" s="41">
        <v>6716</v>
      </c>
      <c r="G28" s="41">
        <v>80</v>
      </c>
      <c r="H28" s="41">
        <v>2129</v>
      </c>
      <c r="I28" s="41">
        <v>85</v>
      </c>
      <c r="J28" s="41">
        <v>541</v>
      </c>
      <c r="K28" s="42">
        <v>85</v>
      </c>
      <c r="L28" s="42">
        <v>35</v>
      </c>
      <c r="M28" s="42">
        <v>1636</v>
      </c>
      <c r="N28" s="39">
        <v>85</v>
      </c>
      <c r="O28" s="39">
        <v>5</v>
      </c>
      <c r="P28" s="39">
        <v>85</v>
      </c>
      <c r="Q28" s="39">
        <v>4777</v>
      </c>
      <c r="R28" s="77">
        <v>81</v>
      </c>
      <c r="S28" s="77">
        <v>220</v>
      </c>
      <c r="T28">
        <f t="shared" si="1"/>
        <v>0</v>
      </c>
    </row>
    <row r="29" spans="1:20" x14ac:dyDescent="0.25">
      <c r="A29" s="73">
        <v>44642</v>
      </c>
      <c r="B29" s="40">
        <v>0</v>
      </c>
      <c r="C29" s="40">
        <v>35</v>
      </c>
      <c r="D29" s="40">
        <v>80</v>
      </c>
      <c r="E29" s="41">
        <v>0</v>
      </c>
      <c r="F29" s="41">
        <v>6722</v>
      </c>
      <c r="G29" s="41">
        <v>70</v>
      </c>
      <c r="H29" s="41">
        <v>2132</v>
      </c>
      <c r="I29" s="41">
        <v>85</v>
      </c>
      <c r="J29" s="41">
        <v>541</v>
      </c>
      <c r="K29" s="42">
        <v>85</v>
      </c>
      <c r="L29" s="42">
        <v>32</v>
      </c>
      <c r="M29" s="42">
        <v>1636</v>
      </c>
      <c r="N29" s="39">
        <v>85</v>
      </c>
      <c r="O29" s="39">
        <v>0</v>
      </c>
      <c r="P29" s="39">
        <v>83</v>
      </c>
      <c r="Q29" s="39">
        <v>4779</v>
      </c>
      <c r="R29" s="77">
        <v>81</v>
      </c>
      <c r="S29" s="77">
        <v>220</v>
      </c>
      <c r="T29">
        <f t="shared" si="1"/>
        <v>0</v>
      </c>
    </row>
    <row r="30" spans="1:20" x14ac:dyDescent="0.25">
      <c r="A30" s="73">
        <v>44643</v>
      </c>
      <c r="B30" s="40">
        <v>0</v>
      </c>
      <c r="C30" s="40">
        <v>31</v>
      </c>
      <c r="D30" s="40">
        <v>73</v>
      </c>
      <c r="E30" s="41">
        <v>0</v>
      </c>
      <c r="F30" s="41">
        <v>6727</v>
      </c>
      <c r="G30" s="41">
        <v>60</v>
      </c>
      <c r="H30" s="41">
        <v>2135</v>
      </c>
      <c r="I30" s="41">
        <v>85</v>
      </c>
      <c r="J30" s="41">
        <v>541</v>
      </c>
      <c r="K30" s="42">
        <v>85</v>
      </c>
      <c r="L30" s="42">
        <v>30</v>
      </c>
      <c r="M30" s="42">
        <v>1639</v>
      </c>
      <c r="N30" s="39">
        <v>85</v>
      </c>
      <c r="O30" s="39">
        <v>0</v>
      </c>
      <c r="P30" s="39">
        <v>80</v>
      </c>
      <c r="Q30" s="39">
        <v>4783</v>
      </c>
      <c r="R30" s="77">
        <v>81</v>
      </c>
      <c r="S30" s="77">
        <v>220</v>
      </c>
      <c r="T30">
        <f t="shared" si="1"/>
        <v>0</v>
      </c>
    </row>
    <row r="31" spans="1:20" x14ac:dyDescent="0.25">
      <c r="A31" s="73">
        <v>44644</v>
      </c>
      <c r="B31" s="40">
        <v>0</v>
      </c>
      <c r="C31" s="40">
        <v>33</v>
      </c>
      <c r="D31" s="40">
        <v>71</v>
      </c>
      <c r="E31" s="41">
        <v>0</v>
      </c>
      <c r="F31" s="41">
        <v>6732</v>
      </c>
      <c r="G31" s="41">
        <v>45</v>
      </c>
      <c r="H31" s="41">
        <v>2138</v>
      </c>
      <c r="I31" s="41">
        <v>85</v>
      </c>
      <c r="J31" s="41">
        <v>541</v>
      </c>
      <c r="K31" s="42">
        <v>85</v>
      </c>
      <c r="L31" s="42">
        <v>25</v>
      </c>
      <c r="M31" s="42">
        <v>1644</v>
      </c>
      <c r="N31" s="39">
        <v>85</v>
      </c>
      <c r="O31" s="39">
        <v>0</v>
      </c>
      <c r="P31" s="39">
        <v>75</v>
      </c>
      <c r="Q31" s="39">
        <v>4785</v>
      </c>
      <c r="R31" s="77">
        <v>81</v>
      </c>
      <c r="S31" s="77">
        <v>220</v>
      </c>
      <c r="T31">
        <f t="shared" si="1"/>
        <v>0</v>
      </c>
    </row>
    <row r="32" spans="1:20" x14ac:dyDescent="0.25">
      <c r="A32" s="73">
        <v>44645</v>
      </c>
      <c r="B32" s="40">
        <v>0</v>
      </c>
      <c r="C32" s="40">
        <v>34</v>
      </c>
      <c r="D32" s="40">
        <v>77</v>
      </c>
      <c r="E32" s="41">
        <v>0</v>
      </c>
      <c r="F32" s="41">
        <v>6743</v>
      </c>
      <c r="G32" s="41">
        <v>40</v>
      </c>
      <c r="H32" s="41">
        <v>2140</v>
      </c>
      <c r="I32" s="41">
        <v>85</v>
      </c>
      <c r="J32" s="41">
        <v>541</v>
      </c>
      <c r="K32" s="42">
        <v>85</v>
      </c>
      <c r="L32" s="42">
        <v>20</v>
      </c>
      <c r="M32" s="42">
        <v>1644</v>
      </c>
      <c r="N32" s="39">
        <v>85</v>
      </c>
      <c r="O32" s="39">
        <v>0</v>
      </c>
      <c r="P32" s="39">
        <v>70</v>
      </c>
      <c r="Q32" s="39">
        <v>4790</v>
      </c>
      <c r="R32" s="77">
        <v>81</v>
      </c>
      <c r="S32" s="77">
        <v>220</v>
      </c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-220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2022-03-26T20:33:31Z</dcterms:modified>
</cp:coreProperties>
</file>