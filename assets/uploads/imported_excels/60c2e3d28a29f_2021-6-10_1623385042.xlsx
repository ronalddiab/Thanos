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73EE2995-454E-4398-8F0E-5C3DF16DA03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<sst xmlns="http://schemas.openxmlformats.org/spreadsheetml/2006/main" count="201" uniqueCount="128">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</sst>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1" sqref="M11:O1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229200.00000000076</v>
      </c>
      <c r="F33" s="104">
        <v>0</v>
      </c>
      <c r="G33" s="101">
        <f>SUM(G2:G32)</f>
        <v>62788</v>
      </c>
      <c r="H33" s="102">
        <v>0</v>
      </c>
      <c r="I33" s="103">
        <f>SUM(I2:I32)</f>
        <v>3373</v>
      </c>
      <c r="J33" s="104">
        <v>0</v>
      </c>
      <c r="K33" s="105">
        <v>0</v>
      </c>
      <c r="L33" s="102">
        <v>0</v>
      </c>
      <c r="M33" s="106">
        <f t="shared" ref="M33:O33" si="1">SUM(M2:M32)</f>
        <v>154</v>
      </c>
      <c r="N33" s="106">
        <f t="shared" si="1"/>
        <v>376</v>
      </c>
      <c r="O33" s="106">
        <f t="shared" si="1"/>
        <v>1145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13" sqref="V13:X1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/>
      <c r="W14" s="71"/>
      <c r="X14" s="71"/>
      <c r="Y14" s="17"/>
    </row>
    <row r="15" spans="1:25" ht="21" customHeight="1" x14ac:dyDescent="0.25">
      <c r="A15" s="8">
        <v>44359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154</v>
      </c>
      <c r="W35" s="78">
        <f>SUM(W4:W34)</f>
        <v>376</v>
      </c>
      <c r="X35" s="78">
        <f>SUM(X4:X34)</f>
        <v>1145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0</v>
      </c>
      <c r="C14" s="4">
        <f>('Kwh Reading'!T15-'Kwh Reading'!T14)*1000</f>
        <v>-412100</v>
      </c>
      <c r="D14" s="2">
        <f>('Kwh Reading'!F15-'Kwh Reading'!F14)*1000000</f>
        <v>-2331500</v>
      </c>
      <c r="E14" s="2">
        <f>('Kwh Reading'!C15-'Kwh Reading'!C14)*1000</f>
        <v>-225010</v>
      </c>
      <c r="F14" s="2">
        <f>('Kwh Reading'!J15-'Kwh Reading'!J14)*1000</f>
        <v>-312340</v>
      </c>
      <c r="G14" s="2">
        <f>('Kwh Reading'!K15-'Kwh Reading'!K14)*1000</f>
        <v>-335800</v>
      </c>
      <c r="H14" s="2">
        <f>('Kwh Reading'!L15-'Kwh Reading'!L14)*1000</f>
        <v>-230150</v>
      </c>
      <c r="I14" s="2">
        <f>('Kwh Reading'!R15-'Kwh Reading'!R14)*1000</f>
        <v>-151660</v>
      </c>
      <c r="J14" s="2">
        <f>('Kwh Reading'!S15-'Kwh Reading'!S14)*1000</f>
        <v>-112630</v>
      </c>
      <c r="K14" s="2">
        <f>('Kwh Reading'!I15-'Kwh Reading'!I14)*1000</f>
        <v>-229520</v>
      </c>
      <c r="L14" s="2">
        <f>('Kwh Reading'!B15-'Kwh Reading'!B14)*1000</f>
        <v>-954280</v>
      </c>
      <c r="M14" s="2">
        <f>('Kwh Reading'!M15-'Kwh Reading'!M14)*1000</f>
        <v>-502850</v>
      </c>
      <c r="N14" s="2">
        <f>('Kwh Reading'!H15-'Kwh Reading'!H14)*1000</f>
        <v>-613110</v>
      </c>
      <c r="O14" s="2">
        <f>('Kwh Reading'!P15-'Kwh Reading'!P14)*1000</f>
        <v>-597560</v>
      </c>
      <c r="P14" s="2">
        <f>('Kwh Reading'!G15-'Kwh Reading'!G14)*1000</f>
        <v>-728730</v>
      </c>
      <c r="Q14" s="2">
        <f>('Kwh Reading'!Q15-'Kwh Reading'!Q14)*1000</f>
        <v>-446570</v>
      </c>
      <c r="R14" s="2">
        <f>('Kwh Reading'!N15-'Kwh Reading'!N14)*1000</f>
        <v>-456690</v>
      </c>
      <c r="S14" s="34">
        <f>'Kwh Reading'!E15-'Kwh Reading'!E14</f>
        <v>-8119663.3099999996</v>
      </c>
      <c r="T14" s="34">
        <f>'Kwh Reading'!D15-'Kwh Reading'!D14</f>
        <v>-7431482.3099999996</v>
      </c>
      <c r="U14" s="27">
        <f>('Kwh Reading'!O15-'Kwh Reading'!O14)*1000</f>
        <v>-146610</v>
      </c>
      <c r="V14" s="16">
        <f t="shared" si="1"/>
        <v>24338255.619999997</v>
      </c>
    </row>
    <row r="15" spans="1:22" x14ac:dyDescent="0.25">
      <c r="A15" s="3">
        <f>'Kwh Reading'!A15</f>
        <v>44359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44360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44361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44362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231970.00000000006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-222830.00000000003</v>
      </c>
      <c r="F35" s="75">
        <f t="shared" ref="F35" si="5">SUM(F4:F34)</f>
        <v>-310550.00000000006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-111340.00000000001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-586590.00000000012</v>
      </c>
      <c r="P35" s="75">
        <f t="shared" si="6"/>
        <v>-719090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-144039.99999999997</v>
      </c>
      <c r="V35" s="75">
        <f>SUM(V4:V34)</f>
        <v>24405382.77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0</v>
      </c>
      <c r="C13" s="1">
        <f>'Kwh Consumption'!C14</f>
        <v>-412100</v>
      </c>
      <c r="D13" s="1">
        <f>'Kwh Consumption'!D14</f>
        <v>-2331500</v>
      </c>
      <c r="E13" s="1">
        <f>'Kwh Consumption'!E14</f>
        <v>-225010</v>
      </c>
      <c r="F13" s="1">
        <f>('Kwh Consumption'!F14+'Kwh Consumption'!G14+'Kwh Consumption'!H14)</f>
        <v>-878290</v>
      </c>
      <c r="G13" s="16">
        <f>('Kwh Consumption'!I14+'Kwh Consumption'!J14)</f>
        <v>-264290</v>
      </c>
      <c r="H13" s="1">
        <f>('Kwh Consumption'!K14+'Kwh Consumption'!L14)</f>
        <v>-1183800</v>
      </c>
      <c r="I13" s="1">
        <f>('Kwh Consumption'!M14+'Kwh Consumption'!N14+'Kwh Consumption'!O14+'Kwh Consumption'!P14+'Kwh Consumption'!Q14+'Kwh Consumption'!R14)</f>
        <v>-3345510</v>
      </c>
      <c r="J13" s="1">
        <f>('Kwh Consumption'!S14+'Kwh Consumption'!T14)</f>
        <v>-15551145.619999999</v>
      </c>
      <c r="K13" s="1">
        <f>'Kwh Consumption'!U14</f>
        <v>-146610</v>
      </c>
      <c r="L13" s="32">
        <f t="shared" si="0"/>
        <v>24338255.619999997</v>
      </c>
    </row>
    <row r="14" spans="1:12" x14ac:dyDescent="0.25">
      <c r="A14" s="14">
        <f>'Kwh Reading'!A15</f>
        <v>44359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44360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44361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44362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229200.00000000076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-222830.00000000003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-144039.99999999997</v>
      </c>
      <c r="L34" s="75">
        <f t="shared" si="1"/>
        <v>24402612.77</v>
      </c>
      <c r="M34" s="84">
        <f>C34+D34+E34+F34+G34+H34+I34+J34+K34+L34</f>
        <v>229200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-31196.200000000008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-20165.599999999999</v>
      </c>
      <c r="L36" s="75">
        <f>L34*B36</f>
        <v>3416365.7878</v>
      </c>
      <c r="M36" s="84">
        <f>C36+D36+E36+F36+G36+H36+I36+J36+K36+L36</f>
        <v>32087.999999999534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-57694.000000000007</v>
      </c>
      <c r="E13" s="1">
        <f>'Kwh Consumption'!D14*' Kwh area wise $ '!B13</f>
        <v>-326410.00000000006</v>
      </c>
      <c r="F13" s="1">
        <f>'Kwh Consumption'!E14*' Kwh area wise $ '!B13</f>
        <v>-31501.4</v>
      </c>
      <c r="G13" s="1">
        <f>('Kwh Consumption'!F14+'Kwh Consumption'!G14+'Kwh Consumption'!H14)*' Kwh area wise $ '!B13</f>
        <v>-122960.6</v>
      </c>
      <c r="H13" s="16">
        <f>('Kwh Consumption'!I14+'Kwh Consumption'!J14)*' Kwh area wise $ '!B13</f>
        <v>-37000.600000000006</v>
      </c>
      <c r="I13" s="1">
        <f>('Kwh Consumption'!K14+'Kwh Consumption'!L14)*' Kwh area wise $ '!B13</f>
        <v>-165732.00000000003</v>
      </c>
      <c r="J13" s="1">
        <f>('Kwh Consumption'!M14+'Kwh Consumption'!N14+'Kwh Consumption'!O14+'Kwh Consumption'!P14+'Kwh Consumption'!Q14+'Kwh Consumption'!R14)*' Kwh area wise $ '!B13</f>
        <v>-468371.4</v>
      </c>
      <c r="K13" s="1">
        <f>('Kwh Consumption'!S14+'Kwh Consumption'!T14)*' Kwh area wise $ '!B13</f>
        <v>-2177160.3868</v>
      </c>
      <c r="L13" s="1">
        <f>'Kwh Consumption'!U14*' Kwh area wise $ '!B13</f>
        <v>-20525.400000000001</v>
      </c>
      <c r="M13" s="1">
        <f>'Kwh Consumption'!V14*' Kwh area wise $ '!B13</f>
        <v>3407355.7867999999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32475.80000000001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-163501.80000000005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-20165.599999999999</v>
      </c>
      <c r="M34" s="75">
        <f>SUM(M3:M33)</f>
        <v>3416753.5877999999</v>
      </c>
      <c r="N34" s="84">
        <f>D34+E34+F34+G34+H34+I34+J34+K34+L34+M34</f>
        <v>32475.799999999348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3" sqref="R1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123431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123104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123427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44360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44361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44362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44363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0" sqref="C1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895</v>
      </c>
      <c r="D10" s="67">
        <f t="shared" si="2"/>
        <v>2.8503184713375798</v>
      </c>
      <c r="E10" s="88">
        <f>'Water Reading'!H10-'Water Reading'!H9</f>
        <v>81</v>
      </c>
      <c r="F10" s="89">
        <f t="shared" si="3"/>
        <v>9.0502793296089387E-2</v>
      </c>
      <c r="G10" s="93">
        <f>('Water Reading'!D10-'Water Reading'!D9)-('Water Reading'!R10-'Water Reading'!R9)-('Water Reading'!Q10-'Water Reading'!Q9)</f>
        <v>166</v>
      </c>
      <c r="H10" s="89">
        <f t="shared" si="4"/>
        <v>0.18547486033519553</v>
      </c>
      <c r="I10" s="90">
        <f>'Water Reading'!P10-'Water Reading'!P9</f>
        <v>7</v>
      </c>
      <c r="J10" s="68">
        <f t="shared" si="5"/>
        <v>7.82122905027933E-3</v>
      </c>
      <c r="K10" s="91">
        <f>('Water Reading'!I10-'Water Reading'!I9)-('Water Reading'!P10-'Water Reading'!P9)</f>
        <v>14</v>
      </c>
      <c r="L10" s="68">
        <f t="shared" si="6"/>
        <v>1.564245810055866E-2</v>
      </c>
      <c r="M10" s="90">
        <f>'Water Reading'!R10-'Water Reading'!R9</f>
        <v>4</v>
      </c>
      <c r="N10" s="92">
        <f t="shared" si="7"/>
        <v>4.4692737430167594E-3</v>
      </c>
      <c r="O10" s="90">
        <f>'Water Reading'!Q10-'Water Reading'!Q9</f>
        <v>6</v>
      </c>
      <c r="P10" s="99">
        <f t="shared" si="8"/>
        <v>6.7039106145251395E-3</v>
      </c>
      <c r="Q10" s="91">
        <f>'Water Reading'!F10-'Water Reading'!F9</f>
        <v>1</v>
      </c>
      <c r="R10" s="100">
        <f t="shared" si="9"/>
        <v>1.1173184357541898E-3</v>
      </c>
      <c r="S10" s="90">
        <f>'Water Reading'!E10-'Water Reading'!E9</f>
        <v>72</v>
      </c>
      <c r="T10" s="100">
        <f t="shared" si="10"/>
        <v>8.0446927374301674E-2</v>
      </c>
      <c r="U10" s="90">
        <f>'Water Reading'!G10-'Water Reading'!G9</f>
        <v>13</v>
      </c>
      <c r="V10" s="100">
        <f t="shared" si="11"/>
        <v>1.452513966480447E-2</v>
      </c>
      <c r="W10" s="90">
        <f>'Water Reading'!J10-'Water Reading'!J9</f>
        <v>16</v>
      </c>
      <c r="X10" s="100">
        <f t="shared" si="12"/>
        <v>1.7877094972067038E-2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345</v>
      </c>
      <c r="D11" s="67">
        <f t="shared" si="2"/>
        <v>0.89147286821705429</v>
      </c>
      <c r="E11" s="88">
        <f>'Water Reading'!H11-'Water Reading'!H10</f>
        <v>67</v>
      </c>
      <c r="F11" s="89">
        <f t="shared" si="3"/>
        <v>0.19420289855072465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0.61449275362318845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2.318840579710145E-2</v>
      </c>
      <c r="M11" s="90">
        <f>'Water Reading'!R11-'Water Reading'!R10</f>
        <v>3</v>
      </c>
      <c r="N11" s="92">
        <f t="shared" si="7"/>
        <v>8.6956521739130436E-3</v>
      </c>
      <c r="O11" s="98">
        <f>'Water Reading'!Q11-'Water Reading'!Q10</f>
        <v>1</v>
      </c>
      <c r="P11" s="99">
        <f t="shared" si="8"/>
        <v>2.8985507246376812E-3</v>
      </c>
      <c r="Q11" s="91">
        <f>'Water Reading'!F11-'Water Reading'!F10</f>
        <v>1</v>
      </c>
      <c r="R11" s="100">
        <f t="shared" si="9"/>
        <v>2.8985507246376812E-3</v>
      </c>
      <c r="S11" s="90">
        <f>'Water Reading'!E11-'Water Reading'!E10</f>
        <v>68</v>
      </c>
      <c r="T11" s="100">
        <f t="shared" si="10"/>
        <v>0.19710144927536233</v>
      </c>
      <c r="U11" s="90">
        <f>'Water Reading'!G11-'Water Reading'!G10</f>
        <v>12</v>
      </c>
      <c r="V11" s="100">
        <f t="shared" si="11"/>
        <v>3.4782608695652174E-2</v>
      </c>
      <c r="W11" s="90">
        <f>'Water Reading'!J11-'Water Reading'!J10</f>
        <v>16</v>
      </c>
      <c r="X11" s="100">
        <f t="shared" si="12"/>
        <v>4.6376811594202899E-2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-156</v>
      </c>
      <c r="D12" s="67">
        <f t="shared" si="2"/>
        <v>-0.61417322834645671</v>
      </c>
      <c r="E12" s="88">
        <f>'Water Reading'!H12-'Water Reading'!H11</f>
        <v>59</v>
      </c>
      <c r="F12" s="89">
        <f t="shared" si="3"/>
        <v>-0.37820512820512819</v>
      </c>
      <c r="G12" s="93">
        <f>('Water Reading'!D12-'Water Reading'!D11)-('Water Reading'!R12-'Water Reading'!R11)-('Water Reading'!Q12-'Water Reading'!Q11)</f>
        <v>148</v>
      </c>
      <c r="H12" s="89">
        <f t="shared" si="4"/>
        <v>-0.94871794871794868</v>
      </c>
      <c r="I12" s="90">
        <f>'Water Reading'!P12-'Water Reading'!P11</f>
        <v>15</v>
      </c>
      <c r="J12" s="68">
        <f t="shared" si="5"/>
        <v>-9.6153846153846159E-2</v>
      </c>
      <c r="K12" s="91">
        <f>('Water Reading'!I12-'Water Reading'!I11)-('Water Reading'!P12-'Water Reading'!P11)</f>
        <v>10</v>
      </c>
      <c r="L12" s="68">
        <f t="shared" si="6"/>
        <v>-6.4102564102564097E-2</v>
      </c>
      <c r="M12" s="90">
        <f>'Water Reading'!R12-'Water Reading'!R11</f>
        <v>4</v>
      </c>
      <c r="N12" s="92">
        <f t="shared" si="7"/>
        <v>-2.564102564102564E-2</v>
      </c>
      <c r="O12" s="98">
        <f>'Water Reading'!Q12-'Water Reading'!Q11</f>
        <v>5</v>
      </c>
      <c r="P12" s="99">
        <f t="shared" si="8"/>
        <v>-3.2051282051282048E-2</v>
      </c>
      <c r="Q12" s="91">
        <f>'Water Reading'!F12-'Water Reading'!F11</f>
        <v>1</v>
      </c>
      <c r="R12" s="100">
        <f t="shared" si="9"/>
        <v>-6.41025641025641E-3</v>
      </c>
      <c r="S12" s="90">
        <f>'Water Reading'!E12-'Water Reading'!E11</f>
        <v>65</v>
      </c>
      <c r="T12" s="100">
        <f t="shared" si="10"/>
        <v>-0.41666666666666669</v>
      </c>
      <c r="U12" s="90">
        <f>'Water Reading'!G12-'Water Reading'!G11</f>
        <v>13</v>
      </c>
      <c r="V12" s="100">
        <f t="shared" si="11"/>
        <v>-8.3333333333333329E-2</v>
      </c>
      <c r="W12" s="90">
        <f>'Water Reading'!J12-'Water Reading'!J11</f>
        <v>17</v>
      </c>
      <c r="X12" s="100">
        <f t="shared" si="12"/>
        <v>-0.10897435897435898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0</v>
      </c>
      <c r="C14" s="66">
        <f>('Water Reading'!B14-'Water Reading'!B13)+('Water Reading'!C14-'Water Reading'!C13)</f>
        <v>-286462</v>
      </c>
      <c r="D14" s="67" t="e">
        <f t="shared" si="2"/>
        <v>#DIV/0!</v>
      </c>
      <c r="E14" s="88">
        <f>'Water Reading'!H14-'Water Reading'!H13</f>
        <v>-51793</v>
      </c>
      <c r="F14" s="89">
        <f t="shared" si="3"/>
        <v>0.18080234027549902</v>
      </c>
      <c r="G14" s="93">
        <f>('Water Reading'!D14-'Water Reading'!D13)-('Water Reading'!R14-'Water Reading'!R13)-('Water Reading'!Q14-'Water Reading'!Q13)</f>
        <v>-199712</v>
      </c>
      <c r="H14" s="89">
        <f t="shared" si="4"/>
        <v>0.69716751261947485</v>
      </c>
      <c r="I14" s="90">
        <f>'Water Reading'!P14-'Water Reading'!P13</f>
        <v>-26859</v>
      </c>
      <c r="J14" s="68">
        <f t="shared" si="5"/>
        <v>9.3761127130300007E-2</v>
      </c>
      <c r="K14" s="91">
        <f>('Water Reading'!I14-'Water Reading'!I13)-('Water Reading'!P14-'Water Reading'!P13)</f>
        <v>-36338</v>
      </c>
      <c r="L14" s="68">
        <f t="shared" si="6"/>
        <v>0.12685103085225963</v>
      </c>
      <c r="M14" s="90">
        <f>'Water Reading'!R14-'Water Reading'!R13</f>
        <v>-6146</v>
      </c>
      <c r="N14" s="92">
        <f t="shared" si="7"/>
        <v>2.1454852650613344E-2</v>
      </c>
      <c r="O14" s="90">
        <f>'Water Reading'!Q14-'Water Reading'!Q13</f>
        <v>-542</v>
      </c>
      <c r="P14" s="99">
        <f t="shared" si="8"/>
        <v>1.8920485090518115E-3</v>
      </c>
      <c r="Q14" s="91">
        <f>'Water Reading'!F14-'Water Reading'!F13</f>
        <v>-66913</v>
      </c>
      <c r="R14" s="100">
        <f t="shared" si="9"/>
        <v>0.23358421012211045</v>
      </c>
      <c r="S14" s="94">
        <f>'Water Reading'!E14-'Water Reading'!E13</f>
        <v>-246636</v>
      </c>
      <c r="T14" s="100">
        <f t="shared" si="10"/>
        <v>0.86097283409317815</v>
      </c>
      <c r="U14" s="90">
        <f>'Water Reading'!G14-'Water Reading'!G13</f>
        <v>-111309</v>
      </c>
      <c r="V14" s="100">
        <f t="shared" si="11"/>
        <v>0.38856462637278244</v>
      </c>
      <c r="W14" s="90">
        <f>'Water Reading'!J14-'Water Reading'!J13</f>
        <v>-19906</v>
      </c>
      <c r="X14" s="100">
        <f t="shared" si="12"/>
        <v>6.9489146902556018E-2</v>
      </c>
      <c r="Y14" s="66">
        <f t="shared" si="0"/>
        <v>-766154</v>
      </c>
      <c r="Z14" s="67" t="e">
        <f t="shared" si="1"/>
        <v>#DIV/0!</v>
      </c>
    </row>
    <row r="15" spans="1:26" x14ac:dyDescent="0.25">
      <c r="A15" s="8">
        <f>'Water Reading'!A14</f>
        <v>44359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44360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44361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44362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3414</v>
      </c>
      <c r="C35" s="75">
        <f>SUM(C4:C34)</f>
        <v>-282428</v>
      </c>
      <c r="D35" s="96">
        <f>C35/B35</f>
        <v>-82.726420620972462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-223.30990041007615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2021-06-11T04:16:35Z</dcterms:modified>
  <cp:category/>
  <cp:contentStatus/>
</cp:coreProperties>
</file>