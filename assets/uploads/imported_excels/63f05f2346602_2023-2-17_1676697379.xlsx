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19\"/>
    </mc:Choice>
  </mc:AlternateContent>
  <xr:revisionPtr revIDLastSave="1" documentId="11_16C02DE5817AB4E5013882DAF72120FF9C7DF6D5" xr6:coauthVersionLast="47" xr6:coauthVersionMax="47" xr10:uidLastSave="{1DA5637D-F56E-440D-8CE3-811B3C9D6D2D}"/>
  <bookViews>
    <workbookView xWindow="0" yWindow="0" windowWidth="28800" windowHeight="12435" tabRatio="762" firstSheet="1" xr2:uid="{00000000-000D-0000-FFFF-FFFF00000000}"/>
  </bookViews>
  <sheets>
    <sheet name="TOTAL" sheetId="11" r:id="rId1"/>
    <sheet name="FS Jimbaran August 2019" sheetId="14" r:id="rId2"/>
    <sheet name="RNs &amp; Covers August 2019" sheetId="10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4" l="1"/>
  <c r="N12" i="14"/>
  <c r="P12" i="14"/>
  <c r="V12" i="14"/>
  <c r="AA12" i="14"/>
  <c r="AB12" i="14"/>
  <c r="AG12" i="14"/>
  <c r="I13" i="14"/>
  <c r="N13" i="14"/>
  <c r="P13" i="14"/>
  <c r="V13" i="14"/>
  <c r="AA13" i="14"/>
  <c r="AB13" i="14" s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42" i="14"/>
  <c r="O13" i="14" l="1"/>
  <c r="O12" i="14"/>
  <c r="AG47" i="14"/>
  <c r="R47" i="14"/>
  <c r="Q47" i="14"/>
  <c r="AL42" i="14"/>
  <c r="AI42" i="14"/>
  <c r="G32" i="11"/>
  <c r="AA42" i="14"/>
  <c r="V42" i="14"/>
  <c r="K32" i="11" s="1"/>
  <c r="N42" i="14"/>
  <c r="P42" i="14"/>
  <c r="E32" i="11" s="1"/>
  <c r="I42" i="14"/>
  <c r="I32" i="11"/>
  <c r="J32" i="11"/>
  <c r="M32" i="11"/>
  <c r="N32" i="11"/>
  <c r="AA14" i="14"/>
  <c r="AB14" i="14" s="1"/>
  <c r="AA15" i="14"/>
  <c r="AB15" i="14" s="1"/>
  <c r="AA16" i="14"/>
  <c r="AA17" i="14"/>
  <c r="AB17" i="14" s="1"/>
  <c r="AA18" i="14"/>
  <c r="AB18" i="14" s="1"/>
  <c r="AA19" i="14"/>
  <c r="AA20" i="14"/>
  <c r="AB20" i="14" s="1"/>
  <c r="AA21" i="14"/>
  <c r="AB21" i="14" s="1"/>
  <c r="AA22" i="14"/>
  <c r="AA23" i="14"/>
  <c r="AA24" i="14"/>
  <c r="AB24" i="14" s="1"/>
  <c r="AA25" i="14"/>
  <c r="AB25" i="14" s="1"/>
  <c r="AA26" i="14"/>
  <c r="AB26" i="14" s="1"/>
  <c r="AA27" i="14"/>
  <c r="AA28" i="14"/>
  <c r="AB28" i="14" s="1"/>
  <c r="AA29" i="14"/>
  <c r="AB29" i="14" s="1"/>
  <c r="AA30" i="14"/>
  <c r="AB30" i="14" s="1"/>
  <c r="AA31" i="14"/>
  <c r="AB31" i="14" s="1"/>
  <c r="G2" i="11"/>
  <c r="H3" i="11"/>
  <c r="H4" i="11"/>
  <c r="H5" i="11"/>
  <c r="H6" i="11"/>
  <c r="G11" i="11"/>
  <c r="G12" i="11"/>
  <c r="H13" i="11"/>
  <c r="G14" i="11"/>
  <c r="H18" i="11"/>
  <c r="H19" i="11"/>
  <c r="G20" i="11"/>
  <c r="H21" i="11"/>
  <c r="B38" i="10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G31" i="11"/>
  <c r="H22" i="11"/>
  <c r="H23" i="11"/>
  <c r="G24" i="11"/>
  <c r="H25" i="11"/>
  <c r="G28" i="11"/>
  <c r="H29" i="11"/>
  <c r="G30" i="11"/>
  <c r="N32" i="14"/>
  <c r="N33" i="14"/>
  <c r="N34" i="14"/>
  <c r="N35" i="14"/>
  <c r="N36" i="14"/>
  <c r="N37" i="14"/>
  <c r="N38" i="14"/>
  <c r="N39" i="14"/>
  <c r="N40" i="14"/>
  <c r="N41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C38" i="10"/>
  <c r="AI40" i="14"/>
  <c r="AL40" i="14"/>
  <c r="AL41" i="14"/>
  <c r="AI41" i="14"/>
  <c r="AA40" i="14"/>
  <c r="AB40" i="14" s="1"/>
  <c r="AA41" i="14"/>
  <c r="AB41" i="14" s="1"/>
  <c r="V40" i="14"/>
  <c r="K30" i="11" s="1"/>
  <c r="V41" i="14"/>
  <c r="K31" i="11" s="1"/>
  <c r="P40" i="14"/>
  <c r="E30" i="11" s="1"/>
  <c r="P41" i="14"/>
  <c r="E31" i="11" s="1"/>
  <c r="I40" i="14"/>
  <c r="I41" i="14"/>
  <c r="I30" i="11"/>
  <c r="J30" i="11"/>
  <c r="H31" i="11"/>
  <c r="I31" i="11"/>
  <c r="J31" i="11"/>
  <c r="V33" i="14"/>
  <c r="V34" i="14"/>
  <c r="V35" i="14"/>
  <c r="K25" i="11" s="1"/>
  <c r="V36" i="14"/>
  <c r="K26" i="11" s="1"/>
  <c r="V37" i="14"/>
  <c r="K27" i="11" s="1"/>
  <c r="V38" i="14"/>
  <c r="K28" i="11" s="1"/>
  <c r="V39" i="14"/>
  <c r="K29" i="11" s="1"/>
  <c r="V24" i="14"/>
  <c r="J21" i="1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G29" i="11"/>
  <c r="H27" i="11"/>
  <c r="G27" i="11"/>
  <c r="H28" i="11"/>
  <c r="H26" i="11"/>
  <c r="G26" i="11"/>
  <c r="AA32" i="14"/>
  <c r="AA33" i="14"/>
  <c r="AA34" i="14"/>
  <c r="L24" i="11" s="1"/>
  <c r="AA35" i="14"/>
  <c r="AB35" i="14" s="1"/>
  <c r="AA36" i="14"/>
  <c r="L26" i="11" s="1"/>
  <c r="AA37" i="14"/>
  <c r="AA38" i="14"/>
  <c r="AA39" i="14"/>
  <c r="V31" i="14"/>
  <c r="K21" i="11" s="1"/>
  <c r="V32" i="14"/>
  <c r="K23" i="11"/>
  <c r="K24" i="11"/>
  <c r="I39" i="14"/>
  <c r="I38" i="14"/>
  <c r="I37" i="14"/>
  <c r="I36" i="14"/>
  <c r="O36" i="14" s="1"/>
  <c r="I35" i="14"/>
  <c r="O35" i="14" s="1"/>
  <c r="I34" i="14"/>
  <c r="O34" i="14" s="1"/>
  <c r="I33" i="14"/>
  <c r="I32" i="14"/>
  <c r="I31" i="14"/>
  <c r="O31" i="14" s="1"/>
  <c r="AB39" i="14"/>
  <c r="AB33" i="14"/>
  <c r="P31" i="14"/>
  <c r="E21" i="11" s="1"/>
  <c r="P32" i="14"/>
  <c r="E22" i="11" s="1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AB32" i="14"/>
  <c r="V30" i="14"/>
  <c r="V29" i="14"/>
  <c r="K19" i="11" s="1"/>
  <c r="V28" i="14"/>
  <c r="V27" i="14"/>
  <c r="K17" i="11" s="1"/>
  <c r="V26" i="14"/>
  <c r="V25" i="14"/>
  <c r="K15" i="11" s="1"/>
  <c r="V23" i="14"/>
  <c r="V22" i="14"/>
  <c r="K12" i="11" s="1"/>
  <c r="V21" i="14"/>
  <c r="L11" i="11" s="1"/>
  <c r="V20" i="14"/>
  <c r="K10" i="11" s="1"/>
  <c r="V19" i="14"/>
  <c r="K9" i="11" s="1"/>
  <c r="V18" i="14"/>
  <c r="V17" i="14"/>
  <c r="V16" i="14"/>
  <c r="K6" i="11" s="1"/>
  <c r="V15" i="14"/>
  <c r="V14" i="14"/>
  <c r="K4" i="11" s="1"/>
  <c r="K3" i="11"/>
  <c r="K2" i="11"/>
  <c r="AJ47" i="14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O30" i="14" s="1"/>
  <c r="AL29" i="14"/>
  <c r="I29" i="14"/>
  <c r="AL28" i="14"/>
  <c r="I28" i="14"/>
  <c r="O28" i="14" s="1"/>
  <c r="I27" i="14"/>
  <c r="AL26" i="14"/>
  <c r="AI26" i="14"/>
  <c r="I26" i="14"/>
  <c r="AL25" i="14"/>
  <c r="I15" i="11"/>
  <c r="P25" i="14"/>
  <c r="E15" i="11" s="1"/>
  <c r="AL24" i="14"/>
  <c r="I24" i="14"/>
  <c r="AL23" i="14"/>
  <c r="P23" i="14"/>
  <c r="E13" i="11" s="1"/>
  <c r="I22" i="14"/>
  <c r="O22" i="14" s="1"/>
  <c r="P21" i="14"/>
  <c r="AL20" i="14"/>
  <c r="I20" i="14"/>
  <c r="I9" i="11"/>
  <c r="AB19" i="14"/>
  <c r="AL18" i="14"/>
  <c r="P18" i="14"/>
  <c r="I18" i="14"/>
  <c r="AL17" i="14"/>
  <c r="I7" i="11"/>
  <c r="P17" i="14"/>
  <c r="E7" i="11" s="1"/>
  <c r="AL16" i="14"/>
  <c r="I16" i="14"/>
  <c r="AL15" i="14"/>
  <c r="P15" i="14"/>
  <c r="E5" i="11" s="1"/>
  <c r="AL13" i="14"/>
  <c r="H11" i="11"/>
  <c r="H7" i="11"/>
  <c r="E11" i="11"/>
  <c r="G8" i="11"/>
  <c r="H8" i="11"/>
  <c r="G9" i="11"/>
  <c r="H9" i="11"/>
  <c r="AI22" i="14"/>
  <c r="AI24" i="14"/>
  <c r="H14" i="11"/>
  <c r="AI25" i="14"/>
  <c r="H15" i="11"/>
  <c r="G16" i="11"/>
  <c r="H16" i="11"/>
  <c r="AI28" i="14"/>
  <c r="AI29" i="14"/>
  <c r="AI30" i="14"/>
  <c r="AI14" i="14"/>
  <c r="AI16" i="14"/>
  <c r="AI20" i="14"/>
  <c r="H10" i="11"/>
  <c r="AI27" i="14"/>
  <c r="H17" i="11"/>
  <c r="O29" i="14"/>
  <c r="G15" i="11"/>
  <c r="J13" i="11"/>
  <c r="J14" i="11"/>
  <c r="AL30" i="14"/>
  <c r="J6" i="11"/>
  <c r="J5" i="11"/>
  <c r="G7" i="11"/>
  <c r="AL27" i="14"/>
  <c r="J17" i="11"/>
  <c r="J4" i="11"/>
  <c r="AL14" i="14"/>
  <c r="G3" i="11"/>
  <c r="AL21" i="14"/>
  <c r="J11" i="11"/>
  <c r="J12" i="11"/>
  <c r="AL22" i="14"/>
  <c r="J47" i="14"/>
  <c r="G47" i="14"/>
  <c r="W47" i="14"/>
  <c r="P27" i="14"/>
  <c r="E17" i="11" s="1"/>
  <c r="P29" i="14"/>
  <c r="P30" i="14"/>
  <c r="J16" i="11"/>
  <c r="J8" i="11"/>
  <c r="I12" i="11"/>
  <c r="I4" i="11"/>
  <c r="J15" i="11"/>
  <c r="I19" i="14"/>
  <c r="I18" i="11"/>
  <c r="K16" i="11"/>
  <c r="K8" i="11"/>
  <c r="L47" i="14"/>
  <c r="P14" i="14"/>
  <c r="E4" i="11" s="1"/>
  <c r="P20" i="14"/>
  <c r="E10" i="11" s="1"/>
  <c r="P22" i="14"/>
  <c r="E12" i="11" s="1"/>
  <c r="G19" i="11"/>
  <c r="I17" i="11"/>
  <c r="K7" i="11"/>
  <c r="E3" i="11"/>
  <c r="AF47" i="14"/>
  <c r="I10" i="11"/>
  <c r="M47" i="14"/>
  <c r="P16" i="14"/>
  <c r="E6" i="11" s="1"/>
  <c r="I17" i="14"/>
  <c r="I21" i="14"/>
  <c r="O21" i="14" s="1"/>
  <c r="F11" i="11" s="1"/>
  <c r="G18" i="11"/>
  <c r="G10" i="11"/>
  <c r="I16" i="11"/>
  <c r="I8" i="11"/>
  <c r="J19" i="11"/>
  <c r="J3" i="11"/>
  <c r="K47" i="14"/>
  <c r="P26" i="14"/>
  <c r="E16" i="11" s="1"/>
  <c r="E47" i="14"/>
  <c r="F3" i="11"/>
  <c r="I15" i="14"/>
  <c r="O15" i="14" s="1"/>
  <c r="P19" i="14"/>
  <c r="E9" i="11" s="1"/>
  <c r="I23" i="14"/>
  <c r="O23" i="14" s="1"/>
  <c r="P28" i="14"/>
  <c r="E18" i="11" s="1"/>
  <c r="G17" i="11"/>
  <c r="J18" i="11"/>
  <c r="J10" i="11"/>
  <c r="K13" i="11"/>
  <c r="K5" i="11"/>
  <c r="F47" i="14"/>
  <c r="I14" i="14"/>
  <c r="O14" i="14" s="1"/>
  <c r="P24" i="14"/>
  <c r="E14" i="11" s="1"/>
  <c r="I25" i="14"/>
  <c r="I14" i="11"/>
  <c r="I6" i="11"/>
  <c r="H2" i="11"/>
  <c r="H47" i="14"/>
  <c r="E2" i="11"/>
  <c r="J2" i="11"/>
  <c r="AC47" i="14"/>
  <c r="E20" i="11"/>
  <c r="AI18" i="14"/>
  <c r="AI19" i="14"/>
  <c r="AB22" i="14"/>
  <c r="AI13" i="14"/>
  <c r="AI15" i="14"/>
  <c r="X47" i="14"/>
  <c r="AI21" i="14"/>
  <c r="L16" i="11"/>
  <c r="Y47" i="14"/>
  <c r="AB27" i="14"/>
  <c r="L17" i="11"/>
  <c r="AI23" i="14"/>
  <c r="AI17" i="14"/>
  <c r="AL19" i="14"/>
  <c r="J9" i="11"/>
  <c r="AK47" i="14"/>
  <c r="AL47" i="14" s="1"/>
  <c r="AL12" i="14"/>
  <c r="AH47" i="14"/>
  <c r="AI47" i="14" s="1"/>
  <c r="AI12" i="14"/>
  <c r="Z47" i="14"/>
  <c r="AB16" i="14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 s="1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B34" i="14" l="1"/>
  <c r="L22" i="11"/>
  <c r="L19" i="11"/>
  <c r="L21" i="11"/>
  <c r="L28" i="11"/>
  <c r="L6" i="11"/>
  <c r="L18" i="11"/>
  <c r="L27" i="11"/>
  <c r="G13" i="11"/>
  <c r="G21" i="11"/>
  <c r="H32" i="11"/>
  <c r="G5" i="11"/>
  <c r="G23" i="11"/>
  <c r="L12" i="11"/>
  <c r="AB38" i="14"/>
  <c r="L13" i="11"/>
  <c r="L14" i="11"/>
  <c r="L31" i="11"/>
  <c r="O19" i="14"/>
  <c r="F13" i="11"/>
  <c r="F4" i="11"/>
  <c r="O27" i="14"/>
  <c r="F17" i="11" s="1"/>
  <c r="O32" i="14"/>
  <c r="F22" i="11" s="1"/>
  <c r="F26" i="11"/>
  <c r="O25" i="14"/>
  <c r="O38" i="14"/>
  <c r="F28" i="11" s="1"/>
  <c r="O40" i="14"/>
  <c r="F30" i="11" s="1"/>
  <c r="F9" i="11"/>
  <c r="O24" i="14"/>
  <c r="F5" i="11"/>
  <c r="H24" i="11"/>
  <c r="G25" i="11"/>
  <c r="H20" i="11"/>
  <c r="O16" i="14"/>
  <c r="F6" i="11" s="1"/>
  <c r="O37" i="14"/>
  <c r="F27" i="11" s="1"/>
  <c r="F21" i="11"/>
  <c r="F14" i="11"/>
  <c r="F20" i="11"/>
  <c r="O42" i="14"/>
  <c r="F32" i="11" s="1"/>
  <c r="F15" i="11"/>
  <c r="F19" i="11"/>
  <c r="F24" i="11"/>
  <c r="F25" i="11"/>
  <c r="I47" i="14"/>
  <c r="O20" i="14"/>
  <c r="F10" i="11" s="1"/>
  <c r="O41" i="14"/>
  <c r="F31" i="11" s="1"/>
  <c r="O33" i="14"/>
  <c r="F23" i="11" s="1"/>
  <c r="F18" i="11"/>
  <c r="F12" i="11"/>
  <c r="P47" i="14"/>
  <c r="S47" i="14" s="1"/>
  <c r="O26" i="14"/>
  <c r="F16" i="11" s="1"/>
  <c r="O18" i="14"/>
  <c r="F8" i="11" s="1"/>
  <c r="O39" i="14"/>
  <c r="F29" i="11" s="1"/>
  <c r="L5" i="11"/>
  <c r="AB23" i="14"/>
  <c r="L9" i="11"/>
  <c r="L20" i="11"/>
  <c r="L4" i="11"/>
  <c r="L10" i="11"/>
  <c r="L15" i="11"/>
  <c r="K14" i="11"/>
  <c r="L29" i="11"/>
  <c r="L32" i="11"/>
  <c r="L7" i="11"/>
  <c r="AA47" i="14"/>
  <c r="AB47" i="14" s="1"/>
  <c r="L30" i="11"/>
  <c r="L3" i="11"/>
  <c r="L23" i="11"/>
  <c r="L8" i="11"/>
  <c r="N47" i="14"/>
  <c r="L2" i="11"/>
  <c r="K20" i="11"/>
  <c r="K22" i="11"/>
  <c r="AB42" i="14"/>
  <c r="AB36" i="14"/>
  <c r="F2" i="11"/>
  <c r="G6" i="11"/>
  <c r="K18" i="11"/>
  <c r="L25" i="11"/>
  <c r="O17" i="14"/>
  <c r="F7" i="11" s="1"/>
  <c r="V47" i="14"/>
  <c r="G4" i="11"/>
  <c r="H12" i="11"/>
  <c r="AB37" i="14"/>
  <c r="E19" i="11"/>
  <c r="K11" i="11"/>
  <c r="G22" i="11"/>
  <c r="H30" i="11"/>
  <c r="E8" i="11"/>
  <c r="O47" i="14" l="1"/>
  <c r="T47" i="14" s="1"/>
  <c r="U47" i="14" s="1"/>
  <c r="U48" i="14" s="1"/>
</calcChain>
</file>

<file path=xl/sharedStrings.xml><?xml version="1.0" encoding="utf-8"?>
<sst xmlns="http://schemas.openxmlformats.org/spreadsheetml/2006/main" count="101" uniqueCount="55">
  <si>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</si>
  <si>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</si>
  <si>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</si>
  <si>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</si>
  <si>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</si>
  <si>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</si>
  <si>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</si>
  <si>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</si>
  <si>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</si>
  <si>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</si>
  <si>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</si>
  <si>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</si>
  <si>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</si>
  <si>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</si>
  <si>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</si>
  <si>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</si>
  <si>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</si>
  <si>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AUGUST 2019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</si>
  <si>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</si>
  <si>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</si>
  <si>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</si>
  <si>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</si>
  <si>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</si>
  <si>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</si>
  <si>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</si>
  <si>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</si>
  <si>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</si>
  <si>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</si>
  <si>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</si>
  <si>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</si>
  <si>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</si>
  <si>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</si>
  <si>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</si>
  <si>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</si>
  <si>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</si>
  <si>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</si>
  <si>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</si>
  <si>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</si>
  <si>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</si>
  <si>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</si>
  <si>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</si>
  <si>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</si>
  <si>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</si>
  <si>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</si>
  <si>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</si>
  <si>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</si>
  <si>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</si>
  <si>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</si>
  <si>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</si>
  <si>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</si>
  <si>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</si>
  <si>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</si>
  <si>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</si>
  <si>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kWh rate</t>
  </si>
  <si>
    <t>m3/RNs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</si>
</sst>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55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167" fontId="6" fillId="3" borderId="0" xfId="0" applyNumberFormat="1" applyFont="1" applyFill="1"/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3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7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7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56" xfId="2" applyNumberFormat="1" applyFont="1" applyBorder="1"/>
    <xf numFmtId="0" fontId="0" fillId="0" borderId="32" xfId="0" applyBorder="1"/>
    <xf numFmtId="165" fontId="0" fillId="0" borderId="10" xfId="2" applyNumberFormat="1" applyFont="1" applyBorder="1"/>
    <xf numFmtId="0" fontId="0" fillId="0" borderId="57" xfId="0" applyBorder="1"/>
    <xf numFmtId="164" fontId="0" fillId="0" borderId="45" xfId="2" applyFont="1" applyBorder="1"/>
    <xf numFmtId="164" fontId="0" fillId="0" borderId="58" xfId="2" applyFont="1" applyBorder="1"/>
    <xf numFmtId="165" fontId="8" fillId="0" borderId="44" xfId="2" applyNumberFormat="1" applyFont="1" applyBorder="1" applyAlignment="1">
      <alignment horizontal="center" vertical="center" wrapText="1"/>
    </xf>
    <xf numFmtId="165" fontId="8" fillId="0" borderId="45" xfId="2" applyNumberFormat="1" applyFont="1" applyBorder="1"/>
    <xf numFmtId="165" fontId="8" fillId="0" borderId="58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5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4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/>
    <xf numFmtId="168" fontId="0" fillId="0" borderId="41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7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6" fontId="0" fillId="0" borderId="55" xfId="2" applyNumberFormat="1" applyFont="1" applyBorder="1"/>
    <xf numFmtId="165" fontId="0" fillId="0" borderId="58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7" fillId="0" borderId="65" xfId="4" quotePrefix="1" applyBorder="1"/>
    <xf numFmtId="165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49" xfId="0" applyNumberFormat="1" applyFill="1" applyBorder="1"/>
    <xf numFmtId="164" fontId="1" fillId="6" borderId="23" xfId="2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164" fontId="0" fillId="3" borderId="67" xfId="2" applyFont="1" applyFill="1" applyBorder="1"/>
    <xf numFmtId="164" fontId="0" fillId="3" borderId="7" xfId="2" applyFont="1" applyFill="1" applyBorder="1"/>
    <xf numFmtId="164" fontId="0" fillId="3" borderId="46" xfId="2" applyFont="1" applyFill="1" applyBorder="1"/>
    <xf numFmtId="168" fontId="0" fillId="13" borderId="6" xfId="2" applyNumberFormat="1" applyFont="1" applyFill="1" applyBorder="1"/>
    <xf numFmtId="165" fontId="13" fillId="3" borderId="23" xfId="0" applyNumberFormat="1" applyFont="1" applyFill="1" applyBorder="1"/>
    <xf numFmtId="164" fontId="0" fillId="3" borderId="45" xfId="2" applyFont="1" applyFill="1" applyBorder="1"/>
    <xf numFmtId="164" fontId="0" fillId="3" borderId="58" xfId="2" applyFont="1" applyFill="1" applyBorder="1"/>
    <xf numFmtId="166" fontId="20" fillId="0" borderId="8" xfId="0" applyNumberFormat="1" applyFont="1" applyBorder="1"/>
    <xf numFmtId="37" fontId="20" fillId="0" borderId="8" xfId="0" applyNumberFormat="1" applyFont="1" applyBorder="1"/>
    <xf numFmtId="0" fontId="1" fillId="0" borderId="66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168" fontId="1" fillId="4" borderId="1" xfId="2" applyNumberFormat="1" applyFont="1" applyFill="1" applyBorder="1" applyAlignment="1">
      <alignment horizontal="center" vertical="center"/>
    </xf>
    <xf numFmtId="168" fontId="1" fillId="4" borderId="40" xfId="2" applyNumberFormat="1" applyFont="1" applyFill="1" applyBorder="1" applyAlignment="1">
      <alignment horizontal="center" vertical="center"/>
    </xf>
    <xf numFmtId="168" fontId="1" fillId="4" borderId="2" xfId="2" applyNumberFormat="1" applyFont="1" applyFill="1" applyBorder="1" applyAlignment="1">
      <alignment horizontal="center" vertical="center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omma 3" xfId="10" xr:uid="{00000000-0005-0000-0000-000004000000}"/>
    <cellStyle name="Currency" xfId="1" builtinId="4"/>
    <cellStyle name="Hyperlink" xfId="4" builtinId="8"/>
    <cellStyle name="Hyperlink 2" xfId="7" xr:uid="{00000000-0005-0000-0000-000007000000}"/>
    <cellStyle name="Normal" xfId="0" builtinId="0"/>
    <cellStyle name="Normal 2" xfId="9" xr:uid="{00000000-0005-0000-0000-000009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159668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2"/>
  <sheetViews>
    <sheetView tabSelected="1" workbookViewId="0">
      <selection activeCell="G4" sqref="G4"/>
    </sheetView>
  </sheetViews>
  <sheetFormatPr defaultColWidth="11.5703125" defaultRowHeight="15"/>
  <cols>
    <col min="1" max="1" width="18.42578125" style="161" customWidth="1"/>
    <col min="2" max="2" width="11.5703125" style="162"/>
    <col min="3" max="3" width="11.5703125" style="163"/>
    <col min="4" max="4" width="13.42578125" style="162" customWidth="1"/>
    <col min="5" max="5" width="12.5703125" style="160" customWidth="1"/>
    <col min="6" max="6" width="12.5703125" style="164" customWidth="1"/>
    <col min="7" max="7" width="11.5703125" style="160"/>
    <col min="8" max="8" width="11.5703125" style="164"/>
    <col min="9" max="9" width="11.5703125" style="165"/>
    <col min="10" max="10" width="11.5703125" style="166"/>
    <col min="11" max="11" width="11.5703125" style="160"/>
    <col min="12" max="12" width="11.5703125" style="166"/>
    <col min="13" max="26" width="11.5703125" style="160"/>
  </cols>
  <sheetData>
    <row r="1" spans="1:15" s="154" customFormat="1" ht="60.75">
      <c r="A1" s="150" t="s">
        <v>0</v>
      </c>
      <c r="B1" s="150" t="s">
        <v>1</v>
      </c>
      <c r="C1" s="151" t="s">
        <v>2</v>
      </c>
      <c r="D1" s="150" t="s">
        <v>3</v>
      </c>
      <c r="E1" s="149" t="s">
        <v>4</v>
      </c>
      <c r="F1" s="152" t="s">
        <v>5</v>
      </c>
      <c r="G1" s="149" t="s">
        <v>6</v>
      </c>
      <c r="H1" s="152" t="s">
        <v>7</v>
      </c>
      <c r="I1" s="149" t="s">
        <v>8</v>
      </c>
      <c r="J1" s="152" t="s">
        <v>9</v>
      </c>
      <c r="K1" s="149" t="s">
        <v>10</v>
      </c>
      <c r="L1" s="153" t="s">
        <v>11</v>
      </c>
      <c r="M1" s="149" t="s">
        <v>12</v>
      </c>
      <c r="N1" s="149" t="s">
        <v>13</v>
      </c>
    </row>
    <row r="2" spans="1:15" ht="14.45">
      <c r="A2" s="155" t="s">
        <v>14</v>
      </c>
      <c r="B2" s="156">
        <v>1</v>
      </c>
      <c r="C2" s="157">
        <v>8</v>
      </c>
      <c r="D2" s="156">
        <v>2019</v>
      </c>
      <c r="E2" s="158">
        <f>'FS Jimbaran August 2019'!P12</f>
        <v>22320.000000000844</v>
      </c>
      <c r="F2" s="167">
        <f>'FS Jimbaran August 2019'!O12/'FS Jimbaran August 2019'!P12</f>
        <v>1127.1996505376269</v>
      </c>
      <c r="G2" s="158">
        <f>'FS Jimbaran August 2019'!AG12</f>
        <v>544.49148000001401</v>
      </c>
      <c r="H2" s="167">
        <f>'FS Jimbaran August 2019'!AH12/'FS Jimbaran August 2019'!AG12</f>
        <v>10311.513910649224</v>
      </c>
      <c r="I2" s="158">
        <f>'FS Jimbaran August 2019'!AJ12</f>
        <v>776.15000000000146</v>
      </c>
      <c r="J2" s="159">
        <f>'FS Jimbaran August 2019'!AK12/'FS Jimbaran August 2019'!AJ12</f>
        <v>10300</v>
      </c>
      <c r="K2" s="158">
        <f>'FS Jimbaran August 2019'!V12</f>
        <v>813.46</v>
      </c>
      <c r="L2" s="167">
        <f>'FS Jimbaran August 2019'!AA12/'FS Jimbaran August 2019'!V12</f>
        <v>1864.751225382932</v>
      </c>
      <c r="M2" s="158">
        <f>+'RNs &amp; Covers August 2019'!B6</f>
        <v>67</v>
      </c>
      <c r="N2" s="158">
        <f>+'RNs &amp; Covers August 2019'!C6</f>
        <v>570</v>
      </c>
    </row>
    <row r="3" spans="1:15" ht="14.45">
      <c r="A3" s="155" t="s">
        <v>14</v>
      </c>
      <c r="B3" s="156">
        <f>B2+1</f>
        <v>2</v>
      </c>
      <c r="C3" s="157">
        <v>8</v>
      </c>
      <c r="D3" s="156">
        <v>2019</v>
      </c>
      <c r="E3" s="158">
        <f>'FS Jimbaran August 2019'!P13</f>
        <v>22480.000000000247</v>
      </c>
      <c r="F3" s="167">
        <f>'FS Jimbaran August 2019'!O13/'FS Jimbaran August 2019'!P13</f>
        <v>1127.4704893238479</v>
      </c>
      <c r="G3" s="158">
        <f>'FS Jimbaran August 2019'!AG13</f>
        <v>140.37580000002342</v>
      </c>
      <c r="H3" s="167">
        <f>'FS Jimbaran August 2019'!AH13/'FS Jimbaran August 2019'!AG13</f>
        <v>9143.75</v>
      </c>
      <c r="I3" s="158">
        <f>'FS Jimbaran August 2019'!AJ13</f>
        <v>604.4800000000032</v>
      </c>
      <c r="J3" s="159">
        <f>'FS Jimbaran August 2019'!AK13/'FS Jimbaran August 2019'!AJ13</f>
        <v>10300</v>
      </c>
      <c r="K3" s="158">
        <f>'FS Jimbaran August 2019'!V13</f>
        <v>792.1</v>
      </c>
      <c r="L3" s="167">
        <f>'FS Jimbaran August 2019'!AA13/'FS Jimbaran August 2019'!V13</f>
        <v>1673.2070561797752</v>
      </c>
      <c r="M3" s="158">
        <f>+'RNs &amp; Covers August 2019'!B7</f>
        <v>88</v>
      </c>
      <c r="N3" s="158">
        <f>+'RNs &amp; Covers August 2019'!C7</f>
        <v>711</v>
      </c>
    </row>
    <row r="4" spans="1:15" ht="14.45">
      <c r="A4" s="155" t="s">
        <v>14</v>
      </c>
      <c r="B4" s="156">
        <f t="shared" ref="B4:B32" si="0">B3+1</f>
        <v>3</v>
      </c>
      <c r="C4" s="157">
        <v>8</v>
      </c>
      <c r="D4" s="156">
        <v>2019</v>
      </c>
      <c r="E4" s="158">
        <f>'FS Jimbaran August 2019'!P14</f>
        <v>22700.000000000044</v>
      </c>
      <c r="F4" s="167">
        <f>'FS Jimbaran August 2019'!O14/'FS Jimbaran August 2019'!P14</f>
        <v>1124.7566960352392</v>
      </c>
      <c r="G4" s="158">
        <f>'FS Jimbaran August 2019'!AG14</f>
        <v>137.35135999998124</v>
      </c>
      <c r="H4" s="167">
        <f>'FS Jimbaran August 2019'!AH14/'FS Jimbaran August 2019'!AG14</f>
        <v>9360.5297974479745</v>
      </c>
      <c r="I4" s="158">
        <f>'FS Jimbaran August 2019'!AJ14</f>
        <v>522.39999999999418</v>
      </c>
      <c r="J4" s="159">
        <f>'FS Jimbaran August 2019'!AK14/'FS Jimbaran August 2019'!AJ14</f>
        <v>10300</v>
      </c>
      <c r="K4" s="158">
        <f>'FS Jimbaran August 2019'!V14</f>
        <v>815.24</v>
      </c>
      <c r="L4" s="167">
        <f>'FS Jimbaran August 2019'!AA14/'FS Jimbaran August 2019'!V14</f>
        <v>1600.3808078602622</v>
      </c>
      <c r="M4" s="158">
        <f>+'RNs &amp; Covers August 2019'!B8</f>
        <v>82</v>
      </c>
      <c r="N4" s="158">
        <f>+'RNs &amp; Covers August 2019'!C8</f>
        <v>683</v>
      </c>
    </row>
    <row r="5" spans="1:15" ht="14.45">
      <c r="A5" s="155" t="s">
        <v>14</v>
      </c>
      <c r="B5" s="156">
        <f t="shared" si="0"/>
        <v>4</v>
      </c>
      <c r="C5" s="157">
        <v>8</v>
      </c>
      <c r="D5" s="156">
        <v>2019</v>
      </c>
      <c r="E5" s="158">
        <f>'FS Jimbaran August 2019'!P15</f>
        <v>21259.999999999309</v>
      </c>
      <c r="F5" s="167">
        <f>'FS Jimbaran August 2019'!O15/'FS Jimbaran August 2019'!P15</f>
        <v>1123.9625870178741</v>
      </c>
      <c r="G5" s="158">
        <f>'FS Jimbaran August 2019'!AG15</f>
        <v>0</v>
      </c>
      <c r="H5" s="167" t="e">
        <f>'FS Jimbaran August 2019'!AH15/'FS Jimbaran August 2019'!AG15</f>
        <v>#DIV/0!</v>
      </c>
      <c r="I5" s="158">
        <f>'FS Jimbaran August 2019'!AJ15</f>
        <v>591.89999999999418</v>
      </c>
      <c r="J5" s="159">
        <f>'FS Jimbaran August 2019'!AK15/'FS Jimbaran August 2019'!AJ15</f>
        <v>10300</v>
      </c>
      <c r="K5" s="158">
        <f>'FS Jimbaran August 2019'!V15</f>
        <v>809.90000000000009</v>
      </c>
      <c r="L5" s="167">
        <f>'FS Jimbaran August 2019'!AA15/'FS Jimbaran August 2019'!V15</f>
        <v>1734.3989670329668</v>
      </c>
      <c r="M5" s="158">
        <f>+'RNs &amp; Covers August 2019'!B9</f>
        <v>85</v>
      </c>
      <c r="N5" s="158">
        <f>+'RNs &amp; Covers August 2019'!C9</f>
        <v>742</v>
      </c>
    </row>
    <row r="6" spans="1:15" ht="14.45">
      <c r="A6" s="155" t="s">
        <v>14</v>
      </c>
      <c r="B6" s="156">
        <f t="shared" si="0"/>
        <v>5</v>
      </c>
      <c r="C6" s="157">
        <v>8</v>
      </c>
      <c r="D6" s="156">
        <v>2019</v>
      </c>
      <c r="E6" s="158">
        <f>'FS Jimbaran August 2019'!P16</f>
        <v>20740.000000000007</v>
      </c>
      <c r="F6" s="167">
        <f>'FS Jimbaran August 2019'!O16/'FS Jimbaran August 2019'!P16</f>
        <v>1128.1711764705894</v>
      </c>
      <c r="G6" s="158">
        <f>'FS Jimbaran August 2019'!AG16</f>
        <v>236.68059999998826</v>
      </c>
      <c r="H6" s="167">
        <f>'FS Jimbaran August 2019'!AH16/'FS Jimbaran August 2019'!AG16</f>
        <v>10048.714327452317</v>
      </c>
      <c r="I6" s="158">
        <f>'FS Jimbaran August 2019'!AJ16</f>
        <v>526</v>
      </c>
      <c r="J6" s="159">
        <f>'FS Jimbaran August 2019'!AK16/'FS Jimbaran August 2019'!AJ16</f>
        <v>10300</v>
      </c>
      <c r="K6" s="158">
        <f>'FS Jimbaran August 2019'!V16</f>
        <v>749.37999999999988</v>
      </c>
      <c r="L6" s="167">
        <f>'FS Jimbaran August 2019'!AA16/'FS Jimbaran August 2019'!V16</f>
        <v>1336.6972684085513</v>
      </c>
      <c r="M6" s="158">
        <f>+'RNs &amp; Covers August 2019'!B10</f>
        <v>89</v>
      </c>
      <c r="N6" s="158">
        <f>+'RNs &amp; Covers August 2019'!C10</f>
        <v>672</v>
      </c>
    </row>
    <row r="7" spans="1:15" ht="14.45">
      <c r="A7" s="155" t="s">
        <v>14</v>
      </c>
      <c r="B7" s="156">
        <f t="shared" si="0"/>
        <v>6</v>
      </c>
      <c r="C7" s="157">
        <v>8</v>
      </c>
      <c r="D7" s="156">
        <v>2019</v>
      </c>
      <c r="E7" s="158">
        <f>'FS Jimbaran August 2019'!P17</f>
        <v>21099.999999999909</v>
      </c>
      <c r="F7" s="167">
        <f>'FS Jimbaran August 2019'!O17/'FS Jimbaran August 2019'!P17</f>
        <v>1127.5766161137503</v>
      </c>
      <c r="G7" s="158">
        <f>'FS Jimbaran August 2019'!AG17</f>
        <v>437.75760000004686</v>
      </c>
      <c r="H7" s="167">
        <f>'FS Jimbaran August 2019'!AH17/'FS Jimbaran August 2019'!AG17</f>
        <v>10038.937199491129</v>
      </c>
      <c r="I7" s="158">
        <f>'FS Jimbaran August 2019'!AJ17</f>
        <v>550.36000000000581</v>
      </c>
      <c r="J7" s="159">
        <f>'FS Jimbaran August 2019'!AK17/'FS Jimbaran August 2019'!AJ17</f>
        <v>10300</v>
      </c>
      <c r="K7" s="158">
        <f>'FS Jimbaran August 2019'!V17</f>
        <v>796.55</v>
      </c>
      <c r="L7" s="167">
        <f>'FS Jimbaran August 2019'!AA17/'FS Jimbaran August 2019'!V17</f>
        <v>1516.6727374301677</v>
      </c>
      <c r="M7" s="158">
        <f>+'RNs &amp; Covers August 2019'!B11</f>
        <v>93</v>
      </c>
      <c r="N7" s="158">
        <f>+'RNs &amp; Covers August 2019'!C11</f>
        <v>704</v>
      </c>
    </row>
    <row r="8" spans="1:15" ht="14.45">
      <c r="A8" s="155" t="s">
        <v>14</v>
      </c>
      <c r="B8" s="156">
        <f t="shared" si="0"/>
        <v>7</v>
      </c>
      <c r="C8" s="157">
        <v>8</v>
      </c>
      <c r="D8" s="156">
        <v>2019</v>
      </c>
      <c r="E8" s="158">
        <f>'FS Jimbaran August 2019'!P18</f>
        <v>21500</v>
      </c>
      <c r="F8" s="167">
        <f>'FS Jimbaran August 2019'!O18/'FS Jimbaran August 2019'!P18</f>
        <v>1127.7958046511558</v>
      </c>
      <c r="G8" s="158">
        <f>'FS Jimbaran August 2019'!AG18</f>
        <v>186.04299999999998</v>
      </c>
      <c r="H8" s="167">
        <f>'FS Jimbaran August 2019'!AH18/'FS Jimbaran August 2019'!AG18</f>
        <v>9623.8809374714456</v>
      </c>
      <c r="I8" s="158">
        <f>'FS Jimbaran August 2019'!AJ18</f>
        <v>422.95999999999913</v>
      </c>
      <c r="J8" s="159">
        <f>'FS Jimbaran August 2019'!AK18/'FS Jimbaran August 2019'!AJ18</f>
        <v>10300</v>
      </c>
      <c r="K8" s="158">
        <f>'FS Jimbaran August 2019'!V18</f>
        <v>825.92</v>
      </c>
      <c r="L8" s="167">
        <f>'FS Jimbaran August 2019'!AA18/'FS Jimbaran August 2019'!V18</f>
        <v>1674.2350862068965</v>
      </c>
      <c r="M8" s="158">
        <f>+'RNs &amp; Covers August 2019'!B12</f>
        <v>103</v>
      </c>
      <c r="N8" s="158">
        <f>+'RNs &amp; Covers August 2019'!C12</f>
        <v>793</v>
      </c>
    </row>
    <row r="9" spans="1:15" ht="14.45">
      <c r="A9" s="155" t="s">
        <v>14</v>
      </c>
      <c r="B9" s="156">
        <f t="shared" si="0"/>
        <v>8</v>
      </c>
      <c r="C9" s="157">
        <v>8</v>
      </c>
      <c r="D9" s="156">
        <v>2019</v>
      </c>
      <c r="E9" s="158">
        <f>'FS Jimbaran August 2019'!P19</f>
        <v>21820.000000000618</v>
      </c>
      <c r="F9" s="167">
        <f>'FS Jimbaran August 2019'!O19/'FS Jimbaran August 2019'!P19</f>
        <v>1125.9716590284158</v>
      </c>
      <c r="G9" s="158">
        <f>'FS Jimbaran August 2019'!AG19</f>
        <v>146.29695999996952</v>
      </c>
      <c r="H9" s="167">
        <f>'FS Jimbaran August 2019'!AH19/'FS Jimbaran August 2019'!AG19</f>
        <v>9143.75</v>
      </c>
      <c r="I9" s="158">
        <f>'FS Jimbaran August 2019'!AJ19</f>
        <v>666.89000000000669</v>
      </c>
      <c r="J9" s="159">
        <f>'FS Jimbaran August 2019'!AK19/'FS Jimbaran August 2019'!AJ19</f>
        <v>10300</v>
      </c>
      <c r="K9" s="158">
        <f>'FS Jimbaran August 2019'!V19</f>
        <v>801.8900000000001</v>
      </c>
      <c r="L9" s="167">
        <f>'FS Jimbaran August 2019'!AA19/'FS Jimbaran August 2019'!V19</f>
        <v>1058.212142064373</v>
      </c>
      <c r="M9" s="158">
        <f>+'RNs &amp; Covers August 2019'!B13</f>
        <v>120</v>
      </c>
      <c r="N9" s="158">
        <f>+'RNs &amp; Covers August 2019'!C13</f>
        <v>856</v>
      </c>
      <c r="O9" s="160" t="s">
        <v>15</v>
      </c>
    </row>
    <row r="10" spans="1:15" ht="14.45">
      <c r="A10" s="155" t="s">
        <v>14</v>
      </c>
      <c r="B10" s="156">
        <f t="shared" si="0"/>
        <v>9</v>
      </c>
      <c r="C10" s="157">
        <v>8</v>
      </c>
      <c r="D10" s="156">
        <v>2019</v>
      </c>
      <c r="E10" s="158">
        <f>'FS Jimbaran August 2019'!P20</f>
        <v>22179.999999999382</v>
      </c>
      <c r="F10" s="167">
        <f>'FS Jimbaran August 2019'!O20/'FS Jimbaran August 2019'!P20</f>
        <v>1127.3097024346303</v>
      </c>
      <c r="G10" s="158">
        <f>'FS Jimbaran August 2019'!AG20</f>
        <v>155.23567999999059</v>
      </c>
      <c r="H10" s="167">
        <f>'FS Jimbaran August 2019'!AH20/'FS Jimbaran August 2019'!AG20</f>
        <v>9335.5551313976375</v>
      </c>
      <c r="I10" s="158">
        <f>'FS Jimbaran August 2019'!AJ20</f>
        <v>545.60999999998671</v>
      </c>
      <c r="J10" s="159">
        <f>'FS Jimbaran August 2019'!AK20/'FS Jimbaran August 2019'!AJ20</f>
        <v>10300</v>
      </c>
      <c r="K10" s="158">
        <f>'FS Jimbaran August 2019'!V20</f>
        <v>820.58</v>
      </c>
      <c r="L10" s="167">
        <f>'FS Jimbaran August 2019'!AA20/'FS Jimbaran August 2019'!V20</f>
        <v>448.90848156182216</v>
      </c>
      <c r="M10" s="158">
        <f>+'RNs &amp; Covers August 2019'!B14</f>
        <v>123</v>
      </c>
      <c r="N10" s="158">
        <f>+'RNs &amp; Covers August 2019'!C14</f>
        <v>990</v>
      </c>
    </row>
    <row r="11" spans="1:15" ht="14.45">
      <c r="A11" s="155" t="s">
        <v>14</v>
      </c>
      <c r="B11" s="156">
        <f t="shared" si="0"/>
        <v>10</v>
      </c>
      <c r="C11" s="157">
        <v>8</v>
      </c>
      <c r="D11" s="156">
        <v>2019</v>
      </c>
      <c r="E11" s="158">
        <f>'FS Jimbaran August 2019'!P21</f>
        <v>22400.000000000091</v>
      </c>
      <c r="F11" s="167">
        <f>'FS Jimbaran August 2019'!O21/'FS Jimbaran August 2019'!P21</f>
        <v>1127.7979553571431</v>
      </c>
      <c r="G11" s="158">
        <f>'FS Jimbaran August 2019'!AG21</f>
        <v>342.06756000001639</v>
      </c>
      <c r="H11" s="167">
        <f>'FS Jimbaran August 2019'!AH21/'FS Jimbaran August 2019'!AG21</f>
        <v>9907.4880171331861</v>
      </c>
      <c r="I11" s="158">
        <f>'FS Jimbaran August 2019'!AJ21</f>
        <v>506.68000000000029</v>
      </c>
      <c r="J11" s="159">
        <f>'FS Jimbaran August 2019'!AK21/'FS Jimbaran August 2019'!AJ21</f>
        <v>10300</v>
      </c>
      <c r="K11" s="158">
        <f>'FS Jimbaran August 2019'!V21</f>
        <v>845.5</v>
      </c>
      <c r="L11" s="167">
        <f>'FS Jimbaran August 2019'!AA21/'FS Jimbaran August 2019'!V21</f>
        <v>1129.0528842105264</v>
      </c>
      <c r="M11" s="158">
        <f>+'RNs &amp; Covers August 2019'!B15</f>
        <v>127</v>
      </c>
      <c r="N11" s="158">
        <f>+'RNs &amp; Covers August 2019'!C15</f>
        <v>895</v>
      </c>
    </row>
    <row r="12" spans="1:15" ht="14.45">
      <c r="A12" s="155" t="s">
        <v>14</v>
      </c>
      <c r="B12" s="156">
        <f t="shared" si="0"/>
        <v>11</v>
      </c>
      <c r="C12" s="157">
        <v>8</v>
      </c>
      <c r="D12" s="156">
        <v>2019</v>
      </c>
      <c r="E12" s="158">
        <f>'FS Jimbaran August 2019'!P22</f>
        <v>21799.999999999956</v>
      </c>
      <c r="F12" s="167">
        <f>'FS Jimbaran August 2019'!O22/'FS Jimbaran August 2019'!P22</f>
        <v>1129.8554311926562</v>
      </c>
      <c r="G12" s="158">
        <f>'FS Jimbaran August 2019'!AG22</f>
        <v>134.1324000000117</v>
      </c>
      <c r="H12" s="167">
        <f>'FS Jimbaran August 2019'!AH22/'FS Jimbaran August 2019'!AG22</f>
        <v>9143.75</v>
      </c>
      <c r="I12" s="158">
        <f>'FS Jimbaran August 2019'!AJ22</f>
        <v>612.29999999999563</v>
      </c>
      <c r="J12" s="159">
        <f>'FS Jimbaran August 2019'!AK22/'FS Jimbaran August 2019'!AJ22</f>
        <v>10300</v>
      </c>
      <c r="K12" s="158">
        <f>'FS Jimbaran August 2019'!V22</f>
        <v>824.1400000000001</v>
      </c>
      <c r="L12" s="167">
        <f>'FS Jimbaran August 2019'!AA22/'FS Jimbaran August 2019'!V22</f>
        <v>591.39116630669548</v>
      </c>
      <c r="M12" s="158">
        <f>+'RNs &amp; Covers August 2019'!B16</f>
        <v>126</v>
      </c>
      <c r="N12" s="158">
        <f>+'RNs &amp; Covers August 2019'!C16</f>
        <v>1001</v>
      </c>
    </row>
    <row r="13" spans="1:15" ht="14.45">
      <c r="A13" s="155" t="s">
        <v>14</v>
      </c>
      <c r="B13" s="156">
        <f t="shared" si="0"/>
        <v>12</v>
      </c>
      <c r="C13" s="157">
        <v>8</v>
      </c>
      <c r="D13" s="156">
        <v>2019</v>
      </c>
      <c r="E13" s="158">
        <f>'FS Jimbaran August 2019'!P23</f>
        <v>23660.00000000008</v>
      </c>
      <c r="F13" s="167">
        <f>'FS Jimbaran August 2019'!O23/'FS Jimbaran August 2019'!P23</f>
        <v>1130.3397971259492</v>
      </c>
      <c r="G13" s="158">
        <f>'FS Jimbaran August 2019'!AG23</f>
        <v>148.952</v>
      </c>
      <c r="H13" s="167">
        <f>'FS Jimbaran August 2019'!AH23/'FS Jimbaran August 2019'!AG23</f>
        <v>9343.6466109887751</v>
      </c>
      <c r="I13" s="158">
        <f>'FS Jimbaran August 2019'!AJ23</f>
        <v>504.40000000000146</v>
      </c>
      <c r="J13" s="159">
        <f>'FS Jimbaran August 2019'!AK23/'FS Jimbaran August 2019'!AJ23</f>
        <v>10300</v>
      </c>
      <c r="K13" s="158">
        <f>'FS Jimbaran August 2019'!V23</f>
        <v>752.05</v>
      </c>
      <c r="L13" s="167">
        <f>'FS Jimbaran August 2019'!AA23/'FS Jimbaran August 2019'!V23</f>
        <v>696.80968047337285</v>
      </c>
      <c r="M13" s="158">
        <f>+'RNs &amp; Covers August 2019'!B17</f>
        <v>130</v>
      </c>
      <c r="N13" s="158">
        <f>+'RNs &amp; Covers August 2019'!C17</f>
        <v>870</v>
      </c>
    </row>
    <row r="14" spans="1:15" ht="14.45">
      <c r="A14" s="155" t="s">
        <v>14</v>
      </c>
      <c r="B14" s="156">
        <f t="shared" si="0"/>
        <v>13</v>
      </c>
      <c r="C14" s="157">
        <v>8</v>
      </c>
      <c r="D14" s="156">
        <v>2019</v>
      </c>
      <c r="E14" s="158">
        <f>'FS Jimbaran August 2019'!P24</f>
        <v>22320.000000001073</v>
      </c>
      <c r="F14" s="167">
        <f>'FS Jimbaran August 2019'!O24/'FS Jimbaran August 2019'!P24</f>
        <v>1126.2715322580623</v>
      </c>
      <c r="G14" s="158">
        <f>'FS Jimbaran August 2019'!AG24</f>
        <v>510.79087999996716</v>
      </c>
      <c r="H14" s="167">
        <f>'FS Jimbaran August 2019'!AH24/'FS Jimbaran August 2019'!AG24</f>
        <v>10155.391985463861</v>
      </c>
      <c r="I14" s="158">
        <f>'FS Jimbaran August 2019'!AJ24</f>
        <v>540.59999999999854</v>
      </c>
      <c r="J14" s="159">
        <f>'FS Jimbaran August 2019'!AK24/'FS Jimbaran August 2019'!AJ24</f>
        <v>10300</v>
      </c>
      <c r="K14" s="158">
        <f>'FS Jimbaran August 2019'!V24</f>
        <v>787.65</v>
      </c>
      <c r="L14" s="167">
        <f>'FS Jimbaran August 2019'!AA24/'FS Jimbaran August 2019'!V24</f>
        <v>407.7291525423729</v>
      </c>
      <c r="M14" s="158">
        <f>+'RNs &amp; Covers August 2019'!B18</f>
        <v>120</v>
      </c>
      <c r="N14" s="158">
        <f>+'RNs &amp; Covers August 2019'!C18</f>
        <v>687</v>
      </c>
    </row>
    <row r="15" spans="1:15" ht="14.45">
      <c r="A15" s="155" t="s">
        <v>14</v>
      </c>
      <c r="B15" s="156">
        <f t="shared" si="0"/>
        <v>14</v>
      </c>
      <c r="C15" s="157">
        <v>8</v>
      </c>
      <c r="D15" s="156">
        <v>2019</v>
      </c>
      <c r="E15" s="158">
        <f>'FS Jimbaran August 2019'!P25</f>
        <v>22519.999999998392</v>
      </c>
      <c r="F15" s="167">
        <f>'FS Jimbaran August 2019'!O25/'FS Jimbaran August 2019'!P25</f>
        <v>1128.2275044405087</v>
      </c>
      <c r="G15" s="158">
        <f>'FS Jimbaran August 2019'!AG25</f>
        <v>151.61391999999765</v>
      </c>
      <c r="H15" s="167">
        <f>'FS Jimbaran August 2019'!AH25/'FS Jimbaran August 2019'!AG25</f>
        <v>9143.75</v>
      </c>
      <c r="I15" s="158">
        <f>'FS Jimbaran August 2019'!AJ25</f>
        <v>448.20000000000437</v>
      </c>
      <c r="J15" s="159">
        <f>'FS Jimbaran August 2019'!AK25/'FS Jimbaran August 2019'!AJ25</f>
        <v>10300</v>
      </c>
      <c r="K15" s="158">
        <f>'FS Jimbaran August 2019'!V25</f>
        <v>861.52</v>
      </c>
      <c r="L15" s="167">
        <f>'FS Jimbaran August 2019'!AA25/'FS Jimbaran August 2019'!V25</f>
        <v>157.87859504132234</v>
      </c>
      <c r="M15" s="158">
        <f>+'RNs &amp; Covers August 2019'!B19</f>
        <v>115</v>
      </c>
      <c r="N15" s="158">
        <f>+'RNs &amp; Covers August 2019'!C19</f>
        <v>843</v>
      </c>
    </row>
    <row r="16" spans="1:15" ht="14.45">
      <c r="A16" s="155" t="s">
        <v>14</v>
      </c>
      <c r="B16" s="156">
        <f t="shared" si="0"/>
        <v>15</v>
      </c>
      <c r="C16" s="157">
        <v>8</v>
      </c>
      <c r="D16" s="156">
        <v>2019</v>
      </c>
      <c r="E16" s="158">
        <f>'FS Jimbaran August 2019'!P26</f>
        <v>22960.00000000072</v>
      </c>
      <c r="F16" s="167">
        <f>'FS Jimbaran August 2019'!O26/'FS Jimbaran August 2019'!P26</f>
        <v>1126.00473867595</v>
      </c>
      <c r="G16" s="158">
        <f>'FS Jimbaran August 2019'!AG26</f>
        <v>262.7277600000516</v>
      </c>
      <c r="H16" s="167">
        <f>'FS Jimbaran August 2019'!AH26/'FS Jimbaran August 2019'!AG26</f>
        <v>9754.267898831733</v>
      </c>
      <c r="I16" s="158">
        <f>'FS Jimbaran August 2019'!AJ26</f>
        <v>795.68000000000029</v>
      </c>
      <c r="J16" s="159">
        <f>'FS Jimbaran August 2019'!AK26/'FS Jimbaran August 2019'!AJ26</f>
        <v>10300</v>
      </c>
      <c r="K16" s="158">
        <f>'FS Jimbaran August 2019'!V26</f>
        <v>801</v>
      </c>
      <c r="L16" s="167">
        <f>'FS Jimbaran August 2019'!AA26/'FS Jimbaran August 2019'!V26</f>
        <v>863.1866</v>
      </c>
      <c r="M16" s="158">
        <f>+'RNs &amp; Covers August 2019'!B20</f>
        <v>112</v>
      </c>
      <c r="N16" s="158">
        <f>+'RNs &amp; Covers August 2019'!C20</f>
        <v>907</v>
      </c>
    </row>
    <row r="17" spans="1:14" ht="14.45">
      <c r="A17" s="155" t="s">
        <v>14</v>
      </c>
      <c r="B17" s="156">
        <f t="shared" si="0"/>
        <v>16</v>
      </c>
      <c r="C17" s="157">
        <v>8</v>
      </c>
      <c r="D17" s="156">
        <v>2019</v>
      </c>
      <c r="E17" s="158">
        <f>'FS Jimbaran August 2019'!P27</f>
        <v>23199.999999999818</v>
      </c>
      <c r="F17" s="167">
        <f>'FS Jimbaran August 2019'!O27/'FS Jimbaran August 2019'!P27</f>
        <v>1124.1784655172428</v>
      </c>
      <c r="G17" s="158">
        <f>'FS Jimbaran August 2019'!AG27</f>
        <v>166.1918399999953</v>
      </c>
      <c r="H17" s="167">
        <f>'FS Jimbaran August 2019'!AH27/'FS Jimbaran August 2019'!AG27</f>
        <v>9322.9104208726549</v>
      </c>
      <c r="I17" s="158">
        <f>'FS Jimbaran August 2019'!AJ27</f>
        <v>611.0199999999968</v>
      </c>
      <c r="J17" s="159">
        <f>'FS Jimbaran August 2019'!AK27/'FS Jimbaran August 2019'!AJ27</f>
        <v>10300</v>
      </c>
      <c r="K17" s="158">
        <f>'FS Jimbaran August 2019'!V27</f>
        <v>805.44999999999993</v>
      </c>
      <c r="L17" s="167">
        <f>'FS Jimbaran August 2019'!AA27/'FS Jimbaran August 2019'!V27</f>
        <v>1385.0017900552489</v>
      </c>
      <c r="M17" s="158">
        <f>+'RNs &amp; Covers August 2019'!B21</f>
        <v>115</v>
      </c>
      <c r="N17" s="158">
        <f>+'RNs &amp; Covers August 2019'!C21</f>
        <v>888</v>
      </c>
    </row>
    <row r="18" spans="1:14" ht="14.45">
      <c r="A18" s="155" t="s">
        <v>14</v>
      </c>
      <c r="B18" s="156">
        <f t="shared" si="0"/>
        <v>17</v>
      </c>
      <c r="C18" s="157">
        <v>8</v>
      </c>
      <c r="D18" s="156">
        <v>2019</v>
      </c>
      <c r="E18" s="158">
        <f>'FS Jimbaran August 2019'!P28</f>
        <v>21760.000000000673</v>
      </c>
      <c r="F18" s="167">
        <f>'FS Jimbaran August 2019'!O28/'FS Jimbaran August 2019'!P28</f>
        <v>1126.6963511029423</v>
      </c>
      <c r="G18" s="158">
        <f>'FS Jimbaran August 2019'!AG28</f>
        <v>330.76631999995072</v>
      </c>
      <c r="H18" s="167">
        <f>'FS Jimbaran August 2019'!AH28/'FS Jimbaran August 2019'!AG28</f>
        <v>10006.179101004125</v>
      </c>
      <c r="I18" s="158">
        <f>'FS Jimbaran August 2019'!AJ28</f>
        <v>601.40000000000146</v>
      </c>
      <c r="J18" s="159">
        <f>'FS Jimbaran August 2019'!AK28/'FS Jimbaran August 2019'!AJ28</f>
        <v>10300</v>
      </c>
      <c r="K18" s="158">
        <f>'FS Jimbaran August 2019'!V28</f>
        <v>772.52</v>
      </c>
      <c r="L18" s="167">
        <f>'FS Jimbaran August 2019'!AA28/'FS Jimbaran August 2019'!V28</f>
        <v>2689.812857142857</v>
      </c>
      <c r="M18" s="158">
        <f>+'RNs &amp; Covers August 2019'!B22</f>
        <v>98</v>
      </c>
      <c r="N18" s="158">
        <f>+'RNs &amp; Covers August 2019'!C22</f>
        <v>796</v>
      </c>
    </row>
    <row r="19" spans="1:14" ht="14.45">
      <c r="A19" s="155" t="s">
        <v>14</v>
      </c>
      <c r="B19" s="156">
        <f t="shared" si="0"/>
        <v>18</v>
      </c>
      <c r="C19" s="157">
        <v>8</v>
      </c>
      <c r="D19" s="156">
        <v>2019</v>
      </c>
      <c r="E19" s="158">
        <f>'FS Jimbaran August 2019'!P29</f>
        <v>21159.99999999849</v>
      </c>
      <c r="F19" s="167">
        <f>'FS Jimbaran August 2019'!O29/'FS Jimbaran August 2019'!P29</f>
        <v>1129.7638185255189</v>
      </c>
      <c r="G19" s="158">
        <f>'FS Jimbaran August 2019'!AG29</f>
        <v>143.59820000003515</v>
      </c>
      <c r="H19" s="167">
        <f>'FS Jimbaran August 2019'!AH29/'FS Jimbaran August 2019'!AG29</f>
        <v>9143.75</v>
      </c>
      <c r="I19" s="158">
        <f>'FS Jimbaran August 2019'!AJ29</f>
        <v>608.40000000000146</v>
      </c>
      <c r="J19" s="159">
        <f>'FS Jimbaran August 2019'!AK29/'FS Jimbaran August 2019'!AJ29</f>
        <v>10300</v>
      </c>
      <c r="K19" s="158">
        <f>'FS Jimbaran August 2019'!V29</f>
        <v>782.31000000000006</v>
      </c>
      <c r="L19" s="167">
        <f>'FS Jimbaran August 2019'!AA29/'FS Jimbaran August 2019'!V29</f>
        <v>1468.3088282138792</v>
      </c>
      <c r="M19" s="158">
        <f>+'RNs &amp; Covers August 2019'!B23</f>
        <v>100</v>
      </c>
      <c r="N19" s="158">
        <f>+'RNs &amp; Covers August 2019'!C23</f>
        <v>871</v>
      </c>
    </row>
    <row r="20" spans="1:14" ht="14.45">
      <c r="A20" s="155" t="s">
        <v>14</v>
      </c>
      <c r="B20" s="156">
        <f t="shared" si="0"/>
        <v>19</v>
      </c>
      <c r="C20" s="157">
        <v>8</v>
      </c>
      <c r="D20" s="156">
        <v>2019</v>
      </c>
      <c r="E20" s="158">
        <f>'FS Jimbaran August 2019'!P30</f>
        <v>21260.000000001583</v>
      </c>
      <c r="F20" s="167">
        <f>'FS Jimbaran August 2019'!O30/'FS Jimbaran August 2019'!P30</f>
        <v>1129.8089463781712</v>
      </c>
      <c r="G20" s="158">
        <f>'FS Jimbaran August 2019'!AG30</f>
        <v>595.93100000000004</v>
      </c>
      <c r="H20" s="167">
        <f>'FS Jimbaran August 2019'!AH30/'FS Jimbaran August 2019'!AG30</f>
        <v>10180.090616615009</v>
      </c>
      <c r="I20" s="158">
        <f>'FS Jimbaran August 2019'!AJ30</f>
        <v>519.88000000000147</v>
      </c>
      <c r="J20" s="159">
        <f>'FS Jimbaran August 2019'!AK30/'FS Jimbaran August 2019'!AJ30</f>
        <v>10300</v>
      </c>
      <c r="K20" s="158">
        <f>'FS Jimbaran August 2019'!V30</f>
        <v>708.43999999999994</v>
      </c>
      <c r="L20" s="167">
        <f>'FS Jimbaran August 2019'!AA30/'FS Jimbaran August 2019'!V30</f>
        <v>2288.3846231155781</v>
      </c>
      <c r="M20" s="158">
        <f>+'RNs &amp; Covers August 2019'!B24</f>
        <v>94</v>
      </c>
      <c r="N20" s="158">
        <f>+'RNs &amp; Covers August 2019'!C24</f>
        <v>760</v>
      </c>
    </row>
    <row r="21" spans="1:14">
      <c r="A21" s="155" t="s">
        <v>14</v>
      </c>
      <c r="B21" s="156">
        <f t="shared" si="0"/>
        <v>20</v>
      </c>
      <c r="C21" s="157">
        <v>8</v>
      </c>
      <c r="D21" s="156">
        <v>2019</v>
      </c>
      <c r="E21" s="158">
        <f>'FS Jimbaran August 2019'!P31</f>
        <v>21579.999999999243</v>
      </c>
      <c r="F21" s="167">
        <f>'FS Jimbaran August 2019'!O31/'FS Jimbaran August 2019'!P31</f>
        <v>1125.5348007414307</v>
      </c>
      <c r="G21" s="158">
        <f>'FS Jimbaran August 2019'!AG31</f>
        <v>163.29167999999061</v>
      </c>
      <c r="H21" s="167">
        <f>'FS Jimbaran August 2019'!AH31/'FS Jimbaran August 2019'!AG31</f>
        <v>9326.0924194055806</v>
      </c>
      <c r="I21" s="158">
        <f>'FS Jimbaran August 2019'!AJ31</f>
        <v>506</v>
      </c>
      <c r="J21" s="159">
        <f>'FS Jimbaran August 2019'!AK31/'FS Jimbaran August 2019'!AJ31</f>
        <v>10300</v>
      </c>
      <c r="K21" s="158">
        <f>'FS Jimbaran August 2019'!V31</f>
        <v>769.85</v>
      </c>
      <c r="L21" s="167">
        <f>'FS Jimbaran August 2019'!AA31/'FS Jimbaran August 2019'!V31</f>
        <v>1259.9618728323701</v>
      </c>
      <c r="M21" s="158">
        <f>+'RNs &amp; Covers August 2019'!B25</f>
        <v>98</v>
      </c>
      <c r="N21" s="158">
        <f>+'RNs &amp; Covers August 2019'!C25</f>
        <v>739</v>
      </c>
    </row>
    <row r="22" spans="1:14">
      <c r="A22" s="155" t="s">
        <v>14</v>
      </c>
      <c r="B22" s="156">
        <f t="shared" si="0"/>
        <v>21</v>
      </c>
      <c r="C22" s="157">
        <v>8</v>
      </c>
      <c r="D22" s="156">
        <v>2019</v>
      </c>
      <c r="E22" s="158">
        <f>'FS Jimbaran August 2019'!P32</f>
        <v>22060.000000000175</v>
      </c>
      <c r="F22" s="167">
        <f>'FS Jimbaran August 2019'!O32/'FS Jimbaran August 2019'!P32</f>
        <v>1132.0333544877628</v>
      </c>
      <c r="G22" s="158">
        <f>'FS Jimbaran August 2019'!AG32</f>
        <v>153.14456000001638</v>
      </c>
      <c r="H22" s="167">
        <f>'FS Jimbaran August 2019'!AH32/'FS Jimbaran August 2019'!AG32</f>
        <v>9143.75</v>
      </c>
      <c r="I22" s="158">
        <f>'FS Jimbaran August 2019'!AJ32</f>
        <v>347.02999999999588</v>
      </c>
      <c r="J22" s="159">
        <f>'FS Jimbaran August 2019'!AK32/'FS Jimbaran August 2019'!AJ32</f>
        <v>10300</v>
      </c>
      <c r="K22" s="158">
        <f>'FS Jimbaran August 2019'!V32</f>
        <v>861.5200000000001</v>
      </c>
      <c r="L22" s="167">
        <f>'FS Jimbaran August 2019'!AA32/'FS Jimbaran August 2019'!V32</f>
        <v>4106.0434090909084</v>
      </c>
      <c r="M22" s="158">
        <f>+'RNs &amp; Covers August 2019'!B26</f>
        <v>122</v>
      </c>
      <c r="N22" s="158">
        <f>+'RNs &amp; Covers August 2019'!C26</f>
        <v>795</v>
      </c>
    </row>
    <row r="23" spans="1:14">
      <c r="A23" s="155" t="s">
        <v>14</v>
      </c>
      <c r="B23" s="156">
        <f t="shared" si="0"/>
        <v>22</v>
      </c>
      <c r="C23" s="157">
        <v>8</v>
      </c>
      <c r="D23" s="156">
        <v>2019</v>
      </c>
      <c r="E23" s="158">
        <f>'FS Jimbaran August 2019'!P33</f>
        <v>22580.000000000153</v>
      </c>
      <c r="F23" s="167">
        <f>'FS Jimbaran August 2019'!O33/'FS Jimbaran August 2019'!P33</f>
        <v>1126.1469884853807</v>
      </c>
      <c r="G23" s="158">
        <f>'FS Jimbaran August 2019'!AG33</f>
        <v>155.03771999996246</v>
      </c>
      <c r="H23" s="167">
        <f>'FS Jimbaran August 2019'!AH33/'FS Jimbaran August 2019'!AG33</f>
        <v>9143.75</v>
      </c>
      <c r="I23" s="158">
        <f>'FS Jimbaran August 2019'!AJ33</f>
        <v>689.92000000001281</v>
      </c>
      <c r="J23" s="159">
        <f>'FS Jimbaran August 2019'!AK33/'FS Jimbaran August 2019'!AJ33</f>
        <v>10300</v>
      </c>
      <c r="K23" s="158">
        <f>'FS Jimbaran August 2019'!V33</f>
        <v>795.66</v>
      </c>
      <c r="L23" s="167">
        <f>'FS Jimbaran August 2019'!AA33/'FS Jimbaran August 2019'!V33</f>
        <v>1658.6362416107384</v>
      </c>
      <c r="M23" s="158">
        <f>+'RNs &amp; Covers August 2019'!B27</f>
        <v>100</v>
      </c>
      <c r="N23" s="158">
        <f>+'RNs &amp; Covers August 2019'!C27</f>
        <v>852</v>
      </c>
    </row>
    <row r="24" spans="1:14">
      <c r="A24" s="155" t="s">
        <v>14</v>
      </c>
      <c r="B24" s="156">
        <f t="shared" si="0"/>
        <v>23</v>
      </c>
      <c r="C24" s="157">
        <v>8</v>
      </c>
      <c r="D24" s="156">
        <v>2019</v>
      </c>
      <c r="E24" s="158">
        <f>'FS Jimbaran August 2019'!P34</f>
        <v>22259.999999999764</v>
      </c>
      <c r="F24" s="167">
        <f>'FS Jimbaran August 2019'!O34/'FS Jimbaran August 2019'!P34</f>
        <v>1124.6542048517567</v>
      </c>
      <c r="G24" s="158">
        <f>'FS Jimbaran August 2019'!AG34</f>
        <v>162.20412000003282</v>
      </c>
      <c r="H24" s="167">
        <f>'FS Jimbaran August 2019'!AH34/'FS Jimbaran August 2019'!AG34</f>
        <v>9327.3150043907262</v>
      </c>
      <c r="I24" s="158">
        <f>'FS Jimbaran August 2019'!AJ34</f>
        <v>476.1200000000099</v>
      </c>
      <c r="J24" s="159">
        <f>'FS Jimbaran August 2019'!AK34/'FS Jimbaran August 2019'!AJ34</f>
        <v>10300</v>
      </c>
      <c r="K24" s="158">
        <f>'FS Jimbaran August 2019'!V34</f>
        <v>795.66</v>
      </c>
      <c r="L24" s="167">
        <f>'FS Jimbaran August 2019'!AA34/'FS Jimbaran August 2019'!V34</f>
        <v>3387.0220805369127</v>
      </c>
      <c r="M24" s="158">
        <f>+'RNs &amp; Covers August 2019'!B28</f>
        <v>90</v>
      </c>
      <c r="N24" s="158">
        <f>+'RNs &amp; Covers August 2019'!C28</f>
        <v>746</v>
      </c>
    </row>
    <row r="25" spans="1:14">
      <c r="A25" s="155" t="s">
        <v>14</v>
      </c>
      <c r="B25" s="156">
        <f t="shared" si="0"/>
        <v>24</v>
      </c>
      <c r="C25" s="157">
        <v>8</v>
      </c>
      <c r="D25" s="156">
        <v>2019</v>
      </c>
      <c r="E25" s="158">
        <f>'FS Jimbaran August 2019'!P35</f>
        <v>22540.000000000189</v>
      </c>
      <c r="F25" s="167">
        <f>'FS Jimbaran August 2019'!O35/'FS Jimbaran August 2019'!P35</f>
        <v>1126.3073558118854</v>
      </c>
      <c r="G25" s="158">
        <f>'FS Jimbaran August 2019'!AG35</f>
        <v>181.89416000000466</v>
      </c>
      <c r="H25" s="167">
        <f>'FS Jimbaran August 2019'!AH35/'FS Jimbaran August 2019'!AG35</f>
        <v>9634.8322865340906</v>
      </c>
      <c r="I25" s="158">
        <f>'FS Jimbaran August 2019'!AJ35</f>
        <v>495.27999999999884</v>
      </c>
      <c r="J25" s="159">
        <f>'FS Jimbaran August 2019'!AK35/'FS Jimbaran August 2019'!AJ35</f>
        <v>10300</v>
      </c>
      <c r="K25" s="158">
        <f>'FS Jimbaran August 2019'!V35</f>
        <v>817.02</v>
      </c>
      <c r="L25" s="167">
        <f>'FS Jimbaran August 2019'!AA35/'FS Jimbaran August 2019'!V35</f>
        <v>746.51315904139437</v>
      </c>
      <c r="M25" s="158">
        <f>+'RNs &amp; Covers August 2019'!B29</f>
        <v>80</v>
      </c>
      <c r="N25" s="158">
        <f>+'RNs &amp; Covers August 2019'!C29</f>
        <v>730</v>
      </c>
    </row>
    <row r="26" spans="1:14">
      <c r="A26" s="155" t="s">
        <v>14</v>
      </c>
      <c r="B26" s="156">
        <f>B25+1</f>
        <v>25</v>
      </c>
      <c r="C26" s="157">
        <v>8</v>
      </c>
      <c r="D26" s="156">
        <v>2019</v>
      </c>
      <c r="E26" s="158">
        <f>'FS Jimbaran August 2019'!P36</f>
        <v>21720.000000000255</v>
      </c>
      <c r="F26" s="167">
        <f>'FS Jimbaran August 2019'!O36/'FS Jimbaran August 2019'!P36</f>
        <v>1128.2944198895041</v>
      </c>
      <c r="G26" s="158">
        <f>'FS Jimbaran August 2019'!AG36</f>
        <v>148.1061199999742</v>
      </c>
      <c r="H26" s="167">
        <f>'FS Jimbaran August 2019'!AH36/'FS Jimbaran August 2019'!AG36</f>
        <v>9344.7882825504112</v>
      </c>
      <c r="I26" s="158">
        <f>'FS Jimbaran August 2019'!AJ36</f>
        <v>527.19999999999709</v>
      </c>
      <c r="J26" s="159">
        <f>'FS Jimbaran August 2019'!AK36/'FS Jimbaran August 2019'!AJ36</f>
        <v>10300</v>
      </c>
      <c r="K26" s="158">
        <f>'FS Jimbaran August 2019'!V36</f>
        <v>812.57</v>
      </c>
      <c r="L26" s="167">
        <f>'FS Jimbaran August 2019'!AA36/'FS Jimbaran August 2019'!V36</f>
        <v>2102.2178532311063</v>
      </c>
      <c r="M26" s="158">
        <f>+'RNs &amp; Covers August 2019'!B30</f>
        <v>75</v>
      </c>
      <c r="N26" s="158">
        <f>+'RNs &amp; Covers August 2019'!C30</f>
        <v>681</v>
      </c>
    </row>
    <row r="27" spans="1:14">
      <c r="A27" s="155" t="s">
        <v>14</v>
      </c>
      <c r="B27" s="156">
        <f t="shared" si="0"/>
        <v>26</v>
      </c>
      <c r="C27" s="157">
        <v>8</v>
      </c>
      <c r="D27" s="156">
        <v>2019</v>
      </c>
      <c r="E27" s="158">
        <f>'FS Jimbaran August 2019'!P37</f>
        <v>20559.999999998581</v>
      </c>
      <c r="F27" s="167">
        <f>'FS Jimbaran August 2019'!O37/'FS Jimbaran August 2019'!P37</f>
        <v>1126.9649124513655</v>
      </c>
      <c r="G27" s="158">
        <f>'FS Jimbaran August 2019'!AG37</f>
        <v>140.97656000001641</v>
      </c>
      <c r="H27" s="167">
        <f>'FS Jimbaran August 2019'!AH37/'FS Jimbaran August 2019'!AG37</f>
        <v>9354.9553237786222</v>
      </c>
      <c r="I27" s="158">
        <f>'FS Jimbaran August 2019'!AJ37</f>
        <v>470.95000000000005</v>
      </c>
      <c r="J27" s="159">
        <f>'FS Jimbaran August 2019'!AK37/'FS Jimbaran August 2019'!AJ37</f>
        <v>10300.000000000002</v>
      </c>
      <c r="K27" s="158">
        <f>'FS Jimbaran August 2019'!V37</f>
        <v>765.4</v>
      </c>
      <c r="L27" s="167">
        <f>'FS Jimbaran August 2019'!AA37/'FS Jimbaran August 2019'!V37</f>
        <v>3216.0306511627909</v>
      </c>
      <c r="M27" s="158">
        <f>+'RNs &amp; Covers August 2019'!B31</f>
        <v>76</v>
      </c>
      <c r="N27" s="158">
        <f>+'RNs &amp; Covers August 2019'!C31</f>
        <v>598</v>
      </c>
    </row>
    <row r="28" spans="1:14">
      <c r="A28" s="155" t="s">
        <v>14</v>
      </c>
      <c r="B28" s="156">
        <f t="shared" si="0"/>
        <v>27</v>
      </c>
      <c r="C28" s="157">
        <v>8</v>
      </c>
      <c r="D28" s="156">
        <v>2019</v>
      </c>
      <c r="E28" s="158">
        <f>'FS Jimbaran August 2019'!P38</f>
        <v>20700.000000000953</v>
      </c>
      <c r="F28" s="167">
        <f>'FS Jimbaran August 2019'!O38/'FS Jimbaran August 2019'!P38</f>
        <v>1128.3497101449245</v>
      </c>
      <c r="G28" s="158">
        <f>'FS Jimbaran August 2019'!AG38</f>
        <v>322.3949599999695</v>
      </c>
      <c r="H28" s="167">
        <f>'FS Jimbaran August 2019'!AH38/'FS Jimbaran August 2019'!AG38</f>
        <v>9843.8617511266966</v>
      </c>
      <c r="I28" s="158">
        <f>'FS Jimbaran August 2019'!AJ38</f>
        <v>366.17000000000348</v>
      </c>
      <c r="J28" s="159">
        <f>'FS Jimbaran August 2019'!AK38/'FS Jimbaran August 2019'!AJ38</f>
        <v>10300</v>
      </c>
      <c r="K28" s="158">
        <f>'FS Jimbaran August 2019'!V38</f>
        <v>875.76</v>
      </c>
      <c r="L28" s="167">
        <f>'FS Jimbaran August 2019'!AA38/'FS Jimbaran August 2019'!V38</f>
        <v>1419.4847154471547</v>
      </c>
      <c r="M28" s="158">
        <f>+'RNs &amp; Covers August 2019'!B32</f>
        <v>75</v>
      </c>
      <c r="N28" s="158">
        <f>+'RNs &amp; Covers August 2019'!C32</f>
        <v>592</v>
      </c>
    </row>
    <row r="29" spans="1:14">
      <c r="A29" s="155" t="s">
        <v>14</v>
      </c>
      <c r="B29" s="156">
        <f t="shared" si="0"/>
        <v>28</v>
      </c>
      <c r="C29" s="157">
        <v>8</v>
      </c>
      <c r="D29" s="156">
        <v>2019</v>
      </c>
      <c r="E29" s="158">
        <f>'FS Jimbaran August 2019'!P39</f>
        <v>22160.000000000309</v>
      </c>
      <c r="F29" s="167">
        <f>'FS Jimbaran August 2019'!O39/'FS Jimbaran August 2019'!P39</f>
        <v>1126.9249007220226</v>
      </c>
      <c r="G29" s="158">
        <f>'FS Jimbaran August 2019'!AG39</f>
        <v>193.67876000005157</v>
      </c>
      <c r="H29" s="167">
        <f>'FS Jimbaran August 2019'!AH39/'FS Jimbaran August 2019'!AG39</f>
        <v>9480.9707670060598</v>
      </c>
      <c r="I29" s="158">
        <f>'FS Jimbaran August 2019'!AJ39</f>
        <v>364.05000000000223</v>
      </c>
      <c r="J29" s="159">
        <f>'FS Jimbaran August 2019'!AK39/'FS Jimbaran August 2019'!AJ39</f>
        <v>10300</v>
      </c>
      <c r="K29" s="158">
        <f>'FS Jimbaran August 2019'!V39</f>
        <v>829.48</v>
      </c>
      <c r="L29" s="167">
        <f>'FS Jimbaran August 2019'!AA39/'FS Jimbaran August 2019'!V39</f>
        <v>1141.748798283262</v>
      </c>
      <c r="M29" s="158">
        <f>+'RNs &amp; Covers August 2019'!B33</f>
        <v>78</v>
      </c>
      <c r="N29" s="158">
        <f>+'RNs &amp; Covers August 2019'!C33</f>
        <v>529</v>
      </c>
    </row>
    <row r="30" spans="1:14">
      <c r="A30" s="155" t="s">
        <v>14</v>
      </c>
      <c r="B30" s="156">
        <f t="shared" si="0"/>
        <v>29</v>
      </c>
      <c r="C30" s="157">
        <v>8</v>
      </c>
      <c r="D30" s="156">
        <v>2019</v>
      </c>
      <c r="E30" s="158">
        <f>'FS Jimbaran August 2019'!P40</f>
        <v>22639.999999998734</v>
      </c>
      <c r="F30" s="167">
        <f>'FS Jimbaran August 2019'!O40/'FS Jimbaran August 2019'!P40</f>
        <v>1124.9925000000019</v>
      </c>
      <c r="G30" s="158">
        <f>'FS Jimbaran August 2019'!AG40</f>
        <v>158.17955999995777</v>
      </c>
      <c r="H30" s="167">
        <f>'FS Jimbaran August 2019'!AH40/'FS Jimbaran August 2019'!AG40</f>
        <v>9143.75</v>
      </c>
      <c r="I30" s="158">
        <f>'FS Jimbaran August 2019'!AJ40</f>
        <v>596.17999999999302</v>
      </c>
      <c r="J30" s="159">
        <f>'FS Jimbaran August 2019'!AK40/'FS Jimbaran August 2019'!AJ40</f>
        <v>10300</v>
      </c>
      <c r="K30" s="158">
        <f>'FS Jimbaran August 2019'!V40</f>
        <v>804.56000000000006</v>
      </c>
      <c r="L30" s="167">
        <f>'FS Jimbaran August 2019'!AA40/'FS Jimbaran August 2019'!V40</f>
        <v>1948.6420132743365</v>
      </c>
      <c r="M30" s="158">
        <f>+'RNs &amp; Covers August 2019'!B34</f>
        <v>63</v>
      </c>
      <c r="N30" s="158">
        <f>+'RNs &amp; Covers August 2019'!C34</f>
        <v>658</v>
      </c>
    </row>
    <row r="31" spans="1:14">
      <c r="A31" s="155" t="s">
        <v>14</v>
      </c>
      <c r="B31" s="156">
        <f t="shared" si="0"/>
        <v>30</v>
      </c>
      <c r="C31" s="157">
        <v>8</v>
      </c>
      <c r="D31" s="156">
        <v>2019</v>
      </c>
      <c r="E31" s="158">
        <f>'FS Jimbaran August 2019'!P41</f>
        <v>22200.000000001637</v>
      </c>
      <c r="F31" s="167">
        <f>'FS Jimbaran August 2019'!O41/'FS Jimbaran August 2019'!P41</f>
        <v>1127.2272432432383</v>
      </c>
      <c r="G31" s="158">
        <f>'FS Jimbaran August 2019'!AG41</f>
        <v>162.04299999999998</v>
      </c>
      <c r="H31" s="167">
        <f>'FS Jimbaran August 2019'!AH41/'FS Jimbaran August 2019'!AG41</f>
        <v>9327.4975238054103</v>
      </c>
      <c r="I31" s="158">
        <f>'FS Jimbaran August 2019'!AJ41</f>
        <v>354.32000000000698</v>
      </c>
      <c r="J31" s="159">
        <f>'FS Jimbaran August 2019'!AK41/'FS Jimbaran August 2019'!AJ41</f>
        <v>10300</v>
      </c>
      <c r="K31" s="158">
        <f>'FS Jimbaran August 2019'!V41</f>
        <v>795.66</v>
      </c>
      <c r="L31" s="167">
        <f>'FS Jimbaran August 2019'!AA41/'FS Jimbaran August 2019'!V41</f>
        <v>1117.1317897091724</v>
      </c>
      <c r="M31" s="158">
        <f>+'RNs &amp; Covers August 2019'!B35</f>
        <v>55</v>
      </c>
      <c r="N31" s="158">
        <f>+'RNs &amp; Covers August 2019'!C35</f>
        <v>522</v>
      </c>
    </row>
    <row r="32" spans="1:14">
      <c r="A32" s="155" t="s">
        <v>14</v>
      </c>
      <c r="B32" s="156">
        <f t="shared" si="0"/>
        <v>31</v>
      </c>
      <c r="C32" s="157">
        <v>8</v>
      </c>
      <c r="D32" s="156">
        <v>2019</v>
      </c>
      <c r="E32" s="158">
        <f>'FS Jimbaran August 2019'!P42</f>
        <v>22539.99999999928</v>
      </c>
      <c r="F32" s="167">
        <f>'FS Jimbaran August 2019'!O42/'FS Jimbaran August 2019'!P42</f>
        <v>1124.4692369121567</v>
      </c>
      <c r="G32" s="158">
        <f>'FS Jimbaran August 2019'!AG42</f>
        <v>170.49491999999765</v>
      </c>
      <c r="H32" s="167">
        <f>'FS Jimbaran August 2019'!AH42/'FS Jimbaran August 2019'!AG42</f>
        <v>9667.6659031835152</v>
      </c>
      <c r="I32" s="158">
        <f>'FS Jimbaran August 2019'!AJ42</f>
        <v>397</v>
      </c>
      <c r="J32" s="159">
        <f>'FS Jimbaran August 2019'!AK42/'FS Jimbaran August 2019'!AJ42</f>
        <v>10300</v>
      </c>
      <c r="K32" s="158">
        <f>'FS Jimbaran August 2019'!V42</f>
        <v>746.71</v>
      </c>
      <c r="L32" s="167">
        <f>'FS Jimbaran August 2019'!AA42/'FS Jimbaran August 2019'!V42</f>
        <v>1247.6999284862932</v>
      </c>
      <c r="M32" s="158">
        <f>+'RNs &amp; Covers August 2019'!B36</f>
        <v>43</v>
      </c>
      <c r="N32" s="158">
        <f>+'RNs &amp; Covers August 2019'!C36</f>
        <v>498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M66"/>
  <sheetViews>
    <sheetView zoomScale="62" zoomScaleNormal="62" workbookViewId="0">
      <pane xSplit="4" ySplit="10" topLeftCell="R11" activePane="bottomRight" state="frozen"/>
      <selection pane="bottomRight" activeCell="Y12" sqref="Y12:Y42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11.42578125" style="3" customWidth="1"/>
    <col min="4" max="4" width="11.425781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61" bestFit="1" customWidth="1"/>
    <col min="14" max="14" width="20.42578125" style="65" customWidth="1"/>
    <col min="15" max="15" width="18.85546875" customWidth="1"/>
    <col min="16" max="16" width="15.140625" style="65" customWidth="1"/>
    <col min="17" max="17" width="19.7109375" customWidth="1"/>
    <col min="18" max="18" width="18.140625" style="86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3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3" customWidth="1"/>
    <col min="35" max="35" width="10.5703125" customWidth="1"/>
    <col min="36" max="36" width="13.28515625" style="86" bestFit="1" customWidth="1"/>
    <col min="37" max="37" width="20.7109375" bestFit="1" customWidth="1"/>
    <col min="38" max="38" width="10.85546875" style="38" customWidth="1"/>
    <col min="39" max="39" width="2.28515625" style="7" customWidth="1"/>
  </cols>
  <sheetData>
    <row r="5" spans="1:39">
      <c r="N5" s="168"/>
      <c r="X5" s="169"/>
    </row>
    <row r="6" spans="1:39" s="25" customFormat="1" ht="19.5" thickBot="1">
      <c r="B6" s="25" t="s">
        <v>16</v>
      </c>
      <c r="C6" s="33"/>
      <c r="E6" s="33"/>
      <c r="F6" s="33"/>
      <c r="H6" s="33"/>
      <c r="L6" s="33"/>
      <c r="M6" s="56"/>
      <c r="N6" s="62"/>
      <c r="P6" s="62"/>
      <c r="R6" s="82"/>
      <c r="AD6" s="33"/>
      <c r="AH6" s="33"/>
      <c r="AJ6" s="82"/>
      <c r="AL6" s="35"/>
    </row>
    <row r="7" spans="1:39" s="11" customFormat="1" ht="16.5" thickBot="1">
      <c r="A7" s="29"/>
      <c r="B7" s="225" t="s">
        <v>17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7"/>
      <c r="AM7" s="29"/>
    </row>
    <row r="8" spans="1:39" s="7" customFormat="1" ht="15.75" customHeight="1" thickBot="1">
      <c r="A8" s="26"/>
      <c r="B8" s="228" t="s">
        <v>18</v>
      </c>
      <c r="C8" s="231" t="s">
        <v>19</v>
      </c>
      <c r="D8" s="234" t="s">
        <v>13</v>
      </c>
      <c r="E8" s="237" t="s">
        <v>20</v>
      </c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8"/>
      <c r="V8" s="239" t="s">
        <v>21</v>
      </c>
      <c r="W8" s="240"/>
      <c r="X8" s="240"/>
      <c r="Y8" s="240"/>
      <c r="Z8" s="240"/>
      <c r="AA8" s="240"/>
      <c r="AB8" s="241"/>
      <c r="AC8" s="242" t="s">
        <v>22</v>
      </c>
      <c r="AD8" s="242"/>
      <c r="AE8" s="242"/>
      <c r="AF8" s="242"/>
      <c r="AG8" s="242"/>
      <c r="AH8" s="242"/>
      <c r="AI8" s="242"/>
      <c r="AJ8" s="242"/>
      <c r="AK8" s="242"/>
      <c r="AL8" s="243"/>
      <c r="AM8" s="28"/>
    </row>
    <row r="9" spans="1:39" ht="15" customHeight="1" thickBot="1">
      <c r="B9" s="229"/>
      <c r="C9" s="232"/>
      <c r="D9" s="235"/>
      <c r="E9" s="244" t="s">
        <v>23</v>
      </c>
      <c r="F9" s="245"/>
      <c r="G9" s="245"/>
      <c r="H9" s="245"/>
      <c r="I9" s="246"/>
      <c r="J9" s="247" t="s">
        <v>24</v>
      </c>
      <c r="K9" s="247"/>
      <c r="L9" s="247"/>
      <c r="M9" s="247"/>
      <c r="N9" s="248"/>
      <c r="O9" s="234" t="s">
        <v>25</v>
      </c>
      <c r="P9" s="249" t="s">
        <v>26</v>
      </c>
      <c r="Q9" s="212" t="s">
        <v>27</v>
      </c>
      <c r="R9" s="217" t="s">
        <v>28</v>
      </c>
      <c r="S9" s="219" t="s">
        <v>29</v>
      </c>
      <c r="T9" s="221" t="s">
        <v>30</v>
      </c>
      <c r="U9" s="222"/>
      <c r="V9" s="50"/>
      <c r="W9" s="50" t="s">
        <v>31</v>
      </c>
      <c r="X9" s="50"/>
      <c r="Y9" s="51"/>
      <c r="Z9" s="172"/>
      <c r="AA9" s="223" t="s">
        <v>32</v>
      </c>
      <c r="AB9" s="224"/>
      <c r="AC9" s="242" t="s">
        <v>33</v>
      </c>
      <c r="AD9" s="242"/>
      <c r="AE9" s="242"/>
      <c r="AF9" s="242"/>
      <c r="AG9" s="242"/>
      <c r="AH9" s="242"/>
      <c r="AI9" s="243"/>
      <c r="AJ9" s="214" t="s">
        <v>34</v>
      </c>
      <c r="AK9" s="215"/>
      <c r="AL9" s="216"/>
    </row>
    <row r="10" spans="1:39" ht="61.5" customHeight="1" thickBot="1">
      <c r="A10" s="27"/>
      <c r="B10" s="230"/>
      <c r="C10" s="233"/>
      <c r="D10" s="236"/>
      <c r="E10" s="96" t="s">
        <v>35</v>
      </c>
      <c r="F10" s="80" t="s">
        <v>36</v>
      </c>
      <c r="G10" s="130" t="s">
        <v>37</v>
      </c>
      <c r="H10" s="17" t="s">
        <v>36</v>
      </c>
      <c r="I10" s="97" t="s">
        <v>38</v>
      </c>
      <c r="J10" s="96" t="s">
        <v>35</v>
      </c>
      <c r="K10" s="81" t="s">
        <v>36</v>
      </c>
      <c r="L10" s="130" t="s">
        <v>37</v>
      </c>
      <c r="M10" s="57" t="s">
        <v>36</v>
      </c>
      <c r="N10" s="89" t="s">
        <v>39</v>
      </c>
      <c r="O10" s="236"/>
      <c r="P10" s="250"/>
      <c r="Q10" s="213"/>
      <c r="R10" s="218"/>
      <c r="S10" s="220"/>
      <c r="T10" s="173" t="s">
        <v>40</v>
      </c>
      <c r="U10" s="22" t="s">
        <v>41</v>
      </c>
      <c r="V10" s="174" t="s">
        <v>42</v>
      </c>
      <c r="W10" s="52" t="s">
        <v>43</v>
      </c>
      <c r="X10" s="52" t="s">
        <v>44</v>
      </c>
      <c r="Y10" s="21" t="s">
        <v>45</v>
      </c>
      <c r="Z10" s="21" t="s">
        <v>46</v>
      </c>
      <c r="AA10" s="21" t="s">
        <v>40</v>
      </c>
      <c r="AB10" s="12" t="s">
        <v>41</v>
      </c>
      <c r="AC10" s="122" t="s">
        <v>47</v>
      </c>
      <c r="AD10" s="45" t="s">
        <v>48</v>
      </c>
      <c r="AE10" s="44" t="s">
        <v>49</v>
      </c>
      <c r="AF10" s="44" t="s">
        <v>50</v>
      </c>
      <c r="AG10" s="44" t="s">
        <v>51</v>
      </c>
      <c r="AH10" s="45" t="s">
        <v>40</v>
      </c>
      <c r="AI10" s="46" t="s">
        <v>41</v>
      </c>
      <c r="AJ10" s="137" t="s">
        <v>52</v>
      </c>
      <c r="AK10" s="44" t="s">
        <v>40</v>
      </c>
      <c r="AL10" s="48" t="s">
        <v>41</v>
      </c>
      <c r="AM10" s="27"/>
    </row>
    <row r="11" spans="1:39">
      <c r="A11" s="27"/>
      <c r="B11" s="54"/>
      <c r="C11" s="98"/>
      <c r="D11" s="175"/>
      <c r="E11" s="176"/>
      <c r="F11" s="87"/>
      <c r="G11" s="18"/>
      <c r="H11" s="19"/>
      <c r="I11" s="99"/>
      <c r="J11" s="88"/>
      <c r="K11" s="18"/>
      <c r="L11" s="19"/>
      <c r="M11" s="58"/>
      <c r="N11" s="90"/>
      <c r="O11" s="53"/>
      <c r="P11" s="107"/>
      <c r="Q11" s="177"/>
      <c r="R11" s="110"/>
      <c r="S11" s="178"/>
      <c r="T11" s="178"/>
      <c r="U11" s="23"/>
      <c r="V11" s="88"/>
      <c r="W11" s="18"/>
      <c r="X11" s="18"/>
      <c r="Y11" s="20"/>
      <c r="Z11" s="20"/>
      <c r="AA11" s="20"/>
      <c r="AB11" s="99"/>
      <c r="AC11" s="123"/>
      <c r="AD11" s="42"/>
      <c r="AE11" s="39"/>
      <c r="AF11" s="39"/>
      <c r="AG11" s="39"/>
      <c r="AH11" s="42"/>
      <c r="AI11" s="43"/>
      <c r="AJ11" s="138"/>
      <c r="AK11" s="39"/>
      <c r="AL11" s="47"/>
      <c r="AM11" s="27"/>
    </row>
    <row r="12" spans="1:39">
      <c r="A12" s="32"/>
      <c r="B12" s="55">
        <v>1</v>
      </c>
      <c r="C12" s="210">
        <v>67</v>
      </c>
      <c r="D12" s="211">
        <v>570</v>
      </c>
      <c r="E12" s="103">
        <v>16640.000000000327</v>
      </c>
      <c r="F12" s="2">
        <v>17235379.200000338</v>
      </c>
      <c r="G12" s="34">
        <v>3519.9999999999818</v>
      </c>
      <c r="H12" s="2">
        <v>5468918.3999999724</v>
      </c>
      <c r="I12" s="100">
        <f>F12+H12</f>
        <v>22704297.600000311</v>
      </c>
      <c r="J12" s="103">
        <v>1740.0000000006912</v>
      </c>
      <c r="K12" s="2">
        <v>1802257.2000007159</v>
      </c>
      <c r="L12" s="179">
        <v>419.99999999984539</v>
      </c>
      <c r="M12" s="180">
        <v>652541.39999975986</v>
      </c>
      <c r="N12" s="91">
        <f>+K12+M12</f>
        <v>2454798.6000004755</v>
      </c>
      <c r="O12" s="105">
        <f>N12+I12</f>
        <v>25159096.200000785</v>
      </c>
      <c r="P12" s="108">
        <f>L12+J12+G12+E12</f>
        <v>22320.000000000844</v>
      </c>
      <c r="Q12" s="132"/>
      <c r="R12" s="194"/>
      <c r="S12" s="208"/>
      <c r="T12" s="205"/>
      <c r="U12" s="203">
        <v>0</v>
      </c>
      <c r="V12" s="181">
        <f>Y12+W12</f>
        <v>813.46</v>
      </c>
      <c r="W12" s="2">
        <v>66.75</v>
      </c>
      <c r="X12" s="2">
        <v>1199530.875</v>
      </c>
      <c r="Y12" s="30">
        <v>746.71</v>
      </c>
      <c r="Z12" s="30">
        <v>317369.65680000006</v>
      </c>
      <c r="AA12" s="30">
        <f t="shared" ref="AA12:AA39" si="0">Z12+X12</f>
        <v>1516900.5318</v>
      </c>
      <c r="AB12" s="125">
        <f t="shared" ref="AB12:AB39" si="1">AA12/$AL$48</f>
        <v>116.89966174710564</v>
      </c>
      <c r="AC12" s="131">
        <v>122.49148000001405</v>
      </c>
      <c r="AD12" s="2">
        <v>0</v>
      </c>
      <c r="AE12" s="2">
        <v>350</v>
      </c>
      <c r="AF12" s="2">
        <v>72</v>
      </c>
      <c r="AG12" s="2">
        <f>AC12+AE12+AD12+AF12</f>
        <v>544.49148000001401</v>
      </c>
      <c r="AH12" s="2">
        <v>5614531.4702501288</v>
      </c>
      <c r="AI12" s="40">
        <f t="shared" ref="AI12:AI39" si="2">AH12/$AL$48</f>
        <v>432.68283976530131</v>
      </c>
      <c r="AJ12" s="139">
        <v>776.15000000000146</v>
      </c>
      <c r="AK12" s="2">
        <v>7994345.0000000149</v>
      </c>
      <c r="AL12" s="36">
        <f t="shared" ref="AL12:AL42" si="3">AK12/$AL$48</f>
        <v>616.08273370483823</v>
      </c>
      <c r="AM12" s="6"/>
    </row>
    <row r="13" spans="1:39">
      <c r="A13" s="32"/>
      <c r="B13" s="55">
        <v>2</v>
      </c>
      <c r="C13" s="210">
        <v>88</v>
      </c>
      <c r="D13" s="211">
        <v>711</v>
      </c>
      <c r="E13" s="103">
        <v>16800.000000000182</v>
      </c>
      <c r="F13" s="2">
        <v>17401104.000000186</v>
      </c>
      <c r="G13" s="34">
        <v>3560.0000000001728</v>
      </c>
      <c r="H13" s="2">
        <v>5531065.2000002684</v>
      </c>
      <c r="I13" s="100">
        <f t="shared" ref="I13:I42" si="4">F13+H13</f>
        <v>22932169.200000454</v>
      </c>
      <c r="J13" s="103">
        <v>1699.9999999998181</v>
      </c>
      <c r="K13" s="2">
        <v>1760825.9999998116</v>
      </c>
      <c r="L13" s="179">
        <v>420.00000000007276</v>
      </c>
      <c r="M13" s="180">
        <v>652541.40000011306</v>
      </c>
      <c r="N13" s="91">
        <f t="shared" ref="N13:N41" si="5">+K13+M13</f>
        <v>2413367.3999999249</v>
      </c>
      <c r="O13" s="105">
        <f t="shared" ref="O13:O39" si="6">N13+I13</f>
        <v>25345536.600000378</v>
      </c>
      <c r="P13" s="108">
        <f t="shared" ref="P13:P39" si="7">L13+J13+G13+E13</f>
        <v>22480.000000000247</v>
      </c>
      <c r="Q13" s="184"/>
      <c r="R13" s="195"/>
      <c r="S13" s="208"/>
      <c r="T13" s="205"/>
      <c r="U13" s="203">
        <v>0</v>
      </c>
      <c r="V13" s="181">
        <f t="shared" ref="V13:V41" si="8">Y13+W13</f>
        <v>792.1</v>
      </c>
      <c r="W13" s="2">
        <v>64.08</v>
      </c>
      <c r="X13" s="2">
        <v>1151549.6399999999</v>
      </c>
      <c r="Y13" s="30">
        <v>728.02</v>
      </c>
      <c r="Z13" s="30">
        <v>173797.6692</v>
      </c>
      <c r="AA13" s="30">
        <f t="shared" si="0"/>
        <v>1325347.3092</v>
      </c>
      <c r="AB13" s="125">
        <f t="shared" si="1"/>
        <v>102.13764771976767</v>
      </c>
      <c r="AC13" s="131">
        <v>140.37580000002342</v>
      </c>
      <c r="AD13" s="2">
        <v>0</v>
      </c>
      <c r="AE13" s="2">
        <v>0</v>
      </c>
      <c r="AF13" s="2">
        <v>0</v>
      </c>
      <c r="AG13" s="2">
        <f t="shared" ref="AG13:AG42" si="9">AC13+AE13+AD13+AF13</f>
        <v>140.37580000002342</v>
      </c>
      <c r="AH13" s="2">
        <v>1283561.2212502141</v>
      </c>
      <c r="AI13" s="40">
        <f t="shared" si="2"/>
        <v>98.917410502718013</v>
      </c>
      <c r="AJ13" s="139">
        <v>604.4800000000032</v>
      </c>
      <c r="AK13" s="2">
        <v>6226144.0000000326</v>
      </c>
      <c r="AL13" s="36">
        <f t="shared" si="3"/>
        <v>479.81664738762083</v>
      </c>
      <c r="AM13" s="6"/>
    </row>
    <row r="14" spans="1:39">
      <c r="A14" s="32"/>
      <c r="B14" s="55">
        <v>3</v>
      </c>
      <c r="C14" s="210">
        <v>82</v>
      </c>
      <c r="D14" s="211">
        <v>683</v>
      </c>
      <c r="E14" s="103">
        <v>16920.000000000073</v>
      </c>
      <c r="F14" s="2">
        <v>17525397.600000076</v>
      </c>
      <c r="G14" s="34">
        <v>3479.9999999997908</v>
      </c>
      <c r="H14" s="2">
        <v>5406771.5999996755</v>
      </c>
      <c r="I14" s="100">
        <f t="shared" si="4"/>
        <v>22932169.19999975</v>
      </c>
      <c r="J14" s="103">
        <v>1880.0000000001091</v>
      </c>
      <c r="K14" s="2">
        <v>1947266.4000001131</v>
      </c>
      <c r="L14" s="179">
        <v>420.00000000007276</v>
      </c>
      <c r="M14" s="180">
        <v>652541.40000011306</v>
      </c>
      <c r="N14" s="91">
        <f t="shared" si="5"/>
        <v>2599807.8000002261</v>
      </c>
      <c r="O14" s="105">
        <f t="shared" si="6"/>
        <v>25531976.999999978</v>
      </c>
      <c r="P14" s="108">
        <f t="shared" si="7"/>
        <v>22700.000000000044</v>
      </c>
      <c r="Q14" s="184"/>
      <c r="R14" s="195"/>
      <c r="S14" s="208"/>
      <c r="T14" s="205"/>
      <c r="U14" s="203">
        <v>0</v>
      </c>
      <c r="V14" s="181">
        <f t="shared" si="8"/>
        <v>815.24</v>
      </c>
      <c r="W14" s="2">
        <v>62.300000000000004</v>
      </c>
      <c r="X14" s="2">
        <v>1119562.1500000001</v>
      </c>
      <c r="Y14" s="30">
        <v>752.94</v>
      </c>
      <c r="Z14" s="30">
        <v>185132.29980000001</v>
      </c>
      <c r="AA14" s="30">
        <f t="shared" si="0"/>
        <v>1304694.4498000001</v>
      </c>
      <c r="AB14" s="125">
        <f t="shared" si="1"/>
        <v>100.5460388915305</v>
      </c>
      <c r="AC14" s="131">
        <v>125.35135999998123</v>
      </c>
      <c r="AD14" s="2">
        <v>0</v>
      </c>
      <c r="AE14" s="2">
        <v>0</v>
      </c>
      <c r="AF14" s="2">
        <v>12</v>
      </c>
      <c r="AG14" s="2">
        <f t="shared" si="9"/>
        <v>137.35135999998124</v>
      </c>
      <c r="AH14" s="2">
        <v>1285681.4979998283</v>
      </c>
      <c r="AI14" s="40">
        <f t="shared" si="2"/>
        <v>99.080809242216134</v>
      </c>
      <c r="AJ14" s="139">
        <v>522.39999999999418</v>
      </c>
      <c r="AK14" s="2">
        <v>5380719.9999999404</v>
      </c>
      <c r="AL14" s="36">
        <f t="shared" si="3"/>
        <v>414.66420162005198</v>
      </c>
      <c r="AM14" s="6"/>
    </row>
    <row r="15" spans="1:39">
      <c r="A15" s="32"/>
      <c r="B15" s="55">
        <v>4</v>
      </c>
      <c r="C15" s="210">
        <v>85</v>
      </c>
      <c r="D15" s="211">
        <v>742</v>
      </c>
      <c r="E15" s="103">
        <v>15879.9999999992</v>
      </c>
      <c r="F15" s="2">
        <v>16448186.399999171</v>
      </c>
      <c r="G15" s="34">
        <v>3200.0000000000455</v>
      </c>
      <c r="H15" s="2">
        <v>4971744.0000000708</v>
      </c>
      <c r="I15" s="100">
        <f t="shared" si="4"/>
        <v>21419930.399999242</v>
      </c>
      <c r="J15" s="103">
        <v>1760.0000000002183</v>
      </c>
      <c r="K15" s="2">
        <v>1822972.8000002261</v>
      </c>
      <c r="L15" s="179">
        <v>419.99999999984539</v>
      </c>
      <c r="M15" s="180">
        <v>652541.39999975986</v>
      </c>
      <c r="N15" s="91">
        <f t="shared" si="5"/>
        <v>2475514.1999999862</v>
      </c>
      <c r="O15" s="105">
        <f t="shared" si="6"/>
        <v>23895444.599999227</v>
      </c>
      <c r="P15" s="108">
        <f t="shared" si="7"/>
        <v>21259.999999999309</v>
      </c>
      <c r="Q15" s="184"/>
      <c r="R15" s="195"/>
      <c r="S15" s="208"/>
      <c r="T15" s="205"/>
      <c r="U15" s="203">
        <v>0</v>
      </c>
      <c r="V15" s="181">
        <f t="shared" si="8"/>
        <v>809.90000000000009</v>
      </c>
      <c r="W15" s="2">
        <v>64.08</v>
      </c>
      <c r="X15" s="2">
        <v>1151549.6399999999</v>
      </c>
      <c r="Y15" s="30">
        <v>745.82</v>
      </c>
      <c r="Z15" s="30">
        <v>253140.08340000003</v>
      </c>
      <c r="AA15" s="30">
        <f t="shared" si="0"/>
        <v>1404689.7234</v>
      </c>
      <c r="AB15" s="125">
        <f t="shared" si="1"/>
        <v>108.25215634293535</v>
      </c>
      <c r="AC15" s="131">
        <v>0</v>
      </c>
      <c r="AD15" s="2">
        <v>0</v>
      </c>
      <c r="AE15" s="2">
        <v>0</v>
      </c>
      <c r="AF15" s="2">
        <v>0</v>
      </c>
      <c r="AG15" s="2">
        <f t="shared" si="9"/>
        <v>0</v>
      </c>
      <c r="AH15" s="2">
        <v>0</v>
      </c>
      <c r="AI15" s="40">
        <f t="shared" si="2"/>
        <v>0</v>
      </c>
      <c r="AJ15" s="139">
        <v>591.89999999999418</v>
      </c>
      <c r="AK15" s="2">
        <v>6096569.9999999404</v>
      </c>
      <c r="AL15" s="36">
        <f t="shared" si="3"/>
        <v>469.83105080189335</v>
      </c>
      <c r="AM15" s="6"/>
    </row>
    <row r="16" spans="1:39">
      <c r="A16" s="32"/>
      <c r="B16" s="55">
        <v>5</v>
      </c>
      <c r="C16" s="210">
        <v>89</v>
      </c>
      <c r="D16" s="211">
        <v>672</v>
      </c>
      <c r="E16" s="103">
        <v>15400.000000000546</v>
      </c>
      <c r="F16" s="2">
        <v>15951012.000000564</v>
      </c>
      <c r="G16" s="34">
        <v>3279.9999999999727</v>
      </c>
      <c r="H16" s="2">
        <v>5096037.5999999577</v>
      </c>
      <c r="I16" s="100">
        <f t="shared" si="4"/>
        <v>21047049.600000523</v>
      </c>
      <c r="J16" s="103">
        <v>1639.9999999994179</v>
      </c>
      <c r="K16" s="2">
        <v>1698679.1999993972</v>
      </c>
      <c r="L16" s="179">
        <v>420.00000000007276</v>
      </c>
      <c r="M16" s="180">
        <v>652541.40000011306</v>
      </c>
      <c r="N16" s="91">
        <f t="shared" si="5"/>
        <v>2351220.5999995102</v>
      </c>
      <c r="O16" s="105">
        <f t="shared" si="6"/>
        <v>23398270.200000033</v>
      </c>
      <c r="P16" s="108">
        <f t="shared" si="7"/>
        <v>20740.000000000007</v>
      </c>
      <c r="Q16" s="184"/>
      <c r="R16" s="195"/>
      <c r="S16" s="208"/>
      <c r="T16" s="205"/>
      <c r="U16" s="203">
        <v>0</v>
      </c>
      <c r="V16" s="181">
        <f t="shared" si="8"/>
        <v>749.37999999999988</v>
      </c>
      <c r="W16" s="2">
        <v>46.28</v>
      </c>
      <c r="X16" s="2">
        <v>831674.74</v>
      </c>
      <c r="Y16" s="30">
        <v>703.09999999999991</v>
      </c>
      <c r="Z16" s="30">
        <v>170019.459</v>
      </c>
      <c r="AA16" s="30">
        <f t="shared" si="0"/>
        <v>1001694.199</v>
      </c>
      <c r="AB16" s="125">
        <f t="shared" si="1"/>
        <v>77.19538004129133</v>
      </c>
      <c r="AC16" s="131">
        <v>126.68059999998826</v>
      </c>
      <c r="AD16" s="2">
        <v>0</v>
      </c>
      <c r="AE16" s="2">
        <v>50</v>
      </c>
      <c r="AF16" s="2">
        <v>60</v>
      </c>
      <c r="AG16" s="2">
        <f t="shared" si="9"/>
        <v>236.68059999998826</v>
      </c>
      <c r="AH16" s="2">
        <v>2378335.736249893</v>
      </c>
      <c r="AI16" s="40">
        <f t="shared" si="2"/>
        <v>183.28600805403576</v>
      </c>
      <c r="AJ16" s="139">
        <v>526</v>
      </c>
      <c r="AK16" s="2">
        <v>5417800</v>
      </c>
      <c r="AL16" s="36">
        <f t="shared" si="3"/>
        <v>417.52176503091454</v>
      </c>
      <c r="AM16" s="6"/>
    </row>
    <row r="17" spans="1:39">
      <c r="A17" s="32"/>
      <c r="B17" s="55">
        <v>6</v>
      </c>
      <c r="C17" s="210">
        <v>93</v>
      </c>
      <c r="D17" s="211">
        <v>704</v>
      </c>
      <c r="E17" s="103">
        <v>15559.999999999491</v>
      </c>
      <c r="F17" s="2">
        <v>16116736.799999472</v>
      </c>
      <c r="G17" s="34">
        <v>3320.0000000001637</v>
      </c>
      <c r="H17" s="2">
        <v>5158184.4000002546</v>
      </c>
      <c r="I17" s="100">
        <f t="shared" si="4"/>
        <v>21274921.199999727</v>
      </c>
      <c r="J17" s="103">
        <v>1800.0000000001819</v>
      </c>
      <c r="K17" s="2">
        <v>1864404.0000001884</v>
      </c>
      <c r="L17" s="179">
        <v>420.00000000007276</v>
      </c>
      <c r="M17" s="180">
        <v>652541.40000011306</v>
      </c>
      <c r="N17" s="91">
        <f t="shared" si="5"/>
        <v>2516945.4000003012</v>
      </c>
      <c r="O17" s="105">
        <f t="shared" si="6"/>
        <v>23791866.600000028</v>
      </c>
      <c r="P17" s="108">
        <f t="shared" si="7"/>
        <v>21099.999999999909</v>
      </c>
      <c r="Q17" s="184"/>
      <c r="R17" s="195"/>
      <c r="S17" s="208"/>
      <c r="T17" s="205"/>
      <c r="U17" s="203">
        <v>0</v>
      </c>
      <c r="V17" s="181">
        <f t="shared" si="8"/>
        <v>796.55</v>
      </c>
      <c r="W17" s="2">
        <v>52.51</v>
      </c>
      <c r="X17" s="2">
        <v>943630.95499999996</v>
      </c>
      <c r="Y17" s="30">
        <v>744.04</v>
      </c>
      <c r="Z17" s="30">
        <v>264474.71400000004</v>
      </c>
      <c r="AA17" s="30">
        <f t="shared" si="0"/>
        <v>1208105.669</v>
      </c>
      <c r="AB17" s="125">
        <f t="shared" si="1"/>
        <v>93.102442184047732</v>
      </c>
      <c r="AC17" s="131">
        <v>137.75760000004686</v>
      </c>
      <c r="AD17" s="2">
        <v>0</v>
      </c>
      <c r="AE17" s="2">
        <v>300</v>
      </c>
      <c r="AF17" s="2">
        <v>0</v>
      </c>
      <c r="AG17" s="2">
        <f t="shared" si="9"/>
        <v>437.75760000004686</v>
      </c>
      <c r="AH17" s="2">
        <v>4394621.0550004281</v>
      </c>
      <c r="AI17" s="40">
        <f t="shared" si="2"/>
        <v>338.67066697290386</v>
      </c>
      <c r="AJ17" s="139">
        <v>550.36000000000581</v>
      </c>
      <c r="AK17" s="2">
        <v>5668708.0000000596</v>
      </c>
      <c r="AL17" s="36">
        <f t="shared" si="3"/>
        <v>436.85794411105809</v>
      </c>
      <c r="AM17" s="6"/>
    </row>
    <row r="18" spans="1:39">
      <c r="A18" s="32"/>
      <c r="B18" s="55">
        <v>7</v>
      </c>
      <c r="C18" s="210">
        <v>103</v>
      </c>
      <c r="D18" s="211">
        <v>793</v>
      </c>
      <c r="E18" s="103">
        <v>15880.000000000109</v>
      </c>
      <c r="F18" s="2">
        <v>16448186.400000112</v>
      </c>
      <c r="G18" s="34">
        <v>3399.9999999998636</v>
      </c>
      <c r="H18" s="2">
        <v>5282477.9999997886</v>
      </c>
      <c r="I18" s="100">
        <f t="shared" si="4"/>
        <v>21730664.399999902</v>
      </c>
      <c r="J18" s="103">
        <v>1800.0000000001819</v>
      </c>
      <c r="K18" s="2">
        <v>1864404.0000001884</v>
      </c>
      <c r="L18" s="179">
        <v>419.99999999984539</v>
      </c>
      <c r="M18" s="180">
        <v>652541.39999975986</v>
      </c>
      <c r="N18" s="91">
        <f t="shared" si="5"/>
        <v>2516945.3999999482</v>
      </c>
      <c r="O18" s="105">
        <f t="shared" si="6"/>
        <v>24247609.799999848</v>
      </c>
      <c r="P18" s="108">
        <f t="shared" si="7"/>
        <v>21500</v>
      </c>
      <c r="Q18" s="184"/>
      <c r="R18" s="195"/>
      <c r="S18" s="208"/>
      <c r="T18" s="205"/>
      <c r="U18" s="203">
        <v>0</v>
      </c>
      <c r="V18" s="181">
        <f t="shared" si="8"/>
        <v>825.92</v>
      </c>
      <c r="W18" s="2">
        <v>53.4</v>
      </c>
      <c r="X18" s="2">
        <v>959624.7</v>
      </c>
      <c r="Y18" s="30">
        <v>772.52</v>
      </c>
      <c r="Z18" s="30">
        <v>423159.54240000003</v>
      </c>
      <c r="AA18" s="30">
        <f t="shared" si="0"/>
        <v>1382784.2423999999</v>
      </c>
      <c r="AB18" s="125">
        <f t="shared" si="1"/>
        <v>106.56401446044224</v>
      </c>
      <c r="AC18" s="131">
        <v>150.04299999999998</v>
      </c>
      <c r="AD18" s="2">
        <v>0</v>
      </c>
      <c r="AE18" s="2">
        <v>0</v>
      </c>
      <c r="AF18" s="2">
        <v>36</v>
      </c>
      <c r="AG18" s="2">
        <f t="shared" si="9"/>
        <v>186.04299999999998</v>
      </c>
      <c r="AH18" s="2">
        <v>1790455.6812499999</v>
      </c>
      <c r="AI18" s="40">
        <f t="shared" si="2"/>
        <v>137.98113925304153</v>
      </c>
      <c r="AJ18" s="139">
        <v>422.95999999999913</v>
      </c>
      <c r="AK18" s="2">
        <v>4356487.9999999907</v>
      </c>
      <c r="AL18" s="36">
        <f t="shared" si="3"/>
        <v>335.73195007124571</v>
      </c>
      <c r="AM18" s="6"/>
    </row>
    <row r="19" spans="1:39">
      <c r="A19" s="32"/>
      <c r="B19" s="55">
        <v>8</v>
      </c>
      <c r="C19" s="210">
        <v>120</v>
      </c>
      <c r="D19" s="211">
        <v>856</v>
      </c>
      <c r="E19" s="103">
        <v>16040.000000000873</v>
      </c>
      <c r="F19" s="2">
        <v>16613911.200000905</v>
      </c>
      <c r="G19" s="34">
        <v>3360.0000000001273</v>
      </c>
      <c r="H19" s="2">
        <v>5220331.2000001976</v>
      </c>
      <c r="I19" s="100">
        <f t="shared" si="4"/>
        <v>21834242.400001101</v>
      </c>
      <c r="J19" s="103">
        <v>1979.9999999995634</v>
      </c>
      <c r="K19" s="2">
        <v>2050844.3999995477</v>
      </c>
      <c r="L19" s="179">
        <v>440.00000000005457</v>
      </c>
      <c r="M19" s="180">
        <v>683614.8000000848</v>
      </c>
      <c r="N19" s="91">
        <f t="shared" si="5"/>
        <v>2734459.1999996323</v>
      </c>
      <c r="O19" s="105">
        <f t="shared" si="6"/>
        <v>24568701.600000732</v>
      </c>
      <c r="P19" s="108">
        <f t="shared" si="7"/>
        <v>21820.000000000618</v>
      </c>
      <c r="Q19" s="184"/>
      <c r="R19" s="195"/>
      <c r="S19" s="208"/>
      <c r="T19" s="205"/>
      <c r="U19" s="203">
        <v>0</v>
      </c>
      <c r="V19" s="181">
        <f t="shared" si="8"/>
        <v>801.8900000000001</v>
      </c>
      <c r="W19" s="2">
        <v>21.36</v>
      </c>
      <c r="X19" s="2">
        <v>383849.88</v>
      </c>
      <c r="Y19" s="30">
        <v>780.53000000000009</v>
      </c>
      <c r="Z19" s="30">
        <v>464719.85460000002</v>
      </c>
      <c r="AA19" s="30">
        <f t="shared" si="0"/>
        <v>848569.73460000008</v>
      </c>
      <c r="AB19" s="125">
        <f t="shared" si="1"/>
        <v>65.394871228544204</v>
      </c>
      <c r="AC19" s="131">
        <v>146.29695999996952</v>
      </c>
      <c r="AD19" s="2">
        <v>0</v>
      </c>
      <c r="AE19" s="2">
        <v>0</v>
      </c>
      <c r="AF19" s="2">
        <v>0</v>
      </c>
      <c r="AG19" s="2">
        <f t="shared" si="9"/>
        <v>146.29695999996952</v>
      </c>
      <c r="AH19" s="2">
        <v>1337702.8279997213</v>
      </c>
      <c r="AI19" s="40">
        <f t="shared" si="2"/>
        <v>103.08982351384132</v>
      </c>
      <c r="AJ19" s="139">
        <v>666.89000000000669</v>
      </c>
      <c r="AK19" s="2">
        <v>6868967.0000000689</v>
      </c>
      <c r="AL19" s="36">
        <f t="shared" si="3"/>
        <v>529.35568418530306</v>
      </c>
      <c r="AM19" s="6"/>
    </row>
    <row r="20" spans="1:39">
      <c r="A20" s="32"/>
      <c r="B20" s="55">
        <v>9</v>
      </c>
      <c r="C20" s="210">
        <v>123</v>
      </c>
      <c r="D20" s="211">
        <v>990</v>
      </c>
      <c r="E20" s="103">
        <v>16279.999999998836</v>
      </c>
      <c r="F20" s="2">
        <v>16862498.399998795</v>
      </c>
      <c r="G20" s="34">
        <v>3480.0000000000182</v>
      </c>
      <c r="H20" s="2">
        <v>5406771.6000000285</v>
      </c>
      <c r="I20" s="100">
        <f t="shared" si="4"/>
        <v>22269269.999998823</v>
      </c>
      <c r="J20" s="103">
        <v>1980.0000000004729</v>
      </c>
      <c r="K20" s="2">
        <v>2050844.4000004898</v>
      </c>
      <c r="L20" s="179">
        <v>440.00000000005457</v>
      </c>
      <c r="M20" s="180">
        <v>683614.8000000848</v>
      </c>
      <c r="N20" s="91">
        <f t="shared" si="5"/>
        <v>2734459.2000005748</v>
      </c>
      <c r="O20" s="105">
        <f t="shared" si="6"/>
        <v>25003729.199999399</v>
      </c>
      <c r="P20" s="108">
        <f t="shared" si="7"/>
        <v>22179.999999999382</v>
      </c>
      <c r="Q20" s="184"/>
      <c r="R20" s="195"/>
      <c r="S20" s="208"/>
      <c r="T20" s="205"/>
      <c r="U20" s="203">
        <v>0</v>
      </c>
      <c r="V20" s="181">
        <f t="shared" si="8"/>
        <v>820.58</v>
      </c>
      <c r="W20" s="2">
        <v>13.35</v>
      </c>
      <c r="X20" s="2">
        <v>239906.17499999999</v>
      </c>
      <c r="Y20" s="30">
        <v>807.23</v>
      </c>
      <c r="Z20" s="30">
        <v>128459.14680000002</v>
      </c>
      <c r="AA20" s="30">
        <f t="shared" si="0"/>
        <v>368365.32180000003</v>
      </c>
      <c r="AB20" s="125">
        <f t="shared" si="1"/>
        <v>28.38800607887276</v>
      </c>
      <c r="AC20" s="131">
        <v>143.23567999999059</v>
      </c>
      <c r="AD20" s="2">
        <v>0</v>
      </c>
      <c r="AE20" s="2">
        <v>0</v>
      </c>
      <c r="AF20" s="2">
        <v>12</v>
      </c>
      <c r="AG20" s="2">
        <f t="shared" si="9"/>
        <v>155.23567999999059</v>
      </c>
      <c r="AH20" s="2">
        <v>1449211.2489999139</v>
      </c>
      <c r="AI20" s="40">
        <f t="shared" si="2"/>
        <v>111.68319956164869</v>
      </c>
      <c r="AJ20" s="139">
        <v>545.60999999998671</v>
      </c>
      <c r="AK20" s="2">
        <v>5619782.9999998631</v>
      </c>
      <c r="AL20" s="36">
        <f t="shared" si="3"/>
        <v>433.08754794393866</v>
      </c>
      <c r="AM20" s="6"/>
    </row>
    <row r="21" spans="1:39">
      <c r="A21" s="32"/>
      <c r="B21" s="55">
        <v>10</v>
      </c>
      <c r="C21" s="210">
        <v>127</v>
      </c>
      <c r="D21" s="211">
        <v>895</v>
      </c>
      <c r="E21" s="103">
        <v>16440.000000000509</v>
      </c>
      <c r="F21" s="2">
        <v>17028223.200000528</v>
      </c>
      <c r="G21" s="34">
        <v>3559.9999999999454</v>
      </c>
      <c r="H21" s="2">
        <v>5531065.1999999154</v>
      </c>
      <c r="I21" s="100">
        <f t="shared" si="4"/>
        <v>22559288.400000446</v>
      </c>
      <c r="J21" s="103">
        <v>1979.9999999995634</v>
      </c>
      <c r="K21" s="2">
        <v>2050844.3999995477</v>
      </c>
      <c r="L21" s="179">
        <v>420.00000000007276</v>
      </c>
      <c r="M21" s="180">
        <v>652541.40000011306</v>
      </c>
      <c r="N21" s="91">
        <f t="shared" si="5"/>
        <v>2703385.7999996608</v>
      </c>
      <c r="O21" s="105">
        <f t="shared" si="6"/>
        <v>25262674.200000107</v>
      </c>
      <c r="P21" s="108">
        <f t="shared" si="7"/>
        <v>22400.000000000091</v>
      </c>
      <c r="Q21" s="184"/>
      <c r="R21" s="195"/>
      <c r="S21" s="208"/>
      <c r="T21" s="205"/>
      <c r="U21" s="203">
        <v>0</v>
      </c>
      <c r="V21" s="181">
        <f t="shared" si="8"/>
        <v>845.5</v>
      </c>
      <c r="W21" s="2">
        <v>17.8</v>
      </c>
      <c r="X21" s="2">
        <v>319874.90000000002</v>
      </c>
      <c r="Y21" s="30">
        <v>827.7</v>
      </c>
      <c r="Z21" s="30">
        <v>634739.31360000011</v>
      </c>
      <c r="AA21" s="30">
        <f t="shared" si="0"/>
        <v>954614.21360000013</v>
      </c>
      <c r="AB21" s="125">
        <f t="shared" si="1"/>
        <v>73.567169586524145</v>
      </c>
      <c r="AC21" s="131">
        <v>142.06756000001639</v>
      </c>
      <c r="AD21" s="2">
        <v>0</v>
      </c>
      <c r="AE21" s="2">
        <v>200</v>
      </c>
      <c r="AF21" s="2">
        <v>0</v>
      </c>
      <c r="AG21" s="2">
        <f t="shared" si="9"/>
        <v>342.06756000001639</v>
      </c>
      <c r="AH21" s="2">
        <v>3389030.2517501498</v>
      </c>
      <c r="AI21" s="40">
        <f t="shared" si="2"/>
        <v>261.17499583851145</v>
      </c>
      <c r="AJ21" s="139">
        <v>506.68000000000029</v>
      </c>
      <c r="AK21" s="2">
        <v>5218804.0000000028</v>
      </c>
      <c r="AL21" s="36">
        <f t="shared" si="3"/>
        <v>402.18617472597697</v>
      </c>
      <c r="AM21" s="6"/>
    </row>
    <row r="22" spans="1:39">
      <c r="A22" s="32"/>
      <c r="B22" s="55">
        <v>11</v>
      </c>
      <c r="C22" s="210">
        <v>126</v>
      </c>
      <c r="D22" s="211">
        <v>1001</v>
      </c>
      <c r="E22" s="103">
        <v>16000</v>
      </c>
      <c r="F22" s="2">
        <v>16572480</v>
      </c>
      <c r="G22" s="34">
        <v>3519.9999999999818</v>
      </c>
      <c r="H22" s="2">
        <v>5468918.3999999724</v>
      </c>
      <c r="I22" s="100">
        <f t="shared" si="4"/>
        <v>22041398.399999972</v>
      </c>
      <c r="J22" s="103">
        <v>1840.0000000001455</v>
      </c>
      <c r="K22" s="2">
        <v>1905835.2000001506</v>
      </c>
      <c r="L22" s="179">
        <v>439.9999999998272</v>
      </c>
      <c r="M22" s="180">
        <v>683614.79999973159</v>
      </c>
      <c r="N22" s="91">
        <f t="shared" si="5"/>
        <v>2589449.9999998822</v>
      </c>
      <c r="O22" s="105">
        <f t="shared" si="6"/>
        <v>24630848.399999853</v>
      </c>
      <c r="P22" s="108">
        <f t="shared" si="7"/>
        <v>21799.999999999956</v>
      </c>
      <c r="Q22" s="184"/>
      <c r="R22" s="195"/>
      <c r="S22" s="208"/>
      <c r="T22" s="205"/>
      <c r="U22" s="203">
        <v>0</v>
      </c>
      <c r="V22" s="181">
        <f t="shared" si="8"/>
        <v>824.1400000000001</v>
      </c>
      <c r="W22" s="2">
        <v>0</v>
      </c>
      <c r="X22" s="2">
        <v>0</v>
      </c>
      <c r="Y22" s="30">
        <v>824.1400000000001</v>
      </c>
      <c r="Z22" s="30">
        <v>487389.11580000003</v>
      </c>
      <c r="AA22" s="30">
        <f t="shared" si="0"/>
        <v>487389.11580000003</v>
      </c>
      <c r="AB22" s="125">
        <f t="shared" si="1"/>
        <v>37.560552970887223</v>
      </c>
      <c r="AC22" s="131">
        <v>134.1324000000117</v>
      </c>
      <c r="AD22" s="2">
        <v>0</v>
      </c>
      <c r="AE22" s="2">
        <v>0</v>
      </c>
      <c r="AF22" s="2">
        <v>0</v>
      </c>
      <c r="AG22" s="2">
        <f t="shared" si="9"/>
        <v>134.1324000000117</v>
      </c>
      <c r="AH22" s="2">
        <v>1226473.1325001069</v>
      </c>
      <c r="AI22" s="40">
        <f t="shared" si="2"/>
        <v>94.517927395702941</v>
      </c>
      <c r="AJ22" s="139">
        <v>612.29999999999563</v>
      </c>
      <c r="AK22" s="2">
        <v>6306689.9999999553</v>
      </c>
      <c r="AL22" s="36">
        <f t="shared" si="3"/>
        <v>486.02391013008969</v>
      </c>
      <c r="AM22" s="6"/>
    </row>
    <row r="23" spans="1:39">
      <c r="A23" s="32"/>
      <c r="B23" s="55">
        <v>12</v>
      </c>
      <c r="C23" s="210">
        <v>130</v>
      </c>
      <c r="D23" s="211">
        <v>870</v>
      </c>
      <c r="E23" s="103">
        <v>17440.000000000509</v>
      </c>
      <c r="F23" s="2">
        <v>18064003.200000528</v>
      </c>
      <c r="G23" s="34">
        <v>3879.9999999998818</v>
      </c>
      <c r="H23" s="2">
        <v>6028239.5999998162</v>
      </c>
      <c r="I23" s="100">
        <f t="shared" si="4"/>
        <v>24092242.800000343</v>
      </c>
      <c r="J23" s="103">
        <v>1899.9999999996362</v>
      </c>
      <c r="K23" s="2">
        <v>1967981.999999623</v>
      </c>
      <c r="L23" s="179">
        <v>440.00000000005457</v>
      </c>
      <c r="M23" s="180">
        <v>683614.8000000848</v>
      </c>
      <c r="N23" s="91">
        <f t="shared" si="5"/>
        <v>2651596.7999997078</v>
      </c>
      <c r="O23" s="105">
        <f t="shared" si="6"/>
        <v>26743839.60000005</v>
      </c>
      <c r="P23" s="108">
        <f t="shared" si="7"/>
        <v>23660.00000000008</v>
      </c>
      <c r="Q23" s="184"/>
      <c r="R23" s="195"/>
      <c r="S23" s="208"/>
      <c r="T23" s="205"/>
      <c r="U23" s="203">
        <v>0</v>
      </c>
      <c r="V23" s="181">
        <f t="shared" si="8"/>
        <v>752.05</v>
      </c>
      <c r="W23" s="2">
        <v>2.67</v>
      </c>
      <c r="X23" s="2">
        <v>47981.235000000001</v>
      </c>
      <c r="Y23" s="30">
        <v>749.38</v>
      </c>
      <c r="Z23" s="30">
        <v>476054.48520000005</v>
      </c>
      <c r="AA23" s="30">
        <f t="shared" si="0"/>
        <v>524035.72020000004</v>
      </c>
      <c r="AB23" s="125">
        <f t="shared" si="1"/>
        <v>40.384716829183525</v>
      </c>
      <c r="AC23" s="131">
        <v>136.952</v>
      </c>
      <c r="AD23" s="2">
        <v>0</v>
      </c>
      <c r="AE23" s="2">
        <v>0</v>
      </c>
      <c r="AF23" s="2">
        <v>12</v>
      </c>
      <c r="AG23" s="2">
        <f t="shared" si="9"/>
        <v>148.952</v>
      </c>
      <c r="AH23" s="2">
        <v>1391754.85</v>
      </c>
      <c r="AI23" s="40">
        <f t="shared" si="2"/>
        <v>107.25533269266782</v>
      </c>
      <c r="AJ23" s="139">
        <v>504.40000000000146</v>
      </c>
      <c r="AK23" s="2">
        <v>5195320.0000000149</v>
      </c>
      <c r="AL23" s="36">
        <f t="shared" si="3"/>
        <v>400.37638456576786</v>
      </c>
      <c r="AM23" s="6"/>
    </row>
    <row r="24" spans="1:39">
      <c r="A24" s="32"/>
      <c r="B24" s="55">
        <v>13</v>
      </c>
      <c r="C24" s="210">
        <v>120</v>
      </c>
      <c r="D24" s="211">
        <v>687</v>
      </c>
      <c r="E24" s="103">
        <v>16600.000000000364</v>
      </c>
      <c r="F24" s="2">
        <v>17193948.000000376</v>
      </c>
      <c r="G24" s="34">
        <v>3480.0000000000182</v>
      </c>
      <c r="H24" s="2">
        <v>5406771.6000000285</v>
      </c>
      <c r="I24" s="100">
        <f t="shared" si="4"/>
        <v>22600719.600000404</v>
      </c>
      <c r="J24" s="103">
        <v>1820.0000000006185</v>
      </c>
      <c r="K24" s="2">
        <v>1885119.6000006406</v>
      </c>
      <c r="L24" s="179">
        <v>420.00000000007276</v>
      </c>
      <c r="M24" s="180">
        <v>652541.40000011306</v>
      </c>
      <c r="N24" s="91">
        <f t="shared" si="5"/>
        <v>2537661.0000007534</v>
      </c>
      <c r="O24" s="105">
        <f t="shared" si="6"/>
        <v>25138380.600001156</v>
      </c>
      <c r="P24" s="108">
        <f t="shared" si="7"/>
        <v>22320.000000001073</v>
      </c>
      <c r="Q24" s="184"/>
      <c r="R24" s="195"/>
      <c r="S24" s="208"/>
      <c r="T24" s="205"/>
      <c r="U24" s="203">
        <v>0</v>
      </c>
      <c r="V24" s="181">
        <f>Y24+W24</f>
        <v>787.65</v>
      </c>
      <c r="W24" s="2">
        <v>0</v>
      </c>
      <c r="X24" s="2">
        <v>0</v>
      </c>
      <c r="Y24" s="30">
        <v>787.65</v>
      </c>
      <c r="Z24" s="30">
        <v>321147.86700000003</v>
      </c>
      <c r="AA24" s="30">
        <f t="shared" si="0"/>
        <v>321147.86700000003</v>
      </c>
      <c r="AB24" s="125">
        <f t="shared" si="1"/>
        <v>24.749201569964452</v>
      </c>
      <c r="AC24" s="131">
        <v>136.79087999996716</v>
      </c>
      <c r="AD24" s="2">
        <v>0</v>
      </c>
      <c r="AE24" s="2">
        <v>350</v>
      </c>
      <c r="AF24" s="2">
        <v>24</v>
      </c>
      <c r="AG24" s="2">
        <f t="shared" si="9"/>
        <v>510.79087999996716</v>
      </c>
      <c r="AH24" s="2">
        <v>5187281.6089996994</v>
      </c>
      <c r="AI24" s="40">
        <f t="shared" si="2"/>
        <v>399.75690743511331</v>
      </c>
      <c r="AJ24" s="139">
        <v>540.59999999999854</v>
      </c>
      <c r="AK24" s="2">
        <v>5568179.9999999851</v>
      </c>
      <c r="AL24" s="36">
        <f t="shared" si="3"/>
        <v>429.11077219717072</v>
      </c>
      <c r="AM24" s="6"/>
    </row>
    <row r="25" spans="1:39">
      <c r="A25" s="32"/>
      <c r="B25" s="55">
        <v>14</v>
      </c>
      <c r="C25" s="210">
        <v>115</v>
      </c>
      <c r="D25" s="211">
        <v>843</v>
      </c>
      <c r="E25" s="103">
        <v>16599.999999998545</v>
      </c>
      <c r="F25" s="2">
        <v>17193947.999998491</v>
      </c>
      <c r="G25" s="34">
        <v>3600.0000000001364</v>
      </c>
      <c r="H25" s="2">
        <v>5593212.0000002123</v>
      </c>
      <c r="I25" s="100">
        <f t="shared" si="4"/>
        <v>22787159.999998704</v>
      </c>
      <c r="J25" s="103">
        <v>1899.9999999996362</v>
      </c>
      <c r="K25" s="2">
        <v>1967981.999999623</v>
      </c>
      <c r="L25" s="179">
        <v>420.00000000007276</v>
      </c>
      <c r="M25" s="180">
        <v>652541.40000011306</v>
      </c>
      <c r="N25" s="91">
        <f t="shared" si="5"/>
        <v>2620523.3999997359</v>
      </c>
      <c r="O25" s="105">
        <f t="shared" si="6"/>
        <v>25407683.399998441</v>
      </c>
      <c r="P25" s="108">
        <f t="shared" si="7"/>
        <v>22519.999999998392</v>
      </c>
      <c r="Q25" s="184"/>
      <c r="R25" s="195"/>
      <c r="S25" s="208"/>
      <c r="T25" s="205"/>
      <c r="U25" s="203">
        <v>0</v>
      </c>
      <c r="V25" s="181">
        <f t="shared" si="8"/>
        <v>861.52</v>
      </c>
      <c r="W25" s="2">
        <v>0</v>
      </c>
      <c r="X25" s="2">
        <v>0</v>
      </c>
      <c r="Y25" s="30">
        <v>861.52</v>
      </c>
      <c r="Z25" s="30">
        <v>136015.56720000002</v>
      </c>
      <c r="AA25" s="30">
        <f t="shared" si="0"/>
        <v>136015.56720000002</v>
      </c>
      <c r="AB25" s="125">
        <f t="shared" si="1"/>
        <v>10.482014782573181</v>
      </c>
      <c r="AC25" s="131">
        <v>151.61391999999765</v>
      </c>
      <c r="AD25" s="2">
        <v>0</v>
      </c>
      <c r="AE25" s="2">
        <v>0</v>
      </c>
      <c r="AF25" s="2">
        <v>0</v>
      </c>
      <c r="AG25" s="2">
        <f t="shared" si="9"/>
        <v>151.61391999999765</v>
      </c>
      <c r="AH25" s="2">
        <v>1386319.7809999785</v>
      </c>
      <c r="AI25" s="40">
        <f t="shared" si="2"/>
        <v>106.83648009531211</v>
      </c>
      <c r="AJ25" s="139">
        <v>448.20000000000437</v>
      </c>
      <c r="AK25" s="2">
        <v>4616460.0000000447</v>
      </c>
      <c r="AL25" s="36">
        <f t="shared" si="3"/>
        <v>355.76664465182074</v>
      </c>
      <c r="AM25" s="6"/>
    </row>
    <row r="26" spans="1:39">
      <c r="A26" s="32"/>
      <c r="B26" s="55">
        <v>15</v>
      </c>
      <c r="C26" s="210">
        <v>112</v>
      </c>
      <c r="D26" s="211">
        <v>907</v>
      </c>
      <c r="E26" s="103">
        <v>17040.000000000873</v>
      </c>
      <c r="F26" s="2">
        <v>17649691.200000905</v>
      </c>
      <c r="G26" s="34">
        <v>3559.9999999999454</v>
      </c>
      <c r="H26" s="2">
        <v>5531065.1999999154</v>
      </c>
      <c r="I26" s="100">
        <f t="shared" si="4"/>
        <v>23180756.400000818</v>
      </c>
      <c r="J26" s="103">
        <v>1920.0000000000728</v>
      </c>
      <c r="K26" s="2">
        <v>1988697.6000000753</v>
      </c>
      <c r="L26" s="179">
        <v>439.9999999998272</v>
      </c>
      <c r="M26" s="180">
        <v>683614.79999973159</v>
      </c>
      <c r="N26" s="91">
        <f t="shared" si="5"/>
        <v>2672312.3999998067</v>
      </c>
      <c r="O26" s="105">
        <f t="shared" si="6"/>
        <v>25853068.800000623</v>
      </c>
      <c r="P26" s="108">
        <f t="shared" si="7"/>
        <v>22960.00000000072</v>
      </c>
      <c r="Q26" s="184"/>
      <c r="R26" s="195"/>
      <c r="S26" s="208"/>
      <c r="T26" s="205"/>
      <c r="U26" s="203">
        <v>0</v>
      </c>
      <c r="V26" s="181">
        <f t="shared" si="8"/>
        <v>801</v>
      </c>
      <c r="W26" s="2">
        <v>0</v>
      </c>
      <c r="X26" s="2">
        <v>0</v>
      </c>
      <c r="Y26" s="30">
        <v>801</v>
      </c>
      <c r="Z26" s="30">
        <v>691412.46660000004</v>
      </c>
      <c r="AA26" s="30">
        <f t="shared" si="0"/>
        <v>691412.46660000004</v>
      </c>
      <c r="AB26" s="125">
        <f t="shared" si="1"/>
        <v>53.283575144746997</v>
      </c>
      <c r="AC26" s="131">
        <v>150.72776000005157</v>
      </c>
      <c r="AD26" s="2">
        <v>0</v>
      </c>
      <c r="AE26" s="2">
        <v>100</v>
      </c>
      <c r="AF26" s="2">
        <v>12</v>
      </c>
      <c r="AG26" s="2">
        <f t="shared" si="9"/>
        <v>262.7277600000516</v>
      </c>
      <c r="AH26" s="2">
        <v>2562716.9555004714</v>
      </c>
      <c r="AI26" s="40">
        <f t="shared" si="2"/>
        <v>197.49531295640455</v>
      </c>
      <c r="AJ26" s="139">
        <v>795.68000000000029</v>
      </c>
      <c r="AK26" s="2">
        <v>8195504.0000000028</v>
      </c>
      <c r="AL26" s="36">
        <f t="shared" si="3"/>
        <v>631.58501520874188</v>
      </c>
      <c r="AM26" s="6"/>
    </row>
    <row r="27" spans="1:39">
      <c r="A27" s="32"/>
      <c r="B27" s="55">
        <v>16</v>
      </c>
      <c r="C27" s="210">
        <v>115</v>
      </c>
      <c r="D27" s="211">
        <v>888</v>
      </c>
      <c r="E27" s="103">
        <v>17239.999999999782</v>
      </c>
      <c r="F27" s="2">
        <v>17856847.199999772</v>
      </c>
      <c r="G27" s="34">
        <v>3519.9999999999818</v>
      </c>
      <c r="H27" s="2">
        <v>5468918.3999999724</v>
      </c>
      <c r="I27" s="100">
        <f t="shared" si="4"/>
        <v>23325765.599999744</v>
      </c>
      <c r="J27" s="103">
        <v>2000</v>
      </c>
      <c r="K27" s="2">
        <v>2071560</v>
      </c>
      <c r="L27" s="179">
        <v>440.00000000005457</v>
      </c>
      <c r="M27" s="180">
        <v>683614.8000000848</v>
      </c>
      <c r="N27" s="91">
        <f t="shared" si="5"/>
        <v>2755174.8000000846</v>
      </c>
      <c r="O27" s="105">
        <f t="shared" si="6"/>
        <v>26080940.399999827</v>
      </c>
      <c r="P27" s="108">
        <f t="shared" si="7"/>
        <v>23199.999999999818</v>
      </c>
      <c r="Q27" s="184"/>
      <c r="R27" s="195"/>
      <c r="S27" s="208"/>
      <c r="T27" s="205"/>
      <c r="U27" s="203">
        <v>0</v>
      </c>
      <c r="V27" s="181">
        <f t="shared" si="8"/>
        <v>805.44999999999993</v>
      </c>
      <c r="W27" s="2">
        <v>39.160000000000004</v>
      </c>
      <c r="X27" s="2">
        <v>703724.78</v>
      </c>
      <c r="Y27" s="30">
        <v>766.29</v>
      </c>
      <c r="Z27" s="30">
        <v>411824.91180000006</v>
      </c>
      <c r="AA27" s="30">
        <f t="shared" si="0"/>
        <v>1115549.6918000001</v>
      </c>
      <c r="AB27" s="125">
        <f t="shared" si="1"/>
        <v>85.969632747615051</v>
      </c>
      <c r="AC27" s="131">
        <v>154.1918399999953</v>
      </c>
      <c r="AD27" s="2">
        <v>0</v>
      </c>
      <c r="AE27" s="2">
        <v>0</v>
      </c>
      <c r="AF27" s="2">
        <v>12</v>
      </c>
      <c r="AG27" s="2">
        <f t="shared" si="9"/>
        <v>166.1918399999953</v>
      </c>
      <c r="AH27" s="2">
        <v>1549391.636999957</v>
      </c>
      <c r="AI27" s="40">
        <f t="shared" si="2"/>
        <v>119.40358282039945</v>
      </c>
      <c r="AJ27" s="139">
        <v>611.0199999999968</v>
      </c>
      <c r="AK27" s="2">
        <v>6293505.9999999674</v>
      </c>
      <c r="AL27" s="36">
        <f t="shared" si="3"/>
        <v>485.00788758400779</v>
      </c>
      <c r="AM27" s="6"/>
    </row>
    <row r="28" spans="1:39">
      <c r="A28" s="32"/>
      <c r="B28" s="55">
        <v>17</v>
      </c>
      <c r="C28" s="210">
        <v>98</v>
      </c>
      <c r="D28" s="211">
        <v>796</v>
      </c>
      <c r="E28" s="103">
        <v>16000</v>
      </c>
      <c r="F28" s="2">
        <v>16572480</v>
      </c>
      <c r="G28" s="34">
        <v>3400.0000000000909</v>
      </c>
      <c r="H28" s="2">
        <v>5282478.0000001416</v>
      </c>
      <c r="I28" s="100">
        <f t="shared" si="4"/>
        <v>21854958.000000142</v>
      </c>
      <c r="J28" s="103">
        <v>1940.0000000005093</v>
      </c>
      <c r="K28" s="2">
        <v>2009413.2000005275</v>
      </c>
      <c r="L28" s="179">
        <v>420.00000000007276</v>
      </c>
      <c r="M28" s="180">
        <v>652541.40000011306</v>
      </c>
      <c r="N28" s="91">
        <f t="shared" si="5"/>
        <v>2661954.6000006404</v>
      </c>
      <c r="O28" s="105">
        <f t="shared" si="6"/>
        <v>24516912.600000784</v>
      </c>
      <c r="P28" s="108">
        <f t="shared" si="7"/>
        <v>21760.000000000673</v>
      </c>
      <c r="Q28" s="184"/>
      <c r="R28" s="197"/>
      <c r="S28" s="208"/>
      <c r="T28" s="205"/>
      <c r="U28" s="203">
        <v>0</v>
      </c>
      <c r="V28" s="181">
        <f t="shared" si="8"/>
        <v>772.52</v>
      </c>
      <c r="W28" s="2">
        <v>106.8</v>
      </c>
      <c r="X28" s="2">
        <v>1919249.4</v>
      </c>
      <c r="Y28" s="30">
        <v>665.72</v>
      </c>
      <c r="Z28" s="30">
        <v>158684.82840000003</v>
      </c>
      <c r="AA28" s="30">
        <f t="shared" si="0"/>
        <v>2077934.2283999999</v>
      </c>
      <c r="AB28" s="125">
        <f t="shared" si="1"/>
        <v>160.13562085343119</v>
      </c>
      <c r="AC28" s="131">
        <v>144.76631999995075</v>
      </c>
      <c r="AD28" s="2">
        <v>0</v>
      </c>
      <c r="AE28" s="2">
        <v>150</v>
      </c>
      <c r="AF28" s="2">
        <v>36</v>
      </c>
      <c r="AG28" s="2">
        <f t="shared" si="9"/>
        <v>330.76631999995072</v>
      </c>
      <c r="AH28" s="2">
        <v>3309707.03849955</v>
      </c>
      <c r="AI28" s="40">
        <f t="shared" si="2"/>
        <v>255.06196693299367</v>
      </c>
      <c r="AJ28" s="139">
        <v>601.40000000000146</v>
      </c>
      <c r="AK28" s="2">
        <v>6194420.0000000149</v>
      </c>
      <c r="AL28" s="36">
        <f t="shared" si="3"/>
        <v>477.3718431361076</v>
      </c>
      <c r="AM28" s="6"/>
    </row>
    <row r="29" spans="1:39">
      <c r="A29" s="32"/>
      <c r="B29" s="55">
        <v>18</v>
      </c>
      <c r="C29" s="210">
        <v>100</v>
      </c>
      <c r="D29" s="211">
        <v>871</v>
      </c>
      <c r="E29" s="103">
        <v>15559.999999999491</v>
      </c>
      <c r="F29" s="2">
        <v>16116736.799999472</v>
      </c>
      <c r="G29" s="34">
        <v>3399.9999999998636</v>
      </c>
      <c r="H29" s="2">
        <v>5282477.9999997886</v>
      </c>
      <c r="I29" s="100">
        <f t="shared" si="4"/>
        <v>21399214.799999259</v>
      </c>
      <c r="J29" s="103">
        <v>1759.9999999993088</v>
      </c>
      <c r="K29" s="2">
        <v>1822972.7999992841</v>
      </c>
      <c r="L29" s="179">
        <v>439.9999999998272</v>
      </c>
      <c r="M29" s="180">
        <v>683614.79999973159</v>
      </c>
      <c r="N29" s="91">
        <f t="shared" si="5"/>
        <v>2506587.5999990157</v>
      </c>
      <c r="O29" s="105">
        <f t="shared" si="6"/>
        <v>23905802.399998274</v>
      </c>
      <c r="P29" s="108">
        <f t="shared" si="7"/>
        <v>21159.99999999849</v>
      </c>
      <c r="Q29" s="185"/>
      <c r="R29" s="198"/>
      <c r="S29" s="208"/>
      <c r="T29" s="205"/>
      <c r="U29" s="203">
        <v>0</v>
      </c>
      <c r="V29" s="181">
        <f t="shared" si="8"/>
        <v>782.31000000000006</v>
      </c>
      <c r="W29" s="2">
        <v>38.270000000000003</v>
      </c>
      <c r="X29" s="2">
        <v>687731.03500000003</v>
      </c>
      <c r="Y29" s="30">
        <v>744.04000000000008</v>
      </c>
      <c r="Z29" s="30">
        <v>460941.64440000005</v>
      </c>
      <c r="AA29" s="30">
        <f t="shared" si="0"/>
        <v>1148672.6794</v>
      </c>
      <c r="AB29" s="125">
        <f t="shared" si="1"/>
        <v>88.522249722373999</v>
      </c>
      <c r="AC29" s="131">
        <v>143.59820000003515</v>
      </c>
      <c r="AD29" s="2">
        <v>0</v>
      </c>
      <c r="AE29" s="2">
        <v>0</v>
      </c>
      <c r="AF29" s="2">
        <v>0</v>
      </c>
      <c r="AG29" s="2">
        <f t="shared" si="9"/>
        <v>143.59820000003515</v>
      </c>
      <c r="AH29" s="2">
        <v>1313026.0412503213</v>
      </c>
      <c r="AI29" s="40">
        <f t="shared" si="2"/>
        <v>101.18811146118139</v>
      </c>
      <c r="AJ29" s="139">
        <v>608.40000000000146</v>
      </c>
      <c r="AK29" s="2">
        <v>6266520.0000000149</v>
      </c>
      <c r="AL29" s="36">
        <f t="shared" si="3"/>
        <v>482.92821643499815</v>
      </c>
      <c r="AM29" s="6"/>
    </row>
    <row r="30" spans="1:39">
      <c r="A30" s="32"/>
      <c r="B30" s="55">
        <v>19</v>
      </c>
      <c r="C30" s="210">
        <v>94</v>
      </c>
      <c r="D30" s="211">
        <v>760</v>
      </c>
      <c r="E30" s="103">
        <v>15720.000000001164</v>
      </c>
      <c r="F30" s="2">
        <v>16282461.600001205</v>
      </c>
      <c r="G30" s="34">
        <v>3440.0000000000546</v>
      </c>
      <c r="H30" s="2">
        <v>5344624.8000000855</v>
      </c>
      <c r="I30" s="100">
        <f t="shared" si="4"/>
        <v>21627086.400001291</v>
      </c>
      <c r="J30" s="103">
        <v>1680.000000000291</v>
      </c>
      <c r="K30" s="2">
        <v>1740110.4000003014</v>
      </c>
      <c r="L30" s="179">
        <v>420.00000000007276</v>
      </c>
      <c r="M30" s="180">
        <v>652541.40000011306</v>
      </c>
      <c r="N30" s="91">
        <f t="shared" si="5"/>
        <v>2392651.8000004143</v>
      </c>
      <c r="O30" s="105">
        <f t="shared" si="6"/>
        <v>24019738.200001705</v>
      </c>
      <c r="P30" s="108">
        <f t="shared" si="7"/>
        <v>21260.000000001583</v>
      </c>
      <c r="Q30" s="184"/>
      <c r="R30" s="184"/>
      <c r="S30" s="208"/>
      <c r="T30" s="205"/>
      <c r="U30" s="203">
        <v>0</v>
      </c>
      <c r="V30" s="181">
        <f t="shared" si="8"/>
        <v>708.43999999999994</v>
      </c>
      <c r="W30" s="2">
        <v>61.410000000000004</v>
      </c>
      <c r="X30" s="2">
        <v>1103568.405</v>
      </c>
      <c r="Y30" s="30">
        <v>647.03</v>
      </c>
      <c r="Z30" s="30">
        <v>517614.79740000004</v>
      </c>
      <c r="AA30" s="30">
        <f t="shared" si="0"/>
        <v>1621183.2024000001</v>
      </c>
      <c r="AB30" s="125">
        <f t="shared" si="1"/>
        <v>124.93618666331692</v>
      </c>
      <c r="AC30" s="131">
        <v>133.93099999999998</v>
      </c>
      <c r="AD30" s="2">
        <v>0</v>
      </c>
      <c r="AE30" s="2">
        <v>450</v>
      </c>
      <c r="AF30" s="2">
        <v>12</v>
      </c>
      <c r="AG30" s="2">
        <f t="shared" si="9"/>
        <v>595.93100000000004</v>
      </c>
      <c r="AH30" s="2">
        <v>6066631.5812499998</v>
      </c>
      <c r="AI30" s="40">
        <f t="shared" si="2"/>
        <v>467.52385204248736</v>
      </c>
      <c r="AJ30" s="139">
        <v>519.88000000000147</v>
      </c>
      <c r="AK30" s="2">
        <v>5354764.0000000149</v>
      </c>
      <c r="AL30" s="36">
        <f t="shared" si="3"/>
        <v>412.66390723245712</v>
      </c>
      <c r="AM30" s="6"/>
    </row>
    <row r="31" spans="1:39">
      <c r="A31" s="32"/>
      <c r="B31" s="55">
        <v>20</v>
      </c>
      <c r="C31" s="210">
        <v>98</v>
      </c>
      <c r="D31" s="211">
        <v>739</v>
      </c>
      <c r="E31" s="103">
        <v>16119.999999998981</v>
      </c>
      <c r="F31" s="2">
        <v>16696773.599998945</v>
      </c>
      <c r="G31" s="34">
        <v>3319.9999999999363</v>
      </c>
      <c r="H31" s="2">
        <v>5158184.3999999017</v>
      </c>
      <c r="I31" s="100">
        <f t="shared" si="4"/>
        <v>21854957.999998845</v>
      </c>
      <c r="J31" s="103">
        <v>1720.0000000002547</v>
      </c>
      <c r="K31" s="2">
        <v>1781541.6000002637</v>
      </c>
      <c r="L31" s="179">
        <v>420.00000000007276</v>
      </c>
      <c r="M31" s="180">
        <v>652541.40000011306</v>
      </c>
      <c r="N31" s="91">
        <f t="shared" si="5"/>
        <v>2434083.0000003767</v>
      </c>
      <c r="O31" s="105">
        <f t="shared" si="6"/>
        <v>24289040.999999221</v>
      </c>
      <c r="P31" s="108">
        <f t="shared" si="7"/>
        <v>21579.999999999243</v>
      </c>
      <c r="Q31" s="185"/>
      <c r="R31" s="185"/>
      <c r="S31" s="208"/>
      <c r="T31" s="205"/>
      <c r="U31" s="203">
        <v>0</v>
      </c>
      <c r="V31" s="181">
        <f t="shared" si="8"/>
        <v>769.85</v>
      </c>
      <c r="W31" s="2">
        <v>14.24</v>
      </c>
      <c r="X31" s="2">
        <v>255899.92</v>
      </c>
      <c r="Y31" s="30">
        <v>755.61</v>
      </c>
      <c r="Z31" s="30">
        <v>714081.72780000011</v>
      </c>
      <c r="AA31" s="30">
        <f t="shared" si="0"/>
        <v>969981.64780000015</v>
      </c>
      <c r="AB31" s="125">
        <f t="shared" si="1"/>
        <v>74.751458089455312</v>
      </c>
      <c r="AC31" s="131">
        <v>151.29167999999061</v>
      </c>
      <c r="AD31" s="2">
        <v>0</v>
      </c>
      <c r="AE31" s="2">
        <v>0</v>
      </c>
      <c r="AF31" s="2">
        <v>12</v>
      </c>
      <c r="AG31" s="2">
        <f t="shared" si="9"/>
        <v>163.29167999999061</v>
      </c>
      <c r="AH31" s="2">
        <v>1522873.2989999142</v>
      </c>
      <c r="AI31" s="40">
        <f t="shared" si="2"/>
        <v>117.35995195778652</v>
      </c>
      <c r="AJ31" s="139">
        <v>506</v>
      </c>
      <c r="AK31" s="2">
        <v>5211800</v>
      </c>
      <c r="AL31" s="36">
        <f t="shared" si="3"/>
        <v>401.64641274837027</v>
      </c>
      <c r="AM31" s="6"/>
    </row>
    <row r="32" spans="1:39">
      <c r="A32" s="32"/>
      <c r="B32" s="55">
        <v>21</v>
      </c>
      <c r="C32" s="210">
        <v>122</v>
      </c>
      <c r="D32" s="211">
        <v>795</v>
      </c>
      <c r="E32" s="103">
        <v>16079.999999999927</v>
      </c>
      <c r="F32" s="2">
        <v>16655342.399999924</v>
      </c>
      <c r="G32" s="34">
        <v>3640.0000000001</v>
      </c>
      <c r="H32" s="2">
        <v>5655358.8000001553</v>
      </c>
      <c r="I32" s="100">
        <f t="shared" si="4"/>
        <v>22310701.200000077</v>
      </c>
      <c r="J32" s="103">
        <v>1880.0000000001091</v>
      </c>
      <c r="K32" s="2">
        <v>1947266.4000001131</v>
      </c>
      <c r="L32" s="179">
        <v>460.00000000003638</v>
      </c>
      <c r="M32" s="180">
        <v>714688.20000005653</v>
      </c>
      <c r="N32" s="91">
        <f>+K32+M32</f>
        <v>2661954.6000001696</v>
      </c>
      <c r="O32" s="105">
        <f t="shared" si="6"/>
        <v>24972655.800000247</v>
      </c>
      <c r="P32" s="108">
        <f t="shared" si="7"/>
        <v>22060.000000000175</v>
      </c>
      <c r="Q32" s="184"/>
      <c r="R32" s="196"/>
      <c r="S32" s="208"/>
      <c r="T32" s="205"/>
      <c r="U32" s="203">
        <v>0</v>
      </c>
      <c r="V32" s="181">
        <f t="shared" si="8"/>
        <v>861.5200000000001</v>
      </c>
      <c r="W32" s="2">
        <v>130.83000000000001</v>
      </c>
      <c r="X32" s="2">
        <v>2351080.5150000001</v>
      </c>
      <c r="Y32" s="30">
        <v>730.69</v>
      </c>
      <c r="Z32" s="30">
        <v>1186358.0027999999</v>
      </c>
      <c r="AA32" s="30">
        <f t="shared" si="0"/>
        <v>3537438.5178</v>
      </c>
      <c r="AB32" s="125">
        <f t="shared" si="1"/>
        <v>272.61205168891399</v>
      </c>
      <c r="AC32" s="131">
        <v>153.14456000001638</v>
      </c>
      <c r="AD32" s="2">
        <v>0</v>
      </c>
      <c r="AE32" s="2">
        <v>0</v>
      </c>
      <c r="AF32" s="2">
        <v>0</v>
      </c>
      <c r="AG32" s="2">
        <f t="shared" si="9"/>
        <v>153.14456000001638</v>
      </c>
      <c r="AH32" s="2">
        <v>1400315.5705001499</v>
      </c>
      <c r="AI32" s="40">
        <f t="shared" si="2"/>
        <v>107.9150630505915</v>
      </c>
      <c r="AJ32" s="139">
        <v>347.02999999999588</v>
      </c>
      <c r="AK32" s="2">
        <v>3574408.9999999576</v>
      </c>
      <c r="AL32" s="36">
        <f t="shared" si="3"/>
        <v>275.46117513056379</v>
      </c>
      <c r="AM32" s="6"/>
    </row>
    <row r="33" spans="1:39">
      <c r="A33" s="32"/>
      <c r="B33" s="55">
        <v>22</v>
      </c>
      <c r="C33" s="210">
        <v>100</v>
      </c>
      <c r="D33" s="211">
        <v>852</v>
      </c>
      <c r="E33" s="103">
        <v>16880.000000001019</v>
      </c>
      <c r="F33" s="2">
        <v>17483966.400001053</v>
      </c>
      <c r="G33" s="34">
        <v>3519.9999999999818</v>
      </c>
      <c r="H33" s="2">
        <v>5468918.3999999724</v>
      </c>
      <c r="I33" s="100">
        <f t="shared" si="4"/>
        <v>22952884.800001025</v>
      </c>
      <c r="J33" s="103">
        <v>1759.9999999993088</v>
      </c>
      <c r="K33" s="2">
        <v>1822972.7999992841</v>
      </c>
      <c r="L33" s="179">
        <v>419.99999999984539</v>
      </c>
      <c r="M33" s="180">
        <v>652541.39999975986</v>
      </c>
      <c r="N33" s="91">
        <f t="shared" si="5"/>
        <v>2475514.1999990437</v>
      </c>
      <c r="O33" s="105">
        <f t="shared" si="6"/>
        <v>25428399.000000067</v>
      </c>
      <c r="P33" s="108">
        <f t="shared" si="7"/>
        <v>22580.000000000153</v>
      </c>
      <c r="Q33" s="184"/>
      <c r="R33" s="197"/>
      <c r="S33" s="208"/>
      <c r="T33" s="205"/>
      <c r="U33" s="203">
        <v>0</v>
      </c>
      <c r="V33" s="181">
        <f t="shared" si="8"/>
        <v>795.66</v>
      </c>
      <c r="W33" s="2">
        <v>24.03</v>
      </c>
      <c r="X33" s="2">
        <v>431831.11500000005</v>
      </c>
      <c r="Y33" s="30">
        <v>771.63</v>
      </c>
      <c r="Z33" s="30">
        <v>887879.39700000011</v>
      </c>
      <c r="AA33" s="30">
        <f t="shared" si="0"/>
        <v>1319710.5120000001</v>
      </c>
      <c r="AB33" s="125">
        <f t="shared" si="1"/>
        <v>101.70324897561594</v>
      </c>
      <c r="AC33" s="131">
        <v>155.03771999996246</v>
      </c>
      <c r="AD33" s="2">
        <v>0</v>
      </c>
      <c r="AE33" s="2">
        <v>0</v>
      </c>
      <c r="AF33" s="2">
        <v>0</v>
      </c>
      <c r="AG33" s="2">
        <f t="shared" si="9"/>
        <v>155.03771999996246</v>
      </c>
      <c r="AH33" s="2">
        <v>1417626.1522496569</v>
      </c>
      <c r="AI33" s="40">
        <f t="shared" si="2"/>
        <v>109.2490998636459</v>
      </c>
      <c r="AJ33" s="139">
        <v>689.92000000001281</v>
      </c>
      <c r="AK33" s="2">
        <v>7106176.0000001322</v>
      </c>
      <c r="AL33" s="36">
        <f t="shared" si="3"/>
        <v>547.63615233865767</v>
      </c>
      <c r="AM33" s="6"/>
    </row>
    <row r="34" spans="1:39">
      <c r="A34" s="32"/>
      <c r="B34" s="55">
        <v>23</v>
      </c>
      <c r="C34" s="210">
        <v>90</v>
      </c>
      <c r="D34" s="211">
        <v>746</v>
      </c>
      <c r="E34" s="103">
        <v>16559.999999999491</v>
      </c>
      <c r="F34" s="2">
        <v>17152516.799999472</v>
      </c>
      <c r="G34" s="34">
        <v>3400.0000000000909</v>
      </c>
      <c r="H34" s="2">
        <v>5282478.0000001416</v>
      </c>
      <c r="I34" s="100">
        <f t="shared" si="4"/>
        <v>22434994.799999613</v>
      </c>
      <c r="J34" s="103">
        <v>1880.0000000001091</v>
      </c>
      <c r="K34" s="2">
        <v>1947266.4000001131</v>
      </c>
      <c r="L34" s="179">
        <v>420.00000000007276</v>
      </c>
      <c r="M34" s="180">
        <v>652541.40000011306</v>
      </c>
      <c r="N34" s="91">
        <f t="shared" si="5"/>
        <v>2599807.8000002261</v>
      </c>
      <c r="O34" s="105">
        <f t="shared" si="6"/>
        <v>25034802.599999838</v>
      </c>
      <c r="P34" s="108">
        <f t="shared" si="7"/>
        <v>22259.999999999764</v>
      </c>
      <c r="Q34" s="185"/>
      <c r="R34" s="198"/>
      <c r="S34" s="208"/>
      <c r="T34" s="205"/>
      <c r="U34" s="203">
        <v>0</v>
      </c>
      <c r="V34" s="181">
        <f t="shared" si="8"/>
        <v>795.66</v>
      </c>
      <c r="W34" s="2">
        <v>104.13</v>
      </c>
      <c r="X34" s="2">
        <v>1871268.1649999998</v>
      </c>
      <c r="Y34" s="30">
        <v>691.53</v>
      </c>
      <c r="Z34" s="30">
        <v>823649.82360000012</v>
      </c>
      <c r="AA34" s="30">
        <f t="shared" si="0"/>
        <v>2694917.9885999998</v>
      </c>
      <c r="AB34" s="125">
        <f t="shared" si="1"/>
        <v>207.68336136694487</v>
      </c>
      <c r="AC34" s="131">
        <v>150.20412000003282</v>
      </c>
      <c r="AD34" s="2">
        <v>0</v>
      </c>
      <c r="AE34" s="2">
        <v>0</v>
      </c>
      <c r="AF34" s="2">
        <v>12</v>
      </c>
      <c r="AG34" s="2">
        <f t="shared" si="9"/>
        <v>162.20412000003282</v>
      </c>
      <c r="AH34" s="2">
        <v>1512928.9222502999</v>
      </c>
      <c r="AI34" s="40">
        <f t="shared" si="2"/>
        <v>116.59359038433765</v>
      </c>
      <c r="AJ34" s="139">
        <v>476.1200000000099</v>
      </c>
      <c r="AK34" s="2">
        <v>4904036.0000001015</v>
      </c>
      <c r="AL34" s="36">
        <f t="shared" si="3"/>
        <v>377.92863643825694</v>
      </c>
      <c r="AM34" s="6"/>
    </row>
    <row r="35" spans="1:39">
      <c r="A35" s="32"/>
      <c r="B35" s="55">
        <v>24</v>
      </c>
      <c r="C35" s="210">
        <v>80</v>
      </c>
      <c r="D35" s="211">
        <v>730</v>
      </c>
      <c r="E35" s="103">
        <v>16680.000000000291</v>
      </c>
      <c r="F35" s="2">
        <v>17276810.4000003</v>
      </c>
      <c r="G35" s="34">
        <v>3439.9999999998272</v>
      </c>
      <c r="H35" s="2">
        <v>5344624.7999997316</v>
      </c>
      <c r="I35" s="100">
        <f t="shared" si="4"/>
        <v>22621435.200000033</v>
      </c>
      <c r="J35" s="103">
        <v>1920.0000000000728</v>
      </c>
      <c r="K35" s="2">
        <v>1988697.6000000753</v>
      </c>
      <c r="L35" s="179">
        <v>500</v>
      </c>
      <c r="M35" s="180">
        <v>776835</v>
      </c>
      <c r="N35" s="91">
        <f t="shared" si="5"/>
        <v>2765532.6000000751</v>
      </c>
      <c r="O35" s="105">
        <f t="shared" si="6"/>
        <v>25386967.800000109</v>
      </c>
      <c r="P35" s="108">
        <f t="shared" si="7"/>
        <v>22540.000000000189</v>
      </c>
      <c r="Q35" s="184"/>
      <c r="R35" s="196"/>
      <c r="S35" s="208"/>
      <c r="T35" s="205"/>
      <c r="U35" s="203">
        <v>0</v>
      </c>
      <c r="V35" s="181">
        <f t="shared" si="8"/>
        <v>817.02</v>
      </c>
      <c r="W35" s="2">
        <v>16.91</v>
      </c>
      <c r="X35" s="2">
        <v>303881.15500000003</v>
      </c>
      <c r="Y35" s="30">
        <v>800.11</v>
      </c>
      <c r="Z35" s="30">
        <v>306035.02620000002</v>
      </c>
      <c r="AA35" s="30">
        <f t="shared" si="0"/>
        <v>609916.18119999999</v>
      </c>
      <c r="AB35" s="125">
        <f t="shared" si="1"/>
        <v>47.003078831913157</v>
      </c>
      <c r="AC35" s="131">
        <v>145.89416000000466</v>
      </c>
      <c r="AD35" s="2">
        <v>0</v>
      </c>
      <c r="AE35" s="2">
        <v>0</v>
      </c>
      <c r="AF35" s="2">
        <v>36</v>
      </c>
      <c r="AG35" s="2">
        <f t="shared" si="9"/>
        <v>181.89416000000466</v>
      </c>
      <c r="AH35" s="2">
        <v>1752519.7255000426</v>
      </c>
      <c r="AI35" s="40">
        <f t="shared" si="2"/>
        <v>135.05761176903385</v>
      </c>
      <c r="AJ35" s="139">
        <v>495.27999999999884</v>
      </c>
      <c r="AK35" s="2">
        <v>5101383.9999999879</v>
      </c>
      <c r="AL35" s="36">
        <f t="shared" si="3"/>
        <v>393.13722392492559</v>
      </c>
      <c r="AM35" s="6"/>
    </row>
    <row r="36" spans="1:39">
      <c r="A36" s="32"/>
      <c r="B36" s="55">
        <v>25</v>
      </c>
      <c r="C36" s="210">
        <v>75</v>
      </c>
      <c r="D36" s="211">
        <v>681</v>
      </c>
      <c r="E36" s="103">
        <v>15840.000000000146</v>
      </c>
      <c r="F36" s="2">
        <v>16406755.20000015</v>
      </c>
      <c r="G36" s="34">
        <v>3440.0000000000546</v>
      </c>
      <c r="H36" s="2">
        <v>5344624.8000000855</v>
      </c>
      <c r="I36" s="100">
        <f t="shared" si="4"/>
        <v>21751380.000000235</v>
      </c>
      <c r="J36" s="103">
        <v>2000</v>
      </c>
      <c r="K36" s="2">
        <v>2071560</v>
      </c>
      <c r="L36" s="179">
        <v>440.00000000005457</v>
      </c>
      <c r="M36" s="180">
        <v>683614.8000000848</v>
      </c>
      <c r="N36" s="91">
        <f t="shared" si="5"/>
        <v>2755174.8000000846</v>
      </c>
      <c r="O36" s="105">
        <f t="shared" si="6"/>
        <v>24506554.800000317</v>
      </c>
      <c r="P36" s="108">
        <f t="shared" si="7"/>
        <v>21720.000000000255</v>
      </c>
      <c r="Q36" s="184"/>
      <c r="R36" s="196"/>
      <c r="S36" s="208"/>
      <c r="T36" s="205"/>
      <c r="U36" s="203">
        <v>0</v>
      </c>
      <c r="V36" s="181">
        <f t="shared" si="8"/>
        <v>812.57</v>
      </c>
      <c r="W36" s="2">
        <v>72.98</v>
      </c>
      <c r="X36" s="2">
        <v>1311487.0900000001</v>
      </c>
      <c r="Y36" s="30">
        <v>739.59</v>
      </c>
      <c r="Z36" s="30">
        <v>396712.07100000005</v>
      </c>
      <c r="AA36" s="30">
        <f t="shared" si="0"/>
        <v>1708199.1610000001</v>
      </c>
      <c r="AB36" s="125">
        <f t="shared" si="1"/>
        <v>131.64205558068724</v>
      </c>
      <c r="AC36" s="131">
        <v>136.1061199999742</v>
      </c>
      <c r="AD36" s="2">
        <v>0</v>
      </c>
      <c r="AE36" s="2">
        <v>0</v>
      </c>
      <c r="AF36" s="2">
        <v>12</v>
      </c>
      <c r="AG36" s="2">
        <f t="shared" si="9"/>
        <v>148.1061199999742</v>
      </c>
      <c r="AH36" s="2">
        <v>1384020.3347497641</v>
      </c>
      <c r="AI36" s="40">
        <f t="shared" si="2"/>
        <v>106.65927369105516</v>
      </c>
      <c r="AJ36" s="139">
        <v>527.19999999999709</v>
      </c>
      <c r="AK36" s="2">
        <v>5430159.9999999702</v>
      </c>
      <c r="AL36" s="36">
        <f t="shared" si="3"/>
        <v>418.47428616786493</v>
      </c>
      <c r="AM36" s="6"/>
    </row>
    <row r="37" spans="1:39">
      <c r="A37" s="32"/>
      <c r="B37" s="55">
        <v>26</v>
      </c>
      <c r="C37" s="210">
        <v>76</v>
      </c>
      <c r="D37" s="211">
        <v>598</v>
      </c>
      <c r="E37" s="103">
        <v>15279.999999998836</v>
      </c>
      <c r="F37" s="2">
        <v>15826718.399998793</v>
      </c>
      <c r="G37" s="34">
        <v>3200.0000000000455</v>
      </c>
      <c r="H37" s="2">
        <v>4971744.0000000708</v>
      </c>
      <c r="I37" s="100">
        <f t="shared" si="4"/>
        <v>20798462.399998866</v>
      </c>
      <c r="J37" s="103">
        <v>1659.9999999998545</v>
      </c>
      <c r="K37" s="2">
        <v>1719394.7999998492</v>
      </c>
      <c r="L37" s="179">
        <v>419.99999999984539</v>
      </c>
      <c r="M37" s="180">
        <v>652541.39999975986</v>
      </c>
      <c r="N37" s="91">
        <f t="shared" si="5"/>
        <v>2371936.199999609</v>
      </c>
      <c r="O37" s="105">
        <f t="shared" si="6"/>
        <v>23170398.599998474</v>
      </c>
      <c r="P37" s="108">
        <f t="shared" si="7"/>
        <v>20559.999999998581</v>
      </c>
      <c r="Q37" s="184"/>
      <c r="R37" s="196"/>
      <c r="S37" s="208"/>
      <c r="T37" s="205"/>
      <c r="U37" s="203">
        <v>0</v>
      </c>
      <c r="V37" s="181">
        <f t="shared" si="8"/>
        <v>765.4</v>
      </c>
      <c r="W37" s="2">
        <v>105.02</v>
      </c>
      <c r="X37" s="2">
        <v>1887261.91</v>
      </c>
      <c r="Y37" s="30">
        <v>660.38</v>
      </c>
      <c r="Z37" s="30">
        <v>574287.95040000009</v>
      </c>
      <c r="AA37" s="30">
        <f t="shared" si="0"/>
        <v>2461549.8604000001</v>
      </c>
      <c r="AB37" s="125">
        <f t="shared" si="1"/>
        <v>189.69888929561986</v>
      </c>
      <c r="AC37" s="131">
        <v>128.97656000001641</v>
      </c>
      <c r="AD37" s="2">
        <v>0</v>
      </c>
      <c r="AE37" s="2">
        <v>0</v>
      </c>
      <c r="AF37" s="2">
        <v>12</v>
      </c>
      <c r="AG37" s="2">
        <f t="shared" si="9"/>
        <v>140.97656000001641</v>
      </c>
      <c r="AH37" s="2">
        <v>1318829.42050015</v>
      </c>
      <c r="AI37" s="40">
        <f t="shared" si="2"/>
        <v>101.63534782050293</v>
      </c>
      <c r="AJ37" s="139">
        <v>470.95000000000005</v>
      </c>
      <c r="AK37" s="2">
        <v>4850785.0000000009</v>
      </c>
      <c r="AL37" s="36">
        <f t="shared" si="3"/>
        <v>373.8248578732115</v>
      </c>
      <c r="AM37" s="6"/>
    </row>
    <row r="38" spans="1:39">
      <c r="A38" s="32"/>
      <c r="B38" s="55">
        <v>27</v>
      </c>
      <c r="C38" s="210">
        <v>75</v>
      </c>
      <c r="D38" s="211">
        <v>592</v>
      </c>
      <c r="E38" s="103">
        <v>15280.000000000655</v>
      </c>
      <c r="F38" s="2">
        <v>15826718.400000678</v>
      </c>
      <c r="G38" s="34">
        <v>3279.9999999999727</v>
      </c>
      <c r="H38" s="2">
        <v>5096037.5999999577</v>
      </c>
      <c r="I38" s="100">
        <f t="shared" si="4"/>
        <v>20922756.000000637</v>
      </c>
      <c r="J38" s="103">
        <v>1720.0000000002547</v>
      </c>
      <c r="K38" s="2">
        <v>1781541.6000002637</v>
      </c>
      <c r="L38" s="179">
        <v>420.00000000007276</v>
      </c>
      <c r="M38" s="180">
        <v>652541.40000011306</v>
      </c>
      <c r="N38" s="91">
        <f t="shared" si="5"/>
        <v>2434083.0000003767</v>
      </c>
      <c r="O38" s="105">
        <f t="shared" si="6"/>
        <v>23356839.000001013</v>
      </c>
      <c r="P38" s="108">
        <f t="shared" si="7"/>
        <v>20700.000000000953</v>
      </c>
      <c r="Q38" s="184"/>
      <c r="R38" s="196"/>
      <c r="S38" s="208"/>
      <c r="T38" s="205"/>
      <c r="U38" s="203">
        <v>0</v>
      </c>
      <c r="V38" s="181">
        <f t="shared" si="8"/>
        <v>875.76</v>
      </c>
      <c r="W38" s="2">
        <v>38.270000000000003</v>
      </c>
      <c r="X38" s="2">
        <v>687731.03500000003</v>
      </c>
      <c r="Y38" s="30">
        <v>837.49</v>
      </c>
      <c r="Z38" s="30">
        <v>555396.89940000011</v>
      </c>
      <c r="AA38" s="30">
        <f t="shared" si="0"/>
        <v>1243127.9344000001</v>
      </c>
      <c r="AB38" s="125">
        <f t="shared" si="1"/>
        <v>95.801426654716494</v>
      </c>
      <c r="AC38" s="131">
        <v>160.3949599999695</v>
      </c>
      <c r="AD38" s="2">
        <v>0</v>
      </c>
      <c r="AE38" s="2">
        <v>150</v>
      </c>
      <c r="AF38" s="2">
        <v>12</v>
      </c>
      <c r="AG38" s="2">
        <f t="shared" si="9"/>
        <v>322.3949599999695</v>
      </c>
      <c r="AH38" s="2">
        <v>3173611.4154997212</v>
      </c>
      <c r="AI38" s="40">
        <f t="shared" si="2"/>
        <v>244.57378266486447</v>
      </c>
      <c r="AJ38" s="139">
        <v>366.17000000000348</v>
      </c>
      <c r="AK38" s="2">
        <v>3771551.0000000359</v>
      </c>
      <c r="AL38" s="36">
        <f t="shared" si="3"/>
        <v>290.65388726496468</v>
      </c>
      <c r="AM38" s="6"/>
    </row>
    <row r="39" spans="1:39">
      <c r="A39" s="32"/>
      <c r="B39" s="55">
        <v>28</v>
      </c>
      <c r="C39" s="210">
        <v>78</v>
      </c>
      <c r="D39" s="211">
        <v>529</v>
      </c>
      <c r="E39" s="103">
        <v>16360.000000000582</v>
      </c>
      <c r="F39" s="2">
        <v>16945360.800000604</v>
      </c>
      <c r="G39" s="34">
        <v>3400.0000000000909</v>
      </c>
      <c r="H39" s="2">
        <v>5282478.0000001416</v>
      </c>
      <c r="I39" s="100">
        <f t="shared" si="4"/>
        <v>22227838.800000746</v>
      </c>
      <c r="J39" s="103">
        <v>1899.9999999996362</v>
      </c>
      <c r="K39" s="2">
        <v>1967981.999999623</v>
      </c>
      <c r="L39" s="179">
        <v>500</v>
      </c>
      <c r="M39" s="180">
        <v>776835</v>
      </c>
      <c r="N39" s="91">
        <f t="shared" si="5"/>
        <v>2744816.9999996228</v>
      </c>
      <c r="O39" s="105">
        <f t="shared" si="6"/>
        <v>24972655.80000037</v>
      </c>
      <c r="P39" s="108">
        <f t="shared" si="7"/>
        <v>22160.000000000309</v>
      </c>
      <c r="Q39" s="184"/>
      <c r="R39" s="199"/>
      <c r="S39" s="208"/>
      <c r="T39" s="205"/>
      <c r="U39" s="203">
        <v>0</v>
      </c>
      <c r="V39" s="181">
        <f t="shared" si="8"/>
        <v>829.48</v>
      </c>
      <c r="W39" s="2">
        <v>17.8</v>
      </c>
      <c r="X39" s="2">
        <v>319874.90000000002</v>
      </c>
      <c r="Y39" s="30">
        <v>811.68000000000006</v>
      </c>
      <c r="Z39" s="30">
        <v>627182.89320000005</v>
      </c>
      <c r="AA39" s="30">
        <f t="shared" si="0"/>
        <v>947057.79320000007</v>
      </c>
      <c r="AB39" s="125">
        <f t="shared" si="1"/>
        <v>72.984835431936744</v>
      </c>
      <c r="AC39" s="131">
        <v>143.67876000005157</v>
      </c>
      <c r="AD39" s="2">
        <v>0</v>
      </c>
      <c r="AE39" s="2">
        <v>50</v>
      </c>
      <c r="AF39" s="2">
        <v>0</v>
      </c>
      <c r="AG39" s="2">
        <f t="shared" si="9"/>
        <v>193.67876000005157</v>
      </c>
      <c r="AH39" s="2">
        <v>1836262.6617504715</v>
      </c>
      <c r="AI39" s="40">
        <f t="shared" si="2"/>
        <v>141.51124581830669</v>
      </c>
      <c r="AJ39" s="139">
        <v>364.05000000000223</v>
      </c>
      <c r="AK39" s="2">
        <v>3749715.0000000228</v>
      </c>
      <c r="AL39" s="36">
        <f t="shared" si="3"/>
        <v>288.97109992301398</v>
      </c>
      <c r="AM39" s="6"/>
    </row>
    <row r="40" spans="1:39">
      <c r="A40" s="32"/>
      <c r="B40" s="55">
        <v>29</v>
      </c>
      <c r="C40" s="210">
        <v>63</v>
      </c>
      <c r="D40" s="211">
        <v>658</v>
      </c>
      <c r="E40" s="103">
        <v>16679.999999998472</v>
      </c>
      <c r="F40" s="2">
        <v>17276810.399998415</v>
      </c>
      <c r="G40" s="34">
        <v>3359.9999999999</v>
      </c>
      <c r="H40" s="2">
        <v>5220331.1999998447</v>
      </c>
      <c r="I40" s="100">
        <f t="shared" si="4"/>
        <v>22497141.599998258</v>
      </c>
      <c r="J40" s="103">
        <v>2060.0000000004002</v>
      </c>
      <c r="K40" s="2">
        <v>2133706.8000004143</v>
      </c>
      <c r="L40" s="179">
        <v>539.99999999996362</v>
      </c>
      <c r="M40" s="180">
        <v>838981.79999994347</v>
      </c>
      <c r="N40" s="91">
        <f t="shared" si="5"/>
        <v>2972688.6000003577</v>
      </c>
      <c r="O40" s="105">
        <f t="shared" ref="O40:O41" si="10">N40+I40</f>
        <v>25469830.199998617</v>
      </c>
      <c r="P40" s="108">
        <f t="shared" ref="P40:P41" si="11">L40+J40+G40+E40</f>
        <v>22639.999999998734</v>
      </c>
      <c r="Q40" s="185"/>
      <c r="R40" s="200"/>
      <c r="S40" s="208"/>
      <c r="T40" s="205"/>
      <c r="U40" s="203">
        <v>0</v>
      </c>
      <c r="V40" s="181">
        <f t="shared" si="8"/>
        <v>804.56000000000006</v>
      </c>
      <c r="W40" s="2">
        <v>41.83</v>
      </c>
      <c r="X40" s="2">
        <v>751706.01500000001</v>
      </c>
      <c r="Y40" s="30">
        <v>762.73</v>
      </c>
      <c r="Z40" s="30">
        <v>816093.40320000006</v>
      </c>
      <c r="AA40" s="30">
        <f t="shared" ref="AA40:AA41" si="12">Z40+X40</f>
        <v>1567799.4182000002</v>
      </c>
      <c r="AB40" s="125">
        <f t="shared" ref="AB40:AB41" si="13">AA40/$AL$48</f>
        <v>120.82217510821829</v>
      </c>
      <c r="AC40" s="131">
        <v>158.17955999995777</v>
      </c>
      <c r="AD40" s="2">
        <v>0</v>
      </c>
      <c r="AE40" s="2">
        <v>0</v>
      </c>
      <c r="AF40" s="2">
        <v>0</v>
      </c>
      <c r="AG40" s="2">
        <f t="shared" si="9"/>
        <v>158.17955999995777</v>
      </c>
      <c r="AH40" s="2">
        <v>1446354.3517496139</v>
      </c>
      <c r="AI40" s="40">
        <f t="shared" ref="AI40:AI42" si="14">AH40/$AL$48</f>
        <v>111.46303329813634</v>
      </c>
      <c r="AJ40" s="139">
        <v>596.17999999999302</v>
      </c>
      <c r="AK40" s="2">
        <v>6140653.9999999283</v>
      </c>
      <c r="AL40" s="36">
        <f t="shared" si="3"/>
        <v>473.22837619035687</v>
      </c>
      <c r="AM40" s="6"/>
    </row>
    <row r="41" spans="1:39" ht="17.25" customHeight="1">
      <c r="A41" s="32"/>
      <c r="B41" s="55">
        <v>30</v>
      </c>
      <c r="C41" s="210">
        <v>55</v>
      </c>
      <c r="D41" s="211">
        <v>522</v>
      </c>
      <c r="E41" s="103">
        <v>16160.000000001673</v>
      </c>
      <c r="F41" s="2">
        <v>16738204.800001733</v>
      </c>
      <c r="G41" s="34">
        <v>3440.0000000000546</v>
      </c>
      <c r="H41" s="2">
        <v>5344624.8000000855</v>
      </c>
      <c r="I41" s="100">
        <f t="shared" si="4"/>
        <v>22082829.600001819</v>
      </c>
      <c r="J41" s="103">
        <v>2119.9999999998909</v>
      </c>
      <c r="K41" s="2">
        <v>2195853.5999998869</v>
      </c>
      <c r="L41" s="179">
        <v>480.00000000001819</v>
      </c>
      <c r="M41" s="180">
        <v>745761.60000002827</v>
      </c>
      <c r="N41" s="91">
        <f t="shared" si="5"/>
        <v>2941615.1999999154</v>
      </c>
      <c r="O41" s="105">
        <f t="shared" si="10"/>
        <v>25024444.800001733</v>
      </c>
      <c r="P41" s="108">
        <f t="shared" si="11"/>
        <v>22200.000000001637</v>
      </c>
      <c r="Q41" s="184"/>
      <c r="R41" s="201"/>
      <c r="S41" s="208"/>
      <c r="T41" s="205"/>
      <c r="U41" s="203">
        <v>0</v>
      </c>
      <c r="V41" s="181">
        <f t="shared" si="8"/>
        <v>795.66</v>
      </c>
      <c r="W41" s="2">
        <v>39.160000000000004</v>
      </c>
      <c r="X41" s="2">
        <v>703724.78</v>
      </c>
      <c r="Y41" s="30">
        <v>756.5</v>
      </c>
      <c r="Z41" s="30">
        <v>185132.29980000001</v>
      </c>
      <c r="AA41" s="30">
        <f t="shared" si="12"/>
        <v>888857.07980000007</v>
      </c>
      <c r="AB41" s="125">
        <f t="shared" si="13"/>
        <v>68.499608109993076</v>
      </c>
      <c r="AC41" s="131">
        <v>150.04299999999998</v>
      </c>
      <c r="AD41" s="2">
        <v>0</v>
      </c>
      <c r="AE41" s="2">
        <v>0</v>
      </c>
      <c r="AF41" s="2">
        <v>12</v>
      </c>
      <c r="AG41" s="2">
        <f t="shared" si="9"/>
        <v>162.04299999999998</v>
      </c>
      <c r="AH41" s="2">
        <v>1511455.6812499999</v>
      </c>
      <c r="AI41" s="40">
        <f t="shared" si="14"/>
        <v>116.48005533639177</v>
      </c>
      <c r="AJ41" s="139">
        <v>354.32000000000698</v>
      </c>
      <c r="AK41" s="2">
        <v>3649496.0000000717</v>
      </c>
      <c r="AL41" s="36">
        <f t="shared" si="3"/>
        <v>281.24774103755999</v>
      </c>
      <c r="AM41" s="6"/>
    </row>
    <row r="42" spans="1:39">
      <c r="A42" s="32"/>
      <c r="B42" s="55">
        <v>31</v>
      </c>
      <c r="C42" s="210">
        <v>43</v>
      </c>
      <c r="D42" s="211">
        <v>498</v>
      </c>
      <c r="E42" s="103">
        <v>16479.999999999563</v>
      </c>
      <c r="F42" s="2">
        <v>17069654.399999548</v>
      </c>
      <c r="G42" s="34">
        <v>3319.9999999999363</v>
      </c>
      <c r="H42" s="2">
        <v>5158184.3999999017</v>
      </c>
      <c r="I42" s="100">
        <f t="shared" si="4"/>
        <v>22227838.799999449</v>
      </c>
      <c r="J42" s="103">
        <v>2199.9999999998181</v>
      </c>
      <c r="K42" s="2">
        <v>2278715.9999998114</v>
      </c>
      <c r="L42" s="179">
        <v>539.99999999996362</v>
      </c>
      <c r="M42" s="180">
        <v>838981.79999994347</v>
      </c>
      <c r="N42" s="91">
        <f t="shared" ref="N42" si="15">+K42+M42</f>
        <v>3117697.7999997549</v>
      </c>
      <c r="O42" s="105">
        <f t="shared" ref="O42" si="16">N42+I42</f>
        <v>25345536.599999204</v>
      </c>
      <c r="P42" s="108">
        <f t="shared" ref="P42" si="17">L42+J42+G42+E42</f>
        <v>22539.99999999928</v>
      </c>
      <c r="Q42" s="184"/>
      <c r="R42" s="201"/>
      <c r="S42" s="208"/>
      <c r="T42" s="205"/>
      <c r="U42" s="203">
        <v>0</v>
      </c>
      <c r="V42" s="181">
        <f t="shared" ref="V42" si="18">Y42+W42</f>
        <v>746.71</v>
      </c>
      <c r="W42" s="2">
        <v>48.06</v>
      </c>
      <c r="X42" s="2">
        <v>863662.2300000001</v>
      </c>
      <c r="Y42" s="30">
        <v>698.65</v>
      </c>
      <c r="Z42" s="30">
        <v>68007.78360000001</v>
      </c>
      <c r="AA42" s="30">
        <f t="shared" ref="AA42" si="19">Z42+X42</f>
        <v>931670.01360000006</v>
      </c>
      <c r="AB42" s="125">
        <f t="shared" ref="AB42" si="20">AA42/$AL$48</f>
        <v>71.798979014479713</v>
      </c>
      <c r="AC42" s="131">
        <v>134.49491999999765</v>
      </c>
      <c r="AD42" s="2">
        <v>0</v>
      </c>
      <c r="AE42" s="2">
        <v>0</v>
      </c>
      <c r="AF42" s="2">
        <v>36</v>
      </c>
      <c r="AG42" s="2">
        <f t="shared" si="9"/>
        <v>170.49491999999765</v>
      </c>
      <c r="AH42" s="2">
        <v>1648287.9247499786</v>
      </c>
      <c r="AI42" s="40">
        <f t="shared" si="14"/>
        <v>127.02500712849391</v>
      </c>
      <c r="AJ42" s="139">
        <v>397</v>
      </c>
      <c r="AK42" s="2">
        <v>4089100</v>
      </c>
      <c r="AL42" s="36">
        <f t="shared" si="3"/>
        <v>315.12574280850396</v>
      </c>
      <c r="AM42" s="6"/>
    </row>
    <row r="43" spans="1:39" ht="16.5" thickBot="1">
      <c r="A43" s="32"/>
      <c r="B43" s="119"/>
      <c r="C43" s="146"/>
      <c r="D43" s="147"/>
      <c r="E43" s="101"/>
      <c r="F43" s="101"/>
      <c r="G43" s="92"/>
      <c r="H43" s="93"/>
      <c r="I43" s="102"/>
      <c r="J43" s="104"/>
      <c r="K43" s="92"/>
      <c r="L43" s="93"/>
      <c r="M43" s="94"/>
      <c r="N43" s="95"/>
      <c r="O43" s="106"/>
      <c r="P43" s="109"/>
      <c r="Q43" s="170"/>
      <c r="R43" s="202"/>
      <c r="S43" s="209"/>
      <c r="T43" s="209"/>
      <c r="U43" s="204"/>
      <c r="V43" s="181"/>
      <c r="W43" s="2"/>
      <c r="X43" s="2"/>
      <c r="Y43" s="30"/>
      <c r="Z43" s="30"/>
      <c r="AA43" s="16"/>
      <c r="AB43" s="126"/>
      <c r="AC43" s="124"/>
      <c r="AD43" s="2"/>
      <c r="AE43" s="1"/>
      <c r="AF43" s="1"/>
      <c r="AG43" s="1"/>
      <c r="AH43" s="2"/>
      <c r="AI43" s="40"/>
      <c r="AJ43" s="139"/>
      <c r="AK43" s="2"/>
      <c r="AL43" s="36"/>
      <c r="AM43" s="6"/>
    </row>
    <row r="44" spans="1:39" s="7" customFormat="1" ht="4.5" customHeight="1">
      <c r="B44" s="114"/>
      <c r="C44" s="115"/>
      <c r="D44" s="115"/>
      <c r="E44" s="113"/>
      <c r="F44" s="6"/>
      <c r="H44" s="6"/>
      <c r="L44" s="6"/>
      <c r="M44" s="59"/>
      <c r="N44" s="63"/>
      <c r="P44" s="63"/>
      <c r="R44" s="83"/>
      <c r="S44" s="6"/>
      <c r="U44" s="31"/>
      <c r="V44" s="127"/>
      <c r="AB44" s="31"/>
      <c r="AD44" s="6"/>
      <c r="AJ44" s="83"/>
      <c r="AL44" s="31"/>
    </row>
    <row r="45" spans="1:39" s="7" customFormat="1" ht="6" customHeight="1">
      <c r="B45" s="114"/>
      <c r="C45" s="115"/>
      <c r="D45" s="115"/>
      <c r="E45" s="113"/>
      <c r="F45" s="6"/>
      <c r="H45" s="6"/>
      <c r="L45" s="6"/>
      <c r="M45" s="59"/>
      <c r="N45" s="63"/>
      <c r="P45" s="63"/>
      <c r="R45" s="83"/>
      <c r="S45" s="14"/>
      <c r="T45" s="14"/>
      <c r="U45" s="31"/>
      <c r="V45" s="127"/>
      <c r="AB45" s="128"/>
      <c r="AD45" s="6"/>
      <c r="AH45" s="6"/>
      <c r="AJ45" s="85"/>
      <c r="AK45" s="4"/>
      <c r="AL45" s="37"/>
    </row>
    <row r="46" spans="1:39" s="7" customFormat="1" ht="16.5" thickBot="1">
      <c r="B46" s="116"/>
      <c r="C46" s="117"/>
      <c r="D46" s="117"/>
      <c r="E46" s="118"/>
      <c r="F46" s="69"/>
      <c r="G46" s="68"/>
      <c r="H46" s="69"/>
      <c r="I46" s="68"/>
      <c r="J46" s="68"/>
      <c r="K46" s="68"/>
      <c r="L46" s="69"/>
      <c r="M46" s="70"/>
      <c r="N46" s="71"/>
      <c r="O46" s="68"/>
      <c r="P46" s="71"/>
      <c r="Q46" s="68"/>
      <c r="R46" s="84"/>
      <c r="S46" s="72"/>
      <c r="T46" s="68"/>
      <c r="U46" s="182"/>
      <c r="V46" s="129"/>
      <c r="W46" s="74"/>
      <c r="X46" s="68"/>
      <c r="Y46" s="68"/>
      <c r="Z46" s="68"/>
      <c r="AA46" s="68"/>
      <c r="AB46" s="73"/>
      <c r="AC46" s="75"/>
      <c r="AD46" s="69"/>
      <c r="AE46" s="75"/>
      <c r="AF46" s="75"/>
      <c r="AG46" s="75"/>
      <c r="AH46" s="69"/>
      <c r="AI46" s="68"/>
      <c r="AJ46" s="140"/>
      <c r="AK46" s="76"/>
      <c r="AL46" s="77"/>
    </row>
    <row r="47" spans="1:39" ht="17.25" thickTop="1" thickBot="1">
      <c r="A47" s="24"/>
      <c r="B47" s="66"/>
      <c r="C47" s="67">
        <f>SUM(C12:C43)</f>
        <v>2942</v>
      </c>
      <c r="D47" s="67">
        <f>SUM(D12:D43)</f>
        <v>23179</v>
      </c>
      <c r="E47" s="67">
        <f>SUM(E12:E43)</f>
        <v>504440.00000000035</v>
      </c>
      <c r="F47" s="67">
        <f>SUM(F12:F43)</f>
        <v>522488863.20000052</v>
      </c>
      <c r="G47" s="67">
        <f>SUM(G12:G43)</f>
        <v>106720.00000000004</v>
      </c>
      <c r="H47" s="67">
        <f t="shared" ref="H47:O47" si="21">SUM(H12:H43)</f>
        <v>165807662.40000004</v>
      </c>
      <c r="I47" s="67">
        <f t="shared" si="21"/>
        <v>688296525.6000005</v>
      </c>
      <c r="J47" s="67">
        <f t="shared" si="21"/>
        <v>57840.000000000146</v>
      </c>
      <c r="K47" s="67">
        <f t="shared" si="21"/>
        <v>59909515.200000145</v>
      </c>
      <c r="L47" s="67">
        <f t="shared" si="21"/>
        <v>13679.999999999836</v>
      </c>
      <c r="M47" s="67">
        <f t="shared" si="21"/>
        <v>21254205.599999748</v>
      </c>
      <c r="N47" s="67">
        <f t="shared" si="21"/>
        <v>81163720.799999908</v>
      </c>
      <c r="O47" s="67">
        <f t="shared" si="21"/>
        <v>769460246.40000045</v>
      </c>
      <c r="P47" s="79">
        <f>SUM(P12:P43)</f>
        <v>682680.00000000047</v>
      </c>
      <c r="Q47" s="183" t="e">
        <f>+#REF!</f>
        <v>#REF!</v>
      </c>
      <c r="R47" s="120" t="e">
        <f>+#REF!</f>
        <v>#REF!</v>
      </c>
      <c r="S47" s="112" t="e">
        <f>Q47+P47</f>
        <v>#REF!</v>
      </c>
      <c r="T47" s="112" t="e">
        <f>R47+O47</f>
        <v>#REF!</v>
      </c>
      <c r="U47" s="134" t="e">
        <f>T47/AL48</f>
        <v>#REF!</v>
      </c>
      <c r="V47" s="171">
        <f>SUM(V12:V42)</f>
        <v>24835.45</v>
      </c>
      <c r="W47" s="49">
        <f>SUM(W12:W42)</f>
        <v>1363.4799999999998</v>
      </c>
      <c r="X47" s="49">
        <f t="shared" ref="X47:Z47" si="22">SUM(X12:X42)</f>
        <v>24502417.340000004</v>
      </c>
      <c r="Y47" s="49">
        <f t="shared" si="22"/>
        <v>23471.970000000005</v>
      </c>
      <c r="Z47" s="49">
        <f t="shared" si="22"/>
        <v>13816914.701400001</v>
      </c>
      <c r="AA47" s="133">
        <f>SUM(AA12:AA42)</f>
        <v>38319332.041400008</v>
      </c>
      <c r="AB47" s="121">
        <f>AA47/$AL$48</f>
        <v>2953.0723077136495</v>
      </c>
      <c r="AC47" s="41">
        <f>SUM(AC12:AC41)</f>
        <v>4153.9555600000158</v>
      </c>
      <c r="AD47" s="135">
        <f>SUM(AE12:AE41)</f>
        <v>2150</v>
      </c>
      <c r="AE47" s="41" t="e">
        <f>SUM(#REF!)</f>
        <v>#REF!</v>
      </c>
      <c r="AF47" s="41">
        <f>SUM(AF12:AF42)</f>
        <v>444</v>
      </c>
      <c r="AG47" s="207">
        <f>SUM(AG12:AG42)</f>
        <v>6882.4504800000113</v>
      </c>
      <c r="AH47" s="143">
        <f>SUM(AH12:AH43)</f>
        <v>66841519.076500118</v>
      </c>
      <c r="AI47" s="144">
        <f>AH47/$AL$48</f>
        <v>5151.129429319627</v>
      </c>
      <c r="AJ47" s="206">
        <f>SUM(AJ12:AJ43)</f>
        <v>16545.530000000013</v>
      </c>
      <c r="AK47" s="141">
        <f>SUM(AK12:AK43)</f>
        <v>170418959.00000015</v>
      </c>
      <c r="AL47" s="142">
        <f>AK47/AL48</f>
        <v>13133.305872570254</v>
      </c>
      <c r="AM47" s="24"/>
    </row>
    <row r="48" spans="1:39">
      <c r="A48" s="24"/>
      <c r="B48" s="24"/>
      <c r="C48" s="4"/>
      <c r="D48" s="10"/>
      <c r="E48" s="4"/>
      <c r="F48" s="4"/>
      <c r="G48" s="10"/>
      <c r="H48" s="4"/>
      <c r="I48" s="8"/>
      <c r="J48" s="8"/>
      <c r="K48" s="8"/>
      <c r="L48" s="15"/>
      <c r="M48" s="60"/>
      <c r="N48" s="64"/>
      <c r="O48" s="9"/>
      <c r="P48" s="64"/>
      <c r="Q48" s="9"/>
      <c r="R48" s="111"/>
      <c r="S48" s="13"/>
      <c r="T48" s="78" t="s">
        <v>53</v>
      </c>
      <c r="U48" s="148" t="e">
        <f>U47/S47</f>
        <v>#REF!</v>
      </c>
      <c r="V48" s="186" t="s">
        <v>54</v>
      </c>
      <c r="W48" s="10"/>
      <c r="X48" s="10"/>
      <c r="Y48" s="136"/>
      <c r="Z48" s="10"/>
      <c r="AA48" s="10"/>
      <c r="AB48" s="10"/>
      <c r="AC48" s="14"/>
      <c r="AD48" s="6"/>
      <c r="AE48" s="14"/>
      <c r="AF48" s="14"/>
      <c r="AG48" s="6"/>
      <c r="AH48" s="4"/>
      <c r="AI48" s="10"/>
      <c r="AJ48" s="85"/>
      <c r="AK48" s="10"/>
      <c r="AL48" s="145">
        <v>12976.09</v>
      </c>
      <c r="AM48" s="24"/>
    </row>
    <row r="49" spans="1:39" s="189" customFormat="1">
      <c r="A49" s="187"/>
      <c r="B49" s="187"/>
      <c r="C49" s="188"/>
      <c r="E49" s="188"/>
      <c r="F49" s="188"/>
      <c r="H49" s="188"/>
      <c r="L49" s="188"/>
      <c r="M49" s="190"/>
      <c r="N49" s="191"/>
      <c r="P49" s="191"/>
      <c r="R49" s="192"/>
      <c r="AD49" s="188"/>
      <c r="AH49" s="188"/>
      <c r="AJ49" s="192"/>
      <c r="AL49" s="193"/>
      <c r="AM49" s="187"/>
    </row>
    <row r="50" spans="1:39" s="189" customFormat="1">
      <c r="A50" s="187"/>
      <c r="B50" s="187"/>
      <c r="C50" s="188"/>
      <c r="E50" s="188"/>
      <c r="F50" s="188"/>
      <c r="H50" s="188"/>
      <c r="L50" s="188"/>
      <c r="M50" s="190"/>
      <c r="N50" s="191"/>
      <c r="P50" s="191"/>
      <c r="R50" s="192"/>
      <c r="AD50" s="188"/>
      <c r="AH50" s="188"/>
      <c r="AJ50" s="192"/>
      <c r="AL50" s="193"/>
      <c r="AM50" s="187"/>
    </row>
    <row r="51" spans="1:39" s="189" customFormat="1">
      <c r="A51" s="187"/>
      <c r="B51" s="187"/>
      <c r="C51" s="188"/>
      <c r="E51" s="188"/>
      <c r="F51" s="188"/>
      <c r="H51" s="188"/>
      <c r="L51" s="188"/>
      <c r="M51" s="190"/>
      <c r="N51" s="191"/>
      <c r="P51" s="191"/>
      <c r="R51" s="192"/>
      <c r="AD51" s="188"/>
      <c r="AH51" s="188"/>
      <c r="AJ51" s="192"/>
      <c r="AL51" s="193"/>
      <c r="AM51" s="187"/>
    </row>
    <row r="52" spans="1:39" s="189" customFormat="1">
      <c r="A52" s="187"/>
      <c r="B52" s="187"/>
      <c r="C52" s="188"/>
      <c r="E52" s="188"/>
      <c r="F52" s="188"/>
      <c r="H52" s="188"/>
      <c r="L52" s="188"/>
      <c r="M52" s="190"/>
      <c r="N52" s="191"/>
      <c r="P52" s="191"/>
      <c r="R52" s="192"/>
      <c r="AD52" s="188"/>
      <c r="AH52" s="188"/>
      <c r="AJ52" s="192"/>
      <c r="AL52" s="193"/>
      <c r="AM52" s="187"/>
    </row>
    <row r="53" spans="1:39" s="189" customFormat="1">
      <c r="A53" s="187"/>
      <c r="B53" s="187"/>
      <c r="C53" s="188"/>
      <c r="E53" s="188"/>
      <c r="F53" s="188"/>
      <c r="H53" s="188"/>
      <c r="L53" s="188"/>
      <c r="M53" s="190"/>
      <c r="N53" s="191"/>
      <c r="P53" s="191"/>
      <c r="R53" s="192"/>
      <c r="AD53" s="188"/>
      <c r="AH53" s="188"/>
      <c r="AJ53" s="192"/>
      <c r="AL53" s="193"/>
      <c r="AM53" s="187"/>
    </row>
    <row r="54" spans="1:39" s="189" customFormat="1">
      <c r="A54" s="187"/>
      <c r="B54" s="187"/>
      <c r="C54" s="188"/>
      <c r="E54" s="188"/>
      <c r="F54" s="188"/>
      <c r="H54" s="188"/>
      <c r="L54" s="188"/>
      <c r="M54" s="190"/>
      <c r="N54" s="191"/>
      <c r="P54" s="191"/>
      <c r="R54" s="192"/>
      <c r="AD54" s="188"/>
      <c r="AH54" s="188"/>
      <c r="AJ54" s="192"/>
      <c r="AL54" s="193"/>
      <c r="AM54" s="187"/>
    </row>
    <row r="55" spans="1:39" s="189" customFormat="1">
      <c r="A55" s="187"/>
      <c r="B55" s="187"/>
      <c r="C55" s="188"/>
      <c r="E55" s="188"/>
      <c r="F55" s="188"/>
      <c r="H55" s="188"/>
      <c r="L55" s="188"/>
      <c r="M55" s="190"/>
      <c r="N55" s="191"/>
      <c r="P55" s="191"/>
      <c r="R55" s="192"/>
      <c r="AD55" s="188"/>
      <c r="AH55" s="188"/>
      <c r="AJ55" s="192"/>
      <c r="AL55" s="193"/>
      <c r="AM55" s="187"/>
    </row>
    <row r="56" spans="1:39" s="189" customFormat="1">
      <c r="A56" s="187"/>
      <c r="B56" s="187"/>
      <c r="C56" s="188"/>
      <c r="E56" s="188"/>
      <c r="F56" s="188"/>
      <c r="H56" s="188"/>
      <c r="L56" s="188"/>
      <c r="M56" s="190"/>
      <c r="N56" s="191"/>
      <c r="P56" s="191"/>
      <c r="R56" s="192"/>
      <c r="AD56" s="188"/>
      <c r="AH56" s="188"/>
      <c r="AJ56" s="192"/>
      <c r="AL56" s="193"/>
      <c r="AM56" s="187"/>
    </row>
    <row r="57" spans="1:39" s="189" customFormat="1">
      <c r="A57" s="187"/>
      <c r="B57" s="187"/>
      <c r="C57" s="188"/>
      <c r="E57" s="188"/>
      <c r="F57" s="188"/>
      <c r="H57" s="188"/>
      <c r="L57" s="188"/>
      <c r="M57" s="190"/>
      <c r="N57" s="191"/>
      <c r="P57" s="191"/>
      <c r="R57" s="192"/>
      <c r="AD57" s="188"/>
      <c r="AH57" s="188"/>
      <c r="AJ57" s="192"/>
      <c r="AL57" s="193"/>
      <c r="AM57" s="187"/>
    </row>
    <row r="58" spans="1:39" s="189" customFormat="1">
      <c r="A58" s="187"/>
      <c r="B58" s="187"/>
      <c r="C58" s="188"/>
      <c r="E58" s="188"/>
      <c r="F58" s="188"/>
      <c r="H58" s="188"/>
      <c r="L58" s="188"/>
      <c r="M58" s="190"/>
      <c r="N58" s="191"/>
      <c r="P58" s="191"/>
      <c r="R58" s="192"/>
      <c r="AD58" s="188"/>
      <c r="AH58" s="188"/>
      <c r="AJ58" s="192"/>
      <c r="AL58" s="193"/>
      <c r="AM58" s="187"/>
    </row>
    <row r="59" spans="1:39" s="189" customFormat="1">
      <c r="A59" s="187"/>
      <c r="B59" s="187"/>
      <c r="C59" s="188"/>
      <c r="E59" s="188"/>
      <c r="F59" s="188"/>
      <c r="H59" s="188"/>
      <c r="L59" s="188"/>
      <c r="M59" s="190"/>
      <c r="N59" s="191"/>
      <c r="P59" s="191"/>
      <c r="R59" s="192"/>
      <c r="AD59" s="188"/>
      <c r="AH59" s="188"/>
      <c r="AJ59" s="192"/>
      <c r="AL59" s="193"/>
      <c r="AM59" s="187"/>
    </row>
    <row r="60" spans="1:39" s="189" customFormat="1">
      <c r="A60" s="187"/>
      <c r="B60" s="187"/>
      <c r="C60" s="188"/>
      <c r="E60" s="188"/>
      <c r="F60" s="188"/>
      <c r="H60" s="188"/>
      <c r="L60" s="188"/>
      <c r="M60" s="190"/>
      <c r="N60" s="191"/>
      <c r="P60" s="191"/>
      <c r="R60" s="192"/>
      <c r="AD60" s="188"/>
      <c r="AH60" s="188"/>
      <c r="AJ60" s="192"/>
      <c r="AL60" s="193"/>
      <c r="AM60" s="187"/>
    </row>
    <row r="61" spans="1:39" s="189" customFormat="1">
      <c r="A61" s="187"/>
      <c r="B61" s="187"/>
      <c r="C61" s="188"/>
      <c r="E61" s="188"/>
      <c r="F61" s="188"/>
      <c r="H61" s="188"/>
      <c r="L61" s="188"/>
      <c r="M61" s="190"/>
      <c r="N61" s="191"/>
      <c r="P61" s="191"/>
      <c r="R61" s="192"/>
      <c r="AD61" s="188"/>
      <c r="AH61" s="188"/>
      <c r="AJ61" s="192"/>
      <c r="AL61" s="193"/>
      <c r="AM61" s="187"/>
    </row>
    <row r="62" spans="1:39" s="189" customFormat="1">
      <c r="A62" s="187"/>
      <c r="B62" s="187"/>
      <c r="C62" s="188"/>
      <c r="E62" s="188"/>
      <c r="F62" s="188"/>
      <c r="H62" s="188"/>
      <c r="L62" s="188"/>
      <c r="M62" s="190"/>
      <c r="N62" s="191"/>
      <c r="P62" s="191"/>
      <c r="R62" s="192"/>
      <c r="AD62" s="188"/>
      <c r="AH62" s="188"/>
      <c r="AJ62" s="192"/>
      <c r="AL62" s="193"/>
      <c r="AM62" s="187"/>
    </row>
    <row r="63" spans="1:39" s="189" customFormat="1">
      <c r="A63" s="187"/>
      <c r="B63" s="187"/>
      <c r="C63" s="188"/>
      <c r="E63" s="188"/>
      <c r="F63" s="188"/>
      <c r="H63" s="188"/>
      <c r="L63" s="188"/>
      <c r="M63" s="190"/>
      <c r="N63" s="191"/>
      <c r="P63" s="191"/>
      <c r="R63" s="192"/>
      <c r="AD63" s="188"/>
      <c r="AH63" s="188"/>
      <c r="AJ63" s="192"/>
      <c r="AL63" s="193"/>
      <c r="AM63" s="187"/>
    </row>
    <row r="64" spans="1:39" s="189" customFormat="1">
      <c r="A64" s="187"/>
      <c r="B64" s="187"/>
      <c r="C64" s="188"/>
      <c r="E64" s="188"/>
      <c r="F64" s="188"/>
      <c r="H64" s="188"/>
      <c r="L64" s="188"/>
      <c r="M64" s="190"/>
      <c r="N64" s="191"/>
      <c r="P64" s="191"/>
      <c r="R64" s="192"/>
      <c r="AD64" s="188"/>
      <c r="AH64" s="188"/>
      <c r="AJ64" s="192"/>
      <c r="AL64" s="193"/>
      <c r="AM64" s="187"/>
    </row>
    <row r="65" spans="1:39" s="189" customFormat="1">
      <c r="A65" s="187"/>
      <c r="B65" s="187"/>
      <c r="C65" s="188"/>
      <c r="E65" s="188"/>
      <c r="F65" s="188"/>
      <c r="H65" s="188"/>
      <c r="L65" s="188"/>
      <c r="M65" s="190"/>
      <c r="N65" s="191"/>
      <c r="P65" s="191"/>
      <c r="R65" s="192"/>
      <c r="AD65" s="188"/>
      <c r="AH65" s="188"/>
      <c r="AJ65" s="192"/>
      <c r="AL65" s="193"/>
      <c r="AM65" s="187"/>
    </row>
    <row r="66" spans="1:39" s="189" customFormat="1">
      <c r="A66" s="187"/>
      <c r="B66" s="187"/>
      <c r="C66" s="188"/>
      <c r="E66" s="188"/>
      <c r="F66" s="188"/>
      <c r="H66" s="188"/>
      <c r="L66" s="188"/>
      <c r="M66" s="190"/>
      <c r="N66" s="191"/>
      <c r="P66" s="191"/>
      <c r="R66" s="192"/>
      <c r="AD66" s="188"/>
      <c r="AH66" s="188"/>
      <c r="AJ66" s="192"/>
      <c r="AL66" s="193"/>
      <c r="AM66" s="187"/>
    </row>
  </sheetData>
  <mergeCells count="18"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AJ9:AL9"/>
    <mergeCell ref="R9:R10"/>
    <mergeCell ref="S9:S10"/>
    <mergeCell ref="T9:U9"/>
    <mergeCell ref="AA9:AB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>
      <pane xSplit="1" ySplit="5" topLeftCell="B6" activePane="bottomRight" state="frozen"/>
      <selection pane="bottomRight" activeCell="B6" sqref="B6:C36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>
      <c r="A1" s="25" t="s">
        <v>16</v>
      </c>
    </row>
    <row r="2" spans="1:3" ht="18">
      <c r="A2" s="251">
        <v>43678</v>
      </c>
      <c r="B2" s="252"/>
      <c r="C2" s="252"/>
    </row>
    <row r="3" spans="1:3">
      <c r="A3" s="254" t="s">
        <v>18</v>
      </c>
      <c r="B3" s="253" t="s">
        <v>19</v>
      </c>
      <c r="C3" s="253" t="s">
        <v>13</v>
      </c>
    </row>
    <row r="4" spans="1:3">
      <c r="A4" s="254"/>
      <c r="B4" s="253"/>
      <c r="C4" s="253"/>
    </row>
    <row r="5" spans="1:3">
      <c r="A5" s="254"/>
      <c r="B5" s="253"/>
      <c r="C5" s="253"/>
    </row>
    <row r="6" spans="1:3">
      <c r="A6" s="1">
        <v>1</v>
      </c>
      <c r="B6" s="210">
        <v>67</v>
      </c>
      <c r="C6" s="211">
        <v>570</v>
      </c>
    </row>
    <row r="7" spans="1:3">
      <c r="A7" s="1">
        <v>2</v>
      </c>
      <c r="B7" s="210">
        <v>88</v>
      </c>
      <c r="C7" s="211">
        <v>711</v>
      </c>
    </row>
    <row r="8" spans="1:3">
      <c r="A8" s="1">
        <f>A7+1</f>
        <v>3</v>
      </c>
      <c r="B8" s="210">
        <v>82</v>
      </c>
      <c r="C8" s="211">
        <v>683</v>
      </c>
    </row>
    <row r="9" spans="1:3">
      <c r="A9" s="1">
        <f>A8+1</f>
        <v>4</v>
      </c>
      <c r="B9" s="210">
        <v>85</v>
      </c>
      <c r="C9" s="211">
        <v>742</v>
      </c>
    </row>
    <row r="10" spans="1:3">
      <c r="A10" s="1">
        <f t="shared" ref="A10:A35" si="0">A9+1</f>
        <v>5</v>
      </c>
      <c r="B10" s="210">
        <v>89</v>
      </c>
      <c r="C10" s="211">
        <v>672</v>
      </c>
    </row>
    <row r="11" spans="1:3">
      <c r="A11" s="1">
        <f t="shared" si="0"/>
        <v>6</v>
      </c>
      <c r="B11" s="210">
        <v>93</v>
      </c>
      <c r="C11" s="211">
        <v>704</v>
      </c>
    </row>
    <row r="12" spans="1:3">
      <c r="A12" s="1">
        <f t="shared" si="0"/>
        <v>7</v>
      </c>
      <c r="B12" s="210">
        <v>103</v>
      </c>
      <c r="C12" s="211">
        <v>793</v>
      </c>
    </row>
    <row r="13" spans="1:3">
      <c r="A13" s="1">
        <f t="shared" si="0"/>
        <v>8</v>
      </c>
      <c r="B13" s="210">
        <v>120</v>
      </c>
      <c r="C13" s="211">
        <v>856</v>
      </c>
    </row>
    <row r="14" spans="1:3">
      <c r="A14" s="1">
        <f t="shared" si="0"/>
        <v>9</v>
      </c>
      <c r="B14" s="210">
        <v>123</v>
      </c>
      <c r="C14" s="211">
        <v>990</v>
      </c>
    </row>
    <row r="15" spans="1:3">
      <c r="A15" s="1">
        <f t="shared" si="0"/>
        <v>10</v>
      </c>
      <c r="B15" s="210">
        <v>127</v>
      </c>
      <c r="C15" s="211">
        <v>895</v>
      </c>
    </row>
    <row r="16" spans="1:3">
      <c r="A16" s="1">
        <f t="shared" si="0"/>
        <v>11</v>
      </c>
      <c r="B16" s="210">
        <v>126</v>
      </c>
      <c r="C16" s="211">
        <v>1001</v>
      </c>
    </row>
    <row r="17" spans="1:3">
      <c r="A17" s="1">
        <f t="shared" si="0"/>
        <v>12</v>
      </c>
      <c r="B17" s="210">
        <v>130</v>
      </c>
      <c r="C17" s="211">
        <v>870</v>
      </c>
    </row>
    <row r="18" spans="1:3">
      <c r="A18" s="1">
        <f t="shared" si="0"/>
        <v>13</v>
      </c>
      <c r="B18" s="210">
        <v>120</v>
      </c>
      <c r="C18" s="211">
        <v>687</v>
      </c>
    </row>
    <row r="19" spans="1:3">
      <c r="A19" s="1">
        <f t="shared" si="0"/>
        <v>14</v>
      </c>
      <c r="B19" s="210">
        <v>115</v>
      </c>
      <c r="C19" s="211">
        <v>843</v>
      </c>
    </row>
    <row r="20" spans="1:3">
      <c r="A20" s="1">
        <f t="shared" si="0"/>
        <v>15</v>
      </c>
      <c r="B20" s="210">
        <v>112</v>
      </c>
      <c r="C20" s="211">
        <v>907</v>
      </c>
    </row>
    <row r="21" spans="1:3">
      <c r="A21" s="1">
        <f t="shared" si="0"/>
        <v>16</v>
      </c>
      <c r="B21" s="210">
        <v>115</v>
      </c>
      <c r="C21" s="211">
        <v>888</v>
      </c>
    </row>
    <row r="22" spans="1:3">
      <c r="A22" s="1">
        <f t="shared" si="0"/>
        <v>17</v>
      </c>
      <c r="B22" s="210">
        <v>98</v>
      </c>
      <c r="C22" s="211">
        <v>796</v>
      </c>
    </row>
    <row r="23" spans="1:3">
      <c r="A23" s="1">
        <f t="shared" si="0"/>
        <v>18</v>
      </c>
      <c r="B23" s="210">
        <v>100</v>
      </c>
      <c r="C23" s="211">
        <v>871</v>
      </c>
    </row>
    <row r="24" spans="1:3">
      <c r="A24" s="1">
        <f t="shared" si="0"/>
        <v>19</v>
      </c>
      <c r="B24" s="210">
        <v>94</v>
      </c>
      <c r="C24" s="211">
        <v>760</v>
      </c>
    </row>
    <row r="25" spans="1:3">
      <c r="A25" s="1">
        <f t="shared" si="0"/>
        <v>20</v>
      </c>
      <c r="B25" s="210">
        <v>98</v>
      </c>
      <c r="C25" s="211">
        <v>739</v>
      </c>
    </row>
    <row r="26" spans="1:3">
      <c r="A26" s="1">
        <f t="shared" si="0"/>
        <v>21</v>
      </c>
      <c r="B26" s="210">
        <v>122</v>
      </c>
      <c r="C26" s="211">
        <v>795</v>
      </c>
    </row>
    <row r="27" spans="1:3">
      <c r="A27" s="1">
        <f t="shared" si="0"/>
        <v>22</v>
      </c>
      <c r="B27" s="210">
        <v>100</v>
      </c>
      <c r="C27" s="211">
        <v>852</v>
      </c>
    </row>
    <row r="28" spans="1:3">
      <c r="A28" s="1">
        <f t="shared" si="0"/>
        <v>23</v>
      </c>
      <c r="B28" s="210">
        <v>90</v>
      </c>
      <c r="C28" s="211">
        <v>746</v>
      </c>
    </row>
    <row r="29" spans="1:3">
      <c r="A29" s="1">
        <f t="shared" si="0"/>
        <v>24</v>
      </c>
      <c r="B29" s="210">
        <v>80</v>
      </c>
      <c r="C29" s="211">
        <v>730</v>
      </c>
    </row>
    <row r="30" spans="1:3">
      <c r="A30" s="1">
        <f t="shared" si="0"/>
        <v>25</v>
      </c>
      <c r="B30" s="210">
        <v>75</v>
      </c>
      <c r="C30" s="211">
        <v>681</v>
      </c>
    </row>
    <row r="31" spans="1:3">
      <c r="A31" s="1">
        <f t="shared" si="0"/>
        <v>26</v>
      </c>
      <c r="B31" s="210">
        <v>76</v>
      </c>
      <c r="C31" s="211">
        <v>598</v>
      </c>
    </row>
    <row r="32" spans="1:3">
      <c r="A32" s="1">
        <f t="shared" si="0"/>
        <v>27</v>
      </c>
      <c r="B32" s="210">
        <v>75</v>
      </c>
      <c r="C32" s="211">
        <v>592</v>
      </c>
    </row>
    <row r="33" spans="1:3">
      <c r="A33" s="1">
        <f t="shared" si="0"/>
        <v>28</v>
      </c>
      <c r="B33" s="210">
        <v>78</v>
      </c>
      <c r="C33" s="211">
        <v>529</v>
      </c>
    </row>
    <row r="34" spans="1:3">
      <c r="A34" s="1">
        <f t="shared" si="0"/>
        <v>29</v>
      </c>
      <c r="B34" s="210">
        <v>63</v>
      </c>
      <c r="C34" s="211">
        <v>658</v>
      </c>
    </row>
    <row r="35" spans="1:3">
      <c r="A35" s="1">
        <f t="shared" si="0"/>
        <v>30</v>
      </c>
      <c r="B35" s="210">
        <v>55</v>
      </c>
      <c r="C35" s="211">
        <v>522</v>
      </c>
    </row>
    <row r="36" spans="1:3">
      <c r="A36" s="1">
        <v>31</v>
      </c>
      <c r="B36" s="210">
        <v>43</v>
      </c>
      <c r="C36" s="211">
        <v>498</v>
      </c>
    </row>
    <row r="38" spans="1:3">
      <c r="B38" s="5">
        <f>SUM(B6:B36)</f>
        <v>2942</v>
      </c>
      <c r="C38" s="5">
        <f>SUM(C6:C36)</f>
        <v>23179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094C90-67A5-4D1C-8DE5-A3E9197B6074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2023-02-18T05:10:38Z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1892700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