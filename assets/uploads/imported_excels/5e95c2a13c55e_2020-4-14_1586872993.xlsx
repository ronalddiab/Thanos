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<sst xmlns="http://schemas.openxmlformats.org/spreadsheetml/2006/main" count="296" uniqueCount="138">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</sst>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 t="e">
        <f>Submetering!E15+Submetering!F15+Submetering!G15+Submetering!H15-Submetering!AV15</f>
        <v>#VALUE!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 t="str">
        <f>'FS Desroches Daily'!D17</f>
        <v>0</v>
      </c>
      <c r="F15" s="36" t="str">
        <f>'FS Desroches Daily'!F17</f>
        <v>0</v>
      </c>
      <c r="G15" s="35" t="str">
        <f>'FS Desroches Daily'!H17</f>
        <v>0</v>
      </c>
      <c r="H15" s="36" t="str">
        <f>'FS Desroches Daily'!J17</f>
        <v>0</v>
      </c>
      <c r="I15" s="35" t="str">
        <f>'FS Desroches Daily'!L17</f>
        <v>0</v>
      </c>
      <c r="J15" s="36" t="str">
        <f>'FS Desroches Daily'!N17</f>
        <v/>
      </c>
      <c r="K15" s="13" t="str">
        <f>'FS Desroches Daily'!P17</f>
        <v/>
      </c>
      <c r="L15" s="35" t="str">
        <f>'FS Desroches Daily'!R17</f>
        <v/>
      </c>
      <c r="M15" s="35" t="str">
        <f>'FS Desroches Daily'!T17</f>
        <v/>
      </c>
      <c r="N15" s="35" t="str">
        <f>'FS Desroches Daily'!V17</f>
        <v/>
      </c>
      <c r="O15" s="35" t="str">
        <f>'FS Desroches Daily'!X17</f>
        <v/>
      </c>
      <c r="P15" s="35" t="str">
        <f>'FS Desroches Daily'!Z17</f>
        <v/>
      </c>
      <c r="Q15" s="35" t="str">
        <f>'FS Desroches Daily'!AB17</f>
        <v/>
      </c>
      <c r="R15" s="35" t="str">
        <f>'FS Desroches Daily'!AD17</f>
        <v/>
      </c>
      <c r="S15" s="35" t="str">
        <f>'FS Desroches Daily'!AF17</f>
        <v/>
      </c>
      <c r="T15" s="35" t="str">
        <f>'FS Desroches Daily'!AH17</f>
        <v/>
      </c>
      <c r="U15" s="39" t="str">
        <f>'FS Desroches Daily'!AJ17</f>
        <v/>
      </c>
      <c r="V15" s="39" t="str">
        <f>'FS Desroches Daily'!AL17</f>
        <v/>
      </c>
      <c r="W15" s="39" t="str">
        <f>'FS Desroches Daily'!AN17</f>
        <v/>
      </c>
      <c r="X15" s="39" t="str">
        <f>'FS Desroches Daily'!AP17</f>
        <v/>
      </c>
      <c r="Y15" s="39" t="str">
        <f>'FS Desroches Daily'!AR17</f>
        <v/>
      </c>
      <c r="Z15" s="39" t="str">
        <f>'FS Desroches Daily'!AT17</f>
        <v/>
      </c>
      <c r="AA15" s="39" t="str">
        <f>'FS Desroches Daily'!AT17</f>
        <v/>
      </c>
      <c r="AB15" s="39" t="str">
        <f>'FS Desroches Daily'!AV17</f>
        <v/>
      </c>
      <c r="AC15" s="39" t="str">
        <f>'FS Desroches Daily'!AZ17</f>
        <v/>
      </c>
      <c r="AD15" s="39" t="str">
        <f>'FS Desroches Daily'!BB17</f>
        <v/>
      </c>
      <c r="AE15" s="39" t="str">
        <f>'FS Desroches Daily'!BD17</f>
        <v/>
      </c>
      <c r="AF15" s="35" t="str">
        <f>'FS Desroches Daily'!BF17</f>
        <v/>
      </c>
      <c r="AG15" s="36" t="str">
        <f>'FS Desroches Daily'!BH17</f>
        <v/>
      </c>
      <c r="AH15" s="36" t="str">
        <f>'FS Desroches Daily'!BJ17</f>
        <v/>
      </c>
      <c r="AI15" s="36" t="str">
        <f>'FS Desroches Daily'!BL17</f>
        <v/>
      </c>
      <c r="AJ15" s="36" t="str">
        <f>'FS Desroches Daily'!BN17</f>
        <v/>
      </c>
      <c r="AK15" s="36" t="str">
        <f>'FS Desroches Daily'!BP17</f>
        <v/>
      </c>
      <c r="AL15" s="36" t="str">
        <f>'FS Desroches Daily'!BR17</f>
        <v/>
      </c>
      <c r="AM15" s="36" t="str">
        <f>'FS Desroches Daily'!BT17</f>
        <v/>
      </c>
      <c r="AN15" s="36" t="str">
        <f>'FS Desroches Daily'!BV17</f>
        <v/>
      </c>
      <c r="AO15" s="36" t="str">
        <f>'FS Desroches Daily'!BX17</f>
        <v/>
      </c>
      <c r="AP15" s="36" t="str">
        <f>'FS Desroches Daily'!BZ17</f>
        <v/>
      </c>
      <c r="AQ15" s="35" t="str">
        <f>'FS Desroches Daily'!CB17</f>
        <v/>
      </c>
      <c r="AR15" s="35" t="str">
        <f>'FS Desroches Daily'!CD17</f>
        <v/>
      </c>
      <c r="AS15" s="35" t="str">
        <f>'FS Desroches Daily'!CF17</f>
        <v/>
      </c>
      <c r="AT15" s="35" t="str">
        <f>'FS Desroches Daily'!CH17</f>
        <v/>
      </c>
      <c r="AU15" s="35" t="str">
        <f>'FS Desroches Daily'!CJ17</f>
        <v/>
      </c>
      <c r="AV15" s="35" t="str">
        <f>'FS Desroches Daily'!CL17</f>
        <v/>
      </c>
      <c r="AW15" s="35">
        <f>'FS Desroches Daily'!CM17</f>
        <v>0</v>
      </c>
      <c r="AX15" s="35" t="str">
        <f>IF(LPG!F22-LPG!F21&lt;0,"0",(LPG!F22-LPG!F21)*1.8315)</f>
        <v>0</v>
      </c>
      <c r="AY15" s="35" t="str">
        <f>IF(LPG!H22-LPG!H21&lt;0,"0",(LPG!H22-LPG!H21)*1.8315)</f>
        <v>0</v>
      </c>
      <c r="AZ15" s="35" t="str">
        <f>IF(LPG!J22-LPG!J21&lt;0,"0",(LPG!J22-LPG!J21)*1.8315)</f>
        <v>0</v>
      </c>
      <c r="BA15" s="35" t="str">
        <f>IF(LPG!M22-LPG!M21&lt;0,"0",(LPG!M22-LPG!M21)*1.8315)</f>
        <v>0</v>
      </c>
      <c r="BB15" s="35" t="str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20899.99999999992</v>
      </c>
      <c r="F33" s="17">
        <f t="shared" ref="F33:BC33" si="1">SUM(F2:F32)</f>
        <v>12500.000000000178</v>
      </c>
      <c r="G33" s="17">
        <f t="shared" si="1"/>
        <v>23200.000000000116</v>
      </c>
      <c r="H33" s="17">
        <f t="shared" si="1"/>
        <v>16599.999999999945</v>
      </c>
      <c r="I33" s="17">
        <f t="shared" si="1"/>
        <v>30199.999999999996</v>
      </c>
      <c r="J33" s="17">
        <f t="shared" si="1"/>
        <v>14800.000000000142</v>
      </c>
      <c r="K33" s="17">
        <f t="shared" si="1"/>
        <v>5</v>
      </c>
      <c r="L33" s="17">
        <f t="shared" si="1"/>
        <v>70</v>
      </c>
      <c r="M33" s="17">
        <f t="shared" si="1"/>
        <v>2654</v>
      </c>
      <c r="N33" s="17">
        <f t="shared" si="1"/>
        <v>1530</v>
      </c>
      <c r="O33" s="17">
        <f t="shared" si="1"/>
        <v>2840.0000000000318</v>
      </c>
      <c r="P33" s="17">
        <f t="shared" si="1"/>
        <v>8000.0000000000073</v>
      </c>
      <c r="Q33" s="17">
        <f t="shared" si="1"/>
        <v>1500</v>
      </c>
      <c r="R33" s="17">
        <f t="shared" si="1"/>
        <v>4129.9999999999955</v>
      </c>
      <c r="S33" s="17">
        <f t="shared" si="1"/>
        <v>7829.9999999999845</v>
      </c>
      <c r="T33" s="17">
        <f t="shared" si="1"/>
        <v>12.300000000000182</v>
      </c>
      <c r="U33" s="39">
        <f t="shared" si="1"/>
        <v>3770.0000000000387</v>
      </c>
      <c r="V33" s="39">
        <f t="shared" si="1"/>
        <v>2.3200000000000216</v>
      </c>
      <c r="W33" s="39">
        <f t="shared" si="1"/>
        <v>1.9099999999999966</v>
      </c>
      <c r="X33" s="39">
        <f t="shared" si="1"/>
        <v>1.8700000000000045</v>
      </c>
      <c r="Y33" s="39">
        <f t="shared" si="1"/>
        <v>1819.9999999999932</v>
      </c>
      <c r="Z33" s="39">
        <f t="shared" si="1"/>
        <v>1449.9999999999886</v>
      </c>
      <c r="AA33" s="39">
        <f t="shared" si="1"/>
        <v>1449.9999999999886</v>
      </c>
      <c r="AB33" s="39">
        <f t="shared" si="1"/>
        <v>1040.0000000000205</v>
      </c>
      <c r="AC33" s="39">
        <f t="shared" si="1"/>
        <v>1219.9999999999704</v>
      </c>
      <c r="AD33" s="39">
        <f t="shared" si="1"/>
        <v>1159.9999999999682</v>
      </c>
      <c r="AE33" s="39">
        <f t="shared" si="1"/>
        <v>150.00000000000568</v>
      </c>
      <c r="AF33" s="17">
        <f t="shared" si="1"/>
        <v>426</v>
      </c>
      <c r="AG33" s="36">
        <f t="shared" si="1"/>
        <v>379.99999999999545</v>
      </c>
      <c r="AH33" s="36">
        <f t="shared" si="1"/>
        <v>479.99999999996135</v>
      </c>
      <c r="AI33" s="36">
        <f t="shared" si="1"/>
        <v>430.00000000000682</v>
      </c>
      <c r="AJ33" s="36">
        <f t="shared" si="1"/>
        <v>590.00000000000341</v>
      </c>
      <c r="AK33" s="36">
        <f t="shared" si="1"/>
        <v>670.00000000001592</v>
      </c>
      <c r="AL33" s="36">
        <f t="shared" si="1"/>
        <v>296</v>
      </c>
      <c r="AM33" s="36">
        <f t="shared" si="1"/>
        <v>270.00000000001023</v>
      </c>
      <c r="AN33" s="36">
        <f t="shared" si="1"/>
        <v>307</v>
      </c>
      <c r="AO33" s="36">
        <f t="shared" si="1"/>
        <v>469.99999999999886</v>
      </c>
      <c r="AP33" s="36">
        <f t="shared" si="1"/>
        <v>547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728.90000000000146</v>
      </c>
      <c r="AU33" s="17">
        <f t="shared" si="1"/>
        <v>3252</v>
      </c>
      <c r="AV33" s="17">
        <f t="shared" si="1"/>
        <v>5220.0000000000273</v>
      </c>
      <c r="AW33" s="17">
        <f t="shared" si="1"/>
        <v>339.30000000000007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91.574999999999989</v>
      </c>
      <c r="BC33" s="17">
        <f t="shared" si="1"/>
        <v>0</v>
      </c>
    </row>
    <row r="35" spans="5:55" x14ac:dyDescent="0.25">
      <c r="E35" s="42">
        <f>E33/E37</f>
        <v>0.26409563041774925</v>
      </c>
      <c r="G35" s="33">
        <f>G33-M36</f>
        <v>19016.000000000116</v>
      </c>
      <c r="AE35" s="39">
        <f>SUM(U33:AE33)</f>
        <v>12066.099999999975</v>
      </c>
      <c r="AG35" s="36">
        <f>SUM(AG33:AP33)</f>
        <v>4439.9999999999918</v>
      </c>
    </row>
    <row r="36" spans="5:55" x14ac:dyDescent="0.25">
      <c r="G36" s="33">
        <f>G35-633*14</f>
        <v>10154.000000000116</v>
      </c>
      <c r="M36" s="33">
        <f>M33+N33</f>
        <v>4184</v>
      </c>
    </row>
    <row r="37" spans="5:55" x14ac:dyDescent="0.25">
      <c r="E37" s="17">
        <f>E33+F33+G33+H33+J33-633*14</f>
        <v>79138.000000000306</v>
      </c>
      <c r="G37" s="41">
        <f>M36/E37</f>
        <v>5.2869670701811818E-2</v>
      </c>
      <c r="M37" s="39">
        <f>AE35</f>
        <v>12066.099999999975</v>
      </c>
    </row>
    <row r="38" spans="5:55" x14ac:dyDescent="0.25">
      <c r="L38" s="31">
        <f>M38/E37</f>
        <v>5.6104526270565024E-2</v>
      </c>
      <c r="M38" s="33">
        <f>AG35</f>
        <v>4439.9999999999918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P1" zoomScale="70" zoomScaleNormal="70" workbookViewId="0">
      <pane ySplit="1" topLeftCell="A3" activePane="bottomLeft" state="frozen"/>
      <selection pane="bottomLeft" activeCell="P18" sqref="P1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/>
      <c r="D17" s="71" t="str">
        <f t="shared" si="3"/>
        <v>0</v>
      </c>
      <c r="E17" s="64"/>
      <c r="F17" s="71" t="str">
        <f t="shared" si="4"/>
        <v>0</v>
      </c>
      <c r="G17" s="64"/>
      <c r="H17" s="71" t="str">
        <f t="shared" si="5"/>
        <v>0</v>
      </c>
      <c r="I17" s="64"/>
      <c r="J17" s="71" t="str">
        <f t="shared" si="43"/>
        <v>0</v>
      </c>
      <c r="K17" s="64"/>
      <c r="L17" s="71" t="str">
        <f t="shared" si="0"/>
        <v>0</v>
      </c>
      <c r="M17" s="64"/>
      <c r="N17" s="71" t="str">
        <f t="shared" si="6"/>
        <v/>
      </c>
      <c r="O17" s="64"/>
      <c r="P17" s="72" t="str">
        <f t="shared" si="7"/>
        <v/>
      </c>
      <c r="Q17" s="64"/>
      <c r="R17" s="72" t="str">
        <f t="shared" si="8"/>
        <v/>
      </c>
      <c r="S17" s="64"/>
      <c r="T17" s="72" t="str">
        <f t="shared" si="44"/>
        <v/>
      </c>
      <c r="U17" s="64"/>
      <c r="V17" s="72" t="str">
        <f t="shared" si="10"/>
        <v/>
      </c>
      <c r="W17" s="64"/>
      <c r="X17" s="72" t="str">
        <f t="shared" si="23"/>
        <v/>
      </c>
      <c r="Y17" s="64"/>
      <c r="Z17" s="72" t="str">
        <f t="shared" si="24"/>
        <v/>
      </c>
      <c r="AA17" s="64"/>
      <c r="AB17" s="72" t="str">
        <f t="shared" si="25"/>
        <v/>
      </c>
      <c r="AC17" s="64"/>
      <c r="AD17" s="72" t="str">
        <f t="shared" si="26"/>
        <v/>
      </c>
      <c r="AE17" s="64"/>
      <c r="AF17" s="72" t="str">
        <f t="shared" si="27"/>
        <v/>
      </c>
      <c r="AG17" s="64"/>
      <c r="AH17" s="72" t="str">
        <f t="shared" si="11"/>
        <v/>
      </c>
      <c r="AI17" s="64"/>
      <c r="AJ17" s="72" t="str">
        <f t="shared" si="28"/>
        <v/>
      </c>
      <c r="AK17" s="64"/>
      <c r="AL17" s="72" t="str">
        <f t="shared" si="12"/>
        <v/>
      </c>
      <c r="AM17" s="64"/>
      <c r="AN17" s="72" t="str">
        <f t="shared" si="13"/>
        <v/>
      </c>
      <c r="AO17" s="64"/>
      <c r="AP17" s="72" t="str">
        <f t="shared" si="14"/>
        <v/>
      </c>
      <c r="AQ17" s="64"/>
      <c r="AR17" s="72" t="str">
        <f t="shared" si="29"/>
        <v/>
      </c>
      <c r="AS17" s="64"/>
      <c r="AT17" s="72" t="str">
        <f t="shared" si="30"/>
        <v/>
      </c>
      <c r="AU17" s="64"/>
      <c r="AV17" s="72" t="str">
        <f t="shared" si="31"/>
        <v/>
      </c>
      <c r="AW17" s="64"/>
      <c r="AX17" s="72" t="str">
        <f t="shared" si="32"/>
        <v/>
      </c>
      <c r="AY17" s="64"/>
      <c r="AZ17" s="72" t="str">
        <f t="shared" si="33"/>
        <v/>
      </c>
      <c r="BA17" s="64"/>
      <c r="BB17" s="72" t="str">
        <f t="shared" si="34"/>
        <v/>
      </c>
      <c r="BC17" s="64"/>
      <c r="BD17" s="72" t="str">
        <f t="shared" si="35"/>
        <v/>
      </c>
      <c r="BE17" s="66"/>
      <c r="BF17" s="72" t="str">
        <f t="shared" si="15"/>
        <v/>
      </c>
      <c r="BG17" s="67"/>
      <c r="BH17" s="72" t="str">
        <f t="shared" si="36"/>
        <v/>
      </c>
      <c r="BI17" s="67"/>
      <c r="BJ17" s="72" t="str">
        <f t="shared" si="37"/>
        <v/>
      </c>
      <c r="BK17" s="67"/>
      <c r="BL17" s="72" t="str">
        <f t="shared" si="38"/>
        <v/>
      </c>
      <c r="BM17" s="67"/>
      <c r="BN17" s="72" t="str">
        <f t="shared" si="39"/>
        <v/>
      </c>
      <c r="BO17" s="67"/>
      <c r="BP17" s="72" t="str">
        <f t="shared" si="40"/>
        <v/>
      </c>
      <c r="BQ17" s="67"/>
      <c r="BR17" s="72" t="str">
        <f t="shared" si="16"/>
        <v/>
      </c>
      <c r="BS17" s="67"/>
      <c r="BT17" s="72" t="str">
        <f t="shared" si="41"/>
        <v/>
      </c>
      <c r="BU17" s="67"/>
      <c r="BV17" s="72" t="str">
        <f t="shared" si="1"/>
        <v/>
      </c>
      <c r="BW17" s="67"/>
      <c r="BX17" s="72" t="str">
        <f t="shared" si="42"/>
        <v/>
      </c>
      <c r="BY17" s="67"/>
      <c r="BZ17" s="72" t="str">
        <f t="shared" si="17"/>
        <v/>
      </c>
      <c r="CA17" s="67"/>
      <c r="CB17" s="72" t="str">
        <f t="shared" si="18"/>
        <v/>
      </c>
      <c r="CC17" s="67"/>
      <c r="CD17" s="72" t="str">
        <f t="shared" si="19"/>
        <v/>
      </c>
      <c r="CE17" s="67"/>
      <c r="CF17" s="72" t="str">
        <f t="shared" si="20"/>
        <v/>
      </c>
      <c r="CG17" s="67"/>
      <c r="CH17" s="72" t="str">
        <f t="shared" si="21"/>
        <v/>
      </c>
      <c r="CI17" s="67"/>
      <c r="CJ17" s="72" t="str">
        <f t="shared" si="2"/>
        <v/>
      </c>
      <c r="CK17" s="67"/>
      <c r="CL17" s="71" t="str">
        <f t="shared" si="22"/>
        <v/>
      </c>
      <c r="CM17" s="72"/>
      <c r="CN17" s="69"/>
      <c r="CO17" s="69"/>
    </row>
    <row r="18" spans="1:93" ht="25.5" customHeight="1" thickBot="1" x14ac:dyDescent="0.45">
      <c r="A18" s="70">
        <v>43936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43937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70</v>
      </c>
      <c r="AX35" s="72">
        <f t="shared" si="32"/>
        <v>0</v>
      </c>
      <c r="BF35" s="76">
        <f>SUM(BF4:BF33)</f>
        <v>426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X23" sqref="X2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43936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2020-04-14T14:02:04Z</dcterms:modified>
</cp:coreProperties>
</file>