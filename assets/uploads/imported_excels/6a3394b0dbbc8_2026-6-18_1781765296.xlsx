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"/>
    </mc:Choice>
  </mc:AlternateContent>
  <xr:revisionPtr revIDLastSave="0" documentId="13_ncr:1_{5F35161D-BC3D-43E3-90A7-9BE6E14FC955}" xr6:coauthVersionLast="47" xr6:coauthVersionMax="47" xr10:uidLastSave="{00000000-0000-0000-0000-000000000000}"/>
  <bookViews>
    <workbookView xWindow="-120" yWindow="-120" windowWidth="29040" windowHeight="15720" tabRatio="338" xr2:uid="{00000000-000D-0000-FFFF-FFFF00000000}"/>
  </bookViews>
  <sheets>
    <sheet name="Total" sheetId="3" r:id="rId1"/>
    <sheet name="MAY 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3" l="1"/>
  <c r="M29" i="3"/>
  <c r="M30" i="3"/>
  <c r="M31" i="3"/>
  <c r="M32" i="3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" i="2"/>
  <c r="N4" i="2"/>
  <c r="I32" i="3"/>
  <c r="I31" i="3"/>
  <c r="I30" i="3"/>
  <c r="I29" i="3"/>
  <c r="I28" i="3"/>
  <c r="G32" i="3"/>
  <c r="G31" i="3"/>
  <c r="G30" i="3"/>
  <c r="G29" i="3"/>
  <c r="G28" i="3"/>
  <c r="P28" i="3"/>
  <c r="O28" i="3"/>
  <c r="AB30" i="2"/>
  <c r="Y30" i="2"/>
  <c r="W30" i="2"/>
  <c r="P32" i="3"/>
  <c r="O32" i="3"/>
  <c r="P31" i="3"/>
  <c r="O31" i="3"/>
  <c r="P30" i="3"/>
  <c r="O30" i="3"/>
  <c r="P29" i="3"/>
  <c r="O29" i="3"/>
  <c r="P27" i="3"/>
  <c r="O27" i="3"/>
  <c r="P26" i="3"/>
  <c r="O26" i="3"/>
  <c r="K31" i="3"/>
  <c r="G32" i="2" l="1"/>
  <c r="G31" i="2"/>
  <c r="G30" i="2"/>
  <c r="G29" i="2"/>
  <c r="G28" i="2"/>
  <c r="E32" i="2"/>
  <c r="E31" i="2"/>
  <c r="E30" i="2"/>
  <c r="E29" i="2"/>
  <c r="C31" i="2"/>
  <c r="C30" i="2"/>
  <c r="AB31" i="2"/>
  <c r="K28" i="3" s="1"/>
  <c r="Y31" i="2"/>
  <c r="W31" i="2"/>
  <c r="S31" i="2"/>
  <c r="K31" i="2"/>
  <c r="E9" i="2"/>
  <c r="E8" i="2"/>
  <c r="E7" i="2"/>
  <c r="E6" i="2"/>
  <c r="E5" i="2"/>
  <c r="K32" i="3"/>
  <c r="K30" i="3"/>
  <c r="E31" i="3" l="1"/>
  <c r="F31" i="3"/>
  <c r="H31" i="2"/>
  <c r="I31" i="2" s="1"/>
  <c r="AB32" i="2"/>
  <c r="Y32" i="2"/>
  <c r="W32" i="2"/>
  <c r="C32" i="2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M4" i="3"/>
  <c r="AB29" i="2"/>
  <c r="AB28" i="2"/>
  <c r="AB27" i="2"/>
  <c r="W29" i="2"/>
  <c r="W28" i="2"/>
  <c r="W27" i="2"/>
  <c r="G27" i="2"/>
  <c r="E28" i="2"/>
  <c r="E27" i="2"/>
  <c r="C29" i="2"/>
  <c r="C28" i="2"/>
  <c r="C27" i="2"/>
  <c r="S28" i="2"/>
  <c r="K28" i="2"/>
  <c r="S29" i="2"/>
  <c r="K29" i="2"/>
  <c r="S30" i="2"/>
  <c r="U30" i="2" s="1"/>
  <c r="K30" i="2"/>
  <c r="AB25" i="2"/>
  <c r="AB24" i="2"/>
  <c r="AB23" i="2"/>
  <c r="AB22" i="2"/>
  <c r="C26" i="2"/>
  <c r="C25" i="2"/>
  <c r="C24" i="2"/>
  <c r="M24" i="3"/>
  <c r="E13" i="2"/>
  <c r="E12" i="2"/>
  <c r="E11" i="2"/>
  <c r="E10" i="2"/>
  <c r="E4" i="2"/>
  <c r="E3" i="2"/>
  <c r="Y26" i="2"/>
  <c r="F28" i="3" l="1"/>
  <c r="E28" i="3"/>
  <c r="F32" i="3"/>
  <c r="E32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U29" i="2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9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3" i="2"/>
  <c r="S32" i="2"/>
  <c r="U31" i="2" s="1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U32" i="2" l="1"/>
  <c r="F12" i="3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5" i="3"/>
  <c r="M26" i="3"/>
  <c r="N2" i="2"/>
  <c r="M2" i="3" s="1"/>
  <c r="AB2" i="2"/>
  <c r="W14" i="2"/>
  <c r="W13" i="2"/>
  <c r="W12" i="2"/>
  <c r="W11" i="2"/>
  <c r="W10" i="2"/>
  <c r="W3" i="2" l="1"/>
  <c r="W4" i="2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4" i="2"/>
  <c r="AC34" i="2"/>
  <c r="AA34" i="2"/>
  <c r="T34" i="2"/>
  <c r="N34" i="2"/>
  <c r="K33" i="2"/>
  <c r="K32" i="2"/>
  <c r="H32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24" i="2"/>
  <c r="I24" i="2" s="1"/>
  <c r="I32" i="2"/>
  <c r="J31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4" i="2"/>
  <c r="H4" i="2"/>
  <c r="I4" i="2" s="1"/>
  <c r="C34" i="2"/>
  <c r="J27" i="2" l="1"/>
  <c r="J26" i="2"/>
  <c r="J32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<sst xmlns="http://schemas.openxmlformats.org/spreadsheetml/2006/main" count="77" uniqueCount="40">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</sst>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tabSelected="1" topLeftCell="A2" workbookViewId="0">
      <selection activeCell="E32" sqref="E3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2.42578125" style="95" customWidth="1"/>
    <col min="6" max="6" width="20.7109375" style="110" customWidth="1"/>
    <col min="7" max="7" width="8.85546875" style="96"/>
    <col min="8" max="8" width="8.85546875" style="113"/>
    <col min="9" max="10" width="8.85546875" style="102"/>
    <col min="11" max="11" width="8.85546875" style="97"/>
    <col min="12" max="12" width="8.85546875" style="116"/>
    <col min="13" max="13" width="12.42578125" style="107" bestFit="1" customWidth="1"/>
    <col min="14" max="14" width="12.42578125" style="119" bestFit="1" customWidth="1"/>
    <col min="15" max="15" width="8.85546875" style="103"/>
    <col min="16" max="16" width="11.42578125" style="103" customWidth="1"/>
    <col min="17" max="16384" width="8.85546875" style="5"/>
  </cols>
  <sheetData>
    <row r="1" spans="1:16" ht="75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89" t="s">
        <v>28</v>
      </c>
      <c r="F1" s="108" t="s">
        <v>29</v>
      </c>
      <c r="G1" s="90" t="s">
        <v>30</v>
      </c>
      <c r="H1" s="111" t="s">
        <v>31</v>
      </c>
      <c r="I1" s="91" t="s">
        <v>32</v>
      </c>
      <c r="J1" s="91" t="s">
        <v>33</v>
      </c>
      <c r="K1" s="104" t="s">
        <v>38</v>
      </c>
      <c r="L1" s="114" t="s">
        <v>39</v>
      </c>
      <c r="M1" s="92" t="s">
        <v>34</v>
      </c>
      <c r="N1" s="117" t="s">
        <v>35</v>
      </c>
      <c r="O1" s="93" t="s">
        <v>0</v>
      </c>
      <c r="P1" s="93" t="s">
        <v>36</v>
      </c>
    </row>
    <row r="2" spans="1:16" ht="15.75" thickTop="1" x14ac:dyDescent="0.25">
      <c r="A2" s="94" t="s">
        <v>37</v>
      </c>
      <c r="B2" s="5">
        <v>1</v>
      </c>
      <c r="C2" s="121">
        <v>5</v>
      </c>
      <c r="D2" s="4">
        <v>2026</v>
      </c>
      <c r="E2" s="95">
        <f>IF('MAY  2026'!C2&lt;0,"0",'MAY  2026'!C2)+(IF('MAY  2026'!E2&lt;0,"0",'MAY  2026'!E2)-(IF('MAY  2026'!G2&lt;0,"0",'MAY  2026'!G2)))</f>
        <v>5584</v>
      </c>
      <c r="F2" s="109">
        <f>('MAY  2026'!C2*0.27)/('MAY  2026'!C2+'MAY  2026'!E2)</f>
        <v>0.2576701289398281</v>
      </c>
      <c r="G2" s="96">
        <f>'MAY  2026'!U2</f>
        <v>20</v>
      </c>
      <c r="H2" s="112">
        <v>0.62</v>
      </c>
      <c r="I2" s="97">
        <f>'MAY  2026'!W2</f>
        <v>108</v>
      </c>
      <c r="J2" s="98">
        <v>2.42</v>
      </c>
      <c r="K2" s="105">
        <f>'MAY  2026'!AB2*5.04</f>
        <v>0</v>
      </c>
      <c r="L2" s="115">
        <v>0.11509999999999999</v>
      </c>
      <c r="M2" s="106">
        <f>'MAY  2026'!N2</f>
        <v>401</v>
      </c>
      <c r="N2" s="118">
        <v>0.88</v>
      </c>
      <c r="O2" s="99">
        <f>'MAY  2026'!AC2</f>
        <v>160</v>
      </c>
      <c r="P2" s="99">
        <f>'MAY  2026'!AD2</f>
        <v>307</v>
      </c>
    </row>
    <row r="3" spans="1:16" ht="15" x14ac:dyDescent="0.25">
      <c r="A3" s="94" t="s">
        <v>37</v>
      </c>
      <c r="B3" s="5">
        <f>B2+1</f>
        <v>2</v>
      </c>
      <c r="C3" s="121">
        <v>5</v>
      </c>
      <c r="D3" s="4">
        <v>2026</v>
      </c>
      <c r="E3" s="95">
        <f>IF('MAY  2026'!C3&lt;0,"0",'MAY  2026'!C3)+(IF('MAY  2026'!E3&lt;0,"0",'MAY  2026'!E3)-(IF('MAY  2026'!G3&lt;0,"0",'MAY  2026'!G3)))</f>
        <v>5650</v>
      </c>
      <c r="F3" s="109">
        <f>('MAY  2026'!C3*0.27)/('MAY  2026'!C3+'MAY  2026'!E3)</f>
        <v>0.24371681415929203</v>
      </c>
      <c r="G3" s="96">
        <f>'MAY  2026'!U3</f>
        <v>130</v>
      </c>
      <c r="H3" s="112">
        <v>0.62</v>
      </c>
      <c r="I3" s="97">
        <f>'MAY  2026'!W3</f>
        <v>102</v>
      </c>
      <c r="J3" s="98">
        <v>2.42</v>
      </c>
      <c r="K3" s="105">
        <f>'MAY  2026'!AB3*5.04</f>
        <v>0</v>
      </c>
      <c r="L3" s="115">
        <v>0.11509999999999999</v>
      </c>
      <c r="M3" s="106">
        <f>'MAY  2026'!N3</f>
        <v>453</v>
      </c>
      <c r="N3" s="118">
        <v>0.88</v>
      </c>
      <c r="O3" s="99">
        <f>'MAY  2026'!AC3</f>
        <v>165</v>
      </c>
      <c r="P3" s="99">
        <f>'MAY  2026'!AD3</f>
        <v>314</v>
      </c>
    </row>
    <row r="4" spans="1:16" ht="15" x14ac:dyDescent="0.25">
      <c r="A4" s="94" t="s">
        <v>37</v>
      </c>
      <c r="B4" s="5">
        <f t="shared" ref="B4:B30" si="0">B3+1</f>
        <v>3</v>
      </c>
      <c r="C4" s="121">
        <v>5</v>
      </c>
      <c r="D4" s="4">
        <v>2026</v>
      </c>
      <c r="E4" s="95">
        <f>IF('MAY  2026'!C4&lt;0,"0",'MAY  2026'!C4)+(IF('MAY  2026'!E4&lt;0,"0",'MAY  2026'!E4)-(IF('MAY  2026'!G4&lt;0,"0",'MAY  2026'!G4)))</f>
        <v>5719</v>
      </c>
      <c r="F4" s="109">
        <f>('MAY  2026'!C4*0.27)/('MAY  2026'!C4+'MAY  2026'!E4)</f>
        <v>0.25168211225738768</v>
      </c>
      <c r="G4" s="96">
        <f>'MAY  2026'!U4</f>
        <v>250</v>
      </c>
      <c r="H4" s="112">
        <v>0.62</v>
      </c>
      <c r="I4" s="97">
        <f>'MAY  2026'!W4</f>
        <v>87</v>
      </c>
      <c r="J4" s="98">
        <v>2.42</v>
      </c>
      <c r="K4" s="105">
        <f>'MAY  2026'!AB4*5.04</f>
        <v>0</v>
      </c>
      <c r="L4" s="115">
        <v>0.11509999999999999</v>
      </c>
      <c r="M4" s="106">
        <f>'MAY  2026'!N4</f>
        <v>496</v>
      </c>
      <c r="N4" s="118">
        <v>0.88</v>
      </c>
      <c r="O4" s="99">
        <f>'MAY  2026'!AC4</f>
        <v>219</v>
      </c>
      <c r="P4" s="99">
        <f>'MAY  2026'!AD4</f>
        <v>359</v>
      </c>
    </row>
    <row r="5" spans="1:16" ht="15" x14ac:dyDescent="0.25">
      <c r="A5" s="94" t="s">
        <v>37</v>
      </c>
      <c r="B5" s="5">
        <f t="shared" si="0"/>
        <v>4</v>
      </c>
      <c r="C5" s="121">
        <v>5</v>
      </c>
      <c r="D5" s="4">
        <v>2026</v>
      </c>
      <c r="E5" s="95">
        <f>IF('MAY  2026'!C5&lt;0,"0",'MAY  2026'!C5)+(IF('MAY  2026'!E5&lt;0,"0",'MAY  2026'!E5)-(IF('MAY  2026'!G5&lt;0,"0",'MAY  2026'!G5)))</f>
        <v>5435</v>
      </c>
      <c r="F5" s="109">
        <f>('MAY  2026'!C5*0.27)/('MAY  2026'!C5+'MAY  2026'!E5)</f>
        <v>0.21773873045078199</v>
      </c>
      <c r="G5" s="96">
        <f>'MAY  2026'!U5</f>
        <v>63</v>
      </c>
      <c r="H5" s="112">
        <v>0.62</v>
      </c>
      <c r="I5" s="97">
        <f>'MAY  2026'!W5</f>
        <v>88</v>
      </c>
      <c r="J5" s="98">
        <v>2.42</v>
      </c>
      <c r="K5" s="105">
        <f>'MAY  2026'!AB5*5.04</f>
        <v>0</v>
      </c>
      <c r="L5" s="115">
        <v>0.11509999999999999</v>
      </c>
      <c r="M5" s="106">
        <f>'MAY  2026'!N5</f>
        <v>471</v>
      </c>
      <c r="N5" s="118">
        <v>0.88</v>
      </c>
      <c r="O5" s="99">
        <f>'MAY  2026'!AC5</f>
        <v>212</v>
      </c>
      <c r="P5" s="99">
        <f>'MAY  2026'!AD5</f>
        <v>343</v>
      </c>
    </row>
    <row r="6" spans="1:16" ht="15" x14ac:dyDescent="0.25">
      <c r="A6" s="94" t="s">
        <v>37</v>
      </c>
      <c r="B6" s="5">
        <f t="shared" si="0"/>
        <v>5</v>
      </c>
      <c r="C6" s="121">
        <v>5</v>
      </c>
      <c r="D6" s="4">
        <v>2026</v>
      </c>
      <c r="E6" s="95">
        <f>IF('MAY  2026'!C6&lt;0,"0",'MAY  2026'!C6)+(IF('MAY  2026'!E6&lt;0,"0",'MAY  2026'!E6)-(IF('MAY  2026'!G6&lt;0,"0",'MAY  2026'!G6)))</f>
        <v>5127</v>
      </c>
      <c r="F6" s="109">
        <f>('MAY  2026'!C6*0.27)/('MAY  2026'!C6+'MAY  2026'!E6)</f>
        <v>0.22513165593914569</v>
      </c>
      <c r="G6" s="96">
        <f>'MAY  2026'!U6</f>
        <v>55</v>
      </c>
      <c r="H6" s="112">
        <v>0.62</v>
      </c>
      <c r="I6" s="97">
        <f>'MAY  2026'!W6</f>
        <v>81</v>
      </c>
      <c r="J6" s="98">
        <v>2.42</v>
      </c>
      <c r="K6" s="105">
        <f>'MAY  2026'!AB6*5.04</f>
        <v>0</v>
      </c>
      <c r="L6" s="115">
        <v>0.11509999999999999</v>
      </c>
      <c r="M6" s="106">
        <f>'MAY  2026'!N6</f>
        <v>446</v>
      </c>
      <c r="N6" s="118">
        <v>0.88</v>
      </c>
      <c r="O6" s="99">
        <f>'MAY  2026'!AC6</f>
        <v>208</v>
      </c>
      <c r="P6" s="99">
        <f>'MAY  2026'!AD6</f>
        <v>335</v>
      </c>
    </row>
    <row r="7" spans="1:16" ht="15" x14ac:dyDescent="0.25">
      <c r="A7" s="94" t="s">
        <v>37</v>
      </c>
      <c r="B7" s="5">
        <f t="shared" si="0"/>
        <v>6</v>
      </c>
      <c r="C7" s="121">
        <v>5</v>
      </c>
      <c r="D7" s="4">
        <v>2026</v>
      </c>
      <c r="E7" s="95">
        <f>IF('MAY  2026'!C7&lt;0,"0",'MAY  2026'!C7)+(IF('MAY  2026'!E7&lt;0,"0",'MAY  2026'!E7)-(IF('MAY  2026'!G7&lt;0,"0",'MAY  2026'!G7)))</f>
        <v>5651</v>
      </c>
      <c r="F7" s="109">
        <f>('MAY  2026'!C7*0.27)/('MAY  2026'!C7+'MAY  2026'!E7)</f>
        <v>0.1921199787648204</v>
      </c>
      <c r="G7" s="96">
        <f>'MAY  2026'!U7</f>
        <v>95</v>
      </c>
      <c r="H7" s="112">
        <v>0.62</v>
      </c>
      <c r="I7" s="97">
        <f>'MAY  2026'!W7</f>
        <v>113</v>
      </c>
      <c r="J7" s="98">
        <v>2.42</v>
      </c>
      <c r="K7" s="105">
        <f>'MAY  2026'!AB7*5.04</f>
        <v>0</v>
      </c>
      <c r="L7" s="115">
        <v>0.11509999999999999</v>
      </c>
      <c r="M7" s="106">
        <f>'MAY  2026'!N7</f>
        <v>430</v>
      </c>
      <c r="N7" s="118">
        <v>0.88</v>
      </c>
      <c r="O7" s="99">
        <f>'MAY  2026'!AC7</f>
        <v>219</v>
      </c>
      <c r="P7" s="99">
        <f>'MAY  2026'!AD7</f>
        <v>348</v>
      </c>
    </row>
    <row r="8" spans="1:16" ht="15" x14ac:dyDescent="0.25">
      <c r="A8" s="94" t="s">
        <v>37</v>
      </c>
      <c r="B8" s="5">
        <f t="shared" si="0"/>
        <v>7</v>
      </c>
      <c r="C8" s="121">
        <v>5</v>
      </c>
      <c r="D8" s="4">
        <v>2026</v>
      </c>
      <c r="E8" s="95">
        <f>IF('MAY  2026'!C8&lt;0,"0",'MAY  2026'!C8)+(IF('MAY  2026'!E8&lt;0,"0",'MAY  2026'!E8)-(IF('MAY  2026'!G8&lt;0,"0",'MAY  2026'!G8)))</f>
        <v>5277</v>
      </c>
      <c r="F8" s="109">
        <f>('MAY  2026'!C8*0.27)/('MAY  2026'!C8+'MAY  2026'!E8)</f>
        <v>0.25280841387151792</v>
      </c>
      <c r="G8" s="96">
        <f>'MAY  2026'!U8</f>
        <v>165</v>
      </c>
      <c r="H8" s="112">
        <v>0.62</v>
      </c>
      <c r="I8" s="97">
        <f>'MAY  2026'!W8</f>
        <v>92</v>
      </c>
      <c r="J8" s="98">
        <v>2.42</v>
      </c>
      <c r="K8" s="105">
        <f>'MAY  2026'!AB8*5.04</f>
        <v>0</v>
      </c>
      <c r="L8" s="115">
        <v>0.11509999999999999</v>
      </c>
      <c r="M8" s="106">
        <f>'MAY  2026'!N8</f>
        <v>415</v>
      </c>
      <c r="N8" s="118">
        <v>0.88</v>
      </c>
      <c r="O8" s="99">
        <f>'MAY  2026'!AC8</f>
        <v>221</v>
      </c>
      <c r="P8" s="99">
        <f>'MAY  2026'!AD8</f>
        <v>351</v>
      </c>
    </row>
    <row r="9" spans="1:16" ht="15" x14ac:dyDescent="0.25">
      <c r="A9" s="94" t="s">
        <v>37</v>
      </c>
      <c r="B9" s="5">
        <f t="shared" si="0"/>
        <v>8</v>
      </c>
      <c r="C9" s="121">
        <v>5</v>
      </c>
      <c r="D9" s="4">
        <v>2026</v>
      </c>
      <c r="E9" s="95">
        <f>IF('MAY  2026'!C9&lt;0,"0",'MAY  2026'!C9)+(IF('MAY  2026'!E9&lt;0,"0",'MAY  2026'!E9)-(IF('MAY  2026'!G9&lt;0,"0",'MAY  2026'!G9)))</f>
        <v>5645</v>
      </c>
      <c r="F9" s="109">
        <f>('MAY  2026'!C9*0.27)/('MAY  2026'!C9+'MAY  2026'!E9)</f>
        <v>0.1925155004428698</v>
      </c>
      <c r="G9" s="96">
        <f>'MAY  2026'!U9</f>
        <v>85</v>
      </c>
      <c r="H9" s="112">
        <v>0.62</v>
      </c>
      <c r="I9" s="97">
        <f>'MAY  2026'!W9</f>
        <v>118</v>
      </c>
      <c r="J9" s="98">
        <v>2.42</v>
      </c>
      <c r="K9" s="105">
        <f>'MAY  2026'!AB9*5.04</f>
        <v>0</v>
      </c>
      <c r="L9" s="115">
        <v>0.11509999999999999</v>
      </c>
      <c r="M9" s="106">
        <f>'MAY  2026'!N9</f>
        <v>440</v>
      </c>
      <c r="N9" s="118">
        <v>0.88</v>
      </c>
      <c r="O9" s="99">
        <f>'MAY  2026'!AC9</f>
        <v>208</v>
      </c>
      <c r="P9" s="99">
        <f>'MAY  2026'!AD9</f>
        <v>333</v>
      </c>
    </row>
    <row r="10" spans="1:16" ht="15" x14ac:dyDescent="0.25">
      <c r="A10" s="94" t="s">
        <v>37</v>
      </c>
      <c r="B10" s="5">
        <f t="shared" si="0"/>
        <v>9</v>
      </c>
      <c r="C10" s="121">
        <v>5</v>
      </c>
      <c r="D10" s="4">
        <v>2026</v>
      </c>
      <c r="E10" s="95">
        <f>IF('MAY  2026'!C10&lt;0,"0",'MAY  2026'!C10)+(IF('MAY  2026'!E10&lt;0,"0",'MAY  2026'!E10)-(IF('MAY  2026'!G10&lt;0,"0",'MAY  2026'!G10)))</f>
        <v>5636</v>
      </c>
      <c r="F10" s="109">
        <f>('MAY  2026'!C10*0.27)/('MAY  2026'!C10+'MAY  2026'!E10)</f>
        <v>0.1913378282469837</v>
      </c>
      <c r="G10" s="96">
        <f>'MAY  2026'!U10</f>
        <v>100</v>
      </c>
      <c r="H10" s="112">
        <v>0.62</v>
      </c>
      <c r="I10" s="97">
        <f>'MAY  2026'!W10</f>
        <v>95</v>
      </c>
      <c r="J10" s="98">
        <v>2.42</v>
      </c>
      <c r="K10" s="105">
        <f>'MAY  2026'!AB10*5.04</f>
        <v>0</v>
      </c>
      <c r="L10" s="115">
        <v>0.11509999999999999</v>
      </c>
      <c r="M10" s="106">
        <f>'MAY  2026'!N10</f>
        <v>410</v>
      </c>
      <c r="N10" s="118">
        <v>0.88</v>
      </c>
      <c r="O10" s="99">
        <f>'MAY  2026'!AC10</f>
        <v>217</v>
      </c>
      <c r="P10" s="99">
        <f>'MAY  2026'!AD10</f>
        <v>357</v>
      </c>
    </row>
    <row r="11" spans="1:16" ht="15" x14ac:dyDescent="0.25">
      <c r="A11" s="94" t="s">
        <v>37</v>
      </c>
      <c r="B11" s="5">
        <f t="shared" si="0"/>
        <v>10</v>
      </c>
      <c r="C11" s="121">
        <v>5</v>
      </c>
      <c r="D11" s="4">
        <v>2026</v>
      </c>
      <c r="E11" s="95">
        <f>IF('MAY  2026'!C11&lt;0,"0",'MAY  2026'!C11)+(IF('MAY  2026'!E11&lt;0,"0",'MAY  2026'!E11)-(IF('MAY  2026'!G11&lt;0,"0",'MAY  2026'!G11)))</f>
        <v>5768</v>
      </c>
      <c r="F11" s="109">
        <f>('MAY  2026'!C11*0.27)/('MAY  2026'!C11+'MAY  2026'!E11)</f>
        <v>0.2476716366158114</v>
      </c>
      <c r="G11" s="96">
        <f>'MAY  2026'!U11</f>
        <v>150</v>
      </c>
      <c r="H11" s="112">
        <v>0.62</v>
      </c>
      <c r="I11" s="97">
        <f>'MAY  2026'!W11</f>
        <v>118</v>
      </c>
      <c r="J11" s="98">
        <v>2.42</v>
      </c>
      <c r="K11" s="105">
        <f>'MAY  2026'!AB11*5.04</f>
        <v>0</v>
      </c>
      <c r="L11" s="115">
        <v>0.11509999999999999</v>
      </c>
      <c r="M11" s="106">
        <f>'MAY  2026'!N11</f>
        <v>450</v>
      </c>
      <c r="N11" s="118">
        <v>0.88</v>
      </c>
      <c r="O11" s="99">
        <f>'MAY  2026'!AC11</f>
        <v>124</v>
      </c>
      <c r="P11" s="99">
        <f>'MAY  2026'!AD11</f>
        <v>225</v>
      </c>
    </row>
    <row r="12" spans="1:16" ht="15" x14ac:dyDescent="0.25">
      <c r="A12" s="94" t="s">
        <v>37</v>
      </c>
      <c r="B12" s="5">
        <f t="shared" si="0"/>
        <v>11</v>
      </c>
      <c r="C12" s="121">
        <v>5</v>
      </c>
      <c r="D12" s="4">
        <v>2026</v>
      </c>
      <c r="E12" s="95">
        <f>IF('MAY  2026'!C12&lt;0,"0",'MAY  2026'!C12)+(IF('MAY  2026'!E12&lt;0,"0",'MAY  2026'!E12)-(IF('MAY  2026'!G12&lt;0,"0",'MAY  2026'!G12)))</f>
        <v>5411</v>
      </c>
      <c r="F12" s="109">
        <f>('MAY  2026'!C12*0.27)/('MAY  2026'!C12+'MAY  2026'!E12)</f>
        <v>0.19041212345222697</v>
      </c>
      <c r="G12" s="96">
        <f>'MAY  2026'!U12</f>
        <v>90</v>
      </c>
      <c r="H12" s="112">
        <v>0.62</v>
      </c>
      <c r="I12" s="97">
        <f>'MAY  2026'!W12</f>
        <v>82</v>
      </c>
      <c r="J12" s="98">
        <v>2.42</v>
      </c>
      <c r="K12" s="105">
        <f>'MAY  2026'!AB12*5.04</f>
        <v>0</v>
      </c>
      <c r="L12" s="115">
        <v>0.11509999999999999</v>
      </c>
      <c r="M12" s="106">
        <f>'MAY  2026'!N12</f>
        <v>446</v>
      </c>
      <c r="N12" s="118">
        <v>0.88</v>
      </c>
      <c r="O12" s="99">
        <f>'MAY  2026'!AC12</f>
        <v>138</v>
      </c>
      <c r="P12" s="99">
        <f>'MAY  2026'!AD12</f>
        <v>249</v>
      </c>
    </row>
    <row r="13" spans="1:16" ht="15" x14ac:dyDescent="0.25">
      <c r="A13" s="94" t="s">
        <v>37</v>
      </c>
      <c r="B13" s="5">
        <f t="shared" si="0"/>
        <v>12</v>
      </c>
      <c r="C13" s="121">
        <v>5</v>
      </c>
      <c r="D13" s="4">
        <v>2026</v>
      </c>
      <c r="E13" s="95">
        <f>IF('MAY  2026'!C13&lt;0,"0",'MAY  2026'!C13)+(IF('MAY  2026'!E13&lt;0,"0",'MAY  2026'!E13)-(IF('MAY  2026'!G13&lt;0,"0",'MAY  2026'!G13)))</f>
        <v>5368</v>
      </c>
      <c r="F13" s="109">
        <f>('MAY  2026'!C13*0.27)/('MAY  2026'!C13+'MAY  2026'!E13)</f>
        <v>0.22528502235469453</v>
      </c>
      <c r="G13" s="96">
        <f>'MAY  2026'!U13</f>
        <v>75</v>
      </c>
      <c r="H13" s="112">
        <v>0.62</v>
      </c>
      <c r="I13" s="97">
        <f>'MAY  2026'!W13</f>
        <v>99</v>
      </c>
      <c r="J13" s="98">
        <v>2.42</v>
      </c>
      <c r="K13" s="105">
        <f>'MAY  2026'!AB13*5.04</f>
        <v>0</v>
      </c>
      <c r="L13" s="115">
        <v>0.11509999999999999</v>
      </c>
      <c r="M13" s="106">
        <f>'MAY  2026'!N13</f>
        <v>418</v>
      </c>
      <c r="N13" s="118">
        <v>0.88</v>
      </c>
      <c r="O13" s="99">
        <f>'MAY  2026'!AC13</f>
        <v>165</v>
      </c>
      <c r="P13" s="99">
        <f>'MAY  2026'!AD13</f>
        <v>298</v>
      </c>
    </row>
    <row r="14" spans="1:16" ht="15" x14ac:dyDescent="0.25">
      <c r="A14" s="94" t="s">
        <v>37</v>
      </c>
      <c r="B14" s="5">
        <f t="shared" si="0"/>
        <v>13</v>
      </c>
      <c r="C14" s="121">
        <v>5</v>
      </c>
      <c r="D14" s="4">
        <v>2026</v>
      </c>
      <c r="E14" s="95">
        <f>IF('MAY  2026'!C14&lt;0,"0",'MAY  2026'!C14)+(IF('MAY  2026'!E14&lt;0,"0",'MAY  2026'!E14)-(IF('MAY  2026'!G14&lt;0,"0",'MAY  2026'!G14)))</f>
        <v>5524</v>
      </c>
      <c r="F14" s="109">
        <f>('MAY  2026'!C14*0.27)/('MAY  2026'!C14+'MAY  2026'!E14)</f>
        <v>0.20181571325126724</v>
      </c>
      <c r="G14" s="96">
        <f>'MAY  2026'!U14</f>
        <v>15</v>
      </c>
      <c r="H14" s="112">
        <v>0.62</v>
      </c>
      <c r="I14" s="97">
        <f>'MAY  2026'!W14</f>
        <v>131</v>
      </c>
      <c r="J14" s="98">
        <v>2.42</v>
      </c>
      <c r="K14" s="105">
        <f>'MAY  2026'!AB14*5.04</f>
        <v>0</v>
      </c>
      <c r="L14" s="115">
        <v>0.11509999999999999</v>
      </c>
      <c r="M14" s="106">
        <f>'MAY  2026'!N14</f>
        <v>450</v>
      </c>
      <c r="N14" s="118">
        <v>0.88</v>
      </c>
      <c r="O14" s="99">
        <f>'MAY  2026'!AC14</f>
        <v>189</v>
      </c>
      <c r="P14" s="99">
        <f>'MAY  2026'!AD14</f>
        <v>346</v>
      </c>
    </row>
    <row r="15" spans="1:16" ht="15" x14ac:dyDescent="0.25">
      <c r="A15" s="94" t="s">
        <v>37</v>
      </c>
      <c r="B15" s="5">
        <f t="shared" si="0"/>
        <v>14</v>
      </c>
      <c r="C15" s="121">
        <v>5</v>
      </c>
      <c r="D15" s="4">
        <v>2026</v>
      </c>
      <c r="E15" s="95">
        <f>IF('MAY  2026'!C15&lt;0,"0",'MAY  2026'!C15)+(IF('MAY  2026'!E15&lt;0,"0",'MAY  2026'!E15)-(IF('MAY  2026'!G15&lt;0,"0",'MAY  2026'!G15)))</f>
        <v>6007</v>
      </c>
      <c r="F15" s="109">
        <f>('MAY  2026'!C15*0.27)/('MAY  2026'!C15+'MAY  2026'!E15)</f>
        <v>0.23049109372398871</v>
      </c>
      <c r="G15" s="96">
        <f>'MAY  2026'!U15</f>
        <v>140</v>
      </c>
      <c r="H15" s="112">
        <v>0.62</v>
      </c>
      <c r="I15" s="97">
        <f>'MAY  2026'!W15</f>
        <v>133</v>
      </c>
      <c r="J15" s="98">
        <v>2.42</v>
      </c>
      <c r="K15" s="105">
        <f>'MAY  2026'!AB15*5.04</f>
        <v>0</v>
      </c>
      <c r="L15" s="115">
        <v>0.11509999999999999</v>
      </c>
      <c r="M15" s="106">
        <f>'MAY  2026'!N15</f>
        <v>410</v>
      </c>
      <c r="N15" s="118">
        <v>0.88</v>
      </c>
      <c r="O15" s="99">
        <f>'MAY  2026'!AC15</f>
        <v>198</v>
      </c>
      <c r="P15" s="99">
        <f>'MAY  2026'!AD15</f>
        <v>369</v>
      </c>
    </row>
    <row r="16" spans="1:16" ht="15" x14ac:dyDescent="0.25">
      <c r="A16" s="94" t="s">
        <v>37</v>
      </c>
      <c r="B16" s="5">
        <f t="shared" si="0"/>
        <v>15</v>
      </c>
      <c r="C16" s="121">
        <v>5</v>
      </c>
      <c r="D16" s="4">
        <v>2026</v>
      </c>
      <c r="E16" s="95">
        <f>IF('MAY  2026'!C16&lt;0,"0",'MAY  2026'!C16)+(IF('MAY  2026'!E16&lt;0,"0",'MAY  2026'!E16)-(IF('MAY  2026'!G16&lt;0,"0",'MAY  2026'!G16)))</f>
        <v>6052</v>
      </c>
      <c r="F16" s="109">
        <f>('MAY  2026'!C16*0.27)/('MAY  2026'!C16+'MAY  2026'!E16)</f>
        <v>0.20767514871116988</v>
      </c>
      <c r="G16" s="96">
        <f>'MAY  2026'!U16</f>
        <v>104.99999999999955</v>
      </c>
      <c r="H16" s="112">
        <v>0.62</v>
      </c>
      <c r="I16" s="97">
        <f>'MAY  2026'!W16</f>
        <v>116</v>
      </c>
      <c r="J16" s="98">
        <v>2.42</v>
      </c>
      <c r="K16" s="105">
        <f>'MAY  2026'!AB16*5.04</f>
        <v>0</v>
      </c>
      <c r="L16" s="115">
        <v>0.11509999999999999</v>
      </c>
      <c r="M16" s="106">
        <f>'MAY  2026'!N16</f>
        <v>400</v>
      </c>
      <c r="N16" s="118">
        <v>0.88</v>
      </c>
      <c r="O16" s="99">
        <f>'MAY  2026'!AC16</f>
        <v>191</v>
      </c>
      <c r="P16" s="99">
        <f>'MAY  2026'!AD16</f>
        <v>362</v>
      </c>
    </row>
    <row r="17" spans="1:16" ht="15" x14ac:dyDescent="0.25">
      <c r="A17" s="94" t="s">
        <v>37</v>
      </c>
      <c r="B17" s="5">
        <f t="shared" si="0"/>
        <v>16</v>
      </c>
      <c r="C17" s="121">
        <v>5</v>
      </c>
      <c r="D17" s="4">
        <v>2026</v>
      </c>
      <c r="E17" s="95">
        <f>IF('MAY  2026'!C17&lt;0,"0",'MAY  2026'!C17)+(IF('MAY  2026'!E17&lt;0,"0",'MAY  2026'!E17)-(IF('MAY  2026'!G17&lt;0,"0",'MAY  2026'!G17)))</f>
        <v>6226</v>
      </c>
      <c r="F17" s="109">
        <f>('MAY  2026'!C17*0.27)/('MAY  2026'!C17+'MAY  2026'!E17)</f>
        <v>0.2394265981368455</v>
      </c>
      <c r="G17" s="96">
        <f>'MAY  2026'!U17</f>
        <v>140.00000000000045</v>
      </c>
      <c r="H17" s="112">
        <v>0.62</v>
      </c>
      <c r="I17" s="97">
        <f>'MAY  2026'!W17</f>
        <v>0</v>
      </c>
      <c r="J17" s="98">
        <v>2.42</v>
      </c>
      <c r="K17" s="105">
        <f>'MAY  2026'!AB17*5.04</f>
        <v>0</v>
      </c>
      <c r="L17" s="115">
        <v>0.11509999999999999</v>
      </c>
      <c r="M17" s="106">
        <f>'MAY  2026'!N17</f>
        <v>310</v>
      </c>
      <c r="N17" s="118">
        <v>0.88</v>
      </c>
      <c r="O17" s="99">
        <f>'MAY  2026'!AC17</f>
        <v>209</v>
      </c>
      <c r="P17" s="99">
        <f>'MAY  2026'!AD17</f>
        <v>396</v>
      </c>
    </row>
    <row r="18" spans="1:16" ht="15" x14ac:dyDescent="0.25">
      <c r="A18" s="94" t="s">
        <v>37</v>
      </c>
      <c r="B18" s="5">
        <f t="shared" si="0"/>
        <v>17</v>
      </c>
      <c r="C18" s="121">
        <v>5</v>
      </c>
      <c r="D18" s="4">
        <v>2026</v>
      </c>
      <c r="E18" s="95">
        <f>IF('MAY  2026'!C18&lt;0,"0",'MAY  2026'!C18)+(IF('MAY  2026'!E18&lt;0,"0",'MAY  2026'!E18)-(IF('MAY  2026'!G18&lt;0,"0",'MAY  2026'!G18)))</f>
        <v>5730</v>
      </c>
      <c r="F18" s="109">
        <f>('MAY  2026'!C18*0.27)/('MAY  2026'!C18+'MAY  2026'!E18)</f>
        <v>0.24945549738219897</v>
      </c>
      <c r="G18" s="96">
        <f>'MAY  2026'!U18</f>
        <v>105</v>
      </c>
      <c r="H18" s="112">
        <v>0.62</v>
      </c>
      <c r="I18" s="97">
        <f>'MAY  2026'!W18</f>
        <v>108</v>
      </c>
      <c r="J18" s="98">
        <v>2.42</v>
      </c>
      <c r="K18" s="105">
        <f>'MAY  2026'!AB18*5.04</f>
        <v>0</v>
      </c>
      <c r="L18" s="115">
        <v>0.11509999999999999</v>
      </c>
      <c r="M18" s="106">
        <f>'MAY  2026'!N18</f>
        <v>330</v>
      </c>
      <c r="N18" s="118">
        <v>0.88</v>
      </c>
      <c r="O18" s="99">
        <f>'MAY  2026'!AC18</f>
        <v>182</v>
      </c>
      <c r="P18" s="99">
        <f>'MAY  2026'!AD18</f>
        <v>344</v>
      </c>
    </row>
    <row r="19" spans="1:16" ht="15" x14ac:dyDescent="0.25">
      <c r="A19" s="94" t="s">
        <v>37</v>
      </c>
      <c r="B19" s="5">
        <f t="shared" si="0"/>
        <v>18</v>
      </c>
      <c r="C19" s="121">
        <v>5</v>
      </c>
      <c r="D19" s="4">
        <v>2026</v>
      </c>
      <c r="E19" s="95">
        <f>IF('MAY  2026'!C19&lt;0,"0",'MAY  2026'!C19)+(IF('MAY  2026'!E19&lt;0,"0",'MAY  2026'!E19)-(IF('MAY  2026'!G19&lt;0,"0",'MAY  2026'!G19)))</f>
        <v>5809</v>
      </c>
      <c r="F19" s="109">
        <f>('MAY  2026'!C19*0.27)/('MAY  2026'!C19+'MAY  2026'!E19)</f>
        <v>0.19581855741091408</v>
      </c>
      <c r="G19" s="96">
        <f>'MAY  2026'!U19</f>
        <v>131</v>
      </c>
      <c r="H19" s="112">
        <v>0.62</v>
      </c>
      <c r="I19" s="97">
        <f>'MAY  2026'!W19</f>
        <v>89</v>
      </c>
      <c r="J19" s="98">
        <v>2.42</v>
      </c>
      <c r="K19" s="105">
        <f>'MAY  2026'!AB19*5.04</f>
        <v>0</v>
      </c>
      <c r="L19" s="115">
        <v>0.11509999999999999</v>
      </c>
      <c r="M19" s="106">
        <f>'MAY  2026'!N19</f>
        <v>300</v>
      </c>
      <c r="N19" s="118">
        <v>0.88</v>
      </c>
      <c r="O19" s="99">
        <f>'MAY  2026'!AC19</f>
        <v>175</v>
      </c>
      <c r="P19" s="99">
        <f>'MAY  2026'!AD19</f>
        <v>329</v>
      </c>
    </row>
    <row r="20" spans="1:16" ht="15" x14ac:dyDescent="0.25">
      <c r="A20" s="94" t="s">
        <v>37</v>
      </c>
      <c r="B20" s="5">
        <f t="shared" si="0"/>
        <v>19</v>
      </c>
      <c r="C20" s="121">
        <v>5</v>
      </c>
      <c r="D20" s="4">
        <v>2026</v>
      </c>
      <c r="E20" s="95">
        <f>IF('MAY  2026'!C20&lt;0,"0",'MAY  2026'!C20)+(IF('MAY  2026'!E20&lt;0,"0",'MAY  2026'!E20)-(IF('MAY  2026'!G20&lt;0,"0",'MAY  2026'!G20)))</f>
        <v>5658</v>
      </c>
      <c r="F20" s="109">
        <f>('MAY  2026'!C20*0.27)/('MAY  2026'!C20+'MAY  2026'!E20)</f>
        <v>0.21445387062566279</v>
      </c>
      <c r="G20" s="96">
        <f>'MAY  2026'!U20</f>
        <v>140</v>
      </c>
      <c r="H20" s="112">
        <v>0.62</v>
      </c>
      <c r="I20" s="97">
        <f>'MAY  2026'!W20</f>
        <v>106</v>
      </c>
      <c r="J20" s="98">
        <v>2.42</v>
      </c>
      <c r="K20" s="105">
        <f>'MAY  2026'!AB20*5.04</f>
        <v>0</v>
      </c>
      <c r="L20" s="115">
        <v>0.11509999999999999</v>
      </c>
      <c r="M20" s="106">
        <f>'MAY  2026'!N20</f>
        <v>286</v>
      </c>
      <c r="N20" s="118">
        <v>0.88</v>
      </c>
      <c r="O20" s="99">
        <f>'MAY  2026'!AC20</f>
        <v>171</v>
      </c>
      <c r="P20" s="99">
        <f>'MAY  2026'!AD20</f>
        <v>322</v>
      </c>
    </row>
    <row r="21" spans="1:16" ht="15" x14ac:dyDescent="0.25">
      <c r="A21" s="94" t="s">
        <v>37</v>
      </c>
      <c r="B21" s="5">
        <f t="shared" si="0"/>
        <v>20</v>
      </c>
      <c r="C21" s="121">
        <v>5</v>
      </c>
      <c r="D21" s="4">
        <v>2026</v>
      </c>
      <c r="E21" s="95">
        <f>IF('MAY  2026'!C21&lt;0,"0",'MAY  2026'!C21)+(IF('MAY  2026'!E21&lt;0,"0",'MAY  2026'!E21)-(IF('MAY  2026'!G21&lt;0,"0",'MAY  2026'!G21)))</f>
        <v>6201</v>
      </c>
      <c r="F21" s="109">
        <f>('MAY  2026'!C21*0.27)/('MAY  2026'!C21+'MAY  2026'!E21)</f>
        <v>0.21039187227866474</v>
      </c>
      <c r="G21" s="96">
        <f>'MAY  2026'!U21</f>
        <v>25</v>
      </c>
      <c r="H21" s="112">
        <v>0.62</v>
      </c>
      <c r="I21" s="97">
        <f>'MAY  2026'!W21</f>
        <v>106</v>
      </c>
      <c r="J21" s="98">
        <v>2.42</v>
      </c>
      <c r="K21" s="105">
        <f>'MAY  2026'!AB21*5.04</f>
        <v>0</v>
      </c>
      <c r="L21" s="115">
        <v>0.11509999999999999</v>
      </c>
      <c r="M21" s="106">
        <f>'MAY  2026'!N21</f>
        <v>251</v>
      </c>
      <c r="N21" s="118">
        <v>0.88</v>
      </c>
      <c r="O21" s="99">
        <f>'MAY  2026'!AC21</f>
        <v>174</v>
      </c>
      <c r="P21" s="99">
        <f>'MAY  2026'!AD21</f>
        <v>330</v>
      </c>
    </row>
    <row r="22" spans="1:16" ht="15" x14ac:dyDescent="0.25">
      <c r="A22" s="94" t="s">
        <v>37</v>
      </c>
      <c r="B22" s="5">
        <f t="shared" si="0"/>
        <v>21</v>
      </c>
      <c r="C22" s="121">
        <v>5</v>
      </c>
      <c r="D22" s="4">
        <v>2026</v>
      </c>
      <c r="E22" s="95">
        <f>IF('MAY  2026'!C22&lt;0,"0",'MAY  2026'!C22)+(IF('MAY  2026'!E22&lt;0,"0",'MAY  2026'!E22)-(IF('MAY  2026'!G22&lt;0,"0",'MAY  2026'!G22)))</f>
        <v>5887</v>
      </c>
      <c r="F22" s="109">
        <f>('MAY  2026'!C22*0.27)/('MAY  2026'!C22+'MAY  2026'!E22)</f>
        <v>0.19799388483098354</v>
      </c>
      <c r="G22" s="96">
        <f>'MAY  2026'!U22</f>
        <v>145</v>
      </c>
      <c r="H22" s="112">
        <v>0.62</v>
      </c>
      <c r="I22" s="97">
        <f>'MAY  2026'!W22</f>
        <v>119</v>
      </c>
      <c r="J22" s="98">
        <v>2.42</v>
      </c>
      <c r="K22" s="105">
        <f>'MAY  2026'!AB22*5.04</f>
        <v>0</v>
      </c>
      <c r="L22" s="115">
        <v>0.11509999999999999</v>
      </c>
      <c r="M22" s="106">
        <f>'MAY  2026'!N22</f>
        <v>243</v>
      </c>
      <c r="N22" s="118">
        <v>0.88</v>
      </c>
      <c r="O22" s="99">
        <f>'MAY  2026'!AC22</f>
        <v>179</v>
      </c>
      <c r="P22" s="99">
        <f>'MAY  2026'!AD22</f>
        <v>348</v>
      </c>
    </row>
    <row r="23" spans="1:16" ht="15" x14ac:dyDescent="0.25">
      <c r="A23" s="94" t="s">
        <v>37</v>
      </c>
      <c r="B23" s="5">
        <f t="shared" si="0"/>
        <v>22</v>
      </c>
      <c r="C23" s="121">
        <v>5</v>
      </c>
      <c r="D23" s="4">
        <v>2026</v>
      </c>
      <c r="E23" s="95">
        <f>IF('MAY  2026'!C23&lt;0,"0",'MAY  2026'!C23)+(IF('MAY  2026'!E23&lt;0,"0",'MAY  2026'!E23)-(IF('MAY  2026'!G23&lt;0,"0",'MAY  2026'!G23)))</f>
        <v>6184</v>
      </c>
      <c r="F23" s="109">
        <f>('MAY  2026'!C23*0.27)/('MAY  2026'!C23+'MAY  2026'!E23)</f>
        <v>0.23712322121604143</v>
      </c>
      <c r="G23" s="96">
        <f>'MAY  2026'!U23</f>
        <v>50</v>
      </c>
      <c r="H23" s="112">
        <v>0.62</v>
      </c>
      <c r="I23" s="97">
        <f>'MAY  2026'!W23</f>
        <v>115</v>
      </c>
      <c r="J23" s="98">
        <v>2.42</v>
      </c>
      <c r="K23" s="105">
        <f>'MAY  2026'!AB23*5.04</f>
        <v>0</v>
      </c>
      <c r="L23" s="115">
        <v>0.11509999999999999</v>
      </c>
      <c r="M23" s="106">
        <f>'MAY  2026'!N23</f>
        <v>363</v>
      </c>
      <c r="N23" s="118">
        <v>0.88</v>
      </c>
      <c r="O23" s="99">
        <f>'MAY  2026'!AC23</f>
        <v>184</v>
      </c>
      <c r="P23" s="99">
        <f>'MAY  2026'!AD23</f>
        <v>374</v>
      </c>
    </row>
    <row r="24" spans="1:16" ht="15" x14ac:dyDescent="0.25">
      <c r="A24" s="94" t="s">
        <v>37</v>
      </c>
      <c r="B24" s="5">
        <f t="shared" si="0"/>
        <v>23</v>
      </c>
      <c r="C24" s="121">
        <v>5</v>
      </c>
      <c r="D24" s="4">
        <v>2026</v>
      </c>
      <c r="E24" s="95">
        <f>IF('MAY  2026'!C24&lt;0,"0",'MAY  2026'!C24)+(IF('MAY  2026'!E24&lt;0,"0",'MAY  2026'!E24)-(IF('MAY  2026'!G24&lt;0,"0",'MAY  2026'!G24)))</f>
        <v>5838</v>
      </c>
      <c r="F24" s="109">
        <f>('MAY  2026'!C24*0.27)/('MAY  2026'!C24+'MAY  2026'!E24)</f>
        <v>0.21047790339157246</v>
      </c>
      <c r="G24" s="96">
        <f>'MAY  2026'!U24</f>
        <v>145</v>
      </c>
      <c r="H24" s="112">
        <v>0.62</v>
      </c>
      <c r="I24" s="97">
        <f>'MAY  2026'!W24</f>
        <v>97</v>
      </c>
      <c r="J24" s="98">
        <v>2.42</v>
      </c>
      <c r="K24" s="105">
        <f>'MAY  2026'!AB24*5.04</f>
        <v>0</v>
      </c>
      <c r="L24" s="115">
        <v>0.11509999999999999</v>
      </c>
      <c r="M24" s="106">
        <f>'MAY  2026'!N24</f>
        <v>371</v>
      </c>
      <c r="N24" s="118">
        <v>0.88</v>
      </c>
      <c r="O24" s="99">
        <f>'MAY  2026'!AC24</f>
        <v>188</v>
      </c>
      <c r="P24" s="99">
        <f>'MAY  2026'!AD24</f>
        <v>387</v>
      </c>
    </row>
    <row r="25" spans="1:16" ht="15" x14ac:dyDescent="0.25">
      <c r="A25" s="94" t="s">
        <v>37</v>
      </c>
      <c r="B25" s="5">
        <f t="shared" si="0"/>
        <v>24</v>
      </c>
      <c r="C25" s="121">
        <v>5</v>
      </c>
      <c r="D25" s="4">
        <v>2026</v>
      </c>
      <c r="E25" s="95">
        <f>IF('MAY  2026'!C25&lt;0,"0",'MAY  2026'!C25)+(IF('MAY  2026'!E25&lt;0,"0",'MAY  2026'!E25)-(IF('MAY  2026'!G25&lt;0,"0",'MAY  2026'!G25)))</f>
        <v>6304</v>
      </c>
      <c r="F25" s="109">
        <f>('MAY  2026'!C25*0.27)/('MAY  2026'!C25+'MAY  2026'!E25)</f>
        <v>0.23984771573604061</v>
      </c>
      <c r="G25" s="96">
        <f>'MAY  2026'!U25</f>
        <v>105</v>
      </c>
      <c r="H25" s="112">
        <v>0.62</v>
      </c>
      <c r="I25" s="97">
        <f>'MAY  2026'!W25</f>
        <v>106</v>
      </c>
      <c r="J25" s="98">
        <v>2.42</v>
      </c>
      <c r="K25" s="105">
        <f>'MAY  2026'!AB25*5.04</f>
        <v>0</v>
      </c>
      <c r="L25" s="115">
        <v>0.11509999999999999</v>
      </c>
      <c r="M25" s="106">
        <f>'MAY  2026'!N25</f>
        <v>454</v>
      </c>
      <c r="N25" s="118">
        <v>0.88</v>
      </c>
      <c r="O25" s="99">
        <f>'MAY  2026'!AC25</f>
        <v>209</v>
      </c>
      <c r="P25" s="99">
        <f>'MAY  2026'!AD25</f>
        <v>419</v>
      </c>
    </row>
    <row r="26" spans="1:16" ht="15" x14ac:dyDescent="0.25">
      <c r="A26" s="94" t="s">
        <v>37</v>
      </c>
      <c r="B26" s="5">
        <f>B25+1</f>
        <v>25</v>
      </c>
      <c r="C26" s="121">
        <v>5</v>
      </c>
      <c r="D26" s="4">
        <v>2026</v>
      </c>
      <c r="E26" s="95">
        <f>IF('MAY  2026'!C26&lt;0,"0",'MAY  2026'!C26)+(IF('MAY  2026'!E26&lt;0,"0",'MAY  2026'!E26)-(IF('MAY  2026'!G26&lt;0,"0",'MAY  2026'!G26)))</f>
        <v>5946</v>
      </c>
      <c r="F26" s="109">
        <f>('MAY  2026'!C26*0.27)/('MAY  2026'!C26+'MAY  2026'!E26)</f>
        <v>0.1956659939455096</v>
      </c>
      <c r="G26" s="96">
        <f>'MAY  2026'!U26</f>
        <v>51</v>
      </c>
      <c r="H26" s="112">
        <v>0.62</v>
      </c>
      <c r="I26" s="97">
        <f>'MAY  2026'!W26</f>
        <v>129</v>
      </c>
      <c r="J26" s="98">
        <v>2.42</v>
      </c>
      <c r="K26" s="105">
        <f>'MAY  2026'!AB26*5.04</f>
        <v>0</v>
      </c>
      <c r="L26" s="115">
        <v>0.11509999999999999</v>
      </c>
      <c r="M26" s="106">
        <f>'MAY  2026'!N26</f>
        <v>351</v>
      </c>
      <c r="N26" s="118">
        <v>0.88</v>
      </c>
      <c r="O26" s="99">
        <f>'MAY  2026'!AC26</f>
        <v>201</v>
      </c>
      <c r="P26" s="99">
        <f>'MAY  2026'!AD26</f>
        <v>422</v>
      </c>
    </row>
    <row r="27" spans="1:16" ht="15" x14ac:dyDescent="0.25">
      <c r="A27" s="94" t="s">
        <v>37</v>
      </c>
      <c r="B27" s="5">
        <f t="shared" si="0"/>
        <v>26</v>
      </c>
      <c r="C27" s="121">
        <v>5</v>
      </c>
      <c r="D27" s="4">
        <v>2026</v>
      </c>
      <c r="E27" s="95">
        <f>IF('MAY  2026'!C27&lt;0,"0",'MAY  2026'!C27)+(IF('MAY  2026'!E27&lt;0,"0",'MAY  2026'!E27)-(IF('MAY  2026'!G27&lt;0,"0",'MAY  2026'!G27)))</f>
        <v>6541</v>
      </c>
      <c r="F27" s="109">
        <f>('MAY  2026'!C27*0.27)/('MAY  2026'!C27+'MAY  2026'!E27)</f>
        <v>0.20160220149824187</v>
      </c>
      <c r="G27" s="96">
        <f>'MAY  2026'!U27</f>
        <v>100</v>
      </c>
      <c r="H27" s="112">
        <v>0.62</v>
      </c>
      <c r="I27" s="97">
        <f>'MAY  2026'!W27</f>
        <v>158</v>
      </c>
      <c r="J27" s="98">
        <v>2.42</v>
      </c>
      <c r="K27" s="105">
        <f>'MAY  2026'!AB27*5.04</f>
        <v>0</v>
      </c>
      <c r="L27" s="115">
        <v>0.11509999999999999</v>
      </c>
      <c r="M27" s="106">
        <f>'MAY  2026'!N27</f>
        <v>255</v>
      </c>
      <c r="N27" s="118">
        <v>0.88</v>
      </c>
      <c r="O27" s="99">
        <f>'MAY  2026'!AC27</f>
        <v>191</v>
      </c>
      <c r="P27" s="99">
        <f>'MAY  2026'!AD27</f>
        <v>406</v>
      </c>
    </row>
    <row r="28" spans="1:16" ht="15" x14ac:dyDescent="0.25">
      <c r="A28" s="94" t="s">
        <v>37</v>
      </c>
      <c r="B28" s="5">
        <v>27</v>
      </c>
      <c r="C28" s="121">
        <v>5</v>
      </c>
      <c r="D28" s="4">
        <v>2026</v>
      </c>
      <c r="E28" s="95">
        <f>IF('MAY  2026'!C27&lt;0,"0",'MAY  2026'!C27)+(IF('MAY  2026'!E27&lt;0,"0",'MAY  2026'!E27)-(IF('MAY  2026'!G27&lt;0,"0",'MAY  2026'!G27)))</f>
        <v>6541</v>
      </c>
      <c r="F28" s="109">
        <f>('MAY  2026'!C27*0.27)/('MAY  2026'!C27+'MAY  2026'!E27)</f>
        <v>0.20160220149824187</v>
      </c>
      <c r="G28" s="96">
        <f>'MAY  2026'!U28</f>
        <v>125</v>
      </c>
      <c r="H28" s="112">
        <v>0.62</v>
      </c>
      <c r="I28" s="97">
        <f>'MAY  2026'!W28</f>
        <v>115</v>
      </c>
      <c r="J28" s="98">
        <v>2.42</v>
      </c>
      <c r="K28" s="105">
        <f>'MAY  2026'!AB31*5.04</f>
        <v>0</v>
      </c>
      <c r="L28" s="115">
        <v>0.11509999999999999</v>
      </c>
      <c r="M28" s="106">
        <f>'MAY  2026'!N28</f>
        <v>242</v>
      </c>
      <c r="N28" s="118">
        <v>0.88</v>
      </c>
      <c r="O28" s="99">
        <f>'MAY  2026'!AC27</f>
        <v>191</v>
      </c>
      <c r="P28" s="99">
        <f>'MAY  2026'!AD27</f>
        <v>406</v>
      </c>
    </row>
    <row r="29" spans="1:16" ht="15" x14ac:dyDescent="0.25">
      <c r="A29" s="94" t="s">
        <v>37</v>
      </c>
      <c r="B29" s="5">
        <v>28</v>
      </c>
      <c r="C29" s="121">
        <v>5</v>
      </c>
      <c r="D29" s="4">
        <v>2026</v>
      </c>
      <c r="E29" s="95">
        <f>IF('MAY  2026'!C28&lt;0,"0",'MAY  2026'!C28)+(IF('MAY  2026'!E28&lt;0,"0",'MAY  2026'!E28)-(IF('MAY  2026'!G28&lt;0,"0",'MAY  2026'!G28)))</f>
        <v>6471</v>
      </c>
      <c r="F29" s="109">
        <f>('MAY  2026'!C28*0.27)/('MAY  2026'!C28+'MAY  2026'!E28)</f>
        <v>0.20132127955493742</v>
      </c>
      <c r="G29" s="96">
        <f>'MAY  2026'!U29</f>
        <v>95</v>
      </c>
      <c r="H29" s="112">
        <v>0.62</v>
      </c>
      <c r="I29" s="97">
        <f>'MAY  2026'!W29</f>
        <v>108</v>
      </c>
      <c r="J29" s="98">
        <v>2.42</v>
      </c>
      <c r="K29" s="105">
        <f>'MAY  2026'!AB32*5.04</f>
        <v>0</v>
      </c>
      <c r="L29" s="115">
        <v>0.11509999999999999</v>
      </c>
      <c r="M29" s="106">
        <f>'MAY  2026'!N29</f>
        <v>223</v>
      </c>
      <c r="N29" s="118">
        <v>0.88</v>
      </c>
      <c r="O29" s="99">
        <f>'MAY  2026'!AC28</f>
        <v>202</v>
      </c>
      <c r="P29" s="99">
        <f>'MAY  2026'!AD28</f>
        <v>427</v>
      </c>
    </row>
    <row r="30" spans="1:16" ht="15" x14ac:dyDescent="0.25">
      <c r="A30" s="94" t="s">
        <v>37</v>
      </c>
      <c r="B30" s="5">
        <f t="shared" si="0"/>
        <v>29</v>
      </c>
      <c r="C30" s="121">
        <v>5</v>
      </c>
      <c r="D30" s="4">
        <v>2026</v>
      </c>
      <c r="E30" s="95">
        <f>IF('MAY  2026'!C29&lt;0,"0",'MAY  2026'!C29)+(IF('MAY  2026'!E29&lt;0,"0",'MAY  2026'!E29)-(IF('MAY  2026'!G29&lt;0,"0",'MAY  2026'!G29)))</f>
        <v>6883</v>
      </c>
      <c r="F30" s="109">
        <f>('MAY  2026'!C29*0.27)/('MAY  2026'!C29+'MAY  2026'!E29)</f>
        <v>0.21178701147755338</v>
      </c>
      <c r="G30" s="96">
        <f>'MAY  2026'!U30</f>
        <v>160</v>
      </c>
      <c r="H30" s="112">
        <v>0.62</v>
      </c>
      <c r="I30" s="97">
        <f>'MAY  2026'!W30</f>
        <v>127</v>
      </c>
      <c r="J30" s="98">
        <v>2.42</v>
      </c>
      <c r="K30" s="105">
        <f>'MAY  2026'!AB33*5.04</f>
        <v>0</v>
      </c>
      <c r="L30" s="115">
        <v>0.11509999999999999</v>
      </c>
      <c r="M30" s="106">
        <f>'MAY  2026'!N30</f>
        <v>208</v>
      </c>
      <c r="N30" s="118">
        <v>0.88</v>
      </c>
      <c r="O30" s="99">
        <f>'MAY  2026'!AC29</f>
        <v>194</v>
      </c>
      <c r="P30" s="99">
        <f>'MAY  2026'!AD29</f>
        <v>406</v>
      </c>
    </row>
    <row r="31" spans="1:16" ht="17.25" customHeight="1" x14ac:dyDescent="0.25">
      <c r="A31" s="94" t="s">
        <v>37</v>
      </c>
      <c r="B31" s="5">
        <v>30</v>
      </c>
      <c r="C31" s="121">
        <v>5</v>
      </c>
      <c r="D31" s="4">
        <v>2026</v>
      </c>
      <c r="E31" s="95">
        <f>IF('MAY  2026'!C31&lt;0,"0",'MAY  2026'!C31)+(IF('MAY  2026'!E31&lt;0,"0",'MAY  2026'!E31)-(IF('MAY  2026'!G31&lt;0,"0",'MAY  2026'!G31)))</f>
        <v>6832</v>
      </c>
      <c r="F31" s="109">
        <f>('MAY  2026'!C31*0.27)/('MAY  2026'!C31+'MAY  2026'!E31)</f>
        <v>0.2030927985948478</v>
      </c>
      <c r="G31" s="96">
        <f>'MAY  2026'!U31</f>
        <v>255</v>
      </c>
      <c r="H31" s="112">
        <v>0.62</v>
      </c>
      <c r="I31" s="97">
        <f>'MAY  2026'!W31</f>
        <v>126</v>
      </c>
      <c r="J31" s="98">
        <v>2.42</v>
      </c>
      <c r="K31" s="105">
        <f>'MAY  2026'!AB35*5.04</f>
        <v>0</v>
      </c>
      <c r="L31" s="115">
        <v>0.11509999999999999</v>
      </c>
      <c r="M31" s="106">
        <f>'MAY  2026'!N31</f>
        <v>302</v>
      </c>
      <c r="N31" s="118">
        <v>0.88</v>
      </c>
      <c r="O31" s="99">
        <f>'MAY  2026'!AC31</f>
        <v>227</v>
      </c>
      <c r="P31" s="99">
        <f>'MAY  2026'!AD31</f>
        <v>465</v>
      </c>
    </row>
    <row r="32" spans="1:16" ht="17.25" customHeight="1" x14ac:dyDescent="0.25">
      <c r="A32" s="94" t="s">
        <v>37</v>
      </c>
      <c r="B32" s="5">
        <v>31</v>
      </c>
      <c r="C32" s="121">
        <v>5</v>
      </c>
      <c r="D32" s="4">
        <v>2026</v>
      </c>
      <c r="E32" s="95">
        <f>IF('MAY  2026'!C32&lt;0,"0",'MAY  2026'!C32)+(IF('MAY  2026'!E32&lt;0,"0",'MAY  2026'!E32)-(IF('MAY  2026'!G32&lt;0,"0",'MAY  2026'!G32)))</f>
        <v>6588</v>
      </c>
      <c r="F32" s="109">
        <f>('MAY  2026'!C32*0.27)/('MAY  2026'!C32+'MAY  2026'!E32)</f>
        <v>0.24274590163934426</v>
      </c>
      <c r="G32" s="96">
        <f>'MAY  2026'!U32</f>
        <v>65</v>
      </c>
      <c r="H32" s="112">
        <v>0.62</v>
      </c>
      <c r="I32" s="97">
        <f>'MAY  2026'!W32</f>
        <v>95</v>
      </c>
      <c r="J32" s="98">
        <v>2.42</v>
      </c>
      <c r="K32" s="105">
        <f>'MAY  2026'!AB35*5.04</f>
        <v>0</v>
      </c>
      <c r="L32" s="115">
        <v>0.11509999999999999</v>
      </c>
      <c r="M32" s="106">
        <f>'MAY  2026'!N32</f>
        <v>317</v>
      </c>
      <c r="N32" s="118">
        <v>0.88</v>
      </c>
      <c r="O32" s="99">
        <f>'MAY  2026'!AC32</f>
        <v>196</v>
      </c>
      <c r="P32" s="99">
        <f>'MAY  2026'!AD32</f>
        <v>406</v>
      </c>
    </row>
    <row r="33" spans="4:16" x14ac:dyDescent="0.2">
      <c r="D33" s="100"/>
      <c r="F33" s="109"/>
      <c r="I33" s="98"/>
      <c r="J33" s="98"/>
      <c r="K33" s="105"/>
      <c r="L33" s="115"/>
      <c r="O33" s="101"/>
      <c r="P33" s="101"/>
    </row>
    <row r="34" spans="4:16" x14ac:dyDescent="0.2">
      <c r="D34" s="100"/>
      <c r="F34" s="109"/>
      <c r="I34" s="98"/>
      <c r="J34" s="98"/>
      <c r="K34" s="105"/>
      <c r="L34" s="115"/>
      <c r="O34" s="101"/>
      <c r="P34" s="101"/>
    </row>
    <row r="35" spans="4:16" x14ac:dyDescent="0.2">
      <c r="D35" s="100"/>
      <c r="F35" s="109"/>
      <c r="I35" s="98"/>
      <c r="J35" s="98"/>
      <c r="K35" s="105"/>
      <c r="L35" s="115"/>
      <c r="O35" s="101"/>
      <c r="P35" s="101"/>
    </row>
    <row r="36" spans="4:16" x14ac:dyDescent="0.2">
      <c r="F36" s="109"/>
      <c r="K36" s="105"/>
      <c r="L36" s="115"/>
    </row>
    <row r="37" spans="4:16" x14ac:dyDescent="0.2">
      <c r="F37" s="109"/>
      <c r="K37" s="105"/>
      <c r="L37" s="115"/>
    </row>
    <row r="38" spans="4:16" x14ac:dyDescent="0.2">
      <c r="F38" s="109"/>
      <c r="K38" s="105"/>
      <c r="L38" s="115"/>
    </row>
    <row r="39" spans="4:16" x14ac:dyDescent="0.2">
      <c r="F39" s="109"/>
      <c r="K39" s="105"/>
      <c r="L39" s="115"/>
    </row>
    <row r="40" spans="4:16" x14ac:dyDescent="0.2">
      <c r="K40" s="105"/>
      <c r="L40" s="1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opLeftCell="A12" zoomScale="115" zoomScaleNormal="115" workbookViewId="0">
      <selection activeCell="N33" sqref="N33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5" t="s">
        <v>7</v>
      </c>
      <c r="H1" s="67" t="s">
        <v>18</v>
      </c>
      <c r="I1" s="71" t="s">
        <v>17</v>
      </c>
      <c r="J1" s="47" t="s">
        <v>5</v>
      </c>
      <c r="K1" s="25" t="s">
        <v>1</v>
      </c>
      <c r="L1" s="28" t="s">
        <v>2</v>
      </c>
      <c r="M1" s="73" t="s">
        <v>14</v>
      </c>
      <c r="N1" s="29" t="s">
        <v>5</v>
      </c>
      <c r="O1" s="81" t="s">
        <v>20</v>
      </c>
      <c r="P1" s="81" t="s">
        <v>21</v>
      </c>
      <c r="Q1" s="81" t="s">
        <v>22</v>
      </c>
      <c r="R1" s="81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46143</v>
      </c>
      <c r="B2" s="8">
        <v>296708</v>
      </c>
      <c r="C2" s="14">
        <f>IF((B3-B2)&lt;0,"0",B3-B2)</f>
        <v>5329</v>
      </c>
      <c r="D2" s="9">
        <v>1100613</v>
      </c>
      <c r="E2" s="14">
        <f>IF((D3-D2)&lt;0,"0",D3-D2)</f>
        <v>255</v>
      </c>
      <c r="F2" s="27">
        <v>1704</v>
      </c>
      <c r="G2" s="66">
        <f>F3-F2</f>
        <v>0</v>
      </c>
      <c r="H2" s="68">
        <f>C2+E2-G2</f>
        <v>5584</v>
      </c>
      <c r="I2" s="72">
        <f>H2-K2-M2-O2-Q2</f>
        <v>-40560.11</v>
      </c>
      <c r="J2" s="32">
        <f t="shared" ref="J2:J31" si="0">I3-I2</f>
        <v>65.040000000000873</v>
      </c>
      <c r="K2" s="19">
        <f>A2</f>
        <v>46143</v>
      </c>
      <c r="L2" s="30">
        <v>7665</v>
      </c>
      <c r="M2" s="31">
        <v>0</v>
      </c>
      <c r="N2" s="32">
        <f>IF((L2-L3+M2)=L2,"0",(L2-L3+M2))</f>
        <v>401</v>
      </c>
      <c r="O2" s="82">
        <v>0.7</v>
      </c>
      <c r="P2" s="83">
        <v>0.7</v>
      </c>
      <c r="Q2" s="82">
        <v>0.41</v>
      </c>
      <c r="R2" s="83">
        <v>0.45</v>
      </c>
      <c r="S2" s="37">
        <f>(2500*O2)+(2500*P2)+(500*Q2)+(500*R2)</f>
        <v>3930</v>
      </c>
      <c r="T2" s="122"/>
      <c r="U2" s="32">
        <f>IF((S2-S3+T2)=S2,"0",(S2-S3+T2))</f>
        <v>20</v>
      </c>
      <c r="V2" s="39">
        <v>4390</v>
      </c>
      <c r="W2" s="32">
        <f t="shared" ref="W2:W32" si="1">IF(V3-V2&lt;0,"0",V3-V2)</f>
        <v>108</v>
      </c>
      <c r="X2" s="42">
        <v>61667</v>
      </c>
      <c r="Y2" s="14">
        <f>IF((X3-X2)&lt;0,"0",X3-X2)</f>
        <v>7</v>
      </c>
      <c r="Z2" s="45">
        <v>0</v>
      </c>
      <c r="AA2" s="51"/>
      <c r="AB2" s="32" t="str">
        <f>IF((Z2-Z3+AA2)=Z2,"0",(Z2-Z3+AA2))</f>
        <v>0</v>
      </c>
      <c r="AC2" s="12">
        <v>160</v>
      </c>
      <c r="AD2" s="17">
        <v>307</v>
      </c>
    </row>
    <row r="3" spans="1:30" ht="20.65" customHeight="1" x14ac:dyDescent="0.2">
      <c r="A3" s="19">
        <v>46144</v>
      </c>
      <c r="B3" s="10">
        <v>302037</v>
      </c>
      <c r="C3" s="14">
        <f t="shared" ref="C3:C32" si="2">IF((B4-B3)&lt;0,"0",B4-B3)</f>
        <v>5100</v>
      </c>
      <c r="D3" s="11">
        <v>1100868</v>
      </c>
      <c r="E3" s="14">
        <f t="shared" ref="E3:E13" si="3">IF((D4-D3)&lt;0,"0",D4-D3)</f>
        <v>550</v>
      </c>
      <c r="F3" s="27">
        <v>1704</v>
      </c>
      <c r="G3" s="66">
        <f t="shared" ref="G3:G32" si="4">F4-F3</f>
        <v>0</v>
      </c>
      <c r="H3" s="68">
        <f t="shared" ref="H3:H32" si="5">C3+E3-G3</f>
        <v>5650</v>
      </c>
      <c r="I3" s="72">
        <f t="shared" ref="I3:I32" si="6">H3-K3-M3-O3-Q3</f>
        <v>-40495.07</v>
      </c>
      <c r="J3" s="32">
        <f t="shared" si="0"/>
        <v>68.120000000002619</v>
      </c>
      <c r="K3" s="20">
        <f t="shared" ref="K3:K33" si="7">A3</f>
        <v>46144</v>
      </c>
      <c r="L3" s="33">
        <v>7264</v>
      </c>
      <c r="M3" s="31">
        <v>0</v>
      </c>
      <c r="N3" s="32">
        <f t="shared" ref="N3:N33" si="8">IF((L3-L4+M3)=L3,"0",(L3-L4+M3))</f>
        <v>453</v>
      </c>
      <c r="O3" s="84">
        <v>0.71</v>
      </c>
      <c r="P3" s="85">
        <v>0.7</v>
      </c>
      <c r="Q3" s="84">
        <v>0.36</v>
      </c>
      <c r="R3" s="85">
        <v>0.41</v>
      </c>
      <c r="S3" s="37">
        <f t="shared" ref="S3:S33" si="9">(2500*O3)+(2500*P3)+(500*Q3)+(500*R3)</f>
        <v>3910</v>
      </c>
      <c r="T3" s="122"/>
      <c r="U3" s="32">
        <f t="shared" ref="U3:U19" si="10">IF((S3-S4+T3)=S3,"0",(S3-S4+T3))</f>
        <v>130</v>
      </c>
      <c r="V3" s="40">
        <v>4498</v>
      </c>
      <c r="W3" s="32">
        <f t="shared" si="1"/>
        <v>102</v>
      </c>
      <c r="X3" s="42">
        <v>61674</v>
      </c>
      <c r="Y3" s="14">
        <f t="shared" ref="Y3:Y19" si="11">IF((X4-X3)&lt;0,"0",X4-X3)</f>
        <v>5</v>
      </c>
      <c r="Z3" s="45">
        <v>0</v>
      </c>
      <c r="AA3" s="51"/>
      <c r="AB3" s="32" t="str">
        <f t="shared" ref="AB3:AB32" si="12">IF((Z3-Z4+AA3)=Z3,"0",(Z3-Z4+AA3))</f>
        <v>0</v>
      </c>
      <c r="AC3" s="13">
        <v>165</v>
      </c>
      <c r="AD3" s="18">
        <v>314</v>
      </c>
    </row>
    <row r="4" spans="1:30" ht="20.65" customHeight="1" x14ac:dyDescent="0.2">
      <c r="A4" s="19">
        <v>46145</v>
      </c>
      <c r="B4" s="10">
        <v>307137</v>
      </c>
      <c r="C4" s="14">
        <f t="shared" si="2"/>
        <v>5331</v>
      </c>
      <c r="D4" s="11">
        <v>1101418</v>
      </c>
      <c r="E4" s="14">
        <f t="shared" si="3"/>
        <v>388</v>
      </c>
      <c r="F4" s="27">
        <v>1704</v>
      </c>
      <c r="G4" s="66">
        <f t="shared" si="4"/>
        <v>0</v>
      </c>
      <c r="H4" s="68">
        <f t="shared" si="5"/>
        <v>5719</v>
      </c>
      <c r="I4" s="72">
        <f t="shared" si="6"/>
        <v>-40426.949999999997</v>
      </c>
      <c r="J4" s="32">
        <f t="shared" si="0"/>
        <v>-284.91000000000349</v>
      </c>
      <c r="K4" s="20">
        <f t="shared" si="7"/>
        <v>46145</v>
      </c>
      <c r="L4" s="33">
        <v>6811</v>
      </c>
      <c r="M4" s="31">
        <v>0</v>
      </c>
      <c r="N4" s="32">
        <f t="shared" si="8"/>
        <v>496</v>
      </c>
      <c r="O4" s="84">
        <v>0.7</v>
      </c>
      <c r="P4" s="85">
        <v>0.69</v>
      </c>
      <c r="Q4" s="84">
        <v>0.25</v>
      </c>
      <c r="R4" s="85">
        <v>0.36</v>
      </c>
      <c r="S4" s="37">
        <f t="shared" si="9"/>
        <v>3780</v>
      </c>
      <c r="T4" s="122"/>
      <c r="U4" s="32">
        <f t="shared" si="10"/>
        <v>250</v>
      </c>
      <c r="V4" s="40">
        <v>4600</v>
      </c>
      <c r="W4" s="32">
        <f t="shared" si="1"/>
        <v>87</v>
      </c>
      <c r="X4" s="42">
        <v>61679</v>
      </c>
      <c r="Y4" s="14">
        <f t="shared" si="11"/>
        <v>6</v>
      </c>
      <c r="Z4" s="45">
        <v>0</v>
      </c>
      <c r="AA4" s="51"/>
      <c r="AB4" s="32" t="str">
        <f t="shared" si="12"/>
        <v>0</v>
      </c>
      <c r="AC4" s="13">
        <v>219</v>
      </c>
      <c r="AD4" s="18">
        <v>359</v>
      </c>
    </row>
    <row r="5" spans="1:30" ht="20.65" customHeight="1" x14ac:dyDescent="0.2">
      <c r="A5" s="19">
        <v>46146</v>
      </c>
      <c r="B5" s="10">
        <v>312468</v>
      </c>
      <c r="C5" s="14">
        <f t="shared" si="2"/>
        <v>4383</v>
      </c>
      <c r="D5" s="11">
        <v>1101806</v>
      </c>
      <c r="E5" s="14">
        <f t="shared" si="3"/>
        <v>1052</v>
      </c>
      <c r="F5" s="27">
        <v>1704</v>
      </c>
      <c r="G5" s="66">
        <f t="shared" si="4"/>
        <v>0</v>
      </c>
      <c r="H5" s="68">
        <f t="shared" si="5"/>
        <v>5435</v>
      </c>
      <c r="I5" s="72">
        <f t="shared" si="6"/>
        <v>-40711.86</v>
      </c>
      <c r="J5" s="32">
        <f t="shared" si="0"/>
        <v>-309.81999999999971</v>
      </c>
      <c r="K5" s="20">
        <f t="shared" si="7"/>
        <v>46146</v>
      </c>
      <c r="L5" s="33">
        <v>6315</v>
      </c>
      <c r="M5" s="31">
        <v>0</v>
      </c>
      <c r="N5" s="32">
        <f t="shared" si="8"/>
        <v>471</v>
      </c>
      <c r="O5" s="84">
        <v>0.66</v>
      </c>
      <c r="P5" s="85">
        <v>0.66</v>
      </c>
      <c r="Q5" s="84">
        <v>0.2</v>
      </c>
      <c r="R5" s="85">
        <v>0.26</v>
      </c>
      <c r="S5" s="37">
        <f t="shared" si="9"/>
        <v>3530</v>
      </c>
      <c r="T5" s="122">
        <v>1408</v>
      </c>
      <c r="U5" s="32">
        <f t="shared" si="10"/>
        <v>63</v>
      </c>
      <c r="V5" s="40">
        <v>4687</v>
      </c>
      <c r="W5" s="32">
        <f t="shared" si="1"/>
        <v>88</v>
      </c>
      <c r="X5" s="42">
        <v>61685</v>
      </c>
      <c r="Y5" s="14">
        <f t="shared" si="11"/>
        <v>1</v>
      </c>
      <c r="Z5" s="45">
        <v>0</v>
      </c>
      <c r="AA5" s="51"/>
      <c r="AB5" s="32" t="str">
        <f t="shared" si="12"/>
        <v>0</v>
      </c>
      <c r="AC5" s="13">
        <v>212</v>
      </c>
      <c r="AD5" s="18">
        <v>343</v>
      </c>
    </row>
    <row r="6" spans="1:30" ht="20.65" customHeight="1" x14ac:dyDescent="0.2">
      <c r="A6" s="19">
        <v>46147</v>
      </c>
      <c r="B6" s="10">
        <v>316851</v>
      </c>
      <c r="C6" s="14">
        <f t="shared" si="2"/>
        <v>4275</v>
      </c>
      <c r="D6" s="11">
        <v>1102858</v>
      </c>
      <c r="E6" s="14">
        <f t="shared" si="3"/>
        <v>852</v>
      </c>
      <c r="F6" s="27">
        <v>1704</v>
      </c>
      <c r="G6" s="66">
        <f t="shared" si="4"/>
        <v>0</v>
      </c>
      <c r="H6" s="68">
        <f t="shared" si="5"/>
        <v>5127</v>
      </c>
      <c r="I6" s="72">
        <f t="shared" si="6"/>
        <v>-41021.68</v>
      </c>
      <c r="J6" s="32">
        <f t="shared" si="0"/>
        <v>523.05000000000291</v>
      </c>
      <c r="K6" s="20">
        <f t="shared" si="7"/>
        <v>46147</v>
      </c>
      <c r="L6" s="33">
        <v>5844</v>
      </c>
      <c r="M6" s="31">
        <v>0</v>
      </c>
      <c r="N6" s="32">
        <f t="shared" si="8"/>
        <v>446</v>
      </c>
      <c r="O6" s="84">
        <v>0.83</v>
      </c>
      <c r="P6" s="85">
        <v>0.8</v>
      </c>
      <c r="Q6" s="84">
        <v>0.85</v>
      </c>
      <c r="R6" s="85">
        <v>0.75</v>
      </c>
      <c r="S6" s="37">
        <f t="shared" si="9"/>
        <v>4875</v>
      </c>
      <c r="T6" s="122"/>
      <c r="U6" s="32">
        <f t="shared" si="10"/>
        <v>55</v>
      </c>
      <c r="V6" s="40">
        <v>4775</v>
      </c>
      <c r="W6" s="32">
        <f t="shared" si="1"/>
        <v>81</v>
      </c>
      <c r="X6" s="42">
        <v>61686</v>
      </c>
      <c r="Y6" s="14">
        <f t="shared" si="11"/>
        <v>5</v>
      </c>
      <c r="Z6" s="45">
        <v>0</v>
      </c>
      <c r="AA6" s="51"/>
      <c r="AB6" s="32" t="str">
        <f t="shared" si="12"/>
        <v>0</v>
      </c>
      <c r="AC6" s="13">
        <v>208</v>
      </c>
      <c r="AD6" s="18">
        <v>335</v>
      </c>
    </row>
    <row r="7" spans="1:30" ht="20.65" customHeight="1" x14ac:dyDescent="0.2">
      <c r="A7" s="19">
        <v>46148</v>
      </c>
      <c r="B7" s="10">
        <v>321126</v>
      </c>
      <c r="C7" s="14">
        <f t="shared" si="2"/>
        <v>4021</v>
      </c>
      <c r="D7" s="11">
        <v>1103710</v>
      </c>
      <c r="E7" s="14">
        <f t="shared" si="3"/>
        <v>1630</v>
      </c>
      <c r="F7" s="27">
        <v>1704</v>
      </c>
      <c r="G7" s="66">
        <f t="shared" si="4"/>
        <v>0</v>
      </c>
      <c r="H7" s="68">
        <f t="shared" si="5"/>
        <v>5651</v>
      </c>
      <c r="I7" s="72">
        <f t="shared" si="6"/>
        <v>-40498.629999999997</v>
      </c>
      <c r="J7" s="32">
        <f t="shared" si="0"/>
        <v>-374.9600000000064</v>
      </c>
      <c r="K7" s="20">
        <f t="shared" si="7"/>
        <v>46148</v>
      </c>
      <c r="L7" s="33">
        <v>5398</v>
      </c>
      <c r="M7" s="31">
        <v>0</v>
      </c>
      <c r="N7" s="32">
        <f t="shared" si="8"/>
        <v>430</v>
      </c>
      <c r="O7" s="84">
        <v>0.82</v>
      </c>
      <c r="P7" s="85">
        <v>0.8</v>
      </c>
      <c r="Q7" s="84">
        <v>0.81</v>
      </c>
      <c r="R7" s="85">
        <v>0.73</v>
      </c>
      <c r="S7" s="37">
        <f t="shared" si="9"/>
        <v>4820</v>
      </c>
      <c r="T7" s="122"/>
      <c r="U7" s="32">
        <f t="shared" si="10"/>
        <v>95</v>
      </c>
      <c r="V7" s="40">
        <v>4856</v>
      </c>
      <c r="W7" s="32">
        <f t="shared" si="1"/>
        <v>113</v>
      </c>
      <c r="X7" s="42">
        <v>61691</v>
      </c>
      <c r="Y7" s="14">
        <f t="shared" si="11"/>
        <v>8</v>
      </c>
      <c r="Z7" s="45">
        <v>0</v>
      </c>
      <c r="AA7" s="51"/>
      <c r="AB7" s="32" t="str">
        <f t="shared" si="12"/>
        <v>0</v>
      </c>
      <c r="AC7" s="13">
        <v>219</v>
      </c>
      <c r="AD7" s="18">
        <v>348</v>
      </c>
    </row>
    <row r="8" spans="1:30" ht="20.65" customHeight="1" x14ac:dyDescent="0.2">
      <c r="A8" s="19">
        <v>46149</v>
      </c>
      <c r="B8" s="10">
        <v>325147</v>
      </c>
      <c r="C8" s="14">
        <f t="shared" si="2"/>
        <v>4941</v>
      </c>
      <c r="D8" s="11">
        <v>1105340</v>
      </c>
      <c r="E8" s="14">
        <f t="shared" si="3"/>
        <v>336</v>
      </c>
      <c r="F8" s="27">
        <v>1704</v>
      </c>
      <c r="G8" s="66">
        <f t="shared" si="4"/>
        <v>0</v>
      </c>
      <c r="H8" s="68">
        <f t="shared" si="5"/>
        <v>5277</v>
      </c>
      <c r="I8" s="72">
        <f t="shared" si="6"/>
        <v>-40873.590000000004</v>
      </c>
      <c r="J8" s="32">
        <f t="shared" si="0"/>
        <v>367.06000000000495</v>
      </c>
      <c r="K8" s="20">
        <f t="shared" si="7"/>
        <v>46149</v>
      </c>
      <c r="L8" s="33">
        <v>4968</v>
      </c>
      <c r="M8" s="31">
        <v>0</v>
      </c>
      <c r="N8" s="32">
        <f t="shared" si="8"/>
        <v>415</v>
      </c>
      <c r="O8" s="84">
        <v>0.79</v>
      </c>
      <c r="P8" s="85">
        <v>0.8</v>
      </c>
      <c r="Q8" s="84">
        <v>0.8</v>
      </c>
      <c r="R8" s="85">
        <v>0.7</v>
      </c>
      <c r="S8" s="37">
        <f t="shared" si="9"/>
        <v>4725</v>
      </c>
      <c r="T8" s="122"/>
      <c r="U8" s="32">
        <f t="shared" si="10"/>
        <v>165</v>
      </c>
      <c r="V8" s="40">
        <v>4969</v>
      </c>
      <c r="W8" s="32">
        <f t="shared" si="1"/>
        <v>92</v>
      </c>
      <c r="X8" s="42">
        <v>61699</v>
      </c>
      <c r="Y8" s="14">
        <f t="shared" si="11"/>
        <v>7</v>
      </c>
      <c r="Z8" s="45">
        <v>0</v>
      </c>
      <c r="AA8" s="51"/>
      <c r="AB8" s="32" t="str">
        <f t="shared" si="12"/>
        <v>0</v>
      </c>
      <c r="AC8" s="13">
        <v>221</v>
      </c>
      <c r="AD8" s="18">
        <v>351</v>
      </c>
    </row>
    <row r="9" spans="1:30" ht="20.65" customHeight="1" x14ac:dyDescent="0.2">
      <c r="A9" s="19">
        <v>46150</v>
      </c>
      <c r="B9" s="10">
        <v>330088</v>
      </c>
      <c r="C9" s="14">
        <f t="shared" si="2"/>
        <v>4025</v>
      </c>
      <c r="D9" s="11">
        <v>1105676</v>
      </c>
      <c r="E9" s="14">
        <f t="shared" si="3"/>
        <v>1620</v>
      </c>
      <c r="F9" s="27">
        <v>1704</v>
      </c>
      <c r="G9" s="66">
        <f t="shared" si="4"/>
        <v>0</v>
      </c>
      <c r="H9" s="68">
        <f t="shared" si="5"/>
        <v>5645</v>
      </c>
      <c r="I9" s="72">
        <f t="shared" si="6"/>
        <v>-40506.53</v>
      </c>
      <c r="J9" s="32">
        <f t="shared" si="0"/>
        <v>-9.9600000000064028</v>
      </c>
      <c r="K9" s="20">
        <f t="shared" si="7"/>
        <v>46150</v>
      </c>
      <c r="L9" s="33">
        <v>4553</v>
      </c>
      <c r="M9" s="31">
        <v>0</v>
      </c>
      <c r="N9" s="32">
        <f t="shared" si="8"/>
        <v>440</v>
      </c>
      <c r="O9" s="84">
        <v>0.77</v>
      </c>
      <c r="P9" s="85">
        <v>0.77</v>
      </c>
      <c r="Q9" s="84">
        <v>0.76</v>
      </c>
      <c r="R9" s="85">
        <v>0.66</v>
      </c>
      <c r="S9" s="37">
        <f t="shared" si="9"/>
        <v>4560</v>
      </c>
      <c r="T9" s="122"/>
      <c r="U9" s="32">
        <f t="shared" si="10"/>
        <v>85</v>
      </c>
      <c r="V9" s="40">
        <v>5061</v>
      </c>
      <c r="W9" s="32">
        <f t="shared" si="1"/>
        <v>118</v>
      </c>
      <c r="X9" s="42">
        <v>61706</v>
      </c>
      <c r="Y9" s="14">
        <f t="shared" si="11"/>
        <v>10</v>
      </c>
      <c r="Z9" s="45">
        <v>0</v>
      </c>
      <c r="AA9" s="51"/>
      <c r="AB9" s="32" t="str">
        <f t="shared" si="12"/>
        <v>0</v>
      </c>
      <c r="AC9" s="13">
        <v>208</v>
      </c>
      <c r="AD9" s="18">
        <v>333</v>
      </c>
    </row>
    <row r="10" spans="1:30" ht="20.65" customHeight="1" x14ac:dyDescent="0.2">
      <c r="A10" s="19">
        <v>46151</v>
      </c>
      <c r="B10" s="10">
        <v>334113</v>
      </c>
      <c r="C10" s="14">
        <f t="shared" si="2"/>
        <v>3994</v>
      </c>
      <c r="D10" s="11">
        <v>1107296</v>
      </c>
      <c r="E10" s="14">
        <f t="shared" si="3"/>
        <v>1642</v>
      </c>
      <c r="F10" s="27">
        <v>1704</v>
      </c>
      <c r="G10" s="66">
        <f t="shared" si="4"/>
        <v>0</v>
      </c>
      <c r="H10" s="68">
        <f t="shared" si="5"/>
        <v>5636</v>
      </c>
      <c r="I10" s="72">
        <f t="shared" si="6"/>
        <v>-40516.490000000005</v>
      </c>
      <c r="J10" s="32">
        <f t="shared" si="0"/>
        <v>131.09000000000378</v>
      </c>
      <c r="K10" s="20">
        <f t="shared" si="7"/>
        <v>46151</v>
      </c>
      <c r="L10" s="33">
        <v>4113</v>
      </c>
      <c r="M10" s="31">
        <v>0</v>
      </c>
      <c r="N10" s="32">
        <f t="shared" si="8"/>
        <v>410</v>
      </c>
      <c r="O10" s="84">
        <v>0.76</v>
      </c>
      <c r="P10" s="85">
        <v>0.76</v>
      </c>
      <c r="Q10" s="84">
        <v>0.73</v>
      </c>
      <c r="R10" s="85">
        <v>0.62</v>
      </c>
      <c r="S10" s="37">
        <f t="shared" si="9"/>
        <v>4475</v>
      </c>
      <c r="T10" s="122"/>
      <c r="U10" s="32">
        <f t="shared" si="10"/>
        <v>100</v>
      </c>
      <c r="V10" s="40">
        <v>5179</v>
      </c>
      <c r="W10" s="32">
        <f t="shared" si="1"/>
        <v>95</v>
      </c>
      <c r="X10" s="42">
        <v>61716</v>
      </c>
      <c r="Y10" s="14">
        <f t="shared" si="11"/>
        <v>7</v>
      </c>
      <c r="Z10" s="45">
        <v>0</v>
      </c>
      <c r="AA10" s="51"/>
      <c r="AB10" s="32" t="str">
        <f t="shared" si="12"/>
        <v>0</v>
      </c>
      <c r="AC10" s="13">
        <v>217</v>
      </c>
      <c r="AD10" s="18">
        <v>357</v>
      </c>
    </row>
    <row r="11" spans="1:30" ht="20.65" customHeight="1" x14ac:dyDescent="0.2">
      <c r="A11" s="19">
        <v>46152</v>
      </c>
      <c r="B11" s="10">
        <v>338107</v>
      </c>
      <c r="C11" s="14">
        <f t="shared" si="2"/>
        <v>5291</v>
      </c>
      <c r="D11" s="11">
        <v>1108938</v>
      </c>
      <c r="E11" s="14">
        <f t="shared" si="3"/>
        <v>477</v>
      </c>
      <c r="F11" s="27">
        <v>1704</v>
      </c>
      <c r="G11" s="66">
        <f t="shared" si="4"/>
        <v>0</v>
      </c>
      <c r="H11" s="68">
        <f t="shared" si="5"/>
        <v>5768</v>
      </c>
      <c r="I11" s="72">
        <f t="shared" si="6"/>
        <v>-40385.4</v>
      </c>
      <c r="J11" s="32">
        <f t="shared" si="0"/>
        <v>-357.90000000000146</v>
      </c>
      <c r="K11" s="20">
        <f t="shared" si="7"/>
        <v>46152</v>
      </c>
      <c r="L11" s="33">
        <v>3703</v>
      </c>
      <c r="M11" s="31">
        <v>0</v>
      </c>
      <c r="N11" s="32">
        <f t="shared" si="8"/>
        <v>450</v>
      </c>
      <c r="O11" s="84">
        <v>0.75</v>
      </c>
      <c r="P11" s="85">
        <v>0.75</v>
      </c>
      <c r="Q11" s="84">
        <v>0.65</v>
      </c>
      <c r="R11" s="85">
        <v>0.6</v>
      </c>
      <c r="S11" s="37">
        <f t="shared" si="9"/>
        <v>4375</v>
      </c>
      <c r="T11" s="122"/>
      <c r="U11" s="32">
        <f t="shared" si="10"/>
        <v>150</v>
      </c>
      <c r="V11" s="40">
        <v>5274</v>
      </c>
      <c r="W11" s="32">
        <f t="shared" si="1"/>
        <v>118</v>
      </c>
      <c r="X11" s="42">
        <v>61723</v>
      </c>
      <c r="Y11" s="14">
        <f t="shared" si="11"/>
        <v>6</v>
      </c>
      <c r="Z11" s="45">
        <v>0</v>
      </c>
      <c r="AA11" s="51"/>
      <c r="AB11" s="32" t="str">
        <f t="shared" si="12"/>
        <v>0</v>
      </c>
      <c r="AC11" s="13">
        <v>124</v>
      </c>
      <c r="AD11" s="18">
        <v>225</v>
      </c>
    </row>
    <row r="12" spans="1:30" ht="21.4" customHeight="1" x14ac:dyDescent="0.2">
      <c r="A12" s="19">
        <v>46153</v>
      </c>
      <c r="B12" s="10">
        <v>343398</v>
      </c>
      <c r="C12" s="14">
        <f t="shared" si="2"/>
        <v>3816</v>
      </c>
      <c r="D12" s="11">
        <v>1109415</v>
      </c>
      <c r="E12" s="14">
        <f t="shared" si="3"/>
        <v>1595</v>
      </c>
      <c r="F12" s="27">
        <v>1704</v>
      </c>
      <c r="G12" s="66">
        <f t="shared" si="4"/>
        <v>0</v>
      </c>
      <c r="H12" s="68">
        <f t="shared" si="5"/>
        <v>5411</v>
      </c>
      <c r="I12" s="72">
        <f t="shared" si="6"/>
        <v>-40743.300000000003</v>
      </c>
      <c r="J12" s="32">
        <f t="shared" si="0"/>
        <v>-44.279999999998836</v>
      </c>
      <c r="K12" s="20">
        <f t="shared" si="7"/>
        <v>46153</v>
      </c>
      <c r="L12" s="33">
        <v>3253</v>
      </c>
      <c r="M12" s="31">
        <v>0</v>
      </c>
      <c r="N12" s="32">
        <f t="shared" si="8"/>
        <v>446</v>
      </c>
      <c r="O12" s="84">
        <v>0.75</v>
      </c>
      <c r="P12" s="85">
        <v>0.72</v>
      </c>
      <c r="Q12" s="84">
        <v>0.55000000000000004</v>
      </c>
      <c r="R12" s="85">
        <v>0.55000000000000004</v>
      </c>
      <c r="S12" s="37">
        <f t="shared" si="9"/>
        <v>4225</v>
      </c>
      <c r="T12" s="122">
        <v>275</v>
      </c>
      <c r="U12" s="32">
        <f t="shared" si="10"/>
        <v>90</v>
      </c>
      <c r="V12" s="40">
        <v>5392</v>
      </c>
      <c r="W12" s="32">
        <f t="shared" si="1"/>
        <v>82</v>
      </c>
      <c r="X12" s="42">
        <v>61729</v>
      </c>
      <c r="Y12" s="14">
        <f t="shared" si="11"/>
        <v>6</v>
      </c>
      <c r="Z12" s="46">
        <v>0</v>
      </c>
      <c r="AA12" s="51"/>
      <c r="AB12" s="32" t="str">
        <f t="shared" si="12"/>
        <v>0</v>
      </c>
      <c r="AC12" s="13">
        <v>138</v>
      </c>
      <c r="AD12" s="18">
        <v>249</v>
      </c>
    </row>
    <row r="13" spans="1:30" ht="20.65" customHeight="1" x14ac:dyDescent="0.2">
      <c r="A13" s="19">
        <v>46154</v>
      </c>
      <c r="B13" s="10">
        <v>347214</v>
      </c>
      <c r="C13" s="14">
        <f t="shared" si="2"/>
        <v>4479</v>
      </c>
      <c r="D13" s="11">
        <v>1111010</v>
      </c>
      <c r="E13" s="14">
        <f t="shared" si="3"/>
        <v>889</v>
      </c>
      <c r="F13" s="27">
        <v>1704</v>
      </c>
      <c r="G13" s="66">
        <f t="shared" si="4"/>
        <v>0</v>
      </c>
      <c r="H13" s="68">
        <f t="shared" si="5"/>
        <v>5368</v>
      </c>
      <c r="I13" s="72">
        <f t="shared" si="6"/>
        <v>-40787.58</v>
      </c>
      <c r="J13" s="32">
        <f t="shared" si="0"/>
        <v>155.06000000000495</v>
      </c>
      <c r="K13" s="20">
        <f t="shared" si="7"/>
        <v>46154</v>
      </c>
      <c r="L13" s="33">
        <v>2807</v>
      </c>
      <c r="M13" s="31">
        <v>0</v>
      </c>
      <c r="N13" s="32">
        <f t="shared" si="8"/>
        <v>418</v>
      </c>
      <c r="O13" s="84">
        <v>0.71</v>
      </c>
      <c r="P13" s="85">
        <v>0.72</v>
      </c>
      <c r="Q13" s="84">
        <v>0.87</v>
      </c>
      <c r="R13" s="85">
        <v>0.8</v>
      </c>
      <c r="S13" s="37">
        <f t="shared" si="9"/>
        <v>4410</v>
      </c>
      <c r="T13" s="122"/>
      <c r="U13" s="32">
        <f t="shared" si="10"/>
        <v>75</v>
      </c>
      <c r="V13" s="40">
        <v>5474</v>
      </c>
      <c r="W13" s="32">
        <f t="shared" si="1"/>
        <v>99</v>
      </c>
      <c r="X13" s="42">
        <v>61735</v>
      </c>
      <c r="Y13" s="14">
        <f t="shared" si="11"/>
        <v>13</v>
      </c>
      <c r="Z13" s="46">
        <v>0</v>
      </c>
      <c r="AA13" s="51"/>
      <c r="AB13" s="32" t="str">
        <f t="shared" si="12"/>
        <v>0</v>
      </c>
      <c r="AC13" s="13">
        <v>165</v>
      </c>
      <c r="AD13" s="18">
        <v>298</v>
      </c>
    </row>
    <row r="14" spans="1:30" ht="20.65" customHeight="1" x14ac:dyDescent="0.2">
      <c r="A14" s="19">
        <v>46155</v>
      </c>
      <c r="B14" s="10">
        <v>351693</v>
      </c>
      <c r="C14" s="14">
        <f t="shared" si="2"/>
        <v>4129</v>
      </c>
      <c r="D14" s="11">
        <v>1111899</v>
      </c>
      <c r="E14" s="14">
        <f t="shared" ref="E14:E32" si="13">IF((D15-D14)&lt;0,"0",D15-D14)</f>
        <v>1395</v>
      </c>
      <c r="F14" s="27">
        <v>1704</v>
      </c>
      <c r="G14" s="66">
        <f t="shared" si="4"/>
        <v>0</v>
      </c>
      <c r="H14" s="68">
        <f t="shared" si="5"/>
        <v>5524</v>
      </c>
      <c r="I14" s="72">
        <f t="shared" si="6"/>
        <v>-40632.519999999997</v>
      </c>
      <c r="J14" s="32">
        <f t="shared" si="0"/>
        <v>482.0199999999968</v>
      </c>
      <c r="K14" s="20">
        <f t="shared" si="7"/>
        <v>46155</v>
      </c>
      <c r="L14" s="33">
        <v>2389</v>
      </c>
      <c r="M14" s="31">
        <v>0</v>
      </c>
      <c r="N14" s="32">
        <f t="shared" si="8"/>
        <v>450</v>
      </c>
      <c r="O14" s="84">
        <v>0.7</v>
      </c>
      <c r="P14" s="85">
        <v>0.72</v>
      </c>
      <c r="Q14" s="84">
        <v>0.82</v>
      </c>
      <c r="R14" s="85">
        <v>0.75</v>
      </c>
      <c r="S14" s="37">
        <f t="shared" si="9"/>
        <v>4335</v>
      </c>
      <c r="T14" s="122"/>
      <c r="U14" s="32">
        <f t="shared" si="10"/>
        <v>15</v>
      </c>
      <c r="V14" s="40">
        <v>5573</v>
      </c>
      <c r="W14" s="32">
        <f t="shared" si="1"/>
        <v>131</v>
      </c>
      <c r="X14" s="42">
        <v>61748</v>
      </c>
      <c r="Y14" s="14">
        <f t="shared" si="11"/>
        <v>8</v>
      </c>
      <c r="Z14" s="46">
        <v>0</v>
      </c>
      <c r="AA14" s="51"/>
      <c r="AB14" s="32" t="str">
        <f t="shared" si="12"/>
        <v>0</v>
      </c>
      <c r="AC14" s="13">
        <v>189</v>
      </c>
      <c r="AD14" s="18">
        <v>346</v>
      </c>
    </row>
    <row r="15" spans="1:30" ht="20.65" customHeight="1" x14ac:dyDescent="0.2">
      <c r="A15" s="19">
        <v>46156</v>
      </c>
      <c r="B15" s="10">
        <v>355822</v>
      </c>
      <c r="C15" s="14">
        <f t="shared" si="2"/>
        <v>5128</v>
      </c>
      <c r="D15" s="11">
        <v>1113294</v>
      </c>
      <c r="E15" s="14">
        <f t="shared" si="13"/>
        <v>879</v>
      </c>
      <c r="F15" s="27">
        <v>1704</v>
      </c>
      <c r="G15" s="66">
        <f t="shared" si="4"/>
        <v>0</v>
      </c>
      <c r="H15" s="68">
        <f t="shared" si="5"/>
        <v>6007</v>
      </c>
      <c r="I15" s="72">
        <f t="shared" si="6"/>
        <v>-40150.5</v>
      </c>
      <c r="J15" s="32">
        <f t="shared" si="0"/>
        <v>44.059999999997672</v>
      </c>
      <c r="K15" s="20">
        <f t="shared" si="7"/>
        <v>46156</v>
      </c>
      <c r="L15" s="33">
        <v>1939</v>
      </c>
      <c r="M15" s="31">
        <v>0</v>
      </c>
      <c r="N15" s="32">
        <f t="shared" si="8"/>
        <v>410</v>
      </c>
      <c r="O15" s="84">
        <v>0.7</v>
      </c>
      <c r="P15" s="85">
        <v>0.72</v>
      </c>
      <c r="Q15" s="84">
        <v>0.8</v>
      </c>
      <c r="R15" s="85">
        <v>0.74</v>
      </c>
      <c r="S15" s="37">
        <f t="shared" si="9"/>
        <v>4320</v>
      </c>
      <c r="T15" s="122"/>
      <c r="U15" s="32">
        <f t="shared" si="10"/>
        <v>140</v>
      </c>
      <c r="V15" s="40">
        <v>5704</v>
      </c>
      <c r="W15" s="32">
        <f t="shared" si="1"/>
        <v>133</v>
      </c>
      <c r="X15" s="43">
        <v>61756</v>
      </c>
      <c r="Y15" s="14">
        <f t="shared" si="11"/>
        <v>5</v>
      </c>
      <c r="Z15" s="46">
        <v>0</v>
      </c>
      <c r="AA15" s="51"/>
      <c r="AB15" s="32" t="str">
        <f t="shared" si="12"/>
        <v>0</v>
      </c>
      <c r="AC15" s="13">
        <v>198</v>
      </c>
      <c r="AD15" s="18">
        <v>369</v>
      </c>
    </row>
    <row r="16" spans="1:30" ht="20.65" customHeight="1" x14ac:dyDescent="0.2">
      <c r="A16" s="19">
        <v>46157</v>
      </c>
      <c r="B16" s="10">
        <v>360950</v>
      </c>
      <c r="C16" s="14">
        <f t="shared" si="2"/>
        <v>4655</v>
      </c>
      <c r="D16" s="11">
        <v>1114173</v>
      </c>
      <c r="E16" s="14">
        <f t="shared" si="13"/>
        <v>1397</v>
      </c>
      <c r="F16" s="27">
        <v>1704</v>
      </c>
      <c r="G16" s="66">
        <f t="shared" si="4"/>
        <v>0</v>
      </c>
      <c r="H16" s="68">
        <f t="shared" si="5"/>
        <v>6052</v>
      </c>
      <c r="I16" s="72">
        <f t="shared" si="6"/>
        <v>-40106.44</v>
      </c>
      <c r="J16" s="32">
        <f t="shared" si="0"/>
        <v>173.06000000000495</v>
      </c>
      <c r="K16" s="20">
        <f t="shared" si="7"/>
        <v>46157</v>
      </c>
      <c r="L16" s="33">
        <v>1529</v>
      </c>
      <c r="M16" s="31">
        <v>0</v>
      </c>
      <c r="N16" s="32">
        <f t="shared" si="8"/>
        <v>400</v>
      </c>
      <c r="O16" s="84">
        <v>0.68</v>
      </c>
      <c r="P16" s="85">
        <v>0.7</v>
      </c>
      <c r="Q16" s="84">
        <v>0.76</v>
      </c>
      <c r="R16" s="85">
        <v>0.7</v>
      </c>
      <c r="S16" s="37">
        <f t="shared" si="9"/>
        <v>4180</v>
      </c>
      <c r="T16" s="122"/>
      <c r="U16" s="32">
        <f t="shared" si="10"/>
        <v>104.99999999999955</v>
      </c>
      <c r="V16" s="40">
        <v>5837</v>
      </c>
      <c r="W16" s="32">
        <f t="shared" si="1"/>
        <v>116</v>
      </c>
      <c r="X16" s="43">
        <v>61761</v>
      </c>
      <c r="Y16" s="14">
        <f t="shared" si="11"/>
        <v>11</v>
      </c>
      <c r="Z16" s="46">
        <v>0</v>
      </c>
      <c r="AA16" s="51"/>
      <c r="AB16" s="32" t="str">
        <f t="shared" si="12"/>
        <v>0</v>
      </c>
      <c r="AC16" s="13">
        <v>191</v>
      </c>
      <c r="AD16" s="18">
        <v>362</v>
      </c>
    </row>
    <row r="17" spans="1:30" ht="20.65" customHeight="1" x14ac:dyDescent="0.2">
      <c r="A17" s="19">
        <v>46158</v>
      </c>
      <c r="B17" s="10">
        <v>365605</v>
      </c>
      <c r="C17" s="14">
        <f t="shared" si="2"/>
        <v>5521</v>
      </c>
      <c r="D17" s="11">
        <v>1115570</v>
      </c>
      <c r="E17" s="14">
        <f t="shared" si="13"/>
        <v>705</v>
      </c>
      <c r="F17" s="27">
        <v>1704</v>
      </c>
      <c r="G17" s="66">
        <f t="shared" si="4"/>
        <v>0</v>
      </c>
      <c r="H17" s="68">
        <f t="shared" si="5"/>
        <v>6226</v>
      </c>
      <c r="I17" s="72">
        <f t="shared" si="6"/>
        <v>-39933.379999999997</v>
      </c>
      <c r="J17" s="32">
        <f t="shared" si="0"/>
        <v>-496.92000000000553</v>
      </c>
      <c r="K17" s="20">
        <f t="shared" si="7"/>
        <v>46158</v>
      </c>
      <c r="L17" s="33">
        <v>1129</v>
      </c>
      <c r="M17" s="31">
        <v>0</v>
      </c>
      <c r="N17" s="32">
        <f t="shared" si="8"/>
        <v>310</v>
      </c>
      <c r="O17" s="84">
        <v>0.68</v>
      </c>
      <c r="P17" s="85">
        <v>0.68</v>
      </c>
      <c r="Q17" s="84">
        <v>0.7</v>
      </c>
      <c r="R17" s="85">
        <v>0.65</v>
      </c>
      <c r="S17" s="37">
        <f t="shared" si="9"/>
        <v>4075.0000000000005</v>
      </c>
      <c r="T17" s="122"/>
      <c r="U17" s="32">
        <f t="shared" si="10"/>
        <v>140.00000000000045</v>
      </c>
      <c r="V17" s="40">
        <v>5953</v>
      </c>
      <c r="W17" s="32">
        <v>0</v>
      </c>
      <c r="X17" s="43">
        <v>61772</v>
      </c>
      <c r="Y17" s="14">
        <f t="shared" si="11"/>
        <v>1</v>
      </c>
      <c r="Z17" s="46">
        <v>0</v>
      </c>
      <c r="AA17" s="51"/>
      <c r="AB17" s="32" t="str">
        <f t="shared" si="12"/>
        <v>0</v>
      </c>
      <c r="AC17" s="13">
        <v>209</v>
      </c>
      <c r="AD17" s="18">
        <v>396</v>
      </c>
    </row>
    <row r="18" spans="1:30" ht="20.65" customHeight="1" x14ac:dyDescent="0.2">
      <c r="A18" s="19">
        <v>46159</v>
      </c>
      <c r="B18" s="10">
        <v>371126</v>
      </c>
      <c r="C18" s="14">
        <f t="shared" si="2"/>
        <v>5294</v>
      </c>
      <c r="D18" s="11">
        <v>1116275</v>
      </c>
      <c r="E18" s="14">
        <f t="shared" si="13"/>
        <v>436</v>
      </c>
      <c r="F18" s="27">
        <v>1704</v>
      </c>
      <c r="G18" s="66">
        <f t="shared" si="4"/>
        <v>0</v>
      </c>
      <c r="H18" s="68">
        <f t="shared" si="5"/>
        <v>5730</v>
      </c>
      <c r="I18" s="72">
        <f t="shared" si="6"/>
        <v>-40430.300000000003</v>
      </c>
      <c r="J18" s="32">
        <f t="shared" si="0"/>
        <v>-7921.929999999993</v>
      </c>
      <c r="K18" s="20">
        <f t="shared" si="7"/>
        <v>46159</v>
      </c>
      <c r="L18" s="33">
        <v>819</v>
      </c>
      <c r="M18" s="31">
        <v>0</v>
      </c>
      <c r="N18" s="32">
        <f t="shared" si="8"/>
        <v>330</v>
      </c>
      <c r="O18" s="84">
        <v>0.68</v>
      </c>
      <c r="P18" s="85">
        <v>0.65</v>
      </c>
      <c r="Q18" s="84">
        <v>0.62</v>
      </c>
      <c r="R18" s="85">
        <v>0.6</v>
      </c>
      <c r="S18" s="37">
        <f t="shared" si="9"/>
        <v>3935</v>
      </c>
      <c r="T18" s="122"/>
      <c r="U18" s="32">
        <f t="shared" si="10"/>
        <v>105</v>
      </c>
      <c r="V18" s="40">
        <v>6063</v>
      </c>
      <c r="W18" s="32">
        <f t="shared" si="1"/>
        <v>108</v>
      </c>
      <c r="X18" s="43">
        <v>61773</v>
      </c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>
        <v>182</v>
      </c>
      <c r="AD18" s="18">
        <v>344</v>
      </c>
    </row>
    <row r="19" spans="1:30" ht="20.65" customHeight="1" x14ac:dyDescent="0.2">
      <c r="A19" s="19">
        <v>46160</v>
      </c>
      <c r="B19" s="10">
        <v>376420</v>
      </c>
      <c r="C19" s="14">
        <f t="shared" si="2"/>
        <v>4213</v>
      </c>
      <c r="D19" s="11">
        <v>1116711</v>
      </c>
      <c r="E19" s="14">
        <f t="shared" si="13"/>
        <v>1596</v>
      </c>
      <c r="F19" s="27">
        <v>1704</v>
      </c>
      <c r="G19" s="66">
        <f t="shared" si="4"/>
        <v>0</v>
      </c>
      <c r="H19" s="68">
        <f t="shared" si="5"/>
        <v>5809</v>
      </c>
      <c r="I19" s="72">
        <f t="shared" si="6"/>
        <v>-48352.229999999996</v>
      </c>
      <c r="J19" s="32">
        <f t="shared" si="0"/>
        <v>7847.5499999999956</v>
      </c>
      <c r="K19" s="20">
        <f t="shared" si="7"/>
        <v>46160</v>
      </c>
      <c r="L19" s="33">
        <v>489</v>
      </c>
      <c r="M19" s="34">
        <v>8000</v>
      </c>
      <c r="N19" s="32">
        <f t="shared" si="8"/>
        <v>300</v>
      </c>
      <c r="O19" s="84">
        <v>0.67</v>
      </c>
      <c r="P19" s="85">
        <v>0.64</v>
      </c>
      <c r="Q19" s="84">
        <v>0.56000000000000005</v>
      </c>
      <c r="R19" s="85">
        <v>0.55000000000000004</v>
      </c>
      <c r="S19" s="37">
        <f t="shared" si="9"/>
        <v>3830</v>
      </c>
      <c r="T19" s="122">
        <v>1211</v>
      </c>
      <c r="U19" s="32">
        <f t="shared" si="10"/>
        <v>131</v>
      </c>
      <c r="V19" s="40">
        <v>6171</v>
      </c>
      <c r="W19" s="32">
        <f t="shared" si="1"/>
        <v>89</v>
      </c>
      <c r="X19" s="43">
        <v>61773</v>
      </c>
      <c r="Y19" s="14">
        <f t="shared" si="11"/>
        <v>9</v>
      </c>
      <c r="Z19" s="46">
        <v>0</v>
      </c>
      <c r="AA19" s="51"/>
      <c r="AB19" s="32" t="str">
        <f t="shared" si="12"/>
        <v>0</v>
      </c>
      <c r="AC19" s="13">
        <v>175</v>
      </c>
      <c r="AD19" s="18">
        <v>329</v>
      </c>
    </row>
    <row r="20" spans="1:30" ht="20.65" customHeight="1" x14ac:dyDescent="0.2">
      <c r="A20" s="19">
        <v>46161</v>
      </c>
      <c r="B20" s="10">
        <v>380633</v>
      </c>
      <c r="C20" s="14">
        <f t="shared" si="2"/>
        <v>4494</v>
      </c>
      <c r="D20" s="11">
        <v>1118307</v>
      </c>
      <c r="E20" s="14">
        <f t="shared" si="13"/>
        <v>1164</v>
      </c>
      <c r="F20" s="27">
        <v>1704</v>
      </c>
      <c r="G20" s="66">
        <f t="shared" si="4"/>
        <v>0</v>
      </c>
      <c r="H20" s="68">
        <f t="shared" si="5"/>
        <v>5658</v>
      </c>
      <c r="I20" s="72">
        <f t="shared" si="6"/>
        <v>-40504.68</v>
      </c>
      <c r="J20" s="32">
        <f t="shared" si="0"/>
        <v>542.08999999999651</v>
      </c>
      <c r="K20" s="20">
        <f t="shared" si="7"/>
        <v>46161</v>
      </c>
      <c r="L20" s="33">
        <v>8189</v>
      </c>
      <c r="M20" s="34">
        <v>0</v>
      </c>
      <c r="N20" s="32">
        <f t="shared" si="8"/>
        <v>286</v>
      </c>
      <c r="O20" s="84">
        <v>0.83</v>
      </c>
      <c r="P20" s="85">
        <v>0.81</v>
      </c>
      <c r="Q20" s="84">
        <v>0.85</v>
      </c>
      <c r="R20" s="85">
        <v>0.77</v>
      </c>
      <c r="S20" s="37">
        <f t="shared" si="9"/>
        <v>4910</v>
      </c>
      <c r="T20" s="122"/>
      <c r="U20" s="32">
        <f t="shared" ref="U20:U27" si="14">IF((S20-S21+T20)=S20,"0",(S20-S21+T20))</f>
        <v>140</v>
      </c>
      <c r="V20" s="40">
        <v>6260</v>
      </c>
      <c r="W20" s="32">
        <f t="shared" si="1"/>
        <v>106</v>
      </c>
      <c r="X20" s="43">
        <v>61782</v>
      </c>
      <c r="Y20" s="14">
        <f t="shared" ref="Y20:Y24" si="15">IF((X21-X20)&lt;0,"0",X21-X20)</f>
        <v>25</v>
      </c>
      <c r="Z20" s="46">
        <v>0</v>
      </c>
      <c r="AA20" s="51"/>
      <c r="AB20" s="32" t="str">
        <f t="shared" si="12"/>
        <v>0</v>
      </c>
      <c r="AC20" s="13">
        <v>171</v>
      </c>
      <c r="AD20" s="18">
        <v>322</v>
      </c>
    </row>
    <row r="21" spans="1:30" ht="20.65" customHeight="1" x14ac:dyDescent="0.2">
      <c r="A21" s="19">
        <v>46162</v>
      </c>
      <c r="B21" s="10">
        <v>385127</v>
      </c>
      <c r="C21" s="14">
        <f t="shared" si="2"/>
        <v>4832</v>
      </c>
      <c r="D21" s="11">
        <v>1119471</v>
      </c>
      <c r="E21" s="14">
        <f t="shared" si="13"/>
        <v>1369</v>
      </c>
      <c r="F21" s="27">
        <v>1704</v>
      </c>
      <c r="G21" s="66">
        <f t="shared" si="4"/>
        <v>0</v>
      </c>
      <c r="H21" s="68">
        <f t="shared" si="5"/>
        <v>6201</v>
      </c>
      <c r="I21" s="72">
        <f t="shared" si="6"/>
        <v>-39962.590000000004</v>
      </c>
      <c r="J21" s="32">
        <f t="shared" si="0"/>
        <v>-314.98999999999796</v>
      </c>
      <c r="K21" s="20">
        <f t="shared" si="7"/>
        <v>46162</v>
      </c>
      <c r="L21" s="33">
        <v>7903</v>
      </c>
      <c r="M21" s="34">
        <v>0</v>
      </c>
      <c r="N21" s="32">
        <f t="shared" si="8"/>
        <v>251</v>
      </c>
      <c r="O21" s="84">
        <v>0.79</v>
      </c>
      <c r="P21" s="85">
        <v>0.81</v>
      </c>
      <c r="Q21" s="84">
        <v>0.8</v>
      </c>
      <c r="R21" s="85">
        <v>0.74</v>
      </c>
      <c r="S21" s="37">
        <f t="shared" si="9"/>
        <v>4770</v>
      </c>
      <c r="T21" s="122"/>
      <c r="U21" s="32">
        <f t="shared" si="14"/>
        <v>25</v>
      </c>
      <c r="V21" s="40">
        <v>6366</v>
      </c>
      <c r="W21" s="32">
        <f t="shared" si="1"/>
        <v>106</v>
      </c>
      <c r="X21" s="43">
        <v>61807</v>
      </c>
      <c r="Y21" s="14">
        <f t="shared" si="15"/>
        <v>24</v>
      </c>
      <c r="Z21" s="46">
        <v>0</v>
      </c>
      <c r="AA21" s="51"/>
      <c r="AB21" s="32" t="str">
        <f t="shared" si="12"/>
        <v>0</v>
      </c>
      <c r="AC21" s="13">
        <v>174</v>
      </c>
      <c r="AD21" s="18">
        <v>330</v>
      </c>
    </row>
    <row r="22" spans="1:30" ht="20.65" customHeight="1" x14ac:dyDescent="0.2">
      <c r="A22" s="19">
        <v>46163</v>
      </c>
      <c r="B22" s="10">
        <v>389959</v>
      </c>
      <c r="C22" s="14">
        <f t="shared" si="2"/>
        <v>4317</v>
      </c>
      <c r="D22" s="11">
        <v>1120840</v>
      </c>
      <c r="E22" s="14">
        <f t="shared" si="13"/>
        <v>1570</v>
      </c>
      <c r="F22" s="27">
        <v>1704</v>
      </c>
      <c r="G22" s="66">
        <f t="shared" si="4"/>
        <v>0</v>
      </c>
      <c r="H22" s="68">
        <f t="shared" si="5"/>
        <v>5887</v>
      </c>
      <c r="I22" s="72">
        <f t="shared" si="6"/>
        <v>-40277.58</v>
      </c>
      <c r="J22" s="32">
        <f t="shared" si="0"/>
        <v>296.09000000000378</v>
      </c>
      <c r="K22" s="20">
        <f t="shared" si="7"/>
        <v>46163</v>
      </c>
      <c r="L22" s="33">
        <v>7652</v>
      </c>
      <c r="M22" s="34">
        <v>0</v>
      </c>
      <c r="N22" s="32">
        <f t="shared" si="8"/>
        <v>243</v>
      </c>
      <c r="O22" s="84">
        <v>0.79</v>
      </c>
      <c r="P22" s="85">
        <v>0.81</v>
      </c>
      <c r="Q22" s="84">
        <v>0.79</v>
      </c>
      <c r="R22" s="85">
        <v>0.7</v>
      </c>
      <c r="S22" s="37">
        <f t="shared" si="9"/>
        <v>4745</v>
      </c>
      <c r="T22" s="122"/>
      <c r="U22" s="32">
        <f t="shared" si="14"/>
        <v>145</v>
      </c>
      <c r="V22" s="40">
        <v>6472</v>
      </c>
      <c r="W22" s="32">
        <f t="shared" si="1"/>
        <v>119</v>
      </c>
      <c r="X22" s="43">
        <v>61831</v>
      </c>
      <c r="Y22" s="14">
        <f t="shared" si="15"/>
        <v>15</v>
      </c>
      <c r="Z22" s="46">
        <v>0</v>
      </c>
      <c r="AA22" s="51"/>
      <c r="AB22" s="32" t="str">
        <f t="shared" si="12"/>
        <v>0</v>
      </c>
      <c r="AC22" s="13">
        <v>179</v>
      </c>
      <c r="AD22" s="18">
        <v>348</v>
      </c>
    </row>
    <row r="23" spans="1:30" ht="20.65" customHeight="1" x14ac:dyDescent="0.2">
      <c r="A23" s="19">
        <v>46164</v>
      </c>
      <c r="B23" s="10">
        <v>394276</v>
      </c>
      <c r="C23" s="14">
        <f t="shared" si="2"/>
        <v>5431</v>
      </c>
      <c r="D23" s="11">
        <v>1122410</v>
      </c>
      <c r="E23" s="14">
        <f t="shared" si="13"/>
        <v>753</v>
      </c>
      <c r="F23" s="27">
        <v>1704</v>
      </c>
      <c r="G23" s="66">
        <f t="shared" si="4"/>
        <v>0</v>
      </c>
      <c r="H23" s="68">
        <f t="shared" si="5"/>
        <v>6184</v>
      </c>
      <c r="I23" s="72">
        <f t="shared" si="6"/>
        <v>-39981.49</v>
      </c>
      <c r="J23" s="32">
        <f t="shared" si="0"/>
        <v>-346.93000000000029</v>
      </c>
      <c r="K23" s="20">
        <f t="shared" si="7"/>
        <v>46164</v>
      </c>
      <c r="L23" s="33">
        <v>7409</v>
      </c>
      <c r="M23" s="34">
        <v>0</v>
      </c>
      <c r="N23" s="32">
        <f t="shared" si="8"/>
        <v>363</v>
      </c>
      <c r="O23" s="84">
        <v>0.79</v>
      </c>
      <c r="P23" s="85">
        <v>0.78</v>
      </c>
      <c r="Q23" s="84">
        <v>0.7</v>
      </c>
      <c r="R23" s="85">
        <v>0.65</v>
      </c>
      <c r="S23" s="37">
        <f t="shared" si="9"/>
        <v>4600</v>
      </c>
      <c r="T23" s="122"/>
      <c r="U23" s="32">
        <f t="shared" si="14"/>
        <v>50</v>
      </c>
      <c r="V23" s="40">
        <v>6591</v>
      </c>
      <c r="W23" s="32">
        <f t="shared" si="1"/>
        <v>115</v>
      </c>
      <c r="X23" s="43">
        <v>61846</v>
      </c>
      <c r="Y23" s="14">
        <f t="shared" si="15"/>
        <v>21</v>
      </c>
      <c r="Z23" s="46">
        <v>0</v>
      </c>
      <c r="AA23" s="51"/>
      <c r="AB23" s="32" t="str">
        <f t="shared" si="12"/>
        <v>0</v>
      </c>
      <c r="AC23" s="13">
        <v>184</v>
      </c>
      <c r="AD23" s="18">
        <v>374</v>
      </c>
    </row>
    <row r="24" spans="1:30" ht="20.65" customHeight="1" x14ac:dyDescent="0.2">
      <c r="A24" s="19">
        <v>46165</v>
      </c>
      <c r="B24" s="10">
        <v>399707</v>
      </c>
      <c r="C24" s="14">
        <f t="shared" si="2"/>
        <v>4551</v>
      </c>
      <c r="D24" s="11">
        <v>1123163</v>
      </c>
      <c r="E24" s="14">
        <f t="shared" si="13"/>
        <v>1287</v>
      </c>
      <c r="F24" s="27">
        <v>1704</v>
      </c>
      <c r="G24" s="66">
        <f t="shared" si="4"/>
        <v>0</v>
      </c>
      <c r="H24" s="68">
        <f t="shared" si="5"/>
        <v>5838</v>
      </c>
      <c r="I24" s="72">
        <f t="shared" si="6"/>
        <v>-40328.42</v>
      </c>
      <c r="J24" s="32">
        <f t="shared" si="0"/>
        <v>465.05999999999767</v>
      </c>
      <c r="K24" s="20">
        <f t="shared" si="7"/>
        <v>46165</v>
      </c>
      <c r="L24" s="33">
        <v>7046</v>
      </c>
      <c r="M24" s="34">
        <v>0</v>
      </c>
      <c r="N24" s="32">
        <f t="shared" si="8"/>
        <v>371</v>
      </c>
      <c r="O24" s="84">
        <v>0.77</v>
      </c>
      <c r="P24" s="85">
        <v>0.8</v>
      </c>
      <c r="Q24" s="84">
        <v>0.65</v>
      </c>
      <c r="R24" s="85">
        <v>0.6</v>
      </c>
      <c r="S24" s="37">
        <f t="shared" si="9"/>
        <v>4550</v>
      </c>
      <c r="T24" s="122"/>
      <c r="U24" s="32">
        <f t="shared" si="14"/>
        <v>145</v>
      </c>
      <c r="V24" s="40">
        <v>6706</v>
      </c>
      <c r="W24" s="32">
        <f t="shared" si="1"/>
        <v>97</v>
      </c>
      <c r="X24" s="43">
        <v>61867</v>
      </c>
      <c r="Y24" s="14">
        <f t="shared" si="15"/>
        <v>21</v>
      </c>
      <c r="Z24" s="46">
        <v>0</v>
      </c>
      <c r="AA24" s="51"/>
      <c r="AB24" s="32" t="str">
        <f t="shared" si="12"/>
        <v>0</v>
      </c>
      <c r="AC24" s="13">
        <v>188</v>
      </c>
      <c r="AD24" s="18">
        <v>387</v>
      </c>
    </row>
    <row r="25" spans="1:30" ht="20.65" customHeight="1" x14ac:dyDescent="0.2">
      <c r="A25" s="19">
        <v>46166</v>
      </c>
      <c r="B25" s="10">
        <v>404258</v>
      </c>
      <c r="C25" s="14">
        <f t="shared" si="2"/>
        <v>5600</v>
      </c>
      <c r="D25" s="11">
        <v>1124450</v>
      </c>
      <c r="E25" s="14">
        <f t="shared" si="13"/>
        <v>704</v>
      </c>
      <c r="F25" s="27">
        <v>1704</v>
      </c>
      <c r="G25" s="66">
        <f t="shared" si="4"/>
        <v>0</v>
      </c>
      <c r="H25" s="68">
        <f t="shared" si="5"/>
        <v>6304</v>
      </c>
      <c r="I25" s="72">
        <f t="shared" si="6"/>
        <v>-39863.360000000001</v>
      </c>
      <c r="J25" s="32">
        <f t="shared" si="0"/>
        <v>-358.94000000000233</v>
      </c>
      <c r="K25" s="20">
        <f t="shared" si="7"/>
        <v>46166</v>
      </c>
      <c r="L25" s="33">
        <v>6675</v>
      </c>
      <c r="M25" s="34">
        <v>0</v>
      </c>
      <c r="N25" s="32">
        <f t="shared" si="8"/>
        <v>454</v>
      </c>
      <c r="O25" s="84">
        <v>0.76</v>
      </c>
      <c r="P25" s="85">
        <v>0.77</v>
      </c>
      <c r="Q25" s="84">
        <v>0.6</v>
      </c>
      <c r="R25" s="85">
        <v>0.56000000000000005</v>
      </c>
      <c r="S25" s="37">
        <f t="shared" si="9"/>
        <v>4405</v>
      </c>
      <c r="T25" s="122"/>
      <c r="U25" s="32">
        <f t="shared" si="14"/>
        <v>105</v>
      </c>
      <c r="V25" s="40">
        <v>6803</v>
      </c>
      <c r="W25" s="32">
        <f t="shared" si="1"/>
        <v>106</v>
      </c>
      <c r="X25" s="43">
        <v>61888</v>
      </c>
      <c r="Y25" s="14">
        <f>IF((X26-X25)&lt;0,"0",X26-X25)</f>
        <v>21</v>
      </c>
      <c r="Z25" s="46">
        <v>0</v>
      </c>
      <c r="AA25" s="51"/>
      <c r="AB25" s="32" t="str">
        <f t="shared" si="12"/>
        <v>0</v>
      </c>
      <c r="AC25" s="13">
        <v>209</v>
      </c>
      <c r="AD25" s="18">
        <v>419</v>
      </c>
    </row>
    <row r="26" spans="1:30" ht="20.65" customHeight="1" x14ac:dyDescent="0.2">
      <c r="A26" s="19">
        <v>46167</v>
      </c>
      <c r="B26" s="10">
        <v>409858</v>
      </c>
      <c r="C26" s="14">
        <f t="shared" si="2"/>
        <v>4309</v>
      </c>
      <c r="D26" s="11">
        <v>1125154</v>
      </c>
      <c r="E26" s="14">
        <f t="shared" si="13"/>
        <v>1637</v>
      </c>
      <c r="F26" s="27">
        <v>1704</v>
      </c>
      <c r="G26" s="66">
        <f t="shared" si="4"/>
        <v>0</v>
      </c>
      <c r="H26" s="68">
        <f t="shared" si="5"/>
        <v>5946</v>
      </c>
      <c r="I26" s="72">
        <f t="shared" si="6"/>
        <v>-40222.300000000003</v>
      </c>
      <c r="J26" s="32">
        <f t="shared" si="0"/>
        <v>593.57000000000698</v>
      </c>
      <c r="K26" s="20">
        <f t="shared" si="7"/>
        <v>46167</v>
      </c>
      <c r="L26" s="33">
        <v>6221</v>
      </c>
      <c r="M26" s="34">
        <v>0</v>
      </c>
      <c r="N26" s="32">
        <f t="shared" si="8"/>
        <v>351</v>
      </c>
      <c r="O26" s="84">
        <v>0.75</v>
      </c>
      <c r="P26" s="85">
        <v>0.75</v>
      </c>
      <c r="Q26" s="84">
        <v>0.55000000000000004</v>
      </c>
      <c r="R26" s="85">
        <v>0.55000000000000004</v>
      </c>
      <c r="S26" s="37">
        <f t="shared" si="9"/>
        <v>4300</v>
      </c>
      <c r="T26" s="122">
        <v>776</v>
      </c>
      <c r="U26" s="32">
        <f t="shared" si="14"/>
        <v>51</v>
      </c>
      <c r="V26" s="40">
        <v>6909</v>
      </c>
      <c r="W26" s="32">
        <f t="shared" si="1"/>
        <v>129</v>
      </c>
      <c r="X26" s="43">
        <v>61909</v>
      </c>
      <c r="Y26" s="14">
        <f>IF((X27-X26)&lt;0,"0",X27-X26)</f>
        <v>17</v>
      </c>
      <c r="Z26" s="46">
        <v>0</v>
      </c>
      <c r="AA26" s="51"/>
      <c r="AB26" s="32" t="str">
        <f t="shared" si="12"/>
        <v>0</v>
      </c>
      <c r="AC26" s="13">
        <v>201</v>
      </c>
      <c r="AD26" s="18">
        <v>422</v>
      </c>
    </row>
    <row r="27" spans="1:30" ht="20.65" customHeight="1" x14ac:dyDescent="0.2">
      <c r="A27" s="19">
        <v>46168</v>
      </c>
      <c r="B27" s="10">
        <v>414167</v>
      </c>
      <c r="C27" s="14">
        <f t="shared" si="2"/>
        <v>4884</v>
      </c>
      <c r="D27" s="11">
        <v>1126791</v>
      </c>
      <c r="E27" s="14">
        <f t="shared" si="13"/>
        <v>1657</v>
      </c>
      <c r="F27" s="27">
        <v>1704</v>
      </c>
      <c r="G27" s="66">
        <f t="shared" si="4"/>
        <v>0</v>
      </c>
      <c r="H27" s="68">
        <f t="shared" si="5"/>
        <v>6541</v>
      </c>
      <c r="I27" s="72">
        <f t="shared" si="6"/>
        <v>-39628.729999999996</v>
      </c>
      <c r="J27" s="32">
        <f t="shared" si="0"/>
        <v>-70.950000000004366</v>
      </c>
      <c r="K27" s="20">
        <f t="shared" si="7"/>
        <v>46168</v>
      </c>
      <c r="L27" s="33">
        <v>5870</v>
      </c>
      <c r="M27" s="34">
        <v>0</v>
      </c>
      <c r="N27" s="32">
        <f t="shared" si="8"/>
        <v>255</v>
      </c>
      <c r="O27" s="84">
        <v>0.85</v>
      </c>
      <c r="P27" s="85">
        <v>0.82</v>
      </c>
      <c r="Q27" s="84">
        <v>0.88</v>
      </c>
      <c r="R27" s="85">
        <v>0.82</v>
      </c>
      <c r="S27" s="37">
        <f t="shared" si="9"/>
        <v>5025</v>
      </c>
      <c r="T27" s="122"/>
      <c r="U27" s="32">
        <f t="shared" si="14"/>
        <v>100</v>
      </c>
      <c r="V27" s="40">
        <v>7038</v>
      </c>
      <c r="W27" s="32">
        <f t="shared" si="1"/>
        <v>158</v>
      </c>
      <c r="X27" s="43">
        <v>61926</v>
      </c>
      <c r="Y27" s="14">
        <f t="shared" ref="Y27:Y32" si="16">IF((X28-X27)&lt;0,"0",X28-X27)</f>
        <v>19</v>
      </c>
      <c r="Z27" s="46">
        <v>0</v>
      </c>
      <c r="AA27" s="51"/>
      <c r="AB27" s="32" t="str">
        <f t="shared" si="12"/>
        <v>0</v>
      </c>
      <c r="AC27" s="13">
        <v>191</v>
      </c>
      <c r="AD27" s="18">
        <v>406</v>
      </c>
    </row>
    <row r="28" spans="1:30" ht="20.65" customHeight="1" x14ac:dyDescent="0.2">
      <c r="A28" s="19">
        <v>46169</v>
      </c>
      <c r="B28" s="10">
        <v>419051</v>
      </c>
      <c r="C28" s="14">
        <f t="shared" si="2"/>
        <v>4825</v>
      </c>
      <c r="D28" s="11">
        <v>1128448</v>
      </c>
      <c r="E28" s="14">
        <f t="shared" si="13"/>
        <v>1646</v>
      </c>
      <c r="F28" s="27">
        <v>1704</v>
      </c>
      <c r="G28" s="66">
        <f t="shared" si="4"/>
        <v>0</v>
      </c>
      <c r="H28" s="68">
        <f t="shared" ref="H28" si="17">C28+E28-G28</f>
        <v>6471</v>
      </c>
      <c r="I28" s="72">
        <f t="shared" ref="I28" si="18">H28-K28-M28-O28-Q28</f>
        <v>-39699.68</v>
      </c>
      <c r="J28" s="32">
        <f t="shared" si="0"/>
        <v>411.05999999999767</v>
      </c>
      <c r="K28" s="20">
        <f t="shared" ref="K28" si="19">A28</f>
        <v>46169</v>
      </c>
      <c r="L28" s="33">
        <v>5615</v>
      </c>
      <c r="M28" s="34">
        <v>0</v>
      </c>
      <c r="N28" s="32">
        <f t="shared" si="8"/>
        <v>242</v>
      </c>
      <c r="O28" s="84">
        <v>0.83</v>
      </c>
      <c r="P28" s="85">
        <v>0.82</v>
      </c>
      <c r="Q28" s="84">
        <v>0.85</v>
      </c>
      <c r="R28" s="85">
        <v>0.75</v>
      </c>
      <c r="S28" s="37">
        <f t="shared" ref="S28" si="20">(2500*O28)+(2500*P28)+(500*Q28)+(500*R28)</f>
        <v>4925</v>
      </c>
      <c r="T28" s="122"/>
      <c r="U28" s="32">
        <f t="shared" ref="U28" si="21">IF((S28-S29+T28)=S28,"0",(S28-S29+T28))</f>
        <v>125</v>
      </c>
      <c r="V28" s="40">
        <v>7196</v>
      </c>
      <c r="W28" s="32">
        <f t="shared" si="1"/>
        <v>115</v>
      </c>
      <c r="X28" s="43">
        <v>61945</v>
      </c>
      <c r="Y28" s="14">
        <f t="shared" si="16"/>
        <v>24</v>
      </c>
      <c r="Z28" s="46">
        <v>0</v>
      </c>
      <c r="AA28" s="51"/>
      <c r="AB28" s="32" t="str">
        <f t="shared" si="12"/>
        <v>0</v>
      </c>
      <c r="AC28" s="13">
        <v>202</v>
      </c>
      <c r="AD28" s="18">
        <v>427</v>
      </c>
    </row>
    <row r="29" spans="1:30" ht="20.65" customHeight="1" x14ac:dyDescent="0.2">
      <c r="A29" s="19">
        <v>46170</v>
      </c>
      <c r="B29" s="10">
        <v>423876</v>
      </c>
      <c r="C29" s="14">
        <f t="shared" si="2"/>
        <v>5399</v>
      </c>
      <c r="D29" s="11">
        <v>1130094</v>
      </c>
      <c r="E29" s="14">
        <f t="shared" si="13"/>
        <v>1484</v>
      </c>
      <c r="F29" s="27">
        <v>1704</v>
      </c>
      <c r="G29" s="66">
        <f t="shared" si="4"/>
        <v>0</v>
      </c>
      <c r="H29" s="68">
        <f t="shared" si="5"/>
        <v>6883</v>
      </c>
      <c r="I29" s="72">
        <f t="shared" si="6"/>
        <v>-39288.620000000003</v>
      </c>
      <c r="J29" s="32">
        <f t="shared" si="0"/>
        <v>-331.93999999999505</v>
      </c>
      <c r="K29" s="20">
        <f t="shared" si="7"/>
        <v>46170</v>
      </c>
      <c r="L29" s="33">
        <v>5373</v>
      </c>
      <c r="M29" s="34">
        <v>0</v>
      </c>
      <c r="N29" s="32">
        <f t="shared" si="8"/>
        <v>223</v>
      </c>
      <c r="O29" s="84">
        <v>0.8</v>
      </c>
      <c r="P29" s="85">
        <v>0.81</v>
      </c>
      <c r="Q29" s="84">
        <v>0.82</v>
      </c>
      <c r="R29" s="85">
        <v>0.73</v>
      </c>
      <c r="S29" s="37">
        <f t="shared" si="9"/>
        <v>4800</v>
      </c>
      <c r="T29" s="122"/>
      <c r="U29" s="32">
        <f t="shared" ref="U29:U31" si="22">IF((S29-S30+T29)=S29,"0",(S29-S30+T29))</f>
        <v>95</v>
      </c>
      <c r="V29" s="40">
        <v>7311</v>
      </c>
      <c r="W29" s="32">
        <f t="shared" si="1"/>
        <v>108</v>
      </c>
      <c r="X29" s="43">
        <v>61969</v>
      </c>
      <c r="Y29" s="14">
        <f t="shared" si="16"/>
        <v>8</v>
      </c>
      <c r="Z29" s="46">
        <v>0</v>
      </c>
      <c r="AA29" s="51"/>
      <c r="AB29" s="32" t="str">
        <f t="shared" si="12"/>
        <v>0</v>
      </c>
      <c r="AC29" s="13">
        <v>194</v>
      </c>
      <c r="AD29" s="18">
        <v>406</v>
      </c>
    </row>
    <row r="30" spans="1:30" ht="20.65" customHeight="1" x14ac:dyDescent="0.2">
      <c r="A30" s="19">
        <v>46171</v>
      </c>
      <c r="B30" s="10">
        <v>429275</v>
      </c>
      <c r="C30" s="14">
        <f t="shared" si="2"/>
        <v>5004</v>
      </c>
      <c r="D30" s="11">
        <v>1131578</v>
      </c>
      <c r="E30" s="14">
        <f t="shared" si="13"/>
        <v>1548</v>
      </c>
      <c r="F30" s="27">
        <v>1704</v>
      </c>
      <c r="G30" s="66">
        <f t="shared" si="4"/>
        <v>0</v>
      </c>
      <c r="H30" s="68">
        <f t="shared" ref="H30:H31" si="23">C30+E30-G30</f>
        <v>6552</v>
      </c>
      <c r="I30" s="72">
        <f t="shared" ref="I30:I31" si="24">H30-K30-M30-O30-Q30</f>
        <v>-39620.559999999998</v>
      </c>
      <c r="J30" s="32">
        <f t="shared" si="0"/>
        <v>279.09999999999854</v>
      </c>
      <c r="K30" s="20">
        <f t="shared" ref="K30:K31" si="25">A30</f>
        <v>46171</v>
      </c>
      <c r="L30" s="33">
        <v>5150</v>
      </c>
      <c r="M30" s="34">
        <v>0</v>
      </c>
      <c r="N30" s="32">
        <f t="shared" si="8"/>
        <v>208</v>
      </c>
      <c r="O30" s="84">
        <v>0.79</v>
      </c>
      <c r="P30" s="85">
        <v>0.8</v>
      </c>
      <c r="Q30" s="84">
        <v>0.77</v>
      </c>
      <c r="R30" s="85">
        <v>0.69</v>
      </c>
      <c r="S30" s="37">
        <f t="shared" ref="S30:S31" si="26">(2500*O30)+(2500*P30)+(500*Q30)+(500*R30)</f>
        <v>4705</v>
      </c>
      <c r="T30" s="122"/>
      <c r="U30" s="32">
        <f t="shared" si="22"/>
        <v>160</v>
      </c>
      <c r="V30" s="40">
        <v>7419</v>
      </c>
      <c r="W30" s="32">
        <f t="shared" si="1"/>
        <v>127</v>
      </c>
      <c r="X30" s="43">
        <v>61977</v>
      </c>
      <c r="Y30" s="14">
        <f t="shared" si="16"/>
        <v>6</v>
      </c>
      <c r="Z30" s="46">
        <v>0</v>
      </c>
      <c r="AA30" s="51"/>
      <c r="AB30" s="32" t="str">
        <f t="shared" si="12"/>
        <v>0</v>
      </c>
      <c r="AC30" s="13">
        <v>209</v>
      </c>
      <c r="AD30" s="18">
        <v>433</v>
      </c>
    </row>
    <row r="31" spans="1:30" ht="20.65" customHeight="1" x14ac:dyDescent="0.2">
      <c r="A31" s="19">
        <v>46172</v>
      </c>
      <c r="B31" s="10">
        <v>434279</v>
      </c>
      <c r="C31" s="14">
        <f t="shared" si="2"/>
        <v>5139</v>
      </c>
      <c r="D31" s="11">
        <v>1133126</v>
      </c>
      <c r="E31" s="14">
        <f t="shared" si="13"/>
        <v>1693</v>
      </c>
      <c r="F31" s="27">
        <v>1704</v>
      </c>
      <c r="G31" s="66">
        <f t="shared" si="4"/>
        <v>0</v>
      </c>
      <c r="H31" s="68">
        <f t="shared" si="23"/>
        <v>6832</v>
      </c>
      <c r="I31" s="72">
        <f t="shared" si="24"/>
        <v>-39341.46</v>
      </c>
      <c r="J31" s="32">
        <f t="shared" si="0"/>
        <v>-244.88999999999942</v>
      </c>
      <c r="K31" s="20">
        <f t="shared" si="25"/>
        <v>46172</v>
      </c>
      <c r="L31" s="33">
        <v>4942</v>
      </c>
      <c r="M31" s="34">
        <v>0</v>
      </c>
      <c r="N31" s="32">
        <f t="shared" si="8"/>
        <v>302</v>
      </c>
      <c r="O31" s="84">
        <v>0.77</v>
      </c>
      <c r="P31" s="85">
        <v>0.78</v>
      </c>
      <c r="Q31" s="84">
        <v>0.69</v>
      </c>
      <c r="R31" s="85">
        <v>0.65</v>
      </c>
      <c r="S31" s="37">
        <f t="shared" si="26"/>
        <v>4545</v>
      </c>
      <c r="T31" s="122"/>
      <c r="U31" s="32">
        <f t="shared" si="22"/>
        <v>255</v>
      </c>
      <c r="V31" s="40">
        <v>7546</v>
      </c>
      <c r="W31" s="32">
        <f t="shared" ref="W31" si="27">IF(V32-V31&lt;0,"0",V32-V31)</f>
        <v>126</v>
      </c>
      <c r="X31" s="43">
        <v>61983</v>
      </c>
      <c r="Y31" s="14">
        <f t="shared" ref="Y31" si="28">IF((X32-X31)&lt;0,"0",X32-X31)</f>
        <v>3</v>
      </c>
      <c r="Z31" s="46">
        <v>0</v>
      </c>
      <c r="AA31" s="51"/>
      <c r="AB31" s="32" t="str">
        <f t="shared" ref="AB31" si="29">IF((Z31-Z32+AA31)=Z31,"0",(Z31-Z32+AA31))</f>
        <v>0</v>
      </c>
      <c r="AC31" s="13">
        <v>227</v>
      </c>
      <c r="AD31" s="18">
        <v>465</v>
      </c>
    </row>
    <row r="32" spans="1:30" ht="20.65" customHeight="1" thickBot="1" x14ac:dyDescent="0.25">
      <c r="A32" s="19">
        <v>46173</v>
      </c>
      <c r="B32" s="10">
        <v>439418</v>
      </c>
      <c r="C32" s="14">
        <f t="shared" si="2"/>
        <v>5923</v>
      </c>
      <c r="D32" s="11">
        <v>1134819</v>
      </c>
      <c r="E32" s="14">
        <f t="shared" si="13"/>
        <v>665</v>
      </c>
      <c r="F32" s="27">
        <v>1704</v>
      </c>
      <c r="G32" s="66">
        <f t="shared" si="4"/>
        <v>0</v>
      </c>
      <c r="H32" s="68">
        <f t="shared" si="5"/>
        <v>6588</v>
      </c>
      <c r="I32" s="72">
        <f t="shared" si="6"/>
        <v>-39586.35</v>
      </c>
      <c r="J32" s="32">
        <f t="shared" ref="J32" si="30">I33-I32</f>
        <v>39586.35</v>
      </c>
      <c r="K32" s="20">
        <f t="shared" si="7"/>
        <v>46173</v>
      </c>
      <c r="L32" s="33">
        <v>4640</v>
      </c>
      <c r="M32" s="34">
        <v>0</v>
      </c>
      <c r="N32" s="32">
        <f t="shared" si="8"/>
        <v>317</v>
      </c>
      <c r="O32" s="84">
        <v>0.72</v>
      </c>
      <c r="P32" s="85">
        <v>0.75</v>
      </c>
      <c r="Q32" s="84">
        <v>0.63</v>
      </c>
      <c r="R32" s="85">
        <v>0.6</v>
      </c>
      <c r="S32" s="37">
        <f t="shared" si="9"/>
        <v>4290</v>
      </c>
      <c r="T32" s="122"/>
      <c r="U32" s="32">
        <f t="shared" ref="U32" si="31">IF((S32-S33+T32)=S32,"0",(S32-S33+T32))</f>
        <v>65</v>
      </c>
      <c r="V32" s="40">
        <v>7672</v>
      </c>
      <c r="W32" s="32">
        <f t="shared" si="1"/>
        <v>95</v>
      </c>
      <c r="X32" s="43">
        <v>61986</v>
      </c>
      <c r="Y32" s="14">
        <f t="shared" si="16"/>
        <v>1</v>
      </c>
      <c r="Z32" s="46">
        <v>0</v>
      </c>
      <c r="AA32" s="51"/>
      <c r="AB32" s="32" t="str">
        <f t="shared" si="12"/>
        <v>0</v>
      </c>
      <c r="AC32" s="13">
        <v>196</v>
      </c>
      <c r="AD32" s="18">
        <v>406</v>
      </c>
    </row>
    <row r="33" spans="1:30" ht="20.65" customHeight="1" thickTop="1" thickBot="1" x14ac:dyDescent="0.25">
      <c r="A33" s="19">
        <v>46174</v>
      </c>
      <c r="B33" s="52">
        <v>445341</v>
      </c>
      <c r="C33" s="62"/>
      <c r="D33" s="61">
        <v>1135484</v>
      </c>
      <c r="E33" s="62"/>
      <c r="F33" s="27">
        <v>1704</v>
      </c>
      <c r="G33" s="55"/>
      <c r="H33" s="70"/>
      <c r="I33" s="63"/>
      <c r="J33" s="62"/>
      <c r="K33" s="60">
        <f t="shared" si="7"/>
        <v>46174</v>
      </c>
      <c r="L33" s="48">
        <v>4323</v>
      </c>
      <c r="M33" s="64">
        <v>0</v>
      </c>
      <c r="N33" s="32" t="str">
        <f t="shared" si="8"/>
        <v>0</v>
      </c>
      <c r="O33" s="86">
        <v>0.72</v>
      </c>
      <c r="P33" s="87">
        <v>0.75</v>
      </c>
      <c r="Q33" s="86">
        <v>0.55000000000000004</v>
      </c>
      <c r="R33" s="87">
        <v>0.55000000000000004</v>
      </c>
      <c r="S33" s="37">
        <f t="shared" si="9"/>
        <v>4225</v>
      </c>
      <c r="T33" s="53"/>
      <c r="U33" s="62"/>
      <c r="V33" s="59">
        <v>7767</v>
      </c>
      <c r="W33" s="62"/>
      <c r="X33" s="58">
        <v>61987</v>
      </c>
      <c r="Y33" s="62"/>
      <c r="Z33" s="57">
        <v>0</v>
      </c>
      <c r="AA33" s="54"/>
      <c r="AB33" s="55"/>
      <c r="AC33" s="56"/>
      <c r="AD33" s="56"/>
    </row>
    <row r="34" spans="1:30" s="80" customFormat="1" ht="10.5" thickTop="1" x14ac:dyDescent="0.2">
      <c r="A34" s="74"/>
      <c r="B34" s="74"/>
      <c r="C34" s="75">
        <f>SUM(C2:C33)</f>
        <v>148633</v>
      </c>
      <c r="D34" s="76"/>
      <c r="E34" s="75">
        <f>SUM(E2:E33)</f>
        <v>34871</v>
      </c>
      <c r="F34" s="77"/>
      <c r="G34" s="75">
        <f>SUM(G2:G33)</f>
        <v>0</v>
      </c>
      <c r="H34" s="76">
        <f>SUM(H2:H33)</f>
        <v>183504</v>
      </c>
      <c r="I34" s="75">
        <f>SUM(I2:I32)</f>
        <v>-1255438.3800000004</v>
      </c>
      <c r="J34" s="75">
        <f>SUM(J2:J33)</f>
        <v>40560.11</v>
      </c>
      <c r="K34" s="74"/>
      <c r="L34" s="76"/>
      <c r="M34" s="76"/>
      <c r="N34" s="75">
        <f>SUM(N2:N33)</f>
        <v>11342</v>
      </c>
      <c r="O34" s="74"/>
      <c r="P34" s="74"/>
      <c r="Q34" s="74"/>
      <c r="R34" s="74"/>
      <c r="S34" s="74"/>
      <c r="T34" s="76">
        <f>SUM(T2:T33)</f>
        <v>3670</v>
      </c>
      <c r="U34" s="75">
        <f>SUM(U2:U33)</f>
        <v>3375</v>
      </c>
      <c r="V34" s="74"/>
      <c r="W34" s="75">
        <f>SUM(W2:W33)</f>
        <v>3267</v>
      </c>
      <c r="X34" s="74"/>
      <c r="Y34" s="75">
        <f>SUM(Y2:Y33)</f>
        <v>320</v>
      </c>
      <c r="Z34" s="74"/>
      <c r="AA34" s="74">
        <f>SUM(AA2:AA33)</f>
        <v>0</v>
      </c>
      <c r="AB34" s="75">
        <f>SUM(AB2:AB33)</f>
        <v>0</v>
      </c>
      <c r="AC34" s="78">
        <f>SUM(AC2:AC33)</f>
        <v>5925</v>
      </c>
      <c r="AD34" s="79">
        <f>SUM(AD2:AD33)</f>
        <v>11110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69"/>
      <c r="I37" s="69"/>
      <c r="J37" s="49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 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2024-08-01T12:18:01Z</cp:lastPrinted>
  <dcterms:created xsi:type="dcterms:W3CDTF">2016-09-19T10:41:46Z</dcterms:created>
  <dcterms:modified xsi:type="dcterms:W3CDTF">2026-06-18T06:47:19Z</dcterms:modified>
  <cp:category/>
  <cp:contentStatus/>
</cp:coreProperties>
</file>