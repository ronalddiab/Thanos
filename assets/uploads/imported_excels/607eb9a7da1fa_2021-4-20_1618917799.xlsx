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8" l="1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<sst xmlns="http://schemas.openxmlformats.org/spreadsheetml/2006/main" count="577" uniqueCount="344">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</sst>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620544"/>
        <c:axId val="1226223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623872"/>
        <c:axId val="122625408"/>
      </c:lineChart>
      <c:catAx>
        <c:axId val="12262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22336"/>
        <c:crosses val="autoZero"/>
        <c:auto val="1"/>
        <c:lblAlgn val="ctr"/>
        <c:lblOffset val="100"/>
      </c:catAx>
      <c:valAx>
        <c:axId val="1226223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20544"/>
        <c:crosses val="autoZero"/>
        <c:crossBetween val="between"/>
        <c:majorUnit val="200"/>
      </c:valAx>
      <c:catAx>
        <c:axId val="122623872"/>
        <c:scaling>
          <c:orientation val="minMax"/>
        </c:scaling>
        <c:delete val="1"/>
        <c:axPos val="b"/>
        <c:tickLblPos val="none"/>
        <c:crossAx val="122625408"/>
        <c:crosses val="autoZero"/>
        <c:auto val="1"/>
        <c:lblAlgn val="ctr"/>
        <c:lblOffset val="100"/>
      </c:catAx>
      <c:valAx>
        <c:axId val="122625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23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2675968"/>
        <c:axId val="1226775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2679296"/>
        <c:axId val="122680832"/>
      </c:lineChart>
      <c:catAx>
        <c:axId val="12267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77504"/>
        <c:crosses val="autoZero"/>
        <c:auto val="1"/>
        <c:lblAlgn val="ctr"/>
        <c:lblOffset val="100"/>
      </c:catAx>
      <c:valAx>
        <c:axId val="12267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75968"/>
        <c:crosses val="autoZero"/>
        <c:crossBetween val="between"/>
        <c:majorUnit val="200"/>
      </c:valAx>
      <c:catAx>
        <c:axId val="122679296"/>
        <c:scaling>
          <c:orientation val="minMax"/>
        </c:scaling>
        <c:delete val="1"/>
        <c:axPos val="b"/>
        <c:tickLblPos val="none"/>
        <c:crossAx val="122680832"/>
        <c:crosses val="autoZero"/>
        <c:auto val="1"/>
        <c:lblAlgn val="ctr"/>
        <c:lblOffset val="100"/>
      </c:catAx>
      <c:valAx>
        <c:axId val="122680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79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497728"/>
        <c:axId val="85499264"/>
      </c:lineChart>
      <c:catAx>
        <c:axId val="8549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99264"/>
        <c:crosses val="autoZero"/>
        <c:auto val="1"/>
        <c:lblAlgn val="ctr"/>
        <c:lblOffset val="200"/>
        <c:tickLblSkip val="1"/>
      </c:catAx>
      <c:valAx>
        <c:axId val="854992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9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519744"/>
        <c:axId val="86205568"/>
      </c:lineChart>
      <c:catAx>
        <c:axId val="8551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5568"/>
        <c:crosses val="autoZero"/>
        <c:auto val="1"/>
        <c:lblAlgn val="ctr"/>
        <c:lblOffset val="100"/>
      </c:catAx>
      <c:valAx>
        <c:axId val="86205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5722240"/>
        <c:axId val="85724160"/>
      </c:lineChart>
      <c:catAx>
        <c:axId val="85722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4160"/>
        <c:crosses val="autoZero"/>
        <c:auto val="1"/>
        <c:lblAlgn val="ctr"/>
        <c:lblOffset val="100"/>
      </c:catAx>
      <c:valAx>
        <c:axId val="85724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22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5777792"/>
        <c:axId val="86234624"/>
      </c:lineChart>
      <c:catAx>
        <c:axId val="8577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4624"/>
        <c:crosses val="autoZero"/>
        <c:auto val="1"/>
        <c:lblAlgn val="ctr"/>
        <c:lblOffset val="100"/>
      </c:catAx>
      <c:valAx>
        <c:axId val="86234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7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787968"/>
        <c:axId val="86789504"/>
      </c:lineChart>
      <c:catAx>
        <c:axId val="867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89504"/>
        <c:crosses val="autoZero"/>
        <c:auto val="1"/>
        <c:lblAlgn val="ctr"/>
        <c:lblOffset val="100"/>
      </c:catAx>
      <c:valAx>
        <c:axId val="8678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831488"/>
        <c:axId val="86833024"/>
      </c:lineChart>
      <c:catAx>
        <c:axId val="8683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3024"/>
        <c:crosses val="autoZero"/>
        <c:auto val="1"/>
        <c:lblAlgn val="ctr"/>
        <c:lblOffset val="100"/>
      </c:catAx>
      <c:valAx>
        <c:axId val="8683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7262720"/>
        <c:axId val="87264256"/>
      </c:lineChart>
      <c:catAx>
        <c:axId val="872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4256"/>
        <c:crosses val="autoZero"/>
        <c:auto val="1"/>
        <c:lblAlgn val="ctr"/>
        <c:lblOffset val="100"/>
      </c:catAx>
      <c:valAx>
        <c:axId val="8726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99"/>
          <c:y val="7.47132470511219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7292928"/>
        <c:axId val="88036096"/>
      </c:lineChart>
      <c:catAx>
        <c:axId val="872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36096"/>
        <c:crosses val="autoZero"/>
        <c:auto val="1"/>
        <c:lblAlgn val="ctr"/>
        <c:lblOffset val="200"/>
        <c:tickLblSkip val="1"/>
      </c:catAx>
      <c:valAx>
        <c:axId val="88036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8065152"/>
        <c:axId val="88066688"/>
      </c:lineChart>
      <c:catAx>
        <c:axId val="880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6688"/>
        <c:crosses val="autoZero"/>
        <c:auto val="1"/>
        <c:lblAlgn val="ctr"/>
        <c:lblOffset val="100"/>
      </c:catAx>
      <c:valAx>
        <c:axId val="880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7829120"/>
        <c:axId val="87872256"/>
      </c:lineChart>
      <c:catAx>
        <c:axId val="87829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72256"/>
        <c:crosses val="autoZero"/>
        <c:auto val="1"/>
        <c:lblAlgn val="ctr"/>
        <c:lblOffset val="100"/>
      </c:catAx>
      <c:valAx>
        <c:axId val="87872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29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8388736"/>
        <c:axId val="88390656"/>
      </c:lineChart>
      <c:catAx>
        <c:axId val="88388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0656"/>
        <c:crosses val="autoZero"/>
        <c:auto val="1"/>
        <c:lblAlgn val="ctr"/>
        <c:lblOffset val="100"/>
      </c:catAx>
      <c:valAx>
        <c:axId val="88390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88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8812928"/>
        <c:axId val="88818816"/>
      </c:lineChart>
      <c:catAx>
        <c:axId val="8881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18816"/>
        <c:crosses val="autoZero"/>
        <c:auto val="1"/>
        <c:lblAlgn val="ctr"/>
        <c:lblOffset val="100"/>
      </c:catAx>
      <c:valAx>
        <c:axId val="8881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8852352"/>
        <c:axId val="88853888"/>
      </c:lineChart>
      <c:catAx>
        <c:axId val="8885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53888"/>
        <c:crosses val="autoZero"/>
        <c:auto val="1"/>
        <c:lblAlgn val="ctr"/>
        <c:lblOffset val="100"/>
      </c:catAx>
      <c:valAx>
        <c:axId val="8885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5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8628224"/>
        <c:axId val="88634112"/>
      </c:lineChart>
      <c:catAx>
        <c:axId val="8862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34112"/>
        <c:crosses val="autoZero"/>
        <c:auto val="1"/>
        <c:lblAlgn val="ctr"/>
        <c:lblOffset val="100"/>
      </c:catAx>
      <c:valAx>
        <c:axId val="8863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2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356"/>
          <c:y val="7.471324705112232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9130880"/>
        <c:axId val="891324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9138304"/>
        <c:axId val="89139840"/>
      </c:lineChart>
      <c:catAx>
        <c:axId val="891308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2416"/>
        <c:crosses val="autoZero"/>
        <c:lblAlgn val="ctr"/>
        <c:lblOffset val="100"/>
        <c:tickMarkSkip val="1"/>
      </c:catAx>
      <c:valAx>
        <c:axId val="89132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0880"/>
        <c:crosses val="autoZero"/>
        <c:crossBetween val="between"/>
      </c:valAx>
      <c:catAx>
        <c:axId val="89138304"/>
        <c:scaling>
          <c:orientation val="minMax"/>
        </c:scaling>
        <c:delete val="1"/>
        <c:axPos val="b"/>
        <c:numFmt formatCode="[$-409]d\-mmm\-yy;@" sourceLinked="1"/>
        <c:tickLblPos val="none"/>
        <c:crossAx val="89139840"/>
        <c:crosses val="autoZero"/>
        <c:lblAlgn val="ctr"/>
        <c:lblOffset val="100"/>
      </c:catAx>
      <c:valAx>
        <c:axId val="891398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8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9180800"/>
        <c:axId val="89428352"/>
      </c:lineChart>
      <c:catAx>
        <c:axId val="8918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28352"/>
        <c:crosses val="autoZero"/>
        <c:auto val="1"/>
        <c:lblAlgn val="ctr"/>
        <c:lblOffset val="100"/>
      </c:catAx>
      <c:valAx>
        <c:axId val="894283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8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9588096"/>
        <c:axId val="89589632"/>
      </c:lineChart>
      <c:catAx>
        <c:axId val="8958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9632"/>
        <c:crosses val="autoZero"/>
        <c:auto val="1"/>
        <c:lblAlgn val="ctr"/>
        <c:lblOffset val="100"/>
      </c:catAx>
      <c:valAx>
        <c:axId val="895896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9633152"/>
        <c:axId val="896346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9636224"/>
        <c:axId val="85533824"/>
      </c:lineChart>
      <c:catAx>
        <c:axId val="896331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34688"/>
        <c:crosses val="autoZero"/>
        <c:lblAlgn val="ctr"/>
        <c:lblOffset val="100"/>
        <c:tickMarkSkip val="1"/>
      </c:catAx>
      <c:valAx>
        <c:axId val="8963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33152"/>
        <c:crosses val="autoZero"/>
        <c:crossBetween val="between"/>
      </c:valAx>
      <c:catAx>
        <c:axId val="89636224"/>
        <c:scaling>
          <c:orientation val="minMax"/>
        </c:scaling>
        <c:delete val="1"/>
        <c:axPos val="b"/>
        <c:numFmt formatCode="General" sourceLinked="1"/>
        <c:tickLblPos val="none"/>
        <c:crossAx val="85533824"/>
        <c:crosses val="autoZero"/>
        <c:lblAlgn val="ctr"/>
        <c:lblOffset val="100"/>
      </c:catAx>
      <c:valAx>
        <c:axId val="85533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36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5574400"/>
        <c:axId val="85575936"/>
      </c:lineChart>
      <c:catAx>
        <c:axId val="855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5936"/>
        <c:crosses val="autoZero"/>
        <c:auto val="1"/>
        <c:lblAlgn val="ctr"/>
        <c:lblOffset val="100"/>
      </c:catAx>
      <c:valAx>
        <c:axId val="8557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4520704"/>
        <c:axId val="124542976"/>
      </c:lineChart>
      <c:catAx>
        <c:axId val="12452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42976"/>
        <c:crosses val="autoZero"/>
        <c:auto val="1"/>
        <c:lblAlgn val="ctr"/>
        <c:lblOffset val="100"/>
      </c:catAx>
      <c:valAx>
        <c:axId val="12454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2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4749696"/>
        <c:axId val="1247512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761216"/>
        <c:axId val="124762752"/>
      </c:lineChart>
      <c:catAx>
        <c:axId val="1247496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51232"/>
        <c:crosses val="autoZero"/>
        <c:lblAlgn val="ctr"/>
        <c:lblOffset val="100"/>
        <c:tickMarkSkip val="1"/>
      </c:catAx>
      <c:valAx>
        <c:axId val="124751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49696"/>
        <c:crosses val="autoZero"/>
        <c:crossBetween val="between"/>
      </c:valAx>
      <c:catAx>
        <c:axId val="124761216"/>
        <c:scaling>
          <c:orientation val="minMax"/>
        </c:scaling>
        <c:delete val="1"/>
        <c:axPos val="b"/>
        <c:numFmt formatCode="[$-409]d\-mmm\-yy;@" sourceLinked="1"/>
        <c:tickLblPos val="none"/>
        <c:crossAx val="124762752"/>
        <c:crosses val="autoZero"/>
        <c:lblAlgn val="ctr"/>
        <c:lblOffset val="100"/>
      </c:catAx>
      <c:valAx>
        <c:axId val="1247627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61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5211008"/>
        <c:axId val="1252125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214080"/>
        <c:axId val="125236352"/>
      </c:lineChart>
      <c:catAx>
        <c:axId val="125211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2544"/>
        <c:crosses val="autoZero"/>
        <c:lblAlgn val="ctr"/>
        <c:lblOffset val="100"/>
        <c:tickMarkSkip val="1"/>
      </c:catAx>
      <c:valAx>
        <c:axId val="12521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1008"/>
        <c:crosses val="autoZero"/>
        <c:crossBetween val="between"/>
      </c:valAx>
      <c:catAx>
        <c:axId val="125214080"/>
        <c:scaling>
          <c:orientation val="minMax"/>
        </c:scaling>
        <c:delete val="1"/>
        <c:axPos val="b"/>
        <c:numFmt formatCode="General" sourceLinked="1"/>
        <c:tickLblPos val="none"/>
        <c:crossAx val="125236352"/>
        <c:crosses val="autoZero"/>
        <c:lblAlgn val="ctr"/>
        <c:lblOffset val="100"/>
      </c:catAx>
      <c:valAx>
        <c:axId val="125236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4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6934400"/>
        <c:axId val="1269361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6937728"/>
        <c:axId val="127140224"/>
      </c:lineChart>
      <c:catAx>
        <c:axId val="1269344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36192"/>
        <c:crosses val="autoZero"/>
        <c:lblAlgn val="ctr"/>
        <c:lblOffset val="100"/>
        <c:tickMarkSkip val="1"/>
      </c:catAx>
      <c:valAx>
        <c:axId val="126936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34400"/>
        <c:crosses val="autoZero"/>
        <c:crossBetween val="between"/>
      </c:valAx>
      <c:catAx>
        <c:axId val="126937728"/>
        <c:scaling>
          <c:orientation val="minMax"/>
        </c:scaling>
        <c:delete val="1"/>
        <c:axPos val="b"/>
        <c:numFmt formatCode="[$-409]d\-mmm\-yy;@" sourceLinked="1"/>
        <c:tickLblPos val="none"/>
        <c:crossAx val="127140224"/>
        <c:crosses val="autoZero"/>
        <c:lblAlgn val="ctr"/>
        <c:lblOffset val="100"/>
      </c:catAx>
      <c:valAx>
        <c:axId val="127140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37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7186816"/>
        <c:axId val="1271883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7194240"/>
        <c:axId val="127195776"/>
      </c:lineChart>
      <c:catAx>
        <c:axId val="127186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8352"/>
        <c:crosses val="autoZero"/>
        <c:lblAlgn val="ctr"/>
        <c:lblOffset val="100"/>
        <c:tickMarkSkip val="1"/>
      </c:catAx>
      <c:valAx>
        <c:axId val="1271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6816"/>
        <c:crosses val="autoZero"/>
        <c:crossBetween val="between"/>
      </c:valAx>
      <c:catAx>
        <c:axId val="127194240"/>
        <c:scaling>
          <c:orientation val="minMax"/>
        </c:scaling>
        <c:delete val="1"/>
        <c:axPos val="b"/>
        <c:numFmt formatCode="General" sourceLinked="1"/>
        <c:tickLblPos val="none"/>
        <c:crossAx val="127195776"/>
        <c:crosses val="autoZero"/>
        <c:lblAlgn val="ctr"/>
        <c:lblOffset val="100"/>
      </c:catAx>
      <c:valAx>
        <c:axId val="1271957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4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0664576"/>
        <c:axId val="160679040"/>
      </c:lineChart>
      <c:catAx>
        <c:axId val="160664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9040"/>
        <c:crosses val="autoZero"/>
        <c:auto val="1"/>
        <c:lblAlgn val="ctr"/>
        <c:lblOffset val="100"/>
      </c:catAx>
      <c:valAx>
        <c:axId val="160679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64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0687616"/>
        <c:axId val="160689536"/>
      </c:lineChart>
      <c:catAx>
        <c:axId val="160687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89536"/>
        <c:crosses val="autoZero"/>
        <c:auto val="1"/>
        <c:lblAlgn val="ctr"/>
        <c:lblOffset val="100"/>
      </c:catAx>
      <c:valAx>
        <c:axId val="160689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87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1349632"/>
        <c:axId val="161351168"/>
      </c:lineChart>
      <c:catAx>
        <c:axId val="1613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1168"/>
        <c:crosses val="autoZero"/>
        <c:auto val="1"/>
        <c:lblAlgn val="ctr"/>
        <c:lblOffset val="200"/>
        <c:tickLblSkip val="1"/>
      </c:catAx>
      <c:valAx>
        <c:axId val="161351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4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1379840"/>
        <c:axId val="161381376"/>
      </c:lineChart>
      <c:catAx>
        <c:axId val="16137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81376"/>
        <c:crosses val="autoZero"/>
        <c:auto val="1"/>
        <c:lblAlgn val="ctr"/>
        <c:lblOffset val="100"/>
      </c:catAx>
      <c:valAx>
        <c:axId val="1613813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7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0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1405952"/>
        <c:axId val="161551104"/>
      </c:lineChart>
      <c:catAx>
        <c:axId val="1614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1104"/>
        <c:crosses val="autoZero"/>
        <c:auto val="1"/>
        <c:lblAlgn val="ctr"/>
        <c:lblOffset val="100"/>
      </c:catAx>
      <c:valAx>
        <c:axId val="161551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2403072"/>
        <c:axId val="162404992"/>
      </c:lineChart>
      <c:catAx>
        <c:axId val="16240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4992"/>
        <c:crosses val="autoZero"/>
        <c:auto val="1"/>
        <c:lblAlgn val="ctr"/>
        <c:lblOffset val="100"/>
      </c:catAx>
      <c:valAx>
        <c:axId val="162404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3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2434048"/>
        <c:axId val="162460800"/>
      </c:lineChart>
      <c:catAx>
        <c:axId val="16243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0800"/>
        <c:crosses val="autoZero"/>
        <c:auto val="1"/>
        <c:lblAlgn val="ctr"/>
        <c:lblOffset val="100"/>
      </c:catAx>
      <c:valAx>
        <c:axId val="162460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4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2608640"/>
        <c:axId val="162610176"/>
      </c:lineChart>
      <c:catAx>
        <c:axId val="16260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10176"/>
        <c:crosses val="autoZero"/>
        <c:auto val="1"/>
        <c:lblAlgn val="ctr"/>
        <c:lblOffset val="200"/>
        <c:tickLblSkip val="1"/>
      </c:catAx>
      <c:valAx>
        <c:axId val="162610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0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2647040"/>
        <c:axId val="162648832"/>
      </c:lineChart>
      <c:catAx>
        <c:axId val="16264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8832"/>
        <c:crosses val="autoZero"/>
        <c:auto val="1"/>
        <c:lblAlgn val="ctr"/>
        <c:lblOffset val="100"/>
      </c:catAx>
      <c:valAx>
        <c:axId val="1626488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4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0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-334806.56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087104"/>
        <c:axId val="163088640"/>
      </c:lineChart>
      <c:catAx>
        <c:axId val="16308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88640"/>
        <c:crosses val="autoZero"/>
        <c:auto val="1"/>
        <c:lblAlgn val="ctr"/>
        <c:lblOffset val="100"/>
      </c:catAx>
      <c:valAx>
        <c:axId val="163088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8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4182272"/>
        <c:axId val="164200832"/>
      </c:lineChart>
      <c:catAx>
        <c:axId val="164182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00832"/>
        <c:crosses val="autoZero"/>
        <c:auto val="1"/>
        <c:lblAlgn val="ctr"/>
        <c:lblOffset val="100"/>
      </c:catAx>
      <c:valAx>
        <c:axId val="164200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2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3713792"/>
        <c:axId val="163715712"/>
      </c:lineChart>
      <c:catAx>
        <c:axId val="163713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15712"/>
        <c:crosses val="autoZero"/>
        <c:auto val="1"/>
        <c:lblAlgn val="ctr"/>
        <c:lblOffset val="100"/>
      </c:catAx>
      <c:valAx>
        <c:axId val="163715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13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748864"/>
        <c:axId val="163758848"/>
      </c:lineChart>
      <c:catAx>
        <c:axId val="16374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8848"/>
        <c:crosses val="autoZero"/>
        <c:auto val="1"/>
        <c:lblAlgn val="ctr"/>
        <c:lblOffset val="200"/>
        <c:tickLblSkip val="1"/>
      </c:catAx>
      <c:valAx>
        <c:axId val="163758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762368"/>
        <c:axId val="164763904"/>
      </c:lineChart>
      <c:catAx>
        <c:axId val="16476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3904"/>
        <c:crosses val="autoZero"/>
        <c:auto val="1"/>
        <c:lblAlgn val="ctr"/>
        <c:lblOffset val="100"/>
      </c:catAx>
      <c:valAx>
        <c:axId val="16476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4792576"/>
        <c:axId val="164818944"/>
      </c:lineChart>
      <c:catAx>
        <c:axId val="1647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8944"/>
        <c:crosses val="autoZero"/>
        <c:auto val="1"/>
        <c:lblAlgn val="ctr"/>
        <c:lblOffset val="100"/>
      </c:catAx>
      <c:valAx>
        <c:axId val="1648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4597760"/>
        <c:axId val="164599680"/>
      </c:lineChart>
      <c:catAx>
        <c:axId val="16459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9680"/>
        <c:crosses val="autoZero"/>
        <c:auto val="1"/>
        <c:lblAlgn val="ctr"/>
        <c:lblOffset val="100"/>
      </c:catAx>
      <c:valAx>
        <c:axId val="164599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7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5112064"/>
        <c:axId val="165126528"/>
      </c:lineChart>
      <c:catAx>
        <c:axId val="165112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26528"/>
        <c:crosses val="autoZero"/>
        <c:auto val="1"/>
        <c:lblAlgn val="ctr"/>
        <c:lblOffset val="100"/>
      </c:catAx>
      <c:valAx>
        <c:axId val="165126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12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5282560"/>
        <c:axId val="165284096"/>
      </c:lineChart>
      <c:catAx>
        <c:axId val="16528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4096"/>
        <c:crosses val="autoZero"/>
        <c:auto val="1"/>
        <c:lblAlgn val="ctr"/>
        <c:lblOffset val="200"/>
        <c:tickLblSkip val="1"/>
      </c:catAx>
      <c:valAx>
        <c:axId val="165284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312768"/>
        <c:axId val="165318656"/>
      </c:lineChart>
      <c:catAx>
        <c:axId val="16531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18656"/>
        <c:crosses val="autoZero"/>
        <c:auto val="1"/>
        <c:lblAlgn val="ctr"/>
        <c:lblOffset val="100"/>
      </c:catAx>
      <c:valAx>
        <c:axId val="16531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1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5617664"/>
        <c:axId val="165619200"/>
      </c:lineChart>
      <c:catAx>
        <c:axId val="16561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9200"/>
        <c:crosses val="autoZero"/>
        <c:auto val="1"/>
        <c:lblAlgn val="ctr"/>
        <c:lblOffset val="100"/>
      </c:catAx>
      <c:valAx>
        <c:axId val="16561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65.955999999959033</v>
      </c>
      <c r="H21" s="423">
        <v>0</v>
      </c>
      <c r="I21" s="418" t="str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 t="str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 t="str">
        <f>IF('Kit report'!F23&lt;0,"0",'Kit report'!F23)</f>
        <v>0</v>
      </c>
      <c r="I21" s="456" t="str">
        <f>IF('Kit report'!X23&lt;0,"0",'Kit report'!X23)</f>
        <v>0</v>
      </c>
      <c r="J21" s="456" t="str">
        <f>IF('Utility summery'!H25&lt;0,"0",'Utility summery'!H25)</f>
        <v>0</v>
      </c>
      <c r="K21" s="457" t="str">
        <f>IF('UTILITY REPORT 1'!H22&lt;0,"0",'UTILITY REPORT 1'!H22)</f>
        <v>0</v>
      </c>
      <c r="L21" s="456" t="str">
        <f>'Water-Meter'!K25</f>
        <v>0</v>
      </c>
      <c r="M21" s="457" t="str">
        <f>'Water-Meter'!H25</f>
        <v>0</v>
      </c>
      <c r="N21" s="457" t="str">
        <f>'Water-Meter'!Q25</f>
        <v>0</v>
      </c>
      <c r="O21" s="456" t="e">
        <f>K21*E21+H21*I21+#REF!*#REF!+J21*L21</f>
        <v>#REF!</v>
      </c>
      <c r="P21" s="462" t="str">
        <f>'Water-Meter'!E25</f>
        <v>0</v>
      </c>
      <c r="Q21" s="242" t="str">
        <f>IF('Water-Meter'!U25&lt;0,"0",'Water-Meter'!U25)</f>
        <v>0</v>
      </c>
      <c r="R21" s="242" t="str">
        <f>IF('Water-Meter'!X25&lt;0,"0",'Water-Meter'!X25)</f>
        <v>0</v>
      </c>
      <c r="S21" s="242" t="str">
        <f>IF('Water-Meter'!AA25&lt;0,"0",'Water-Meter'!AA25)</f>
        <v>0</v>
      </c>
      <c r="T21" s="242" t="str">
        <f>IF('Water-Meter'!AD25&lt;0,"0",'Water-Meter'!AD25)</f>
        <v>0</v>
      </c>
      <c r="U21" s="242" t="str">
        <f>IF('Water-Meter'!AG25&lt;0,"0",'Water-Meter'!AG25)</f>
        <v>0</v>
      </c>
      <c r="V21" s="242" t="str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5" t="s">
        <v>314</v>
      </c>
      <c r="B1" s="865"/>
      <c r="C1" s="865"/>
      <c r="D1" s="865"/>
      <c r="E1" s="865"/>
      <c r="F1" s="865"/>
      <c r="G1" s="865"/>
      <c r="H1" s="86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 t="str">
        <f>'Water-Meter'!E25</f>
        <v>0</v>
      </c>
      <c r="H22" s="405">
        <f>'Utility report '!AC25</f>
        <v>-388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6" t="s">
        <v>135</v>
      </c>
      <c r="E4" s="866"/>
      <c r="F4" s="866"/>
      <c r="G4" s="867" t="s">
        <v>20</v>
      </c>
      <c r="H4" s="867"/>
      <c r="I4" s="867"/>
      <c r="J4" s="868" t="s">
        <v>54</v>
      </c>
      <c r="K4" s="868"/>
      <c r="L4" s="868"/>
      <c r="M4" s="868"/>
      <c r="N4" s="869" t="s">
        <v>143</v>
      </c>
      <c r="O4" s="869"/>
      <c r="P4" s="869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-388</v>
      </c>
      <c r="H25" s="153">
        <f>'Utility report '!AE25</f>
        <v>-215190</v>
      </c>
      <c r="I25" s="296" t="str">
        <f>'Water-Meter'!E25</f>
        <v>0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-334806.56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54616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1439</v>
      </c>
      <c r="J39" s="453">
        <f t="shared" si="3"/>
        <v>1020</v>
      </c>
      <c r="K39" s="453">
        <f t="shared" si="3"/>
        <v>1033</v>
      </c>
      <c r="L39" s="453">
        <f t="shared" si="3"/>
        <v>1240</v>
      </c>
      <c r="M39" s="453">
        <f t="shared" si="3"/>
        <v>-333476.88</v>
      </c>
      <c r="N39" s="453">
        <f t="shared" si="3"/>
        <v>76462.399999999994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M1" activePane="topRight" state="frozen"/>
      <selection pane="topRight" activeCell="R9" sqref="R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7">
        <f>A6</f>
        <v>44287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9"/>
    </row>
    <row r="2" spans="1:37" ht="61.5" customHeight="1" thickBot="1">
      <c r="A2" s="137" t="s">
        <v>98</v>
      </c>
      <c r="B2" s="880" t="s">
        <v>99</v>
      </c>
      <c r="C2" s="881"/>
      <c r="D2" s="882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0" t="s">
        <v>103</v>
      </c>
      <c r="P2" s="870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284" t="s">
        <v>104</v>
      </c>
      <c r="AB2" s="880" t="s">
        <v>164</v>
      </c>
      <c r="AC2" s="882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3">
        <f>SUM(D3/B3)</f>
        <v>1.3262195121951219</v>
      </c>
      <c r="G3" s="884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0" t="s">
        <v>112</v>
      </c>
      <c r="P3" s="870"/>
      <c r="Q3" s="870"/>
      <c r="R3" s="870"/>
      <c r="S3" s="871" t="s">
        <v>113</v>
      </c>
      <c r="T3" s="872"/>
      <c r="U3" s="872"/>
      <c r="V3" s="873"/>
      <c r="W3" s="874" t="s">
        <v>114</v>
      </c>
      <c r="X3" s="875"/>
      <c r="Y3" s="875"/>
      <c r="Z3" s="876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0</v>
      </c>
      <c r="AB23" s="709">
        <v>351</v>
      </c>
      <c r="AC23" s="690">
        <f t="shared" si="11"/>
        <v>38</v>
      </c>
      <c r="AD23" s="864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499.23768889017356</v>
      </c>
      <c r="N25" s="715" t="str">
        <f>'Water-Meter'!E25</f>
        <v>0</v>
      </c>
      <c r="O25" s="706"/>
      <c r="P25" s="713"/>
      <c r="Q25" s="725">
        <f t="shared" si="2"/>
        <v>-19032</v>
      </c>
      <c r="R25" s="426">
        <f t="shared" si="5"/>
        <v>0</v>
      </c>
      <c r="S25" s="701"/>
      <c r="T25" s="702"/>
      <c r="U25" s="725">
        <f t="shared" si="6"/>
        <v>-17893</v>
      </c>
      <c r="V25" s="427">
        <f t="shared" si="19"/>
        <v>0</v>
      </c>
      <c r="W25" s="701"/>
      <c r="X25" s="707"/>
      <c r="Y25" s="725">
        <f t="shared" si="8"/>
        <v>-27953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-388</v>
      </c>
      <c r="AD25" s="693"/>
      <c r="AE25" s="178">
        <f t="shared" si="15"/>
        <v>-215190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26707.000000000007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5364705.8823529407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26707.000000000007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26707.000000000007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26707.000000000007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26707.000000000007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26707.000000000007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26707.000000000007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26707.000000000007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26707.000000000007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26707.000000000007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26707.000000000007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57791</v>
      </c>
      <c r="K37" s="770"/>
      <c r="L37" s="756">
        <f t="shared" si="17"/>
        <v>57791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7" sqref="W27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5" t="s">
        <v>150</v>
      </c>
      <c r="C1" s="886"/>
      <c r="D1" s="886"/>
      <c r="E1" s="886"/>
      <c r="F1" s="887"/>
      <c r="G1" s="157"/>
      <c r="H1" s="885" t="s">
        <v>151</v>
      </c>
      <c r="I1" s="886"/>
      <c r="J1" s="886"/>
      <c r="K1" s="886"/>
      <c r="L1" s="887"/>
      <c r="M1" s="885" t="s">
        <v>170</v>
      </c>
      <c r="N1" s="886"/>
      <c r="O1" s="886"/>
      <c r="P1" s="886"/>
      <c r="Q1" s="887"/>
      <c r="R1" s="157"/>
      <c r="T1" s="885" t="s">
        <v>166</v>
      </c>
      <c r="U1" s="886"/>
      <c r="V1" s="886"/>
      <c r="W1" s="886"/>
      <c r="X1" s="887"/>
      <c r="Y1" s="885" t="s">
        <v>169</v>
      </c>
      <c r="Z1" s="886"/>
      <c r="AA1" s="886"/>
      <c r="AB1" s="886"/>
      <c r="AC1" s="887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8" t="s">
        <v>156</v>
      </c>
      <c r="C3" s="889"/>
      <c r="D3" s="166"/>
      <c r="E3" s="577">
        <v>9204</v>
      </c>
      <c r="F3" s="584" t="s">
        <v>157</v>
      </c>
      <c r="G3" s="585"/>
      <c r="H3" s="888" t="s">
        <v>156</v>
      </c>
      <c r="I3" s="889"/>
      <c r="J3" s="611">
        <f>'Water-Meter'!G5</f>
        <v>75790</v>
      </c>
      <c r="K3" s="586">
        <f>'Water-Meter'!G5</f>
        <v>75790</v>
      </c>
      <c r="L3" s="241"/>
      <c r="M3" s="888" t="s">
        <v>156</v>
      </c>
      <c r="N3" s="889"/>
      <c r="O3" s="166"/>
      <c r="P3" s="587">
        <f>'Water-Meter'!J5</f>
        <v>8362</v>
      </c>
      <c r="Q3" s="165"/>
      <c r="R3" s="241"/>
      <c r="S3" s="640"/>
      <c r="T3" s="888" t="s">
        <v>156</v>
      </c>
      <c r="U3" s="889"/>
      <c r="V3" s="166"/>
      <c r="W3" s="578">
        <v>8073</v>
      </c>
      <c r="X3" s="588">
        <f t="shared" ref="X3:X35" si="0">(W3-V3)*200</f>
        <v>1614600</v>
      </c>
      <c r="Y3" s="888" t="s">
        <v>156</v>
      </c>
      <c r="Z3" s="889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/>
      <c r="F23" s="581">
        <f t="shared" ref="F23:F34" si="15">SUM(E23-D23)*120</f>
        <v>-1109400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-8391</v>
      </c>
      <c r="R23" s="626">
        <f t="shared" si="14"/>
        <v>-5.1956656346749224</v>
      </c>
      <c r="S23" s="627">
        <f>Gen!T30</f>
        <v>0</v>
      </c>
      <c r="T23" s="628">
        <f t="shared" si="9"/>
        <v>44306</v>
      </c>
      <c r="U23" s="579"/>
      <c r="V23" s="581">
        <f t="shared" si="5"/>
        <v>8104.6</v>
      </c>
      <c r="W23" s="578"/>
      <c r="X23" s="581">
        <f t="shared" si="0"/>
        <v>-1620920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-21191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7"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0">
        <f>A5</f>
        <v>44287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</row>
    <row r="2" spans="1:13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-159375</v>
      </c>
      <c r="C24" s="87">
        <f>Gen!B30</f>
        <v>5.1999999999999998E-2</v>
      </c>
      <c r="D24" s="434">
        <f t="shared" si="0"/>
        <v>0</v>
      </c>
      <c r="E24" s="74"/>
      <c r="F24" s="70" t="e">
        <f>Gen!U30</f>
        <v>#DIV/0!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 t="str">
        <f>'Water-Meter'!E25</f>
        <v>0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26707.000000000007</v>
      </c>
      <c r="K25" s="295">
        <f>'Water-Meter'!E26</f>
        <v>0</v>
      </c>
      <c r="L25" s="653">
        <f>'Lpg (2)'!G30</f>
        <v>-334806.56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26707.000000000007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26707.000000000007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26707.000000000007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26707.000000000007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26707.000000000007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26707.000000000007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26707.000000000007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26707.000000000007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26707.000000000007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26707.000000000007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26707.000000000007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7" sqref="AB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2">
        <f>A6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3"/>
      <c r="AC1" s="19"/>
    </row>
    <row r="2" spans="1:29" ht="12" customHeight="1" thickBo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4" t="s">
        <v>298</v>
      </c>
      <c r="L3" s="895"/>
      <c r="M3" s="896"/>
      <c r="N3" s="894" t="s">
        <v>299</v>
      </c>
      <c r="O3" s="895"/>
      <c r="P3" s="896"/>
      <c r="Q3" s="894" t="s">
        <v>300</v>
      </c>
      <c r="R3" s="895"/>
      <c r="S3" s="896"/>
      <c r="T3" s="894" t="s">
        <v>301</v>
      </c>
      <c r="U3" s="895"/>
      <c r="V3" s="896"/>
      <c r="W3" s="894" t="s">
        <v>302</v>
      </c>
      <c r="X3" s="895"/>
      <c r="Y3" s="896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8">
        <v>21292.6</v>
      </c>
      <c r="K24" s="858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>
      <c r="A25" s="856">
        <f>Gen!A30</f>
        <v>44306</v>
      </c>
      <c r="B25" s="851"/>
      <c r="C25" s="863">
        <v>4434</v>
      </c>
      <c r="D25" s="145">
        <v>22273</v>
      </c>
      <c r="E25" s="145"/>
      <c r="F25" s="145"/>
      <c r="G25" s="145"/>
      <c r="H25" s="145"/>
      <c r="I25" s="145">
        <v>31939.8</v>
      </c>
      <c r="J25" s="848">
        <v>21295.7</v>
      </c>
      <c r="K25" s="858">
        <f t="shared" si="0"/>
        <v>36213</v>
      </c>
      <c r="L25" s="305"/>
      <c r="M25" s="304">
        <f t="shared" si="1"/>
        <v>-36213</v>
      </c>
      <c r="N25" s="306">
        <f t="shared" si="2"/>
        <v>31125</v>
      </c>
      <c r="O25" s="125"/>
      <c r="P25" s="304">
        <f t="shared" si="3"/>
        <v>-31125</v>
      </c>
      <c r="Q25" s="304">
        <f t="shared" si="4"/>
        <v>36416</v>
      </c>
      <c r="R25" s="305"/>
      <c r="S25" s="304">
        <f t="shared" si="5"/>
        <v>-36416</v>
      </c>
      <c r="T25" s="304">
        <f t="shared" si="6"/>
        <v>33587</v>
      </c>
      <c r="U25" s="305"/>
      <c r="V25" s="304">
        <f t="shared" si="7"/>
        <v>-33587</v>
      </c>
      <c r="W25" s="306">
        <f t="shared" si="8"/>
        <v>22034</v>
      </c>
      <c r="X25" s="305"/>
      <c r="Y25" s="304">
        <f t="shared" si="9"/>
        <v>-22034</v>
      </c>
      <c r="Z25" s="307">
        <f t="shared" si="10"/>
        <v>-159375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44307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44308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34" workbookViewId="0">
      <pane xSplit="1" topLeftCell="B1" activePane="topRight" state="frozen"/>
      <selection pane="topRight" activeCell="D17" sqref="D17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6"/>
      <c r="B1" s="906"/>
    </row>
    <row r="2" spans="1:46" ht="26.25">
      <c r="A2" s="906"/>
      <c r="B2" s="906"/>
      <c r="D2" s="907">
        <f>A11</f>
        <v>44287</v>
      </c>
      <c r="E2" s="907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8"/>
      <c r="S2" s="908"/>
      <c r="T2" s="908"/>
      <c r="U2" s="908"/>
      <c r="V2" s="908"/>
      <c r="W2" s="908"/>
      <c r="X2" s="908"/>
      <c r="Y2" s="908"/>
      <c r="Z2" s="908"/>
      <c r="AA2" s="908"/>
      <c r="AB2" s="908"/>
      <c r="AC2" s="908"/>
      <c r="AD2" s="908"/>
      <c r="AE2" s="908"/>
      <c r="AF2" s="908"/>
      <c r="AG2" s="908"/>
      <c r="AH2" s="908"/>
      <c r="AI2" s="908"/>
      <c r="AJ2" s="908"/>
      <c r="AK2" s="908"/>
      <c r="AL2" s="908"/>
      <c r="AM2" s="908"/>
      <c r="AN2" s="908"/>
      <c r="AO2" s="908"/>
      <c r="AP2" s="908"/>
      <c r="AQ2" s="908"/>
      <c r="AR2" s="908"/>
      <c r="AS2" s="908"/>
      <c r="AT2" s="908"/>
    </row>
    <row r="3" spans="1:46" ht="12.75" customHeight="1">
      <c r="A3" s="906"/>
      <c r="B3" s="906"/>
      <c r="H3" s="909"/>
      <c r="I3" s="909"/>
      <c r="J3" s="909"/>
      <c r="K3" s="181"/>
      <c r="Q3" s="181"/>
    </row>
    <row r="4" spans="1:46" ht="11.25" customHeight="1">
      <c r="A4" s="906"/>
      <c r="B4" s="906"/>
      <c r="H4" s="909"/>
      <c r="I4" s="909"/>
      <c r="J4" s="909"/>
      <c r="K4" s="181"/>
      <c r="Q4" s="181"/>
    </row>
    <row r="5" spans="1:46" ht="12" thickBot="1">
      <c r="A5" s="906"/>
      <c r="B5" s="906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6"/>
      <c r="B6" s="906"/>
      <c r="C6" s="186"/>
      <c r="F6" s="910" t="s">
        <v>57</v>
      </c>
      <c r="G6" s="911"/>
      <c r="H6" s="911"/>
      <c r="I6" s="911"/>
      <c r="J6" s="911"/>
      <c r="K6" s="911"/>
      <c r="L6" s="912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3" t="s">
        <v>201</v>
      </c>
      <c r="G7" s="914"/>
      <c r="H7" s="914"/>
      <c r="I7" s="914"/>
      <c r="J7" s="914"/>
      <c r="K7" s="914"/>
      <c r="L7" s="915"/>
      <c r="M7" s="916" t="s">
        <v>40</v>
      </c>
      <c r="N7" s="917"/>
      <c r="O7" s="917"/>
      <c r="P7" s="917"/>
      <c r="Q7" s="917"/>
      <c r="R7" s="918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>
        <v>0</v>
      </c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>
        <v>1.2999999999999999E-2</v>
      </c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>
        <v>3.9E-2</v>
      </c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>
        <v>6.5000000000000002E-2</v>
      </c>
      <c r="C29" s="802">
        <f t="shared" si="6"/>
        <v>28202.210000000006</v>
      </c>
      <c r="D29" s="803"/>
      <c r="E29" s="800"/>
      <c r="F29" s="804"/>
      <c r="G29" s="801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>
        <v>5.1999999999999998E-2</v>
      </c>
      <c r="C30" s="802">
        <f t="shared" si="6"/>
        <v>26707.000000000007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6"/>
      <c r="C31" s="802">
        <f t="shared" si="6"/>
        <v>26707.000000000007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26707.000000000007</v>
      </c>
    </row>
    <row r="32" spans="1:46" ht="15.75">
      <c r="A32" s="575">
        <v>44308</v>
      </c>
      <c r="B32" s="826"/>
      <c r="C32" s="802">
        <f t="shared" si="6"/>
        <v>26707.000000000007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26707.000000000007</v>
      </c>
    </row>
    <row r="33" spans="1:46" ht="15.75">
      <c r="A33" s="575">
        <v>44309</v>
      </c>
      <c r="B33" s="826"/>
      <c r="C33" s="802">
        <f t="shared" si="6"/>
        <v>26707.000000000007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26707.000000000007</v>
      </c>
    </row>
    <row r="34" spans="1:46" ht="15.75">
      <c r="A34" s="575">
        <v>44310</v>
      </c>
      <c r="B34" s="826"/>
      <c r="C34" s="802">
        <f t="shared" si="6"/>
        <v>26707.000000000007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26707.000000000007</v>
      </c>
    </row>
    <row r="35" spans="1:46" ht="15.75">
      <c r="A35" s="575">
        <v>44311</v>
      </c>
      <c r="B35" s="826"/>
      <c r="C35" s="802">
        <f t="shared" si="6"/>
        <v>26707.000000000007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26707.000000000007</v>
      </c>
    </row>
    <row r="36" spans="1:46" ht="15.75">
      <c r="A36" s="575">
        <v>44312</v>
      </c>
      <c r="B36" s="826"/>
      <c r="C36" s="802">
        <f t="shared" si="6"/>
        <v>26707.000000000007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26707.000000000007</v>
      </c>
    </row>
    <row r="37" spans="1:46" ht="15.75">
      <c r="A37" s="575">
        <v>44313</v>
      </c>
      <c r="B37" s="826"/>
      <c r="C37" s="802">
        <f t="shared" si="6"/>
        <v>26707.000000000007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26707.000000000007</v>
      </c>
    </row>
    <row r="38" spans="1:46" ht="15.75">
      <c r="A38" s="575">
        <v>44314</v>
      </c>
      <c r="B38" s="826"/>
      <c r="C38" s="802">
        <f t="shared" si="6"/>
        <v>26707.000000000007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26707.000000000007</v>
      </c>
    </row>
    <row r="39" spans="1:46" ht="15.75">
      <c r="A39" s="575">
        <v>44315</v>
      </c>
      <c r="B39" s="826"/>
      <c r="C39" s="802">
        <f t="shared" si="6"/>
        <v>26707.000000000007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26707.000000000007</v>
      </c>
    </row>
    <row r="40" spans="1:46" ht="15.75">
      <c r="A40" s="575">
        <v>44316</v>
      </c>
      <c r="B40" s="826"/>
      <c r="C40" s="802">
        <f t="shared" si="6"/>
        <v>26707.000000000007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26707.000000000007</v>
      </c>
    </row>
    <row r="41" spans="1:46" ht="15.75">
      <c r="A41" s="575"/>
      <c r="B41" s="826"/>
      <c r="C41" s="802">
        <f t="shared" si="6"/>
        <v>26707.000000000007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26707.000000000007</v>
      </c>
    </row>
    <row r="42" spans="1:46" ht="14.25">
      <c r="A42" s="575"/>
      <c r="B42" s="574"/>
      <c r="C42" s="802">
        <f t="shared" si="6"/>
        <v>26707.000000000007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26707.000000000007</v>
      </c>
    </row>
    <row r="43" spans="1:46" ht="14.25">
      <c r="A43" s="495" t="s">
        <v>25</v>
      </c>
      <c r="B43" s="469">
        <f>AVERAGE(B11:B42)</f>
        <v>8.43E-2</v>
      </c>
      <c r="C43" s="798">
        <f t="shared" si="6"/>
        <v>26707.000000000007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26707.000000000007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6260.9500000000007</v>
      </c>
      <c r="H45" s="308">
        <f t="shared" si="8"/>
        <v>6006.13</v>
      </c>
      <c r="I45" s="313">
        <f t="shared" si="8"/>
        <v>0</v>
      </c>
      <c r="J45" s="308">
        <f t="shared" si="8"/>
        <v>6236.68</v>
      </c>
      <c r="K45" s="313">
        <f t="shared" si="8"/>
        <v>4791.9699999999993</v>
      </c>
      <c r="L45" s="308">
        <f t="shared" si="8"/>
        <v>0</v>
      </c>
      <c r="M45" s="313">
        <f t="shared" si="8"/>
        <v>18567</v>
      </c>
      <c r="N45" s="553">
        <f t="shared" si="8"/>
        <v>11680</v>
      </c>
      <c r="O45" s="313">
        <f t="shared" si="8"/>
        <v>0</v>
      </c>
      <c r="P45" s="308">
        <f>SUM(P11:P43)</f>
        <v>15691</v>
      </c>
      <c r="Q45" s="313">
        <f>SUM(Q11:Q44)</f>
        <v>11853</v>
      </c>
      <c r="R45" s="308">
        <f>SUM(R11:R44)</f>
        <v>0</v>
      </c>
      <c r="S45" s="551">
        <f>SUM(G45:L45)</f>
        <v>23295.730000000003</v>
      </c>
      <c r="T45" s="308">
        <f>SUM(M45:R45)</f>
        <v>57791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430.28</v>
      </c>
      <c r="Y45" s="234">
        <f t="shared" si="9"/>
        <v>213.5</v>
      </c>
      <c r="Z45" s="546">
        <f t="shared" si="9"/>
        <v>533.84</v>
      </c>
      <c r="AA45" s="234">
        <f t="shared" si="9"/>
        <v>0</v>
      </c>
      <c r="AB45" s="546">
        <f t="shared" si="9"/>
        <v>66.66</v>
      </c>
      <c r="AC45" s="234">
        <f>SUM(AC10:AC44)</f>
        <v>54.9</v>
      </c>
      <c r="AD45" s="546">
        <f>SUM(AD10:AD44)</f>
        <v>130.86000000000001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853</v>
      </c>
      <c r="AI45" s="234">
        <f>SUM(AI9:AI39)</f>
        <v>230.2</v>
      </c>
      <c r="AJ45" s="546">
        <f>SUM(AJ9:AJ44)</f>
        <v>2513.2400000000002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25808.969999999994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751.4751612903226</v>
      </c>
      <c r="T47" s="316">
        <f>S45*2315</f>
        <v>53929614.95000001</v>
      </c>
      <c r="U47" s="317" t="s">
        <v>244</v>
      </c>
      <c r="AR47" s="522">
        <f>AR45*2143</f>
        <v>55308622.709999986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23560.338553953698</v>
      </c>
      <c r="U48" s="317" t="s">
        <v>245</v>
      </c>
      <c r="W48" s="191"/>
      <c r="X48" s="191"/>
      <c r="Y48" s="191"/>
      <c r="Z48" s="191"/>
      <c r="AA48" s="191"/>
      <c r="AR48" s="316">
        <f>AR47/2289</f>
        <v>24162.788427260806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9" t="s">
        <v>241</v>
      </c>
      <c r="C50" s="920"/>
      <c r="D50" s="920"/>
      <c r="E50" s="920"/>
      <c r="F50" s="921"/>
      <c r="H50" s="897" t="s">
        <v>213</v>
      </c>
      <c r="I50" s="898"/>
      <c r="J50" s="898"/>
      <c r="K50" s="898"/>
      <c r="L50" s="899"/>
      <c r="N50" s="900" t="s">
        <v>309</v>
      </c>
      <c r="O50" s="901"/>
      <c r="P50" s="901"/>
      <c r="Q50" s="901"/>
      <c r="R50" s="902"/>
      <c r="T50" s="903" t="s">
        <v>226</v>
      </c>
      <c r="U50" s="904"/>
      <c r="V50" s="904"/>
      <c r="W50" s="904"/>
      <c r="X50" s="904"/>
      <c r="Y50" s="905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4"/>
      <c r="D6" s="925"/>
      <c r="E6" s="926"/>
      <c r="F6" s="926"/>
      <c r="G6" s="48" t="s">
        <v>4</v>
      </c>
      <c r="H6" s="46" t="s">
        <v>14</v>
      </c>
      <c r="I6" s="41"/>
      <c r="J6" s="113"/>
    </row>
    <row r="7" spans="1:15" ht="18" customHeight="1">
      <c r="A7" s="927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8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3">
        <f t="shared" si="2"/>
        <v>585776.75134719012</v>
      </c>
      <c r="J29" s="844">
        <f t="shared" si="1"/>
        <v>1.1259579668921836E-4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-334806.56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3" t="s">
        <v>6</v>
      </c>
      <c r="D42" s="923"/>
      <c r="E42" s="2">
        <f t="shared" ref="E42" si="4">SUM(E10:E40)</f>
        <v>0</v>
      </c>
      <c r="F42" s="2">
        <f>SUM(F10:F41)</f>
        <v>1519065.2499999998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2"/>
      <c r="C45" s="922"/>
      <c r="D45" s="922"/>
      <c r="E45" s="922"/>
      <c r="F45" s="922"/>
      <c r="G45" s="922"/>
      <c r="H45" s="922"/>
      <c r="I45" s="831"/>
      <c r="J45" s="838"/>
    </row>
    <row r="46" spans="1:10">
      <c r="A46" s="19"/>
      <c r="B46" s="922"/>
      <c r="C46" s="922"/>
      <c r="D46" s="922"/>
      <c r="E46" s="922"/>
      <c r="F46" s="922"/>
      <c r="G46" s="922"/>
      <c r="H46" s="922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I27" sqref="AI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8" t="s">
        <v>315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949"/>
      <c r="AA1" s="949"/>
      <c r="AB1" s="949"/>
      <c r="AC1" s="949"/>
      <c r="AD1" s="949"/>
      <c r="AE1" s="949"/>
      <c r="AF1" s="949"/>
      <c r="AG1" s="949"/>
      <c r="AH1" s="949"/>
      <c r="AI1" s="949"/>
      <c r="AJ1" s="949"/>
      <c r="AK1" s="949"/>
      <c r="AL1" s="949"/>
      <c r="AM1" s="949"/>
      <c r="AN1" s="949"/>
    </row>
    <row r="2" spans="1:40" ht="13.5" customHeight="1" thickTop="1">
      <c r="A2" s="29"/>
      <c r="B2" s="29"/>
      <c r="C2" s="947" t="s">
        <v>52</v>
      </c>
      <c r="D2" s="947"/>
      <c r="E2" s="947"/>
      <c r="F2" s="947" t="s">
        <v>17</v>
      </c>
      <c r="G2" s="947"/>
      <c r="H2" s="947"/>
      <c r="I2" s="947" t="s">
        <v>131</v>
      </c>
      <c r="J2" s="947"/>
      <c r="K2" s="947"/>
      <c r="L2" s="947" t="s">
        <v>134</v>
      </c>
      <c r="M2" s="947"/>
      <c r="N2" s="947"/>
      <c r="O2" s="947" t="s">
        <v>132</v>
      </c>
      <c r="P2" s="947"/>
      <c r="Q2" s="947"/>
      <c r="R2" s="252"/>
      <c r="S2" s="956" t="s">
        <v>181</v>
      </c>
      <c r="T2" s="957"/>
      <c r="U2" s="958"/>
      <c r="V2" s="956" t="s">
        <v>182</v>
      </c>
      <c r="W2" s="957"/>
      <c r="X2" s="958"/>
      <c r="Y2" s="956" t="s">
        <v>183</v>
      </c>
      <c r="Z2" s="957"/>
      <c r="AA2" s="958"/>
      <c r="AB2" s="956" t="s">
        <v>184</v>
      </c>
      <c r="AC2" s="957"/>
      <c r="AD2" s="958"/>
      <c r="AE2" s="950" t="s">
        <v>239</v>
      </c>
      <c r="AF2" s="951"/>
      <c r="AG2" s="962"/>
      <c r="AH2" s="950" t="s">
        <v>243</v>
      </c>
      <c r="AI2" s="951"/>
      <c r="AJ2" s="962"/>
      <c r="AK2" s="950" t="s">
        <v>240</v>
      </c>
      <c r="AL2" s="951"/>
      <c r="AM2" s="951"/>
      <c r="AN2" s="954" t="s">
        <v>189</v>
      </c>
    </row>
    <row r="3" spans="1:40" ht="21.75" customHeight="1" thickBot="1">
      <c r="A3" s="945" t="s">
        <v>7</v>
      </c>
      <c r="B3" s="29"/>
      <c r="C3" s="947" t="s">
        <v>133</v>
      </c>
      <c r="D3" s="947" t="s">
        <v>15</v>
      </c>
      <c r="E3" s="947" t="s">
        <v>16</v>
      </c>
      <c r="F3" s="947" t="s">
        <v>133</v>
      </c>
      <c r="G3" s="947" t="s">
        <v>15</v>
      </c>
      <c r="H3" s="947" t="s">
        <v>16</v>
      </c>
      <c r="I3" s="947" t="s">
        <v>133</v>
      </c>
      <c r="J3" s="947" t="s">
        <v>15</v>
      </c>
      <c r="K3" s="947" t="s">
        <v>16</v>
      </c>
      <c r="L3" s="947" t="s">
        <v>133</v>
      </c>
      <c r="M3" s="947" t="s">
        <v>15</v>
      </c>
      <c r="N3" s="947" t="s">
        <v>16</v>
      </c>
      <c r="O3" s="947" t="s">
        <v>133</v>
      </c>
      <c r="P3" s="947" t="s">
        <v>15</v>
      </c>
      <c r="Q3" s="947" t="s">
        <v>16</v>
      </c>
      <c r="R3" s="964" t="s">
        <v>185</v>
      </c>
      <c r="S3" s="959"/>
      <c r="T3" s="960"/>
      <c r="U3" s="961"/>
      <c r="V3" s="959"/>
      <c r="W3" s="960"/>
      <c r="X3" s="961"/>
      <c r="Y3" s="959"/>
      <c r="Z3" s="960"/>
      <c r="AA3" s="961"/>
      <c r="AB3" s="959"/>
      <c r="AC3" s="960"/>
      <c r="AD3" s="961"/>
      <c r="AE3" s="952"/>
      <c r="AF3" s="953"/>
      <c r="AG3" s="963"/>
      <c r="AH3" s="952"/>
      <c r="AI3" s="953"/>
      <c r="AJ3" s="963"/>
      <c r="AK3" s="952"/>
      <c r="AL3" s="953"/>
      <c r="AM3" s="953"/>
      <c r="AN3" s="955"/>
    </row>
    <row r="4" spans="1:40" ht="15.75" thickTop="1">
      <c r="A4" s="946"/>
      <c r="B4" s="244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6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/>
      <c r="E25" s="474" t="str">
        <f t="shared" si="29"/>
        <v>0</v>
      </c>
      <c r="F25" s="95">
        <f t="shared" si="2"/>
        <v>75790</v>
      </c>
      <c r="G25" s="387"/>
      <c r="H25" s="474" t="str">
        <f>IF((G26-G24)&lt;0,"0",(G26-G24))</f>
        <v>0</v>
      </c>
      <c r="I25" s="95">
        <f t="shared" ref="I25:I37" si="32">J24</f>
        <v>8391</v>
      </c>
      <c r="J25" s="1"/>
      <c r="K25" s="474" t="str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/>
      <c r="Q25" s="474" t="str">
        <f t="shared" si="7"/>
        <v>0</v>
      </c>
      <c r="R25" s="250"/>
      <c r="S25" s="245">
        <f t="shared" ref="S25:S37" si="35">T24</f>
        <v>68609</v>
      </c>
      <c r="T25" s="384"/>
      <c r="U25" s="475" t="str">
        <f t="shared" ref="U25:U37" si="36">IF((T25-T24)&lt;0,"0",(T25-T24))</f>
        <v>0</v>
      </c>
      <c r="V25" s="245">
        <f t="shared" si="31"/>
        <v>73031</v>
      </c>
      <c r="W25" s="384"/>
      <c r="X25" s="475" t="str">
        <f t="shared" si="17"/>
        <v>0</v>
      </c>
      <c r="Y25" s="245">
        <f t="shared" si="9"/>
        <v>90129</v>
      </c>
      <c r="Z25" s="384"/>
      <c r="AA25" s="475" t="str">
        <f t="shared" si="18"/>
        <v>0</v>
      </c>
      <c r="AB25" s="606">
        <f t="shared" si="22"/>
        <v>19083</v>
      </c>
      <c r="AC25" s="607"/>
      <c r="AD25" s="609" t="str">
        <f t="shared" si="23"/>
        <v>0</v>
      </c>
      <c r="AE25" s="245">
        <f t="shared" si="10"/>
        <v>18300</v>
      </c>
      <c r="AF25" s="385"/>
      <c r="AG25" s="475" t="str">
        <f t="shared" si="19"/>
        <v>0</v>
      </c>
      <c r="AH25" s="245">
        <f t="shared" si="11"/>
        <v>30844</v>
      </c>
      <c r="AI25" s="385"/>
      <c r="AJ25" s="475" t="str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1153</v>
      </c>
    </row>
    <row r="38" spans="1:41" ht="18.75">
      <c r="A38" s="57"/>
      <c r="B38" s="21"/>
      <c r="C38" s="965" t="s">
        <v>6</v>
      </c>
      <c r="D38" s="965"/>
      <c r="E38" s="22">
        <f>SUM(E6:E36)</f>
        <v>1528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29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1528</v>
      </c>
      <c r="S38" s="247"/>
      <c r="T38" s="247"/>
      <c r="U38" s="257">
        <f>SUM(U6:U37)</f>
        <v>1153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1153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4"/>
      <c r="B42" s="277"/>
      <c r="C42" s="931" t="s">
        <v>222</v>
      </c>
      <c r="D42" s="932"/>
      <c r="E42" s="932"/>
      <c r="F42" s="932"/>
      <c r="G42" s="932"/>
      <c r="H42" s="932"/>
      <c r="I42" s="932"/>
      <c r="J42" s="932"/>
      <c r="K42" s="933"/>
      <c r="R42" s="19"/>
    </row>
    <row r="43" spans="1:41" ht="24.75" customHeight="1">
      <c r="A43" s="935"/>
      <c r="B43" s="19"/>
      <c r="C43" s="937" t="s">
        <v>216</v>
      </c>
      <c r="D43" s="938"/>
      <c r="E43" s="939" t="s">
        <v>237</v>
      </c>
      <c r="F43" s="940"/>
      <c r="G43" s="941" t="s">
        <v>217</v>
      </c>
      <c r="H43" s="942"/>
      <c r="I43" s="941" t="s">
        <v>238</v>
      </c>
      <c r="J43" s="942"/>
      <c r="K43" s="929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5"/>
      <c r="B44" s="19"/>
      <c r="C44" s="943" t="s">
        <v>218</v>
      </c>
      <c r="D44" s="944"/>
      <c r="E44" s="943" t="s">
        <v>219</v>
      </c>
      <c r="F44" s="944"/>
      <c r="G44" s="943" t="s">
        <v>220</v>
      </c>
      <c r="H44" s="944"/>
      <c r="I44" s="943" t="s">
        <v>221</v>
      </c>
      <c r="J44" s="944"/>
      <c r="K44" s="930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6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6" t="s">
        <v>316</v>
      </c>
      <c r="B2" s="967"/>
      <c r="C2" s="967"/>
      <c r="D2" s="967"/>
      <c r="E2" s="96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 t="str">
        <f>'Water-Meter'!E25</f>
        <v>0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-334806.56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-414914.94777777774</v>
      </c>
      <c r="V25" s="17">
        <f t="shared" si="7"/>
        <v>-34710.255277777731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1528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9" t="s">
        <v>180</v>
      </c>
      <c r="B1" s="970"/>
      <c r="C1" s="970"/>
      <c r="D1" s="970"/>
      <c r="E1" s="970"/>
      <c r="F1" s="970"/>
      <c r="G1" s="971"/>
    </row>
    <row r="2" spans="1:7" ht="13.5" thickBot="1">
      <c r="A2" s="300"/>
      <c r="B2" s="972" t="s">
        <v>175</v>
      </c>
      <c r="C2" s="973"/>
      <c r="D2" s="974"/>
      <c r="E2" s="972" t="s">
        <v>176</v>
      </c>
      <c r="F2" s="973"/>
      <c r="G2" s="974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9" t="s">
        <v>230</v>
      </c>
      <c r="B1" s="970"/>
      <c r="C1" s="970"/>
      <c r="D1" s="970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5"/>
      <c r="C76" s="976"/>
      <c r="D76" s="976"/>
      <c r="E76" s="977"/>
      <c r="H76" s="975"/>
      <c r="I76" s="976"/>
      <c r="J76" s="976"/>
      <c r="K76" s="976"/>
      <c r="L76" s="977"/>
    </row>
    <row r="77" spans="1:12">
      <c r="B77" s="978"/>
      <c r="C77" s="979"/>
      <c r="D77" s="979"/>
      <c r="E77" s="980"/>
      <c r="H77" s="978"/>
      <c r="I77" s="979"/>
      <c r="J77" s="979"/>
      <c r="K77" s="979"/>
      <c r="L77" s="980"/>
    </row>
    <row r="78" spans="1:12">
      <c r="B78" s="978"/>
      <c r="C78" s="979"/>
      <c r="D78" s="979"/>
      <c r="E78" s="980"/>
      <c r="H78" s="978"/>
      <c r="I78" s="979"/>
      <c r="J78" s="979"/>
      <c r="K78" s="979"/>
      <c r="L78" s="980"/>
    </row>
    <row r="79" spans="1:12">
      <c r="B79" s="978"/>
      <c r="C79" s="979"/>
      <c r="D79" s="979"/>
      <c r="E79" s="980"/>
      <c r="H79" s="978"/>
      <c r="I79" s="979"/>
      <c r="J79" s="979"/>
      <c r="K79" s="979"/>
      <c r="L79" s="980"/>
    </row>
    <row r="80" spans="1:12">
      <c r="B80" s="978"/>
      <c r="C80" s="979"/>
      <c r="D80" s="979"/>
      <c r="E80" s="980"/>
      <c r="H80" s="978"/>
      <c r="I80" s="979"/>
      <c r="J80" s="979"/>
      <c r="K80" s="979"/>
      <c r="L80" s="980"/>
    </row>
    <row r="81" spans="2:12">
      <c r="B81" s="978"/>
      <c r="C81" s="979"/>
      <c r="D81" s="979"/>
      <c r="E81" s="980"/>
      <c r="H81" s="978"/>
      <c r="I81" s="979"/>
      <c r="J81" s="979"/>
      <c r="K81" s="979"/>
      <c r="L81" s="980"/>
    </row>
    <row r="82" spans="2:12">
      <c r="B82" s="978"/>
      <c r="C82" s="979"/>
      <c r="D82" s="979"/>
      <c r="E82" s="980"/>
      <c r="H82" s="978"/>
      <c r="I82" s="979"/>
      <c r="J82" s="979"/>
      <c r="K82" s="979"/>
      <c r="L82" s="980"/>
    </row>
    <row r="83" spans="2:12">
      <c r="B83" s="978"/>
      <c r="C83" s="979"/>
      <c r="D83" s="979"/>
      <c r="E83" s="980"/>
      <c r="H83" s="978"/>
      <c r="I83" s="979"/>
      <c r="J83" s="979"/>
      <c r="K83" s="979"/>
      <c r="L83" s="980"/>
    </row>
    <row r="84" spans="2:12">
      <c r="B84" s="978"/>
      <c r="C84" s="979"/>
      <c r="D84" s="979"/>
      <c r="E84" s="980"/>
      <c r="H84" s="978"/>
      <c r="I84" s="979"/>
      <c r="J84" s="979"/>
      <c r="K84" s="979"/>
      <c r="L84" s="980"/>
    </row>
    <row r="85" spans="2:12">
      <c r="B85" s="978"/>
      <c r="C85" s="979"/>
      <c r="D85" s="979"/>
      <c r="E85" s="980"/>
      <c r="H85" s="978"/>
      <c r="I85" s="979"/>
      <c r="J85" s="979"/>
      <c r="K85" s="979"/>
      <c r="L85" s="980"/>
    </row>
    <row r="86" spans="2:12">
      <c r="B86" s="978"/>
      <c r="C86" s="979"/>
      <c r="D86" s="979"/>
      <c r="E86" s="980"/>
      <c r="H86" s="978"/>
      <c r="I86" s="979"/>
      <c r="J86" s="979"/>
      <c r="K86" s="979"/>
      <c r="L86" s="980"/>
    </row>
    <row r="87" spans="2:12">
      <c r="B87" s="978"/>
      <c r="C87" s="979"/>
      <c r="D87" s="979"/>
      <c r="E87" s="980"/>
      <c r="H87" s="978"/>
      <c r="I87" s="979"/>
      <c r="J87" s="979"/>
      <c r="K87" s="979"/>
      <c r="L87" s="980"/>
    </row>
    <row r="88" spans="2:12">
      <c r="B88" s="978"/>
      <c r="C88" s="979"/>
      <c r="D88" s="979"/>
      <c r="E88" s="980"/>
      <c r="H88" s="978"/>
      <c r="I88" s="979"/>
      <c r="J88" s="979"/>
      <c r="K88" s="979"/>
      <c r="L88" s="980"/>
    </row>
    <row r="89" spans="2:12">
      <c r="B89" s="978"/>
      <c r="C89" s="979"/>
      <c r="D89" s="979"/>
      <c r="E89" s="980"/>
      <c r="H89" s="978"/>
      <c r="I89" s="979"/>
      <c r="J89" s="979"/>
      <c r="K89" s="979"/>
      <c r="L89" s="980"/>
    </row>
    <row r="90" spans="2:12" ht="13.5" thickBot="1">
      <c r="B90" s="981"/>
      <c r="C90" s="982"/>
      <c r="D90" s="982"/>
      <c r="E90" s="983"/>
      <c r="H90" s="981"/>
      <c r="I90" s="982"/>
      <c r="J90" s="982"/>
      <c r="K90" s="982"/>
      <c r="L90" s="983"/>
    </row>
    <row r="91" spans="2:12">
      <c r="B91" s="984" t="s">
        <v>312</v>
      </c>
      <c r="C91" s="985"/>
      <c r="D91" s="985"/>
      <c r="E91" s="986"/>
      <c r="H91" s="984" t="s">
        <v>313</v>
      </c>
      <c r="I91" s="985"/>
      <c r="J91" s="985"/>
      <c r="K91" s="985"/>
      <c r="L91" s="986"/>
    </row>
    <row r="92" spans="2:12">
      <c r="B92" s="987"/>
      <c r="C92" s="988"/>
      <c r="D92" s="988"/>
      <c r="E92" s="989"/>
      <c r="H92" s="987"/>
      <c r="I92" s="988"/>
      <c r="J92" s="988"/>
      <c r="K92" s="988"/>
      <c r="L92" s="989"/>
    </row>
    <row r="93" spans="2:12" ht="13.5" thickBot="1">
      <c r="B93" s="990"/>
      <c r="C93" s="991"/>
      <c r="D93" s="991"/>
      <c r="E93" s="992"/>
      <c r="H93" s="990"/>
      <c r="I93" s="991"/>
      <c r="J93" s="991"/>
      <c r="K93" s="991"/>
      <c r="L93" s="99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3" t="s">
        <v>254</v>
      </c>
      <c r="B1" s="993"/>
      <c r="C1" s="993"/>
      <c r="D1" s="993"/>
      <c r="E1" s="993"/>
      <c r="F1" s="993"/>
      <c r="G1" s="993"/>
      <c r="H1" s="993"/>
      <c r="I1" s="993"/>
      <c r="J1" s="993"/>
    </row>
    <row r="2" spans="1:10" ht="19.5" thickBot="1">
      <c r="A2" s="1002">
        <f>A5</f>
        <v>44287</v>
      </c>
      <c r="B2" s="1003"/>
      <c r="C2" s="1003"/>
      <c r="D2" s="1003"/>
      <c r="E2" s="1003"/>
      <c r="F2" s="1003"/>
      <c r="G2" s="1003"/>
      <c r="H2" s="1003"/>
      <c r="I2" s="1003"/>
      <c r="J2" s="1003"/>
    </row>
    <row r="3" spans="1:10" ht="15.75" thickBot="1">
      <c r="A3" s="994" t="s">
        <v>7</v>
      </c>
      <c r="B3" s="996" t="s">
        <v>255</v>
      </c>
      <c r="C3" s="440"/>
      <c r="D3" s="998" t="s">
        <v>256</v>
      </c>
      <c r="E3" s="999"/>
      <c r="F3" s="1000" t="s">
        <v>257</v>
      </c>
      <c r="G3" s="1001"/>
      <c r="H3" s="999"/>
      <c r="I3" s="1000" t="s">
        <v>258</v>
      </c>
      <c r="J3" s="999"/>
    </row>
    <row r="4" spans="1:10" ht="30.75" thickBot="1">
      <c r="A4" s="995"/>
      <c r="B4" s="997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0</v>
      </c>
      <c r="D24" s="444">
        <f>Gen!S30</f>
        <v>0</v>
      </c>
      <c r="E24" s="395">
        <f>Gen!C30</f>
        <v>26707.000000000007</v>
      </c>
      <c r="F24" s="396" t="str">
        <f>'Water-Meter'!E25</f>
        <v>0</v>
      </c>
      <c r="G24" s="397">
        <f>'Water-Meter'!AN25</f>
        <v>0</v>
      </c>
      <c r="H24" s="395">
        <f>'Utility report '!AC25</f>
        <v>-388</v>
      </c>
      <c r="I24" s="394">
        <f>'Kit report'!F23</f>
        <v>-1109400</v>
      </c>
      <c r="J24" s="395">
        <f>'Kit report'!X23</f>
        <v>-1620920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26707.000000000007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26707.000000000007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26707.000000000007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26707.000000000007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26707.000000000007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26707.000000000007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26707.000000000007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26707.000000000007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26707.000000000007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26707.000000000007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26707.000000000007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26707.000000000007</v>
      </c>
      <c r="F36" s="396">
        <f>'Water-Meter'!E37</f>
        <v>0</v>
      </c>
      <c r="G36" s="397">
        <f>'Water-Meter'!AN37</f>
        <v>1153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2021-04-20T11:22:25Z</dcterms:modified>
</cp:coreProperties>
</file>