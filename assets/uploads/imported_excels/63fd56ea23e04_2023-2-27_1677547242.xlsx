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54" documentId="8_{9B439D3B-B023-4087-B27B-CB56FE35C246}" xr6:coauthVersionLast="47" xr6:coauthVersionMax="47" xr10:uidLastSave="{6312FBC9-CAF5-4D14-9016-F424002D54CE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" i="3" l="1"/>
  <c r="K33" i="6"/>
  <c r="N33" i="6"/>
  <c r="M33" i="6"/>
  <c r="E33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<sst xmlns="http://schemas.openxmlformats.org/spreadsheetml/2006/main" count="91" uniqueCount="53">
  <si>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</si>
  <si>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</si>
  <si>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</si>
  <si>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</si>
  <si>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</si>
  <si>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</si>
  <si>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</si>
  <si>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</si>
  <si>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</si>
  <si>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</si>
  <si>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</si>
  <si>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</si>
  <si>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</si>
  <si>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</si>
  <si>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</si>
  <si>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</si>
  <si>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AUGUST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</si>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</sst>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" fontId="0" fillId="0" borderId="0" xfId="0" applyNumberFormat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3"/>
  <sheetViews>
    <sheetView tabSelected="1" workbookViewId="0">
      <selection activeCell="D2" sqref="D2:D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8</v>
      </c>
      <c r="D2" s="97">
        <v>2019</v>
      </c>
      <c r="E2" s="99">
        <f>'Localize Daily Bali Jimbaran'!P7</f>
        <v>22320.000000000844</v>
      </c>
      <c r="F2" s="100">
        <v>1183.4728697486375</v>
      </c>
      <c r="G2" s="99">
        <f>'Localize Daily Bali Jimbaran'!AC7</f>
        <v>544.49148000001401</v>
      </c>
      <c r="H2" s="100">
        <f>'Localize Daily Bali Jimbaran'!AD7/'Localize Daily Bali Jimbaran'!AC7</f>
        <v>10311.513910649224</v>
      </c>
      <c r="I2" s="99">
        <f>'Localize Daily Bali Jimbaran'!AH7</f>
        <v>776.15000000000146</v>
      </c>
      <c r="J2" s="101">
        <f>'Localize Daily Bali Jimbaran'!AI7/'Localize Daily Bali Jimbaran'!AH7</f>
        <v>10300</v>
      </c>
      <c r="K2" s="99">
        <f>'Localize Daily Bali Jimbaran'!Q7</f>
        <v>159</v>
      </c>
      <c r="L2" s="100">
        <f>'Localize Daily Bali Jimbaran'!V7/'Localize Daily Bali Jimbaran'!Q7</f>
        <v>10719.387547169812</v>
      </c>
      <c r="M2" s="99">
        <f>'Localize Daily Bali Jimbaran'!C7</f>
        <v>67</v>
      </c>
      <c r="N2" s="99">
        <v>184</v>
      </c>
    </row>
    <row r="3" spans="1:14" ht="15">
      <c r="A3" s="96" t="s">
        <v>14</v>
      </c>
      <c r="B3" s="97">
        <v>2</v>
      </c>
      <c r="C3" s="98">
        <v>8</v>
      </c>
      <c r="D3" s="97">
        <v>2019</v>
      </c>
      <c r="E3" s="99">
        <f>'Localize Daily Bali Jimbaran'!P8</f>
        <v>22480.000000000247</v>
      </c>
      <c r="F3" s="100">
        <v>1183.4728697486375</v>
      </c>
      <c r="G3" s="99">
        <f>'Localize Daily Bali Jimbaran'!AC8</f>
        <v>140.37580000002342</v>
      </c>
      <c r="H3" s="100">
        <f>'Localize Daily Bali Jimbaran'!AD8/'Localize Daily Bali Jimbaran'!AC8</f>
        <v>9143.75</v>
      </c>
      <c r="I3" s="99">
        <f>'Localize Daily Bali Jimbaran'!AH8</f>
        <v>604.4800000000032</v>
      </c>
      <c r="J3" s="101">
        <f>'Localize Daily Bali Jimbaran'!AI8/'Localize Daily Bali Jimbaran'!AH8</f>
        <v>10300</v>
      </c>
      <c r="K3" s="99">
        <f>'Localize Daily Bali Jimbaran'!Q8</f>
        <v>118</v>
      </c>
      <c r="L3" s="100">
        <f>'Localize Daily Bali Jimbaran'!V8/'Localize Daily Bali Jimbaran'!Q8</f>
        <v>12619.951525423729</v>
      </c>
      <c r="M3" s="99">
        <f>'Localize Daily Bali Jimbaran'!C8</f>
        <v>88</v>
      </c>
      <c r="N3" s="99">
        <v>224</v>
      </c>
    </row>
    <row r="4" spans="1:14" ht="15">
      <c r="A4" s="96" t="s">
        <v>14</v>
      </c>
      <c r="B4" s="97">
        <v>3</v>
      </c>
      <c r="C4" s="98">
        <v>8</v>
      </c>
      <c r="D4" s="97">
        <v>2019</v>
      </c>
      <c r="E4" s="99">
        <f>'Localize Daily Bali Jimbaran'!P9</f>
        <v>22700.000000000044</v>
      </c>
      <c r="F4" s="100">
        <v>1183.4728697486375</v>
      </c>
      <c r="G4" s="99">
        <f>'Localize Daily Bali Jimbaran'!AC9</f>
        <v>187.35135999998124</v>
      </c>
      <c r="H4" s="100">
        <f>'Localize Daily Bali Jimbaran'!AD9/'Localize Daily Bali Jimbaran'!AC9</f>
        <v>9651.2856805523552</v>
      </c>
      <c r="I4" s="99">
        <f>'Localize Daily Bali Jimbaran'!AH9</f>
        <v>522.39999999999418</v>
      </c>
      <c r="J4" s="101">
        <f>'Localize Daily Bali Jimbaran'!AI9/'Localize Daily Bali Jimbaran'!AH9</f>
        <v>10300</v>
      </c>
      <c r="K4" s="99">
        <f>'Localize Daily Bali Jimbaran'!Q9</f>
        <v>119</v>
      </c>
      <c r="L4" s="100">
        <f>'Localize Daily Bali Jimbaran'!V9/'Localize Daily Bali Jimbaran'!Q9</f>
        <v>12318.897647058824</v>
      </c>
      <c r="M4" s="99">
        <f>'Localize Daily Bali Jimbaran'!C9</f>
        <v>82</v>
      </c>
      <c r="N4" s="99">
        <v>222</v>
      </c>
    </row>
    <row r="5" spans="1:14" ht="15">
      <c r="A5" s="96" t="s">
        <v>14</v>
      </c>
      <c r="B5" s="97">
        <v>4</v>
      </c>
      <c r="C5" s="98">
        <v>8</v>
      </c>
      <c r="D5" s="97">
        <v>2019</v>
      </c>
      <c r="E5" s="99">
        <f>'Localize Daily Bali Jimbaran'!P10</f>
        <v>21259.999999999309</v>
      </c>
      <c r="F5" s="100">
        <v>1183.4728697486375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591.89999999999418</v>
      </c>
      <c r="J5" s="101">
        <f>'Localize Daily Bali Jimbaran'!AI10/'Localize Daily Bali Jimbaran'!AH10</f>
        <v>10300</v>
      </c>
      <c r="K5" s="99">
        <f>'Localize Daily Bali Jimbaran'!Q10</f>
        <v>139</v>
      </c>
      <c r="L5" s="100">
        <f>'Localize Daily Bali Jimbaran'!V10/'Localize Daily Bali Jimbaran'!Q10</f>
        <v>11354.698273381295</v>
      </c>
      <c r="M5" s="99">
        <f>'Localize Daily Bali Jimbaran'!C10</f>
        <v>85</v>
      </c>
      <c r="N5" s="99">
        <v>228</v>
      </c>
    </row>
    <row r="6" spans="1:14" ht="15">
      <c r="A6" s="96" t="s">
        <v>14</v>
      </c>
      <c r="B6" s="97">
        <v>5</v>
      </c>
      <c r="C6" s="98">
        <v>8</v>
      </c>
      <c r="D6" s="97">
        <v>2019</v>
      </c>
      <c r="E6" s="99">
        <f>'Localize Daily Bali Jimbaran'!P11</f>
        <v>20740.000000000007</v>
      </c>
      <c r="F6" s="100">
        <v>1183.4728697486375</v>
      </c>
      <c r="G6" s="99">
        <f>'Localize Daily Bali Jimbaran'!AC11</f>
        <v>236.68059999998826</v>
      </c>
      <c r="H6" s="100">
        <f>'Localize Daily Bali Jimbaran'!AD11/'Localize Daily Bali Jimbaran'!AC11</f>
        <v>10048.714327452317</v>
      </c>
      <c r="I6" s="99">
        <f>'Localize Daily Bali Jimbaran'!AH11</f>
        <v>526</v>
      </c>
      <c r="J6" s="101">
        <f>'Localize Daily Bali Jimbaran'!AI11/'Localize Daily Bali Jimbaran'!AH11</f>
        <v>10300</v>
      </c>
      <c r="K6" s="99">
        <f>'Localize Daily Bali Jimbaran'!Q11</f>
        <v>97</v>
      </c>
      <c r="L6" s="100">
        <f>'Localize Daily Bali Jimbaran'!V11/'Localize Daily Bali Jimbaran'!Q11</f>
        <v>11603.08350515464</v>
      </c>
      <c r="M6" s="99">
        <f>'Localize Daily Bali Jimbaran'!C11</f>
        <v>89</v>
      </c>
      <c r="N6" s="99">
        <v>227</v>
      </c>
    </row>
    <row r="7" spans="1:14" ht="15">
      <c r="A7" s="96" t="s">
        <v>14</v>
      </c>
      <c r="B7" s="97">
        <v>6</v>
      </c>
      <c r="C7" s="98">
        <v>8</v>
      </c>
      <c r="D7" s="97">
        <v>2019</v>
      </c>
      <c r="E7" s="99">
        <f>'Localize Daily Bali Jimbaran'!P12</f>
        <v>21099.999999999909</v>
      </c>
      <c r="F7" s="100">
        <v>1183.4728697486375</v>
      </c>
      <c r="G7" s="99">
        <f>'Localize Daily Bali Jimbaran'!AC12</f>
        <v>437.75760000004686</v>
      </c>
      <c r="H7" s="100">
        <f>'Localize Daily Bali Jimbaran'!AD12/'Localize Daily Bali Jimbaran'!AC12</f>
        <v>10038.937199491129</v>
      </c>
      <c r="I7" s="99">
        <f>'Localize Daily Bali Jimbaran'!AH12</f>
        <v>550.35000000000582</v>
      </c>
      <c r="J7" s="101">
        <f>'Localize Daily Bali Jimbaran'!AI12/'Localize Daily Bali Jimbaran'!AH12</f>
        <v>10300</v>
      </c>
      <c r="K7" s="99">
        <f>'Localize Daily Bali Jimbaran'!Q12</f>
        <v>129</v>
      </c>
      <c r="L7" s="100">
        <f>'Localize Daily Bali Jimbaran'!V12/'Localize Daily Bali Jimbaran'!Q12</f>
        <v>10522.651937984498</v>
      </c>
      <c r="M7" s="99">
        <f>'Localize Daily Bali Jimbaran'!C12</f>
        <v>93</v>
      </c>
      <c r="N7" s="99">
        <v>246</v>
      </c>
    </row>
    <row r="8" spans="1:14" ht="15">
      <c r="A8" s="96" t="s">
        <v>14</v>
      </c>
      <c r="B8" s="97">
        <v>7</v>
      </c>
      <c r="C8" s="98">
        <v>8</v>
      </c>
      <c r="D8" s="97">
        <v>2019</v>
      </c>
      <c r="E8" s="99">
        <f>'Localize Daily Bali Jimbaran'!P13</f>
        <v>21500</v>
      </c>
      <c r="F8" s="100">
        <v>1183.4728697486375</v>
      </c>
      <c r="G8" s="99">
        <f>'Localize Daily Bali Jimbaran'!AC13</f>
        <v>186.04299999999998</v>
      </c>
      <c r="H8" s="100">
        <f>'Localize Daily Bali Jimbaran'!AD13/'Localize Daily Bali Jimbaran'!AC13</f>
        <v>9623.8809374714456</v>
      </c>
      <c r="I8" s="99">
        <f>'Localize Daily Bali Jimbaran'!AH13</f>
        <v>422.95999999999913</v>
      </c>
      <c r="J8" s="101">
        <f>'Localize Daily Bali Jimbaran'!AI13/'Localize Daily Bali Jimbaran'!AH13</f>
        <v>10300</v>
      </c>
      <c r="K8" s="99">
        <f>'Localize Daily Bali Jimbaran'!Q13</f>
        <v>172</v>
      </c>
      <c r="L8" s="100">
        <f>'Localize Daily Bali Jimbaran'!V13/'Localize Daily Bali Jimbaran'!Q13</f>
        <v>9033.0823255813957</v>
      </c>
      <c r="M8" s="99">
        <f>'Localize Daily Bali Jimbaran'!C13</f>
        <v>103</v>
      </c>
      <c r="N8" s="99">
        <v>259</v>
      </c>
    </row>
    <row r="9" spans="1:14" ht="15">
      <c r="A9" s="96" t="s">
        <v>14</v>
      </c>
      <c r="B9" s="97">
        <v>8</v>
      </c>
      <c r="C9" s="98">
        <v>8</v>
      </c>
      <c r="D9" s="97">
        <v>2019</v>
      </c>
      <c r="E9" s="99">
        <f>'Localize Daily Bali Jimbaran'!P14</f>
        <v>21820.000000000618</v>
      </c>
      <c r="F9" s="100">
        <v>1183.4728697486375</v>
      </c>
      <c r="G9" s="99">
        <f>'Localize Daily Bali Jimbaran'!AC14</f>
        <v>146.29695999996952</v>
      </c>
      <c r="H9" s="100">
        <f>'Localize Daily Bali Jimbaran'!AD14/'Localize Daily Bali Jimbaran'!AC14</f>
        <v>9143.75</v>
      </c>
      <c r="I9" s="99">
        <f>'Localize Daily Bali Jimbaran'!AH14</f>
        <v>666.89000000000669</v>
      </c>
      <c r="J9" s="101">
        <f>'Localize Daily Bali Jimbaran'!AI14/'Localize Daily Bali Jimbaran'!AH14</f>
        <v>10300</v>
      </c>
      <c r="K9" s="99">
        <f>'Localize Daily Bali Jimbaran'!Q14</f>
        <v>147</v>
      </c>
      <c r="L9" s="100">
        <f>'Localize Daily Bali Jimbaran'!V14/'Localize Daily Bali Jimbaran'!Q14</f>
        <v>6486.0485714285714</v>
      </c>
      <c r="M9" s="99">
        <f>'Localize Daily Bali Jimbaran'!C14</f>
        <v>120</v>
      </c>
      <c r="N9" s="99">
        <v>304</v>
      </c>
    </row>
    <row r="10" spans="1:14" ht="15">
      <c r="A10" s="96" t="s">
        <v>14</v>
      </c>
      <c r="B10" s="97">
        <v>9</v>
      </c>
      <c r="C10" s="98">
        <v>8</v>
      </c>
      <c r="D10" s="97">
        <v>2019</v>
      </c>
      <c r="E10" s="99">
        <f>'Localize Daily Bali Jimbaran'!P15</f>
        <v>22179.999999999382</v>
      </c>
      <c r="F10" s="100">
        <v>1183.4728697486375</v>
      </c>
      <c r="G10" s="99">
        <f>'Localize Daily Bali Jimbaran'!AC15</f>
        <v>205.23567999999059</v>
      </c>
      <c r="H10" s="100">
        <f>'Localize Daily Bali Jimbaran'!AD15/'Localize Daily Bali Jimbaran'!AC15</f>
        <v>9607.058816478715</v>
      </c>
      <c r="I10" s="99">
        <f>'Localize Daily Bali Jimbaran'!AH15</f>
        <v>981.71999999998661</v>
      </c>
      <c r="J10" s="101">
        <f>'Localize Daily Bali Jimbaran'!AI15/'Localize Daily Bali Jimbaran'!AH15</f>
        <v>10300</v>
      </c>
      <c r="K10" s="99">
        <f>'Localize Daily Bali Jimbaran'!Q15</f>
        <v>49</v>
      </c>
      <c r="L10" s="100">
        <f>'Localize Daily Bali Jimbaran'!V15/'Localize Daily Bali Jimbaran'!Q15</f>
        <v>8446.8085714285717</v>
      </c>
      <c r="M10" s="99">
        <f>'Localize Daily Bali Jimbaran'!C15</f>
        <v>123</v>
      </c>
      <c r="N10" s="99">
        <v>329</v>
      </c>
    </row>
    <row r="11" spans="1:14" ht="15">
      <c r="A11" s="96" t="s">
        <v>14</v>
      </c>
      <c r="B11" s="97">
        <v>10</v>
      </c>
      <c r="C11" s="98">
        <v>8</v>
      </c>
      <c r="D11" s="97">
        <v>2019</v>
      </c>
      <c r="E11" s="99">
        <f>'Localize Daily Bali Jimbaran'!P16</f>
        <v>22400.000000000091</v>
      </c>
      <c r="F11" s="100">
        <v>1183.4728697486375</v>
      </c>
      <c r="G11" s="99">
        <f>'Localize Daily Bali Jimbaran'!AC16</f>
        <v>342.06756000001639</v>
      </c>
      <c r="H11" s="100">
        <f>'Localize Daily Bali Jimbaran'!AD16/'Localize Daily Bali Jimbaran'!AC16</f>
        <v>9907.4880171331861</v>
      </c>
      <c r="I11" s="99">
        <f>'Localize Daily Bali Jimbaran'!AH16</f>
        <v>506.68000000000029</v>
      </c>
      <c r="J11" s="101">
        <f>'Localize Daily Bali Jimbaran'!AI16/'Localize Daily Bali Jimbaran'!AH16</f>
        <v>10300</v>
      </c>
      <c r="K11" s="99">
        <f>'Localize Daily Bali Jimbaran'!Q16</f>
        <v>188</v>
      </c>
      <c r="L11" s="100">
        <f>'Localize Daily Bali Jimbaran'!V16/'Localize Daily Bali Jimbaran'!Q16</f>
        <v>5705.3204255319151</v>
      </c>
      <c r="M11" s="99">
        <f>'Localize Daily Bali Jimbaran'!C16</f>
        <v>127</v>
      </c>
      <c r="N11" s="99">
        <v>338</v>
      </c>
    </row>
    <row r="12" spans="1:14" ht="15">
      <c r="A12" s="96" t="s">
        <v>14</v>
      </c>
      <c r="B12" s="97">
        <v>11</v>
      </c>
      <c r="C12" s="98">
        <v>8</v>
      </c>
      <c r="D12" s="97">
        <v>2019</v>
      </c>
      <c r="E12" s="99">
        <f>'Localize Daily Bali Jimbaran'!P17</f>
        <v>21799.999999999956</v>
      </c>
      <c r="F12" s="100">
        <v>1183.4728697486375</v>
      </c>
      <c r="G12" s="99">
        <f>'Localize Daily Bali Jimbaran'!AC17</f>
        <v>134.1324000000117</v>
      </c>
      <c r="H12" s="100">
        <f>'Localize Daily Bali Jimbaran'!AD17/'Localize Daily Bali Jimbaran'!AC17</f>
        <v>9143.75</v>
      </c>
      <c r="I12" s="99">
        <f>'Localize Daily Bali Jimbaran'!AH17</f>
        <v>612.29999999999563</v>
      </c>
      <c r="J12" s="101">
        <f>'Localize Daily Bali Jimbaran'!AI17/'Localize Daily Bali Jimbaran'!AH17</f>
        <v>10300</v>
      </c>
      <c r="K12" s="99">
        <f>'Localize Daily Bali Jimbaran'!Q17</f>
        <v>129</v>
      </c>
      <c r="L12" s="100">
        <f>'Localize Daily Bali Jimbaran'!V17/'Localize Daily Bali Jimbaran'!Q17</f>
        <v>4245.18</v>
      </c>
      <c r="M12" s="99">
        <f>'Localize Daily Bali Jimbaran'!C17</f>
        <v>126</v>
      </c>
      <c r="N12" s="99">
        <v>331</v>
      </c>
    </row>
    <row r="13" spans="1:14" ht="15">
      <c r="A13" s="96" t="s">
        <v>14</v>
      </c>
      <c r="B13" s="97">
        <v>12</v>
      </c>
      <c r="C13" s="98">
        <v>8</v>
      </c>
      <c r="D13" s="97">
        <v>2019</v>
      </c>
      <c r="E13" s="99">
        <f>'Localize Daily Bali Jimbaran'!P18</f>
        <v>23660.000000000084</v>
      </c>
      <c r="F13" s="100">
        <v>1183.4728697486375</v>
      </c>
      <c r="G13" s="99">
        <f>'Localize Daily Bali Jimbaran'!AC18</f>
        <v>148.952</v>
      </c>
      <c r="H13" s="100">
        <f>'Localize Daily Bali Jimbaran'!AD18/'Localize Daily Bali Jimbaran'!AC18</f>
        <v>9343.6466109887751</v>
      </c>
      <c r="I13" s="99">
        <f>'Localize Daily Bali Jimbaran'!AH18</f>
        <v>504.40000000000146</v>
      </c>
      <c r="J13" s="101">
        <f>'Localize Daily Bali Jimbaran'!AI18/'Localize Daily Bali Jimbaran'!AH18</f>
        <v>10300</v>
      </c>
      <c r="K13" s="99">
        <f>'Localize Daily Bali Jimbaran'!Q18</f>
        <v>129</v>
      </c>
      <c r="L13" s="100">
        <f>'Localize Daily Bali Jimbaran'!V18/'Localize Daily Bali Jimbaran'!Q18</f>
        <v>4564.3734883720936</v>
      </c>
      <c r="M13" s="99">
        <f>'Localize Daily Bali Jimbaran'!C18</f>
        <v>130</v>
      </c>
      <c r="N13" s="99">
        <v>343</v>
      </c>
    </row>
    <row r="14" spans="1:14" ht="15">
      <c r="A14" s="96" t="s">
        <v>14</v>
      </c>
      <c r="B14" s="97">
        <v>13</v>
      </c>
      <c r="C14" s="98">
        <v>8</v>
      </c>
      <c r="D14" s="97">
        <v>2019</v>
      </c>
      <c r="E14" s="99">
        <f>'Localize Daily Bali Jimbaran'!P19</f>
        <v>22320.000000001073</v>
      </c>
      <c r="F14" s="100">
        <v>1183.4728697486375</v>
      </c>
      <c r="G14" s="99">
        <f>'Localize Daily Bali Jimbaran'!AC19</f>
        <v>510.79087999996716</v>
      </c>
      <c r="H14" s="100">
        <f>'Localize Daily Bali Jimbaran'!AD19/'Localize Daily Bali Jimbaran'!AC19</f>
        <v>10155.391985463861</v>
      </c>
      <c r="I14" s="99">
        <f>'Localize Daily Bali Jimbaran'!AH19</f>
        <v>540.59999999999854</v>
      </c>
      <c r="J14" s="101">
        <f>'Localize Daily Bali Jimbaran'!AI19/'Localize Daily Bali Jimbaran'!AH19</f>
        <v>10300</v>
      </c>
      <c r="K14" s="99">
        <f>'Localize Daily Bali Jimbaran'!Q19</f>
        <v>85</v>
      </c>
      <c r="L14" s="100">
        <f>'Localize Daily Bali Jimbaran'!V19/'Localize Daily Bali Jimbaran'!Q19</f>
        <v>4245.18</v>
      </c>
      <c r="M14" s="99">
        <f>'Localize Daily Bali Jimbaran'!C19</f>
        <v>120</v>
      </c>
      <c r="N14" s="99">
        <v>308</v>
      </c>
    </row>
    <row r="15" spans="1:14" ht="15">
      <c r="A15" s="96" t="s">
        <v>14</v>
      </c>
      <c r="B15" s="97">
        <v>14</v>
      </c>
      <c r="C15" s="98">
        <v>8</v>
      </c>
      <c r="D15" s="97">
        <v>2019</v>
      </c>
      <c r="E15" s="99">
        <f>'Localize Daily Bali Jimbaran'!P20</f>
        <v>22519.999999998392</v>
      </c>
      <c r="F15" s="100">
        <v>1183.4728697486375</v>
      </c>
      <c r="G15" s="99">
        <f>'Localize Daily Bali Jimbaran'!AC20</f>
        <v>151.61391999999765</v>
      </c>
      <c r="H15" s="100">
        <f>'Localize Daily Bali Jimbaran'!AD20/'Localize Daily Bali Jimbaran'!AC20</f>
        <v>9143.75</v>
      </c>
      <c r="I15" s="99">
        <f>'Localize Daily Bali Jimbaran'!AH20</f>
        <v>448.20000000000437</v>
      </c>
      <c r="J15" s="101">
        <f>'Localize Daily Bali Jimbaran'!AI20/'Localize Daily Bali Jimbaran'!AH20</f>
        <v>10300</v>
      </c>
      <c r="K15" s="99">
        <f>'Localize Daily Bali Jimbaran'!Q20</f>
        <v>36</v>
      </c>
      <c r="L15" s="100">
        <f>'Localize Daily Bali Jimbaran'!V20/'Localize Daily Bali Jimbaran'!Q20</f>
        <v>4245.18</v>
      </c>
      <c r="M15" s="99">
        <f>'Localize Daily Bali Jimbaran'!C20</f>
        <v>115</v>
      </c>
      <c r="N15" s="99">
        <v>293</v>
      </c>
    </row>
    <row r="16" spans="1:14" ht="15">
      <c r="A16" s="96" t="s">
        <v>14</v>
      </c>
      <c r="B16" s="97">
        <v>15</v>
      </c>
      <c r="C16" s="98">
        <v>8</v>
      </c>
      <c r="D16" s="97">
        <v>2019</v>
      </c>
      <c r="E16" s="99">
        <f>'Localize Daily Bali Jimbaran'!P21</f>
        <v>22960.00000000072</v>
      </c>
      <c r="F16" s="100">
        <v>1183.4728697486375</v>
      </c>
      <c r="G16" s="99">
        <f>'Localize Daily Bali Jimbaran'!AC21</f>
        <v>312.7277600000516</v>
      </c>
      <c r="H16" s="100">
        <f>'Localize Daily Bali Jimbaran'!AD21/'Localize Daily Bali Jimbaran'!AC21</f>
        <v>9865.5039626157977</v>
      </c>
      <c r="I16" s="99">
        <f>'Localize Daily Bali Jimbaran'!AH21</f>
        <v>795.68000000000029</v>
      </c>
      <c r="J16" s="101">
        <f>'Localize Daily Bali Jimbaran'!AI21/'Localize Daily Bali Jimbaran'!AH21</f>
        <v>10300</v>
      </c>
      <c r="K16" s="99">
        <f>'Localize Daily Bali Jimbaran'!Q21</f>
        <v>183</v>
      </c>
      <c r="L16" s="100">
        <f>'Localize Daily Bali Jimbaran'!V21/'Localize Daily Bali Jimbaran'!Q21</f>
        <v>4245.18</v>
      </c>
      <c r="M16" s="99">
        <f>'Localize Daily Bali Jimbaran'!C21</f>
        <v>112</v>
      </c>
      <c r="N16" s="99">
        <v>289</v>
      </c>
    </row>
    <row r="17" spans="1:14" ht="15">
      <c r="A17" s="96" t="s">
        <v>14</v>
      </c>
      <c r="B17" s="97">
        <v>16</v>
      </c>
      <c r="C17" s="98">
        <v>8</v>
      </c>
      <c r="D17" s="97">
        <v>2019</v>
      </c>
      <c r="E17" s="99">
        <f>'Localize Daily Bali Jimbaran'!P22</f>
        <v>23199.999999999818</v>
      </c>
      <c r="F17" s="100">
        <v>1183.4728697486375</v>
      </c>
      <c r="G17" s="99">
        <f>'Localize Daily Bali Jimbaran'!AC22</f>
        <v>166.1918399999953</v>
      </c>
      <c r="H17" s="100">
        <f>'Localize Daily Bali Jimbaran'!AD22/'Localize Daily Bali Jimbaran'!AC22</f>
        <v>9322.9104208726549</v>
      </c>
      <c r="I17" s="99">
        <f>'Localize Daily Bali Jimbaran'!AH22</f>
        <v>611.0199999999968</v>
      </c>
      <c r="J17" s="101">
        <f>'Localize Daily Bali Jimbaran'!AI22/'Localize Daily Bali Jimbaran'!AH22</f>
        <v>10300</v>
      </c>
      <c r="K17" s="99">
        <f>'Localize Daily Bali Jimbaran'!Q22</f>
        <v>153</v>
      </c>
      <c r="L17" s="100">
        <f>'Localize Daily Bali Jimbaran'!V22/'Localize Daily Bali Jimbaran'!Q22</f>
        <v>8192.3308496732025</v>
      </c>
      <c r="M17" s="99">
        <f>'Localize Daily Bali Jimbaran'!C22</f>
        <v>115</v>
      </c>
      <c r="N17" s="99">
        <v>295</v>
      </c>
    </row>
    <row r="18" spans="1:14" ht="15">
      <c r="A18" s="96" t="s">
        <v>14</v>
      </c>
      <c r="B18" s="97">
        <v>17</v>
      </c>
      <c r="C18" s="98">
        <v>8</v>
      </c>
      <c r="D18" s="97">
        <v>2019</v>
      </c>
      <c r="E18" s="99">
        <f>'Localize Daily Bali Jimbaran'!P23</f>
        <v>21760.000000000673</v>
      </c>
      <c r="F18" s="100">
        <v>1183.4728697486375</v>
      </c>
      <c r="G18" s="99">
        <f>'Localize Daily Bali Jimbaran'!AC23</f>
        <v>330.76631999995072</v>
      </c>
      <c r="H18" s="100">
        <f>'Localize Daily Bali Jimbaran'!AD23/'Localize Daily Bali Jimbaran'!AC23</f>
        <v>10006.179101004125</v>
      </c>
      <c r="I18" s="99">
        <f>'Localize Daily Bali Jimbaran'!AH23</f>
        <v>601.40000000000146</v>
      </c>
      <c r="J18" s="101">
        <f>'Localize Daily Bali Jimbaran'!AI23/'Localize Daily Bali Jimbaran'!AH23</f>
        <v>10300</v>
      </c>
      <c r="K18" s="99">
        <f>'Localize Daily Bali Jimbaran'!Q23</f>
        <v>162</v>
      </c>
      <c r="L18" s="100">
        <f>'Localize Daily Bali Jimbaran'!V23/'Localize Daily Bali Jimbaran'!Q23</f>
        <v>14412.083703703704</v>
      </c>
      <c r="M18" s="99">
        <f>'Localize Daily Bali Jimbaran'!C23</f>
        <v>98</v>
      </c>
      <c r="N18" s="99">
        <v>258</v>
      </c>
    </row>
    <row r="19" spans="1:14" ht="15">
      <c r="A19" s="96" t="s">
        <v>14</v>
      </c>
      <c r="B19" s="97">
        <v>18</v>
      </c>
      <c r="C19" s="98">
        <v>8</v>
      </c>
      <c r="D19" s="97">
        <v>2019</v>
      </c>
      <c r="E19" s="99">
        <f>'Localize Daily Bali Jimbaran'!P24</f>
        <v>21159.999999998487</v>
      </c>
      <c r="F19" s="100">
        <v>1183.4728697486375</v>
      </c>
      <c r="G19" s="99">
        <f>'Localize Daily Bali Jimbaran'!AC24</f>
        <v>143.59820000003515</v>
      </c>
      <c r="H19" s="100">
        <f>'Localize Daily Bali Jimbaran'!AD24/'Localize Daily Bali Jimbaran'!AC24</f>
        <v>9143.75</v>
      </c>
      <c r="I19" s="99">
        <f>'Localize Daily Bali Jimbaran'!AH24</f>
        <v>608.40000000000146</v>
      </c>
      <c r="J19" s="101">
        <f>'Localize Daily Bali Jimbaran'!AI24/'Localize Daily Bali Jimbaran'!AH24</f>
        <v>10300</v>
      </c>
      <c r="K19" s="99">
        <f>'Localize Daily Bali Jimbaran'!Q24</f>
        <v>165</v>
      </c>
      <c r="L19" s="100">
        <f>'Localize Daily Bali Jimbaran'!V24/'Localize Daily Bali Jimbaran'!Q24</f>
        <v>7822.0815757575756</v>
      </c>
      <c r="M19" s="99">
        <f>'Localize Daily Bali Jimbaran'!C24</f>
        <v>100</v>
      </c>
      <c r="N19" s="99">
        <v>263</v>
      </c>
    </row>
    <row r="20" spans="1:14" ht="15">
      <c r="A20" s="96" t="s">
        <v>14</v>
      </c>
      <c r="B20" s="97">
        <v>19</v>
      </c>
      <c r="C20" s="98">
        <v>8</v>
      </c>
      <c r="D20" s="97">
        <v>2019</v>
      </c>
      <c r="E20" s="99">
        <f>'Localize Daily Bali Jimbaran'!P25</f>
        <v>21260.000000001583</v>
      </c>
      <c r="F20" s="100">
        <v>1183.4728697486375</v>
      </c>
      <c r="G20" s="99">
        <f>'Localize Daily Bali Jimbaran'!AC25</f>
        <v>595.93100000000004</v>
      </c>
      <c r="H20" s="100">
        <f>'Localize Daily Bali Jimbaran'!AD25/'Localize Daily Bali Jimbaran'!AC25</f>
        <v>10180.090616615009</v>
      </c>
      <c r="I20" s="99">
        <f>'Localize Daily Bali Jimbaran'!AH25</f>
        <v>519.79999999999563</v>
      </c>
      <c r="J20" s="101">
        <f>'Localize Daily Bali Jimbaran'!AI25/'Localize Daily Bali Jimbaran'!AH25</f>
        <v>10300</v>
      </c>
      <c r="K20" s="99">
        <f>'Localize Daily Bali Jimbaran'!Q25</f>
        <v>206</v>
      </c>
      <c r="L20" s="100">
        <f>'Localize Daily Bali Jimbaran'!V25/'Localize Daily Bali Jimbaran'!Q25</f>
        <v>8842.4959223300975</v>
      </c>
      <c r="M20" s="99">
        <f>'Localize Daily Bali Jimbaran'!C25</f>
        <v>94</v>
      </c>
      <c r="N20" s="99">
        <v>245</v>
      </c>
    </row>
    <row r="21" spans="1:14" ht="15">
      <c r="A21" s="96" t="s">
        <v>14</v>
      </c>
      <c r="B21" s="97">
        <v>20</v>
      </c>
      <c r="C21" s="98">
        <v>8</v>
      </c>
      <c r="D21" s="97">
        <v>2019</v>
      </c>
      <c r="E21" s="99">
        <f>'Localize Daily Bali Jimbaran'!P26</f>
        <v>21579.999999999243</v>
      </c>
      <c r="F21" s="100">
        <v>1183.4728697486375</v>
      </c>
      <c r="G21" s="99">
        <f>'Localize Daily Bali Jimbaran'!AC26</f>
        <v>163.29167999999061</v>
      </c>
      <c r="H21" s="100">
        <f>'Localize Daily Bali Jimbaran'!AD26/'Localize Daily Bali Jimbaran'!AC26</f>
        <v>9326.0924194055806</v>
      </c>
      <c r="I21" s="99">
        <f>'Localize Daily Bali Jimbaran'!AH26</f>
        <v>506</v>
      </c>
      <c r="J21" s="101">
        <f>'Localize Daily Bali Jimbaran'!AI26/'Localize Daily Bali Jimbaran'!AH26</f>
        <v>10300</v>
      </c>
      <c r="K21" s="99">
        <f>'Localize Daily Bali Jimbaran'!Q26</f>
        <v>205</v>
      </c>
      <c r="L21" s="100">
        <f>'Localize Daily Bali Jimbaran'!V26/'Localize Daily Bali Jimbaran'!Q26</f>
        <v>5316.4244878048785</v>
      </c>
      <c r="M21" s="99">
        <f>'Localize Daily Bali Jimbaran'!C26</f>
        <v>98</v>
      </c>
      <c r="N21" s="99">
        <v>255</v>
      </c>
    </row>
    <row r="22" spans="1:14" ht="15">
      <c r="A22" s="96" t="s">
        <v>14</v>
      </c>
      <c r="B22" s="97">
        <v>21</v>
      </c>
      <c r="C22" s="98">
        <v>8</v>
      </c>
      <c r="D22" s="97">
        <v>2019</v>
      </c>
      <c r="E22" s="99">
        <f>'Localize Daily Bali Jimbaran'!P27</f>
        <v>22060.000000000175</v>
      </c>
      <c r="F22" s="100">
        <v>1183.4728697486375</v>
      </c>
      <c r="G22" s="99">
        <f>'Localize Daily Bali Jimbaran'!AC27</f>
        <v>203.14456000001638</v>
      </c>
      <c r="H22" s="100">
        <f>'Localize Daily Bali Jimbaran'!AD27/'Localize Daily Bali Jimbaran'!AC27</f>
        <v>9465.2575018498883</v>
      </c>
      <c r="I22" s="99">
        <f>'Localize Daily Bali Jimbaran'!AH27</f>
        <v>347.08000000000175</v>
      </c>
      <c r="J22" s="101">
        <f>'Localize Daily Bali Jimbaran'!AI27/'Localize Daily Bali Jimbaran'!AH27</f>
        <v>10300</v>
      </c>
      <c r="K22" s="99">
        <f>'Localize Daily Bali Jimbaran'!Q27</f>
        <v>461</v>
      </c>
      <c r="L22" s="100">
        <f>'Localize Daily Bali Jimbaran'!V27/'Localize Daily Bali Jimbaran'!Q27</f>
        <v>8621.8004772234272</v>
      </c>
      <c r="M22" s="99">
        <f>'Localize Daily Bali Jimbaran'!C27</f>
        <v>122</v>
      </c>
      <c r="N22" s="99">
        <v>307</v>
      </c>
    </row>
    <row r="23" spans="1:14" ht="15">
      <c r="A23" s="96" t="s">
        <v>14</v>
      </c>
      <c r="B23" s="97">
        <v>22</v>
      </c>
      <c r="C23" s="98">
        <v>8</v>
      </c>
      <c r="D23" s="97">
        <v>2019</v>
      </c>
      <c r="E23" s="99">
        <f>'Localize Daily Bali Jimbaran'!P28</f>
        <v>22580.000000000153</v>
      </c>
      <c r="F23" s="100">
        <v>1183.4728697486375</v>
      </c>
      <c r="G23" s="99">
        <f>'Localize Daily Bali Jimbaran'!AC28</f>
        <v>155.03771999996246</v>
      </c>
      <c r="H23" s="100">
        <f>'Localize Daily Bali Jimbaran'!AD28/'Localize Daily Bali Jimbaran'!AC28</f>
        <v>9143.75</v>
      </c>
      <c r="I23" s="99">
        <f>'Localize Daily Bali Jimbaran'!AH28</f>
        <v>689.92000000001281</v>
      </c>
      <c r="J23" s="101">
        <f>'Localize Daily Bali Jimbaran'!AI28/'Localize Daily Bali Jimbaran'!AH28</f>
        <v>10300</v>
      </c>
      <c r="K23" s="99">
        <f>'Localize Daily Bali Jimbaran'!Q28</f>
        <v>262</v>
      </c>
      <c r="L23" s="100">
        <f>'Localize Daily Bali Jimbaran'!V28/'Localize Daily Bali Jimbaran'!Q28</f>
        <v>5659.6213740458015</v>
      </c>
      <c r="M23" s="99">
        <f>'Localize Daily Bali Jimbaran'!C28</f>
        <v>100</v>
      </c>
      <c r="N23" s="99">
        <v>270</v>
      </c>
    </row>
    <row r="24" spans="1:14" ht="15">
      <c r="A24" s="96" t="s">
        <v>14</v>
      </c>
      <c r="B24" s="97">
        <v>23</v>
      </c>
      <c r="C24" s="98">
        <v>8</v>
      </c>
      <c r="D24" s="97">
        <v>2019</v>
      </c>
      <c r="E24" s="99">
        <f>'Localize Daily Bali Jimbaran'!P29</f>
        <v>22259.999999999764</v>
      </c>
      <c r="F24" s="100">
        <v>1183.4728697486375</v>
      </c>
      <c r="G24" s="99">
        <f>'Localize Daily Bali Jimbaran'!AC29</f>
        <v>162.20412000003282</v>
      </c>
      <c r="H24" s="100">
        <f>'Localize Daily Bali Jimbaran'!AD29/'Localize Daily Bali Jimbaran'!AC29</f>
        <v>9327.3150043907262</v>
      </c>
      <c r="I24" s="99">
        <f>'Localize Daily Bali Jimbaran'!AH29</f>
        <v>476.1200000000099</v>
      </c>
      <c r="J24" s="101">
        <f>'Localize Daily Bali Jimbaran'!AI29/'Localize Daily Bali Jimbaran'!AH29</f>
        <v>10300</v>
      </c>
      <c r="K24" s="99">
        <f>'Localize Daily Bali Jimbaran'!Q29</f>
        <v>335</v>
      </c>
      <c r="L24" s="100">
        <f>'Localize Daily Bali Jimbaran'!V29/'Localize Daily Bali Jimbaran'!Q29</f>
        <v>9038.7992238805982</v>
      </c>
      <c r="M24" s="99">
        <f>'Localize Daily Bali Jimbaran'!C29</f>
        <v>90</v>
      </c>
      <c r="N24" s="99">
        <v>255</v>
      </c>
    </row>
    <row r="25" spans="1:14" ht="15">
      <c r="A25" s="96" t="s">
        <v>14</v>
      </c>
      <c r="B25" s="97">
        <v>24</v>
      </c>
      <c r="C25" s="98">
        <v>8</v>
      </c>
      <c r="D25" s="97">
        <v>2019</v>
      </c>
      <c r="E25" s="99">
        <f>'Localize Daily Bali Jimbaran'!P30</f>
        <v>22540.000000000189</v>
      </c>
      <c r="F25" s="100">
        <v>1183.4728697486375</v>
      </c>
      <c r="G25" s="99">
        <f>'Localize Daily Bali Jimbaran'!AC30</f>
        <v>181.89416000000466</v>
      </c>
      <c r="H25" s="100">
        <f>'Localize Daily Bali Jimbaran'!AD30/'Localize Daily Bali Jimbaran'!AC30</f>
        <v>9634.8322865340906</v>
      </c>
      <c r="I25" s="99">
        <f>'Localize Daily Bali Jimbaran'!AH30</f>
        <v>495.27999999999884</v>
      </c>
      <c r="J25" s="101">
        <f>'Localize Daily Bali Jimbaran'!AI30/'Localize Daily Bali Jimbaran'!AH30</f>
        <v>10300</v>
      </c>
      <c r="K25" s="99">
        <f>'Localize Daily Bali Jimbaran'!Q30</f>
        <v>100</v>
      </c>
      <c r="L25" s="100">
        <f>'Localize Daily Bali Jimbaran'!V30/'Localize Daily Bali Jimbaran'!Q30</f>
        <v>6852.9908000000005</v>
      </c>
      <c r="M25" s="99">
        <f>'Localize Daily Bali Jimbaran'!C30</f>
        <v>80</v>
      </c>
      <c r="N25" s="99">
        <v>237</v>
      </c>
    </row>
    <row r="26" spans="1:14" ht="15">
      <c r="A26" s="96" t="s">
        <v>14</v>
      </c>
      <c r="B26" s="97">
        <v>25</v>
      </c>
      <c r="C26" s="98">
        <v>8</v>
      </c>
      <c r="D26" s="97">
        <v>2019</v>
      </c>
      <c r="E26" s="99">
        <f>'Localize Daily Bali Jimbaran'!P31</f>
        <v>21720.000000000255</v>
      </c>
      <c r="F26" s="100">
        <v>1183.4728697486375</v>
      </c>
      <c r="G26" s="99">
        <f>'Localize Daily Bali Jimbaran'!AC31</f>
        <v>148.1061199999742</v>
      </c>
      <c r="H26" s="100">
        <f>'Localize Daily Bali Jimbaran'!AD31/'Localize Daily Bali Jimbaran'!AC31</f>
        <v>9344.7882825504112</v>
      </c>
      <c r="I26" s="99">
        <f>'Localize Daily Bali Jimbaran'!AH31</f>
        <v>527.19999999999709</v>
      </c>
      <c r="J26" s="101">
        <f>'Localize Daily Bali Jimbaran'!AI31/'Localize Daily Bali Jimbaran'!AH31</f>
        <v>10300</v>
      </c>
      <c r="K26" s="99">
        <f>'Localize Daily Bali Jimbaran'!Q31</f>
        <v>187</v>
      </c>
      <c r="L26" s="100">
        <f>'Localize Daily Bali Jimbaran'!V31/'Localize Daily Bali Jimbaran'!Q31</f>
        <v>10263.769518716577</v>
      </c>
      <c r="M26" s="99">
        <f>'Localize Daily Bali Jimbaran'!C31</f>
        <v>75</v>
      </c>
      <c r="N26" s="99">
        <v>209</v>
      </c>
    </row>
    <row r="27" spans="1:14" ht="15">
      <c r="A27" s="96" t="s">
        <v>14</v>
      </c>
      <c r="B27" s="97">
        <v>26</v>
      </c>
      <c r="C27" s="98">
        <v>8</v>
      </c>
      <c r="D27" s="97">
        <v>2019</v>
      </c>
      <c r="E27" s="99">
        <f>'Localize Daily Bali Jimbaran'!P32</f>
        <v>20559.999999998581</v>
      </c>
      <c r="F27" s="100">
        <v>1183.4728697486375</v>
      </c>
      <c r="G27" s="99">
        <f>'Localize Daily Bali Jimbaran'!AC32</f>
        <v>140.97656000001641</v>
      </c>
      <c r="H27" s="100">
        <f>'Localize Daily Bali Jimbaran'!AD32/'Localize Daily Bali Jimbaran'!AC32</f>
        <v>9354.9553237786222</v>
      </c>
      <c r="I27" s="99">
        <f>'Localize Daily Bali Jimbaran'!AH32</f>
        <v>471</v>
      </c>
      <c r="J27" s="101">
        <f>'Localize Daily Bali Jimbaran'!AI32/'Localize Daily Bali Jimbaran'!AH32</f>
        <v>10300</v>
      </c>
      <c r="K27" s="99">
        <f>'Localize Daily Bali Jimbaran'!Q32</f>
        <v>270</v>
      </c>
      <c r="L27" s="100">
        <f>'Localize Daily Bali Jimbaran'!V32/'Localize Daily Bali Jimbaran'!Q32</f>
        <v>10243.653185185187</v>
      </c>
      <c r="M27" s="99">
        <f>'Localize Daily Bali Jimbaran'!C32</f>
        <v>76</v>
      </c>
      <c r="N27" s="99">
        <v>207</v>
      </c>
    </row>
    <row r="28" spans="1:14" ht="15">
      <c r="A28" s="96" t="s">
        <v>14</v>
      </c>
      <c r="B28" s="97">
        <v>27</v>
      </c>
      <c r="C28" s="98">
        <v>8</v>
      </c>
      <c r="D28" s="97">
        <v>2019</v>
      </c>
      <c r="E28" s="99">
        <f>'Localize Daily Bali Jimbaran'!P33</f>
        <v>20700.000000000953</v>
      </c>
      <c r="F28" s="100">
        <v>1183.4728697486375</v>
      </c>
      <c r="G28" s="99">
        <f>'Localize Daily Bali Jimbaran'!AC33</f>
        <v>372.3949599999695</v>
      </c>
      <c r="H28" s="100">
        <f>'Localize Daily Bali Jimbaran'!AD33/'Localize Daily Bali Jimbaran'!AC33</f>
        <v>9925.2455390374344</v>
      </c>
      <c r="I28" s="99">
        <f>'Localize Daily Bali Jimbaran'!AH33</f>
        <v>366.16000000000349</v>
      </c>
      <c r="J28" s="101">
        <f>'Localize Daily Bali Jimbaran'!AI33/'Localize Daily Bali Jimbaran'!AH33</f>
        <v>10300</v>
      </c>
      <c r="K28" s="99">
        <f>'Localize Daily Bali Jimbaran'!Q33</f>
        <v>190</v>
      </c>
      <c r="L28" s="100">
        <f>'Localize Daily Bali Jimbaran'!V33/'Localize Daily Bali Jimbaran'!Q33</f>
        <v>7351.4366315789475</v>
      </c>
      <c r="M28" s="99">
        <f>'Localize Daily Bali Jimbaran'!C33</f>
        <v>75</v>
      </c>
      <c r="N28" s="99">
        <v>205</v>
      </c>
    </row>
    <row r="29" spans="1:14" ht="15">
      <c r="A29" s="96" t="s">
        <v>14</v>
      </c>
      <c r="B29" s="97">
        <v>28</v>
      </c>
      <c r="C29" s="98">
        <v>8</v>
      </c>
      <c r="D29" s="97">
        <v>2019</v>
      </c>
      <c r="E29" s="99">
        <f>'Localize Daily Bali Jimbaran'!P34</f>
        <v>22160.000000000309</v>
      </c>
      <c r="F29" s="100">
        <v>1183.4728697486375</v>
      </c>
      <c r="G29" s="99">
        <f>'Localize Daily Bali Jimbaran'!AC34</f>
        <v>193.67876000005157</v>
      </c>
      <c r="H29" s="100">
        <f>'Localize Daily Bali Jimbaran'!AD34/'Localize Daily Bali Jimbaran'!AC34</f>
        <v>9480.9707670060598</v>
      </c>
      <c r="I29" s="99">
        <f>'Localize Daily Bali Jimbaran'!AH34</f>
        <v>559.94000000000233</v>
      </c>
      <c r="J29" s="101">
        <f>'Localize Daily Bali Jimbaran'!AI34/'Localize Daily Bali Jimbaran'!AH34</f>
        <v>10300</v>
      </c>
      <c r="K29" s="99">
        <f>'Localize Daily Bali Jimbaran'!Q34</f>
        <v>186</v>
      </c>
      <c r="L29" s="100">
        <f>'Localize Daily Bali Jimbaran'!V34/'Localize Daily Bali Jimbaran'!Q34</f>
        <v>5721.0208602150533</v>
      </c>
      <c r="M29" s="99">
        <f>'Localize Daily Bali Jimbaran'!C34</f>
        <v>78</v>
      </c>
      <c r="N29" s="99">
        <v>207</v>
      </c>
    </row>
    <row r="30" spans="1:14" ht="15">
      <c r="A30" s="96" t="s">
        <v>14</v>
      </c>
      <c r="B30" s="97">
        <v>29</v>
      </c>
      <c r="C30" s="98">
        <v>8</v>
      </c>
      <c r="D30" s="97">
        <v>2019</v>
      </c>
      <c r="E30" s="99">
        <f>'Localize Daily Bali Jimbaran'!P35</f>
        <v>22639.999999998734</v>
      </c>
      <c r="F30" s="100">
        <v>1183.4728697486375</v>
      </c>
      <c r="G30" s="99">
        <f>'Localize Daily Bali Jimbaran'!AC35</f>
        <v>158.17955999995777</v>
      </c>
      <c r="H30" s="100">
        <f>'Localize Daily Bali Jimbaran'!AD35/'Localize Daily Bali Jimbaran'!AC35</f>
        <v>9143.75</v>
      </c>
      <c r="I30" s="99">
        <f>'Localize Daily Bali Jimbaran'!AH35</f>
        <v>596.17999999999302</v>
      </c>
      <c r="J30" s="101">
        <f>'Localize Daily Bali Jimbaran'!AI35/'Localize Daily Bali Jimbaran'!AH35</f>
        <v>10300</v>
      </c>
      <c r="K30" s="99">
        <f>'Localize Daily Bali Jimbaran'!Q35</f>
        <v>263</v>
      </c>
      <c r="L30" s="100">
        <f>'Localize Daily Bali Jimbaran'!V35/'Localize Daily Bali Jimbaran'!Q35</f>
        <v>6697.9938403041833</v>
      </c>
      <c r="M30" s="99">
        <f>'Localize Daily Bali Jimbaran'!C35</f>
        <v>63</v>
      </c>
      <c r="N30" s="99">
        <v>173</v>
      </c>
    </row>
    <row r="31" spans="1:14" ht="15">
      <c r="A31" s="96" t="s">
        <v>14</v>
      </c>
      <c r="B31" s="97">
        <v>30</v>
      </c>
      <c r="C31" s="98">
        <v>8</v>
      </c>
      <c r="D31" s="97">
        <v>2019</v>
      </c>
      <c r="E31" s="99">
        <f>'Localize Daily Bali Jimbaran'!P36</f>
        <v>22200.000000001637</v>
      </c>
      <c r="F31" s="100">
        <v>1183.4728697486375</v>
      </c>
      <c r="G31" s="99">
        <f>'Localize Daily Bali Jimbaran'!AC36</f>
        <v>162.04299999999998</v>
      </c>
      <c r="H31" s="100">
        <f>'Localize Daily Bali Jimbaran'!AD36/'Localize Daily Bali Jimbaran'!AC36</f>
        <v>9327.4975238054103</v>
      </c>
      <c r="I31" s="99">
        <f>'Localize Daily Bali Jimbaran'!AH36</f>
        <v>354.32000000000698</v>
      </c>
      <c r="J31" s="101">
        <f>'Localize Daily Bali Jimbaran'!AI36/'Localize Daily Bali Jimbaran'!AH36</f>
        <v>10300</v>
      </c>
      <c r="K31" s="99">
        <f>'Localize Daily Bali Jimbaran'!Q36</f>
        <v>93</v>
      </c>
      <c r="L31" s="100">
        <f>'Localize Daily Bali Jimbaran'!V36/'Localize Daily Bali Jimbaran'!Q36</f>
        <v>10738.879784946237</v>
      </c>
      <c r="M31" s="99">
        <f>'Localize Daily Bali Jimbaran'!C36</f>
        <v>55</v>
      </c>
      <c r="N31" s="99">
        <v>154</v>
      </c>
    </row>
    <row r="32" spans="1:14" ht="15">
      <c r="A32" s="96" t="s">
        <v>14</v>
      </c>
      <c r="B32" s="97">
        <v>31</v>
      </c>
      <c r="C32" s="98">
        <v>8</v>
      </c>
      <c r="D32" s="97">
        <v>2019</v>
      </c>
      <c r="E32" s="99">
        <f>'Localize Daily Bali Jimbaran'!P37</f>
        <v>22539.99999999928</v>
      </c>
      <c r="F32" s="100">
        <v>1183.4728697486375</v>
      </c>
      <c r="G32" s="99">
        <f>'Localize Daily Bali Jimbaran'!AC37</f>
        <v>170.49491999999765</v>
      </c>
      <c r="H32" s="100">
        <f>'Localize Daily Bali Jimbaran'!AD37/'Localize Daily Bali Jimbaran'!AC37</f>
        <v>9667.6659031835152</v>
      </c>
      <c r="I32" s="99">
        <f>'Localize Daily Bali Jimbaran'!AH37</f>
        <v>397</v>
      </c>
      <c r="J32" s="101">
        <f>'Localize Daily Bali Jimbaran'!AI37/'Localize Daily Bali Jimbaran'!AH37</f>
        <v>10300</v>
      </c>
      <c r="K32" s="99">
        <f>'Localize Daily Bali Jimbaran'!Q37</f>
        <v>72</v>
      </c>
      <c r="L32" s="100">
        <f>'Localize Daily Bali Jimbaran'!V37/'Localize Daily Bali Jimbaran'!Q37</f>
        <v>14539.17</v>
      </c>
      <c r="M32" s="99">
        <f>'Localize Daily Bali Jimbaran'!C37</f>
        <v>43</v>
      </c>
      <c r="N32" s="99">
        <v>116</v>
      </c>
    </row>
    <row r="33" spans="5:14" ht="15">
      <c r="E33" s="159">
        <f>SUM(E2:E32)</f>
        <v>682680.00000000047</v>
      </c>
      <c r="F33" s="100">
        <v>1183.4728697486375</v>
      </c>
      <c r="K33" s="159">
        <f>SUM(K2:K32)</f>
        <v>5189</v>
      </c>
      <c r="M33" s="159">
        <f>SUM(M2:M32)</f>
        <v>2942</v>
      </c>
      <c r="N33" s="159">
        <f>SUM(N2:N32)</f>
        <v>7781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S16" workbookViewId="0">
      <selection activeCell="AG43" sqref="AG43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4"/>
    </row>
    <row r="4" spans="1:36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7"/>
    </row>
    <row r="5" spans="1:36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70" t="s">
        <v>30</v>
      </c>
      <c r="AF5" s="170"/>
      <c r="AG5" s="170"/>
      <c r="AH5" s="170"/>
      <c r="AI5" s="170"/>
      <c r="AJ5" s="83"/>
    </row>
    <row r="6" spans="1:36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67</v>
      </c>
      <c r="D7" s="103">
        <v>570</v>
      </c>
      <c r="E7" s="156">
        <v>16640.000000000327</v>
      </c>
      <c r="F7" s="156">
        <v>18097148.160000358</v>
      </c>
      <c r="G7" s="116">
        <v>3519.9999999999818</v>
      </c>
      <c r="H7" s="157">
        <v>5742364.3199999714</v>
      </c>
      <c r="I7" s="105">
        <f>F7+H7</f>
        <v>23839512.480000328</v>
      </c>
      <c r="J7" s="115">
        <v>1740.0000000006912</v>
      </c>
      <c r="K7" s="115">
        <v>1892370.0600007519</v>
      </c>
      <c r="L7" s="119">
        <v>419.99999999984539</v>
      </c>
      <c r="M7" s="121">
        <v>685168.46999974793</v>
      </c>
      <c r="N7" s="107">
        <f>K7+M7</f>
        <v>2577538.5300004999</v>
      </c>
      <c r="O7" s="105">
        <f>I7+N7</f>
        <v>26417051.010000829</v>
      </c>
      <c r="P7" s="107">
        <f>E7+G7+J7+L7</f>
        <v>22320.000000000844</v>
      </c>
      <c r="Q7" s="123">
        <f>R7+T7</f>
        <v>159</v>
      </c>
      <c r="R7" s="115">
        <v>75</v>
      </c>
      <c r="S7" s="115">
        <v>1347787.5</v>
      </c>
      <c r="T7" s="115">
        <v>84</v>
      </c>
      <c r="U7" s="115">
        <v>356595.12</v>
      </c>
      <c r="V7" s="115">
        <f>S7+U7</f>
        <v>1704382.62</v>
      </c>
      <c r="W7" s="115">
        <v>122.49148000001405</v>
      </c>
      <c r="X7" s="106"/>
      <c r="Y7" s="110">
        <v>350</v>
      </c>
      <c r="Z7" s="108"/>
      <c r="AA7" s="108"/>
      <c r="AB7" s="112">
        <v>72</v>
      </c>
      <c r="AC7" s="123">
        <f>W7+X7+Y7+Z7+AA7+AB7</f>
        <v>544.49148000001401</v>
      </c>
      <c r="AD7" s="104">
        <v>5614531.4702501288</v>
      </c>
      <c r="AE7" s="109"/>
      <c r="AF7" s="128">
        <v>776.15000000000146</v>
      </c>
      <c r="AG7" s="130">
        <v>0</v>
      </c>
      <c r="AH7" s="130">
        <f>AF7+AG7</f>
        <v>776.15000000000146</v>
      </c>
      <c r="AI7" s="132">
        <v>7994345.0000000149</v>
      </c>
      <c r="AJ7" s="18"/>
    </row>
    <row r="8" spans="1:36" ht="15">
      <c r="A8" s="19"/>
      <c r="B8" s="64">
        <v>2</v>
      </c>
      <c r="C8" s="65">
        <v>88</v>
      </c>
      <c r="D8" s="65">
        <v>711</v>
      </c>
      <c r="E8" s="124">
        <v>16800.000000000182</v>
      </c>
      <c r="F8" s="124">
        <v>18271159.200000197</v>
      </c>
      <c r="G8" s="111">
        <v>3560.0000000001728</v>
      </c>
      <c r="H8" s="111">
        <v>5807618.4600002822</v>
      </c>
      <c r="I8" s="105">
        <f>F8+H8</f>
        <v>24078777.660000481</v>
      </c>
      <c r="J8" s="158">
        <v>1699.9999999998181</v>
      </c>
      <c r="K8" s="158">
        <v>1848867.2999998024</v>
      </c>
      <c r="L8" s="120">
        <v>420.00000000007276</v>
      </c>
      <c r="M8" s="122">
        <v>685168.47000011872</v>
      </c>
      <c r="N8" s="107">
        <f>K8+M8</f>
        <v>2534035.7699999213</v>
      </c>
      <c r="O8" s="105">
        <f>I8+N8</f>
        <v>26612813.430000402</v>
      </c>
      <c r="P8" s="107">
        <f>E8+G8+J8+L8</f>
        <v>22480.000000000247</v>
      </c>
      <c r="Q8" s="123">
        <f>R8+T8</f>
        <v>118</v>
      </c>
      <c r="R8" s="124">
        <v>72</v>
      </c>
      <c r="S8" s="124">
        <v>1293876</v>
      </c>
      <c r="T8" s="117">
        <v>46</v>
      </c>
      <c r="U8" s="117">
        <v>195278.28000000003</v>
      </c>
      <c r="V8" s="115">
        <f>S8+U8</f>
        <v>1489154.28</v>
      </c>
      <c r="W8" s="126">
        <v>140.37580000002342</v>
      </c>
      <c r="X8" s="112"/>
      <c r="Y8" s="110">
        <v>0</v>
      </c>
      <c r="Z8" s="112"/>
      <c r="AA8" s="112"/>
      <c r="AB8" s="112">
        <v>0</v>
      </c>
      <c r="AC8" s="123">
        <f>W8+X8+Y8+Z8+AA8+AB8</f>
        <v>140.37580000002342</v>
      </c>
      <c r="AD8" s="110">
        <v>1283561.2212502141</v>
      </c>
      <c r="AE8" s="113"/>
      <c r="AF8" s="129">
        <v>604.4800000000032</v>
      </c>
      <c r="AG8" s="131">
        <v>0</v>
      </c>
      <c r="AH8" s="130">
        <f>AF8+AG8</f>
        <v>604.4800000000032</v>
      </c>
      <c r="AI8" s="133">
        <v>6226144.0000000326</v>
      </c>
      <c r="AJ8" s="21"/>
    </row>
    <row r="9" spans="1:36" ht="15">
      <c r="A9" s="19"/>
      <c r="B9" s="81">
        <v>3</v>
      </c>
      <c r="C9" s="65">
        <v>82</v>
      </c>
      <c r="D9" s="65">
        <v>683</v>
      </c>
      <c r="E9" s="124">
        <v>16920.000000000073</v>
      </c>
      <c r="F9" s="124">
        <v>18401667.480000082</v>
      </c>
      <c r="G9" s="111">
        <v>3479.9999999997908</v>
      </c>
      <c r="H9" s="111">
        <v>5677110.1799996598</v>
      </c>
      <c r="I9" s="105">
        <f>F9+H9</f>
        <v>24078777.659999743</v>
      </c>
      <c r="J9" s="158">
        <v>1880.0000000001091</v>
      </c>
      <c r="K9" s="158">
        <v>2044629.7200001187</v>
      </c>
      <c r="L9" s="120">
        <v>420.00000000007276</v>
      </c>
      <c r="M9" s="122">
        <v>685168.47000011872</v>
      </c>
      <c r="N9" s="107">
        <f>K9+M9</f>
        <v>2729798.1900002374</v>
      </c>
      <c r="O9" s="105">
        <f>I9+N9</f>
        <v>26808575.849999979</v>
      </c>
      <c r="P9" s="107">
        <f>E9+G9+J9+L9</f>
        <v>22700.000000000044</v>
      </c>
      <c r="Q9" s="123">
        <f>R9+T9</f>
        <v>119</v>
      </c>
      <c r="R9" s="124">
        <v>70</v>
      </c>
      <c r="S9" s="124">
        <v>1257935</v>
      </c>
      <c r="T9" s="117">
        <v>49</v>
      </c>
      <c r="U9" s="117">
        <v>208013.82</v>
      </c>
      <c r="V9" s="115">
        <f>S9+U9</f>
        <v>1465948.82</v>
      </c>
      <c r="W9" s="126">
        <v>125.35135999998123</v>
      </c>
      <c r="X9" s="112"/>
      <c r="Y9" s="110">
        <v>0</v>
      </c>
      <c r="Z9" s="112">
        <v>50</v>
      </c>
      <c r="AA9" s="112"/>
      <c r="AB9" s="112">
        <v>12</v>
      </c>
      <c r="AC9" s="123">
        <f>W9+X9+Y9+Z9+AA9+AB9</f>
        <v>187.35135999998124</v>
      </c>
      <c r="AD9" s="110">
        <v>1808181.4979998283</v>
      </c>
      <c r="AE9" s="113"/>
      <c r="AF9" s="129">
        <v>522.39999999999418</v>
      </c>
      <c r="AG9" s="131">
        <v>0</v>
      </c>
      <c r="AH9" s="130">
        <f>AF9+AG9</f>
        <v>522.39999999999418</v>
      </c>
      <c r="AI9" s="133">
        <v>5380719.9999999404</v>
      </c>
      <c r="AJ9" s="21"/>
    </row>
    <row r="10" spans="1:36" ht="15">
      <c r="A10" s="19"/>
      <c r="B10" s="64">
        <v>4</v>
      </c>
      <c r="C10" s="65">
        <v>85</v>
      </c>
      <c r="D10" s="65">
        <v>742</v>
      </c>
      <c r="E10" s="124">
        <v>15879.9999999992</v>
      </c>
      <c r="F10" s="124">
        <v>17270595.719999131</v>
      </c>
      <c r="G10" s="111">
        <v>3200.0000000000455</v>
      </c>
      <c r="H10" s="111">
        <v>5220331.2000000747</v>
      </c>
      <c r="I10" s="105">
        <f>F10+H10</f>
        <v>22490926.919999205</v>
      </c>
      <c r="J10" s="158">
        <v>1760.0000000002183</v>
      </c>
      <c r="K10" s="158">
        <v>1914121.4400002374</v>
      </c>
      <c r="L10" s="120">
        <v>419.99999999984539</v>
      </c>
      <c r="M10" s="122">
        <v>685168.46999974793</v>
      </c>
      <c r="N10" s="107">
        <f>K10+M10</f>
        <v>2599289.9099999852</v>
      </c>
      <c r="O10" s="105">
        <f>I10+N10</f>
        <v>25090216.82999919</v>
      </c>
      <c r="P10" s="107">
        <f>E10+G10+J10+L10</f>
        <v>21259.999999999309</v>
      </c>
      <c r="Q10" s="123">
        <f>R10+T10</f>
        <v>139</v>
      </c>
      <c r="R10" s="124">
        <v>72</v>
      </c>
      <c r="S10" s="124">
        <v>1293876</v>
      </c>
      <c r="T10" s="117">
        <v>67</v>
      </c>
      <c r="U10" s="117">
        <v>284427.06</v>
      </c>
      <c r="V10" s="115">
        <f>S10+U10</f>
        <v>1578303.06</v>
      </c>
      <c r="W10" s="126">
        <v>0</v>
      </c>
      <c r="X10" s="112"/>
      <c r="Y10" s="110">
        <v>0</v>
      </c>
      <c r="Z10" s="112"/>
      <c r="AA10" s="112"/>
      <c r="AB10" s="112">
        <v>0</v>
      </c>
      <c r="AC10" s="123">
        <f>W10+X10+Y10+Z10+AA10+AB10</f>
        <v>0</v>
      </c>
      <c r="AD10" s="110">
        <v>0</v>
      </c>
      <c r="AE10" s="113"/>
      <c r="AF10" s="129">
        <v>487</v>
      </c>
      <c r="AG10" s="131">
        <v>104.89999999999418</v>
      </c>
      <c r="AH10" s="130">
        <f>AF10+AG10</f>
        <v>591.89999999999418</v>
      </c>
      <c r="AI10" s="133">
        <v>6096569.9999999404</v>
      </c>
      <c r="AJ10" s="21"/>
    </row>
    <row r="11" spans="1:36" ht="15">
      <c r="A11" s="19"/>
      <c r="B11" s="81">
        <v>5</v>
      </c>
      <c r="C11" s="65">
        <v>89</v>
      </c>
      <c r="D11" s="65">
        <v>672</v>
      </c>
      <c r="E11" s="124">
        <v>15400.000000000546</v>
      </c>
      <c r="F11" s="124">
        <v>16748562.600000594</v>
      </c>
      <c r="G11" s="111">
        <v>3279.9999999999727</v>
      </c>
      <c r="H11" s="111">
        <v>5350839.4799999557</v>
      </c>
      <c r="I11" s="105">
        <f>F11+H11</f>
        <v>22099402.08000055</v>
      </c>
      <c r="J11" s="158">
        <v>1639.9999999994179</v>
      </c>
      <c r="K11" s="158">
        <v>1783613.1599993671</v>
      </c>
      <c r="L11" s="120">
        <v>420.00000000007276</v>
      </c>
      <c r="M11" s="122">
        <v>685168.47000011872</v>
      </c>
      <c r="N11" s="107">
        <f>K11+M11</f>
        <v>2468781.6299994858</v>
      </c>
      <c r="O11" s="105">
        <f>I11+N11</f>
        <v>24568183.710000034</v>
      </c>
      <c r="P11" s="107">
        <f>E11+G11+J11+L11</f>
        <v>20740.000000000007</v>
      </c>
      <c r="Q11" s="123">
        <f>R11+T11</f>
        <v>97</v>
      </c>
      <c r="R11" s="124">
        <v>52</v>
      </c>
      <c r="S11" s="124">
        <v>934466</v>
      </c>
      <c r="T11" s="117">
        <v>45</v>
      </c>
      <c r="U11" s="117">
        <v>191033.1</v>
      </c>
      <c r="V11" s="115">
        <f>S11+U11</f>
        <v>1125499.1000000001</v>
      </c>
      <c r="W11" s="126">
        <v>126.68059999998826</v>
      </c>
      <c r="X11" s="112"/>
      <c r="Y11" s="110">
        <v>50</v>
      </c>
      <c r="Z11" s="112"/>
      <c r="AA11" s="112"/>
      <c r="AB11" s="112">
        <v>60</v>
      </c>
      <c r="AC11" s="123">
        <f>W11+X11+Y11+Z11+AA11+AB11</f>
        <v>236.68059999998826</v>
      </c>
      <c r="AD11" s="110">
        <v>2378335.736249893</v>
      </c>
      <c r="AE11" s="113"/>
      <c r="AF11" s="129">
        <v>526</v>
      </c>
      <c r="AG11" s="131">
        <v>0</v>
      </c>
      <c r="AH11" s="130">
        <f>AF11+AG11</f>
        <v>526</v>
      </c>
      <c r="AI11" s="133">
        <v>5417800</v>
      </c>
      <c r="AJ11" s="21"/>
    </row>
    <row r="12" spans="1:36" ht="15">
      <c r="A12" s="19"/>
      <c r="B12" s="64">
        <v>6</v>
      </c>
      <c r="C12" s="65">
        <v>93</v>
      </c>
      <c r="D12" s="65">
        <v>704</v>
      </c>
      <c r="E12" s="124">
        <v>15559.999999999491</v>
      </c>
      <c r="F12" s="124">
        <v>16922573.639999446</v>
      </c>
      <c r="G12" s="111">
        <v>3320.0000000001637</v>
      </c>
      <c r="H12" s="111">
        <v>5416093.6200002674</v>
      </c>
      <c r="I12" s="105">
        <f>F12+H12</f>
        <v>22338667.259999715</v>
      </c>
      <c r="J12" s="158">
        <v>1800.0000000001819</v>
      </c>
      <c r="K12" s="158">
        <v>1957624.2000001979</v>
      </c>
      <c r="L12" s="120">
        <v>420.00000000007276</v>
      </c>
      <c r="M12" s="122">
        <v>685168.47000011872</v>
      </c>
      <c r="N12" s="107">
        <f>K12+M12</f>
        <v>2642792.6700003166</v>
      </c>
      <c r="O12" s="105">
        <f>I12+N12</f>
        <v>24981459.93000003</v>
      </c>
      <c r="P12" s="107">
        <f>E12+G12+J12+L12</f>
        <v>21099.999999999909</v>
      </c>
      <c r="Q12" s="123">
        <f>R12+T12</f>
        <v>129</v>
      </c>
      <c r="R12" s="124">
        <v>59</v>
      </c>
      <c r="S12" s="124">
        <v>1060259.5</v>
      </c>
      <c r="T12" s="117">
        <v>70</v>
      </c>
      <c r="U12" s="117">
        <v>297162.60000000003</v>
      </c>
      <c r="V12" s="115">
        <f>S12+U12</f>
        <v>1357422.1</v>
      </c>
      <c r="W12" s="126">
        <v>137.75760000004686</v>
      </c>
      <c r="X12" s="112"/>
      <c r="Y12" s="110">
        <v>300</v>
      </c>
      <c r="Z12" s="112"/>
      <c r="AA12" s="112"/>
      <c r="AB12" s="112">
        <v>0</v>
      </c>
      <c r="AC12" s="123">
        <f>W12+X12+Y12+Z12+AA12+AB12</f>
        <v>437.75760000004686</v>
      </c>
      <c r="AD12" s="110">
        <v>4394621.0550004281</v>
      </c>
      <c r="AE12" s="113"/>
      <c r="AF12" s="129">
        <v>550.35000000000582</v>
      </c>
      <c r="AG12" s="131">
        <v>0</v>
      </c>
      <c r="AH12" s="130">
        <f>AF12+AG12</f>
        <v>550.35000000000582</v>
      </c>
      <c r="AI12" s="133">
        <v>5668605.0000000596</v>
      </c>
      <c r="AJ12" s="21"/>
    </row>
    <row r="13" spans="1:36" ht="15">
      <c r="A13" s="19"/>
      <c r="B13" s="81">
        <v>7</v>
      </c>
      <c r="C13" s="65">
        <v>103</v>
      </c>
      <c r="D13" s="65">
        <v>793</v>
      </c>
      <c r="E13" s="124">
        <v>15880.000000000109</v>
      </c>
      <c r="F13" s="124">
        <v>17270595.720000118</v>
      </c>
      <c r="G13" s="111">
        <v>3399.9999999998636</v>
      </c>
      <c r="H13" s="111">
        <v>5546601.8999997787</v>
      </c>
      <c r="I13" s="105">
        <f>F13+H13</f>
        <v>22817197.619999897</v>
      </c>
      <c r="J13" s="158">
        <v>1800.0000000001819</v>
      </c>
      <c r="K13" s="158">
        <v>1957624.2000001979</v>
      </c>
      <c r="L13" s="120">
        <v>419.99999999984539</v>
      </c>
      <c r="M13" s="122">
        <v>685168.46999974793</v>
      </c>
      <c r="N13" s="107">
        <f>K13+M13</f>
        <v>2642792.6699999459</v>
      </c>
      <c r="O13" s="105">
        <f>I13+N13</f>
        <v>25459990.289999843</v>
      </c>
      <c r="P13" s="107">
        <f>E13+G13+J13+L13</f>
        <v>21500</v>
      </c>
      <c r="Q13" s="123">
        <f>R13+T13</f>
        <v>172</v>
      </c>
      <c r="R13" s="124">
        <v>60</v>
      </c>
      <c r="S13" s="124">
        <v>1078230</v>
      </c>
      <c r="T13" s="117">
        <v>112</v>
      </c>
      <c r="U13" s="117">
        <v>475460.16000000003</v>
      </c>
      <c r="V13" s="115">
        <f>S13+U13</f>
        <v>1553690.1600000001</v>
      </c>
      <c r="W13" s="126">
        <v>150.04299999999998</v>
      </c>
      <c r="X13" s="112"/>
      <c r="Y13" s="110">
        <v>0</v>
      </c>
      <c r="Z13" s="112"/>
      <c r="AA13" s="112"/>
      <c r="AB13" s="112">
        <v>36</v>
      </c>
      <c r="AC13" s="123">
        <f>W13+X13+Y13+Z13+AA13+AB13</f>
        <v>186.04299999999998</v>
      </c>
      <c r="AD13" s="110">
        <v>1790455.6812499999</v>
      </c>
      <c r="AE13" s="113"/>
      <c r="AF13" s="129">
        <v>422.95999999999913</v>
      </c>
      <c r="AG13" s="131">
        <v>0</v>
      </c>
      <c r="AH13" s="130">
        <f>AF13+AG13</f>
        <v>422.95999999999913</v>
      </c>
      <c r="AI13" s="133">
        <v>4356487.9999999907</v>
      </c>
      <c r="AJ13" s="21"/>
    </row>
    <row r="14" spans="1:36" ht="15">
      <c r="A14" s="19"/>
      <c r="B14" s="64">
        <v>8</v>
      </c>
      <c r="C14" s="65">
        <v>120</v>
      </c>
      <c r="D14" s="65">
        <v>856</v>
      </c>
      <c r="E14" s="124">
        <v>16040.000000000873</v>
      </c>
      <c r="F14" s="124">
        <v>17444606.760000952</v>
      </c>
      <c r="G14" s="111">
        <v>3360.0000000001273</v>
      </c>
      <c r="H14" s="111">
        <v>5481347.7600002075</v>
      </c>
      <c r="I14" s="105">
        <f>F14+H14</f>
        <v>22925954.520001158</v>
      </c>
      <c r="J14" s="158">
        <v>1979.9999999995634</v>
      </c>
      <c r="K14" s="158">
        <v>2153386.6199995251</v>
      </c>
      <c r="L14" s="120">
        <v>440.00000000005457</v>
      </c>
      <c r="M14" s="122">
        <v>717795.54000008909</v>
      </c>
      <c r="N14" s="107">
        <f>K14+M14</f>
        <v>2871182.1599996141</v>
      </c>
      <c r="O14" s="105">
        <f>I14+N14</f>
        <v>25797136.680000771</v>
      </c>
      <c r="P14" s="107">
        <f>E14+G14+J14+L14</f>
        <v>21820.000000000618</v>
      </c>
      <c r="Q14" s="123">
        <f>R14+T14</f>
        <v>147</v>
      </c>
      <c r="R14" s="124">
        <v>24</v>
      </c>
      <c r="S14" s="124">
        <v>431292</v>
      </c>
      <c r="T14" s="117">
        <v>123</v>
      </c>
      <c r="U14" s="117">
        <v>522157.14</v>
      </c>
      <c r="V14" s="115">
        <f>S14+U14</f>
        <v>953449.14</v>
      </c>
      <c r="W14" s="126">
        <v>146.29695999996952</v>
      </c>
      <c r="X14" s="112"/>
      <c r="Y14" s="110">
        <v>0</v>
      </c>
      <c r="Z14" s="112"/>
      <c r="AA14" s="112"/>
      <c r="AB14" s="112">
        <v>0</v>
      </c>
      <c r="AC14" s="123">
        <f>W14+X14+Y14+Z14+AA14+AB14</f>
        <v>146.29695999996952</v>
      </c>
      <c r="AD14" s="110">
        <v>1337702.8279997213</v>
      </c>
      <c r="AE14" s="113"/>
      <c r="AF14" s="129">
        <v>596.68999999999505</v>
      </c>
      <c r="AG14" s="131">
        <v>70.200000000011642</v>
      </c>
      <c r="AH14" s="130">
        <f>AF14+AG14</f>
        <v>666.89000000000669</v>
      </c>
      <c r="AI14" s="133">
        <v>6868967.0000000689</v>
      </c>
      <c r="AJ14" s="21"/>
    </row>
    <row r="15" spans="1:36" ht="15">
      <c r="A15" s="19"/>
      <c r="B15" s="81">
        <v>9</v>
      </c>
      <c r="C15" s="65">
        <v>123</v>
      </c>
      <c r="D15" s="65">
        <v>990</v>
      </c>
      <c r="E15" s="124">
        <v>16279.999999998836</v>
      </c>
      <c r="F15" s="124">
        <v>17705623.319998737</v>
      </c>
      <c r="G15" s="111">
        <v>3480.0000000000182</v>
      </c>
      <c r="H15" s="111">
        <v>5677110.1800000304</v>
      </c>
      <c r="I15" s="105">
        <f>F15+H15</f>
        <v>23382733.499998767</v>
      </c>
      <c r="J15" s="158">
        <v>1980.0000000004729</v>
      </c>
      <c r="K15" s="158">
        <v>2153386.6200005142</v>
      </c>
      <c r="L15" s="120">
        <v>440.00000000005457</v>
      </c>
      <c r="M15" s="122">
        <v>717795.54000008909</v>
      </c>
      <c r="N15" s="107">
        <f>K15+M15</f>
        <v>2871182.1600006032</v>
      </c>
      <c r="O15" s="105">
        <f>I15+N15</f>
        <v>26253915.659999371</v>
      </c>
      <c r="P15" s="107">
        <f>E15+G15+J15+L15</f>
        <v>22179.999999999382</v>
      </c>
      <c r="Q15" s="123">
        <f>R15+T15</f>
        <v>49</v>
      </c>
      <c r="R15" s="124">
        <v>15</v>
      </c>
      <c r="S15" s="124">
        <v>269557.5</v>
      </c>
      <c r="T15" s="117">
        <v>34</v>
      </c>
      <c r="U15" s="117">
        <v>144336.12</v>
      </c>
      <c r="V15" s="115">
        <f>S15+U15</f>
        <v>413893.62</v>
      </c>
      <c r="W15" s="126">
        <v>143.23567999999059</v>
      </c>
      <c r="X15" s="112"/>
      <c r="Y15" s="110">
        <v>0</v>
      </c>
      <c r="Z15" s="112">
        <v>50</v>
      </c>
      <c r="AA15" s="112"/>
      <c r="AB15" s="112">
        <v>12</v>
      </c>
      <c r="AC15" s="123">
        <f>W15+X15+Y15+Z15+AA15+AB15</f>
        <v>205.23567999999059</v>
      </c>
      <c r="AD15" s="110">
        <v>1971711.2489999139</v>
      </c>
      <c r="AE15" s="113"/>
      <c r="AF15" s="129">
        <v>724.52000000000407</v>
      </c>
      <c r="AG15" s="131">
        <v>257.19999999998254</v>
      </c>
      <c r="AH15" s="130">
        <f>AF15+AG15</f>
        <v>981.71999999998661</v>
      </c>
      <c r="AI15" s="133">
        <v>10111715.999999862</v>
      </c>
      <c r="AJ15" s="21"/>
    </row>
    <row r="16" spans="1:36" ht="15">
      <c r="A16" s="19"/>
      <c r="B16" s="64">
        <v>10</v>
      </c>
      <c r="C16" s="65">
        <v>127</v>
      </c>
      <c r="D16" s="65">
        <v>895</v>
      </c>
      <c r="E16" s="124">
        <v>16440.000000000509</v>
      </c>
      <c r="F16" s="124">
        <v>17879634.360000554</v>
      </c>
      <c r="G16" s="111">
        <v>3559.9999999999454</v>
      </c>
      <c r="H16" s="111">
        <v>5807618.4599999115</v>
      </c>
      <c r="I16" s="105">
        <f>F16+H16</f>
        <v>23687252.820000466</v>
      </c>
      <c r="J16" s="158">
        <v>1979.9999999995634</v>
      </c>
      <c r="K16" s="158">
        <v>2153386.6199995251</v>
      </c>
      <c r="L16" s="120">
        <v>420.00000000007276</v>
      </c>
      <c r="M16" s="122">
        <v>685168.47000011872</v>
      </c>
      <c r="N16" s="107">
        <f>K16+M16</f>
        <v>2838555.0899996441</v>
      </c>
      <c r="O16" s="105">
        <f>I16+N16</f>
        <v>26525807.910000108</v>
      </c>
      <c r="P16" s="107">
        <f>E16+G16+J16+L16</f>
        <v>22400.000000000091</v>
      </c>
      <c r="Q16" s="123">
        <f>R16+T16</f>
        <v>188</v>
      </c>
      <c r="R16" s="124">
        <v>20</v>
      </c>
      <c r="S16" s="124">
        <v>359410</v>
      </c>
      <c r="T16" s="117">
        <v>168</v>
      </c>
      <c r="U16" s="117">
        <v>713190.24</v>
      </c>
      <c r="V16" s="115">
        <f>S16+U16</f>
        <v>1072600.24</v>
      </c>
      <c r="W16" s="126">
        <v>142.06756000001639</v>
      </c>
      <c r="X16" s="112"/>
      <c r="Y16" s="110">
        <v>200</v>
      </c>
      <c r="Z16" s="112"/>
      <c r="AA16" s="112"/>
      <c r="AB16" s="112">
        <v>0</v>
      </c>
      <c r="AC16" s="123">
        <f>W16+X16+Y16+Z16+AA16+AB16</f>
        <v>342.06756000001639</v>
      </c>
      <c r="AD16" s="110">
        <v>3389030.2517501498</v>
      </c>
      <c r="AE16" s="113"/>
      <c r="AF16" s="129">
        <v>506.68000000000029</v>
      </c>
      <c r="AG16" s="131">
        <v>0</v>
      </c>
      <c r="AH16" s="130">
        <f>AF16+AG16</f>
        <v>506.68000000000029</v>
      </c>
      <c r="AI16" s="133">
        <v>5218804.0000000028</v>
      </c>
      <c r="AJ16" s="21"/>
    </row>
    <row r="17" spans="1:36" ht="15">
      <c r="A17" s="19"/>
      <c r="B17" s="81">
        <v>11</v>
      </c>
      <c r="C17" s="65">
        <v>126</v>
      </c>
      <c r="D17" s="65">
        <v>1001</v>
      </c>
      <c r="E17" s="124">
        <v>16000</v>
      </c>
      <c r="F17" s="124">
        <v>17401104</v>
      </c>
      <c r="G17" s="111">
        <v>3519.9999999999818</v>
      </c>
      <c r="H17" s="111">
        <v>5742364.3199999714</v>
      </c>
      <c r="I17" s="105">
        <f>F17+H17</f>
        <v>23143468.31999997</v>
      </c>
      <c r="J17" s="158">
        <v>1840.0000000001455</v>
      </c>
      <c r="K17" s="158">
        <v>2001126.9600001583</v>
      </c>
      <c r="L17" s="120">
        <v>439.9999999998272</v>
      </c>
      <c r="M17" s="122">
        <v>717795.5399997182</v>
      </c>
      <c r="N17" s="107">
        <f>K17+M17</f>
        <v>2718922.4999998766</v>
      </c>
      <c r="O17" s="105">
        <f>I17+N17</f>
        <v>25862390.819999848</v>
      </c>
      <c r="P17" s="107">
        <f>E17+G17+J17+L17</f>
        <v>21799.999999999956</v>
      </c>
      <c r="Q17" s="123">
        <f>R17+T17</f>
        <v>129</v>
      </c>
      <c r="R17" s="124">
        <v>0</v>
      </c>
      <c r="S17" s="124">
        <v>0</v>
      </c>
      <c r="T17" s="117">
        <v>129</v>
      </c>
      <c r="U17" s="117">
        <v>547628.22000000009</v>
      </c>
      <c r="V17" s="115">
        <f>S17+U17</f>
        <v>547628.22000000009</v>
      </c>
      <c r="W17" s="126">
        <v>134.1324000000117</v>
      </c>
      <c r="X17" s="112"/>
      <c r="Y17" s="110">
        <v>0</v>
      </c>
      <c r="Z17" s="112"/>
      <c r="AA17" s="112"/>
      <c r="AB17" s="112">
        <v>0</v>
      </c>
      <c r="AC17" s="123">
        <f>W17+X17+Y17+Z17+AA17+AB17</f>
        <v>134.1324000000117</v>
      </c>
      <c r="AD17" s="110">
        <v>1226473.1325001069</v>
      </c>
      <c r="AE17" s="113"/>
      <c r="AF17" s="129">
        <v>612.29999999999563</v>
      </c>
      <c r="AG17" s="131">
        <v>0</v>
      </c>
      <c r="AH17" s="130">
        <f>AF17+AG17</f>
        <v>612.29999999999563</v>
      </c>
      <c r="AI17" s="133">
        <v>6306689.9999999553</v>
      </c>
      <c r="AJ17" s="21"/>
    </row>
    <row r="18" spans="1:36" ht="15">
      <c r="A18" s="19"/>
      <c r="B18" s="64">
        <v>12</v>
      </c>
      <c r="C18" s="65">
        <v>130</v>
      </c>
      <c r="D18" s="65">
        <v>870</v>
      </c>
      <c r="E18" s="124">
        <v>17440.000000000509</v>
      </c>
      <c r="F18" s="124">
        <v>18967203.360000554</v>
      </c>
      <c r="G18" s="111">
        <v>3879.9999999998818</v>
      </c>
      <c r="H18" s="111">
        <v>6329651.5799998073</v>
      </c>
      <c r="I18" s="105">
        <f>F18+H18</f>
        <v>25296854.940000363</v>
      </c>
      <c r="J18" s="158">
        <v>1899.9999999996362</v>
      </c>
      <c r="K18" s="158">
        <v>2066381.0999996043</v>
      </c>
      <c r="L18" s="120">
        <v>440.00000000005457</v>
      </c>
      <c r="M18" s="122">
        <v>717795.54000008909</v>
      </c>
      <c r="N18" s="107">
        <f>K18+M18</f>
        <v>2784176.6399996933</v>
      </c>
      <c r="O18" s="105">
        <f>I18+N18</f>
        <v>28081031.580000058</v>
      </c>
      <c r="P18" s="107">
        <f>E18+G18+J18+L18</f>
        <v>23660.000000000084</v>
      </c>
      <c r="Q18" s="123">
        <f>R18+T18</f>
        <v>129</v>
      </c>
      <c r="R18" s="124">
        <v>3</v>
      </c>
      <c r="S18" s="124">
        <v>53911.5</v>
      </c>
      <c r="T18" s="117">
        <v>126</v>
      </c>
      <c r="U18" s="117">
        <v>534892.68000000005</v>
      </c>
      <c r="V18" s="115">
        <f>S18+U18</f>
        <v>588804.18000000005</v>
      </c>
      <c r="W18" s="126">
        <v>136.952</v>
      </c>
      <c r="X18" s="112"/>
      <c r="Y18" s="110">
        <v>0</v>
      </c>
      <c r="Z18" s="112"/>
      <c r="AA18" s="112"/>
      <c r="AB18" s="112">
        <v>12</v>
      </c>
      <c r="AC18" s="123">
        <f>W18+X18+Y18+Z18+AA18+AB18</f>
        <v>148.952</v>
      </c>
      <c r="AD18" s="110">
        <v>1391754.85</v>
      </c>
      <c r="AE18" s="113"/>
      <c r="AF18" s="129">
        <v>504.40000000000146</v>
      </c>
      <c r="AG18" s="131">
        <v>0</v>
      </c>
      <c r="AH18" s="130">
        <f>AF18+AG18</f>
        <v>504.40000000000146</v>
      </c>
      <c r="AI18" s="133">
        <v>5195320.0000000149</v>
      </c>
      <c r="AJ18" s="21"/>
    </row>
    <row r="19" spans="1:36" ht="15">
      <c r="A19" s="19"/>
      <c r="B19" s="81">
        <v>13</v>
      </c>
      <c r="C19" s="65">
        <v>120</v>
      </c>
      <c r="D19" s="65">
        <v>687</v>
      </c>
      <c r="E19" s="124">
        <v>16600.000000000364</v>
      </c>
      <c r="F19" s="124">
        <v>18053645.400000397</v>
      </c>
      <c r="G19" s="111">
        <v>3480.0000000000182</v>
      </c>
      <c r="H19" s="111">
        <v>5677110.1800000304</v>
      </c>
      <c r="I19" s="105">
        <f>F19+H19</f>
        <v>23730755.580000427</v>
      </c>
      <c r="J19" s="158">
        <v>1820.0000000006185</v>
      </c>
      <c r="K19" s="158">
        <v>1979375.5800006727</v>
      </c>
      <c r="L19" s="120">
        <v>420.00000000007276</v>
      </c>
      <c r="M19" s="122">
        <v>685168.47000011872</v>
      </c>
      <c r="N19" s="107">
        <f>K19+M19</f>
        <v>2664544.0500007914</v>
      </c>
      <c r="O19" s="105">
        <f>I19+N19</f>
        <v>26395299.630001217</v>
      </c>
      <c r="P19" s="107">
        <f>E19+G19+J19+L19</f>
        <v>22320.000000001073</v>
      </c>
      <c r="Q19" s="123">
        <f>R19+T19</f>
        <v>85</v>
      </c>
      <c r="R19" s="124">
        <v>0</v>
      </c>
      <c r="S19" s="124">
        <v>0</v>
      </c>
      <c r="T19" s="117">
        <v>85</v>
      </c>
      <c r="U19" s="117">
        <v>360840.30000000005</v>
      </c>
      <c r="V19" s="115">
        <f>S19+U19</f>
        <v>360840.30000000005</v>
      </c>
      <c r="W19" s="126">
        <v>136.79087999996716</v>
      </c>
      <c r="X19" s="112"/>
      <c r="Y19" s="110">
        <v>350</v>
      </c>
      <c r="Z19" s="112"/>
      <c r="AA19" s="112"/>
      <c r="AB19" s="112">
        <v>24</v>
      </c>
      <c r="AC19" s="123">
        <f>W19+X19+Y19+Z19+AA19+AB19</f>
        <v>510.79087999996716</v>
      </c>
      <c r="AD19" s="110">
        <v>5187281.6089996994</v>
      </c>
      <c r="AE19" s="113"/>
      <c r="AF19" s="129">
        <v>540.59999999999854</v>
      </c>
      <c r="AG19" s="131">
        <v>0</v>
      </c>
      <c r="AH19" s="130">
        <f>AF19+AG19</f>
        <v>540.59999999999854</v>
      </c>
      <c r="AI19" s="133">
        <v>5568179.9999999851</v>
      </c>
      <c r="AJ19" s="21"/>
    </row>
    <row r="20" spans="1:36" ht="15">
      <c r="A20" s="19"/>
      <c r="B20" s="64">
        <v>14</v>
      </c>
      <c r="C20" s="65">
        <v>115</v>
      </c>
      <c r="D20" s="65">
        <v>843</v>
      </c>
      <c r="E20" s="124">
        <v>16599.999999998545</v>
      </c>
      <c r="F20" s="124">
        <v>18053645.399998415</v>
      </c>
      <c r="G20" s="111">
        <v>3600.0000000001364</v>
      </c>
      <c r="H20" s="111">
        <v>5872872.6000002231</v>
      </c>
      <c r="I20" s="105">
        <f>F20+H20</f>
        <v>23926517.999998637</v>
      </c>
      <c r="J20" s="158">
        <v>1899.9999999996362</v>
      </c>
      <c r="K20" s="158">
        <v>2066381.0999996043</v>
      </c>
      <c r="L20" s="120">
        <v>420.00000000007276</v>
      </c>
      <c r="M20" s="122">
        <v>685168.47000011872</v>
      </c>
      <c r="N20" s="107">
        <f>K20+M20</f>
        <v>2751549.5699997228</v>
      </c>
      <c r="O20" s="105">
        <f>I20+N20</f>
        <v>26678067.569998361</v>
      </c>
      <c r="P20" s="107">
        <f>E20+G20+J20+L20</f>
        <v>22519.999999998392</v>
      </c>
      <c r="Q20" s="123">
        <f>R20+T20</f>
        <v>36</v>
      </c>
      <c r="R20" s="124">
        <v>0</v>
      </c>
      <c r="S20" s="124">
        <v>0</v>
      </c>
      <c r="T20" s="117">
        <v>36</v>
      </c>
      <c r="U20" s="117">
        <v>152826.48000000001</v>
      </c>
      <c r="V20" s="115">
        <f>S20+U20</f>
        <v>152826.48000000001</v>
      </c>
      <c r="W20" s="126">
        <v>151.61391999999765</v>
      </c>
      <c r="X20" s="112"/>
      <c r="Y20" s="110">
        <v>0</v>
      </c>
      <c r="Z20" s="112"/>
      <c r="AA20" s="112"/>
      <c r="AB20" s="112">
        <v>0</v>
      </c>
      <c r="AC20" s="123">
        <f>W20+X20+Y20+Z20+AA20+AB20</f>
        <v>151.61391999999765</v>
      </c>
      <c r="AD20" s="110">
        <v>1386319.7809999785</v>
      </c>
      <c r="AE20" s="113"/>
      <c r="AF20" s="129">
        <v>448.20000000000437</v>
      </c>
      <c r="AG20" s="131">
        <v>0</v>
      </c>
      <c r="AH20" s="130">
        <f>AF20+AG20</f>
        <v>448.20000000000437</v>
      </c>
      <c r="AI20" s="133">
        <v>4616460.0000000447</v>
      </c>
      <c r="AJ20" s="21"/>
    </row>
    <row r="21" spans="1:36" ht="15">
      <c r="A21" s="19"/>
      <c r="B21" s="81">
        <v>15</v>
      </c>
      <c r="C21" s="71">
        <v>112</v>
      </c>
      <c r="D21" s="71">
        <v>907</v>
      </c>
      <c r="E21" s="117">
        <v>17040.000000000873</v>
      </c>
      <c r="F21" s="117">
        <v>18532175.760000952</v>
      </c>
      <c r="G21" s="114">
        <v>3559.9999999999454</v>
      </c>
      <c r="H21" s="114">
        <v>5807618.4599999115</v>
      </c>
      <c r="I21" s="105">
        <f>F21+H21</f>
        <v>24339794.220000863</v>
      </c>
      <c r="J21" s="114">
        <v>1920.0000000000728</v>
      </c>
      <c r="K21" s="114">
        <v>2088132.4800000791</v>
      </c>
      <c r="L21" s="114">
        <v>439.9999999998272</v>
      </c>
      <c r="M21" s="117">
        <v>717795.5399997182</v>
      </c>
      <c r="N21" s="107">
        <f>K21+M21</f>
        <v>2805928.0199997975</v>
      </c>
      <c r="O21" s="105">
        <f>I21+N21</f>
        <v>27145722.240000661</v>
      </c>
      <c r="P21" s="107">
        <f>E21+G21+J21+L21</f>
        <v>22960.00000000072</v>
      </c>
      <c r="Q21" s="123">
        <f>R21+T21</f>
        <v>183</v>
      </c>
      <c r="R21" s="124">
        <v>0</v>
      </c>
      <c r="S21" s="124">
        <v>0</v>
      </c>
      <c r="T21" s="117">
        <v>183</v>
      </c>
      <c r="U21" s="117">
        <v>776867.94000000006</v>
      </c>
      <c r="V21" s="115">
        <f>S21+U21</f>
        <v>776867.94000000006</v>
      </c>
      <c r="W21" s="126">
        <v>150.72776000005157</v>
      </c>
      <c r="X21" s="112"/>
      <c r="Y21" s="110">
        <v>100</v>
      </c>
      <c r="Z21" s="112">
        <v>50</v>
      </c>
      <c r="AA21" s="112"/>
      <c r="AB21" s="112">
        <v>12</v>
      </c>
      <c r="AC21" s="123">
        <f>W21+X21+Y21+Z21+AA21+AB21</f>
        <v>312.7277600000516</v>
      </c>
      <c r="AD21" s="110">
        <v>3085216.9555004714</v>
      </c>
      <c r="AE21" s="113"/>
      <c r="AF21" s="129">
        <v>795.68000000000029</v>
      </c>
      <c r="AG21" s="131">
        <v>0</v>
      </c>
      <c r="AH21" s="130">
        <f>AF21+AG21</f>
        <v>795.68000000000029</v>
      </c>
      <c r="AI21" s="133">
        <v>8195504.0000000028</v>
      </c>
      <c r="AJ21" s="21"/>
    </row>
    <row r="22" spans="1:36" ht="15">
      <c r="A22" s="19"/>
      <c r="B22" s="64">
        <v>16</v>
      </c>
      <c r="C22" s="71">
        <v>115</v>
      </c>
      <c r="D22" s="71">
        <v>888</v>
      </c>
      <c r="E22" s="117">
        <v>17239.999999999782</v>
      </c>
      <c r="F22" s="117">
        <v>18749689.55999976</v>
      </c>
      <c r="G22" s="114">
        <v>3519.9999999999818</v>
      </c>
      <c r="H22" s="114">
        <v>5742364.3199999714</v>
      </c>
      <c r="I22" s="105">
        <f>F22+H22</f>
        <v>24492053.879999731</v>
      </c>
      <c r="J22" s="114">
        <v>2000</v>
      </c>
      <c r="K22" s="114">
        <v>2175138</v>
      </c>
      <c r="L22" s="114">
        <v>440.00000000005457</v>
      </c>
      <c r="M22" s="117">
        <v>717795.54000008909</v>
      </c>
      <c r="N22" s="107">
        <f>K22+M22</f>
        <v>2892933.540000089</v>
      </c>
      <c r="O22" s="105">
        <f>I22+N22</f>
        <v>27384987.419999819</v>
      </c>
      <c r="P22" s="107">
        <f>E22+G22+J22+L22</f>
        <v>23199.999999999818</v>
      </c>
      <c r="Q22" s="123">
        <f>R22+T22</f>
        <v>153</v>
      </c>
      <c r="R22" s="124">
        <v>44</v>
      </c>
      <c r="S22" s="124">
        <v>790702</v>
      </c>
      <c r="T22" s="117">
        <v>109</v>
      </c>
      <c r="U22" s="117">
        <v>462724.62000000005</v>
      </c>
      <c r="V22" s="115">
        <f>S22+U22</f>
        <v>1253426.6200000001</v>
      </c>
      <c r="W22" s="126">
        <v>154.1918399999953</v>
      </c>
      <c r="X22" s="112"/>
      <c r="Y22" s="110">
        <v>0</v>
      </c>
      <c r="Z22" s="112"/>
      <c r="AA22" s="112"/>
      <c r="AB22" s="112">
        <v>12</v>
      </c>
      <c r="AC22" s="123">
        <f>W22+X22+Y22+Z22+AA22+AB22</f>
        <v>166.1918399999953</v>
      </c>
      <c r="AD22" s="110">
        <v>1549391.636999957</v>
      </c>
      <c r="AE22" s="113"/>
      <c r="AF22" s="129">
        <v>611.0199999999968</v>
      </c>
      <c r="AG22" s="131">
        <v>0</v>
      </c>
      <c r="AH22" s="130">
        <f>AF22+AG22</f>
        <v>611.0199999999968</v>
      </c>
      <c r="AI22" s="133">
        <v>6293505.9999999674</v>
      </c>
      <c r="AJ22" s="21"/>
    </row>
    <row r="23" spans="1:36" ht="15">
      <c r="A23" s="19"/>
      <c r="B23" s="81">
        <v>17</v>
      </c>
      <c r="C23" s="71">
        <v>98</v>
      </c>
      <c r="D23" s="71">
        <v>796</v>
      </c>
      <c r="E23" s="117">
        <v>16000</v>
      </c>
      <c r="F23" s="117">
        <v>17401104</v>
      </c>
      <c r="G23" s="114">
        <v>3400.0000000000909</v>
      </c>
      <c r="H23" s="114">
        <v>5546601.9000001485</v>
      </c>
      <c r="I23" s="105">
        <f>F23+H23</f>
        <v>22947705.900000148</v>
      </c>
      <c r="J23" s="114">
        <v>1940.0000000005093</v>
      </c>
      <c r="K23" s="114">
        <v>2109883.860000554</v>
      </c>
      <c r="L23" s="114">
        <v>420.00000000007276</v>
      </c>
      <c r="M23" s="117">
        <v>685168.47000011872</v>
      </c>
      <c r="N23" s="107">
        <f>K23+M23</f>
        <v>2795052.3300006725</v>
      </c>
      <c r="O23" s="105">
        <f>I23+N23</f>
        <v>25742758.23000082</v>
      </c>
      <c r="P23" s="107">
        <f>E23+G23+J23+L23</f>
        <v>21760.000000000673</v>
      </c>
      <c r="Q23" s="123">
        <f>R23+T23</f>
        <v>162</v>
      </c>
      <c r="R23" s="124">
        <v>120</v>
      </c>
      <c r="S23" s="124">
        <v>2156460</v>
      </c>
      <c r="T23" s="117">
        <v>42</v>
      </c>
      <c r="U23" s="117">
        <v>178297.56</v>
      </c>
      <c r="V23" s="115">
        <f>S23+U23</f>
        <v>2334757.56</v>
      </c>
      <c r="W23" s="126">
        <v>144.76631999995075</v>
      </c>
      <c r="X23" s="112"/>
      <c r="Y23" s="110">
        <v>150</v>
      </c>
      <c r="Z23" s="112"/>
      <c r="AA23" s="112"/>
      <c r="AB23" s="112">
        <v>36</v>
      </c>
      <c r="AC23" s="123">
        <f>W23+X23+Y23+Z23+AA23+AB23</f>
        <v>330.76631999995072</v>
      </c>
      <c r="AD23" s="110">
        <v>3309707.03849955</v>
      </c>
      <c r="AE23" s="113"/>
      <c r="AF23" s="129">
        <v>601.40000000000146</v>
      </c>
      <c r="AG23" s="131">
        <v>0</v>
      </c>
      <c r="AH23" s="130">
        <f>AF23+AG23</f>
        <v>601.40000000000146</v>
      </c>
      <c r="AI23" s="133">
        <v>6194420.0000000149</v>
      </c>
      <c r="AJ23" s="21"/>
    </row>
    <row r="24" spans="1:36" ht="15">
      <c r="A24" s="19"/>
      <c r="B24" s="64">
        <v>18</v>
      </c>
      <c r="C24" s="71">
        <v>100</v>
      </c>
      <c r="D24" s="71">
        <v>871</v>
      </c>
      <c r="E24" s="117">
        <v>15559.999999999491</v>
      </c>
      <c r="F24" s="117">
        <v>16922573.639999446</v>
      </c>
      <c r="G24" s="114">
        <v>3399.9999999998636</v>
      </c>
      <c r="H24" s="114">
        <v>5546601.8999997787</v>
      </c>
      <c r="I24" s="105">
        <f>F24+H24</f>
        <v>22469175.539999224</v>
      </c>
      <c r="J24" s="114">
        <v>1759.9999999993088</v>
      </c>
      <c r="K24" s="118">
        <v>1914121.4399992484</v>
      </c>
      <c r="L24" s="114">
        <v>439.9999999998272</v>
      </c>
      <c r="M24" s="117">
        <v>717795.5399997182</v>
      </c>
      <c r="N24" s="107">
        <f>K24+M24</f>
        <v>2631916.9799989667</v>
      </c>
      <c r="O24" s="105">
        <f>I24+N24</f>
        <v>25101092.519998193</v>
      </c>
      <c r="P24" s="107">
        <f>E24+G24+J24+L24</f>
        <v>21159.999999998487</v>
      </c>
      <c r="Q24" s="123">
        <f>R24+T24</f>
        <v>165</v>
      </c>
      <c r="R24" s="124">
        <v>43</v>
      </c>
      <c r="S24" s="124">
        <v>772731.5</v>
      </c>
      <c r="T24" s="117">
        <v>122</v>
      </c>
      <c r="U24" s="117">
        <v>517911.96</v>
      </c>
      <c r="V24" s="115">
        <f>S24+U24</f>
        <v>1290643.46</v>
      </c>
      <c r="W24" s="126">
        <v>143.59820000003515</v>
      </c>
      <c r="X24" s="112"/>
      <c r="Y24" s="110">
        <v>0</v>
      </c>
      <c r="Z24" s="112"/>
      <c r="AA24" s="112"/>
      <c r="AB24" s="112">
        <v>0</v>
      </c>
      <c r="AC24" s="123">
        <f>W24+X24+Y24+Z24+AA24+AB24</f>
        <v>143.59820000003515</v>
      </c>
      <c r="AD24" s="110">
        <v>1313026.0412503213</v>
      </c>
      <c r="AE24" s="113"/>
      <c r="AF24" s="129">
        <v>608.40000000000146</v>
      </c>
      <c r="AG24" s="131">
        <v>0</v>
      </c>
      <c r="AH24" s="130">
        <f>AF24+AG24</f>
        <v>608.40000000000146</v>
      </c>
      <c r="AI24" s="133">
        <v>6266520.0000000149</v>
      </c>
      <c r="AJ24" s="21"/>
    </row>
    <row r="25" spans="1:36" ht="15">
      <c r="A25" s="19"/>
      <c r="B25" s="81">
        <v>19</v>
      </c>
      <c r="C25" s="71">
        <v>94</v>
      </c>
      <c r="D25" s="71">
        <v>760</v>
      </c>
      <c r="E25" s="117">
        <v>15720.000000001164</v>
      </c>
      <c r="F25" s="117">
        <v>17096584.680001266</v>
      </c>
      <c r="G25" s="114">
        <v>3440.0000000000546</v>
      </c>
      <c r="H25" s="114">
        <v>5611856.0400000904</v>
      </c>
      <c r="I25" s="105">
        <f>F25+H25</f>
        <v>22708440.720001355</v>
      </c>
      <c r="J25" s="114">
        <v>1680.000000000291</v>
      </c>
      <c r="K25" s="114">
        <v>1827115.9200003166</v>
      </c>
      <c r="L25" s="114">
        <v>420.00000000007276</v>
      </c>
      <c r="M25" s="117">
        <v>685168.47000011872</v>
      </c>
      <c r="N25" s="107">
        <f>K25+M25</f>
        <v>2512284.3900004355</v>
      </c>
      <c r="O25" s="105">
        <f>I25+N25</f>
        <v>25220725.110001791</v>
      </c>
      <c r="P25" s="107">
        <f>E25+G25+J25+L25</f>
        <v>21260.000000001583</v>
      </c>
      <c r="Q25" s="123">
        <f>R25+T25</f>
        <v>206</v>
      </c>
      <c r="R25" s="124">
        <v>69</v>
      </c>
      <c r="S25" s="124">
        <v>1239964.5</v>
      </c>
      <c r="T25" s="117">
        <v>137</v>
      </c>
      <c r="U25" s="117">
        <v>581589.66</v>
      </c>
      <c r="V25" s="115">
        <f>S25+U25</f>
        <v>1821554.1600000001</v>
      </c>
      <c r="W25" s="126">
        <v>133.93099999999998</v>
      </c>
      <c r="X25" s="112"/>
      <c r="Y25" s="110">
        <v>450</v>
      </c>
      <c r="Z25" s="112"/>
      <c r="AA25" s="112"/>
      <c r="AB25" s="112">
        <v>12</v>
      </c>
      <c r="AC25" s="123">
        <f>W25+X25+Y25+Z25+AA25+AB25</f>
        <v>595.93100000000004</v>
      </c>
      <c r="AD25" s="110">
        <v>6066631.5812499998</v>
      </c>
      <c r="AE25" s="113"/>
      <c r="AF25" s="129">
        <v>519.79999999999563</v>
      </c>
      <c r="AG25" s="131">
        <v>0</v>
      </c>
      <c r="AH25" s="130">
        <f>AF25+AG25</f>
        <v>519.79999999999563</v>
      </c>
      <c r="AI25" s="133">
        <v>5353939.9999999553</v>
      </c>
      <c r="AJ25" s="21"/>
    </row>
    <row r="26" spans="1:36" ht="15">
      <c r="A26" s="19"/>
      <c r="B26" s="64">
        <v>20</v>
      </c>
      <c r="C26" s="71">
        <v>98</v>
      </c>
      <c r="D26" s="71">
        <v>739</v>
      </c>
      <c r="E26" s="117">
        <v>16119.999999998981</v>
      </c>
      <c r="F26" s="117">
        <v>17531612.279998895</v>
      </c>
      <c r="G26" s="114">
        <v>3319.9999999999363</v>
      </c>
      <c r="H26" s="114">
        <v>5416093.6199998967</v>
      </c>
      <c r="I26" s="105">
        <f>F26+H26</f>
        <v>22947705.899998792</v>
      </c>
      <c r="J26" s="114">
        <v>1720.0000000002547</v>
      </c>
      <c r="K26" s="114">
        <v>1870618.680000277</v>
      </c>
      <c r="L26" s="114">
        <v>420.00000000007276</v>
      </c>
      <c r="M26" s="117">
        <v>685168.47000011872</v>
      </c>
      <c r="N26" s="107">
        <f>K26+M26</f>
        <v>2555787.1500003957</v>
      </c>
      <c r="O26" s="105">
        <f>I26+N26</f>
        <v>25503493.049999189</v>
      </c>
      <c r="P26" s="107">
        <f>E26+G26+J26+L26</f>
        <v>21579.999999999243</v>
      </c>
      <c r="Q26" s="123">
        <f>R26+T26</f>
        <v>205</v>
      </c>
      <c r="R26" s="124">
        <v>16</v>
      </c>
      <c r="S26" s="124">
        <v>287528</v>
      </c>
      <c r="T26" s="117">
        <v>189</v>
      </c>
      <c r="U26" s="117">
        <v>802339.02</v>
      </c>
      <c r="V26" s="115">
        <f>S26+U26</f>
        <v>1089867.02</v>
      </c>
      <c r="W26" s="126">
        <v>151.29167999999061</v>
      </c>
      <c r="X26" s="112"/>
      <c r="Y26" s="110">
        <v>0</v>
      </c>
      <c r="Z26" s="112"/>
      <c r="AA26" s="112"/>
      <c r="AB26" s="112">
        <v>12</v>
      </c>
      <c r="AC26" s="123">
        <f>W26+X26+Y26+Z26+AA26+AB26</f>
        <v>163.29167999999061</v>
      </c>
      <c r="AD26" s="110">
        <v>1522873.2989999142</v>
      </c>
      <c r="AE26" s="113"/>
      <c r="AF26" s="129">
        <v>506</v>
      </c>
      <c r="AG26" s="131">
        <v>0</v>
      </c>
      <c r="AH26" s="130">
        <f>AF26+AG26</f>
        <v>506</v>
      </c>
      <c r="AI26" s="133">
        <v>5211800</v>
      </c>
      <c r="AJ26" s="21"/>
    </row>
    <row r="27" spans="1:36" ht="15">
      <c r="A27" s="19"/>
      <c r="B27" s="81">
        <v>21</v>
      </c>
      <c r="C27" s="65">
        <v>122</v>
      </c>
      <c r="D27" s="65">
        <v>795</v>
      </c>
      <c r="E27" s="124">
        <v>16079.999999999927</v>
      </c>
      <c r="F27" s="124">
        <v>17488109.519999921</v>
      </c>
      <c r="G27" s="111">
        <v>3640.0000000001</v>
      </c>
      <c r="H27" s="111">
        <v>5938126.7400001632</v>
      </c>
      <c r="I27" s="105">
        <f>F27+H27</f>
        <v>23426236.260000084</v>
      </c>
      <c r="J27" s="158">
        <v>1880.0000000001091</v>
      </c>
      <c r="K27" s="158">
        <v>2044629.7200001187</v>
      </c>
      <c r="L27" s="120">
        <v>460.00000000003638</v>
      </c>
      <c r="M27" s="122">
        <v>750422.61000005936</v>
      </c>
      <c r="N27" s="107">
        <f>K27+M27</f>
        <v>2795052.330000178</v>
      </c>
      <c r="O27" s="105">
        <f>I27+N27</f>
        <v>26221288.590000261</v>
      </c>
      <c r="P27" s="107">
        <f>E27+G27+J27+L27</f>
        <v>22060.000000000175</v>
      </c>
      <c r="Q27" s="123">
        <f>R27+T27</f>
        <v>461</v>
      </c>
      <c r="R27" s="124">
        <v>147</v>
      </c>
      <c r="S27" s="124">
        <v>2641663.5</v>
      </c>
      <c r="T27" s="117">
        <v>314</v>
      </c>
      <c r="U27" s="117">
        <v>1332986.52</v>
      </c>
      <c r="V27" s="115">
        <f>S27+U27</f>
        <v>3974650.02</v>
      </c>
      <c r="W27" s="126">
        <v>153.14456000001638</v>
      </c>
      <c r="X27" s="112"/>
      <c r="Y27" s="110">
        <v>0</v>
      </c>
      <c r="Z27" s="112">
        <v>50</v>
      </c>
      <c r="AA27" s="112"/>
      <c r="AB27" s="112">
        <v>0</v>
      </c>
      <c r="AC27" s="123">
        <f>W27+X27+Y27+Z27+AA27+AB27</f>
        <v>203.14456000001638</v>
      </c>
      <c r="AD27" s="110">
        <v>1922815.5705001499</v>
      </c>
      <c r="AE27" s="113"/>
      <c r="AF27" s="129">
        <v>347.08000000000175</v>
      </c>
      <c r="AG27" s="131">
        <v>0</v>
      </c>
      <c r="AH27" s="130">
        <f>AF27+AG27</f>
        <v>347.08000000000175</v>
      </c>
      <c r="AI27" s="133">
        <v>3574924.0000000182</v>
      </c>
      <c r="AJ27" s="21"/>
    </row>
    <row r="28" spans="1:36" ht="15">
      <c r="A28" s="19"/>
      <c r="B28" s="64">
        <v>22</v>
      </c>
      <c r="C28" s="65">
        <v>100</v>
      </c>
      <c r="D28" s="65">
        <v>852</v>
      </c>
      <c r="E28" s="124">
        <v>16880.000000001019</v>
      </c>
      <c r="F28" s="124">
        <v>18358164.720001105</v>
      </c>
      <c r="G28" s="111">
        <v>3519.9999999999818</v>
      </c>
      <c r="H28" s="111">
        <v>5742364.3199999714</v>
      </c>
      <c r="I28" s="105">
        <f>F28+H28</f>
        <v>24100529.040001076</v>
      </c>
      <c r="J28" s="158">
        <v>1759.9999999993088</v>
      </c>
      <c r="K28" s="158">
        <v>1914121.4399992484</v>
      </c>
      <c r="L28" s="120">
        <v>419.99999999984539</v>
      </c>
      <c r="M28" s="122">
        <v>685168.46999974793</v>
      </c>
      <c r="N28" s="107">
        <f>K28+M28</f>
        <v>2599289.9099989962</v>
      </c>
      <c r="O28" s="105">
        <f>I28+N28</f>
        <v>26699818.95000007</v>
      </c>
      <c r="P28" s="107">
        <f>E28+G28+J28+L28</f>
        <v>22580.000000000153</v>
      </c>
      <c r="Q28" s="123">
        <f>R28+T28</f>
        <v>262</v>
      </c>
      <c r="R28" s="124">
        <v>27</v>
      </c>
      <c r="S28" s="124">
        <v>485203.5</v>
      </c>
      <c r="T28" s="117">
        <v>235</v>
      </c>
      <c r="U28" s="117">
        <v>997617.3</v>
      </c>
      <c r="V28" s="115">
        <f>S28+U28</f>
        <v>1482820.8</v>
      </c>
      <c r="W28" s="126">
        <v>155.03771999996246</v>
      </c>
      <c r="X28" s="112"/>
      <c r="Y28" s="110">
        <v>0</v>
      </c>
      <c r="Z28" s="112"/>
      <c r="AA28" s="112"/>
      <c r="AB28" s="112">
        <v>0</v>
      </c>
      <c r="AC28" s="123">
        <f>W28+X28+Y28+Z28+AA28+AB28</f>
        <v>155.03771999996246</v>
      </c>
      <c r="AD28" s="110">
        <v>1417626.1522496569</v>
      </c>
      <c r="AE28" s="113"/>
      <c r="AF28" s="129">
        <v>616.91999999999825</v>
      </c>
      <c r="AG28" s="131">
        <v>73.000000000014552</v>
      </c>
      <c r="AH28" s="130">
        <f>AF28+AG28</f>
        <v>689.92000000001281</v>
      </c>
      <c r="AI28" s="133">
        <v>7106176.0000001322</v>
      </c>
      <c r="AJ28" s="21"/>
    </row>
    <row r="29" spans="1:36" ht="15">
      <c r="A29" s="19"/>
      <c r="B29" s="81">
        <v>23</v>
      </c>
      <c r="C29" s="65">
        <v>90</v>
      </c>
      <c r="D29" s="65">
        <v>746</v>
      </c>
      <c r="E29" s="124">
        <v>16559.999999999491</v>
      </c>
      <c r="F29" s="124">
        <v>18010142.639999446</v>
      </c>
      <c r="G29" s="111">
        <v>3400.0000000000909</v>
      </c>
      <c r="H29" s="111">
        <v>5546601.9000001485</v>
      </c>
      <c r="I29" s="105">
        <f>F29+H29</f>
        <v>23556744.539999593</v>
      </c>
      <c r="J29" s="158">
        <v>1880.0000000001091</v>
      </c>
      <c r="K29" s="158">
        <v>2044629.7200001187</v>
      </c>
      <c r="L29" s="120">
        <v>420.00000000007276</v>
      </c>
      <c r="M29" s="122">
        <v>685168.47000011872</v>
      </c>
      <c r="N29" s="107">
        <f>K29+M29</f>
        <v>2729798.1900002374</v>
      </c>
      <c r="O29" s="105">
        <f>I29+N29</f>
        <v>26286542.729999829</v>
      </c>
      <c r="P29" s="107">
        <f>E29+G29+J29+L29</f>
        <v>22259.999999999764</v>
      </c>
      <c r="Q29" s="123">
        <f>R29+T29</f>
        <v>335</v>
      </c>
      <c r="R29" s="124">
        <v>117</v>
      </c>
      <c r="S29" s="124">
        <v>2102548.5</v>
      </c>
      <c r="T29" s="117">
        <v>218</v>
      </c>
      <c r="U29" s="117">
        <v>925449.24000000011</v>
      </c>
      <c r="V29" s="115">
        <f>S29+U29</f>
        <v>3027997.74</v>
      </c>
      <c r="W29" s="126">
        <v>150.20412000003282</v>
      </c>
      <c r="X29" s="112"/>
      <c r="Y29" s="110">
        <v>0</v>
      </c>
      <c r="Z29" s="112"/>
      <c r="AA29" s="112"/>
      <c r="AB29" s="112">
        <v>12</v>
      </c>
      <c r="AC29" s="123">
        <f>W29+X29+Y29+Z29+AA29+AB29</f>
        <v>162.20412000003282</v>
      </c>
      <c r="AD29" s="110">
        <v>1512928.9222502999</v>
      </c>
      <c r="AE29" s="113"/>
      <c r="AF29" s="129">
        <v>476.1200000000099</v>
      </c>
      <c r="AG29" s="131">
        <v>0</v>
      </c>
      <c r="AH29" s="130">
        <f>AF29+AG29</f>
        <v>476.1200000000099</v>
      </c>
      <c r="AI29" s="133">
        <v>4904036.0000001015</v>
      </c>
      <c r="AJ29" s="21"/>
    </row>
    <row r="30" spans="1:36" ht="15">
      <c r="A30" s="19"/>
      <c r="B30" s="64">
        <v>24</v>
      </c>
      <c r="C30" s="65">
        <v>80</v>
      </c>
      <c r="D30" s="65">
        <v>730</v>
      </c>
      <c r="E30" s="124">
        <v>16680.000000000291</v>
      </c>
      <c r="F30" s="124">
        <v>18140650.920000315</v>
      </c>
      <c r="G30" s="111">
        <v>3439.9999999998272</v>
      </c>
      <c r="H30" s="111">
        <v>5611856.0399997188</v>
      </c>
      <c r="I30" s="105">
        <f>F30+H30</f>
        <v>23752506.960000034</v>
      </c>
      <c r="J30" s="158">
        <v>1920.0000000000728</v>
      </c>
      <c r="K30" s="158">
        <v>2088132.4800000791</v>
      </c>
      <c r="L30" s="120">
        <v>500</v>
      </c>
      <c r="M30" s="122">
        <v>815676.75</v>
      </c>
      <c r="N30" s="107">
        <f>K30+M30</f>
        <v>2903809.2300000791</v>
      </c>
      <c r="O30" s="105">
        <f>I30+N30</f>
        <v>26656316.190000113</v>
      </c>
      <c r="P30" s="107">
        <f>E30+G30+J30+L30</f>
        <v>22540.000000000189</v>
      </c>
      <c r="Q30" s="123">
        <f>R30+T30</f>
        <v>100</v>
      </c>
      <c r="R30" s="124">
        <v>19</v>
      </c>
      <c r="S30" s="124">
        <v>341439.5</v>
      </c>
      <c r="T30" s="117">
        <v>81</v>
      </c>
      <c r="U30" s="117">
        <v>343859.58</v>
      </c>
      <c r="V30" s="115">
        <f>S30+U30</f>
        <v>685299.08000000007</v>
      </c>
      <c r="W30" s="126">
        <v>145.89416000000466</v>
      </c>
      <c r="X30" s="112"/>
      <c r="Y30" s="110">
        <v>0</v>
      </c>
      <c r="Z30" s="112"/>
      <c r="AA30" s="112"/>
      <c r="AB30" s="112">
        <v>36</v>
      </c>
      <c r="AC30" s="123">
        <f>W30+X30+Y30+Z30+AA30+AB30</f>
        <v>181.89416000000466</v>
      </c>
      <c r="AD30" s="110">
        <v>1752519.7255000426</v>
      </c>
      <c r="AE30" s="113"/>
      <c r="AF30" s="129">
        <v>495.27999999999884</v>
      </c>
      <c r="AG30" s="131">
        <v>0</v>
      </c>
      <c r="AH30" s="130">
        <f>AF30+AG30</f>
        <v>495.27999999999884</v>
      </c>
      <c r="AI30" s="133">
        <v>5101383.9999999879</v>
      </c>
      <c r="AJ30" s="21"/>
    </row>
    <row r="31" spans="1:36" ht="15">
      <c r="A31" s="19"/>
      <c r="B31" s="81">
        <v>25</v>
      </c>
      <c r="C31" s="65">
        <v>75</v>
      </c>
      <c r="D31" s="65">
        <v>681</v>
      </c>
      <c r="E31" s="124">
        <v>15840.000000000146</v>
      </c>
      <c r="F31" s="124">
        <v>17227092.960000157</v>
      </c>
      <c r="G31" s="111">
        <v>3440.0000000000546</v>
      </c>
      <c r="H31" s="111">
        <v>5611856.0400000904</v>
      </c>
      <c r="I31" s="105">
        <f>F31+H31</f>
        <v>22838949.000000246</v>
      </c>
      <c r="J31" s="158">
        <v>2000</v>
      </c>
      <c r="K31" s="158">
        <v>2175138</v>
      </c>
      <c r="L31" s="120">
        <v>440.00000000005457</v>
      </c>
      <c r="M31" s="122">
        <v>717795.54000008909</v>
      </c>
      <c r="N31" s="107">
        <f>K31+M31</f>
        <v>2892933.540000089</v>
      </c>
      <c r="O31" s="105">
        <f>I31+N31</f>
        <v>25731882.540000334</v>
      </c>
      <c r="P31" s="107">
        <f>E31+G31+J31+L31</f>
        <v>21720.000000000255</v>
      </c>
      <c r="Q31" s="123">
        <f>R31+T31</f>
        <v>187</v>
      </c>
      <c r="R31" s="124">
        <v>82</v>
      </c>
      <c r="S31" s="124">
        <v>1473581</v>
      </c>
      <c r="T31" s="117">
        <v>105</v>
      </c>
      <c r="U31" s="117">
        <v>445743.9</v>
      </c>
      <c r="V31" s="115">
        <f>S31+U31</f>
        <v>1919324.9</v>
      </c>
      <c r="W31" s="126">
        <v>136.1061199999742</v>
      </c>
      <c r="X31" s="112"/>
      <c r="Y31" s="110">
        <v>0</v>
      </c>
      <c r="Z31" s="112"/>
      <c r="AA31" s="112"/>
      <c r="AB31" s="112">
        <v>12</v>
      </c>
      <c r="AC31" s="123">
        <f>W31+X31+Y31+Z31+AA31+AB31</f>
        <v>148.1061199999742</v>
      </c>
      <c r="AD31" s="110">
        <v>1384020.3347497641</v>
      </c>
      <c r="AE31" s="113"/>
      <c r="AF31" s="129">
        <v>527.19999999999709</v>
      </c>
      <c r="AG31" s="131">
        <v>0</v>
      </c>
      <c r="AH31" s="130">
        <f>AF31+AG31</f>
        <v>527.19999999999709</v>
      </c>
      <c r="AI31" s="133">
        <v>5430159.9999999702</v>
      </c>
      <c r="AJ31" s="21"/>
    </row>
    <row r="32" spans="1:36" ht="15">
      <c r="A32" s="19"/>
      <c r="B32" s="64">
        <v>26</v>
      </c>
      <c r="C32" s="65">
        <v>76</v>
      </c>
      <c r="D32" s="65">
        <v>598</v>
      </c>
      <c r="E32" s="124">
        <v>15279.999999998836</v>
      </c>
      <c r="F32" s="124">
        <v>16618054.319998734</v>
      </c>
      <c r="G32" s="111">
        <v>3200.0000000000455</v>
      </c>
      <c r="H32" s="111">
        <v>5220331.2000000747</v>
      </c>
      <c r="I32" s="105">
        <f>F32+H32</f>
        <v>21838385.519998807</v>
      </c>
      <c r="J32" s="158">
        <v>1659.9999999998545</v>
      </c>
      <c r="K32" s="158">
        <v>1805364.5399998417</v>
      </c>
      <c r="L32" s="120">
        <v>419.99999999984539</v>
      </c>
      <c r="M32" s="122">
        <v>685168.46999974793</v>
      </c>
      <c r="N32" s="107">
        <f>K32+M32</f>
        <v>2490533.0099995895</v>
      </c>
      <c r="O32" s="105">
        <f>I32+N32</f>
        <v>24328918.529998396</v>
      </c>
      <c r="P32" s="107">
        <f>E32+G32+J32+L32</f>
        <v>20559.999999998581</v>
      </c>
      <c r="Q32" s="123">
        <f>R32+T32</f>
        <v>270</v>
      </c>
      <c r="R32" s="124">
        <v>118</v>
      </c>
      <c r="S32" s="124">
        <v>2120519</v>
      </c>
      <c r="T32" s="117">
        <v>152</v>
      </c>
      <c r="U32" s="117">
        <v>645267.3600000001</v>
      </c>
      <c r="V32" s="115">
        <f>S32+U32</f>
        <v>2765786.3600000003</v>
      </c>
      <c r="W32" s="126">
        <v>128.97656000001641</v>
      </c>
      <c r="X32" s="112"/>
      <c r="Y32" s="110">
        <v>0</v>
      </c>
      <c r="Z32" s="112"/>
      <c r="AA32" s="112"/>
      <c r="AB32" s="112">
        <v>12</v>
      </c>
      <c r="AC32" s="123">
        <f>W32+X32+Y32+Z32+AA32+AB32</f>
        <v>140.97656000001641</v>
      </c>
      <c r="AD32" s="110">
        <v>1318829.42050015</v>
      </c>
      <c r="AE32" s="113"/>
      <c r="AF32" s="129">
        <v>471</v>
      </c>
      <c r="AG32" s="131">
        <v>0</v>
      </c>
      <c r="AH32" s="130">
        <f>AF32+AG32</f>
        <v>471</v>
      </c>
      <c r="AI32" s="133">
        <v>4851300</v>
      </c>
      <c r="AJ32" s="21"/>
    </row>
    <row r="33" spans="1:36" ht="15">
      <c r="A33" s="19"/>
      <c r="B33" s="81">
        <v>27</v>
      </c>
      <c r="C33" s="65">
        <v>75</v>
      </c>
      <c r="D33" s="65">
        <v>592</v>
      </c>
      <c r="E33" s="124">
        <v>15280.000000000655</v>
      </c>
      <c r="F33" s="124">
        <v>16618054.320000714</v>
      </c>
      <c r="G33" s="111">
        <v>3279.9999999999727</v>
      </c>
      <c r="H33" s="111">
        <v>5350839.4799999557</v>
      </c>
      <c r="I33" s="105">
        <f>F33+H33</f>
        <v>21968893.800000668</v>
      </c>
      <c r="J33" s="158">
        <v>1720.0000000002547</v>
      </c>
      <c r="K33" s="158">
        <v>1870618.680000277</v>
      </c>
      <c r="L33" s="120">
        <v>420.00000000007276</v>
      </c>
      <c r="M33" s="122">
        <v>685168.47000011872</v>
      </c>
      <c r="N33" s="107">
        <f>K33+M33</f>
        <v>2555787.1500003957</v>
      </c>
      <c r="O33" s="105">
        <f>I33+N33</f>
        <v>24524680.950001065</v>
      </c>
      <c r="P33" s="107">
        <f>E33+G33+J33+L33</f>
        <v>20700.000000000953</v>
      </c>
      <c r="Q33" s="123">
        <f>R33+T33</f>
        <v>190</v>
      </c>
      <c r="R33" s="124">
        <v>43</v>
      </c>
      <c r="S33" s="124">
        <v>772731.5</v>
      </c>
      <c r="T33" s="117">
        <v>147</v>
      </c>
      <c r="U33" s="117">
        <v>624041.46000000008</v>
      </c>
      <c r="V33" s="115">
        <f>S33+U33</f>
        <v>1396772.96</v>
      </c>
      <c r="W33" s="126">
        <v>160.3949599999695</v>
      </c>
      <c r="X33" s="112"/>
      <c r="Y33" s="110">
        <v>150</v>
      </c>
      <c r="Z33" s="112">
        <v>50</v>
      </c>
      <c r="AA33" s="112"/>
      <c r="AB33" s="112">
        <v>12</v>
      </c>
      <c r="AC33" s="123">
        <f>W33+X33+Y33+Z33+AA33+AB33</f>
        <v>372.3949599999695</v>
      </c>
      <c r="AD33" s="110">
        <v>3696111.4154997212</v>
      </c>
      <c r="AE33" s="113"/>
      <c r="AF33" s="129">
        <v>366.16000000000349</v>
      </c>
      <c r="AG33" s="131">
        <v>0</v>
      </c>
      <c r="AH33" s="130">
        <f>AF33+AG33</f>
        <v>366.16000000000349</v>
      </c>
      <c r="AI33" s="133">
        <v>3771448.0000000359</v>
      </c>
      <c r="AJ33" s="21"/>
    </row>
    <row r="34" spans="1:36" ht="15">
      <c r="A34" s="19"/>
      <c r="B34" s="64">
        <v>28</v>
      </c>
      <c r="C34" s="65">
        <v>78</v>
      </c>
      <c r="D34" s="65">
        <v>529</v>
      </c>
      <c r="E34" s="124">
        <v>16360.000000000582</v>
      </c>
      <c r="F34" s="124">
        <v>17792628.840000637</v>
      </c>
      <c r="G34" s="111">
        <v>3400.0000000000909</v>
      </c>
      <c r="H34" s="111">
        <v>5546601.9000001485</v>
      </c>
      <c r="I34" s="105">
        <f>F34+H34</f>
        <v>23339230.740000784</v>
      </c>
      <c r="J34" s="158">
        <v>1899.9999999996362</v>
      </c>
      <c r="K34" s="158">
        <v>2066381.0999996043</v>
      </c>
      <c r="L34" s="120">
        <v>500</v>
      </c>
      <c r="M34" s="122">
        <v>815676.75</v>
      </c>
      <c r="N34" s="107">
        <f>K34+M34</f>
        <v>2882057.8499996043</v>
      </c>
      <c r="O34" s="105">
        <f>I34+N34</f>
        <v>26221288.590000387</v>
      </c>
      <c r="P34" s="107">
        <f>E34+G34+J34+L34</f>
        <v>22160.000000000309</v>
      </c>
      <c r="Q34" s="123">
        <f>R34+T34</f>
        <v>186</v>
      </c>
      <c r="R34" s="124">
        <v>20</v>
      </c>
      <c r="S34" s="124">
        <v>359410</v>
      </c>
      <c r="T34" s="117">
        <v>166</v>
      </c>
      <c r="U34" s="117">
        <v>704699.88</v>
      </c>
      <c r="V34" s="115">
        <f>S34+U34</f>
        <v>1064109.8799999999</v>
      </c>
      <c r="W34" s="126">
        <v>143.67876000005157</v>
      </c>
      <c r="X34" s="112"/>
      <c r="Y34" s="110">
        <v>50</v>
      </c>
      <c r="Z34" s="112"/>
      <c r="AA34" s="112"/>
      <c r="AB34" s="112">
        <v>0</v>
      </c>
      <c r="AC34" s="123">
        <f>W34+X34+Y34+Z34+AA34+AB34</f>
        <v>193.67876000005157</v>
      </c>
      <c r="AD34" s="110">
        <v>1836262.6617504715</v>
      </c>
      <c r="AE34" s="113"/>
      <c r="AF34" s="129">
        <v>491.63999999999942</v>
      </c>
      <c r="AG34" s="131">
        <v>68.30000000000291</v>
      </c>
      <c r="AH34" s="130">
        <f>AF34+AG34</f>
        <v>559.94000000000233</v>
      </c>
      <c r="AI34" s="133">
        <v>5767382.0000000242</v>
      </c>
      <c r="AJ34" s="21"/>
    </row>
    <row r="35" spans="1:36" ht="15">
      <c r="A35" s="19"/>
      <c r="B35" s="81">
        <v>29</v>
      </c>
      <c r="C35" s="65">
        <v>63</v>
      </c>
      <c r="D35" s="65">
        <v>658</v>
      </c>
      <c r="E35" s="124">
        <v>16679.999999998472</v>
      </c>
      <c r="F35" s="124">
        <v>18140650.919998337</v>
      </c>
      <c r="G35" s="111">
        <v>3359.9999999999</v>
      </c>
      <c r="H35" s="111">
        <v>5481347.7599998368</v>
      </c>
      <c r="I35" s="105">
        <f>F35+H35</f>
        <v>23621998.679998174</v>
      </c>
      <c r="J35" s="158">
        <v>2060.0000000004002</v>
      </c>
      <c r="K35" s="158">
        <v>2240392.1400004351</v>
      </c>
      <c r="L35" s="120">
        <v>539.99999999996362</v>
      </c>
      <c r="M35" s="122">
        <v>880930.88999994064</v>
      </c>
      <c r="N35" s="107">
        <f>K35+M35</f>
        <v>3121323.0300003756</v>
      </c>
      <c r="O35" s="105">
        <f>I35+N35</f>
        <v>26743321.709998548</v>
      </c>
      <c r="P35" s="107">
        <f>E35+G35+J35+L35</f>
        <v>22639.999999998734</v>
      </c>
      <c r="Q35" s="123">
        <f>R35+T35</f>
        <v>263</v>
      </c>
      <c r="R35" s="124">
        <v>47</v>
      </c>
      <c r="S35" s="124">
        <v>844613.5</v>
      </c>
      <c r="T35" s="117">
        <v>216</v>
      </c>
      <c r="U35" s="117">
        <v>916958.88000000012</v>
      </c>
      <c r="V35" s="115">
        <f>S35+U35</f>
        <v>1761572.3800000001</v>
      </c>
      <c r="W35" s="126">
        <v>158.17955999995777</v>
      </c>
      <c r="X35" s="112"/>
      <c r="Y35" s="110">
        <v>0</v>
      </c>
      <c r="Z35" s="112"/>
      <c r="AA35" s="112"/>
      <c r="AB35" s="112">
        <v>0</v>
      </c>
      <c r="AC35" s="123">
        <f>W35+X35+Y35+Z35+AA35+AB35</f>
        <v>158.17955999995777</v>
      </c>
      <c r="AD35" s="110">
        <v>1446354.3517496139</v>
      </c>
      <c r="AE35" s="113"/>
      <c r="AF35" s="129">
        <v>596.17999999999302</v>
      </c>
      <c r="AG35" s="131">
        <v>0</v>
      </c>
      <c r="AH35" s="130">
        <f>AF35+AG35</f>
        <v>596.17999999999302</v>
      </c>
      <c r="AI35" s="133">
        <v>6140653.9999999283</v>
      </c>
      <c r="AJ35" s="21"/>
    </row>
    <row r="36" spans="1:36" ht="15">
      <c r="A36" s="19"/>
      <c r="B36" s="64">
        <v>30</v>
      </c>
      <c r="C36" s="65">
        <v>55</v>
      </c>
      <c r="D36" s="65">
        <v>522</v>
      </c>
      <c r="E36" s="124">
        <v>16160.000000001673</v>
      </c>
      <c r="F36" s="124">
        <v>17575115.040001821</v>
      </c>
      <c r="G36" s="111">
        <v>3440.0000000000546</v>
      </c>
      <c r="H36" s="111">
        <v>5611856.0400000904</v>
      </c>
      <c r="I36" s="105">
        <f>F36+H36</f>
        <v>23186971.080001913</v>
      </c>
      <c r="J36" s="158">
        <v>2119.9999999998909</v>
      </c>
      <c r="K36" s="158">
        <v>2305646.2799998815</v>
      </c>
      <c r="L36" s="120">
        <v>480.00000000001819</v>
      </c>
      <c r="M36" s="122">
        <v>783049.68000002974</v>
      </c>
      <c r="N36" s="107">
        <f>K36+M36</f>
        <v>3088695.9599999115</v>
      </c>
      <c r="O36" s="105">
        <f>I36+N36</f>
        <v>26275667.040001824</v>
      </c>
      <c r="P36" s="107">
        <f>E36+G36+J36+L36</f>
        <v>22200.000000001637</v>
      </c>
      <c r="Q36" s="123">
        <f>R36+T36</f>
        <v>93</v>
      </c>
      <c r="R36" s="124">
        <v>44</v>
      </c>
      <c r="S36" s="124">
        <v>790702</v>
      </c>
      <c r="T36" s="117">
        <v>49</v>
      </c>
      <c r="U36" s="117">
        <v>208013.82</v>
      </c>
      <c r="V36" s="115">
        <f>S36+U36</f>
        <v>998715.82000000007</v>
      </c>
      <c r="W36" s="126">
        <v>150.04299999999998</v>
      </c>
      <c r="X36" s="112"/>
      <c r="Y36" s="110">
        <v>0</v>
      </c>
      <c r="Z36" s="112"/>
      <c r="AA36" s="112"/>
      <c r="AB36" s="112">
        <v>12</v>
      </c>
      <c r="AC36" s="123">
        <f>W36+X36+Y36+Z36+AA36+AB36</f>
        <v>162.04299999999998</v>
      </c>
      <c r="AD36" s="110">
        <v>1511455.6812499999</v>
      </c>
      <c r="AE36" s="113"/>
      <c r="AF36" s="129">
        <v>354.32000000000698</v>
      </c>
      <c r="AG36" s="131">
        <v>0</v>
      </c>
      <c r="AH36" s="130">
        <f>AF36+AG36</f>
        <v>354.32000000000698</v>
      </c>
      <c r="AI36" s="133">
        <v>3649496.0000000717</v>
      </c>
      <c r="AJ36" s="21"/>
    </row>
    <row r="37" spans="1:36" ht="15">
      <c r="A37" s="19"/>
      <c r="B37" s="81">
        <v>31</v>
      </c>
      <c r="C37" s="65">
        <v>43</v>
      </c>
      <c r="D37" s="65">
        <v>498</v>
      </c>
      <c r="E37" s="124">
        <v>16479.999999999563</v>
      </c>
      <c r="F37" s="124">
        <v>17923137.119999524</v>
      </c>
      <c r="G37" s="111">
        <v>3319.9999999999363</v>
      </c>
      <c r="H37" s="111">
        <v>5416093.6199998967</v>
      </c>
      <c r="I37" s="105">
        <f>F37+H37</f>
        <v>23339230.739999421</v>
      </c>
      <c r="J37" s="158">
        <v>2199.9999999998181</v>
      </c>
      <c r="K37" s="158">
        <v>2392651.7999998019</v>
      </c>
      <c r="L37" s="120">
        <v>539.99999999996362</v>
      </c>
      <c r="M37" s="122">
        <v>880930.88999994064</v>
      </c>
      <c r="N37" s="107">
        <f>K37+M37</f>
        <v>3273582.6899997424</v>
      </c>
      <c r="O37" s="105">
        <f>I37+N37</f>
        <v>26612813.429999165</v>
      </c>
      <c r="P37" s="107">
        <f>E37+G37+J37+L37</f>
        <v>22539.99999999928</v>
      </c>
      <c r="Q37" s="123">
        <f>R37+T37</f>
        <v>72</v>
      </c>
      <c r="R37" s="124">
        <v>54</v>
      </c>
      <c r="S37" s="124">
        <v>970407</v>
      </c>
      <c r="T37" s="117">
        <v>18</v>
      </c>
      <c r="U37" s="117">
        <v>76413.240000000005</v>
      </c>
      <c r="V37" s="115">
        <f>S37+U37</f>
        <v>1046820.24</v>
      </c>
      <c r="W37" s="126">
        <v>134.49491999999765</v>
      </c>
      <c r="X37" s="112"/>
      <c r="Y37" s="110">
        <v>0</v>
      </c>
      <c r="Z37" s="112"/>
      <c r="AA37" s="112"/>
      <c r="AB37" s="112">
        <v>36</v>
      </c>
      <c r="AC37" s="123">
        <f>W37+X37+Y37+Z37+AA37+AB37</f>
        <v>170.49491999999765</v>
      </c>
      <c r="AD37" s="110">
        <v>1648287.9247499786</v>
      </c>
      <c r="AE37" s="113"/>
      <c r="AF37" s="129">
        <v>397</v>
      </c>
      <c r="AG37" s="131">
        <v>0</v>
      </c>
      <c r="AH37" s="130">
        <f>AF37+AG37</f>
        <v>397</v>
      </c>
      <c r="AI37" s="133">
        <v>4089100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2942</v>
      </c>
      <c r="D43" s="134">
        <f>SUM(D7:D37)</f>
        <v>23179</v>
      </c>
      <c r="E43" s="135">
        <f>SUM(E7:E37)</f>
        <v>504440.00000000035</v>
      </c>
      <c r="F43" s="135">
        <f>SUM(F7:F37)</f>
        <v>548613306.36000049</v>
      </c>
      <c r="G43" s="135">
        <f>SUM(G7:G37)</f>
        <v>106720.00000000004</v>
      </c>
      <c r="H43" s="135">
        <f>SUM(H7:H37)</f>
        <v>174098045.52000007</v>
      </c>
      <c r="I43" s="135">
        <f>SUM(I7:I37)</f>
        <v>722711351.88000059</v>
      </c>
      <c r="J43" s="135">
        <f>SUM(J7:J37)</f>
        <v>57840.000000000146</v>
      </c>
      <c r="K43" s="135">
        <f>SUM(K7:K37)</f>
        <v>62904990.960000142</v>
      </c>
      <c r="L43" s="135">
        <f>SUM(L7:L37)</f>
        <v>13679.999999999836</v>
      </c>
      <c r="M43" s="135">
        <f>SUM(M7:M37)</f>
        <v>22316915.879999731</v>
      </c>
      <c r="N43" s="135">
        <f>SUM(N7:N37)</f>
        <v>85221906.839999899</v>
      </c>
      <c r="O43" s="136">
        <f>SUM(O7:O37)</f>
        <v>807933258.72000051</v>
      </c>
      <c r="P43" s="137">
        <f>SUM(P7:P37)</f>
        <v>682680.00000000047</v>
      </c>
      <c r="Q43" s="138">
        <f>SUM(Q7:Q37)</f>
        <v>5189</v>
      </c>
      <c r="R43" s="135">
        <f>SUM(R7:R37)</f>
        <v>1532</v>
      </c>
      <c r="S43" s="135">
        <f>SUM(S7:S37)</f>
        <v>27530806</v>
      </c>
      <c r="T43" s="135">
        <f>SUM(T7:T37)</f>
        <v>3657</v>
      </c>
      <c r="U43" s="135">
        <f>SUM(U7:U37)</f>
        <v>15524623.260000005</v>
      </c>
      <c r="V43" s="139">
        <f>SUM(V7:V37)</f>
        <v>43055429.260000005</v>
      </c>
      <c r="W43" s="140">
        <f>SUM(W7:W37)</f>
        <v>4288.4504800000132</v>
      </c>
      <c r="X43" s="135">
        <f>SUM(X7:X37)</f>
        <v>0</v>
      </c>
      <c r="Y43" s="135">
        <f>SUM(Y7:Y37)</f>
        <v>2150</v>
      </c>
      <c r="Z43" s="135">
        <f>SUM(Z7:Z37)</f>
        <v>250</v>
      </c>
      <c r="AA43" s="135">
        <f>SUM(AA7:AA37)</f>
        <v>0</v>
      </c>
      <c r="AB43" s="135">
        <f>SUM(AB7:AB37)</f>
        <v>444</v>
      </c>
      <c r="AC43" s="141">
        <f>SUM(AC7:AC37)</f>
        <v>7132.4504800000113</v>
      </c>
      <c r="AD43" s="141">
        <f>SUM(AD7:AD37)</f>
        <v>69454019.076500133</v>
      </c>
      <c r="AE43" s="142">
        <f>SUM(AE8:AE39)</f>
        <v>0</v>
      </c>
      <c r="AF43" s="135">
        <f>SUM(AF7:AF37)</f>
        <v>16603.930000000008</v>
      </c>
      <c r="AG43" s="135">
        <f>SUM(AG7:AG37)</f>
        <v>573.60000000000582</v>
      </c>
      <c r="AH43" s="143">
        <f>SUM(AH7:AH37)</f>
        <v>17177.530000000013</v>
      </c>
      <c r="AI43" s="143">
        <f>SUM(AI7:AI37)</f>
        <v>176928559.00000015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>
        <f>AC43-W43</f>
        <v>2843.9999999999982</v>
      </c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1183.4728697486375</v>
      </c>
      <c r="Q45" s="43"/>
      <c r="R45" s="43"/>
      <c r="S45" s="43"/>
      <c r="T45" s="36"/>
      <c r="U45" s="36"/>
      <c r="V45" s="43">
        <f>V43/Q43</f>
        <v>8297.44252457121</v>
      </c>
      <c r="W45" s="43"/>
      <c r="X45" s="36"/>
      <c r="Y45" s="43"/>
      <c r="Z45" s="43"/>
      <c r="AA45" s="43"/>
      <c r="AB45" s="43"/>
      <c r="AC45" s="36"/>
      <c r="AD45" s="36">
        <f>AD43/AC43</f>
        <v>9737.7499179636816</v>
      </c>
      <c r="AE45" s="40"/>
      <c r="AF45" s="40"/>
      <c r="AG45" s="40"/>
      <c r="AH45" s="40"/>
      <c r="AI45" s="43">
        <f>AI43/AH43</f>
        <v>10300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2023-02-28T01:19:40Z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