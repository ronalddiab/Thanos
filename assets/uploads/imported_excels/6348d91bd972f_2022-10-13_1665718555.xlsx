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9" l="1"/>
  <c r="AB8" i="1" l="1"/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6" i="2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16" i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11" i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10" i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16" i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16" i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S2" i="1"/>
  <c r="P2" i="1"/>
  <c r="M2" i="1"/>
  <c r="J2" i="1"/>
  <c r="G2" i="1"/>
  <c r="D2" i="1"/>
  <c r="B16" i="5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Q16" i="1" l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N16" i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K16" i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Y2" i="4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B16" i="2"/>
  <c r="C16" i="2" l="1"/>
  <c r="Z15" i="8" s="1"/>
  <c r="E15" i="9" s="1"/>
  <c r="B17" i="2"/>
  <c r="C17" i="2" l="1"/>
  <c r="Z16" i="8" s="1"/>
  <c r="E16" i="9" s="1"/>
  <c r="B18" i="2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<sst xmlns="http://schemas.openxmlformats.org/spreadsheetml/2006/main" count="513" uniqueCount="151">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</sst>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E10" sqref="E10:J1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464.66759999999999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1079.346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900.97949999999992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862.56209999999999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677.79269999999997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56828.178812000006</v>
      </c>
      <c r="F9" s="126">
        <v>1.27</v>
      </c>
      <c r="G9" s="36">
        <f>Gas!C10*0.9147</f>
        <v>1127.8251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82397.432807999998</v>
      </c>
      <c r="F10" s="126">
        <v>1.27</v>
      </c>
      <c r="G10" s="36">
        <f>Gas!C11*0.9147</f>
        <v>656.75459999999998</v>
      </c>
      <c r="H10" s="127">
        <v>3.65</v>
      </c>
      <c r="I10" s="129">
        <f>Submetering!H10+Submetering!AD10+Submetering!AE10</f>
        <v>695.99999999999989</v>
      </c>
      <c r="J10" s="129">
        <v>10.029999999999999</v>
      </c>
      <c r="K10" s="36">
        <f>ELECT.!B11</f>
        <v>222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75807.195503999988</v>
      </c>
      <c r="F11" s="126">
        <v>1.27</v>
      </c>
      <c r="G11" s="36">
        <f>Gas!C12*0.9147</f>
        <v>933.90869999999995</v>
      </c>
      <c r="H11" s="127">
        <v>3.65</v>
      </c>
      <c r="I11" s="129">
        <f>Submetering!H11+Submetering!AD11+Submetering!AE11</f>
        <v>676</v>
      </c>
      <c r="J11" s="129">
        <v>10.029999999999999</v>
      </c>
      <c r="K11" s="36">
        <f>ELECT.!B12</f>
        <v>207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59990.927724000008</v>
      </c>
      <c r="F12" s="126">
        <v>1.27</v>
      </c>
      <c r="G12" s="36">
        <f>Gas!C13*0.9147</f>
        <v>1555.9046999999998</v>
      </c>
      <c r="H12" s="127">
        <v>3.65</v>
      </c>
      <c r="I12" s="129">
        <f>Submetering!H12+Submetering!AD12+Submetering!AE12</f>
        <v>766</v>
      </c>
      <c r="J12" s="129">
        <v>10.029999999999999</v>
      </c>
      <c r="K12" s="36">
        <f>ELECT.!B13</f>
        <v>250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81388.909272000004</v>
      </c>
      <c r="F13" s="126">
        <v>1.27</v>
      </c>
      <c r="G13" s="36">
        <f>Gas!C14*0.9147</f>
        <v>1332.7178999999999</v>
      </c>
      <c r="H13" s="127">
        <v>3.65</v>
      </c>
      <c r="I13" s="129">
        <f>Submetering!H13+Submetering!AD13+Submetering!AE13</f>
        <v>666</v>
      </c>
      <c r="J13" s="129">
        <v>10.029999999999999</v>
      </c>
      <c r="K13" s="36">
        <f>ELECT.!B14</f>
        <v>266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57298.086639999994</v>
      </c>
      <c r="F14" s="126">
        <v>1.27</v>
      </c>
      <c r="G14" s="36">
        <f>Gas!C15*0.9147</f>
        <v>1422.3584999999998</v>
      </c>
      <c r="H14" s="127">
        <v>3.65</v>
      </c>
      <c r="I14" s="129">
        <f>Submetering!H14+Submetering!AD14+Submetering!AE14</f>
        <v>746</v>
      </c>
      <c r="J14" s="129">
        <v>10.029999999999999</v>
      </c>
      <c r="K14" s="36">
        <f>ELECT.!B15</f>
        <v>321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1370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890</v>
      </c>
      <c r="F10" s="36">
        <f>Water!E11</f>
        <v>310</v>
      </c>
      <c r="G10" s="36">
        <f>Water!G11</f>
        <v>523.79999999999995</v>
      </c>
      <c r="H10" s="36">
        <f>Water!I11</f>
        <v>5.0220000000000002</v>
      </c>
      <c r="I10" s="36">
        <f>ELECT.!F11</f>
        <v>23695</v>
      </c>
      <c r="J10" s="36">
        <f>ELECT.!H11</f>
        <v>61508</v>
      </c>
      <c r="K10" s="36">
        <f>ELECT.!K11</f>
        <v>14146</v>
      </c>
      <c r="L10" s="36">
        <f>ELECT.!M11</f>
        <v>7335</v>
      </c>
      <c r="M10" s="36">
        <f>ELECT.!O11</f>
        <v>16112</v>
      </c>
      <c r="N10" s="36">
        <f>ELECT.!Q11</f>
        <v>12604</v>
      </c>
      <c r="O10" s="36">
        <f>ELECT.!S11</f>
        <v>12754</v>
      </c>
      <c r="P10" s="36">
        <f>ELECT.!W11*2</f>
        <v>27708</v>
      </c>
      <c r="Q10" s="36">
        <f>ELECT.!D11</f>
        <v>480</v>
      </c>
      <c r="R10" s="129">
        <f>BTU!C11</f>
        <v>7.1179999999985739</v>
      </c>
      <c r="S10" s="129">
        <f>BTU!F11</f>
        <v>2.5069999999996071</v>
      </c>
      <c r="T10" s="129">
        <f>BTU!I11</f>
        <v>6</v>
      </c>
      <c r="U10" s="129">
        <f>BTU!O11</f>
        <v>1.9570000000003347</v>
      </c>
      <c r="V10" s="129">
        <f>BTU!L11</f>
        <v>1.0099999999983993</v>
      </c>
      <c r="W10" s="129">
        <f>BTU!R11</f>
        <v>1.7799999999997453</v>
      </c>
      <c r="X10" s="34">
        <f>ELECT.!B11</f>
        <v>222</v>
      </c>
      <c r="Y10" s="34">
        <f t="shared" si="0"/>
        <v>-5456</v>
      </c>
      <c r="Z10">
        <f>'Mall, Citadel, Rotana'!C11+'Mall, Citadel, Rotana'!E11+'Mall, Citadel, Rotana'!G11+'Mall, Citadel, Rotana'!I11</f>
        <v>1372</v>
      </c>
      <c r="AA10">
        <f>'Mall, Citadel, Rotana'!K11+'Mall, Citadel, Rotana'!M11</f>
        <v>254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91.070900399999999</v>
      </c>
      <c r="AE10" s="34">
        <f t="shared" si="2"/>
        <v>599.90709959999992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870</v>
      </c>
      <c r="F11" s="36">
        <f>Water!E12</f>
        <v>320</v>
      </c>
      <c r="G11" s="36">
        <f>Water!G12</f>
        <v>507.59999999999997</v>
      </c>
      <c r="H11" s="36">
        <f>Water!I12</f>
        <v>4.6440000000000001</v>
      </c>
      <c r="I11" s="36">
        <f>ELECT.!F12</f>
        <v>21810</v>
      </c>
      <c r="J11" s="36">
        <f>ELECT.!H12</f>
        <v>56569</v>
      </c>
      <c r="K11" s="36">
        <f>ELECT.!K12</f>
        <v>12978</v>
      </c>
      <c r="L11" s="36">
        <f>ELECT.!M12</f>
        <v>6448</v>
      </c>
      <c r="M11" s="36">
        <f>ELECT.!O12</f>
        <v>15152</v>
      </c>
      <c r="N11" s="36">
        <f>ELECT.!Q12</f>
        <v>11899</v>
      </c>
      <c r="O11" s="36">
        <f>ELECT.!S12</f>
        <v>11352</v>
      </c>
      <c r="P11" s="36">
        <f>ELECT.!W12*2</f>
        <v>25504</v>
      </c>
      <c r="Q11" s="36">
        <f>ELECT.!D12</f>
        <v>480</v>
      </c>
      <c r="R11" s="129">
        <f>BTU!C12</f>
        <v>7.8319999999985157</v>
      </c>
      <c r="S11" s="129">
        <f>BTU!F12</f>
        <v>2.5200000000004366</v>
      </c>
      <c r="T11" s="129">
        <f>BTU!I12</f>
        <v>7</v>
      </c>
      <c r="U11" s="129">
        <f>BTU!O12</f>
        <v>2.2279999999996107</v>
      </c>
      <c r="V11" s="129">
        <f>BTU!L12</f>
        <v>1.2000000000007276</v>
      </c>
      <c r="W11" s="129">
        <f>BTU!R12</f>
        <v>2.1899999999995998</v>
      </c>
      <c r="X11" s="34">
        <f>ELECT.!B12</f>
        <v>207</v>
      </c>
      <c r="Y11" s="34">
        <f t="shared" si="0"/>
        <v>-4954</v>
      </c>
      <c r="Z11">
        <f>'Mall, Citadel, Rotana'!C12+'Mall, Citadel, Rotana'!E12+'Mall, Citadel, Rotana'!G12+'Mall, Citadel, Rotana'!I12</f>
        <v>1212</v>
      </c>
      <c r="AA11">
        <f>'Mall, Citadel, Rotana'!K12+'Mall, Citadel, Rotana'!M12</f>
        <v>244</v>
      </c>
      <c r="AB11">
        <f>'Mall, Citadel, Rotana'!O12</f>
        <v>3</v>
      </c>
      <c r="AC11">
        <f>'Mall, Citadel, Rotana'!Q12+'Mall, Citadel, Rotana'!S12</f>
        <v>122</v>
      </c>
      <c r="AD11" s="34">
        <f t="shared" si="1"/>
        <v>88.484720800000005</v>
      </c>
      <c r="AE11" s="34">
        <f t="shared" si="2"/>
        <v>582.8712792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960</v>
      </c>
      <c r="F12" s="36">
        <f>Water!E13</f>
        <v>320</v>
      </c>
      <c r="G12" s="36">
        <f>Water!G13</f>
        <v>510.3</v>
      </c>
      <c r="H12" s="36">
        <f>Water!I13</f>
        <v>4.8869999999999996</v>
      </c>
      <c r="I12" s="36">
        <f>ELECT.!F13</f>
        <v>15277</v>
      </c>
      <c r="J12" s="36">
        <f>ELECT.!H13</f>
        <v>47028</v>
      </c>
      <c r="K12" s="36">
        <f>ELECT.!K13</f>
        <v>10904</v>
      </c>
      <c r="L12" s="36">
        <f>ELECT.!M13</f>
        <v>5633</v>
      </c>
      <c r="M12" s="36">
        <f>ELECT.!O13</f>
        <v>9452</v>
      </c>
      <c r="N12" s="36">
        <f>ELECT.!Q13</f>
        <v>10454</v>
      </c>
      <c r="O12" s="36">
        <f>ELECT.!S13</f>
        <v>9477</v>
      </c>
      <c r="P12" s="36">
        <f>ELECT.!W13*2</f>
        <v>20584</v>
      </c>
      <c r="Q12" s="36">
        <f>ELECT.!D13</f>
        <v>480</v>
      </c>
      <c r="R12" s="129">
        <f>BTU!C13</f>
        <v>7.4540000000015425</v>
      </c>
      <c r="S12" s="129">
        <f>BTU!F13</f>
        <v>1.7330000000001746</v>
      </c>
      <c r="T12" s="129">
        <f>BTU!I13</f>
        <v>5</v>
      </c>
      <c r="U12" s="129">
        <f>BTU!O13</f>
        <v>2.0310000000004038</v>
      </c>
      <c r="V12" s="129">
        <f>BTU!L13</f>
        <v>1.0200000000004366</v>
      </c>
      <c r="W12" s="129">
        <f>BTU!R13</f>
        <v>1.8900000000003274</v>
      </c>
      <c r="X12" s="34">
        <f>ELECT.!B13</f>
        <v>250</v>
      </c>
      <c r="Y12" s="34">
        <f t="shared" si="0"/>
        <v>-4199</v>
      </c>
      <c r="Z12">
        <f>'Mall, Citadel, Rotana'!C13+'Mall, Citadel, Rotana'!E13+'Mall, Citadel, Rotana'!G13+'Mall, Citadel, Rotana'!I13</f>
        <v>1234</v>
      </c>
      <c r="AA12">
        <f>'Mall, Citadel, Rotana'!K13+'Mall, Citadel, Rotana'!M13</f>
        <v>244</v>
      </c>
      <c r="AB12">
        <f>'Mall, Citadel, Rotana'!O13</f>
        <v>3</v>
      </c>
      <c r="AC12">
        <f>'Mall, Citadel, Rotana'!Q13+'Mall, Citadel, Rotana'!S13</f>
        <v>115</v>
      </c>
      <c r="AD12" s="34">
        <f t="shared" si="1"/>
        <v>100.31469340000001</v>
      </c>
      <c r="AE12" s="34">
        <f t="shared" si="2"/>
        <v>660.79830660000005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860</v>
      </c>
      <c r="F13" s="36">
        <f>Water!E14</f>
        <v>320</v>
      </c>
      <c r="G13" s="36">
        <f>Water!G14</f>
        <v>580.5</v>
      </c>
      <c r="H13" s="36">
        <f>Water!I14</f>
        <v>4.806</v>
      </c>
      <c r="I13" s="36">
        <f>ELECT.!F14</f>
        <v>23496</v>
      </c>
      <c r="J13" s="36">
        <f>ELECT.!H14</f>
        <v>60994</v>
      </c>
      <c r="K13" s="36">
        <f>ELECT.!K14</f>
        <v>13412</v>
      </c>
      <c r="L13" s="36">
        <f>ELECT.!M14</f>
        <v>7128</v>
      </c>
      <c r="M13" s="36">
        <f>ELECT.!O14</f>
        <v>16146</v>
      </c>
      <c r="N13" s="36">
        <f>ELECT.!Q14</f>
        <v>12723</v>
      </c>
      <c r="O13" s="36">
        <f>ELECT.!S14</f>
        <v>12296</v>
      </c>
      <c r="P13" s="36">
        <f>ELECT.!W14*2</f>
        <v>27962</v>
      </c>
      <c r="Q13" s="36">
        <f>ELECT.!D14</f>
        <v>480</v>
      </c>
      <c r="R13" s="129">
        <f>BTU!C14</f>
        <v>10.799999999999272</v>
      </c>
      <c r="S13" s="129">
        <f>BTU!F14</f>
        <v>3.4110000000000582</v>
      </c>
      <c r="T13" s="129">
        <f>BTU!I14</f>
        <v>9</v>
      </c>
      <c r="U13" s="129">
        <f>BTU!O14</f>
        <v>2.8829999999998108</v>
      </c>
      <c r="V13" s="129">
        <f>BTU!L14</f>
        <v>1.9200000000000728</v>
      </c>
      <c r="W13" s="129">
        <f>BTU!R14</f>
        <v>1.819999999999709</v>
      </c>
      <c r="X13" s="34">
        <f>ELECT.!B14</f>
        <v>266</v>
      </c>
      <c r="Y13" s="34">
        <f t="shared" si="0"/>
        <v>-5177</v>
      </c>
      <c r="Z13">
        <f>'Mall, Citadel, Rotana'!C14+'Mall, Citadel, Rotana'!E14+'Mall, Citadel, Rotana'!G14+'Mall, Citadel, Rotana'!I14</f>
        <v>1099</v>
      </c>
      <c r="AA13">
        <f>'Mall, Citadel, Rotana'!K14+'Mall, Citadel, Rotana'!M14</f>
        <v>802</v>
      </c>
      <c r="AB13">
        <f>'Mall, Citadel, Rotana'!O14</f>
        <v>4</v>
      </c>
      <c r="AC13">
        <f>'Mall, Citadel, Rotana'!Q14+'Mall, Citadel, Rotana'!S14</f>
        <v>122</v>
      </c>
      <c r="AD13" s="34">
        <f t="shared" si="1"/>
        <v>87.14536919999999</v>
      </c>
      <c r="AE13" s="34">
        <f t="shared" si="2"/>
        <v>574.04863079999996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940</v>
      </c>
      <c r="F14" s="36">
        <f>Water!E15</f>
        <v>360</v>
      </c>
      <c r="G14" s="36">
        <f>Water!G15</f>
        <v>537.29999999999995</v>
      </c>
      <c r="H14" s="36">
        <f>Water!I15</f>
        <v>4.7519999999999998</v>
      </c>
      <c r="I14" s="36">
        <f>ELECT.!F15</f>
        <v>16674</v>
      </c>
      <c r="J14" s="36">
        <f>ELECT.!H15</f>
        <v>43412</v>
      </c>
      <c r="K14" s="36">
        <f>ELECT.!K15</f>
        <v>9944</v>
      </c>
      <c r="L14" s="36">
        <f>ELECT.!M15</f>
        <v>5078</v>
      </c>
      <c r="M14" s="36">
        <f>ELECT.!O15</f>
        <v>11408</v>
      </c>
      <c r="N14" s="36">
        <f>ELECT.!Q15</f>
        <v>8908</v>
      </c>
      <c r="O14" s="36">
        <f>ELECT.!S15</f>
        <v>9212</v>
      </c>
      <c r="P14" s="36">
        <f>ELECT.!W15*2</f>
        <v>19448</v>
      </c>
      <c r="Q14" s="36">
        <f>ELECT.!D15</f>
        <v>640</v>
      </c>
      <c r="R14" s="129">
        <f>BTU!C15</f>
        <v>5.4110000000000582</v>
      </c>
      <c r="S14" s="129">
        <f>BTU!F15</f>
        <v>1.4409999999998035</v>
      </c>
      <c r="T14" s="129">
        <f>BTU!I15</f>
        <v>4</v>
      </c>
      <c r="U14" s="129">
        <f>BTU!O15</f>
        <v>1.5329999999999018</v>
      </c>
      <c r="V14" s="129">
        <f>BTU!L15</f>
        <v>0.6499999999996362</v>
      </c>
      <c r="W14" s="129">
        <f>BTU!R15</f>
        <v>2.8100000000004002</v>
      </c>
      <c r="X14" s="34">
        <f>ELECT.!B15</f>
        <v>321</v>
      </c>
      <c r="Y14" s="34">
        <f t="shared" si="0"/>
        <v>-3912</v>
      </c>
      <c r="Z14">
        <f>'Mall, Citadel, Rotana'!C15+'Mall, Citadel, Rotana'!E15+'Mall, Citadel, Rotana'!G15+'Mall, Citadel, Rotana'!I15</f>
        <v>1539</v>
      </c>
      <c r="AA14">
        <f>'Mall, Citadel, Rotana'!K15+'Mall, Citadel, Rotana'!M15</f>
        <v>423</v>
      </c>
      <c r="AB14">
        <f>'Mall, Citadel, Rotana'!O15</f>
        <v>3</v>
      </c>
      <c r="AC14">
        <f>'Mall, Citadel, Rotana'!Q15+'Mall, Citadel, Rotana'!S15</f>
        <v>118</v>
      </c>
      <c r="AD14" s="34">
        <f t="shared" si="1"/>
        <v>97.696486400000012</v>
      </c>
      <c r="AE14" s="34">
        <f t="shared" si="2"/>
        <v>643.55151360000002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 t="str">
        <f>ELECT.!F16</f>
        <v>0</v>
      </c>
      <c r="J15" s="36" t="str">
        <f>ELECT.!H16</f>
        <v>0</v>
      </c>
      <c r="K15" s="36">
        <f>ELECT.!K16</f>
        <v>0</v>
      </c>
      <c r="L15" s="36" t="str">
        <f>ELECT.!M16</f>
        <v>0</v>
      </c>
      <c r="M15" s="36">
        <f>ELECT.!O16</f>
        <v>0</v>
      </c>
      <c r="N15" s="36" t="str">
        <f>ELECT.!Q16</f>
        <v>0</v>
      </c>
      <c r="O15" s="36" t="str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22157</v>
      </c>
      <c r="G10" s="14">
        <f t="shared" si="5"/>
        <v>60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v>47695</v>
      </c>
      <c r="C11" s="14">
        <f t="shared" si="3"/>
        <v>800</v>
      </c>
      <c r="D11" s="32">
        <v>41040</v>
      </c>
      <c r="E11" s="14">
        <f t="shared" si="4"/>
        <v>480</v>
      </c>
      <c r="F11" s="32">
        <v>22160</v>
      </c>
      <c r="G11" s="14">
        <f t="shared" si="5"/>
        <v>60</v>
      </c>
      <c r="H11" s="32">
        <v>259161</v>
      </c>
      <c r="I11" s="14">
        <f t="shared" si="6"/>
        <v>32</v>
      </c>
      <c r="J11" s="32">
        <v>336733</v>
      </c>
      <c r="K11" s="14">
        <f t="shared" si="7"/>
        <v>134</v>
      </c>
      <c r="L11" s="32">
        <v>26567</v>
      </c>
      <c r="M11" s="14">
        <f t="shared" si="8"/>
        <v>120</v>
      </c>
      <c r="N11" s="32">
        <v>226454</v>
      </c>
      <c r="O11" s="14">
        <f t="shared" si="9"/>
        <v>3</v>
      </c>
      <c r="P11" s="32">
        <v>173741</v>
      </c>
      <c r="Q11" s="14">
        <f t="shared" si="2"/>
        <v>115</v>
      </c>
      <c r="R11" s="1">
        <f t="shared" si="12"/>
        <v>55047</v>
      </c>
      <c r="S11" s="14">
        <f t="shared" si="11"/>
        <v>0</v>
      </c>
      <c r="T11" s="32">
        <v>4068</v>
      </c>
      <c r="U11" s="14">
        <f t="shared" si="10"/>
        <v>160</v>
      </c>
    </row>
    <row r="12" spans="1:24" ht="13.5" thickBot="1" x14ac:dyDescent="0.25">
      <c r="A12" s="9">
        <v>44844</v>
      </c>
      <c r="B12" s="32">
        <v>47699</v>
      </c>
      <c r="C12" s="14">
        <f t="shared" si="3"/>
        <v>640</v>
      </c>
      <c r="D12" s="32">
        <v>41043</v>
      </c>
      <c r="E12" s="14">
        <f t="shared" si="4"/>
        <v>480</v>
      </c>
      <c r="F12" s="32">
        <v>22163</v>
      </c>
      <c r="G12" s="14">
        <f t="shared" si="5"/>
        <v>60</v>
      </c>
      <c r="H12" s="32">
        <v>259193</v>
      </c>
      <c r="I12" s="14">
        <f t="shared" si="6"/>
        <v>32</v>
      </c>
      <c r="J12" s="32">
        <v>336857</v>
      </c>
      <c r="K12" s="14">
        <f t="shared" si="7"/>
        <v>124</v>
      </c>
      <c r="L12" s="32">
        <v>26569</v>
      </c>
      <c r="M12" s="14">
        <f t="shared" si="8"/>
        <v>120</v>
      </c>
      <c r="N12" s="32">
        <v>226457</v>
      </c>
      <c r="O12" s="14">
        <f t="shared" si="9"/>
        <v>3</v>
      </c>
      <c r="P12" s="32">
        <v>173863</v>
      </c>
      <c r="Q12" s="14">
        <f t="shared" si="2"/>
        <v>122</v>
      </c>
      <c r="R12" s="1">
        <f t="shared" si="12"/>
        <v>55047</v>
      </c>
      <c r="S12" s="14">
        <f t="shared" si="11"/>
        <v>0</v>
      </c>
      <c r="T12" s="32">
        <v>4068</v>
      </c>
      <c r="U12" s="14">
        <f t="shared" si="10"/>
        <v>0</v>
      </c>
    </row>
    <row r="13" spans="1:24" ht="13.5" thickBot="1" x14ac:dyDescent="0.25">
      <c r="A13" s="9">
        <v>44845</v>
      </c>
      <c r="B13" s="32">
        <v>47704</v>
      </c>
      <c r="C13" s="14">
        <f t="shared" si="3"/>
        <v>800</v>
      </c>
      <c r="D13" s="32">
        <v>41045</v>
      </c>
      <c r="E13" s="14">
        <f t="shared" si="4"/>
        <v>320</v>
      </c>
      <c r="F13" s="32">
        <v>22167</v>
      </c>
      <c r="G13" s="14">
        <f t="shared" si="5"/>
        <v>80</v>
      </c>
      <c r="H13" s="32">
        <v>259227</v>
      </c>
      <c r="I13" s="14">
        <f t="shared" si="6"/>
        <v>34</v>
      </c>
      <c r="J13" s="32">
        <v>336981</v>
      </c>
      <c r="K13" s="14">
        <f t="shared" si="7"/>
        <v>124</v>
      </c>
      <c r="L13" s="32">
        <v>26571</v>
      </c>
      <c r="M13" s="14">
        <f t="shared" si="8"/>
        <v>120</v>
      </c>
      <c r="N13" s="32">
        <v>226460</v>
      </c>
      <c r="O13" s="14">
        <f t="shared" si="9"/>
        <v>3</v>
      </c>
      <c r="P13" s="32">
        <v>173978</v>
      </c>
      <c r="Q13" s="14">
        <f t="shared" si="2"/>
        <v>115</v>
      </c>
      <c r="R13" s="1">
        <f t="shared" si="12"/>
        <v>55047</v>
      </c>
      <c r="S13" s="14">
        <f t="shared" si="11"/>
        <v>0</v>
      </c>
      <c r="T13" s="32">
        <v>4069</v>
      </c>
      <c r="U13" s="14">
        <f t="shared" si="10"/>
        <v>160</v>
      </c>
    </row>
    <row r="14" spans="1:24" ht="13.5" thickBot="1" x14ac:dyDescent="0.25">
      <c r="A14" s="9">
        <v>44846</v>
      </c>
      <c r="B14" s="32">
        <v>47708</v>
      </c>
      <c r="C14" s="14">
        <f t="shared" si="3"/>
        <v>640</v>
      </c>
      <c r="D14" s="32">
        <v>41047</v>
      </c>
      <c r="E14" s="14">
        <f t="shared" si="4"/>
        <v>320</v>
      </c>
      <c r="F14" s="32">
        <v>22171</v>
      </c>
      <c r="G14" s="14">
        <f t="shared" si="5"/>
        <v>80</v>
      </c>
      <c r="H14" s="32">
        <v>259286</v>
      </c>
      <c r="I14" s="14">
        <f t="shared" si="6"/>
        <v>59</v>
      </c>
      <c r="J14" s="32">
        <v>337303</v>
      </c>
      <c r="K14" s="14">
        <f t="shared" si="7"/>
        <v>322</v>
      </c>
      <c r="L14" s="32">
        <v>26579</v>
      </c>
      <c r="M14" s="14">
        <f t="shared" si="8"/>
        <v>480</v>
      </c>
      <c r="N14" s="32">
        <v>226464</v>
      </c>
      <c r="O14" s="14">
        <f t="shared" si="9"/>
        <v>4</v>
      </c>
      <c r="P14" s="32">
        <v>174100</v>
      </c>
      <c r="Q14" s="14">
        <f t="shared" si="2"/>
        <v>122</v>
      </c>
      <c r="R14" s="1">
        <f t="shared" si="12"/>
        <v>55047</v>
      </c>
      <c r="S14" s="14">
        <v>0</v>
      </c>
      <c r="T14" s="32">
        <v>4070</v>
      </c>
      <c r="U14" s="14">
        <f t="shared" si="10"/>
        <v>160</v>
      </c>
    </row>
    <row r="15" spans="1:24" ht="13.5" thickBot="1" x14ac:dyDescent="0.25">
      <c r="A15" s="9">
        <v>44847</v>
      </c>
      <c r="B15" s="32">
        <v>47713</v>
      </c>
      <c r="C15" s="14">
        <f t="shared" si="3"/>
        <v>800</v>
      </c>
      <c r="D15" s="32">
        <v>41051</v>
      </c>
      <c r="E15" s="14">
        <f t="shared" si="4"/>
        <v>640</v>
      </c>
      <c r="F15" s="32">
        <v>22174</v>
      </c>
      <c r="G15" s="14">
        <f t="shared" si="5"/>
        <v>60</v>
      </c>
      <c r="H15" s="32">
        <v>259325</v>
      </c>
      <c r="I15" s="14">
        <f t="shared" si="6"/>
        <v>39</v>
      </c>
      <c r="J15" s="32">
        <v>337486</v>
      </c>
      <c r="K15" s="14">
        <f t="shared" si="7"/>
        <v>183</v>
      </c>
      <c r="L15" s="32">
        <v>26583</v>
      </c>
      <c r="M15" s="14">
        <f t="shared" si="8"/>
        <v>240</v>
      </c>
      <c r="N15" s="32">
        <v>226467</v>
      </c>
      <c r="O15" s="14">
        <f t="shared" si="9"/>
        <v>3</v>
      </c>
      <c r="P15" s="32">
        <v>174218</v>
      </c>
      <c r="Q15" s="14">
        <f t="shared" si="2"/>
        <v>118</v>
      </c>
      <c r="R15" s="1">
        <v>55047</v>
      </c>
      <c r="S15" s="14">
        <v>0</v>
      </c>
      <c r="T15" s="32">
        <v>4071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44848</v>
      </c>
      <c r="B16" s="32">
        <f t="shared" ref="B15:B33" si="15">B15</f>
        <v>47713</v>
      </c>
      <c r="C16" s="14">
        <f t="shared" si="3"/>
        <v>0</v>
      </c>
      <c r="D16" s="32">
        <f t="shared" ref="D15:D33" si="16">D15</f>
        <v>41051</v>
      </c>
      <c r="E16" s="14">
        <f t="shared" si="4"/>
        <v>0</v>
      </c>
      <c r="F16" s="32">
        <f t="shared" ref="F15:F33" si="17">F15</f>
        <v>22174</v>
      </c>
      <c r="G16" s="14">
        <f t="shared" si="5"/>
        <v>0</v>
      </c>
      <c r="H16" s="32">
        <f t="shared" ref="H15:H33" si="18">H15</f>
        <v>259325</v>
      </c>
      <c r="I16" s="14">
        <f t="shared" si="6"/>
        <v>0</v>
      </c>
      <c r="J16" s="32">
        <f t="shared" ref="J15:J33" si="19">J15</f>
        <v>337486</v>
      </c>
      <c r="K16" s="14">
        <f t="shared" si="7"/>
        <v>0</v>
      </c>
      <c r="L16" s="32">
        <f t="shared" ref="L15:L33" si="20">L15</f>
        <v>26583</v>
      </c>
      <c r="M16" s="14">
        <f t="shared" si="8"/>
        <v>0</v>
      </c>
      <c r="N16" s="32">
        <f t="shared" ref="N15:N33" si="21">N15</f>
        <v>226467</v>
      </c>
      <c r="O16" s="14">
        <f t="shared" si="9"/>
        <v>0</v>
      </c>
      <c r="P16" s="32">
        <f t="shared" si="14"/>
        <v>174218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3"/>
        <v>4071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5"/>
        <v>47713</v>
      </c>
      <c r="C17" s="14">
        <f t="shared" si="3"/>
        <v>0</v>
      </c>
      <c r="D17" s="32">
        <f t="shared" si="16"/>
        <v>41051</v>
      </c>
      <c r="E17" s="14">
        <f t="shared" si="4"/>
        <v>0</v>
      </c>
      <c r="F17" s="32">
        <f t="shared" si="17"/>
        <v>22174</v>
      </c>
      <c r="G17" s="14">
        <f t="shared" si="5"/>
        <v>0</v>
      </c>
      <c r="H17" s="32">
        <f t="shared" si="18"/>
        <v>259325</v>
      </c>
      <c r="I17" s="14">
        <f t="shared" si="6"/>
        <v>0</v>
      </c>
      <c r="J17" s="32">
        <f t="shared" si="19"/>
        <v>337486</v>
      </c>
      <c r="K17" s="14">
        <f t="shared" si="7"/>
        <v>0</v>
      </c>
      <c r="L17" s="32">
        <f t="shared" si="20"/>
        <v>26583</v>
      </c>
      <c r="M17" s="14">
        <f t="shared" si="8"/>
        <v>0</v>
      </c>
      <c r="N17" s="32">
        <f t="shared" si="21"/>
        <v>226467</v>
      </c>
      <c r="O17" s="14">
        <f t="shared" si="9"/>
        <v>0</v>
      </c>
      <c r="P17" s="32">
        <f t="shared" si="14"/>
        <v>174218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3"/>
        <v>4071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5"/>
        <v>47713</v>
      </c>
      <c r="C18" s="14">
        <f t="shared" si="3"/>
        <v>0</v>
      </c>
      <c r="D18" s="32">
        <f t="shared" si="16"/>
        <v>41051</v>
      </c>
      <c r="E18" s="14">
        <f t="shared" si="4"/>
        <v>0</v>
      </c>
      <c r="F18" s="32">
        <f t="shared" si="17"/>
        <v>22174</v>
      </c>
      <c r="G18" s="14">
        <f t="shared" si="5"/>
        <v>0</v>
      </c>
      <c r="H18" s="32">
        <f t="shared" si="18"/>
        <v>259325</v>
      </c>
      <c r="I18" s="14">
        <f t="shared" si="6"/>
        <v>0</v>
      </c>
      <c r="J18" s="32">
        <f t="shared" si="19"/>
        <v>337486</v>
      </c>
      <c r="K18" s="14">
        <f t="shared" si="7"/>
        <v>0</v>
      </c>
      <c r="L18" s="32">
        <f t="shared" si="20"/>
        <v>26583</v>
      </c>
      <c r="M18" s="14">
        <f t="shared" si="8"/>
        <v>0</v>
      </c>
      <c r="N18" s="32">
        <f t="shared" si="21"/>
        <v>226467</v>
      </c>
      <c r="O18" s="14">
        <f t="shared" si="9"/>
        <v>0</v>
      </c>
      <c r="P18" s="32">
        <f t="shared" si="14"/>
        <v>174218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3"/>
        <v>4071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5"/>
        <v>47713</v>
      </c>
      <c r="C19" s="14">
        <f t="shared" si="3"/>
        <v>0</v>
      </c>
      <c r="D19" s="32">
        <f t="shared" si="16"/>
        <v>41051</v>
      </c>
      <c r="E19" s="14">
        <f t="shared" si="4"/>
        <v>0</v>
      </c>
      <c r="F19" s="32">
        <f t="shared" si="17"/>
        <v>22174</v>
      </c>
      <c r="G19" s="14">
        <f t="shared" si="5"/>
        <v>0</v>
      </c>
      <c r="H19" s="32">
        <f t="shared" si="18"/>
        <v>259325</v>
      </c>
      <c r="I19" s="14">
        <f t="shared" si="6"/>
        <v>0</v>
      </c>
      <c r="J19" s="32">
        <f t="shared" si="19"/>
        <v>337486</v>
      </c>
      <c r="K19" s="14">
        <f t="shared" si="7"/>
        <v>0</v>
      </c>
      <c r="L19" s="32">
        <f t="shared" si="20"/>
        <v>26583</v>
      </c>
      <c r="M19" s="14">
        <f t="shared" si="8"/>
        <v>0</v>
      </c>
      <c r="N19" s="32">
        <f t="shared" si="21"/>
        <v>226467</v>
      </c>
      <c r="O19" s="14">
        <f t="shared" si="9"/>
        <v>0</v>
      </c>
      <c r="P19" s="32">
        <f t="shared" si="14"/>
        <v>174218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4071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5"/>
        <v>47713</v>
      </c>
      <c r="C20" s="14">
        <f t="shared" si="3"/>
        <v>0</v>
      </c>
      <c r="D20" s="32">
        <f t="shared" si="16"/>
        <v>41051</v>
      </c>
      <c r="E20" s="14">
        <f t="shared" si="4"/>
        <v>0</v>
      </c>
      <c r="F20" s="32">
        <f t="shared" si="17"/>
        <v>22174</v>
      </c>
      <c r="G20" s="14">
        <f t="shared" si="5"/>
        <v>0</v>
      </c>
      <c r="H20" s="32">
        <f t="shared" si="18"/>
        <v>259325</v>
      </c>
      <c r="I20" s="14">
        <f t="shared" si="6"/>
        <v>0</v>
      </c>
      <c r="J20" s="32">
        <f t="shared" si="19"/>
        <v>337486</v>
      </c>
      <c r="K20" s="14">
        <f t="shared" si="7"/>
        <v>0</v>
      </c>
      <c r="L20" s="32">
        <f t="shared" si="20"/>
        <v>26583</v>
      </c>
      <c r="M20" s="14">
        <f t="shared" si="8"/>
        <v>0</v>
      </c>
      <c r="N20" s="32">
        <f t="shared" si="21"/>
        <v>226467</v>
      </c>
      <c r="O20" s="14">
        <f t="shared" si="9"/>
        <v>0</v>
      </c>
      <c r="P20" s="32">
        <f t="shared" si="14"/>
        <v>174218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4071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5"/>
        <v>47713</v>
      </c>
      <c r="C21" s="14">
        <f t="shared" si="3"/>
        <v>0</v>
      </c>
      <c r="D21" s="32">
        <f t="shared" si="16"/>
        <v>41051</v>
      </c>
      <c r="E21" s="14">
        <f t="shared" si="4"/>
        <v>0</v>
      </c>
      <c r="F21" s="32">
        <f t="shared" si="17"/>
        <v>22174</v>
      </c>
      <c r="G21" s="14">
        <f t="shared" si="5"/>
        <v>0</v>
      </c>
      <c r="H21" s="32">
        <f t="shared" si="18"/>
        <v>259325</v>
      </c>
      <c r="I21" s="14">
        <f t="shared" si="6"/>
        <v>0</v>
      </c>
      <c r="J21" s="32">
        <f t="shared" si="19"/>
        <v>337486</v>
      </c>
      <c r="K21" s="14">
        <f t="shared" si="7"/>
        <v>0</v>
      </c>
      <c r="L21" s="32">
        <f t="shared" si="20"/>
        <v>26583</v>
      </c>
      <c r="M21" s="14">
        <f t="shared" si="8"/>
        <v>0</v>
      </c>
      <c r="N21" s="32">
        <f t="shared" si="21"/>
        <v>226467</v>
      </c>
      <c r="O21" s="14">
        <f t="shared" si="9"/>
        <v>0</v>
      </c>
      <c r="P21" s="32">
        <f t="shared" si="14"/>
        <v>174218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4071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5"/>
        <v>47713</v>
      </c>
      <c r="C22" s="14">
        <f t="shared" si="3"/>
        <v>0</v>
      </c>
      <c r="D22" s="32">
        <f t="shared" si="16"/>
        <v>41051</v>
      </c>
      <c r="E22" s="14">
        <f t="shared" si="4"/>
        <v>0</v>
      </c>
      <c r="F22" s="32">
        <f t="shared" si="17"/>
        <v>22174</v>
      </c>
      <c r="G22" s="14">
        <f t="shared" si="5"/>
        <v>0</v>
      </c>
      <c r="H22" s="32">
        <f t="shared" si="18"/>
        <v>259325</v>
      </c>
      <c r="I22" s="14">
        <f t="shared" si="6"/>
        <v>0</v>
      </c>
      <c r="J22" s="32">
        <f t="shared" si="19"/>
        <v>337486</v>
      </c>
      <c r="K22" s="14">
        <f t="shared" si="7"/>
        <v>0</v>
      </c>
      <c r="L22" s="32">
        <f t="shared" si="20"/>
        <v>26583</v>
      </c>
      <c r="M22" s="14">
        <f t="shared" si="8"/>
        <v>0</v>
      </c>
      <c r="N22" s="32">
        <f t="shared" si="21"/>
        <v>226467</v>
      </c>
      <c r="O22" s="14">
        <f t="shared" si="9"/>
        <v>0</v>
      </c>
      <c r="P22" s="32">
        <f t="shared" si="14"/>
        <v>174218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4071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5"/>
        <v>47713</v>
      </c>
      <c r="C23" s="14">
        <f t="shared" si="3"/>
        <v>0</v>
      </c>
      <c r="D23" s="32">
        <f t="shared" si="16"/>
        <v>41051</v>
      </c>
      <c r="E23" s="14">
        <f t="shared" si="4"/>
        <v>0</v>
      </c>
      <c r="F23" s="32">
        <f t="shared" si="17"/>
        <v>22174</v>
      </c>
      <c r="G23" s="14">
        <f t="shared" si="5"/>
        <v>0</v>
      </c>
      <c r="H23" s="32">
        <f t="shared" si="18"/>
        <v>259325</v>
      </c>
      <c r="I23" s="14">
        <f t="shared" si="6"/>
        <v>0</v>
      </c>
      <c r="J23" s="32">
        <f t="shared" si="19"/>
        <v>337486</v>
      </c>
      <c r="K23" s="14">
        <f t="shared" si="7"/>
        <v>0</v>
      </c>
      <c r="L23" s="32">
        <f t="shared" si="20"/>
        <v>26583</v>
      </c>
      <c r="M23" s="14">
        <f t="shared" si="8"/>
        <v>0</v>
      </c>
      <c r="N23" s="32">
        <f t="shared" si="21"/>
        <v>226467</v>
      </c>
      <c r="O23" s="14">
        <f t="shared" si="9"/>
        <v>0</v>
      </c>
      <c r="P23" s="32">
        <f t="shared" si="14"/>
        <v>174218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4071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47713</v>
      </c>
      <c r="C24" s="14">
        <f t="shared" si="3"/>
        <v>0</v>
      </c>
      <c r="D24" s="32">
        <f t="shared" si="16"/>
        <v>41051</v>
      </c>
      <c r="E24" s="14">
        <f t="shared" si="4"/>
        <v>0</v>
      </c>
      <c r="F24" s="32">
        <f t="shared" si="17"/>
        <v>22174</v>
      </c>
      <c r="G24" s="14">
        <f t="shared" si="5"/>
        <v>0</v>
      </c>
      <c r="H24" s="32">
        <f t="shared" si="18"/>
        <v>259325</v>
      </c>
      <c r="I24" s="14">
        <f t="shared" si="6"/>
        <v>0</v>
      </c>
      <c r="J24" s="32">
        <f t="shared" si="19"/>
        <v>337486</v>
      </c>
      <c r="K24" s="14">
        <f t="shared" si="7"/>
        <v>0</v>
      </c>
      <c r="L24" s="32">
        <f t="shared" si="20"/>
        <v>26583</v>
      </c>
      <c r="M24" s="14">
        <f t="shared" si="8"/>
        <v>0</v>
      </c>
      <c r="N24" s="32">
        <f t="shared" si="21"/>
        <v>226467</v>
      </c>
      <c r="O24" s="14">
        <f t="shared" si="9"/>
        <v>0</v>
      </c>
      <c r="P24" s="32">
        <f t="shared" si="14"/>
        <v>174218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4071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47713</v>
      </c>
      <c r="C25" s="14">
        <f t="shared" si="3"/>
        <v>0</v>
      </c>
      <c r="D25" s="32">
        <f t="shared" si="16"/>
        <v>41051</v>
      </c>
      <c r="E25" s="14">
        <f t="shared" si="4"/>
        <v>0</v>
      </c>
      <c r="F25" s="32">
        <f t="shared" si="17"/>
        <v>22174</v>
      </c>
      <c r="G25" s="14">
        <f t="shared" si="5"/>
        <v>0</v>
      </c>
      <c r="H25" s="32">
        <f t="shared" si="18"/>
        <v>259325</v>
      </c>
      <c r="I25" s="14">
        <f t="shared" si="6"/>
        <v>0</v>
      </c>
      <c r="J25" s="32">
        <f t="shared" si="19"/>
        <v>337486</v>
      </c>
      <c r="K25" s="14">
        <f t="shared" si="7"/>
        <v>0</v>
      </c>
      <c r="L25" s="32">
        <f t="shared" si="20"/>
        <v>26583</v>
      </c>
      <c r="M25" s="14">
        <f t="shared" si="8"/>
        <v>0</v>
      </c>
      <c r="N25" s="32">
        <f t="shared" si="21"/>
        <v>226467</v>
      </c>
      <c r="O25" s="14">
        <f t="shared" si="9"/>
        <v>0</v>
      </c>
      <c r="P25" s="32">
        <f t="shared" si="14"/>
        <v>174218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4071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47713</v>
      </c>
      <c r="C26" s="14">
        <f t="shared" si="3"/>
        <v>0</v>
      </c>
      <c r="D26" s="32">
        <f t="shared" si="16"/>
        <v>41051</v>
      </c>
      <c r="E26" s="14">
        <f t="shared" si="4"/>
        <v>0</v>
      </c>
      <c r="F26" s="32">
        <f t="shared" si="17"/>
        <v>22174</v>
      </c>
      <c r="G26" s="14">
        <f t="shared" si="5"/>
        <v>0</v>
      </c>
      <c r="H26" s="32">
        <f t="shared" si="18"/>
        <v>259325</v>
      </c>
      <c r="I26" s="14">
        <f t="shared" si="6"/>
        <v>0</v>
      </c>
      <c r="J26" s="32">
        <f t="shared" si="19"/>
        <v>337486</v>
      </c>
      <c r="K26" s="14">
        <f t="shared" si="7"/>
        <v>0</v>
      </c>
      <c r="L26" s="32">
        <f t="shared" si="20"/>
        <v>26583</v>
      </c>
      <c r="M26" s="14">
        <f t="shared" si="8"/>
        <v>0</v>
      </c>
      <c r="N26" s="32">
        <f t="shared" si="21"/>
        <v>226467</v>
      </c>
      <c r="O26" s="14">
        <f t="shared" si="9"/>
        <v>0</v>
      </c>
      <c r="P26" s="32">
        <f t="shared" si="14"/>
        <v>174218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4071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47713</v>
      </c>
      <c r="C27" s="14">
        <f t="shared" si="3"/>
        <v>0</v>
      </c>
      <c r="D27" s="32">
        <f t="shared" si="16"/>
        <v>41051</v>
      </c>
      <c r="E27" s="14">
        <f t="shared" si="4"/>
        <v>0</v>
      </c>
      <c r="F27" s="32">
        <f t="shared" si="17"/>
        <v>22174</v>
      </c>
      <c r="G27" s="14">
        <f t="shared" si="5"/>
        <v>0</v>
      </c>
      <c r="H27" s="32">
        <f t="shared" si="18"/>
        <v>259325</v>
      </c>
      <c r="I27" s="14">
        <f t="shared" si="6"/>
        <v>0</v>
      </c>
      <c r="J27" s="32">
        <f t="shared" si="19"/>
        <v>337486</v>
      </c>
      <c r="K27" s="14">
        <f t="shared" si="7"/>
        <v>0</v>
      </c>
      <c r="L27" s="32">
        <f t="shared" si="20"/>
        <v>26583</v>
      </c>
      <c r="M27" s="14">
        <f t="shared" si="8"/>
        <v>0</v>
      </c>
      <c r="N27" s="32">
        <f t="shared" si="21"/>
        <v>226467</v>
      </c>
      <c r="O27" s="14">
        <f t="shared" si="9"/>
        <v>0</v>
      </c>
      <c r="P27" s="32">
        <f t="shared" si="14"/>
        <v>174218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4071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47713</v>
      </c>
      <c r="C28" s="14">
        <f t="shared" si="3"/>
        <v>0</v>
      </c>
      <c r="D28" s="32">
        <f t="shared" si="16"/>
        <v>41051</v>
      </c>
      <c r="E28" s="14">
        <f t="shared" si="4"/>
        <v>0</v>
      </c>
      <c r="F28" s="32">
        <f t="shared" si="17"/>
        <v>22174</v>
      </c>
      <c r="G28" s="14">
        <f t="shared" si="5"/>
        <v>0</v>
      </c>
      <c r="H28" s="32">
        <f t="shared" si="18"/>
        <v>259325</v>
      </c>
      <c r="I28" s="14">
        <f t="shared" si="6"/>
        <v>0</v>
      </c>
      <c r="J28" s="32">
        <f t="shared" si="19"/>
        <v>337486</v>
      </c>
      <c r="K28" s="14">
        <f t="shared" si="7"/>
        <v>0</v>
      </c>
      <c r="L28" s="32">
        <f t="shared" si="20"/>
        <v>26583</v>
      </c>
      <c r="M28" s="14">
        <f t="shared" si="8"/>
        <v>0</v>
      </c>
      <c r="N28" s="32">
        <f t="shared" si="21"/>
        <v>226467</v>
      </c>
      <c r="O28" s="14">
        <f t="shared" si="9"/>
        <v>0</v>
      </c>
      <c r="P28" s="32">
        <f t="shared" si="14"/>
        <v>174218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4071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47713</v>
      </c>
      <c r="C29" s="14">
        <f t="shared" si="3"/>
        <v>0</v>
      </c>
      <c r="D29" s="32">
        <f t="shared" si="16"/>
        <v>41051</v>
      </c>
      <c r="E29" s="14">
        <f t="shared" si="4"/>
        <v>0</v>
      </c>
      <c r="F29" s="32">
        <f t="shared" si="17"/>
        <v>22174</v>
      </c>
      <c r="G29" s="14">
        <f t="shared" si="5"/>
        <v>0</v>
      </c>
      <c r="H29" s="32">
        <f t="shared" si="18"/>
        <v>259325</v>
      </c>
      <c r="I29" s="14">
        <f t="shared" si="6"/>
        <v>0</v>
      </c>
      <c r="J29" s="32">
        <f t="shared" si="19"/>
        <v>337486</v>
      </c>
      <c r="K29" s="14">
        <f t="shared" si="7"/>
        <v>0</v>
      </c>
      <c r="L29" s="32">
        <f t="shared" si="20"/>
        <v>26583</v>
      </c>
      <c r="M29" s="14">
        <f t="shared" si="8"/>
        <v>0</v>
      </c>
      <c r="N29" s="32">
        <f t="shared" si="21"/>
        <v>226467</v>
      </c>
      <c r="O29" s="14">
        <f t="shared" si="9"/>
        <v>0</v>
      </c>
      <c r="P29" s="32">
        <f t="shared" si="14"/>
        <v>174218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4071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47713</v>
      </c>
      <c r="C30" s="14">
        <f t="shared" si="3"/>
        <v>0</v>
      </c>
      <c r="D30" s="32">
        <f t="shared" si="16"/>
        <v>41051</v>
      </c>
      <c r="E30" s="14">
        <f t="shared" si="4"/>
        <v>0</v>
      </c>
      <c r="F30" s="32">
        <f t="shared" si="17"/>
        <v>22174</v>
      </c>
      <c r="G30" s="14">
        <f t="shared" si="5"/>
        <v>0</v>
      </c>
      <c r="H30" s="32">
        <f t="shared" si="18"/>
        <v>259325</v>
      </c>
      <c r="I30" s="14">
        <f t="shared" si="6"/>
        <v>0</v>
      </c>
      <c r="J30" s="32">
        <f t="shared" si="19"/>
        <v>337486</v>
      </c>
      <c r="K30" s="14">
        <f t="shared" si="7"/>
        <v>0</v>
      </c>
      <c r="L30" s="32">
        <f t="shared" si="20"/>
        <v>26583</v>
      </c>
      <c r="M30" s="14">
        <f t="shared" si="8"/>
        <v>0</v>
      </c>
      <c r="N30" s="32">
        <f t="shared" si="21"/>
        <v>226467</v>
      </c>
      <c r="O30" s="14">
        <f t="shared" si="9"/>
        <v>0</v>
      </c>
      <c r="P30" s="32">
        <f t="shared" si="14"/>
        <v>174218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4071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47713</v>
      </c>
      <c r="C31" s="14">
        <f t="shared" si="3"/>
        <v>0</v>
      </c>
      <c r="D31" s="32">
        <f t="shared" si="16"/>
        <v>41051</v>
      </c>
      <c r="E31" s="14">
        <f t="shared" si="4"/>
        <v>0</v>
      </c>
      <c r="F31" s="32">
        <f t="shared" si="17"/>
        <v>22174</v>
      </c>
      <c r="G31" s="14">
        <f t="shared" si="5"/>
        <v>0</v>
      </c>
      <c r="H31" s="32">
        <f t="shared" si="18"/>
        <v>259325</v>
      </c>
      <c r="I31" s="14">
        <f t="shared" si="6"/>
        <v>0</v>
      </c>
      <c r="J31" s="32">
        <f t="shared" si="19"/>
        <v>337486</v>
      </c>
      <c r="K31" s="14">
        <f t="shared" si="7"/>
        <v>0</v>
      </c>
      <c r="L31" s="32">
        <f t="shared" si="20"/>
        <v>26583</v>
      </c>
      <c r="M31" s="14">
        <f t="shared" si="8"/>
        <v>0</v>
      </c>
      <c r="N31" s="32">
        <f t="shared" si="21"/>
        <v>226467</v>
      </c>
      <c r="O31" s="14">
        <f t="shared" si="9"/>
        <v>0</v>
      </c>
      <c r="P31" s="32">
        <f t="shared" si="14"/>
        <v>174218</v>
      </c>
      <c r="Q31" s="14">
        <f t="shared" si="2"/>
        <v>0</v>
      </c>
      <c r="R31" s="1">
        <v>55047</v>
      </c>
      <c r="S31" s="14">
        <v>0</v>
      </c>
      <c r="T31" s="32">
        <f t="shared" si="13"/>
        <v>4071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47713</v>
      </c>
      <c r="C32" s="14">
        <f t="shared" si="3"/>
        <v>0</v>
      </c>
      <c r="D32" s="32">
        <f t="shared" si="16"/>
        <v>41051</v>
      </c>
      <c r="E32" s="14">
        <f t="shared" si="4"/>
        <v>0</v>
      </c>
      <c r="F32" s="32">
        <f t="shared" si="17"/>
        <v>22174</v>
      </c>
      <c r="G32" s="14">
        <f t="shared" si="5"/>
        <v>0</v>
      </c>
      <c r="H32" s="32">
        <f t="shared" si="18"/>
        <v>259325</v>
      </c>
      <c r="I32" s="14">
        <f t="shared" si="6"/>
        <v>0</v>
      </c>
      <c r="J32" s="32">
        <f t="shared" si="19"/>
        <v>337486</v>
      </c>
      <c r="K32" s="14">
        <f t="shared" si="7"/>
        <v>0</v>
      </c>
      <c r="L32" s="32">
        <f t="shared" si="20"/>
        <v>26583</v>
      </c>
      <c r="M32" s="14">
        <f t="shared" si="8"/>
        <v>0</v>
      </c>
      <c r="N32" s="32">
        <f t="shared" si="21"/>
        <v>226467</v>
      </c>
      <c r="O32" s="14">
        <f t="shared" si="9"/>
        <v>0</v>
      </c>
      <c r="P32" s="32">
        <f t="shared" si="14"/>
        <v>174218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4071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47713</v>
      </c>
      <c r="C33" s="14">
        <f t="shared" si="3"/>
        <v>0</v>
      </c>
      <c r="D33" s="32">
        <f t="shared" si="16"/>
        <v>41051</v>
      </c>
      <c r="E33" s="14">
        <f t="shared" si="4"/>
        <v>0</v>
      </c>
      <c r="F33" s="32">
        <f t="shared" si="17"/>
        <v>22174</v>
      </c>
      <c r="G33" s="14">
        <f t="shared" si="5"/>
        <v>0</v>
      </c>
      <c r="H33" s="32">
        <f t="shared" si="18"/>
        <v>259325</v>
      </c>
      <c r="I33" s="14">
        <f t="shared" si="6"/>
        <v>0</v>
      </c>
      <c r="J33" s="32">
        <f t="shared" si="19"/>
        <v>337486</v>
      </c>
      <c r="K33" s="14">
        <f t="shared" si="7"/>
        <v>0</v>
      </c>
      <c r="L33" s="32">
        <f t="shared" si="20"/>
        <v>26583</v>
      </c>
      <c r="M33" s="14">
        <f t="shared" si="8"/>
        <v>0</v>
      </c>
      <c r="N33" s="32">
        <f t="shared" si="21"/>
        <v>226467</v>
      </c>
      <c r="O33" s="14">
        <f t="shared" si="9"/>
        <v>0</v>
      </c>
      <c r="P33" s="32">
        <f t="shared" si="14"/>
        <v>174218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4071</v>
      </c>
      <c r="U33" s="14">
        <f>SUM(U2:U32)</f>
        <v>1280</v>
      </c>
    </row>
    <row r="34" spans="1:21" ht="13.5" thickBot="1" x14ac:dyDescent="0.25">
      <c r="A34" s="14" t="s">
        <v>23</v>
      </c>
      <c r="B34" s="14"/>
      <c r="C34" s="14">
        <f>SUM(C3:C33)</f>
        <v>9600</v>
      </c>
      <c r="D34" s="14"/>
      <c r="E34" s="14">
        <f>SUM(E3:E33)</f>
        <v>5920</v>
      </c>
      <c r="F34" s="14"/>
      <c r="G34" s="14">
        <f>SUM(G3:G33)</f>
        <v>860</v>
      </c>
      <c r="H34" s="14"/>
      <c r="I34" s="14">
        <f>SUM(I3:I33)</f>
        <v>484</v>
      </c>
      <c r="J34" s="14"/>
      <c r="K34" s="14">
        <f>SUM(K3:K33)</f>
        <v>2096</v>
      </c>
      <c r="L34" s="14"/>
      <c r="M34" s="14">
        <f>SUM(M3:M33)</f>
        <v>2400</v>
      </c>
      <c r="N34" s="14"/>
      <c r="O34" s="14">
        <f>SUM(O3:O33)</f>
        <v>42</v>
      </c>
      <c r="P34" s="14"/>
      <c r="Q34" s="14">
        <f>SUM(Q3:Q33)</f>
        <v>1984</v>
      </c>
      <c r="R34" s="14"/>
      <c r="S34" s="14">
        <f>SUM(S3:S33)</f>
        <v>0</v>
      </c>
      <c r="T34" s="14"/>
      <c r="U34" s="14">
        <f>SUM(U3:U33)</f>
        <v>2560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5" activePane="bottomLeft" state="frozen"/>
      <selection pane="bottomLeft" activeCell="A15" sqref="A15:XFD1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2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2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>
        <v>222</v>
      </c>
      <c r="C11" s="131">
        <v>20214</v>
      </c>
      <c r="D11" s="38">
        <f>IF((C11-C10)&lt;0,"0",(C11-C10))*160</f>
        <v>480</v>
      </c>
      <c r="E11" s="132">
        <v>34094763</v>
      </c>
      <c r="F11" s="38">
        <f t="shared" si="5"/>
        <v>23695</v>
      </c>
      <c r="G11" s="133">
        <v>6852245</v>
      </c>
      <c r="H11" s="38">
        <f t="shared" si="6"/>
        <v>61508</v>
      </c>
      <c r="I11" s="134">
        <f t="shared" si="7"/>
        <v>85203</v>
      </c>
      <c r="J11" s="132">
        <v>648741</v>
      </c>
      <c r="K11" s="38">
        <f t="shared" si="15"/>
        <v>14146</v>
      </c>
      <c r="L11" s="135">
        <v>957479</v>
      </c>
      <c r="M11" s="38">
        <f t="shared" si="8"/>
        <v>7335</v>
      </c>
      <c r="N11" s="132">
        <v>7701070</v>
      </c>
      <c r="O11" s="38">
        <f t="shared" si="16"/>
        <v>16112</v>
      </c>
      <c r="P11" s="135">
        <v>8418614</v>
      </c>
      <c r="Q11" s="38">
        <f t="shared" si="9"/>
        <v>12604</v>
      </c>
      <c r="R11" s="132">
        <v>22661043</v>
      </c>
      <c r="S11" s="38">
        <f t="shared" si="10"/>
        <v>12754</v>
      </c>
      <c r="T11" s="132">
        <v>0</v>
      </c>
      <c r="U11" s="136"/>
      <c r="V11" s="132">
        <v>710931</v>
      </c>
      <c r="W11" s="38">
        <f t="shared" si="11"/>
        <v>13854</v>
      </c>
      <c r="X11" s="19">
        <f t="shared" si="12"/>
        <v>76805</v>
      </c>
      <c r="Y11" s="152">
        <f t="shared" si="13"/>
        <v>8398</v>
      </c>
      <c r="Z11" s="3">
        <f t="shared" si="14"/>
        <v>10615.323929600001</v>
      </c>
      <c r="AA11" s="3">
        <f>SUM(Z1:Z11)</f>
        <v>86871.466198400012</v>
      </c>
    </row>
    <row r="12" spans="1:27" ht="16.5" thickBot="1" x14ac:dyDescent="0.3">
      <c r="A12" s="9">
        <v>44844</v>
      </c>
      <c r="B12" s="38">
        <v>207</v>
      </c>
      <c r="C12" s="131">
        <v>20217</v>
      </c>
      <c r="D12" s="38">
        <f>IF((C12-C11)&lt;0,"0",(C12-C11))*160</f>
        <v>480</v>
      </c>
      <c r="E12" s="132">
        <v>34116573</v>
      </c>
      <c r="F12" s="38">
        <f t="shared" si="5"/>
        <v>21810</v>
      </c>
      <c r="G12" s="133">
        <v>6908814</v>
      </c>
      <c r="H12" s="38">
        <f t="shared" si="6"/>
        <v>56569</v>
      </c>
      <c r="I12" s="134">
        <f t="shared" si="7"/>
        <v>78379</v>
      </c>
      <c r="J12" s="132">
        <v>655230</v>
      </c>
      <c r="K12" s="38">
        <f t="shared" si="15"/>
        <v>12978</v>
      </c>
      <c r="L12" s="135">
        <v>963927</v>
      </c>
      <c r="M12" s="38">
        <f t="shared" si="8"/>
        <v>6448</v>
      </c>
      <c r="N12" s="132">
        <v>7708646</v>
      </c>
      <c r="O12" s="38">
        <f t="shared" si="16"/>
        <v>15152</v>
      </c>
      <c r="P12" s="135">
        <v>8430513</v>
      </c>
      <c r="Q12" s="38">
        <f t="shared" si="9"/>
        <v>11899</v>
      </c>
      <c r="R12" s="132">
        <v>22672395</v>
      </c>
      <c r="S12" s="38">
        <f t="shared" si="10"/>
        <v>11352</v>
      </c>
      <c r="T12" s="132">
        <v>0</v>
      </c>
      <c r="U12" s="136"/>
      <c r="V12" s="132">
        <v>723683</v>
      </c>
      <c r="W12" s="38">
        <f t="shared" si="11"/>
        <v>12752</v>
      </c>
      <c r="X12" s="19">
        <f t="shared" si="12"/>
        <v>70581</v>
      </c>
      <c r="Y12" s="152">
        <f t="shared" si="13"/>
        <v>7798</v>
      </c>
      <c r="Z12" s="3">
        <f t="shared" si="14"/>
        <v>9766.5263488000001</v>
      </c>
      <c r="AA12" s="3">
        <f>SUM(Z1:Z12)</f>
        <v>96637.992547200018</v>
      </c>
    </row>
    <row r="13" spans="1:27" ht="16.5" thickBot="1" x14ac:dyDescent="0.3">
      <c r="A13" s="9">
        <v>44845</v>
      </c>
      <c r="B13" s="38">
        <v>250</v>
      </c>
      <c r="C13" s="131">
        <v>20220</v>
      </c>
      <c r="D13" s="38">
        <f t="shared" ref="D13" si="17">IF((C13-C12)&lt;0,"0",(C13-C12))*160</f>
        <v>480</v>
      </c>
      <c r="E13" s="132">
        <v>34131850</v>
      </c>
      <c r="F13" s="38">
        <f t="shared" ref="F13" si="18">IF((E13-E12)&lt;0,"0",(E13-E12))</f>
        <v>15277</v>
      </c>
      <c r="G13" s="133">
        <v>6955842</v>
      </c>
      <c r="H13" s="38">
        <f t="shared" si="6"/>
        <v>47028</v>
      </c>
      <c r="I13" s="134">
        <f t="shared" ref="I13" si="19">F13+H13</f>
        <v>62305</v>
      </c>
      <c r="J13" s="132">
        <v>660682</v>
      </c>
      <c r="K13" s="38">
        <f t="shared" ref="K13" si="20">(IF((J13-J12)&lt;0,"0",(J13-J12)))*2</f>
        <v>10904</v>
      </c>
      <c r="L13" s="135">
        <v>969560</v>
      </c>
      <c r="M13" s="38">
        <f t="shared" ref="M13" si="21">IF((L13-L12)&lt;0,"0",(L13-L12))</f>
        <v>5633</v>
      </c>
      <c r="N13" s="132">
        <v>7713372</v>
      </c>
      <c r="O13" s="38">
        <f t="shared" ref="O13" si="22">(IF((N13-N12)&lt;0,"0",(N13-N12)))*2</f>
        <v>9452</v>
      </c>
      <c r="P13" s="135">
        <v>8440967</v>
      </c>
      <c r="Q13" s="38">
        <f t="shared" ref="Q13" si="23">IF((P13-P12)&lt;0,"0",(P13-P12))</f>
        <v>10454</v>
      </c>
      <c r="R13" s="132">
        <v>22681872</v>
      </c>
      <c r="S13" s="38">
        <f t="shared" ref="S13" si="24">IF((R13-R12)&lt;0,"0",(R13-R12))</f>
        <v>9477</v>
      </c>
      <c r="T13" s="132">
        <v>0</v>
      </c>
      <c r="U13" s="136"/>
      <c r="V13" s="132">
        <v>733975</v>
      </c>
      <c r="W13" s="38">
        <f t="shared" si="11"/>
        <v>10292</v>
      </c>
      <c r="X13" s="19">
        <f t="shared" ref="X13" si="25">K13+M13+O13+Q13+S13+U13+W13</f>
        <v>56212</v>
      </c>
      <c r="Y13" s="152">
        <f t="shared" si="13"/>
        <v>6093</v>
      </c>
      <c r="Z13" s="3">
        <f t="shared" ref="Z13" si="26">(0.93352*(W13+S13)+0.5568*(Q13+O13))*0.26</f>
        <v>7679.9885967999999</v>
      </c>
      <c r="AA13" s="3">
        <f>SUM(Z1:Z13)</f>
        <v>104317.98114400002</v>
      </c>
    </row>
    <row r="14" spans="1:27" ht="16.5" thickBot="1" x14ac:dyDescent="0.3">
      <c r="A14" s="9">
        <v>44846</v>
      </c>
      <c r="B14" s="38">
        <v>266</v>
      </c>
      <c r="C14" s="131">
        <v>20223</v>
      </c>
      <c r="D14" s="38">
        <f t="shared" si="4"/>
        <v>480</v>
      </c>
      <c r="E14" s="132">
        <v>34155346</v>
      </c>
      <c r="F14" s="38">
        <f t="shared" si="5"/>
        <v>23496</v>
      </c>
      <c r="G14" s="133">
        <v>7016836</v>
      </c>
      <c r="H14" s="38">
        <f t="shared" si="6"/>
        <v>60994</v>
      </c>
      <c r="I14" s="134">
        <f t="shared" si="7"/>
        <v>84490</v>
      </c>
      <c r="J14" s="132">
        <v>667388</v>
      </c>
      <c r="K14" s="38">
        <f t="shared" si="15"/>
        <v>13412</v>
      </c>
      <c r="L14" s="135">
        <v>976688</v>
      </c>
      <c r="M14" s="38">
        <f t="shared" si="8"/>
        <v>7128</v>
      </c>
      <c r="N14" s="132">
        <v>7721445</v>
      </c>
      <c r="O14" s="38">
        <f t="shared" si="16"/>
        <v>16146</v>
      </c>
      <c r="P14" s="135">
        <v>8453690</v>
      </c>
      <c r="Q14" s="38">
        <f t="shared" si="9"/>
        <v>12723</v>
      </c>
      <c r="R14" s="132">
        <v>22694168</v>
      </c>
      <c r="S14" s="38">
        <f>IF((R14-R13)&lt;0,"0",(R14-R13))</f>
        <v>12296</v>
      </c>
      <c r="T14" s="132">
        <v>0</v>
      </c>
      <c r="U14" s="136"/>
      <c r="V14" s="132">
        <v>747956</v>
      </c>
      <c r="W14" s="38">
        <f t="shared" si="11"/>
        <v>13981</v>
      </c>
      <c r="X14" s="19">
        <f t="shared" si="12"/>
        <v>75686</v>
      </c>
      <c r="Y14" s="152">
        <f t="shared" si="13"/>
        <v>8804</v>
      </c>
      <c r="Z14" s="3">
        <f t="shared" si="14"/>
        <v>10557.134702400001</v>
      </c>
      <c r="AA14" s="3">
        <f>SUM(Z1:Z14)</f>
        <v>114875.11584640002</v>
      </c>
    </row>
    <row r="15" spans="1:27" ht="16.5" thickBot="1" x14ac:dyDescent="0.3">
      <c r="A15" s="9">
        <v>44847</v>
      </c>
      <c r="B15" s="38">
        <v>321</v>
      </c>
      <c r="C15" s="131">
        <v>20227</v>
      </c>
      <c r="D15" s="38">
        <f t="shared" si="4"/>
        <v>640</v>
      </c>
      <c r="E15" s="132">
        <v>34172020</v>
      </c>
      <c r="F15" s="38">
        <f t="shared" si="5"/>
        <v>16674</v>
      </c>
      <c r="G15" s="133">
        <v>7060248</v>
      </c>
      <c r="H15" s="38">
        <f t="shared" si="6"/>
        <v>43412</v>
      </c>
      <c r="I15" s="134">
        <f t="shared" si="7"/>
        <v>60086</v>
      </c>
      <c r="J15" s="132">
        <v>672360</v>
      </c>
      <c r="K15" s="38">
        <f t="shared" si="15"/>
        <v>9944</v>
      </c>
      <c r="L15" s="135">
        <v>981766</v>
      </c>
      <c r="M15" s="38">
        <f t="shared" si="8"/>
        <v>5078</v>
      </c>
      <c r="N15" s="132">
        <v>7727149</v>
      </c>
      <c r="O15" s="38">
        <f t="shared" si="16"/>
        <v>11408</v>
      </c>
      <c r="P15" s="135">
        <v>8462598</v>
      </c>
      <c r="Q15" s="38">
        <f t="shared" si="9"/>
        <v>8908</v>
      </c>
      <c r="R15" s="132">
        <v>22703380</v>
      </c>
      <c r="S15" s="38">
        <f>IF((R15-R14)&lt;0,"0",(R15-R14))</f>
        <v>9212</v>
      </c>
      <c r="T15" s="132">
        <v>0</v>
      </c>
      <c r="U15" s="136"/>
      <c r="V15" s="132">
        <v>757680</v>
      </c>
      <c r="W15" s="38">
        <f t="shared" si="11"/>
        <v>9724</v>
      </c>
      <c r="X15" s="19">
        <f t="shared" si="12"/>
        <v>54274</v>
      </c>
      <c r="Y15" s="152">
        <f t="shared" si="13"/>
        <v>5812</v>
      </c>
      <c r="Z15" s="3">
        <f t="shared" si="14"/>
        <v>7537.1617151999999</v>
      </c>
      <c r="AA15" s="3">
        <f>SUM(Z1:Z15)</f>
        <v>122412.27756160001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 t="str">
        <f t="shared" si="5"/>
        <v>0</v>
      </c>
      <c r="G16" s="133"/>
      <c r="H16" s="38" t="str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 t="str">
        <f t="shared" si="8"/>
        <v>0</v>
      </c>
      <c r="N16" s="132"/>
      <c r="O16" s="38">
        <f t="shared" si="16"/>
        <v>0</v>
      </c>
      <c r="P16" s="135"/>
      <c r="Q16" s="38" t="str">
        <f t="shared" si="9"/>
        <v>0</v>
      </c>
      <c r="R16" s="132"/>
      <c r="S16" s="38" t="str">
        <f t="shared" si="10"/>
        <v>0</v>
      </c>
      <c r="T16" s="132">
        <v>0</v>
      </c>
      <c r="U16" s="136"/>
      <c r="V16" s="132"/>
      <c r="W16" s="38" t="str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122412.27756160001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122412.27756160001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122412.27756160001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122412.27756160001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122412.27756160001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122412.27756160001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122412.27756160001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122412.27756160001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122412.27756160001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122412.27756160001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122412.27756160001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122412.27756160001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122412.27756160001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122412.27756160001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122412.27756160001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122412.27756160001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122412.27756160001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122412.27756160001</v>
      </c>
    </row>
    <row r="34" spans="1:27" ht="16.5" thickBot="1" x14ac:dyDescent="0.3">
      <c r="A34" s="124" t="s">
        <v>23</v>
      </c>
      <c r="B34" s="124">
        <f>SUM(B3:B33)</f>
        <v>2975</v>
      </c>
      <c r="C34" s="124">
        <v>0</v>
      </c>
      <c r="D34" s="124">
        <f>SUM(D3:D33)</f>
        <v>6880</v>
      </c>
      <c r="E34" s="55">
        <v>0</v>
      </c>
      <c r="F34" s="124">
        <f>SUM(F3:F33)</f>
        <v>269107</v>
      </c>
      <c r="G34" s="55">
        <v>0</v>
      </c>
      <c r="H34" s="124">
        <f>SUM(H3:H33)</f>
        <v>705115</v>
      </c>
      <c r="I34" s="124">
        <f t="shared" ref="I34" si="39">F34+H34</f>
        <v>974222</v>
      </c>
      <c r="J34" s="55">
        <v>0</v>
      </c>
      <c r="K34" s="124">
        <f>SUM(K3:K33)</f>
        <v>156640</v>
      </c>
      <c r="L34" s="55">
        <v>0</v>
      </c>
      <c r="M34" s="124">
        <f>SUM(M3:M33)</f>
        <v>79260</v>
      </c>
      <c r="N34" s="55">
        <v>0</v>
      </c>
      <c r="O34" s="124">
        <f>SUM(O3:O33)</f>
        <v>187096</v>
      </c>
      <c r="P34" s="55">
        <v>0</v>
      </c>
      <c r="Q34" s="124">
        <f>SUM(Q3:Q33)</f>
        <v>154989</v>
      </c>
      <c r="R34" s="55">
        <v>0</v>
      </c>
      <c r="S34" s="124">
        <f>SUM(S3:S33)</f>
        <v>143877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156431</v>
      </c>
      <c r="X34" s="124">
        <f>SUM(X3:X33)</f>
        <v>878293</v>
      </c>
      <c r="Y34" s="124">
        <f>SUM(Y2:Y33)</f>
        <v>95929</v>
      </c>
      <c r="Z34" s="124">
        <f>SUM(Z2:Z33)</f>
        <v>122412.27756160001</v>
      </c>
      <c r="AA34" s="124">
        <f>SUM(AA2:AA33)</f>
        <v>3080751.6718783993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>
        <v>463513</v>
      </c>
      <c r="C11" s="38">
        <f t="shared" si="7"/>
        <v>890</v>
      </c>
      <c r="D11" s="3">
        <v>14387</v>
      </c>
      <c r="E11" s="38">
        <f t="shared" si="2"/>
        <v>310</v>
      </c>
      <c r="F11" s="3">
        <v>12076000</v>
      </c>
      <c r="G11" s="38">
        <f t="shared" si="5"/>
        <v>523.79999999999995</v>
      </c>
      <c r="H11" s="3">
        <v>814860</v>
      </c>
      <c r="I11" s="43">
        <f t="shared" si="6"/>
        <v>5.0220000000000002</v>
      </c>
      <c r="J11" s="19">
        <f t="shared" si="3"/>
        <v>1728.8219999999999</v>
      </c>
      <c r="K11" s="20">
        <f t="shared" si="4"/>
        <v>10130.896919999999</v>
      </c>
      <c r="N11" t="s">
        <v>12</v>
      </c>
    </row>
    <row r="12" spans="1:14" ht="16.5" thickBot="1" x14ac:dyDescent="0.3">
      <c r="A12" s="9">
        <v>44844</v>
      </c>
      <c r="B12" s="3">
        <v>463600</v>
      </c>
      <c r="C12" s="38">
        <f t="shared" si="7"/>
        <v>870</v>
      </c>
      <c r="D12" s="3">
        <v>14419</v>
      </c>
      <c r="E12" s="38">
        <f t="shared" si="2"/>
        <v>320</v>
      </c>
      <c r="F12" s="3">
        <v>12094800</v>
      </c>
      <c r="G12" s="38">
        <f t="shared" si="5"/>
        <v>507.59999999999997</v>
      </c>
      <c r="H12" s="3">
        <v>815032</v>
      </c>
      <c r="I12" s="43">
        <f t="shared" si="6"/>
        <v>4.6440000000000001</v>
      </c>
      <c r="J12" s="19">
        <f t="shared" si="3"/>
        <v>1702.2439999999999</v>
      </c>
      <c r="K12" s="20">
        <f t="shared" si="4"/>
        <v>9975.14984</v>
      </c>
    </row>
    <row r="13" spans="1:14" ht="16.5" thickBot="1" x14ac:dyDescent="0.3">
      <c r="A13" s="9">
        <v>44845</v>
      </c>
      <c r="B13" s="3">
        <v>463696</v>
      </c>
      <c r="C13" s="38">
        <f t="shared" si="7"/>
        <v>960</v>
      </c>
      <c r="D13" s="3">
        <v>14451</v>
      </c>
      <c r="E13" s="38">
        <f t="shared" si="2"/>
        <v>320</v>
      </c>
      <c r="F13" s="3">
        <v>12113700</v>
      </c>
      <c r="G13" s="38">
        <f t="shared" si="5"/>
        <v>510.3</v>
      </c>
      <c r="H13" s="3">
        <v>815213</v>
      </c>
      <c r="I13" s="43">
        <f t="shared" si="6"/>
        <v>4.8869999999999996</v>
      </c>
      <c r="J13" s="19">
        <f t="shared" si="3"/>
        <v>1795.1869999999999</v>
      </c>
      <c r="K13" s="20">
        <f t="shared" si="4"/>
        <v>10519.795819999999</v>
      </c>
    </row>
    <row r="14" spans="1:14" ht="16.5" thickBot="1" x14ac:dyDescent="0.3">
      <c r="A14" s="9">
        <v>44846</v>
      </c>
      <c r="B14" s="3">
        <v>463782</v>
      </c>
      <c r="C14" s="38">
        <f t="shared" si="7"/>
        <v>860</v>
      </c>
      <c r="D14" s="3">
        <v>14483</v>
      </c>
      <c r="E14" s="38">
        <f t="shared" si="2"/>
        <v>320</v>
      </c>
      <c r="F14" s="3">
        <v>12135200</v>
      </c>
      <c r="G14" s="38">
        <f t="shared" si="5"/>
        <v>580.5</v>
      </c>
      <c r="H14" s="3">
        <v>815391</v>
      </c>
      <c r="I14" s="43">
        <f t="shared" si="6"/>
        <v>4.806</v>
      </c>
      <c r="J14" s="19">
        <f t="shared" si="3"/>
        <v>1765.306</v>
      </c>
      <c r="K14" s="20">
        <f t="shared" si="4"/>
        <v>10344.693160000001</v>
      </c>
    </row>
    <row r="15" spans="1:14" ht="16.5" thickBot="1" x14ac:dyDescent="0.3">
      <c r="A15" s="9">
        <v>44847</v>
      </c>
      <c r="B15" s="3">
        <v>463876</v>
      </c>
      <c r="C15" s="38">
        <f t="shared" si="7"/>
        <v>940</v>
      </c>
      <c r="D15" s="3">
        <v>14519</v>
      </c>
      <c r="E15" s="38">
        <f t="shared" si="2"/>
        <v>360</v>
      </c>
      <c r="F15" s="3">
        <v>12155100</v>
      </c>
      <c r="G15" s="38">
        <f t="shared" si="5"/>
        <v>537.29999999999995</v>
      </c>
      <c r="H15" s="3">
        <v>815567</v>
      </c>
      <c r="I15" s="43">
        <f t="shared" si="6"/>
        <v>4.7519999999999998</v>
      </c>
      <c r="J15" s="19">
        <f t="shared" si="3"/>
        <v>1842.0519999999999</v>
      </c>
      <c r="K15" s="20">
        <f t="shared" si="4"/>
        <v>10794.424720000001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11270</v>
      </c>
      <c r="D34" s="55"/>
      <c r="E34" s="55">
        <f>SUM(E3:E33)</f>
        <v>4230</v>
      </c>
      <c r="F34" s="55"/>
      <c r="G34" s="55">
        <f>SUM(G3:G33)</f>
        <v>7160.4000000000005</v>
      </c>
      <c r="H34" s="55"/>
      <c r="I34" s="55">
        <f>SUM(I3:I33)</f>
        <v>57.914999999999999</v>
      </c>
      <c r="J34" s="55">
        <v>0</v>
      </c>
      <c r="K34" s="55">
        <f>SUM(K4:K33)</f>
        <v>126296.0385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15" sqref="A15:XFD1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18538220</v>
      </c>
      <c r="C5" s="44">
        <f t="shared" si="0"/>
        <v>508</v>
      </c>
      <c r="E5" s="163"/>
      <c r="F5" s="34"/>
    </row>
    <row r="6" spans="1:9" ht="24" thickBot="1" x14ac:dyDescent="0.4">
      <c r="A6" s="9">
        <v>44838</v>
      </c>
      <c r="B6" s="120">
        <v>18539400</v>
      </c>
      <c r="C6" s="44">
        <f>IF((B6-B5)&lt;0,"0",(B6-B5))</f>
        <v>1180</v>
      </c>
      <c r="F6" s="34"/>
    </row>
    <row r="7" spans="1:9" ht="24" thickBot="1" x14ac:dyDescent="0.4">
      <c r="A7" s="9">
        <v>44839</v>
      </c>
      <c r="B7" s="120">
        <v>18540385</v>
      </c>
      <c r="C7" s="44">
        <f t="shared" si="0"/>
        <v>985</v>
      </c>
    </row>
    <row r="8" spans="1:9" ht="24" thickBot="1" x14ac:dyDescent="0.4">
      <c r="A8" s="9">
        <v>44840</v>
      </c>
      <c r="B8" s="120">
        <v>18541328</v>
      </c>
      <c r="C8" s="44">
        <f t="shared" si="0"/>
        <v>943</v>
      </c>
    </row>
    <row r="9" spans="1:9" ht="24" thickBot="1" x14ac:dyDescent="0.4">
      <c r="A9" s="9">
        <v>44841</v>
      </c>
      <c r="B9" s="120">
        <v>18542069</v>
      </c>
      <c r="C9" s="44">
        <f t="shared" si="0"/>
        <v>741</v>
      </c>
    </row>
    <row r="10" spans="1:9" ht="24" thickBot="1" x14ac:dyDescent="0.4">
      <c r="A10" s="9">
        <v>44842</v>
      </c>
      <c r="B10" s="120">
        <v>18543302</v>
      </c>
      <c r="C10" s="44">
        <f t="shared" si="0"/>
        <v>1233</v>
      </c>
    </row>
    <row r="11" spans="1:9" ht="24" thickBot="1" x14ac:dyDescent="0.4">
      <c r="A11" s="9">
        <v>44843</v>
      </c>
      <c r="B11" s="120">
        <v>18544020</v>
      </c>
      <c r="C11" s="44">
        <f t="shared" si="0"/>
        <v>718</v>
      </c>
    </row>
    <row r="12" spans="1:9" ht="24" thickBot="1" x14ac:dyDescent="0.4">
      <c r="A12" s="9">
        <v>44844</v>
      </c>
      <c r="B12" s="120">
        <v>18545041</v>
      </c>
      <c r="C12" s="44">
        <f t="shared" si="0"/>
        <v>1021</v>
      </c>
    </row>
    <row r="13" spans="1:9" ht="24" thickBot="1" x14ac:dyDescent="0.4">
      <c r="A13" s="9">
        <v>44845</v>
      </c>
      <c r="B13" s="120">
        <v>18546742</v>
      </c>
      <c r="C13" s="44">
        <f t="shared" si="0"/>
        <v>1701</v>
      </c>
    </row>
    <row r="14" spans="1:9" ht="24" thickBot="1" x14ac:dyDescent="0.4">
      <c r="A14" s="9">
        <v>44846</v>
      </c>
      <c r="B14" s="120">
        <v>18548199</v>
      </c>
      <c r="C14" s="44">
        <f t="shared" si="0"/>
        <v>1457</v>
      </c>
      <c r="I14" s="34"/>
    </row>
    <row r="15" spans="1:9" ht="24" thickBot="1" x14ac:dyDescent="0.4">
      <c r="A15" s="9">
        <v>44847</v>
      </c>
      <c r="B15" s="120">
        <v>18549754</v>
      </c>
      <c r="C15" s="44">
        <f t="shared" si="0"/>
        <v>1555</v>
      </c>
      <c r="I15" t="s">
        <v>12</v>
      </c>
    </row>
    <row r="16" spans="1:9" ht="26.25" customHeight="1" thickBot="1" x14ac:dyDescent="0.4">
      <c r="A16" s="9">
        <v>44848</v>
      </c>
      <c r="B16" s="120">
        <f t="shared" ref="B15:B33" si="1">B15</f>
        <v>18549754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18549754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18549754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18549754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18549754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18549754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18549754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18549754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18549754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18549754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18549754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18549754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18549754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18549754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18549754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18549754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18549754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18549754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15422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v>25195.518</v>
      </c>
      <c r="C11" s="43">
        <f t="shared" si="22"/>
        <v>7.1179999999985739</v>
      </c>
      <c r="D11" s="28">
        <f t="shared" si="23"/>
        <v>13524.19999999729</v>
      </c>
      <c r="E11" s="1">
        <v>4596.4669999999996</v>
      </c>
      <c r="F11" s="43">
        <f t="shared" si="24"/>
        <v>2.5069999999996071</v>
      </c>
      <c r="G11" s="28">
        <f t="shared" si="25"/>
        <v>4763.2999999992535</v>
      </c>
      <c r="H11" s="1">
        <v>6322</v>
      </c>
      <c r="I11" s="43">
        <f t="shared" si="26"/>
        <v>6</v>
      </c>
      <c r="J11" s="28">
        <f t="shared" si="27"/>
        <v>11399.999999999998</v>
      </c>
      <c r="K11" s="7">
        <v>14273.38</v>
      </c>
      <c r="L11" s="43">
        <f t="shared" si="28"/>
        <v>1.0099999999983993</v>
      </c>
      <c r="M11" s="28">
        <f t="shared" si="29"/>
        <v>1918.9999999969584</v>
      </c>
      <c r="N11" s="7">
        <v>3804.1370000000002</v>
      </c>
      <c r="O11" s="43">
        <f t="shared" si="30"/>
        <v>1.9570000000003347</v>
      </c>
      <c r="P11" s="28">
        <f t="shared" si="31"/>
        <v>3718.3000000006355</v>
      </c>
      <c r="Q11" s="7">
        <v>5598.13</v>
      </c>
      <c r="R11" s="43">
        <f t="shared" si="32"/>
        <v>1.7799999999997453</v>
      </c>
      <c r="S11" s="28">
        <f t="shared" si="33"/>
        <v>3381.9999999995161</v>
      </c>
      <c r="T11" s="8">
        <f t="shared" si="36"/>
        <v>20.37199999999666</v>
      </c>
      <c r="U11" s="30">
        <f t="shared" si="34"/>
        <v>38706.799999993658</v>
      </c>
      <c r="W11" s="141">
        <v>44843</v>
      </c>
      <c r="X11" s="142">
        <v>215898</v>
      </c>
      <c r="Y11" s="147">
        <f t="shared" si="21"/>
        <v>239</v>
      </c>
      <c r="Z11" s="142">
        <v>10109</v>
      </c>
      <c r="AA11" s="147">
        <f t="shared" si="21"/>
        <v>4</v>
      </c>
      <c r="AB11" s="142">
        <v>40</v>
      </c>
      <c r="AC11" s="147">
        <f t="shared" si="21"/>
        <v>0</v>
      </c>
      <c r="AD11" s="142">
        <f t="shared" ref="AD11:AD33" si="37">AD10</f>
        <v>720</v>
      </c>
      <c r="AE11" s="147">
        <f t="shared" si="21"/>
        <v>0</v>
      </c>
      <c r="AF11" s="142">
        <v>9423</v>
      </c>
      <c r="AG11" s="147">
        <f t="shared" si="21"/>
        <v>9</v>
      </c>
    </row>
    <row r="12" spans="1:33" ht="16.5" thickBot="1" x14ac:dyDescent="0.25">
      <c r="A12" s="9">
        <v>44844</v>
      </c>
      <c r="B12" s="144">
        <v>25203.35</v>
      </c>
      <c r="C12" s="43">
        <f t="shared" si="22"/>
        <v>7.8319999999985157</v>
      </c>
      <c r="D12" s="28">
        <f t="shared" si="23"/>
        <v>14880.79999999718</v>
      </c>
      <c r="E12" s="1">
        <v>4598.9870000000001</v>
      </c>
      <c r="F12" s="43">
        <f t="shared" si="24"/>
        <v>2.5200000000004366</v>
      </c>
      <c r="G12" s="28">
        <f t="shared" si="25"/>
        <v>4788.0000000008285</v>
      </c>
      <c r="H12" s="1">
        <v>6329</v>
      </c>
      <c r="I12" s="43">
        <f t="shared" si="26"/>
        <v>7</v>
      </c>
      <c r="J12" s="28">
        <f t="shared" si="27"/>
        <v>13299.999999999998</v>
      </c>
      <c r="K12" s="7">
        <v>14274.58</v>
      </c>
      <c r="L12" s="43">
        <f t="shared" si="28"/>
        <v>1.2000000000007276</v>
      </c>
      <c r="M12" s="28">
        <f t="shared" si="29"/>
        <v>2280.0000000013824</v>
      </c>
      <c r="N12" s="7">
        <v>3806.3649999999998</v>
      </c>
      <c r="O12" s="43">
        <f t="shared" si="30"/>
        <v>2.2279999999996107</v>
      </c>
      <c r="P12" s="28">
        <f t="shared" si="31"/>
        <v>4233.1999999992604</v>
      </c>
      <c r="Q12" s="7">
        <v>5600.32</v>
      </c>
      <c r="R12" s="43">
        <f t="shared" si="32"/>
        <v>2.1899999999995998</v>
      </c>
      <c r="S12" s="28">
        <f t="shared" si="33"/>
        <v>4160.9999999992397</v>
      </c>
      <c r="T12" s="8">
        <f t="shared" si="36"/>
        <v>22.96999999999889</v>
      </c>
      <c r="U12" s="30">
        <f t="shared" si="34"/>
        <v>43642.99999999789</v>
      </c>
      <c r="W12" s="141">
        <v>44844</v>
      </c>
      <c r="X12" s="142">
        <v>216127</v>
      </c>
      <c r="Y12" s="147">
        <f t="shared" si="21"/>
        <v>229</v>
      </c>
      <c r="Z12" s="142">
        <v>10112</v>
      </c>
      <c r="AA12" s="147">
        <f t="shared" si="21"/>
        <v>3</v>
      </c>
      <c r="AB12" s="142">
        <v>40</v>
      </c>
      <c r="AC12" s="147">
        <f t="shared" si="21"/>
        <v>0</v>
      </c>
      <c r="AD12" s="142">
        <v>721</v>
      </c>
      <c r="AE12" s="147">
        <f t="shared" si="21"/>
        <v>1</v>
      </c>
      <c r="AF12" s="142">
        <v>9433</v>
      </c>
      <c r="AG12" s="147">
        <f t="shared" si="21"/>
        <v>10</v>
      </c>
    </row>
    <row r="13" spans="1:33" ht="16.5" thickBot="1" x14ac:dyDescent="0.25">
      <c r="A13" s="9">
        <v>44845</v>
      </c>
      <c r="B13" s="144">
        <v>25210.804</v>
      </c>
      <c r="C13" s="43">
        <f t="shared" si="22"/>
        <v>7.4540000000015425</v>
      </c>
      <c r="D13" s="28">
        <f t="shared" si="23"/>
        <v>14162.600000002931</v>
      </c>
      <c r="E13" s="1">
        <v>4600.72</v>
      </c>
      <c r="F13" s="43">
        <f t="shared" si="24"/>
        <v>1.7330000000001746</v>
      </c>
      <c r="G13" s="28">
        <f t="shared" si="25"/>
        <v>3292.7000000003318</v>
      </c>
      <c r="H13" s="1">
        <v>6334</v>
      </c>
      <c r="I13" s="43">
        <f t="shared" si="26"/>
        <v>5</v>
      </c>
      <c r="J13" s="28">
        <f t="shared" si="27"/>
        <v>9500</v>
      </c>
      <c r="K13" s="7">
        <v>14275.6</v>
      </c>
      <c r="L13" s="43">
        <f t="shared" si="28"/>
        <v>1.0200000000004366</v>
      </c>
      <c r="M13" s="28">
        <f t="shared" si="29"/>
        <v>1938.0000000008292</v>
      </c>
      <c r="N13" s="7">
        <v>3808.3960000000002</v>
      </c>
      <c r="O13" s="43">
        <f t="shared" si="30"/>
        <v>2.0310000000004038</v>
      </c>
      <c r="P13" s="28">
        <f t="shared" si="31"/>
        <v>3858.9000000007672</v>
      </c>
      <c r="Q13" s="7">
        <v>5602.21</v>
      </c>
      <c r="R13" s="43">
        <f t="shared" si="32"/>
        <v>1.8900000000003274</v>
      </c>
      <c r="S13" s="28">
        <f t="shared" si="33"/>
        <v>3591.0000000006221</v>
      </c>
      <c r="T13" s="8">
        <f t="shared" si="36"/>
        <v>19.128000000002885</v>
      </c>
      <c r="U13" s="30">
        <f t="shared" si="34"/>
        <v>36343.200000005483</v>
      </c>
      <c r="W13" s="141">
        <v>44845</v>
      </c>
      <c r="X13" s="142">
        <v>216427</v>
      </c>
      <c r="Y13" s="147">
        <f t="shared" si="21"/>
        <v>300</v>
      </c>
      <c r="Z13" s="142">
        <v>10117</v>
      </c>
      <c r="AA13" s="147">
        <f t="shared" si="21"/>
        <v>5</v>
      </c>
      <c r="AB13" s="142">
        <f t="shared" si="35"/>
        <v>40</v>
      </c>
      <c r="AC13" s="147">
        <f t="shared" si="21"/>
        <v>0</v>
      </c>
      <c r="AD13" s="142">
        <v>724</v>
      </c>
      <c r="AE13" s="147">
        <f t="shared" si="21"/>
        <v>3</v>
      </c>
      <c r="AF13" s="142">
        <v>9440</v>
      </c>
      <c r="AG13" s="147">
        <f t="shared" si="21"/>
        <v>7</v>
      </c>
    </row>
    <row r="14" spans="1:33" ht="16.5" thickBot="1" x14ac:dyDescent="0.25">
      <c r="A14" s="9">
        <v>44846</v>
      </c>
      <c r="B14" s="144">
        <v>25221.603999999999</v>
      </c>
      <c r="C14" s="43">
        <f t="shared" si="22"/>
        <v>10.799999999999272</v>
      </c>
      <c r="D14" s="28">
        <f t="shared" si="23"/>
        <v>20519.999999998618</v>
      </c>
      <c r="E14" s="1">
        <v>4604.1310000000003</v>
      </c>
      <c r="F14" s="43">
        <f t="shared" si="24"/>
        <v>3.4110000000000582</v>
      </c>
      <c r="G14" s="28">
        <f t="shared" si="25"/>
        <v>6480.9000000001106</v>
      </c>
      <c r="H14" s="1">
        <v>6343</v>
      </c>
      <c r="I14" s="43">
        <f t="shared" si="26"/>
        <v>9</v>
      </c>
      <c r="J14" s="28">
        <f t="shared" si="27"/>
        <v>17099.999999999996</v>
      </c>
      <c r="K14" s="7">
        <v>14277.52</v>
      </c>
      <c r="L14" s="43">
        <f t="shared" si="28"/>
        <v>1.9200000000000728</v>
      </c>
      <c r="M14" s="28">
        <f t="shared" si="29"/>
        <v>3648.0000000001382</v>
      </c>
      <c r="N14" s="7">
        <v>3811.279</v>
      </c>
      <c r="O14" s="43">
        <f>IF((N14-N13)&lt;0,"0",(N14-N13))</f>
        <v>2.8829999999998108</v>
      </c>
      <c r="P14" s="28">
        <f t="shared" si="31"/>
        <v>5477.6999999996406</v>
      </c>
      <c r="Q14" s="7">
        <v>5604.03</v>
      </c>
      <c r="R14" s="43">
        <f t="shared" si="32"/>
        <v>1.819999999999709</v>
      </c>
      <c r="S14" s="28">
        <f t="shared" si="33"/>
        <v>3457.999999999447</v>
      </c>
      <c r="T14" s="8">
        <f t="shared" si="36"/>
        <v>29.833999999998923</v>
      </c>
      <c r="U14" s="30">
        <f t="shared" si="34"/>
        <v>56684.599999997947</v>
      </c>
      <c r="W14" s="141">
        <v>44846</v>
      </c>
      <c r="X14" s="142">
        <v>216593</v>
      </c>
      <c r="Y14" s="147">
        <f t="shared" si="21"/>
        <v>166</v>
      </c>
      <c r="Z14" s="142">
        <v>10119</v>
      </c>
      <c r="AA14" s="147">
        <f t="shared" si="21"/>
        <v>2</v>
      </c>
      <c r="AB14" s="142">
        <f t="shared" si="35"/>
        <v>40</v>
      </c>
      <c r="AC14" s="147">
        <f t="shared" si="21"/>
        <v>0</v>
      </c>
      <c r="AD14" s="142">
        <v>727</v>
      </c>
      <c r="AE14" s="147">
        <f t="shared" si="21"/>
        <v>3</v>
      </c>
      <c r="AF14" s="142">
        <v>9461</v>
      </c>
      <c r="AG14" s="147">
        <f t="shared" si="21"/>
        <v>21</v>
      </c>
    </row>
    <row r="15" spans="1:33" ht="16.5" thickBot="1" x14ac:dyDescent="0.25">
      <c r="A15" s="9">
        <v>44847</v>
      </c>
      <c r="B15" s="144">
        <v>25227.014999999999</v>
      </c>
      <c r="C15" s="43">
        <f t="shared" ref="C15" si="38">IF((B15-B14)&lt;0,"0",(B15-B14))</f>
        <v>5.4110000000000582</v>
      </c>
      <c r="D15" s="28">
        <f t="shared" ref="D15" si="39">C15*1.9*1000</f>
        <v>10280.900000000111</v>
      </c>
      <c r="E15" s="1">
        <v>4605.5720000000001</v>
      </c>
      <c r="F15" s="43">
        <f t="shared" ref="F15" si="40">IF((E15-E14)&lt;0,"0",(E15-E14))</f>
        <v>1.4409999999998035</v>
      </c>
      <c r="G15" s="28">
        <f t="shared" ref="G15" si="41">F15*1.9*1000</f>
        <v>2737.8999999996267</v>
      </c>
      <c r="H15" s="1">
        <v>6347</v>
      </c>
      <c r="I15" s="43">
        <f t="shared" ref="I15" si="42">IF((H15-H14)&lt;0,"0",(H15-H14))</f>
        <v>4</v>
      </c>
      <c r="J15" s="28">
        <f t="shared" ref="J15" si="43">I15*1.9*1000</f>
        <v>7600</v>
      </c>
      <c r="K15" s="7">
        <v>14278.17</v>
      </c>
      <c r="L15" s="43">
        <f t="shared" ref="L15" si="44">IF((K15-K14)&lt;0,"0",(K15-K14))</f>
        <v>0.6499999999996362</v>
      </c>
      <c r="M15" s="28">
        <f t="shared" ref="M15" si="45">L15*1.9*1000</f>
        <v>1234.9999999993086</v>
      </c>
      <c r="N15" s="7">
        <v>3812.8119999999999</v>
      </c>
      <c r="O15" s="43">
        <f>IF((N15-N14)&lt;0,"0",(N15-N14))</f>
        <v>1.5329999999999018</v>
      </c>
      <c r="P15" s="28">
        <f t="shared" ref="P15" si="46">O15*1.9*1000</f>
        <v>2912.6999999998129</v>
      </c>
      <c r="Q15" s="7">
        <v>5606.84</v>
      </c>
      <c r="R15" s="43">
        <f t="shared" ref="R15" si="47">IF((Q15-Q14)&lt;0,"0",(Q15-Q14))</f>
        <v>2.8100000000004002</v>
      </c>
      <c r="S15" s="28">
        <f t="shared" ref="S15" si="48">R15*1.9*1000</f>
        <v>5339.0000000007594</v>
      </c>
      <c r="T15" s="8">
        <f t="shared" ref="T15" si="49">C15+F15+I15+L15+O15+R15</f>
        <v>15.8449999999998</v>
      </c>
      <c r="U15" s="30">
        <f t="shared" ref="U15" si="50">T15*1.9*1000</f>
        <v>30105.499999999618</v>
      </c>
      <c r="W15" s="141">
        <v>44847</v>
      </c>
      <c r="X15" s="142">
        <v>216795</v>
      </c>
      <c r="Y15" s="147">
        <f t="shared" si="21"/>
        <v>202</v>
      </c>
      <c r="Z15" s="142">
        <v>10122</v>
      </c>
      <c r="AA15" s="147">
        <f t="shared" si="21"/>
        <v>3</v>
      </c>
      <c r="AB15" s="142">
        <f t="shared" si="35"/>
        <v>40</v>
      </c>
      <c r="AC15" s="147">
        <f t="shared" si="21"/>
        <v>0</v>
      </c>
      <c r="AD15" s="142">
        <v>730</v>
      </c>
      <c r="AE15" s="147">
        <f t="shared" si="21"/>
        <v>3</v>
      </c>
      <c r="AF15" s="142">
        <v>9472</v>
      </c>
      <c r="AG15" s="147">
        <f t="shared" si="21"/>
        <v>11</v>
      </c>
    </row>
    <row r="16" spans="1:33" ht="16.5" thickBot="1" x14ac:dyDescent="0.25">
      <c r="A16" s="9">
        <v>44848</v>
      </c>
      <c r="B16" s="144">
        <f t="shared" ref="B15:B33" si="51">B15</f>
        <v>25227.014999999999</v>
      </c>
      <c r="C16" s="43">
        <f t="shared" si="22"/>
        <v>0</v>
      </c>
      <c r="D16" s="28">
        <f t="shared" si="23"/>
        <v>0</v>
      </c>
      <c r="E16" s="1">
        <f t="shared" ref="E15:E33" si="52">E15</f>
        <v>4605.5720000000001</v>
      </c>
      <c r="F16" s="43">
        <f t="shared" si="24"/>
        <v>0</v>
      </c>
      <c r="G16" s="28">
        <f t="shared" si="25"/>
        <v>0</v>
      </c>
      <c r="H16" s="1">
        <f t="shared" ref="H15:H33" si="53">H15</f>
        <v>6347</v>
      </c>
      <c r="I16" s="43">
        <f t="shared" si="26"/>
        <v>0</v>
      </c>
      <c r="J16" s="28">
        <f t="shared" si="27"/>
        <v>0</v>
      </c>
      <c r="K16" s="7">
        <f t="shared" ref="K15:K33" si="54">K15</f>
        <v>14278.17</v>
      </c>
      <c r="L16" s="43">
        <f t="shared" si="28"/>
        <v>0</v>
      </c>
      <c r="M16" s="28">
        <f t="shared" si="29"/>
        <v>0</v>
      </c>
      <c r="N16" s="7">
        <f t="shared" ref="N15:N33" si="55">N15</f>
        <v>3812.8119999999999</v>
      </c>
      <c r="O16" s="43">
        <f t="shared" si="30"/>
        <v>0</v>
      </c>
      <c r="P16" s="28">
        <f t="shared" si="31"/>
        <v>0</v>
      </c>
      <c r="Q16" s="7">
        <f t="shared" ref="Q15:Q33" si="56">Q15</f>
        <v>5606.84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44848</v>
      </c>
      <c r="X16" s="142">
        <f t="shared" ref="X15:X33" si="57">X15</f>
        <v>216795</v>
      </c>
      <c r="Y16" s="147">
        <f t="shared" si="21"/>
        <v>0</v>
      </c>
      <c r="Z16" s="142">
        <f t="shared" ref="Z15:Z33" si="58">Z15</f>
        <v>10122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37"/>
        <v>730</v>
      </c>
      <c r="AE16" s="147">
        <f t="shared" si="21"/>
        <v>0</v>
      </c>
      <c r="AF16" s="142">
        <f t="shared" ref="AF15:AF33" si="59">AF15</f>
        <v>9472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51"/>
        <v>25227.014999999999</v>
      </c>
      <c r="C17" s="43">
        <f t="shared" si="22"/>
        <v>0</v>
      </c>
      <c r="D17" s="28">
        <f t="shared" si="23"/>
        <v>0</v>
      </c>
      <c r="E17" s="1">
        <f t="shared" si="52"/>
        <v>4605.5720000000001</v>
      </c>
      <c r="F17" s="43">
        <f t="shared" si="24"/>
        <v>0</v>
      </c>
      <c r="G17" s="28">
        <f t="shared" si="25"/>
        <v>0</v>
      </c>
      <c r="H17" s="1">
        <f t="shared" si="53"/>
        <v>6347</v>
      </c>
      <c r="I17" s="43">
        <f t="shared" si="26"/>
        <v>0</v>
      </c>
      <c r="J17" s="28">
        <f t="shared" si="27"/>
        <v>0</v>
      </c>
      <c r="K17" s="7">
        <f t="shared" si="54"/>
        <v>14278.17</v>
      </c>
      <c r="L17" s="43">
        <f t="shared" si="28"/>
        <v>0</v>
      </c>
      <c r="M17" s="28">
        <f t="shared" si="29"/>
        <v>0</v>
      </c>
      <c r="N17" s="7">
        <f t="shared" si="55"/>
        <v>3812.8119999999999</v>
      </c>
      <c r="O17" s="43">
        <f t="shared" si="30"/>
        <v>0</v>
      </c>
      <c r="P17" s="28">
        <f t="shared" si="31"/>
        <v>0</v>
      </c>
      <c r="Q17" s="7">
        <f t="shared" si="56"/>
        <v>5606.84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44849</v>
      </c>
      <c r="X17" s="142">
        <f t="shared" si="57"/>
        <v>216795</v>
      </c>
      <c r="Y17" s="147">
        <f t="shared" si="21"/>
        <v>0</v>
      </c>
      <c r="Z17" s="142">
        <f t="shared" si="58"/>
        <v>10122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37"/>
        <v>730</v>
      </c>
      <c r="AE17" s="147">
        <f t="shared" si="21"/>
        <v>0</v>
      </c>
      <c r="AF17" s="142">
        <f t="shared" si="59"/>
        <v>9472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51"/>
        <v>25227.014999999999</v>
      </c>
      <c r="C18" s="43">
        <f t="shared" si="22"/>
        <v>0</v>
      </c>
      <c r="D18" s="28">
        <f t="shared" si="23"/>
        <v>0</v>
      </c>
      <c r="E18" s="1">
        <f t="shared" si="52"/>
        <v>4605.5720000000001</v>
      </c>
      <c r="F18" s="43">
        <f t="shared" si="24"/>
        <v>0</v>
      </c>
      <c r="G18" s="28">
        <f t="shared" si="25"/>
        <v>0</v>
      </c>
      <c r="H18" s="1">
        <f t="shared" si="53"/>
        <v>6347</v>
      </c>
      <c r="I18" s="43">
        <f t="shared" si="26"/>
        <v>0</v>
      </c>
      <c r="J18" s="28">
        <f t="shared" si="27"/>
        <v>0</v>
      </c>
      <c r="K18" s="7">
        <f t="shared" si="54"/>
        <v>14278.17</v>
      </c>
      <c r="L18" s="43">
        <f t="shared" si="28"/>
        <v>0</v>
      </c>
      <c r="M18" s="28">
        <f t="shared" si="29"/>
        <v>0</v>
      </c>
      <c r="N18" s="7">
        <f t="shared" si="55"/>
        <v>3812.8119999999999</v>
      </c>
      <c r="O18" s="43">
        <f t="shared" si="30"/>
        <v>0</v>
      </c>
      <c r="P18" s="28">
        <f t="shared" si="31"/>
        <v>0</v>
      </c>
      <c r="Q18" s="7">
        <f t="shared" si="56"/>
        <v>5606.84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44850</v>
      </c>
      <c r="X18" s="142">
        <f t="shared" si="57"/>
        <v>216795</v>
      </c>
      <c r="Y18" s="147">
        <f t="shared" si="21"/>
        <v>0</v>
      </c>
      <c r="Z18" s="142">
        <f t="shared" si="58"/>
        <v>10122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37"/>
        <v>730</v>
      </c>
      <c r="AE18" s="147">
        <f t="shared" si="21"/>
        <v>0</v>
      </c>
      <c r="AF18" s="142">
        <f t="shared" si="59"/>
        <v>9472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51"/>
        <v>25227.014999999999</v>
      </c>
      <c r="C19" s="43">
        <f t="shared" si="22"/>
        <v>0</v>
      </c>
      <c r="D19" s="28">
        <f t="shared" si="23"/>
        <v>0</v>
      </c>
      <c r="E19" s="1">
        <f t="shared" si="52"/>
        <v>4605.5720000000001</v>
      </c>
      <c r="F19" s="43">
        <f t="shared" si="24"/>
        <v>0</v>
      </c>
      <c r="G19" s="28">
        <f t="shared" si="25"/>
        <v>0</v>
      </c>
      <c r="H19" s="1">
        <f t="shared" si="53"/>
        <v>6347</v>
      </c>
      <c r="I19" s="43">
        <f t="shared" si="26"/>
        <v>0</v>
      </c>
      <c r="J19" s="28">
        <f t="shared" si="27"/>
        <v>0</v>
      </c>
      <c r="K19" s="7">
        <f t="shared" si="54"/>
        <v>14278.17</v>
      </c>
      <c r="L19" s="43">
        <f t="shared" si="28"/>
        <v>0</v>
      </c>
      <c r="M19" s="28">
        <f t="shared" si="29"/>
        <v>0</v>
      </c>
      <c r="N19" s="7">
        <f t="shared" si="55"/>
        <v>3812.8119999999999</v>
      </c>
      <c r="O19" s="43">
        <f t="shared" si="30"/>
        <v>0</v>
      </c>
      <c r="P19" s="28">
        <f t="shared" si="31"/>
        <v>0</v>
      </c>
      <c r="Q19" s="7">
        <f t="shared" si="56"/>
        <v>5606.84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si="57"/>
        <v>216795</v>
      </c>
      <c r="Y19" s="147">
        <f t="shared" si="21"/>
        <v>0</v>
      </c>
      <c r="Z19" s="142">
        <f t="shared" si="58"/>
        <v>10122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37"/>
        <v>730</v>
      </c>
      <c r="AE19" s="147">
        <f t="shared" si="21"/>
        <v>0</v>
      </c>
      <c r="AF19" s="142">
        <f t="shared" si="59"/>
        <v>9472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51"/>
        <v>25227.014999999999</v>
      </c>
      <c r="C20" s="43">
        <f t="shared" si="22"/>
        <v>0</v>
      </c>
      <c r="D20" s="28">
        <f t="shared" si="23"/>
        <v>0</v>
      </c>
      <c r="E20" s="1">
        <f t="shared" si="52"/>
        <v>4605.5720000000001</v>
      </c>
      <c r="F20" s="43">
        <f t="shared" si="24"/>
        <v>0</v>
      </c>
      <c r="G20" s="28">
        <f t="shared" si="25"/>
        <v>0</v>
      </c>
      <c r="H20" s="1">
        <f t="shared" si="53"/>
        <v>6347</v>
      </c>
      <c r="I20" s="43">
        <f t="shared" si="26"/>
        <v>0</v>
      </c>
      <c r="J20" s="28">
        <f t="shared" si="27"/>
        <v>0</v>
      </c>
      <c r="K20" s="7">
        <f t="shared" si="54"/>
        <v>14278.17</v>
      </c>
      <c r="L20" s="43">
        <f t="shared" si="28"/>
        <v>0</v>
      </c>
      <c r="M20" s="28">
        <f t="shared" si="29"/>
        <v>0</v>
      </c>
      <c r="N20" s="7">
        <f t="shared" si="55"/>
        <v>3812.8119999999999</v>
      </c>
      <c r="O20" s="43">
        <f t="shared" si="30"/>
        <v>0</v>
      </c>
      <c r="P20" s="28">
        <f t="shared" si="31"/>
        <v>0</v>
      </c>
      <c r="Q20" s="7">
        <f t="shared" si="56"/>
        <v>5606.84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57"/>
        <v>216795</v>
      </c>
      <c r="Y20" s="147">
        <f t="shared" si="21"/>
        <v>0</v>
      </c>
      <c r="Z20" s="142">
        <f t="shared" si="58"/>
        <v>10122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37"/>
        <v>730</v>
      </c>
      <c r="AE20" s="147">
        <f t="shared" si="21"/>
        <v>0</v>
      </c>
      <c r="AF20" s="142">
        <f t="shared" si="59"/>
        <v>9472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51"/>
        <v>25227.014999999999</v>
      </c>
      <c r="C21" s="43">
        <f t="shared" si="22"/>
        <v>0</v>
      </c>
      <c r="D21" s="28">
        <f t="shared" si="23"/>
        <v>0</v>
      </c>
      <c r="E21" s="1">
        <f t="shared" si="52"/>
        <v>4605.5720000000001</v>
      </c>
      <c r="F21" s="43">
        <f t="shared" si="24"/>
        <v>0</v>
      </c>
      <c r="G21" s="28">
        <f t="shared" si="25"/>
        <v>0</v>
      </c>
      <c r="H21" s="1">
        <f t="shared" si="53"/>
        <v>6347</v>
      </c>
      <c r="I21" s="43">
        <f t="shared" si="26"/>
        <v>0</v>
      </c>
      <c r="J21" s="28">
        <f t="shared" si="27"/>
        <v>0</v>
      </c>
      <c r="K21" s="7">
        <f t="shared" si="54"/>
        <v>14278.17</v>
      </c>
      <c r="L21" s="43">
        <f t="shared" si="28"/>
        <v>0</v>
      </c>
      <c r="M21" s="28">
        <f t="shared" si="29"/>
        <v>0</v>
      </c>
      <c r="N21" s="7">
        <f t="shared" si="55"/>
        <v>3812.8119999999999</v>
      </c>
      <c r="O21" s="43">
        <f t="shared" si="30"/>
        <v>0</v>
      </c>
      <c r="P21" s="28">
        <f t="shared" si="31"/>
        <v>0</v>
      </c>
      <c r="Q21" s="7">
        <f t="shared" si="56"/>
        <v>5606.84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57"/>
        <v>216795</v>
      </c>
      <c r="Y21" s="147">
        <f t="shared" si="21"/>
        <v>0</v>
      </c>
      <c r="Z21" s="142">
        <f t="shared" si="58"/>
        <v>10122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37"/>
        <v>730</v>
      </c>
      <c r="AE21" s="147">
        <f t="shared" si="21"/>
        <v>0</v>
      </c>
      <c r="AF21" s="142">
        <f t="shared" si="59"/>
        <v>9472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51"/>
        <v>25227.014999999999</v>
      </c>
      <c r="C22" s="43">
        <f t="shared" si="22"/>
        <v>0</v>
      </c>
      <c r="D22" s="28">
        <f t="shared" si="23"/>
        <v>0</v>
      </c>
      <c r="E22" s="1">
        <f t="shared" si="52"/>
        <v>4605.5720000000001</v>
      </c>
      <c r="F22" s="43">
        <f t="shared" si="24"/>
        <v>0</v>
      </c>
      <c r="G22" s="28">
        <f t="shared" si="25"/>
        <v>0</v>
      </c>
      <c r="H22" s="1">
        <f t="shared" si="53"/>
        <v>6347</v>
      </c>
      <c r="I22" s="43">
        <f t="shared" si="26"/>
        <v>0</v>
      </c>
      <c r="J22" s="28">
        <f t="shared" si="27"/>
        <v>0</v>
      </c>
      <c r="K22" s="7">
        <f t="shared" si="54"/>
        <v>14278.17</v>
      </c>
      <c r="L22" s="43">
        <f t="shared" si="28"/>
        <v>0</v>
      </c>
      <c r="M22" s="28">
        <f t="shared" si="29"/>
        <v>0</v>
      </c>
      <c r="N22" s="7">
        <f t="shared" si="55"/>
        <v>3812.8119999999999</v>
      </c>
      <c r="O22" s="43">
        <f t="shared" si="30"/>
        <v>0</v>
      </c>
      <c r="P22" s="28">
        <f t="shared" si="31"/>
        <v>0</v>
      </c>
      <c r="Q22" s="7">
        <f t="shared" si="56"/>
        <v>5606.84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57"/>
        <v>216795</v>
      </c>
      <c r="Y22" s="147">
        <f t="shared" si="21"/>
        <v>0</v>
      </c>
      <c r="Z22" s="142">
        <f t="shared" si="58"/>
        <v>10122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37"/>
        <v>730</v>
      </c>
      <c r="AE22" s="147">
        <f t="shared" si="21"/>
        <v>0</v>
      </c>
      <c r="AF22" s="142">
        <f t="shared" si="59"/>
        <v>9472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51"/>
        <v>25227.014999999999</v>
      </c>
      <c r="C23" s="43">
        <f t="shared" si="22"/>
        <v>0</v>
      </c>
      <c r="D23" s="28">
        <f t="shared" si="23"/>
        <v>0</v>
      </c>
      <c r="E23" s="1">
        <f t="shared" si="52"/>
        <v>4605.5720000000001</v>
      </c>
      <c r="F23" s="43">
        <f t="shared" si="24"/>
        <v>0</v>
      </c>
      <c r="G23" s="28">
        <f t="shared" si="25"/>
        <v>0</v>
      </c>
      <c r="H23" s="1">
        <f t="shared" si="53"/>
        <v>6347</v>
      </c>
      <c r="I23" s="43">
        <f t="shared" si="26"/>
        <v>0</v>
      </c>
      <c r="J23" s="28">
        <f t="shared" si="27"/>
        <v>0</v>
      </c>
      <c r="K23" s="7">
        <f t="shared" si="54"/>
        <v>14278.17</v>
      </c>
      <c r="L23" s="43">
        <f t="shared" si="28"/>
        <v>0</v>
      </c>
      <c r="M23" s="28">
        <f t="shared" si="29"/>
        <v>0</v>
      </c>
      <c r="N23" s="7">
        <f t="shared" si="55"/>
        <v>3812.8119999999999</v>
      </c>
      <c r="O23" s="43">
        <f t="shared" si="30"/>
        <v>0</v>
      </c>
      <c r="P23" s="28">
        <f t="shared" si="31"/>
        <v>0</v>
      </c>
      <c r="Q23" s="7">
        <f t="shared" si="56"/>
        <v>5606.84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57"/>
        <v>216795</v>
      </c>
      <c r="Y23" s="147">
        <f t="shared" si="21"/>
        <v>0</v>
      </c>
      <c r="Z23" s="142">
        <f t="shared" si="58"/>
        <v>10122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37"/>
        <v>730</v>
      </c>
      <c r="AE23" s="147">
        <f t="shared" si="21"/>
        <v>0</v>
      </c>
      <c r="AF23" s="142">
        <f t="shared" si="59"/>
        <v>9472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51"/>
        <v>25227.014999999999</v>
      </c>
      <c r="C24" s="43">
        <f t="shared" si="22"/>
        <v>0</v>
      </c>
      <c r="D24" s="28">
        <f t="shared" si="23"/>
        <v>0</v>
      </c>
      <c r="E24" s="1">
        <f t="shared" si="52"/>
        <v>4605.5720000000001</v>
      </c>
      <c r="F24" s="43">
        <f t="shared" si="24"/>
        <v>0</v>
      </c>
      <c r="G24" s="28">
        <f t="shared" si="25"/>
        <v>0</v>
      </c>
      <c r="H24" s="1">
        <f t="shared" si="53"/>
        <v>6347</v>
      </c>
      <c r="I24" s="43">
        <f t="shared" si="26"/>
        <v>0</v>
      </c>
      <c r="J24" s="28">
        <f t="shared" si="27"/>
        <v>0</v>
      </c>
      <c r="K24" s="7">
        <f t="shared" si="54"/>
        <v>14278.17</v>
      </c>
      <c r="L24" s="43">
        <f t="shared" si="28"/>
        <v>0</v>
      </c>
      <c r="M24" s="28">
        <f t="shared" si="29"/>
        <v>0</v>
      </c>
      <c r="N24" s="7">
        <f t="shared" si="55"/>
        <v>3812.8119999999999</v>
      </c>
      <c r="O24" s="43">
        <f t="shared" si="30"/>
        <v>0</v>
      </c>
      <c r="P24" s="28">
        <f t="shared" si="31"/>
        <v>0</v>
      </c>
      <c r="Q24" s="7">
        <f t="shared" si="56"/>
        <v>5606.84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57"/>
        <v>216795</v>
      </c>
      <c r="Y24" s="147">
        <f t="shared" si="21"/>
        <v>0</v>
      </c>
      <c r="Z24" s="142">
        <f t="shared" si="58"/>
        <v>10122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37"/>
        <v>730</v>
      </c>
      <c r="AE24" s="147">
        <f t="shared" si="21"/>
        <v>0</v>
      </c>
      <c r="AF24" s="142">
        <f t="shared" si="59"/>
        <v>9472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51"/>
        <v>25227.014999999999</v>
      </c>
      <c r="C25" s="43">
        <f t="shared" si="22"/>
        <v>0</v>
      </c>
      <c r="D25" s="28">
        <f t="shared" si="23"/>
        <v>0</v>
      </c>
      <c r="E25" s="1">
        <f t="shared" si="52"/>
        <v>4605.5720000000001</v>
      </c>
      <c r="F25" s="43">
        <f t="shared" si="24"/>
        <v>0</v>
      </c>
      <c r="G25" s="28">
        <f t="shared" si="25"/>
        <v>0</v>
      </c>
      <c r="H25" s="1">
        <f t="shared" si="53"/>
        <v>6347</v>
      </c>
      <c r="I25" s="43">
        <f t="shared" si="26"/>
        <v>0</v>
      </c>
      <c r="J25" s="28">
        <f t="shared" si="27"/>
        <v>0</v>
      </c>
      <c r="K25" s="7">
        <f t="shared" si="54"/>
        <v>14278.17</v>
      </c>
      <c r="L25" s="43">
        <f t="shared" si="28"/>
        <v>0</v>
      </c>
      <c r="M25" s="28">
        <f t="shared" si="29"/>
        <v>0</v>
      </c>
      <c r="N25" s="7">
        <f t="shared" si="55"/>
        <v>3812.8119999999999</v>
      </c>
      <c r="O25" s="43">
        <f t="shared" si="30"/>
        <v>0</v>
      </c>
      <c r="P25" s="28">
        <f t="shared" si="31"/>
        <v>0</v>
      </c>
      <c r="Q25" s="7">
        <f t="shared" si="56"/>
        <v>5606.84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57"/>
        <v>216795</v>
      </c>
      <c r="Y25" s="147">
        <f t="shared" si="21"/>
        <v>0</v>
      </c>
      <c r="Z25" s="142">
        <f t="shared" si="58"/>
        <v>10122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37"/>
        <v>730</v>
      </c>
      <c r="AE25" s="147">
        <f t="shared" si="21"/>
        <v>0</v>
      </c>
      <c r="AF25" s="142">
        <f t="shared" si="59"/>
        <v>9472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51"/>
        <v>25227.014999999999</v>
      </c>
      <c r="C26" s="43">
        <f t="shared" si="22"/>
        <v>0</v>
      </c>
      <c r="D26" s="28">
        <f t="shared" si="23"/>
        <v>0</v>
      </c>
      <c r="E26" s="1">
        <f t="shared" si="52"/>
        <v>4605.5720000000001</v>
      </c>
      <c r="F26" s="43">
        <f t="shared" si="24"/>
        <v>0</v>
      </c>
      <c r="G26" s="28">
        <f t="shared" si="25"/>
        <v>0</v>
      </c>
      <c r="H26" s="1">
        <f t="shared" si="53"/>
        <v>6347</v>
      </c>
      <c r="I26" s="43">
        <f t="shared" si="26"/>
        <v>0</v>
      </c>
      <c r="J26" s="28">
        <f t="shared" si="27"/>
        <v>0</v>
      </c>
      <c r="K26" s="7">
        <f t="shared" si="54"/>
        <v>14278.17</v>
      </c>
      <c r="L26" s="43">
        <f>IF((K26-K25)&lt;0,"0",(K26-K25))</f>
        <v>0</v>
      </c>
      <c r="M26" s="28">
        <f t="shared" si="29"/>
        <v>0</v>
      </c>
      <c r="N26" s="7">
        <f t="shared" si="55"/>
        <v>3812.8119999999999</v>
      </c>
      <c r="O26" s="43">
        <f t="shared" si="30"/>
        <v>0</v>
      </c>
      <c r="P26" s="28">
        <f t="shared" si="31"/>
        <v>0</v>
      </c>
      <c r="Q26" s="7">
        <f t="shared" si="56"/>
        <v>5606.84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57"/>
        <v>216795</v>
      </c>
      <c r="Y26" s="147">
        <f t="shared" si="21"/>
        <v>0</v>
      </c>
      <c r="Z26" s="142">
        <f t="shared" si="58"/>
        <v>10122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37"/>
        <v>730</v>
      </c>
      <c r="AE26" s="147">
        <f t="shared" si="21"/>
        <v>0</v>
      </c>
      <c r="AF26" s="142">
        <f t="shared" si="59"/>
        <v>9472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51"/>
        <v>25227.014999999999</v>
      </c>
      <c r="C27" s="43">
        <f t="shared" si="22"/>
        <v>0</v>
      </c>
      <c r="D27" s="28">
        <f t="shared" si="23"/>
        <v>0</v>
      </c>
      <c r="E27" s="1">
        <f t="shared" si="52"/>
        <v>4605.5720000000001</v>
      </c>
      <c r="F27" s="43">
        <f t="shared" si="24"/>
        <v>0</v>
      </c>
      <c r="G27" s="28">
        <f t="shared" si="25"/>
        <v>0</v>
      </c>
      <c r="H27" s="1">
        <f t="shared" si="53"/>
        <v>6347</v>
      </c>
      <c r="I27" s="43">
        <f t="shared" si="26"/>
        <v>0</v>
      </c>
      <c r="J27" s="28">
        <f t="shared" si="27"/>
        <v>0</v>
      </c>
      <c r="K27" s="7">
        <f t="shared" si="54"/>
        <v>14278.17</v>
      </c>
      <c r="L27" s="43">
        <f t="shared" si="28"/>
        <v>0</v>
      </c>
      <c r="M27" s="28">
        <f t="shared" si="29"/>
        <v>0</v>
      </c>
      <c r="N27" s="7">
        <f t="shared" si="55"/>
        <v>3812.8119999999999</v>
      </c>
      <c r="O27" s="43">
        <f t="shared" si="30"/>
        <v>0</v>
      </c>
      <c r="P27" s="28">
        <f t="shared" si="31"/>
        <v>0</v>
      </c>
      <c r="Q27" s="7">
        <f t="shared" si="56"/>
        <v>5606.84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57"/>
        <v>216795</v>
      </c>
      <c r="Y27" s="147">
        <f t="shared" si="21"/>
        <v>0</v>
      </c>
      <c r="Z27" s="142">
        <f t="shared" si="58"/>
        <v>10122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37"/>
        <v>730</v>
      </c>
      <c r="AE27" s="147">
        <f t="shared" si="21"/>
        <v>0</v>
      </c>
      <c r="AF27" s="142">
        <f t="shared" si="59"/>
        <v>9472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51"/>
        <v>25227.014999999999</v>
      </c>
      <c r="C28" s="43">
        <f t="shared" si="22"/>
        <v>0</v>
      </c>
      <c r="D28" s="28">
        <f t="shared" si="23"/>
        <v>0</v>
      </c>
      <c r="E28" s="1">
        <f t="shared" si="52"/>
        <v>4605.5720000000001</v>
      </c>
      <c r="F28" s="43">
        <f t="shared" si="24"/>
        <v>0</v>
      </c>
      <c r="G28" s="28">
        <f t="shared" si="25"/>
        <v>0</v>
      </c>
      <c r="H28" s="1">
        <f t="shared" si="53"/>
        <v>6347</v>
      </c>
      <c r="I28" s="43">
        <f t="shared" si="26"/>
        <v>0</v>
      </c>
      <c r="J28" s="28">
        <f t="shared" si="27"/>
        <v>0</v>
      </c>
      <c r="K28" s="7">
        <f t="shared" si="54"/>
        <v>14278.17</v>
      </c>
      <c r="L28" s="43">
        <f t="shared" si="28"/>
        <v>0</v>
      </c>
      <c r="M28" s="28">
        <f t="shared" si="29"/>
        <v>0</v>
      </c>
      <c r="N28" s="7">
        <f t="shared" si="55"/>
        <v>3812.8119999999999</v>
      </c>
      <c r="O28" s="43">
        <f t="shared" si="30"/>
        <v>0</v>
      </c>
      <c r="P28" s="28">
        <f t="shared" si="31"/>
        <v>0</v>
      </c>
      <c r="Q28" s="7">
        <f t="shared" si="56"/>
        <v>5606.84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57"/>
        <v>216795</v>
      </c>
      <c r="Y28" s="147">
        <f t="shared" si="21"/>
        <v>0</v>
      </c>
      <c r="Z28" s="142">
        <f t="shared" si="58"/>
        <v>10122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37"/>
        <v>730</v>
      </c>
      <c r="AE28" s="147">
        <f t="shared" si="21"/>
        <v>0</v>
      </c>
      <c r="AF28" s="142">
        <f t="shared" si="59"/>
        <v>9472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51"/>
        <v>25227.014999999999</v>
      </c>
      <c r="C29" s="43">
        <f t="shared" si="22"/>
        <v>0</v>
      </c>
      <c r="D29" s="28">
        <f t="shared" si="23"/>
        <v>0</v>
      </c>
      <c r="E29" s="1">
        <f t="shared" si="52"/>
        <v>4605.5720000000001</v>
      </c>
      <c r="F29" s="43">
        <f t="shared" si="24"/>
        <v>0</v>
      </c>
      <c r="G29" s="28">
        <f t="shared" si="25"/>
        <v>0</v>
      </c>
      <c r="H29" s="1">
        <f t="shared" si="53"/>
        <v>6347</v>
      </c>
      <c r="I29" s="43">
        <f t="shared" si="26"/>
        <v>0</v>
      </c>
      <c r="J29" s="28">
        <f t="shared" si="27"/>
        <v>0</v>
      </c>
      <c r="K29" s="7">
        <f t="shared" si="54"/>
        <v>14278.17</v>
      </c>
      <c r="L29" s="43">
        <f t="shared" si="28"/>
        <v>0</v>
      </c>
      <c r="M29" s="28">
        <f t="shared" si="29"/>
        <v>0</v>
      </c>
      <c r="N29" s="7">
        <f t="shared" si="55"/>
        <v>3812.8119999999999</v>
      </c>
      <c r="O29" s="43">
        <f t="shared" si="30"/>
        <v>0</v>
      </c>
      <c r="P29" s="28">
        <f t="shared" si="31"/>
        <v>0</v>
      </c>
      <c r="Q29" s="7">
        <f t="shared" si="56"/>
        <v>5606.84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57"/>
        <v>216795</v>
      </c>
      <c r="Y29" s="147">
        <f t="shared" si="21"/>
        <v>0</v>
      </c>
      <c r="Z29" s="142">
        <f t="shared" si="58"/>
        <v>10122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37"/>
        <v>730</v>
      </c>
      <c r="AE29" s="147">
        <f t="shared" si="21"/>
        <v>0</v>
      </c>
      <c r="AF29" s="142">
        <f t="shared" si="59"/>
        <v>9472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51"/>
        <v>25227.014999999999</v>
      </c>
      <c r="C30" s="43">
        <f t="shared" si="22"/>
        <v>0</v>
      </c>
      <c r="D30" s="28">
        <f t="shared" si="23"/>
        <v>0</v>
      </c>
      <c r="E30" s="1">
        <f t="shared" si="52"/>
        <v>4605.5720000000001</v>
      </c>
      <c r="F30" s="43">
        <f t="shared" si="24"/>
        <v>0</v>
      </c>
      <c r="G30" s="28">
        <f t="shared" si="25"/>
        <v>0</v>
      </c>
      <c r="H30" s="1">
        <f t="shared" si="53"/>
        <v>6347</v>
      </c>
      <c r="I30" s="43">
        <f t="shared" si="26"/>
        <v>0</v>
      </c>
      <c r="J30" s="28">
        <f t="shared" si="27"/>
        <v>0</v>
      </c>
      <c r="K30" s="7">
        <f t="shared" si="54"/>
        <v>14278.17</v>
      </c>
      <c r="L30" s="43">
        <f t="shared" si="28"/>
        <v>0</v>
      </c>
      <c r="M30" s="28">
        <f t="shared" si="29"/>
        <v>0</v>
      </c>
      <c r="N30" s="7">
        <f t="shared" si="55"/>
        <v>3812.8119999999999</v>
      </c>
      <c r="O30" s="43">
        <f t="shared" si="30"/>
        <v>0</v>
      </c>
      <c r="P30" s="28">
        <f t="shared" si="31"/>
        <v>0</v>
      </c>
      <c r="Q30" s="7">
        <f t="shared" si="56"/>
        <v>5606.84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57"/>
        <v>216795</v>
      </c>
      <c r="Y30" s="147">
        <f t="shared" si="21"/>
        <v>0</v>
      </c>
      <c r="Z30" s="142">
        <f t="shared" si="58"/>
        <v>10122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37"/>
        <v>730</v>
      </c>
      <c r="AE30" s="147">
        <f t="shared" si="21"/>
        <v>0</v>
      </c>
      <c r="AF30" s="142">
        <f t="shared" si="59"/>
        <v>9472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51"/>
        <v>25227.014999999999</v>
      </c>
      <c r="C31" s="43">
        <f t="shared" si="22"/>
        <v>0</v>
      </c>
      <c r="D31" s="28">
        <f t="shared" si="23"/>
        <v>0</v>
      </c>
      <c r="E31" s="1">
        <f t="shared" si="52"/>
        <v>4605.5720000000001</v>
      </c>
      <c r="F31" s="43">
        <f t="shared" si="24"/>
        <v>0</v>
      </c>
      <c r="G31" s="28">
        <f t="shared" si="25"/>
        <v>0</v>
      </c>
      <c r="H31" s="1">
        <f t="shared" si="53"/>
        <v>6347</v>
      </c>
      <c r="I31" s="43">
        <f t="shared" si="26"/>
        <v>0</v>
      </c>
      <c r="J31" s="28">
        <f t="shared" si="27"/>
        <v>0</v>
      </c>
      <c r="K31" s="7">
        <f t="shared" si="54"/>
        <v>14278.17</v>
      </c>
      <c r="L31" s="43">
        <f t="shared" si="28"/>
        <v>0</v>
      </c>
      <c r="M31" s="28">
        <f t="shared" si="29"/>
        <v>0</v>
      </c>
      <c r="N31" s="7">
        <f t="shared" si="55"/>
        <v>3812.8119999999999</v>
      </c>
      <c r="O31" s="43">
        <f t="shared" si="30"/>
        <v>0</v>
      </c>
      <c r="P31" s="28">
        <f t="shared" si="31"/>
        <v>0</v>
      </c>
      <c r="Q31" s="7">
        <f t="shared" si="56"/>
        <v>5606.84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57"/>
        <v>216795</v>
      </c>
      <c r="Y31" s="147">
        <f t="shared" si="21"/>
        <v>0</v>
      </c>
      <c r="Z31" s="142">
        <f t="shared" si="58"/>
        <v>10122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37"/>
        <v>730</v>
      </c>
      <c r="AE31" s="147">
        <f t="shared" si="21"/>
        <v>0</v>
      </c>
      <c r="AF31" s="142">
        <f t="shared" si="59"/>
        <v>9472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51"/>
        <v>25227.014999999999</v>
      </c>
      <c r="C32" s="43">
        <f t="shared" si="22"/>
        <v>0</v>
      </c>
      <c r="D32" s="28">
        <f t="shared" si="23"/>
        <v>0</v>
      </c>
      <c r="E32" s="1">
        <f t="shared" si="52"/>
        <v>4605.5720000000001</v>
      </c>
      <c r="F32" s="43">
        <f t="shared" si="24"/>
        <v>0</v>
      </c>
      <c r="G32" s="28">
        <f t="shared" si="25"/>
        <v>0</v>
      </c>
      <c r="H32" s="1">
        <f t="shared" si="53"/>
        <v>6347</v>
      </c>
      <c r="I32" s="43">
        <f t="shared" si="26"/>
        <v>0</v>
      </c>
      <c r="J32" s="28">
        <f t="shared" si="27"/>
        <v>0</v>
      </c>
      <c r="K32" s="7">
        <f t="shared" si="54"/>
        <v>14278.17</v>
      </c>
      <c r="L32" s="43">
        <f t="shared" si="28"/>
        <v>0</v>
      </c>
      <c r="M32" s="28">
        <f t="shared" si="29"/>
        <v>0</v>
      </c>
      <c r="N32" s="7">
        <f t="shared" si="55"/>
        <v>3812.8119999999999</v>
      </c>
      <c r="O32" s="43">
        <f t="shared" si="30"/>
        <v>0</v>
      </c>
      <c r="P32" s="28">
        <f t="shared" si="31"/>
        <v>0</v>
      </c>
      <c r="Q32" s="7">
        <f t="shared" si="56"/>
        <v>5606.84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57"/>
        <v>216795</v>
      </c>
      <c r="Y32" s="147">
        <f t="shared" ref="Y32:Y33" si="60">IF((X32-X31)&lt;0,"0",(X32-X31))</f>
        <v>0</v>
      </c>
      <c r="Z32" s="142">
        <f t="shared" si="58"/>
        <v>10122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37"/>
        <v>730</v>
      </c>
      <c r="AE32" s="147">
        <f t="shared" ref="AE32:AE33" si="63">IF((AD32-AD31)&lt;0,"0",(AD32-AD31))</f>
        <v>0</v>
      </c>
      <c r="AF32" s="142">
        <f t="shared" si="59"/>
        <v>9472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51"/>
        <v>25227.014999999999</v>
      </c>
      <c r="C33" s="43">
        <f t="shared" si="22"/>
        <v>0</v>
      </c>
      <c r="D33" s="28">
        <f t="shared" si="23"/>
        <v>0</v>
      </c>
      <c r="E33" s="1">
        <f t="shared" si="52"/>
        <v>4605.5720000000001</v>
      </c>
      <c r="F33" s="43">
        <f t="shared" si="24"/>
        <v>0</v>
      </c>
      <c r="G33" s="28">
        <f t="shared" si="25"/>
        <v>0</v>
      </c>
      <c r="H33" s="1">
        <f t="shared" si="53"/>
        <v>6347</v>
      </c>
      <c r="I33" s="43">
        <f t="shared" si="26"/>
        <v>0</v>
      </c>
      <c r="J33" s="28">
        <f t="shared" si="27"/>
        <v>0</v>
      </c>
      <c r="K33" s="7">
        <f t="shared" si="54"/>
        <v>14278.17</v>
      </c>
      <c r="L33" s="43">
        <f t="shared" si="28"/>
        <v>0</v>
      </c>
      <c r="M33" s="28">
        <f t="shared" si="29"/>
        <v>0</v>
      </c>
      <c r="N33" s="7">
        <f t="shared" si="55"/>
        <v>3812.8119999999999</v>
      </c>
      <c r="O33" s="43">
        <f t="shared" si="30"/>
        <v>0</v>
      </c>
      <c r="P33" s="28">
        <f t="shared" si="31"/>
        <v>0</v>
      </c>
      <c r="Q33" s="7">
        <f t="shared" si="56"/>
        <v>5606.84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57"/>
        <v>216795</v>
      </c>
      <c r="Y33" s="147">
        <f t="shared" si="60"/>
        <v>0</v>
      </c>
      <c r="Z33" s="142">
        <f t="shared" si="58"/>
        <v>10122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37"/>
        <v>730</v>
      </c>
      <c r="AE33" s="147">
        <f t="shared" si="63"/>
        <v>0</v>
      </c>
      <c r="AF33" s="142">
        <f t="shared" si="59"/>
        <v>9472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129.8859999999986</v>
      </c>
      <c r="D34" s="124">
        <f>SUM(D4:D33)</f>
        <v>221513.39999999871</v>
      </c>
      <c r="E34" s="124"/>
      <c r="F34" s="124">
        <f>SUM(F3:F33)</f>
        <v>30.496000000000095</v>
      </c>
      <c r="G34" s="124">
        <f>SUM(G4:G33)</f>
        <v>53916.300000000774</v>
      </c>
      <c r="H34" s="124"/>
      <c r="I34" s="124">
        <f>SUM(I3:I33)</f>
        <v>97</v>
      </c>
      <c r="J34" s="124">
        <f>SUM(J4:J33)</f>
        <v>165300</v>
      </c>
      <c r="K34" s="124"/>
      <c r="L34" s="124">
        <f>SUM(L3:L33)</f>
        <v>19.270000000000437</v>
      </c>
      <c r="M34" s="124">
        <f>SUM(M4:M33)</f>
        <v>32984.000000001106</v>
      </c>
      <c r="N34" s="124"/>
      <c r="O34" s="124">
        <f>SUM(O3:O33)</f>
        <v>29.884000000000015</v>
      </c>
      <c r="P34" s="124">
        <f>SUM(P4:P33)</f>
        <v>52327.899999999456</v>
      </c>
      <c r="Q34" s="124"/>
      <c r="R34" s="124">
        <v>2.21</v>
      </c>
      <c r="S34" s="124">
        <f>SUM(S4:S33)</f>
        <v>53731.99999999952</v>
      </c>
      <c r="T34" s="124">
        <v>22.454999999999998</v>
      </c>
      <c r="U34" s="124">
        <f>SUM(U4:U33)</f>
        <v>579773.59999999963</v>
      </c>
      <c r="V34"/>
      <c r="W34" s="124" t="s">
        <v>141</v>
      </c>
      <c r="X34" s="124"/>
      <c r="Y34" s="124">
        <f>SUM(Y3:Y33)</f>
        <v>3476</v>
      </c>
      <c r="Z34" s="124"/>
      <c r="AA34" s="124">
        <f>SUM(AA3:AA33)</f>
        <v>53</v>
      </c>
      <c r="AB34" s="124"/>
      <c r="AC34" s="124">
        <f>SUM(AC3:AC33)</f>
        <v>0</v>
      </c>
      <c r="AD34" s="124"/>
      <c r="AE34" s="124">
        <f>SUM(AE3:AE33)</f>
        <v>28</v>
      </c>
      <c r="AF34" s="124">
        <v>0</v>
      </c>
      <c r="AG34" s="124">
        <f>SUM(AG3:AG33)</f>
        <v>159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1706628</v>
      </c>
      <c r="D7" s="92">
        <f t="shared" si="0"/>
        <v>2167417.56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14464</v>
      </c>
      <c r="D8" s="92">
        <f t="shared" si="0"/>
        <v>18369.28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3418</v>
      </c>
      <c r="D9" s="92">
        <f t="shared" si="0"/>
        <v>4340.8599999999997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6400</v>
      </c>
      <c r="D10" s="92">
        <f t="shared" si="0"/>
        <v>8128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1984</v>
      </c>
      <c r="D11" s="92">
        <f t="shared" si="0"/>
        <v>2519.6799999999998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4071</v>
      </c>
      <c r="K16" s="81">
        <f>(J16-I16)*160</f>
        <v>1280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337486</v>
      </c>
      <c r="K17" s="81">
        <f>(J17-I17)</f>
        <v>2096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26583</v>
      </c>
      <c r="K18" s="81">
        <f>(J18-I18)*160</f>
        <v>6400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174218</v>
      </c>
      <c r="K19" s="81">
        <f>J19-I19</f>
        <v>1984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47713</v>
      </c>
      <c r="K21" s="81">
        <f>(J21-I21)*120</f>
        <v>7200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41051</v>
      </c>
      <c r="K22" s="81">
        <f>(J22-I22)*160</f>
        <v>5920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22174</v>
      </c>
      <c r="K23" s="81">
        <f>(J23-I23)*20</f>
        <v>860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259325</v>
      </c>
      <c r="K24" s="81">
        <f>J24-I24</f>
        <v>484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226467</v>
      </c>
      <c r="K25" s="81">
        <f>J25-I25</f>
        <v>42</v>
      </c>
    </row>
    <row r="26" spans="1:11" ht="13.5" thickBot="1" x14ac:dyDescent="0.25">
      <c r="A26" s="82"/>
      <c r="B26" s="88" t="s">
        <v>42</v>
      </c>
      <c r="C26" s="106">
        <f>K35</f>
        <v>15422</v>
      </c>
      <c r="D26" s="92">
        <f>C26*3.65</f>
        <v>56290.299999999996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15422</v>
      </c>
      <c r="D27" s="92">
        <f>C27*3.65</f>
        <v>56290.299999999996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18549754</v>
      </c>
      <c r="K35" s="112">
        <f>J35-I35</f>
        <v>15422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2022-10-14T03:34:28Z</dcterms:modified>
</cp:coreProperties>
</file>