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-1668" yWindow="-228" windowWidth="23256" windowHeight="13176"/>
  </bookViews>
  <sheets>
    <sheet name="TOTAL" sheetId="5" r:id="rId1"/>
    <sheet name="Submetering" sheetId="7" r:id="rId2"/>
    <sheet name="FS Budapest" sheetId="6" r:id="rId3"/>
  </sheets>
  <calcPr calcId="125725"/>
  <fileRecoveryPr autoRecover="0"/>
</workbook>
</file>

<file path=xl/calcChain.xml><?xml version="1.0" encoding="utf-8"?>
<calcChain xmlns="http://schemas.openxmlformats.org/spreadsheetml/2006/main">
  <c r="F35" i="5"/>
  <c r="G35"/>
  <c r="H35"/>
  <c r="I35"/>
  <c r="J35"/>
  <c r="K35"/>
  <c r="L35"/>
  <c r="E35"/>
  <c r="R2" i="7" l="1"/>
  <c r="Q3"/>
  <c r="Q5"/>
  <c r="G6"/>
  <c r="Q7"/>
  <c r="S8"/>
  <c r="R8"/>
  <c r="Q9"/>
  <c r="Q11"/>
  <c r="R11"/>
  <c r="Q13"/>
  <c r="R13"/>
  <c r="G14"/>
  <c r="Q15"/>
  <c r="R16"/>
  <c r="Q17"/>
  <c r="R17"/>
  <c r="Q19"/>
  <c r="R19"/>
  <c r="Q21"/>
  <c r="R21"/>
  <c r="G22"/>
  <c r="Q23"/>
  <c r="R23"/>
  <c r="R24"/>
  <c r="Q25"/>
  <c r="Q26"/>
  <c r="Q27"/>
  <c r="S28"/>
  <c r="Q29"/>
  <c r="R29"/>
  <c r="S30"/>
  <c r="R30"/>
  <c r="Q31"/>
  <c r="Q2"/>
  <c r="Z29"/>
  <c r="Z28"/>
  <c r="R25"/>
  <c r="Z18"/>
  <c r="Z11"/>
  <c r="R10"/>
  <c r="Q8"/>
  <c r="Q6"/>
  <c r="R3"/>
  <c r="Z2"/>
  <c r="H7"/>
  <c r="H8"/>
  <c r="H9"/>
  <c r="H10"/>
  <c r="H11"/>
  <c r="H12"/>
  <c r="H13"/>
  <c r="H14"/>
  <c r="R15"/>
  <c r="Q10"/>
  <c r="R9"/>
  <c r="AF3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/>
  <c r="AF26" i="7"/>
  <c r="K26" i="5"/>
  <c r="AG26" i="7"/>
  <c r="L26" i="5"/>
  <c r="AF27" i="7"/>
  <c r="K27" i="5"/>
  <c r="AG27" i="7"/>
  <c r="L27" i="5"/>
  <c r="AF28" i="7"/>
  <c r="K28" i="5"/>
  <c r="AG28" i="7"/>
  <c r="L28" i="5"/>
  <c r="AF29" i="7"/>
  <c r="K29" i="5"/>
  <c r="AG29" i="7"/>
  <c r="L29" i="5"/>
  <c r="AF30" i="7"/>
  <c r="K30" i="5"/>
  <c r="AG30" i="7"/>
  <c r="L30" i="5"/>
  <c r="AF31" i="7"/>
  <c r="K31" i="5"/>
  <c r="AG31" i="7"/>
  <c r="L31" i="5"/>
  <c r="AG2" i="7"/>
  <c r="L2" i="5"/>
  <c r="AF2" i="7"/>
  <c r="K2" i="5"/>
  <c r="X3" i="7"/>
  <c r="Y3"/>
  <c r="E3" i="5" s="1"/>
  <c r="AB3" i="7"/>
  <c r="AD3"/>
  <c r="AE3"/>
  <c r="X4"/>
  <c r="Y4"/>
  <c r="E4" i="5" s="1"/>
  <c r="AB4" i="7"/>
  <c r="AD4"/>
  <c r="AE4"/>
  <c r="X5"/>
  <c r="Y5"/>
  <c r="E5" i="5" s="1"/>
  <c r="AB5" i="7"/>
  <c r="AD5"/>
  <c r="AE5"/>
  <c r="X6"/>
  <c r="Y6"/>
  <c r="AB6"/>
  <c r="AD6"/>
  <c r="AE6"/>
  <c r="X7"/>
  <c r="Y7"/>
  <c r="E7" i="5"/>
  <c r="AB7" i="7"/>
  <c r="AD7"/>
  <c r="AE7"/>
  <c r="X8"/>
  <c r="Y8"/>
  <c r="AB8"/>
  <c r="AD8"/>
  <c r="AE8"/>
  <c r="X9"/>
  <c r="Y9"/>
  <c r="AB9"/>
  <c r="AD9"/>
  <c r="AE9"/>
  <c r="X10"/>
  <c r="Y10"/>
  <c r="AB10"/>
  <c r="AD10"/>
  <c r="AE10"/>
  <c r="X11"/>
  <c r="Y11"/>
  <c r="E11" i="5" s="1"/>
  <c r="AB11" i="7"/>
  <c r="AD11"/>
  <c r="AE11"/>
  <c r="X12"/>
  <c r="Y12"/>
  <c r="AB12"/>
  <c r="AD12"/>
  <c r="AE12"/>
  <c r="X13"/>
  <c r="Y13"/>
  <c r="E13" i="5" s="1"/>
  <c r="AB13" i="7"/>
  <c r="AD13"/>
  <c r="AE13"/>
  <c r="X14"/>
  <c r="Y14"/>
  <c r="AB14"/>
  <c r="AD14"/>
  <c r="AE14"/>
  <c r="X15"/>
  <c r="Y15"/>
  <c r="AB15"/>
  <c r="AD15"/>
  <c r="AE15"/>
  <c r="X16"/>
  <c r="Y16"/>
  <c r="AB16"/>
  <c r="AD16"/>
  <c r="AE16"/>
  <c r="X17"/>
  <c r="Y17"/>
  <c r="AB17"/>
  <c r="AD17"/>
  <c r="AE17"/>
  <c r="X18"/>
  <c r="Y18"/>
  <c r="AB18"/>
  <c r="AD18"/>
  <c r="AE18"/>
  <c r="X19"/>
  <c r="Y19"/>
  <c r="AB19"/>
  <c r="AD19"/>
  <c r="AE19"/>
  <c r="X20"/>
  <c r="Y20"/>
  <c r="E20" i="5"/>
  <c r="AB20" i="7"/>
  <c r="AD20"/>
  <c r="AE20"/>
  <c r="X21"/>
  <c r="Y21"/>
  <c r="AB21"/>
  <c r="AD21"/>
  <c r="AE21"/>
  <c r="X22"/>
  <c r="Y22"/>
  <c r="AB22"/>
  <c r="AD22"/>
  <c r="AE22"/>
  <c r="X23"/>
  <c r="Y23"/>
  <c r="AB23"/>
  <c r="AD23"/>
  <c r="AE23"/>
  <c r="X24"/>
  <c r="Y24"/>
  <c r="E24" i="5" s="1"/>
  <c r="AB24" i="7"/>
  <c r="AD24"/>
  <c r="AE24"/>
  <c r="X25"/>
  <c r="Y25"/>
  <c r="AB25"/>
  <c r="AD25"/>
  <c r="AE25"/>
  <c r="X26"/>
  <c r="Y26"/>
  <c r="E26" i="5" s="1"/>
  <c r="AB26" i="7"/>
  <c r="AD26"/>
  <c r="AE26"/>
  <c r="X27"/>
  <c r="Y27"/>
  <c r="E27" i="5" s="1"/>
  <c r="AB27" i="7"/>
  <c r="AD27"/>
  <c r="AE27"/>
  <c r="X28"/>
  <c r="Y28"/>
  <c r="AB28"/>
  <c r="AD28"/>
  <c r="AE28"/>
  <c r="X29"/>
  <c r="Y29"/>
  <c r="AB29"/>
  <c r="AD29"/>
  <c r="AE29"/>
  <c r="X30"/>
  <c r="Y30"/>
  <c r="E30" i="5" s="1"/>
  <c r="AB30" i="7"/>
  <c r="AD30"/>
  <c r="AE30"/>
  <c r="X31"/>
  <c r="Y31"/>
  <c r="AB31"/>
  <c r="AD31"/>
  <c r="AE31"/>
  <c r="AE2"/>
  <c r="AD2"/>
  <c r="AB2"/>
  <c r="Y2"/>
  <c r="E2" i="5" s="1"/>
  <c r="X2" i="7"/>
  <c r="M3"/>
  <c r="N3"/>
  <c r="O3"/>
  <c r="P3"/>
  <c r="T3"/>
  <c r="U3"/>
  <c r="G3" i="5" s="1"/>
  <c r="V3" i="7"/>
  <c r="W3"/>
  <c r="M4"/>
  <c r="N4"/>
  <c r="O4"/>
  <c r="P4"/>
  <c r="Q4"/>
  <c r="R4"/>
  <c r="T4"/>
  <c r="U4"/>
  <c r="V4"/>
  <c r="W4"/>
  <c r="M5"/>
  <c r="N5"/>
  <c r="O5"/>
  <c r="P5"/>
  <c r="R5"/>
  <c r="T5"/>
  <c r="U5"/>
  <c r="G5" i="5" s="1"/>
  <c r="V5" i="7"/>
  <c r="W5"/>
  <c r="M6"/>
  <c r="N6"/>
  <c r="O6"/>
  <c r="P6"/>
  <c r="R6"/>
  <c r="T6"/>
  <c r="U6"/>
  <c r="G6" i="5" s="1"/>
  <c r="V6" i="7"/>
  <c r="W6"/>
  <c r="M7"/>
  <c r="N7"/>
  <c r="O7"/>
  <c r="P7"/>
  <c r="R7"/>
  <c r="T7"/>
  <c r="U7"/>
  <c r="G7" i="5" s="1"/>
  <c r="V7" i="7"/>
  <c r="W7"/>
  <c r="M8"/>
  <c r="N8"/>
  <c r="O8"/>
  <c r="P8"/>
  <c r="T8"/>
  <c r="U8"/>
  <c r="V8"/>
  <c r="W8"/>
  <c r="M9"/>
  <c r="N9"/>
  <c r="O9"/>
  <c r="P9"/>
  <c r="T9"/>
  <c r="U9"/>
  <c r="V9"/>
  <c r="W9"/>
  <c r="M10"/>
  <c r="N10"/>
  <c r="O10"/>
  <c r="P10"/>
  <c r="T10"/>
  <c r="U10"/>
  <c r="G10" i="5" s="1"/>
  <c r="V10" i="7"/>
  <c r="W10"/>
  <c r="M11"/>
  <c r="N11"/>
  <c r="O11"/>
  <c r="P11"/>
  <c r="T11"/>
  <c r="U11"/>
  <c r="G11" i="5" s="1"/>
  <c r="V11" i="7"/>
  <c r="W11"/>
  <c r="M12"/>
  <c r="N12"/>
  <c r="O12"/>
  <c r="P12"/>
  <c r="Q12"/>
  <c r="R12"/>
  <c r="T12"/>
  <c r="U12"/>
  <c r="V12"/>
  <c r="W12"/>
  <c r="M13"/>
  <c r="N13"/>
  <c r="O13"/>
  <c r="P13"/>
  <c r="T13"/>
  <c r="U13"/>
  <c r="V13"/>
  <c r="W13"/>
  <c r="M14"/>
  <c r="N14"/>
  <c r="O14"/>
  <c r="P14"/>
  <c r="Q14"/>
  <c r="R14"/>
  <c r="T14"/>
  <c r="U14"/>
  <c r="V14"/>
  <c r="W14"/>
  <c r="M15"/>
  <c r="N15"/>
  <c r="O15"/>
  <c r="P15"/>
  <c r="T15"/>
  <c r="U15"/>
  <c r="V15"/>
  <c r="W15"/>
  <c r="M16"/>
  <c r="N16"/>
  <c r="O16"/>
  <c r="P16"/>
  <c r="Q16"/>
  <c r="T16"/>
  <c r="U16"/>
  <c r="V16"/>
  <c r="W16"/>
  <c r="M17"/>
  <c r="N17"/>
  <c r="O17"/>
  <c r="P17"/>
  <c r="T17"/>
  <c r="U17"/>
  <c r="G17" i="5" s="1"/>
  <c r="V17" i="7"/>
  <c r="W17"/>
  <c r="M18"/>
  <c r="N18"/>
  <c r="O18"/>
  <c r="P18"/>
  <c r="Q18"/>
  <c r="R18"/>
  <c r="T18"/>
  <c r="U18"/>
  <c r="V18"/>
  <c r="W18"/>
  <c r="M19"/>
  <c r="N19"/>
  <c r="O19"/>
  <c r="P19"/>
  <c r="T19"/>
  <c r="U19"/>
  <c r="V19"/>
  <c r="W19"/>
  <c r="M20"/>
  <c r="N20"/>
  <c r="O20"/>
  <c r="P20"/>
  <c r="Q20"/>
  <c r="R20"/>
  <c r="T20"/>
  <c r="U20"/>
  <c r="G20" i="5" s="1"/>
  <c r="V20" i="7"/>
  <c r="W20"/>
  <c r="M21"/>
  <c r="N21"/>
  <c r="O21"/>
  <c r="P21"/>
  <c r="T21"/>
  <c r="U21"/>
  <c r="G21" i="5" s="1"/>
  <c r="V21" i="7"/>
  <c r="W21"/>
  <c r="M22"/>
  <c r="N22"/>
  <c r="O22"/>
  <c r="P22"/>
  <c r="Q22"/>
  <c r="R22"/>
  <c r="T22"/>
  <c r="U22"/>
  <c r="G22" i="5" s="1"/>
  <c r="V22" i="7"/>
  <c r="W22"/>
  <c r="M23"/>
  <c r="N23"/>
  <c r="O23"/>
  <c r="P23"/>
  <c r="T23"/>
  <c r="U23"/>
  <c r="G23" i="5" s="1"/>
  <c r="V23" i="7"/>
  <c r="W23"/>
  <c r="M24"/>
  <c r="N24"/>
  <c r="O24"/>
  <c r="P24"/>
  <c r="Q24"/>
  <c r="T24"/>
  <c r="U24"/>
  <c r="V24"/>
  <c r="W24"/>
  <c r="M25"/>
  <c r="N25"/>
  <c r="O25"/>
  <c r="P25"/>
  <c r="T25"/>
  <c r="U25"/>
  <c r="V25"/>
  <c r="W25"/>
  <c r="M26"/>
  <c r="N26"/>
  <c r="O26"/>
  <c r="P26"/>
  <c r="R26"/>
  <c r="T26"/>
  <c r="U26"/>
  <c r="V26"/>
  <c r="W26"/>
  <c r="M27"/>
  <c r="N27"/>
  <c r="O27"/>
  <c r="P27"/>
  <c r="R27"/>
  <c r="T27"/>
  <c r="U27"/>
  <c r="G27" i="5"/>
  <c r="V27" i="7"/>
  <c r="W27"/>
  <c r="M28"/>
  <c r="N28"/>
  <c r="O28"/>
  <c r="P28"/>
  <c r="Q28"/>
  <c r="R28"/>
  <c r="T28"/>
  <c r="U28"/>
  <c r="V28"/>
  <c r="W28"/>
  <c r="M29"/>
  <c r="N29"/>
  <c r="O29"/>
  <c r="P29"/>
  <c r="T29"/>
  <c r="U29"/>
  <c r="V29"/>
  <c r="W29"/>
  <c r="M30"/>
  <c r="N30"/>
  <c r="O30"/>
  <c r="P30"/>
  <c r="Q30"/>
  <c r="T30"/>
  <c r="U30"/>
  <c r="V30"/>
  <c r="W30"/>
  <c r="M31"/>
  <c r="N31"/>
  <c r="O31"/>
  <c r="P31"/>
  <c r="R31"/>
  <c r="T31"/>
  <c r="U31"/>
  <c r="V31"/>
  <c r="W31"/>
  <c r="V2"/>
  <c r="W2"/>
  <c r="U2"/>
  <c r="T2"/>
  <c r="P2"/>
  <c r="O2"/>
  <c r="N2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2"/>
  <c r="H3"/>
  <c r="H4"/>
  <c r="H5"/>
  <c r="H6"/>
  <c r="H15"/>
  <c r="H16"/>
  <c r="H17"/>
  <c r="H18"/>
  <c r="H19"/>
  <c r="H20"/>
  <c r="H21"/>
  <c r="H22"/>
  <c r="H23"/>
  <c r="H24"/>
  <c r="H25"/>
  <c r="H26"/>
  <c r="H27"/>
  <c r="H28"/>
  <c r="H29"/>
  <c r="H30"/>
  <c r="H31"/>
  <c r="H2"/>
  <c r="G3"/>
  <c r="G4"/>
  <c r="G8"/>
  <c r="G12"/>
  <c r="G13"/>
  <c r="G16"/>
  <c r="G30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2"/>
  <c r="E3"/>
  <c r="E4"/>
  <c r="E5"/>
  <c r="I5" i="5" s="1"/>
  <c r="E6" i="7"/>
  <c r="I6" i="5" s="1"/>
  <c r="E7" i="7"/>
  <c r="I7" i="5"/>
  <c r="E8" i="7"/>
  <c r="I8" i="5"/>
  <c r="E9" i="7"/>
  <c r="I9" i="5"/>
  <c r="E10" i="7"/>
  <c r="E11"/>
  <c r="E12"/>
  <c r="I12" i="5"/>
  <c r="E13" i="7"/>
  <c r="I13" i="5"/>
  <c r="E14" i="7"/>
  <c r="E15"/>
  <c r="I15" i="5" s="1"/>
  <c r="E16" i="7"/>
  <c r="I16" i="5" s="1"/>
  <c r="E17" i="7"/>
  <c r="I17" i="5"/>
  <c r="E18" i="7"/>
  <c r="I18" i="5" s="1"/>
  <c r="E19" i="7"/>
  <c r="I19" i="5" s="1"/>
  <c r="E20" i="7"/>
  <c r="E21"/>
  <c r="I21" i="5"/>
  <c r="E22" i="7"/>
  <c r="E23"/>
  <c r="I23" i="5" s="1"/>
  <c r="E24" i="7"/>
  <c r="I24" i="5" s="1"/>
  <c r="E25" i="7"/>
  <c r="I25" i="5"/>
  <c r="E26" i="7"/>
  <c r="I26" i="5"/>
  <c r="E27" i="7"/>
  <c r="I27" i="5"/>
  <c r="E28" i="7"/>
  <c r="I28" i="5"/>
  <c r="E29" i="7"/>
  <c r="I29" i="5"/>
  <c r="E30" i="7"/>
  <c r="I30" i="5" s="1"/>
  <c r="E31" i="7"/>
  <c r="E2"/>
  <c r="B3"/>
  <c r="B4" s="1"/>
  <c r="B5"/>
  <c r="B6" s="1"/>
  <c r="B7"/>
  <c r="B8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J3" i="5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B3"/>
  <c r="B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26"/>
  <c r="G9"/>
  <c r="E6"/>
  <c r="E25"/>
  <c r="E23"/>
  <c r="E22"/>
  <c r="E17"/>
  <c r="E16"/>
  <c r="E14"/>
  <c r="G23" i="7"/>
  <c r="AA13"/>
  <c r="E28" i="5"/>
  <c r="G16"/>
  <c r="Z30" i="7"/>
  <c r="Z20"/>
  <c r="E29" i="5"/>
  <c r="AC20" i="7"/>
  <c r="G8" i="5"/>
  <c r="E19"/>
  <c r="G31"/>
  <c r="G4"/>
  <c r="G2" i="7"/>
  <c r="G20"/>
  <c r="G15"/>
  <c r="G18"/>
  <c r="Z7"/>
  <c r="G26"/>
  <c r="G12" i="5"/>
  <c r="AA10" i="7"/>
  <c r="AA12"/>
  <c r="AA25"/>
  <c r="AA23"/>
  <c r="AC25"/>
  <c r="Z5"/>
  <c r="AA5"/>
  <c r="AA22"/>
  <c r="AC22"/>
  <c r="Z22"/>
  <c r="AA8"/>
  <c r="Z8"/>
  <c r="Z19"/>
  <c r="AA19"/>
  <c r="AC24"/>
  <c r="AA29"/>
  <c r="AA3"/>
  <c r="Z3"/>
  <c r="AC7"/>
  <c r="Z10"/>
  <c r="AA16"/>
  <c r="Z16"/>
  <c r="Z13"/>
  <c r="AA4"/>
  <c r="Z4"/>
  <c r="AC18"/>
  <c r="AA21"/>
  <c r="Z21"/>
  <c r="Z9"/>
  <c r="AA9"/>
  <c r="AA15"/>
  <c r="Z15"/>
  <c r="AA28"/>
  <c r="Z17"/>
  <c r="AA17"/>
  <c r="AA6"/>
  <c r="Z6"/>
  <c r="Z12"/>
  <c r="AA31"/>
  <c r="Z31"/>
  <c r="Z25"/>
  <c r="Z23"/>
  <c r="Z24"/>
  <c r="AA7"/>
  <c r="AA24"/>
  <c r="G15" i="5"/>
  <c r="G13"/>
  <c r="G28"/>
  <c r="G17" i="7"/>
  <c r="G28"/>
  <c r="G24"/>
  <c r="S22"/>
  <c r="S18"/>
  <c r="S16"/>
  <c r="S10"/>
  <c r="S4"/>
  <c r="S2"/>
  <c r="S14"/>
  <c r="S12"/>
  <c r="S6"/>
  <c r="S25"/>
  <c r="S23"/>
  <c r="S15"/>
  <c r="S31"/>
  <c r="S29"/>
  <c r="S27"/>
  <c r="S21"/>
  <c r="S19"/>
  <c r="S17"/>
  <c r="S26"/>
  <c r="S13"/>
  <c r="S11"/>
  <c r="S9"/>
  <c r="S7"/>
  <c r="S24"/>
  <c r="S5"/>
  <c r="S3"/>
  <c r="S20"/>
  <c r="I20" i="5"/>
  <c r="I10"/>
  <c r="G31" i="7"/>
  <c r="G27"/>
  <c r="G9"/>
  <c r="I14" i="5"/>
  <c r="G29" i="7"/>
  <c r="I3" i="5"/>
  <c r="G19" i="7"/>
  <c r="I22" i="5"/>
  <c r="I11"/>
  <c r="I4"/>
  <c r="G21" i="7"/>
  <c r="I2" i="5"/>
  <c r="G5" i="7"/>
  <c r="AC2"/>
  <c r="AC4"/>
  <c r="AC16"/>
  <c r="AC27"/>
  <c r="AC3"/>
  <c r="AC14"/>
  <c r="AC15"/>
  <c r="AC21"/>
  <c r="AC10"/>
  <c r="AC26"/>
  <c r="AC13"/>
  <c r="AC19"/>
  <c r="AC31"/>
  <c r="AC6"/>
  <c r="AC29"/>
  <c r="AC8"/>
  <c r="AC5"/>
  <c r="AC12"/>
  <c r="AC28"/>
  <c r="AC17"/>
  <c r="I31" i="5" l="1"/>
  <c r="G2"/>
  <c r="G30"/>
  <c r="G25"/>
  <c r="G24"/>
  <c r="G19"/>
  <c r="G18"/>
  <c r="G14"/>
  <c r="E31"/>
  <c r="E21"/>
  <c r="E18"/>
  <c r="E15"/>
  <c r="E12"/>
  <c r="E10"/>
  <c r="E9"/>
  <c r="E8"/>
  <c r="AC30" i="7"/>
  <c r="AA30"/>
  <c r="Z27"/>
  <c r="AA27"/>
  <c r="G11"/>
  <c r="G10"/>
  <c r="G7"/>
  <c r="AC9"/>
  <c r="AA11"/>
  <c r="AA14"/>
  <c r="Z14"/>
  <c r="AA26"/>
  <c r="Z26"/>
  <c r="AC23"/>
  <c r="G29" i="5"/>
  <c r="G25" i="7"/>
  <c r="AA18"/>
  <c r="AA20"/>
  <c r="AA2"/>
  <c r="AC11" l="1"/>
</calcChain>
</file>

<file path=xl/sharedStrings.xml><?xml version="1.0" encoding="utf-8"?>
<sst xmlns="http://schemas.openxmlformats.org/spreadsheetml/2006/main" count="1973" uniqueCount="222">
  <si>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</si>
  <si>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</si>
  <si>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</si>
  <si>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</si>
  <si>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</si>
  <si>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</si>
  <si>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</si>
  <si>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</si>
  <si>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</si>
  <si>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</si>
  <si>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</si>
  <si>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</si>
  <si>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</si>
  <si>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</si>
  <si>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</si>
  <si>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</si>
  <si>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</si>
  <si>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</si>
  <si>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</si>
  <si>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</si>
  <si>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</si>
  <si>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</si>
  <si>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</si>
  <si>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</si>
  <si>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</si>
  <si>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</si>
  <si>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</si>
  <si>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</si>
  <si>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</si>
  <si>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</si>
  <si>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</si>
  <si>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</si>
  <si>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</si>
  <si>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</si>
  <si>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</si>
  <si>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</si>
  <si>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</si>
  <si>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</si>
  <si>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</si>
  <si>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</si>
  <si>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</si>
  <si>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</si>
  <si>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</si>
  <si>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</si>
  <si>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</si>
  <si>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</si>
  <si>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</si>
  <si>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</si>
  <si>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</si>
  <si>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</si>
  <si>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</si>
  <si>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</si>
  <si>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</si>
  <si>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</si>
  <si>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</si>
  <si>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</si>
  <si>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</si>
  <si>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</si>
  <si>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</si>
  <si>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</si>
  <si>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</si>
  <si>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</si>
  <si>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</si>
  <si>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</si>
  <si>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</si>
  <si>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</si>
  <si>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</si>
  <si>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</si>
  <si>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</si>
  <si>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</si>
  <si>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</si>
  <si>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</si>
  <si>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</si>
  <si>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</si>
  <si>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</si>
  <si>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</si>
  <si>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</si>
  <si>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</si>
  <si>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</si>
  <si>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</si>
  <si>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</si>
  <si>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</si>
  <si>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</si>
  <si>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</si>
  <si>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</si>
  <si>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</si>
  <si>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</si>
  <si>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</si>
  <si>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</si>
  <si>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</si>
  <si>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</si>
  <si>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</si>
  <si>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</si>
  <si>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</si>
  <si>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</si>
  <si>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</si>
  <si>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</si>
  <si>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</si>
  <si>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</si>
  <si>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</si>
  <si>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</si>
  <si>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</si>
  <si>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</si>
  <si>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</si>
  <si>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</si>
  <si>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</si>
  <si>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</si>
  <si>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</si>
  <si>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</si>
  <si>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</si>
  <si>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</si>
  <si>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</si>
  <si>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</si>
  <si>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</si>
  <si>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</si>
  <si>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</si>
  <si>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</si>
  <si>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</si>
  <si>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</si>
  <si>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</si>
  <si>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</si>
  <si>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</si>
  <si>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</si>
  <si>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</si>
  <si>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</si>
  <si>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</si>
  <si>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</si>
  <si>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 </t>
  </si>
  <si>
    <t xml:space="preserve">82,87  </t>
  </si>
  <si>
    <t>1,77</t>
  </si>
  <si>
    <t>84,56</t>
  </si>
  <si>
    <t xml:space="preserve">84,56  </t>
  </si>
  <si>
    <t>1,69</t>
  </si>
  <si>
    <t>villany:</t>
  </si>
  <si>
    <t>12 419,00</t>
  </si>
  <si>
    <t>86,43</t>
  </si>
  <si>
    <t xml:space="preserve">86,43  </t>
  </si>
  <si>
    <t>1,87</t>
  </si>
  <si>
    <t>gáz:    </t>
  </si>
  <si>
    <t>445,53</t>
  </si>
  <si>
    <t>88,32</t>
  </si>
  <si>
    <t xml:space="preserve">88,32  </t>
  </si>
  <si>
    <t>1,89</t>
  </si>
  <si>
    <t xml:space="preserve">viz:   </t>
  </si>
  <si>
    <r>
      <t>     130 m3</t>
    </r>
    <r>
      <rPr>
        <b/>
        <sz val="16"/>
        <color rgb="FF000000"/>
        <rFont val="Times New Roman"/>
        <family val="1"/>
        <charset val="238"/>
      </rPr>
      <t xml:space="preserve"> </t>
    </r>
  </si>
  <si>
    <t>33,00</t>
  </si>
  <si>
    <t>90,37</t>
  </si>
  <si>
    <t xml:space="preserve">90,37  </t>
  </si>
  <si>
    <t>2,05</t>
  </si>
  <si>
    <t>92,29</t>
  </si>
  <si>
    <t xml:space="preserve">92,29  </t>
  </si>
  <si>
    <t>1,92</t>
  </si>
  <si>
    <t>94,21</t>
  </si>
  <si>
    <t xml:space="preserve">94,21  </t>
  </si>
  <si>
    <t>96,04</t>
  </si>
  <si>
    <t xml:space="preserve">96,04  </t>
  </si>
  <si>
    <t>1,83</t>
  </si>
  <si>
    <t>98,38</t>
  </si>
  <si>
    <t xml:space="preserve">98,38  </t>
  </si>
  <si>
    <t>2,34</t>
  </si>
  <si>
    <t>100,24</t>
  </si>
  <si>
    <t xml:space="preserve">100,24  </t>
  </si>
  <si>
    <t>1,86</t>
  </si>
  <si>
    <t>102,64</t>
  </si>
  <si>
    <t xml:space="preserve">102,64  </t>
  </si>
  <si>
    <t>2,4</t>
  </si>
  <si>
    <t>105,54</t>
  </si>
  <si>
    <t xml:space="preserve">105,54  </t>
  </si>
  <si>
    <t>2,9</t>
  </si>
  <si>
    <t>108,71</t>
  </si>
  <si>
    <t xml:space="preserve">108,71  </t>
  </si>
  <si>
    <t>3,17</t>
  </si>
  <si>
    <t>111,68</t>
  </si>
  <si>
    <t xml:space="preserve">111,68  </t>
  </si>
  <si>
    <t>2,97</t>
  </si>
  <si>
    <t>114,6</t>
  </si>
  <si>
    <t xml:space="preserve">114,60  </t>
  </si>
  <si>
    <t>2,92</t>
  </si>
  <si>
    <t>116,46</t>
  </si>
  <si>
    <t xml:space="preserve">116,46  </t>
  </si>
  <si>
    <t>120,49</t>
  </si>
  <si>
    <t xml:space="preserve">120,49  </t>
  </si>
  <si>
    <t>4,03</t>
  </si>
  <si>
    <t>123,69</t>
  </si>
  <si>
    <t xml:space="preserve">123,69  </t>
  </si>
  <si>
    <t>3,2</t>
  </si>
  <si>
    <t>126,92</t>
  </si>
  <si>
    <t xml:space="preserve">126,92  </t>
  </si>
  <si>
    <t>3,23</t>
  </si>
  <si>
    <t xml:space="preserve">130,00  </t>
  </si>
  <si>
    <t>3,08</t>
  </si>
  <si>
    <t>133,04</t>
  </si>
  <si>
    <t xml:space="preserve">133,04  </t>
  </si>
  <si>
    <t>3,04</t>
  </si>
  <si>
    <t>135,85</t>
  </si>
  <si>
    <t xml:space="preserve">135,85  </t>
  </si>
  <si>
    <t>2,81</t>
  </si>
  <si>
    <t>138,87</t>
  </si>
  <si>
    <t xml:space="preserve">138,87  </t>
  </si>
  <si>
    <t>3,02</t>
  </si>
  <si>
    <t>141,89</t>
  </si>
  <si>
    <t xml:space="preserve">141,89  </t>
  </si>
  <si>
    <t>143,83</t>
  </si>
  <si>
    <t xml:space="preserve">143,83  </t>
  </si>
  <si>
    <t>1,94</t>
  </si>
  <si>
    <t>146,97</t>
  </si>
  <si>
    <t xml:space="preserve">146,97  </t>
  </si>
  <si>
    <t>3,14</t>
  </si>
  <si>
    <t>151,61</t>
  </si>
  <si>
    <t xml:space="preserve">151,61  </t>
  </si>
  <si>
    <t>4,64</t>
  </si>
  <si>
    <t>155,05</t>
  </si>
  <si>
    <t xml:space="preserve">155,05  </t>
  </si>
  <si>
    <t>3,44</t>
  </si>
  <si>
    <t>158,49</t>
  </si>
  <si>
    <t xml:space="preserve">158,49  </t>
  </si>
  <si>
    <t>160,69</t>
  </si>
  <si>
    <t xml:space="preserve">160,69  </t>
  </si>
  <si>
    <t>2,2</t>
  </si>
  <si>
    <t>164,06</t>
  </si>
  <si>
    <t xml:space="preserve">164,06  </t>
  </si>
  <si>
    <t>3,37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</si>
</sst>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\ _F_t"/>
  </numFmts>
  <fonts count="44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4"/>
      <name val="Arial"/>
      <family val="2"/>
    </font>
    <font>
      <sz val="14"/>
      <color rgb="FFD7253E"/>
      <name val="Arial"/>
      <family val="2"/>
      <charset val="238"/>
    </font>
    <font>
      <sz val="14"/>
      <color rgb="FF3366FF"/>
      <name val="Arial"/>
      <family val="2"/>
      <charset val="238"/>
    </font>
    <font>
      <sz val="14"/>
      <color rgb="FF000000"/>
      <name val="Arial"/>
      <family val="2"/>
      <charset val="238"/>
    </font>
    <font>
      <b/>
      <sz val="14"/>
      <name val="Arial"/>
      <family val="2"/>
    </font>
    <font>
      <sz val="14"/>
      <color rgb="FF339966"/>
      <name val="Arial"/>
      <family val="2"/>
      <charset val="238"/>
    </font>
    <font>
      <sz val="14"/>
      <color rgb="FFFF00FF"/>
      <name val="Arial"/>
      <family val="2"/>
      <charset val="238"/>
    </font>
    <font>
      <b/>
      <sz val="14"/>
      <color rgb="FF3366FF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0000"/>
      <name val="Arial"/>
      <family val="2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000000"/>
      <name val="Arial"/>
      <family val="2"/>
      <charset val="238"/>
    </font>
    <font>
      <sz val="14"/>
      <color rgb="FF000000"/>
      <name val="Calibri"/>
      <family val="2"/>
    </font>
    <font>
      <sz val="10"/>
      <color rgb="FF000000"/>
      <name val="Arial"/>
      <family val="2"/>
      <charset val="238"/>
    </font>
    <font>
      <sz val="14"/>
      <color rgb="FF002060"/>
      <name val="Arial"/>
      <family val="2"/>
      <charset val="238"/>
    </font>
    <font>
      <sz val="11"/>
      <color rgb="FF000000"/>
      <name val="Calibri"/>
      <family val="2"/>
    </font>
    <font>
      <b/>
      <sz val="16"/>
      <color rgb="FF000000"/>
      <name val="Times New Roman"/>
      <family val="1"/>
      <charset val="238"/>
    </font>
    <font>
      <sz val="10"/>
      <color rgb="FF000000"/>
      <name val="Arial"/>
      <family val="2"/>
    </font>
    <font>
      <sz val="14"/>
      <color rgb="FF008080"/>
      <name val="Arial"/>
      <family val="2"/>
      <charset val="238"/>
    </font>
  </fonts>
  <fills count="17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60B5CC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FE984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A0D2E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E483"/>
        <bgColor rgb="FF000000"/>
      </patternFill>
    </fill>
    <fill>
      <patternFill patternType="solid">
        <fgColor rgb="FF94CC7D"/>
        <bgColor rgb="FF000000"/>
      </patternFill>
    </fill>
    <fill>
      <patternFill patternType="solid">
        <fgColor rgb="FF9BCE7E"/>
        <bgColor rgb="FF000000"/>
      </patternFill>
    </fill>
    <fill>
      <patternFill patternType="solid">
        <fgColor rgb="FFFDEA83"/>
        <bgColor rgb="FF000000"/>
      </patternFill>
    </fill>
    <fill>
      <patternFill patternType="solid">
        <fgColor rgb="FFFAE983"/>
        <bgColor rgb="FF000000"/>
      </patternFill>
    </fill>
    <fill>
      <patternFill patternType="solid">
        <fgColor rgb="FFFB9A75"/>
        <bgColor rgb="FF000000"/>
      </patternFill>
    </fill>
    <fill>
      <patternFill patternType="solid">
        <fgColor rgb="FFFFDD82"/>
        <bgColor rgb="FF000000"/>
      </patternFill>
    </fill>
    <fill>
      <patternFill patternType="solid">
        <fgColor rgb="FFFFE683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CB179"/>
        <bgColor rgb="FF000000"/>
      </patternFill>
    </fill>
    <fill>
      <patternFill patternType="solid">
        <fgColor rgb="FFFFE884"/>
        <bgColor rgb="FF000000"/>
      </patternFill>
    </fill>
    <fill>
      <patternFill patternType="solid">
        <fgColor rgb="FFF5E883"/>
        <bgColor rgb="FF000000"/>
      </patternFill>
    </fill>
    <fill>
      <patternFill patternType="solid">
        <fgColor rgb="FFFDC67D"/>
        <bgColor rgb="FF000000"/>
      </patternFill>
    </fill>
    <fill>
      <patternFill patternType="solid">
        <fgColor rgb="FFFFEA84"/>
        <bgColor rgb="FF000000"/>
      </patternFill>
    </fill>
    <fill>
      <patternFill patternType="solid">
        <fgColor rgb="FFFECE7F"/>
        <bgColor rgb="FF000000"/>
      </patternFill>
    </fill>
    <fill>
      <patternFill patternType="solid">
        <fgColor rgb="FFEFE683"/>
        <bgColor rgb="FF000000"/>
      </patternFill>
    </fill>
    <fill>
      <patternFill patternType="solid">
        <fgColor rgb="FFF9E983"/>
        <bgColor rgb="FF000000"/>
      </patternFill>
    </fill>
    <fill>
      <patternFill patternType="solid">
        <fgColor rgb="FFFCAD79"/>
        <bgColor rgb="FF000000"/>
      </patternFill>
    </fill>
    <fill>
      <patternFill patternType="solid">
        <fgColor rgb="FFFB9273"/>
        <bgColor rgb="FF000000"/>
      </patternFill>
    </fill>
    <fill>
      <patternFill patternType="solid">
        <fgColor rgb="FFFBEA83"/>
        <bgColor rgb="FF000000"/>
      </patternFill>
    </fill>
    <fill>
      <patternFill patternType="solid">
        <fgColor rgb="FFF0E683"/>
        <bgColor rgb="FF000000"/>
      </patternFill>
    </fill>
    <fill>
      <patternFill patternType="solid">
        <fgColor rgb="FFFFDF82"/>
        <bgColor rgb="FF000000"/>
      </patternFill>
    </fill>
    <fill>
      <patternFill patternType="solid">
        <fgColor rgb="FFFDBF7C"/>
        <bgColor rgb="FF000000"/>
      </patternFill>
    </fill>
    <fill>
      <patternFill patternType="solid">
        <fgColor rgb="FFFFE383"/>
        <bgColor rgb="FF000000"/>
      </patternFill>
    </fill>
    <fill>
      <patternFill patternType="solid">
        <fgColor rgb="FFFFE583"/>
        <bgColor rgb="FF000000"/>
      </patternFill>
    </fill>
    <fill>
      <patternFill patternType="solid">
        <fgColor rgb="FFFFEF9C"/>
        <bgColor rgb="FF000000"/>
      </patternFill>
    </fill>
    <fill>
      <patternFill patternType="solid">
        <fgColor rgb="FF98CE86"/>
        <bgColor rgb="FF000000"/>
      </patternFill>
    </fill>
    <fill>
      <patternFill patternType="solid">
        <fgColor rgb="FFFECB7E"/>
        <bgColor rgb="FF000000"/>
      </patternFill>
    </fill>
    <fill>
      <patternFill patternType="solid">
        <fgColor rgb="FFFDCB7D"/>
        <bgColor rgb="FF000000"/>
      </patternFill>
    </fill>
    <fill>
      <patternFill patternType="solid">
        <fgColor rgb="FFB1D47F"/>
        <bgColor rgb="FF000000"/>
      </patternFill>
    </fill>
    <fill>
      <patternFill patternType="solid">
        <fgColor rgb="FFADD37F"/>
        <bgColor rgb="FF000000"/>
      </patternFill>
    </fill>
    <fill>
      <patternFill patternType="solid">
        <fgColor rgb="FF93CD85"/>
        <bgColor rgb="FF000000"/>
      </patternFill>
    </fill>
    <fill>
      <patternFill patternType="solid">
        <fgColor rgb="FFFF7128"/>
        <bgColor rgb="FF000000"/>
      </patternFill>
    </fill>
    <fill>
      <patternFill patternType="solid">
        <fgColor rgb="FF64BE7B"/>
        <bgColor rgb="FF000000"/>
      </patternFill>
    </fill>
    <fill>
      <patternFill patternType="solid">
        <fgColor rgb="FF97CD7E"/>
        <bgColor rgb="FF000000"/>
      </patternFill>
    </fill>
    <fill>
      <patternFill patternType="solid">
        <fgColor rgb="FFB8D67F"/>
        <bgColor rgb="FF000000"/>
      </patternFill>
    </fill>
    <fill>
      <patternFill patternType="solid">
        <fgColor rgb="FFA6D389"/>
        <bgColor rgb="FF000000"/>
      </patternFill>
    </fill>
    <fill>
      <patternFill patternType="solid">
        <fgColor rgb="FF7CC57C"/>
        <bgColor rgb="FF000000"/>
      </patternFill>
    </fill>
    <fill>
      <patternFill patternType="solid">
        <fgColor rgb="FF7DC67D"/>
        <bgColor rgb="FF000000"/>
      </patternFill>
    </fill>
    <fill>
      <patternFill patternType="solid">
        <fgColor rgb="FFA5D289"/>
        <bgColor rgb="FF000000"/>
      </patternFill>
    </fill>
    <fill>
      <patternFill patternType="solid">
        <fgColor rgb="FF7FC67C"/>
        <bgColor rgb="FF000000"/>
      </patternFill>
    </fill>
    <fill>
      <patternFill patternType="solid">
        <fgColor rgb="FF80C77D"/>
        <bgColor rgb="FF000000"/>
      </patternFill>
    </fill>
    <fill>
      <patternFill patternType="solid">
        <fgColor rgb="FFACD48A"/>
        <bgColor rgb="FF000000"/>
      </patternFill>
    </fill>
    <fill>
      <patternFill patternType="solid">
        <fgColor rgb="FF95CD7E"/>
        <bgColor rgb="FF000000"/>
      </patternFill>
    </fill>
    <fill>
      <patternFill patternType="solid">
        <fgColor rgb="FFC6DA80"/>
        <bgColor rgb="FF000000"/>
      </patternFill>
    </fill>
    <fill>
      <patternFill patternType="solid">
        <fgColor rgb="FF8ACA83"/>
        <bgColor rgb="FF000000"/>
      </patternFill>
    </fill>
    <fill>
      <patternFill patternType="solid">
        <fgColor rgb="FF7EC67C"/>
        <bgColor rgb="FF000000"/>
      </patternFill>
    </fill>
    <fill>
      <patternFill patternType="solid">
        <fgColor rgb="FF7FC77D"/>
        <bgColor rgb="FF000000"/>
      </patternFill>
    </fill>
    <fill>
      <patternFill patternType="solid">
        <fgColor rgb="FF7AC47C"/>
        <bgColor rgb="FF000000"/>
      </patternFill>
    </fill>
    <fill>
      <patternFill patternType="solid">
        <fgColor rgb="FF8ECA7D"/>
        <bgColor rgb="FF000000"/>
      </patternFill>
    </fill>
    <fill>
      <patternFill patternType="solid">
        <fgColor rgb="FFFFDE82"/>
        <bgColor rgb="FF000000"/>
      </patternFill>
    </fill>
    <fill>
      <patternFill patternType="solid">
        <fgColor rgb="FF9DD087"/>
        <bgColor rgb="FF000000"/>
      </patternFill>
    </fill>
    <fill>
      <patternFill patternType="solid">
        <fgColor rgb="FF81C67C"/>
        <bgColor rgb="FF000000"/>
      </patternFill>
    </fill>
    <fill>
      <patternFill patternType="solid">
        <fgColor rgb="FF82C77D"/>
        <bgColor rgb="FF000000"/>
      </patternFill>
    </fill>
    <fill>
      <patternFill patternType="solid">
        <fgColor rgb="FFFED881"/>
        <bgColor rgb="FF000000"/>
      </patternFill>
    </fill>
    <fill>
      <patternFill patternType="solid">
        <fgColor rgb="FFFEC77D"/>
        <bgColor rgb="FF000000"/>
      </patternFill>
    </fill>
    <fill>
      <patternFill patternType="solid">
        <fgColor rgb="FF8CCB83"/>
        <bgColor rgb="FF000000"/>
      </patternFill>
    </fill>
    <fill>
      <patternFill patternType="solid">
        <fgColor rgb="FF73C27B"/>
        <bgColor rgb="FF000000"/>
      </patternFill>
    </fill>
    <fill>
      <patternFill patternType="solid">
        <fgColor rgb="FF74C37C"/>
        <bgColor rgb="FF000000"/>
      </patternFill>
    </fill>
    <fill>
      <patternFill patternType="solid">
        <fgColor rgb="FFFECD7F"/>
        <bgColor rgb="FF000000"/>
      </patternFill>
    </fill>
    <fill>
      <patternFill patternType="solid">
        <fgColor rgb="FFA3D288"/>
        <bgColor rgb="FF000000"/>
      </patternFill>
    </fill>
    <fill>
      <patternFill patternType="solid">
        <fgColor rgb="FFB7D67F"/>
        <bgColor rgb="FF000000"/>
      </patternFill>
    </fill>
    <fill>
      <patternFill patternType="solid">
        <fgColor rgb="FFB8D780"/>
        <bgColor rgb="FF000000"/>
      </patternFill>
    </fill>
    <fill>
      <patternFill patternType="solid">
        <fgColor rgb="FFB6D67F"/>
        <bgColor rgb="FF000000"/>
      </patternFill>
    </fill>
    <fill>
      <patternFill patternType="solid">
        <fgColor rgb="FFAAD48A"/>
        <bgColor rgb="FF000000"/>
      </patternFill>
    </fill>
    <fill>
      <patternFill patternType="solid">
        <fgColor rgb="FFD8DF81"/>
        <bgColor rgb="FF000000"/>
      </patternFill>
    </fill>
    <fill>
      <patternFill patternType="solid">
        <fgColor rgb="FFEAE582"/>
        <bgColor rgb="FF000000"/>
      </patternFill>
    </fill>
    <fill>
      <patternFill patternType="solid">
        <fgColor rgb="FF87C982"/>
        <bgColor rgb="FF000000"/>
      </patternFill>
    </fill>
    <fill>
      <patternFill patternType="solid">
        <fgColor rgb="FFBBD780"/>
        <bgColor rgb="FF000000"/>
      </patternFill>
    </fill>
    <fill>
      <patternFill patternType="solid">
        <fgColor rgb="FFBCD881"/>
        <bgColor rgb="FF000000"/>
      </patternFill>
    </fill>
    <fill>
      <patternFill patternType="solid">
        <fgColor rgb="FFC7DA80"/>
        <bgColor rgb="FF000000"/>
      </patternFill>
    </fill>
    <fill>
      <patternFill patternType="solid">
        <fgColor rgb="FFF2E783"/>
        <bgColor rgb="FF000000"/>
      </patternFill>
    </fill>
    <fill>
      <patternFill patternType="solid">
        <fgColor rgb="FFC1D980"/>
        <bgColor rgb="FF000000"/>
      </patternFill>
    </fill>
    <fill>
      <patternFill patternType="solid">
        <fgColor rgb="FFA8D389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A7D389"/>
        <bgColor rgb="FF000000"/>
      </patternFill>
    </fill>
    <fill>
      <patternFill patternType="solid">
        <fgColor rgb="FFFDD780"/>
        <bgColor rgb="FF000000"/>
      </patternFill>
    </fill>
    <fill>
      <patternFill patternType="solid">
        <fgColor rgb="FFDFE282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BED880"/>
        <bgColor rgb="FF000000"/>
      </patternFill>
    </fill>
    <fill>
      <patternFill patternType="solid">
        <fgColor rgb="FFDDE182"/>
        <bgColor rgb="FF000000"/>
      </patternFill>
    </fill>
    <fill>
      <patternFill patternType="solid">
        <fgColor rgb="FF90CC84"/>
        <bgColor rgb="FF000000"/>
      </patternFill>
    </fill>
    <fill>
      <patternFill patternType="solid">
        <fgColor rgb="FFA8D27F"/>
        <bgColor rgb="FF000000"/>
      </patternFill>
    </fill>
    <fill>
      <patternFill patternType="solid">
        <fgColor rgb="FFC2D980"/>
        <bgColor rgb="FF000000"/>
      </patternFill>
    </fill>
    <fill>
      <patternFill patternType="solid">
        <fgColor rgb="FF79C47F"/>
        <bgColor rgb="FF000000"/>
      </patternFill>
    </fill>
    <fill>
      <patternFill patternType="solid">
        <fgColor rgb="FF75C47D"/>
        <bgColor rgb="FF000000"/>
      </patternFill>
    </fill>
    <fill>
      <patternFill patternType="solid">
        <fgColor rgb="FFCFDD81"/>
        <bgColor rgb="FF000000"/>
      </patternFill>
    </fill>
    <fill>
      <patternFill patternType="solid">
        <fgColor rgb="FFF9706D"/>
        <bgColor rgb="FF000000"/>
      </patternFill>
    </fill>
    <fill>
      <patternFill patternType="solid">
        <fgColor rgb="FFFCA677"/>
        <bgColor rgb="FF000000"/>
      </patternFill>
    </fill>
    <fill>
      <patternFill patternType="solid">
        <fgColor rgb="FFF96D6C"/>
        <bgColor rgb="FF000000"/>
      </patternFill>
    </fill>
    <fill>
      <patternFill patternType="solid">
        <fgColor rgb="FFC1DB8E"/>
        <bgColor rgb="FF000000"/>
      </patternFill>
    </fill>
    <fill>
      <patternFill patternType="solid">
        <fgColor rgb="FFFA9974"/>
        <bgColor rgb="FF000000"/>
      </patternFill>
    </fill>
    <fill>
      <patternFill patternType="solid">
        <fgColor rgb="FFFA8E73"/>
        <bgColor rgb="FF000000"/>
      </patternFill>
    </fill>
    <fill>
      <patternFill patternType="solid">
        <fgColor rgb="FFFED580"/>
        <bgColor rgb="FF000000"/>
      </patternFill>
    </fill>
    <fill>
      <patternFill patternType="solid">
        <fgColor rgb="FFFA8D72"/>
        <bgColor rgb="FF000000"/>
      </patternFill>
    </fill>
    <fill>
      <patternFill patternType="solid">
        <fgColor rgb="FFFED781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FDB47A"/>
        <bgColor rgb="FF000000"/>
      </patternFill>
    </fill>
    <fill>
      <patternFill patternType="solid">
        <fgColor rgb="FF9ACF86"/>
        <bgColor rgb="FF000000"/>
      </patternFill>
    </fill>
    <fill>
      <patternFill patternType="solid">
        <fgColor rgb="FFFDD47F"/>
        <bgColor rgb="FF000000"/>
      </patternFill>
    </fill>
    <fill>
      <patternFill patternType="solid">
        <fgColor rgb="FFFCAD78"/>
        <bgColor rgb="FF000000"/>
      </patternFill>
    </fill>
    <fill>
      <patternFill patternType="solid">
        <fgColor rgb="FFA1D188"/>
        <bgColor rgb="FF000000"/>
      </patternFill>
    </fill>
    <fill>
      <patternFill patternType="solid">
        <fgColor rgb="FFFEDE81"/>
        <bgColor rgb="FF000000"/>
      </patternFill>
    </fill>
    <fill>
      <patternFill patternType="solid">
        <fgColor rgb="FF94CD85"/>
        <bgColor rgb="FF000000"/>
      </patternFill>
    </fill>
    <fill>
      <patternFill patternType="solid">
        <fgColor rgb="FFFEE282"/>
        <bgColor rgb="FF000000"/>
      </patternFill>
    </fill>
    <fill>
      <patternFill patternType="solid">
        <fgColor rgb="FFF0E784"/>
        <bgColor rgb="FF000000"/>
      </patternFill>
    </fill>
    <fill>
      <patternFill patternType="solid">
        <fgColor rgb="FF9CCF87"/>
        <bgColor rgb="FF000000"/>
      </patternFill>
    </fill>
    <fill>
      <patternFill patternType="solid">
        <fgColor rgb="FFFEE382"/>
        <bgColor rgb="FF000000"/>
      </patternFill>
    </fill>
    <fill>
      <patternFill patternType="solid">
        <fgColor rgb="FFFCEA83"/>
        <bgColor rgb="FF000000"/>
      </patternFill>
    </fill>
    <fill>
      <patternFill patternType="solid">
        <fgColor rgb="FFFBA176"/>
        <bgColor rgb="FF000000"/>
      </patternFill>
    </fill>
    <fill>
      <patternFill patternType="solid">
        <fgColor rgb="FFFA8A72"/>
        <bgColor rgb="FF000000"/>
      </patternFill>
    </fill>
    <fill>
      <patternFill patternType="solid">
        <fgColor rgb="FF9ED087"/>
        <bgColor rgb="FF000000"/>
      </patternFill>
    </fill>
    <fill>
      <patternFill patternType="solid">
        <fgColor rgb="FFFF863B"/>
        <bgColor rgb="FF000000"/>
      </patternFill>
    </fill>
    <fill>
      <patternFill patternType="solid">
        <fgColor rgb="FFEDE683"/>
        <bgColor rgb="FF000000"/>
      </patternFill>
    </fill>
    <fill>
      <patternFill patternType="solid">
        <fgColor rgb="FF7EC680"/>
        <bgColor rgb="FF000000"/>
      </patternFill>
    </fill>
    <fill>
      <patternFill patternType="solid">
        <fgColor rgb="FFFF9B4E"/>
        <bgColor rgb="FF000000"/>
      </patternFill>
    </fill>
    <fill>
      <patternFill patternType="solid">
        <fgColor rgb="FFFFE082"/>
        <bgColor rgb="FF000000"/>
      </patternFill>
    </fill>
    <fill>
      <patternFill patternType="solid">
        <fgColor rgb="FFFFB062"/>
        <bgColor rgb="FF000000"/>
      </patternFill>
    </fill>
    <fill>
      <patternFill patternType="solid">
        <fgColor rgb="FFFEDF81"/>
        <bgColor rgb="FF000000"/>
      </patternFill>
    </fill>
    <fill>
      <patternFill patternType="solid">
        <fgColor rgb="FFFFE283"/>
        <bgColor rgb="FF000000"/>
      </patternFill>
    </fill>
    <fill>
      <patternFill patternType="solid">
        <fgColor rgb="FFFECA7E"/>
        <bgColor rgb="FF000000"/>
      </patternFill>
    </fill>
    <fill>
      <patternFill patternType="solid">
        <fgColor rgb="FFFFC575"/>
        <bgColor rgb="FF000000"/>
      </patternFill>
    </fill>
    <fill>
      <patternFill patternType="solid">
        <fgColor rgb="FF9BCF87"/>
        <bgColor rgb="FF000000"/>
      </patternFill>
    </fill>
    <fill>
      <patternFill patternType="solid">
        <fgColor rgb="FFFFDA88"/>
        <bgColor rgb="FF000000"/>
      </patternFill>
    </fill>
    <fill>
      <patternFill patternType="solid">
        <fgColor rgb="FFFDC57C"/>
        <bgColor rgb="FF000000"/>
      </patternFill>
    </fill>
    <fill>
      <patternFill patternType="solid">
        <fgColor rgb="FFFCA377"/>
        <bgColor rgb="FF000000"/>
      </patternFill>
    </fill>
    <fill>
      <patternFill patternType="solid">
        <fgColor rgb="FF81C781"/>
        <bgColor rgb="FF000000"/>
      </patternFill>
    </fill>
    <fill>
      <patternFill patternType="solid">
        <fgColor rgb="FFFEC97E"/>
        <bgColor rgb="FF000000"/>
      </patternFill>
    </fill>
    <fill>
      <patternFill patternType="solid">
        <fgColor rgb="FFFDC87D"/>
        <bgColor rgb="FF000000"/>
      </patternFill>
    </fill>
    <fill>
      <patternFill patternType="solid">
        <fgColor rgb="FF98CD7E"/>
        <bgColor rgb="FF000000"/>
      </patternFill>
    </fill>
    <fill>
      <patternFill patternType="solid">
        <fgColor rgb="FF7CC680"/>
        <bgColor rgb="FF000000"/>
      </patternFill>
    </fill>
    <fill>
      <patternFill patternType="solid">
        <fgColor rgb="FFA0CF7E"/>
        <bgColor rgb="FF000000"/>
      </patternFill>
    </fill>
    <fill>
      <patternFill patternType="solid">
        <fgColor rgb="FFA0D07F"/>
        <bgColor rgb="FF000000"/>
      </patternFill>
    </fill>
    <fill>
      <patternFill patternType="solid">
        <fgColor rgb="FFDFF0F5"/>
        <bgColor rgb="FF000000"/>
      </patternFill>
    </fill>
    <fill>
      <patternFill patternType="solid">
        <fgColor rgb="FFD7253E"/>
        <bgColor rgb="FF000000"/>
      </patternFill>
    </fill>
    <fill>
      <patternFill patternType="solid">
        <fgColor rgb="FFFF9900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xfId="0"/>
    <xf numFmtId="0" fontId="13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wrapText="1"/>
    </xf>
    <xf numFmtId="1" fontId="17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3" borderId="0" xfId="0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right"/>
    </xf>
    <xf numFmtId="165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/>
    <xf numFmtId="0" fontId="3" fillId="0" borderId="7" xfId="0" applyFont="1" applyBorder="1" applyAlignment="1"/>
    <xf numFmtId="0" fontId="3" fillId="0" borderId="11" xfId="0" applyFont="1" applyBorder="1" applyAlignment="1"/>
    <xf numFmtId="0" fontId="1" fillId="2" borderId="1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10" borderId="17" xfId="0" applyNumberFormat="1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10" borderId="17" xfId="0" applyFont="1" applyFill="1" applyBorder="1"/>
    <xf numFmtId="0" fontId="18" fillId="0" borderId="1" xfId="0" applyFont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3" fillId="15" borderId="17" xfId="0" applyFont="1" applyFill="1" applyBorder="1"/>
    <xf numFmtId="0" fontId="1" fillId="15" borderId="4" xfId="0" applyNumberFormat="1" applyFont="1" applyFill="1" applyBorder="1" applyAlignment="1">
      <alignment horizontal="center" vertical="center" wrapText="1"/>
    </xf>
    <xf numFmtId="0" fontId="21" fillId="15" borderId="6" xfId="0" applyNumberFormat="1" applyFont="1" applyFill="1" applyBorder="1" applyAlignment="1">
      <alignment horizontal="center" vertical="center"/>
    </xf>
    <xf numFmtId="164" fontId="14" fillId="0" borderId="0" xfId="0" applyNumberFormat="1" applyFont="1" applyFill="1"/>
    <xf numFmtId="0" fontId="22" fillId="21" borderId="21" xfId="0" applyFont="1" applyFill="1" applyBorder="1" applyAlignment="1">
      <alignment wrapText="1"/>
    </xf>
    <xf numFmtId="0" fontId="8" fillId="25" borderId="21" xfId="0" applyFont="1" applyFill="1" applyBorder="1" applyAlignment="1">
      <alignment wrapText="1"/>
    </xf>
    <xf numFmtId="0" fontId="22" fillId="23" borderId="21" xfId="0" applyFont="1" applyFill="1" applyBorder="1" applyAlignment="1">
      <alignment wrapText="1"/>
    </xf>
    <xf numFmtId="0" fontId="8" fillId="0" borderId="21" xfId="0" applyFont="1" applyFill="1" applyBorder="1" applyAlignment="1">
      <alignment wrapText="1"/>
    </xf>
    <xf numFmtId="0" fontId="8" fillId="23" borderId="21" xfId="0" applyFont="1" applyFill="1" applyBorder="1" applyAlignment="1">
      <alignment wrapText="1"/>
    </xf>
    <xf numFmtId="0" fontId="8" fillId="28" borderId="21" xfId="0" applyFont="1" applyFill="1" applyBorder="1" applyAlignment="1">
      <alignment wrapText="1"/>
    </xf>
    <xf numFmtId="0" fontId="8" fillId="16" borderId="23" xfId="0" applyFont="1" applyFill="1" applyBorder="1" applyAlignment="1">
      <alignment wrapText="1"/>
    </xf>
    <xf numFmtId="0" fontId="8" fillId="17" borderId="23" xfId="0" applyFont="1" applyFill="1" applyBorder="1" applyAlignment="1">
      <alignment wrapText="1"/>
    </xf>
    <xf numFmtId="0" fontId="8" fillId="18" borderId="23" xfId="0" applyFont="1" applyFill="1" applyBorder="1" applyAlignment="1">
      <alignment wrapText="1"/>
    </xf>
    <xf numFmtId="0" fontId="24" fillId="32" borderId="6" xfId="0" applyFont="1" applyFill="1" applyBorder="1" applyAlignment="1">
      <alignment wrapText="1"/>
    </xf>
    <xf numFmtId="0" fontId="8" fillId="19" borderId="23" xfId="0" applyFont="1" applyFill="1" applyBorder="1" applyAlignment="1">
      <alignment wrapText="1"/>
    </xf>
    <xf numFmtId="0" fontId="22" fillId="21" borderId="23" xfId="0" applyFont="1" applyFill="1" applyBorder="1" applyAlignment="1">
      <alignment wrapText="1"/>
    </xf>
    <xf numFmtId="0" fontId="22" fillId="22" borderId="23" xfId="0" applyFont="1" applyFill="1" applyBorder="1" applyAlignment="1">
      <alignment wrapText="1"/>
    </xf>
    <xf numFmtId="0" fontId="25" fillId="18" borderId="23" xfId="0" applyFont="1" applyFill="1" applyBorder="1" applyAlignment="1">
      <alignment wrapText="1"/>
    </xf>
    <xf numFmtId="0" fontId="26" fillId="23" borderId="23" xfId="0" applyFont="1" applyFill="1" applyBorder="1" applyAlignment="1">
      <alignment wrapText="1"/>
    </xf>
    <xf numFmtId="0" fontId="8" fillId="24" borderId="23" xfId="0" applyFont="1" applyFill="1" applyBorder="1" applyAlignment="1">
      <alignment wrapText="1"/>
    </xf>
    <xf numFmtId="0" fontId="27" fillId="0" borderId="23" xfId="0" applyFont="1" applyFill="1" applyBorder="1" applyAlignment="1">
      <alignment wrapText="1"/>
    </xf>
    <xf numFmtId="0" fontId="8" fillId="25" borderId="23" xfId="0" applyFont="1" applyFill="1" applyBorder="1" applyAlignment="1">
      <alignment wrapText="1"/>
    </xf>
    <xf numFmtId="0" fontId="22" fillId="25" borderId="23" xfId="0" applyFont="1" applyFill="1" applyBorder="1" applyAlignment="1">
      <alignment wrapText="1"/>
    </xf>
    <xf numFmtId="0" fontId="22" fillId="23" borderId="23" xfId="0" applyFont="1" applyFill="1" applyBorder="1" applyAlignment="1">
      <alignment wrapText="1"/>
    </xf>
    <xf numFmtId="0" fontId="8" fillId="26" borderId="23" xfId="0" applyFont="1" applyFill="1" applyBorder="1" applyAlignment="1">
      <alignment wrapText="1"/>
    </xf>
    <xf numFmtId="0" fontId="8" fillId="27" borderId="23" xfId="0" applyFont="1" applyFill="1" applyBorder="1" applyAlignment="1">
      <alignment wrapText="1"/>
    </xf>
    <xf numFmtId="0" fontId="8" fillId="0" borderId="23" xfId="0" applyFont="1" applyFill="1" applyBorder="1" applyAlignment="1">
      <alignment wrapText="1"/>
    </xf>
    <xf numFmtId="0" fontId="8" fillId="23" borderId="23" xfId="0" applyFont="1" applyFill="1" applyBorder="1" applyAlignment="1">
      <alignment wrapText="1"/>
    </xf>
    <xf numFmtId="0" fontId="8" fillId="28" borderId="23" xfId="0" applyFont="1" applyFill="1" applyBorder="1" applyAlignment="1">
      <alignment wrapText="1"/>
    </xf>
    <xf numFmtId="0" fontId="8" fillId="29" borderId="23" xfId="0" applyFont="1" applyFill="1" applyBorder="1" applyAlignment="1">
      <alignment wrapText="1"/>
    </xf>
    <xf numFmtId="0" fontId="27" fillId="30" borderId="23" xfId="0" applyFont="1" applyFill="1" applyBorder="1" applyAlignment="1">
      <alignment wrapText="1"/>
    </xf>
    <xf numFmtId="0" fontId="8" fillId="31" borderId="23" xfId="0" applyFont="1" applyFill="1" applyBorder="1" applyAlignment="1">
      <alignment wrapText="1"/>
    </xf>
    <xf numFmtId="0" fontId="22" fillId="19" borderId="18" xfId="0" applyFont="1" applyFill="1" applyBorder="1" applyAlignment="1">
      <alignment wrapText="1"/>
    </xf>
    <xf numFmtId="0" fontId="8" fillId="35" borderId="22" xfId="0" applyFont="1" applyFill="1" applyBorder="1" applyAlignment="1">
      <alignment wrapText="1"/>
    </xf>
    <xf numFmtId="0" fontId="8" fillId="21" borderId="23" xfId="0" applyFont="1" applyFill="1" applyBorder="1" applyAlignment="1">
      <alignment wrapText="1"/>
    </xf>
    <xf numFmtId="0" fontId="8" fillId="36" borderId="23" xfId="0" applyFont="1" applyFill="1" applyBorder="1" applyAlignment="1">
      <alignment wrapText="1"/>
    </xf>
    <xf numFmtId="0" fontId="1" fillId="16" borderId="21" xfId="0" applyFont="1" applyFill="1" applyBorder="1" applyAlignment="1">
      <alignment wrapText="1"/>
    </xf>
    <xf numFmtId="0" fontId="1" fillId="17" borderId="21" xfId="0" applyFont="1" applyFill="1" applyBorder="1" applyAlignment="1">
      <alignment wrapText="1"/>
    </xf>
    <xf numFmtId="0" fontId="1" fillId="21" borderId="21" xfId="0" applyFont="1" applyFill="1" applyBorder="1" applyAlignment="1">
      <alignment wrapText="1"/>
    </xf>
    <xf numFmtId="0" fontId="1" fillId="24" borderId="21" xfId="0" applyFont="1" applyFill="1" applyBorder="1" applyAlignment="1">
      <alignment wrapText="1"/>
    </xf>
    <xf numFmtId="0" fontId="30" fillId="21" borderId="21" xfId="0" applyFont="1" applyFill="1" applyBorder="1" applyAlignment="1">
      <alignment wrapText="1"/>
    </xf>
    <xf numFmtId="0" fontId="1" fillId="23" borderId="21" xfId="0" applyFont="1" applyFill="1" applyBorder="1" applyAlignment="1">
      <alignment wrapText="1"/>
    </xf>
    <xf numFmtId="0" fontId="12" fillId="24" borderId="23" xfId="0" applyFont="1" applyFill="1" applyBorder="1" applyAlignment="1">
      <alignment wrapText="1"/>
    </xf>
    <xf numFmtId="0" fontId="29" fillId="22" borderId="21" xfId="0" applyFont="1" applyFill="1" applyBorder="1" applyAlignment="1">
      <alignment wrapText="1"/>
    </xf>
    <xf numFmtId="0" fontId="12" fillId="24" borderId="21" xfId="0" applyFont="1" applyFill="1" applyBorder="1" applyAlignment="1">
      <alignment wrapText="1"/>
    </xf>
    <xf numFmtId="0" fontId="21" fillId="24" borderId="21" xfId="0" applyFont="1" applyFill="1" applyBorder="1" applyAlignment="1">
      <alignment wrapText="1"/>
    </xf>
    <xf numFmtId="0" fontId="22" fillId="22" borderId="21" xfId="0" applyFont="1" applyFill="1" applyBorder="1" applyAlignment="1">
      <alignment wrapText="1"/>
    </xf>
    <xf numFmtId="0" fontId="31" fillId="23" borderId="21" xfId="0" applyFont="1" applyFill="1" applyBorder="1" applyAlignment="1">
      <alignment wrapText="1"/>
    </xf>
    <xf numFmtId="0" fontId="32" fillId="0" borderId="21" xfId="0" applyFont="1" applyFill="1" applyBorder="1" applyAlignment="1">
      <alignment wrapText="1"/>
    </xf>
    <xf numFmtId="0" fontId="22" fillId="25" borderId="21" xfId="0" applyFont="1" applyFill="1" applyBorder="1" applyAlignment="1">
      <alignment wrapText="1"/>
    </xf>
    <xf numFmtId="0" fontId="1" fillId="28" borderId="21" xfId="0" applyFont="1" applyFill="1" applyBorder="1" applyAlignment="1">
      <alignment wrapText="1"/>
    </xf>
    <xf numFmtId="0" fontId="1" fillId="29" borderId="21" xfId="0" applyFont="1" applyFill="1" applyBorder="1" applyAlignment="1">
      <alignment wrapText="1"/>
    </xf>
    <xf numFmtId="0" fontId="34" fillId="0" borderId="0" xfId="0" applyFont="1" applyFill="1" applyBorder="1" applyAlignment="1">
      <alignment wrapText="1"/>
    </xf>
    <xf numFmtId="0" fontId="37" fillId="23" borderId="0" xfId="0" applyFont="1" applyFill="1" applyBorder="1" applyAlignment="1">
      <alignment wrapText="1"/>
    </xf>
    <xf numFmtId="0" fontId="28" fillId="45" borderId="6" xfId="0" applyFont="1" applyFill="1" applyBorder="1" applyAlignment="1">
      <alignment wrapText="1"/>
    </xf>
    <xf numFmtId="0" fontId="33" fillId="38" borderId="6" xfId="0" applyFont="1" applyFill="1" applyBorder="1" applyAlignment="1">
      <alignment wrapText="1"/>
    </xf>
    <xf numFmtId="0" fontId="37" fillId="0" borderId="0" xfId="0" applyFont="1" applyFill="1" applyBorder="1" applyAlignment="1">
      <alignment wrapText="1"/>
    </xf>
    <xf numFmtId="0" fontId="1" fillId="0" borderId="24" xfId="0" applyFont="1" applyFill="1" applyBorder="1" applyAlignment="1">
      <alignment wrapText="1"/>
    </xf>
    <xf numFmtId="0" fontId="29" fillId="21" borderId="21" xfId="0" applyFont="1" applyFill="1" applyBorder="1" applyAlignment="1">
      <alignment wrapText="1"/>
    </xf>
    <xf numFmtId="0" fontId="28" fillId="20" borderId="6" xfId="0" applyFont="1" applyFill="1" applyBorder="1" applyAlignment="1">
      <alignment wrapText="1"/>
    </xf>
    <xf numFmtId="0" fontId="33" fillId="20" borderId="6" xfId="0" applyFont="1" applyFill="1" applyBorder="1" applyAlignment="1">
      <alignment wrapText="1"/>
    </xf>
    <xf numFmtId="0" fontId="1" fillId="16" borderId="23" xfId="0" applyFont="1" applyFill="1" applyBorder="1" applyAlignment="1">
      <alignment wrapText="1"/>
    </xf>
    <xf numFmtId="0" fontId="1" fillId="17" borderId="23" xfId="0" applyFont="1" applyFill="1" applyBorder="1" applyAlignment="1">
      <alignment wrapText="1"/>
    </xf>
    <xf numFmtId="0" fontId="1" fillId="21" borderId="23" xfId="0" applyFont="1" applyFill="1" applyBorder="1" applyAlignment="1">
      <alignment wrapText="1"/>
    </xf>
    <xf numFmtId="0" fontId="1" fillId="24" borderId="23" xfId="0" applyFont="1" applyFill="1" applyBorder="1" applyAlignment="1">
      <alignment wrapText="1"/>
    </xf>
    <xf numFmtId="0" fontId="1" fillId="24" borderId="1" xfId="0" applyFont="1" applyFill="1" applyBorder="1" applyAlignment="1">
      <alignment wrapText="1"/>
    </xf>
    <xf numFmtId="0" fontId="21" fillId="24" borderId="23" xfId="0" applyFont="1" applyFill="1" applyBorder="1" applyAlignment="1">
      <alignment wrapText="1"/>
    </xf>
    <xf numFmtId="0" fontId="8" fillId="21" borderId="22" xfId="0" applyFont="1" applyFill="1" applyBorder="1" applyAlignment="1">
      <alignment wrapText="1"/>
    </xf>
    <xf numFmtId="0" fontId="22" fillId="21" borderId="27" xfId="0" applyFont="1" applyFill="1" applyBorder="1" applyAlignment="1">
      <alignment wrapText="1"/>
    </xf>
    <xf numFmtId="0" fontId="29" fillId="22" borderId="23" xfId="0" applyFont="1" applyFill="1" applyBorder="1" applyAlignment="1">
      <alignment wrapText="1"/>
    </xf>
    <xf numFmtId="0" fontId="22" fillId="22" borderId="27" xfId="0" applyFont="1" applyFill="1" applyBorder="1" applyAlignment="1">
      <alignment wrapText="1"/>
    </xf>
    <xf numFmtId="0" fontId="8" fillId="37" borderId="23" xfId="0" applyFont="1" applyFill="1" applyBorder="1" applyAlignment="1">
      <alignment wrapText="1"/>
    </xf>
    <xf numFmtId="0" fontId="29" fillId="21" borderId="23" xfId="0" applyFont="1" applyFill="1" applyBorder="1" applyAlignment="1">
      <alignment wrapText="1"/>
    </xf>
    <xf numFmtId="0" fontId="30" fillId="21" borderId="23" xfId="0" applyFont="1" applyFill="1" applyBorder="1" applyAlignment="1">
      <alignment wrapText="1"/>
    </xf>
    <xf numFmtId="0" fontId="31" fillId="23" borderId="23" xfId="0" applyFont="1" applyFill="1" applyBorder="1" applyAlignment="1">
      <alignment wrapText="1"/>
    </xf>
    <xf numFmtId="0" fontId="25" fillId="0" borderId="23" xfId="0" applyFont="1" applyFill="1" applyBorder="1" applyAlignment="1">
      <alignment wrapText="1"/>
    </xf>
    <xf numFmtId="0" fontId="28" fillId="34" borderId="6" xfId="0" applyFont="1" applyFill="1" applyBorder="1" applyAlignment="1">
      <alignment wrapText="1"/>
    </xf>
    <xf numFmtId="0" fontId="32" fillId="0" borderId="23" xfId="0" applyFont="1" applyFill="1" applyBorder="1" applyAlignment="1">
      <alignment wrapText="1"/>
    </xf>
    <xf numFmtId="0" fontId="1" fillId="23" borderId="23" xfId="0" applyFont="1" applyFill="1" applyBorder="1" applyAlignment="1">
      <alignment wrapText="1"/>
    </xf>
    <xf numFmtId="0" fontId="1" fillId="28" borderId="23" xfId="0" applyFont="1" applyFill="1" applyBorder="1" applyAlignment="1">
      <alignment wrapText="1"/>
    </xf>
    <xf numFmtId="0" fontId="1" fillId="29" borderId="23" xfId="0" applyFont="1" applyFill="1" applyBorder="1" applyAlignment="1">
      <alignment wrapText="1"/>
    </xf>
    <xf numFmtId="0" fontId="8" fillId="22" borderId="25" xfId="0" applyFont="1" applyFill="1" applyBorder="1" applyAlignment="1">
      <alignment wrapText="1"/>
    </xf>
    <xf numFmtId="0" fontId="37" fillId="0" borderId="25" xfId="0" applyFont="1" applyFill="1" applyBorder="1" applyAlignment="1">
      <alignment wrapText="1"/>
    </xf>
    <xf numFmtId="0" fontId="28" fillId="32" borderId="6" xfId="0" applyFont="1" applyFill="1" applyBorder="1" applyAlignment="1">
      <alignment wrapText="1"/>
    </xf>
    <xf numFmtId="0" fontId="1" fillId="46" borderId="23" xfId="0" applyFont="1" applyFill="1" applyBorder="1" applyAlignment="1">
      <alignment wrapText="1"/>
    </xf>
    <xf numFmtId="0" fontId="8" fillId="22" borderId="1" xfId="0" applyFont="1" applyFill="1" applyBorder="1" applyAlignment="1">
      <alignment wrapText="1"/>
    </xf>
    <xf numFmtId="0" fontId="12" fillId="24" borderId="25" xfId="0" applyFont="1" applyFill="1" applyBorder="1" applyAlignment="1">
      <alignment wrapText="1"/>
    </xf>
    <xf numFmtId="0" fontId="24" fillId="20" borderId="6" xfId="0" applyFont="1" applyFill="1" applyBorder="1" applyAlignment="1">
      <alignment wrapText="1"/>
    </xf>
    <xf numFmtId="0" fontId="8" fillId="23" borderId="0" xfId="0" applyFont="1" applyFill="1" applyBorder="1" applyAlignment="1">
      <alignment wrapText="1"/>
    </xf>
    <xf numFmtId="0" fontId="28" fillId="42" borderId="6" xfId="0" applyFont="1" applyFill="1" applyBorder="1" applyAlignment="1">
      <alignment wrapText="1"/>
    </xf>
    <xf numFmtId="0" fontId="33" fillId="33" borderId="6" xfId="0" applyFont="1" applyFill="1" applyBorder="1" applyAlignment="1">
      <alignment wrapText="1"/>
    </xf>
    <xf numFmtId="0" fontId="33" fillId="32" borderId="6" xfId="0" applyFont="1" applyFill="1" applyBorder="1" applyAlignment="1">
      <alignment wrapText="1"/>
    </xf>
    <xf numFmtId="0" fontId="33" fillId="53" borderId="6" xfId="0" applyFont="1" applyFill="1" applyBorder="1" applyAlignment="1">
      <alignment wrapText="1"/>
    </xf>
    <xf numFmtId="0" fontId="24" fillId="34" borderId="6" xfId="0" applyFont="1" applyFill="1" applyBorder="1" applyAlignment="1">
      <alignment wrapText="1"/>
    </xf>
    <xf numFmtId="0" fontId="33" fillId="34" borderId="6" xfId="0" applyFont="1" applyFill="1" applyBorder="1" applyAlignment="1">
      <alignment wrapText="1"/>
    </xf>
    <xf numFmtId="0" fontId="28" fillId="54" borderId="6" xfId="0" applyFont="1" applyFill="1" applyBorder="1" applyAlignment="1">
      <alignment wrapText="1"/>
    </xf>
    <xf numFmtId="0" fontId="28" fillId="44" borderId="6" xfId="0" applyFont="1" applyFill="1" applyBorder="1" applyAlignment="1">
      <alignment wrapText="1"/>
    </xf>
    <xf numFmtId="0" fontId="33" fillId="39" borderId="6" xfId="0" applyFont="1" applyFill="1" applyBorder="1" applyAlignment="1">
      <alignment wrapText="1"/>
    </xf>
    <xf numFmtId="0" fontId="24" fillId="57" borderId="6" xfId="0" applyFont="1" applyFill="1" applyBorder="1" applyAlignment="1">
      <alignment wrapText="1"/>
    </xf>
    <xf numFmtId="0" fontId="24" fillId="41" borderId="6" xfId="0" applyFont="1" applyFill="1" applyBorder="1" applyAlignment="1">
      <alignment wrapText="1"/>
    </xf>
    <xf numFmtId="0" fontId="33" fillId="61" borderId="6" xfId="0" applyFont="1" applyFill="1" applyBorder="1" applyAlignment="1">
      <alignment wrapText="1"/>
    </xf>
    <xf numFmtId="0" fontId="33" fillId="59" borderId="6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28" fillId="62" borderId="6" xfId="0" applyFont="1" applyFill="1" applyBorder="1" applyAlignment="1">
      <alignment wrapText="1"/>
    </xf>
    <xf numFmtId="0" fontId="8" fillId="21" borderId="21" xfId="0" applyFont="1" applyFill="1" applyBorder="1" applyAlignment="1">
      <alignment wrapText="1"/>
    </xf>
    <xf numFmtId="0" fontId="39" fillId="0" borderId="21" xfId="0" applyFont="1" applyFill="1" applyBorder="1" applyAlignment="1">
      <alignment wrapText="1"/>
    </xf>
    <xf numFmtId="0" fontId="28" fillId="52" borderId="6" xfId="0" applyFont="1" applyFill="1" applyBorder="1" applyAlignment="1">
      <alignment wrapText="1"/>
    </xf>
    <xf numFmtId="0" fontId="24" fillId="48" borderId="6" xfId="0" applyFont="1" applyFill="1" applyBorder="1" applyAlignment="1">
      <alignment wrapText="1"/>
    </xf>
    <xf numFmtId="0" fontId="33" fillId="63" borderId="6" xfId="0" applyFont="1" applyFill="1" applyBorder="1" applyAlignment="1">
      <alignment wrapText="1"/>
    </xf>
    <xf numFmtId="0" fontId="28" fillId="64" borderId="6" xfId="0" applyFont="1" applyFill="1" applyBorder="1" applyAlignment="1">
      <alignment wrapText="1"/>
    </xf>
    <xf numFmtId="0" fontId="33" fillId="65" borderId="6" xfId="0" applyFont="1" applyFill="1" applyBorder="1" applyAlignment="1">
      <alignment wrapText="1"/>
    </xf>
    <xf numFmtId="0" fontId="33" fillId="66" borderId="6" xfId="0" applyFont="1" applyFill="1" applyBorder="1" applyAlignment="1">
      <alignment wrapText="1"/>
    </xf>
    <xf numFmtId="0" fontId="28" fillId="60" borderId="6" xfId="0" applyFont="1" applyFill="1" applyBorder="1" applyAlignment="1">
      <alignment wrapText="1"/>
    </xf>
    <xf numFmtId="0" fontId="37" fillId="0" borderId="23" xfId="0" applyFont="1" applyFill="1" applyBorder="1" applyAlignment="1">
      <alignment wrapText="1"/>
    </xf>
    <xf numFmtId="0" fontId="28" fillId="67" borderId="6" xfId="0" applyFont="1" applyFill="1" applyBorder="1" applyAlignment="1">
      <alignment wrapText="1"/>
    </xf>
    <xf numFmtId="0" fontId="24" fillId="68" borderId="6" xfId="0" applyFont="1" applyFill="1" applyBorder="1" applyAlignment="1">
      <alignment wrapText="1"/>
    </xf>
    <xf numFmtId="0" fontId="28" fillId="69" borderId="6" xfId="0" applyFont="1" applyFill="1" applyBorder="1" applyAlignment="1">
      <alignment wrapText="1"/>
    </xf>
    <xf numFmtId="0" fontId="33" fillId="70" borderId="6" xfId="0" applyFont="1" applyFill="1" applyBorder="1" applyAlignment="1">
      <alignment wrapText="1"/>
    </xf>
    <xf numFmtId="0" fontId="28" fillId="71" borderId="6" xfId="0" applyFont="1" applyFill="1" applyBorder="1" applyAlignment="1">
      <alignment wrapText="1"/>
    </xf>
    <xf numFmtId="0" fontId="40" fillId="0" borderId="0" xfId="0" applyFont="1" applyFill="1" applyBorder="1" applyAlignment="1">
      <alignment wrapText="1"/>
    </xf>
    <xf numFmtId="0" fontId="35" fillId="0" borderId="6" xfId="0" applyFont="1" applyFill="1" applyBorder="1" applyAlignment="1">
      <alignment wrapText="1"/>
    </xf>
    <xf numFmtId="0" fontId="36" fillId="29" borderId="21" xfId="0" applyFont="1" applyFill="1" applyBorder="1" applyAlignment="1">
      <alignment wrapText="1"/>
    </xf>
    <xf numFmtId="0" fontId="36" fillId="37" borderId="21" xfId="0" applyFont="1" applyFill="1" applyBorder="1" applyAlignment="1">
      <alignment wrapText="1"/>
    </xf>
    <xf numFmtId="0" fontId="35" fillId="22" borderId="21" xfId="0" applyFont="1" applyFill="1" applyBorder="1" applyAlignment="1">
      <alignment wrapText="1"/>
    </xf>
    <xf numFmtId="0" fontId="1" fillId="0" borderId="25" xfId="0" applyFont="1" applyFill="1" applyBorder="1" applyAlignment="1">
      <alignment wrapText="1"/>
    </xf>
    <xf numFmtId="0" fontId="39" fillId="0" borderId="23" xfId="0" applyFont="1" applyFill="1" applyBorder="1" applyAlignment="1">
      <alignment wrapText="1"/>
    </xf>
    <xf numFmtId="0" fontId="28" fillId="72" borderId="6" xfId="0" applyFont="1" applyFill="1" applyBorder="1" applyAlignment="1">
      <alignment wrapText="1"/>
    </xf>
    <xf numFmtId="0" fontId="24" fillId="73" borderId="6" xfId="0" applyFont="1" applyFill="1" applyBorder="1" applyAlignment="1">
      <alignment wrapText="1"/>
    </xf>
    <xf numFmtId="0" fontId="28" fillId="74" borderId="6" xfId="0" applyFont="1" applyFill="1" applyBorder="1" applyAlignment="1">
      <alignment wrapText="1"/>
    </xf>
    <xf numFmtId="0" fontId="33" fillId="75" borderId="6" xfId="0" applyFont="1" applyFill="1" applyBorder="1" applyAlignment="1">
      <alignment wrapText="1"/>
    </xf>
    <xf numFmtId="0" fontId="33" fillId="76" borderId="6" xfId="0" applyFont="1" applyFill="1" applyBorder="1" applyAlignment="1">
      <alignment wrapText="1"/>
    </xf>
    <xf numFmtId="0" fontId="35" fillId="0" borderId="25" xfId="0" applyFont="1" applyFill="1" applyBorder="1" applyAlignment="1">
      <alignment wrapText="1"/>
    </xf>
    <xf numFmtId="0" fontId="36" fillId="29" borderId="23" xfId="0" applyFont="1" applyFill="1" applyBorder="1" applyAlignment="1">
      <alignment wrapText="1"/>
    </xf>
    <xf numFmtId="0" fontId="36" fillId="37" borderId="23" xfId="0" applyFont="1" applyFill="1" applyBorder="1" applyAlignment="1">
      <alignment wrapText="1"/>
    </xf>
    <xf numFmtId="0" fontId="35" fillId="22" borderId="23" xfId="0" applyFont="1" applyFill="1" applyBorder="1" applyAlignment="1">
      <alignment wrapText="1"/>
    </xf>
    <xf numFmtId="0" fontId="27" fillId="0" borderId="0" xfId="0" applyFont="1" applyFill="1" applyBorder="1" applyAlignment="1">
      <alignment wrapText="1"/>
    </xf>
    <xf numFmtId="0" fontId="24" fillId="33" borderId="6" xfId="0" applyFont="1" applyFill="1" applyBorder="1" applyAlignment="1">
      <alignment wrapText="1"/>
    </xf>
    <xf numFmtId="0" fontId="28" fillId="77" borderId="6" xfId="0" applyFont="1" applyFill="1" applyBorder="1" applyAlignment="1">
      <alignment wrapText="1"/>
    </xf>
    <xf numFmtId="0" fontId="33" fillId="78" borderId="6" xfId="0" applyFont="1" applyFill="1" applyBorder="1" applyAlignment="1">
      <alignment wrapText="1"/>
    </xf>
    <xf numFmtId="0" fontId="33" fillId="79" borderId="6" xfId="0" applyFont="1" applyFill="1" applyBorder="1" applyAlignment="1">
      <alignment wrapText="1"/>
    </xf>
    <xf numFmtId="0" fontId="36" fillId="22" borderId="23" xfId="0" applyFont="1" applyFill="1" applyBorder="1" applyAlignment="1">
      <alignment wrapText="1"/>
    </xf>
    <xf numFmtId="0" fontId="24" fillId="49" borderId="6" xfId="0" applyFont="1" applyFill="1" applyBorder="1" applyAlignment="1">
      <alignment wrapText="1"/>
    </xf>
    <xf numFmtId="0" fontId="28" fillId="80" borderId="6" xfId="0" applyFont="1" applyFill="1" applyBorder="1" applyAlignment="1">
      <alignment wrapText="1"/>
    </xf>
    <xf numFmtId="0" fontId="33" fillId="81" borderId="6" xfId="0" applyFont="1" applyFill="1" applyBorder="1" applyAlignment="1">
      <alignment wrapText="1"/>
    </xf>
    <xf numFmtId="0" fontId="38" fillId="0" borderId="23" xfId="0" applyFont="1" applyFill="1" applyBorder="1" applyAlignment="1">
      <alignment wrapText="1"/>
    </xf>
    <xf numFmtId="0" fontId="28" fillId="82" borderId="6" xfId="0" applyFont="1" applyFill="1" applyBorder="1" applyAlignment="1">
      <alignment wrapText="1"/>
    </xf>
    <xf numFmtId="0" fontId="24" fillId="65" borderId="6" xfId="0" applyFont="1" applyFill="1" applyBorder="1" applyAlignment="1">
      <alignment wrapText="1"/>
    </xf>
    <xf numFmtId="0" fontId="28" fillId="83" borderId="6" xfId="0" applyFont="1" applyFill="1" applyBorder="1" applyAlignment="1">
      <alignment wrapText="1"/>
    </xf>
    <xf numFmtId="0" fontId="33" fillId="84" borderId="6" xfId="0" applyFont="1" applyFill="1" applyBorder="1" applyAlignment="1">
      <alignment wrapText="1"/>
    </xf>
    <xf numFmtId="0" fontId="33" fillId="85" borderId="6" xfId="0" applyFont="1" applyFill="1" applyBorder="1" applyAlignment="1">
      <alignment wrapText="1"/>
    </xf>
    <xf numFmtId="0" fontId="28" fillId="86" borderId="6" xfId="0" applyFont="1" applyFill="1" applyBorder="1" applyAlignment="1">
      <alignment wrapText="1"/>
    </xf>
    <xf numFmtId="0" fontId="38" fillId="0" borderId="0" xfId="0" applyFont="1" applyFill="1" applyBorder="1" applyAlignment="1">
      <alignment wrapText="1"/>
    </xf>
    <xf numFmtId="0" fontId="28" fillId="87" borderId="6" xfId="0" applyFont="1" applyFill="1" applyBorder="1" applyAlignment="1">
      <alignment wrapText="1"/>
    </xf>
    <xf numFmtId="0" fontId="24" fillId="88" borderId="6" xfId="0" applyFont="1" applyFill="1" applyBorder="1" applyAlignment="1">
      <alignment wrapText="1"/>
    </xf>
    <xf numFmtId="0" fontId="28" fillId="89" borderId="6" xfId="0" applyFont="1" applyFill="1" applyBorder="1" applyAlignment="1">
      <alignment wrapText="1"/>
    </xf>
    <xf numFmtId="0" fontId="33" fillId="90" borderId="6" xfId="0" applyFont="1" applyFill="1" applyBorder="1" applyAlignment="1">
      <alignment wrapText="1"/>
    </xf>
    <xf numFmtId="0" fontId="33" fillId="91" borderId="6" xfId="0" applyFont="1" applyFill="1" applyBorder="1" applyAlignment="1">
      <alignment wrapText="1"/>
    </xf>
    <xf numFmtId="0" fontId="28" fillId="92" borderId="6" xfId="0" applyFont="1" applyFill="1" applyBorder="1" applyAlignment="1">
      <alignment wrapText="1"/>
    </xf>
    <xf numFmtId="0" fontId="24" fillId="93" borderId="6" xfId="0" applyFont="1" applyFill="1" applyBorder="1" applyAlignment="1">
      <alignment wrapText="1"/>
    </xf>
    <xf numFmtId="0" fontId="28" fillId="94" borderId="6" xfId="0" applyFont="1" applyFill="1" applyBorder="1" applyAlignment="1">
      <alignment wrapText="1"/>
    </xf>
    <xf numFmtId="0" fontId="33" fillId="95" borderId="6" xfId="0" applyFont="1" applyFill="1" applyBorder="1" applyAlignment="1">
      <alignment wrapText="1"/>
    </xf>
    <xf numFmtId="0" fontId="33" fillId="96" borderId="6" xfId="0" applyFont="1" applyFill="1" applyBorder="1" applyAlignment="1">
      <alignment wrapText="1"/>
    </xf>
    <xf numFmtId="0" fontId="28" fillId="97" borderId="6" xfId="0" applyFont="1" applyFill="1" applyBorder="1" applyAlignment="1">
      <alignment wrapText="1"/>
    </xf>
    <xf numFmtId="0" fontId="28" fillId="98" borderId="6" xfId="0" applyFont="1" applyFill="1" applyBorder="1" applyAlignment="1">
      <alignment wrapText="1"/>
    </xf>
    <xf numFmtId="0" fontId="33" fillId="99" borderId="6" xfId="0" applyFont="1" applyFill="1" applyBorder="1" applyAlignment="1">
      <alignment wrapText="1"/>
    </xf>
    <xf numFmtId="0" fontId="33" fillId="100" borderId="6" xfId="0" applyFont="1" applyFill="1" applyBorder="1" applyAlignment="1">
      <alignment wrapText="1"/>
    </xf>
    <xf numFmtId="0" fontId="28" fillId="101" borderId="6" xfId="0" applyFont="1" applyFill="1" applyBorder="1" applyAlignment="1">
      <alignment wrapText="1"/>
    </xf>
    <xf numFmtId="0" fontId="28" fillId="40" borderId="6" xfId="0" applyFont="1" applyFill="1" applyBorder="1" applyAlignment="1">
      <alignment wrapText="1"/>
    </xf>
    <xf numFmtId="0" fontId="28" fillId="102" borderId="6" xfId="0" applyFont="1" applyFill="1" applyBorder="1" applyAlignment="1">
      <alignment wrapText="1"/>
    </xf>
    <xf numFmtId="0" fontId="28" fillId="103" borderId="6" xfId="0" applyFont="1" applyFill="1" applyBorder="1" applyAlignment="1">
      <alignment wrapText="1"/>
    </xf>
    <xf numFmtId="0" fontId="24" fillId="104" borderId="6" xfId="0" applyFont="1" applyFill="1" applyBorder="1" applyAlignment="1">
      <alignment wrapText="1"/>
    </xf>
    <xf numFmtId="0" fontId="28" fillId="105" borderId="6" xfId="0" applyFont="1" applyFill="1" applyBorder="1" applyAlignment="1">
      <alignment wrapText="1"/>
    </xf>
    <xf numFmtId="0" fontId="33" fillId="106" borderId="6" xfId="0" applyFont="1" applyFill="1" applyBorder="1" applyAlignment="1">
      <alignment wrapText="1"/>
    </xf>
    <xf numFmtId="0" fontId="33" fillId="107" borderId="6" xfId="0" applyFont="1" applyFill="1" applyBorder="1" applyAlignment="1">
      <alignment wrapText="1"/>
    </xf>
    <xf numFmtId="0" fontId="28" fillId="108" borderId="6" xfId="0" applyFont="1" applyFill="1" applyBorder="1" applyAlignment="1">
      <alignment wrapText="1"/>
    </xf>
    <xf numFmtId="0" fontId="28" fillId="109" borderId="6" xfId="0" applyFont="1" applyFill="1" applyBorder="1" applyAlignment="1">
      <alignment wrapText="1"/>
    </xf>
    <xf numFmtId="0" fontId="24" fillId="110" borderId="6" xfId="0" applyFont="1" applyFill="1" applyBorder="1" applyAlignment="1">
      <alignment wrapText="1"/>
    </xf>
    <xf numFmtId="0" fontId="28" fillId="111" borderId="6" xfId="0" applyFont="1" applyFill="1" applyBorder="1" applyAlignment="1">
      <alignment wrapText="1"/>
    </xf>
    <xf numFmtId="0" fontId="33" fillId="112" borderId="6" xfId="0" applyFont="1" applyFill="1" applyBorder="1" applyAlignment="1">
      <alignment wrapText="1"/>
    </xf>
    <xf numFmtId="0" fontId="28" fillId="61" borderId="6" xfId="0" applyFont="1" applyFill="1" applyBorder="1" applyAlignment="1">
      <alignment wrapText="1"/>
    </xf>
    <xf numFmtId="0" fontId="28" fillId="51" borderId="6" xfId="0" applyFont="1" applyFill="1" applyBorder="1" applyAlignment="1">
      <alignment wrapText="1"/>
    </xf>
    <xf numFmtId="0" fontId="24" fillId="61" borderId="6" xfId="0" applyFont="1" applyFill="1" applyBorder="1" applyAlignment="1">
      <alignment wrapText="1"/>
    </xf>
    <xf numFmtId="0" fontId="28" fillId="113" borderId="6" xfId="0" applyFont="1" applyFill="1" applyBorder="1" applyAlignment="1">
      <alignment wrapText="1"/>
    </xf>
    <xf numFmtId="0" fontId="33" fillId="92" borderId="6" xfId="0" applyFont="1" applyFill="1" applyBorder="1" applyAlignment="1">
      <alignment wrapText="1"/>
    </xf>
    <xf numFmtId="0" fontId="33" fillId="114" borderId="6" xfId="0" applyFont="1" applyFill="1" applyBorder="1" applyAlignment="1">
      <alignment wrapText="1"/>
    </xf>
    <xf numFmtId="0" fontId="28" fillId="55" borderId="6" xfId="0" applyFont="1" applyFill="1" applyBorder="1" applyAlignment="1">
      <alignment wrapText="1"/>
    </xf>
    <xf numFmtId="0" fontId="42" fillId="0" borderId="0" xfId="0" applyFont="1" applyFill="1" applyBorder="1" applyAlignment="1">
      <alignment wrapText="1"/>
    </xf>
    <xf numFmtId="0" fontId="29" fillId="37" borderId="23" xfId="0" applyFont="1" applyFill="1" applyBorder="1" applyAlignment="1">
      <alignment wrapText="1"/>
    </xf>
    <xf numFmtId="0" fontId="24" fillId="115" borderId="6" xfId="0" applyFont="1" applyFill="1" applyBorder="1" applyAlignment="1">
      <alignment wrapText="1"/>
    </xf>
    <xf numFmtId="0" fontId="33" fillId="116" borderId="6" xfId="0" applyFont="1" applyFill="1" applyBorder="1" applyAlignment="1">
      <alignment wrapText="1"/>
    </xf>
    <xf numFmtId="0" fontId="28" fillId="93" borderId="6" xfId="0" applyFont="1" applyFill="1" applyBorder="1" applyAlignment="1">
      <alignment wrapText="1"/>
    </xf>
    <xf numFmtId="0" fontId="28" fillId="117" borderId="6" xfId="0" applyFont="1" applyFill="1" applyBorder="1" applyAlignment="1">
      <alignment wrapText="1"/>
    </xf>
    <xf numFmtId="0" fontId="24" fillId="118" borderId="6" xfId="0" applyFont="1" applyFill="1" applyBorder="1" applyAlignment="1">
      <alignment wrapText="1"/>
    </xf>
    <xf numFmtId="0" fontId="28" fillId="119" borderId="6" xfId="0" applyFont="1" applyFill="1" applyBorder="1" applyAlignment="1">
      <alignment wrapText="1"/>
    </xf>
    <xf numFmtId="0" fontId="28" fillId="120" borderId="6" xfId="0" applyFont="1" applyFill="1" applyBorder="1" applyAlignment="1">
      <alignment wrapText="1"/>
    </xf>
    <xf numFmtId="0" fontId="24" fillId="121" borderId="6" xfId="0" applyFont="1" applyFill="1" applyBorder="1" applyAlignment="1">
      <alignment wrapText="1"/>
    </xf>
    <xf numFmtId="0" fontId="28" fillId="122" borderId="6" xfId="0" applyFont="1" applyFill="1" applyBorder="1" applyAlignment="1">
      <alignment wrapText="1"/>
    </xf>
    <xf numFmtId="0" fontId="33" fillId="123" borderId="6" xfId="0" applyFont="1" applyFill="1" applyBorder="1" applyAlignment="1">
      <alignment wrapText="1"/>
    </xf>
    <xf numFmtId="0" fontId="28" fillId="124" borderId="6" xfId="0" applyFont="1" applyFill="1" applyBorder="1" applyAlignment="1">
      <alignment wrapText="1"/>
    </xf>
    <xf numFmtId="0" fontId="28" fillId="125" borderId="6" xfId="0" applyFont="1" applyFill="1" applyBorder="1" applyAlignment="1">
      <alignment wrapText="1"/>
    </xf>
    <xf numFmtId="0" fontId="28" fillId="126" borderId="6" xfId="0" applyFont="1" applyFill="1" applyBorder="1" applyAlignment="1">
      <alignment wrapText="1"/>
    </xf>
    <xf numFmtId="0" fontId="24" fillId="127" borderId="6" xfId="0" applyFont="1" applyFill="1" applyBorder="1" applyAlignment="1">
      <alignment wrapText="1"/>
    </xf>
    <xf numFmtId="0" fontId="28" fillId="128" borderId="6" xfId="0" applyFont="1" applyFill="1" applyBorder="1" applyAlignment="1">
      <alignment wrapText="1"/>
    </xf>
    <xf numFmtId="0" fontId="33" fillId="43" borderId="6" xfId="0" applyFont="1" applyFill="1" applyBorder="1" applyAlignment="1">
      <alignment wrapText="1"/>
    </xf>
    <xf numFmtId="0" fontId="33" fillId="129" borderId="6" xfId="0" applyFont="1" applyFill="1" applyBorder="1" applyAlignment="1">
      <alignment wrapText="1"/>
    </xf>
    <xf numFmtId="0" fontId="28" fillId="130" borderId="6" xfId="0" applyFont="1" applyFill="1" applyBorder="1" applyAlignment="1">
      <alignment wrapText="1"/>
    </xf>
    <xf numFmtId="0" fontId="28" fillId="131" borderId="6" xfId="0" applyFont="1" applyFill="1" applyBorder="1" applyAlignment="1">
      <alignment wrapText="1"/>
    </xf>
    <xf numFmtId="0" fontId="24" fillId="132" borderId="6" xfId="0" applyFont="1" applyFill="1" applyBorder="1" applyAlignment="1">
      <alignment wrapText="1"/>
    </xf>
    <xf numFmtId="0" fontId="33" fillId="133" borderId="6" xfId="0" applyFont="1" applyFill="1" applyBorder="1" applyAlignment="1">
      <alignment wrapText="1"/>
    </xf>
    <xf numFmtId="0" fontId="33" fillId="134" borderId="6" xfId="0" applyFont="1" applyFill="1" applyBorder="1" applyAlignment="1">
      <alignment wrapText="1"/>
    </xf>
    <xf numFmtId="0" fontId="28" fillId="135" borderId="6" xfId="0" applyFont="1" applyFill="1" applyBorder="1" applyAlignment="1">
      <alignment wrapText="1"/>
    </xf>
    <xf numFmtId="0" fontId="28" fillId="48" borderId="6" xfId="0" applyFont="1" applyFill="1" applyBorder="1" applyAlignment="1">
      <alignment wrapText="1"/>
    </xf>
    <xf numFmtId="0" fontId="28" fillId="136" borderId="6" xfId="0" applyFont="1" applyFill="1" applyBorder="1" applyAlignment="1">
      <alignment wrapText="1"/>
    </xf>
    <xf numFmtId="0" fontId="33" fillId="131" borderId="6" xfId="0" applyFont="1" applyFill="1" applyBorder="1" applyAlignment="1">
      <alignment wrapText="1"/>
    </xf>
    <xf numFmtId="0" fontId="33" fillId="137" borderId="6" xfId="0" applyFont="1" applyFill="1" applyBorder="1" applyAlignment="1">
      <alignment wrapText="1"/>
    </xf>
    <xf numFmtId="0" fontId="28" fillId="138" borderId="6" xfId="0" applyFont="1" applyFill="1" applyBorder="1" applyAlignment="1">
      <alignment wrapText="1"/>
    </xf>
    <xf numFmtId="0" fontId="24" fillId="58" borderId="6" xfId="0" applyFont="1" applyFill="1" applyBorder="1" applyAlignment="1">
      <alignment wrapText="1"/>
    </xf>
    <xf numFmtId="0" fontId="28" fillId="139" borderId="6" xfId="0" applyFont="1" applyFill="1" applyBorder="1" applyAlignment="1">
      <alignment wrapText="1"/>
    </xf>
    <xf numFmtId="0" fontId="33" fillId="140" borderId="6" xfId="0" applyFont="1" applyFill="1" applyBorder="1" applyAlignment="1">
      <alignment wrapText="1"/>
    </xf>
    <xf numFmtId="0" fontId="24" fillId="133" borderId="6" xfId="0" applyFont="1" applyFill="1" applyBorder="1" applyAlignment="1">
      <alignment wrapText="1"/>
    </xf>
    <xf numFmtId="0" fontId="28" fillId="141" borderId="6" xfId="0" applyFont="1" applyFill="1" applyBorder="1" applyAlignment="1">
      <alignment wrapText="1"/>
    </xf>
    <xf numFmtId="0" fontId="33" fillId="142" borderId="6" xfId="0" applyFont="1" applyFill="1" applyBorder="1" applyAlignment="1">
      <alignment wrapText="1"/>
    </xf>
    <xf numFmtId="0" fontId="28" fillId="41" borderId="6" xfId="0" applyFont="1" applyFill="1" applyBorder="1" applyAlignment="1">
      <alignment wrapText="1"/>
    </xf>
    <xf numFmtId="0" fontId="24" fillId="109" borderId="6" xfId="0" applyFont="1" applyFill="1" applyBorder="1" applyAlignment="1">
      <alignment wrapText="1"/>
    </xf>
    <xf numFmtId="0" fontId="33" fillId="143" borderId="6" xfId="0" applyFont="1" applyFill="1" applyBorder="1" applyAlignment="1">
      <alignment wrapText="1"/>
    </xf>
    <xf numFmtId="0" fontId="28" fillId="88" borderId="6" xfId="0" applyFont="1" applyFill="1" applyBorder="1" applyAlignment="1">
      <alignment wrapText="1"/>
    </xf>
    <xf numFmtId="0" fontId="28" fillId="144" borderId="6" xfId="0" applyFont="1" applyFill="1" applyBorder="1" applyAlignment="1">
      <alignment wrapText="1"/>
    </xf>
    <xf numFmtId="0" fontId="33" fillId="145" borderId="6" xfId="0" applyFont="1" applyFill="1" applyBorder="1" applyAlignment="1">
      <alignment wrapText="1"/>
    </xf>
    <xf numFmtId="0" fontId="28" fillId="146" borderId="6" xfId="0" applyFont="1" applyFill="1" applyBorder="1" applyAlignment="1">
      <alignment wrapText="1"/>
    </xf>
    <xf numFmtId="0" fontId="28" fillId="147" borderId="6" xfId="0" applyFont="1" applyFill="1" applyBorder="1" applyAlignment="1">
      <alignment wrapText="1"/>
    </xf>
    <xf numFmtId="0" fontId="24" fillId="148" borderId="6" xfId="0" applyFont="1" applyFill="1" applyBorder="1" applyAlignment="1">
      <alignment wrapText="1"/>
    </xf>
    <xf numFmtId="0" fontId="28" fillId="149" borderId="6" xfId="0" applyFont="1" applyFill="1" applyBorder="1" applyAlignment="1">
      <alignment wrapText="1"/>
    </xf>
    <xf numFmtId="0" fontId="33" fillId="150" borderId="6" xfId="0" applyFont="1" applyFill="1" applyBorder="1" applyAlignment="1">
      <alignment wrapText="1"/>
    </xf>
    <xf numFmtId="0" fontId="28" fillId="151" borderId="6" xfId="0" applyFont="1" applyFill="1" applyBorder="1" applyAlignment="1">
      <alignment wrapText="1"/>
    </xf>
    <xf numFmtId="0" fontId="28" fillId="152" borderId="6" xfId="0" applyFont="1" applyFill="1" applyBorder="1" applyAlignment="1">
      <alignment wrapText="1"/>
    </xf>
    <xf numFmtId="0" fontId="33" fillId="153" borderId="6" xfId="0" applyFont="1" applyFill="1" applyBorder="1" applyAlignment="1">
      <alignment wrapText="1"/>
    </xf>
    <xf numFmtId="0" fontId="28" fillId="110" borderId="6" xfId="0" applyFont="1" applyFill="1" applyBorder="1" applyAlignment="1">
      <alignment wrapText="1"/>
    </xf>
    <xf numFmtId="0" fontId="33" fillId="154" borderId="6" xfId="0" applyFont="1" applyFill="1" applyBorder="1" applyAlignment="1">
      <alignment wrapText="1"/>
    </xf>
    <xf numFmtId="0" fontId="33" fillId="155" borderId="6" xfId="0" applyFont="1" applyFill="1" applyBorder="1" applyAlignment="1">
      <alignment wrapText="1"/>
    </xf>
    <xf numFmtId="0" fontId="33" fillId="156" borderId="6" xfId="0" applyFont="1" applyFill="1" applyBorder="1" applyAlignment="1">
      <alignment wrapText="1"/>
    </xf>
    <xf numFmtId="0" fontId="28" fillId="157" borderId="6" xfId="0" applyFont="1" applyFill="1" applyBorder="1" applyAlignment="1">
      <alignment wrapText="1"/>
    </xf>
    <xf numFmtId="0" fontId="28" fillId="47" borderId="6" xfId="0" applyFont="1" applyFill="1" applyBorder="1" applyAlignment="1">
      <alignment wrapText="1"/>
    </xf>
    <xf numFmtId="0" fontId="24" fillId="158" borderId="6" xfId="0" applyFont="1" applyFill="1" applyBorder="1" applyAlignment="1">
      <alignment wrapText="1"/>
    </xf>
    <xf numFmtId="0" fontId="28" fillId="63" borderId="6" xfId="0" applyFont="1" applyFill="1" applyBorder="1" applyAlignment="1">
      <alignment wrapText="1"/>
    </xf>
    <xf numFmtId="0" fontId="33" fillId="159" borderId="6" xfId="0" applyFont="1" applyFill="1" applyBorder="1" applyAlignment="1">
      <alignment wrapText="1"/>
    </xf>
    <xf numFmtId="0" fontId="28" fillId="90" borderId="6" xfId="0" applyFont="1" applyFill="1" applyBorder="1" applyAlignment="1">
      <alignment wrapText="1"/>
    </xf>
    <xf numFmtId="0" fontId="28" fillId="160" borderId="6" xfId="0" applyFont="1" applyFill="1" applyBorder="1" applyAlignment="1">
      <alignment wrapText="1"/>
    </xf>
    <xf numFmtId="0" fontId="33" fillId="50" borderId="6" xfId="0" applyFont="1" applyFill="1" applyBorder="1" applyAlignment="1">
      <alignment wrapText="1"/>
    </xf>
    <xf numFmtId="0" fontId="33" fillId="161" borderId="6" xfId="0" applyFont="1" applyFill="1" applyBorder="1" applyAlignment="1">
      <alignment wrapText="1"/>
    </xf>
    <xf numFmtId="0" fontId="33" fillId="162" borderId="6" xfId="0" applyFont="1" applyFill="1" applyBorder="1" applyAlignment="1">
      <alignment wrapText="1"/>
    </xf>
    <xf numFmtId="0" fontId="28" fillId="163" borderId="6" xfId="0" applyFont="1" applyFill="1" applyBorder="1" applyAlignment="1">
      <alignment wrapText="1"/>
    </xf>
    <xf numFmtId="0" fontId="28" fillId="164" borderId="6" xfId="0" applyFont="1" applyFill="1" applyBorder="1" applyAlignment="1">
      <alignment wrapText="1"/>
    </xf>
    <xf numFmtId="0" fontId="33" fillId="165" borderId="6" xfId="0" applyFont="1" applyFill="1" applyBorder="1" applyAlignment="1">
      <alignment wrapText="1"/>
    </xf>
    <xf numFmtId="0" fontId="33" fillId="166" borderId="6" xfId="0" applyFont="1" applyFill="1" applyBorder="1" applyAlignment="1">
      <alignment wrapText="1"/>
    </xf>
    <xf numFmtId="0" fontId="28" fillId="56" borderId="6" xfId="0" applyFont="1" applyFill="1" applyBorder="1" applyAlignment="1">
      <alignment wrapText="1"/>
    </xf>
    <xf numFmtId="0" fontId="24" fillId="167" borderId="6" xfId="0" applyFont="1" applyFill="1" applyBorder="1" applyAlignment="1">
      <alignment wrapText="1"/>
    </xf>
    <xf numFmtId="0" fontId="28" fillId="168" borderId="6" xfId="0" applyFont="1" applyFill="1" applyBorder="1" applyAlignment="1">
      <alignment wrapText="1"/>
    </xf>
    <xf numFmtId="0" fontId="33" fillId="169" borderId="6" xfId="0" applyFont="1" applyFill="1" applyBorder="1" applyAlignment="1">
      <alignment wrapText="1"/>
    </xf>
    <xf numFmtId="0" fontId="33" fillId="170" borderId="6" xfId="0" applyFont="1" applyFill="1" applyBorder="1" applyAlignment="1">
      <alignment wrapText="1"/>
    </xf>
    <xf numFmtId="0" fontId="21" fillId="21" borderId="21" xfId="0" applyFont="1" applyFill="1" applyBorder="1" applyAlignment="1">
      <alignment wrapText="1"/>
    </xf>
    <xf numFmtId="0" fontId="12" fillId="24" borderId="28" xfId="0" applyFont="1" applyFill="1" applyBorder="1" applyAlignment="1">
      <alignment wrapText="1"/>
    </xf>
    <xf numFmtId="0" fontId="43" fillId="21" borderId="21" xfId="0" applyFont="1" applyFill="1" applyBorder="1" applyAlignment="1">
      <alignment wrapText="1"/>
    </xf>
    <xf numFmtId="0" fontId="29" fillId="171" borderId="21" xfId="0" applyFont="1" applyFill="1" applyBorder="1" applyAlignment="1">
      <alignment wrapText="1"/>
    </xf>
    <xf numFmtId="0" fontId="8" fillId="26" borderId="21" xfId="0" applyFont="1" applyFill="1" applyBorder="1" applyAlignment="1">
      <alignment wrapText="1"/>
    </xf>
    <xf numFmtId="0" fontId="21" fillId="23" borderId="21" xfId="0" applyFont="1" applyFill="1" applyBorder="1" applyAlignment="1">
      <alignment wrapText="1"/>
    </xf>
    <xf numFmtId="0" fontId="1" fillId="172" borderId="21" xfId="0" applyFont="1" applyFill="1" applyBorder="1" applyAlignment="1">
      <alignment wrapText="1"/>
    </xf>
    <xf numFmtId="0" fontId="32" fillId="173" borderId="21" xfId="0" applyFont="1" applyFill="1" applyBorder="1" applyAlignment="1">
      <alignment wrapText="1"/>
    </xf>
    <xf numFmtId="0" fontId="1" fillId="46" borderId="21" xfId="0" applyFont="1" applyFill="1" applyBorder="1" applyAlignment="1">
      <alignment wrapText="1"/>
    </xf>
    <xf numFmtId="0" fontId="1" fillId="22" borderId="26" xfId="0" applyFont="1" applyFill="1" applyBorder="1" applyAlignment="1">
      <alignment wrapText="1"/>
    </xf>
    <xf numFmtId="0" fontId="8" fillId="22" borderId="0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/>
    <xf numFmtId="0" fontId="3" fillId="9" borderId="14" xfId="0" applyFont="1" applyFill="1" applyBorder="1" applyAlignment="1"/>
    <xf numFmtId="0" fontId="1" fillId="10" borderId="19" xfId="0" applyFont="1" applyFill="1" applyBorder="1" applyAlignment="1">
      <alignment horizontal="center"/>
    </xf>
    <xf numFmtId="0" fontId="3" fillId="10" borderId="17" xfId="0" applyFont="1" applyFill="1" applyBorder="1" applyAlignment="1"/>
    <xf numFmtId="0" fontId="3" fillId="10" borderId="20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L35"/>
  <sheetViews>
    <sheetView tabSelected="1" zoomScale="85" zoomScaleNormal="85" workbookViewId="0">
      <selection activeCell="F37" sqref="F37"/>
    </sheetView>
  </sheetViews>
  <sheetFormatPr defaultColWidth="11.5546875" defaultRowHeight="14.4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43.2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79" t="s">
        <v>5</v>
      </c>
      <c r="G1" s="7" t="s">
        <v>6</v>
      </c>
      <c r="H1" s="79" t="s">
        <v>7</v>
      </c>
      <c r="I1" s="6" t="s">
        <v>8</v>
      </c>
      <c r="J1" s="79" t="s">
        <v>9</v>
      </c>
      <c r="K1" s="6" t="s">
        <v>10</v>
      </c>
      <c r="L1" s="6" t="s">
        <v>11</v>
      </c>
    </row>
    <row r="2" spans="1:12" s="14" customFormat="1">
      <c r="A2" s="12" t="s">
        <v>12</v>
      </c>
      <c r="B2" s="12">
        <v>1</v>
      </c>
      <c r="C2" s="3">
        <v>6</v>
      </c>
      <c r="D2" s="12">
        <v>2020</v>
      </c>
      <c r="E2" s="13">
        <f>Submetering!X2+Submetering!Y2</f>
        <v>7435.99999999999</v>
      </c>
      <c r="F2" s="3">
        <v>7.7909227967643713E-2</v>
      </c>
      <c r="G2" s="13">
        <f>Submetering!T2+Submetering!U2</f>
        <v>238</v>
      </c>
      <c r="H2" s="3">
        <v>0.24162482260951298</v>
      </c>
      <c r="I2" s="13">
        <f>Submetering!E2+Submetering!H2</f>
        <v>25</v>
      </c>
      <c r="J2" s="84">
        <v>1.686569936015061</v>
      </c>
      <c r="K2" s="12">
        <f>Submetering!AF2</f>
        <v>0</v>
      </c>
      <c r="L2" s="12">
        <f>Submetering!AG2</f>
        <v>0</v>
      </c>
    </row>
    <row r="3" spans="1:12" s="16" customFormat="1">
      <c r="A3" s="12" t="s">
        <v>12</v>
      </c>
      <c r="B3" s="15">
        <f>B2+1</f>
        <v>2</v>
      </c>
      <c r="C3" s="3">
        <v>6</v>
      </c>
      <c r="D3" s="12">
        <v>2020</v>
      </c>
      <c r="E3" s="13">
        <f>Submetering!X3+Submetering!Y3</f>
        <v>8228.00000000002</v>
      </c>
      <c r="F3" s="3">
        <v>7.7909227967643713E-2</v>
      </c>
      <c r="G3" s="13">
        <f>Submetering!T3+Submetering!U3</f>
        <v>260</v>
      </c>
      <c r="H3" s="3">
        <v>0.24162482260951298</v>
      </c>
      <c r="I3" s="13">
        <f>Submetering!E3+Submetering!H3</f>
        <v>37</v>
      </c>
      <c r="J3" s="84">
        <f>J2</f>
        <v>1.686569936015061</v>
      </c>
      <c r="K3" s="12">
        <f>Submetering!AF3</f>
        <v>0</v>
      </c>
      <c r="L3" s="12">
        <f>Submetering!AG3</f>
        <v>0</v>
      </c>
    </row>
    <row r="4" spans="1:12" s="16" customFormat="1">
      <c r="A4" s="12" t="s">
        <v>12</v>
      </c>
      <c r="B4" s="15">
        <f t="shared" ref="B4:B31" si="0">B3+1</f>
        <v>3</v>
      </c>
      <c r="C4" s="3">
        <v>6</v>
      </c>
      <c r="D4" s="12">
        <v>2020</v>
      </c>
      <c r="E4" s="13">
        <f>Submetering!X4+Submetering!Y4</f>
        <v>8315.99999999994</v>
      </c>
      <c r="F4" s="3">
        <v>7.7909227967643713E-2</v>
      </c>
      <c r="G4" s="13">
        <f>Submetering!T4+Submetering!U4</f>
        <v>417</v>
      </c>
      <c r="H4" s="3">
        <v>0.24162482260951298</v>
      </c>
      <c r="I4" s="13">
        <f>Submetering!E4+Submetering!H4</f>
        <v>37</v>
      </c>
      <c r="J4" s="84">
        <f t="shared" ref="J4:J31" si="1">J3</f>
        <v>1.686569936015061</v>
      </c>
      <c r="K4" s="12">
        <f>Submetering!AF4</f>
        <v>1</v>
      </c>
      <c r="L4" s="12">
        <f>Submetering!AG4</f>
        <v>2</v>
      </c>
    </row>
    <row r="5" spans="1:12" s="16" customFormat="1">
      <c r="A5" s="12" t="s">
        <v>12</v>
      </c>
      <c r="B5" s="15">
        <f t="shared" si="0"/>
        <v>4</v>
      </c>
      <c r="C5" s="3">
        <v>6</v>
      </c>
      <c r="D5" s="12">
        <v>2020</v>
      </c>
      <c r="E5" s="13">
        <f>Submetering!X5+Submetering!Y5</f>
        <v>9020.0000000000509</v>
      </c>
      <c r="F5" s="3">
        <v>7.7909227967643713E-2</v>
      </c>
      <c r="G5" s="13">
        <f>Submetering!T5+Submetering!U5</f>
        <v>389</v>
      </c>
      <c r="H5" s="3">
        <v>0.24162482260951298</v>
      </c>
      <c r="I5" s="13">
        <f>Submetering!E5+Submetering!H5</f>
        <v>37</v>
      </c>
      <c r="J5" s="84">
        <f t="shared" si="1"/>
        <v>1.686569936015061</v>
      </c>
      <c r="K5" s="12">
        <f>Submetering!AF5</f>
        <v>7</v>
      </c>
      <c r="L5" s="12">
        <f>Submetering!AG5</f>
        <v>12</v>
      </c>
    </row>
    <row r="6" spans="1:12" s="16" customFormat="1">
      <c r="A6" s="12" t="s">
        <v>12</v>
      </c>
      <c r="B6" s="15">
        <f t="shared" si="0"/>
        <v>5</v>
      </c>
      <c r="C6" s="3">
        <v>6</v>
      </c>
      <c r="D6" s="12">
        <v>2020</v>
      </c>
      <c r="E6" s="13">
        <f>Submetering!X6+Submetering!Y6</f>
        <v>8448.0000000000073</v>
      </c>
      <c r="F6" s="3">
        <v>7.7909227967643713E-2</v>
      </c>
      <c r="G6" s="13">
        <f>Submetering!T6+Submetering!U6</f>
        <v>547</v>
      </c>
      <c r="H6" s="3">
        <v>0.24162482260951298</v>
      </c>
      <c r="I6" s="13">
        <f>Submetering!E6+Submetering!H6</f>
        <v>48</v>
      </c>
      <c r="J6" s="84">
        <f t="shared" si="1"/>
        <v>1.686569936015061</v>
      </c>
      <c r="K6" s="12">
        <f>Submetering!AF6</f>
        <v>1</v>
      </c>
      <c r="L6" s="12">
        <f>Submetering!AG6</f>
        <v>2</v>
      </c>
    </row>
    <row r="7" spans="1:12" s="16" customFormat="1">
      <c r="A7" s="12" t="s">
        <v>12</v>
      </c>
      <c r="B7" s="15">
        <f t="shared" si="0"/>
        <v>6</v>
      </c>
      <c r="C7" s="3">
        <v>6</v>
      </c>
      <c r="D7" s="12">
        <v>2020</v>
      </c>
      <c r="E7" s="13">
        <f>Submetering!X7+Submetering!Y7</f>
        <v>8447.9999999999454</v>
      </c>
      <c r="F7" s="3">
        <v>7.7909227967643713E-2</v>
      </c>
      <c r="G7" s="13">
        <f>Submetering!T7+Submetering!U7</f>
        <v>467</v>
      </c>
      <c r="H7" s="3">
        <v>0.24162482260951298</v>
      </c>
      <c r="I7" s="13">
        <f>Submetering!E7+Submetering!H7</f>
        <v>35</v>
      </c>
      <c r="J7" s="84">
        <f t="shared" si="1"/>
        <v>1.686569936015061</v>
      </c>
      <c r="K7" s="12">
        <f>Submetering!AF7</f>
        <v>1</v>
      </c>
      <c r="L7" s="12">
        <f>Submetering!AG7</f>
        <v>2</v>
      </c>
    </row>
    <row r="8" spans="1:12" s="16" customFormat="1">
      <c r="A8" s="12" t="s">
        <v>12</v>
      </c>
      <c r="B8" s="15">
        <f t="shared" si="0"/>
        <v>7</v>
      </c>
      <c r="C8" s="3">
        <v>6</v>
      </c>
      <c r="D8" s="12">
        <v>2020</v>
      </c>
      <c r="E8" s="13">
        <f>Submetering!X8+Submetering!Y8</f>
        <v>8052.0000000000546</v>
      </c>
      <c r="F8" s="3">
        <v>7.7909227967643713E-2</v>
      </c>
      <c r="G8" s="13">
        <f>Submetering!T8+Submetering!U8</f>
        <v>567</v>
      </c>
      <c r="H8" s="3">
        <v>0.24162482260951298</v>
      </c>
      <c r="I8" s="13">
        <f>Submetering!E8+Submetering!H8</f>
        <v>35</v>
      </c>
      <c r="J8" s="84">
        <f t="shared" si="1"/>
        <v>1.686569936015061</v>
      </c>
      <c r="K8" s="12">
        <f>Submetering!AF8</f>
        <v>0</v>
      </c>
      <c r="L8" s="12">
        <f>Submetering!AG8</f>
        <v>0</v>
      </c>
    </row>
    <row r="9" spans="1:12" s="16" customFormat="1">
      <c r="A9" s="12" t="s">
        <v>12</v>
      </c>
      <c r="B9" s="15">
        <f t="shared" si="0"/>
        <v>8</v>
      </c>
      <c r="C9" s="3">
        <v>6</v>
      </c>
      <c r="D9" s="12">
        <v>2020</v>
      </c>
      <c r="E9" s="13">
        <f>Submetering!X9+Submetering!Y9</f>
        <v>10295.999999999953</v>
      </c>
      <c r="F9" s="3">
        <v>7.7909227967643713E-2</v>
      </c>
      <c r="G9" s="13">
        <f>Submetering!T9+Submetering!U9</f>
        <v>82</v>
      </c>
      <c r="H9" s="3">
        <v>0.24162482260951298</v>
      </c>
      <c r="I9" s="13">
        <f>Submetering!E9+Submetering!H9</f>
        <v>80</v>
      </c>
      <c r="J9" s="84">
        <f t="shared" si="1"/>
        <v>1.686569936015061</v>
      </c>
      <c r="K9" s="12">
        <f>Submetering!AF9</f>
        <v>1</v>
      </c>
      <c r="L9" s="12">
        <f>Submetering!AG9</f>
        <v>1</v>
      </c>
    </row>
    <row r="10" spans="1:12" s="16" customFormat="1">
      <c r="A10" s="12" t="s">
        <v>12</v>
      </c>
      <c r="B10" s="15">
        <f t="shared" si="0"/>
        <v>9</v>
      </c>
      <c r="C10" s="3">
        <v>6</v>
      </c>
      <c r="D10" s="12">
        <v>2020</v>
      </c>
      <c r="E10" s="13">
        <f>Submetering!X10+Submetering!Y10</f>
        <v>8183.9999999999973</v>
      </c>
      <c r="F10" s="3">
        <v>7.7909227967643713E-2</v>
      </c>
      <c r="G10" s="13">
        <f>Submetering!T10+Submetering!U10</f>
        <v>971</v>
      </c>
      <c r="H10" s="3">
        <v>0.24162482260951298</v>
      </c>
      <c r="I10" s="13">
        <f>Submetering!E10+Submetering!H10</f>
        <v>38</v>
      </c>
      <c r="J10" s="84">
        <f t="shared" si="1"/>
        <v>1.686569936015061</v>
      </c>
      <c r="K10" s="12">
        <f>Submetering!AF10</f>
        <v>2</v>
      </c>
      <c r="L10" s="12">
        <f>Submetering!AG10</f>
        <v>2</v>
      </c>
    </row>
    <row r="11" spans="1:12" s="16" customFormat="1">
      <c r="A11" s="12" t="s">
        <v>12</v>
      </c>
      <c r="B11" s="15">
        <f t="shared" si="0"/>
        <v>10</v>
      </c>
      <c r="C11" s="3">
        <v>6</v>
      </c>
      <c r="D11" s="12">
        <v>2020</v>
      </c>
      <c r="E11" s="13">
        <f>Submetering!X11+Submetering!Y11</f>
        <v>10560.000000000025</v>
      </c>
      <c r="F11" s="3">
        <v>7.7909227967643713E-2</v>
      </c>
      <c r="G11" s="13">
        <f>Submetering!T11+Submetering!U11</f>
        <v>365</v>
      </c>
      <c r="H11" s="3">
        <v>0.24162482260951298</v>
      </c>
      <c r="I11" s="13">
        <f>Submetering!E11+Submetering!H11</f>
        <v>52</v>
      </c>
      <c r="J11" s="84">
        <f t="shared" si="1"/>
        <v>1.686569936015061</v>
      </c>
      <c r="K11" s="12">
        <f>Submetering!AF11</f>
        <v>1</v>
      </c>
      <c r="L11" s="12">
        <f>Submetering!AG11</f>
        <v>1</v>
      </c>
    </row>
    <row r="12" spans="1:12" s="16" customFormat="1">
      <c r="A12" s="12" t="s">
        <v>12</v>
      </c>
      <c r="B12" s="15">
        <f t="shared" si="0"/>
        <v>11</v>
      </c>
      <c r="C12" s="3">
        <v>6</v>
      </c>
      <c r="D12" s="12">
        <v>2020</v>
      </c>
      <c r="E12" s="13">
        <f>Submetering!X12+Submetering!Y12</f>
        <v>12760.000000000025</v>
      </c>
      <c r="F12" s="3">
        <v>7.7909227967643713E-2</v>
      </c>
      <c r="G12" s="13">
        <f>Submetering!T12+Submetering!U12</f>
        <v>280</v>
      </c>
      <c r="H12" s="3">
        <v>0.24162482260951298</v>
      </c>
      <c r="I12" s="13">
        <f>Submetering!E12+Submetering!H12</f>
        <v>58</v>
      </c>
      <c r="J12" s="84">
        <f t="shared" si="1"/>
        <v>1.686569936015061</v>
      </c>
      <c r="K12" s="12">
        <f>Submetering!AF12</f>
        <v>3</v>
      </c>
      <c r="L12" s="12">
        <f>Submetering!AG12</f>
        <v>5</v>
      </c>
    </row>
    <row r="13" spans="1:12" s="16" customFormat="1">
      <c r="A13" s="12" t="s">
        <v>12</v>
      </c>
      <c r="B13" s="15">
        <f t="shared" si="0"/>
        <v>12</v>
      </c>
      <c r="C13" s="3">
        <v>6</v>
      </c>
      <c r="D13" s="12">
        <v>2020</v>
      </c>
      <c r="E13" s="13">
        <f>Submetering!X13+Submetering!Y13</f>
        <v>13947.999999999945</v>
      </c>
      <c r="F13" s="3">
        <v>7.7909227967643713E-2</v>
      </c>
      <c r="G13" s="13">
        <f>Submetering!T13+Submetering!U13</f>
        <v>443</v>
      </c>
      <c r="H13" s="3">
        <v>0.24162482260951298</v>
      </c>
      <c r="I13" s="13">
        <f>Submetering!E13+Submetering!H13</f>
        <v>62</v>
      </c>
      <c r="J13" s="84">
        <f t="shared" si="1"/>
        <v>1.686569936015061</v>
      </c>
      <c r="K13" s="12">
        <f>Submetering!AF13</f>
        <v>6</v>
      </c>
      <c r="L13" s="12">
        <f>Submetering!AG13</f>
        <v>12</v>
      </c>
    </row>
    <row r="14" spans="1:12" s="16" customFormat="1">
      <c r="A14" s="12" t="s">
        <v>12</v>
      </c>
      <c r="B14" s="15">
        <f t="shared" si="0"/>
        <v>13</v>
      </c>
      <c r="C14" s="3">
        <v>6</v>
      </c>
      <c r="D14" s="12">
        <v>2020</v>
      </c>
      <c r="E14" s="13">
        <f>Submetering!X14+Submetering!Y14</f>
        <v>13068.000000000058</v>
      </c>
      <c r="F14" s="3">
        <v>7.7909227967643713E-2</v>
      </c>
      <c r="G14" s="13">
        <f>Submetering!T14+Submetering!U14</f>
        <v>343</v>
      </c>
      <c r="H14" s="3">
        <v>0.24162482260951298</v>
      </c>
      <c r="I14" s="13">
        <f>Submetering!E14+Submetering!H14</f>
        <v>62</v>
      </c>
      <c r="J14" s="84">
        <f t="shared" si="1"/>
        <v>1.686569936015061</v>
      </c>
      <c r="K14" s="12">
        <f>Submetering!AF14</f>
        <v>1</v>
      </c>
      <c r="L14" s="12">
        <f>Submetering!AG14</f>
        <v>2</v>
      </c>
    </row>
    <row r="15" spans="1:12" s="16" customFormat="1">
      <c r="A15" s="12" t="s">
        <v>12</v>
      </c>
      <c r="B15" s="15">
        <f t="shared" si="0"/>
        <v>14</v>
      </c>
      <c r="C15" s="3">
        <v>6</v>
      </c>
      <c r="D15" s="12">
        <v>2020</v>
      </c>
      <c r="E15" s="13">
        <f>Submetering!X15+Submetering!Y15</f>
        <v>12847.999999999945</v>
      </c>
      <c r="F15" s="3">
        <v>7.7909227967643713E-2</v>
      </c>
      <c r="G15" s="13">
        <f>Submetering!T15+Submetering!U15</f>
        <v>337</v>
      </c>
      <c r="H15" s="3">
        <v>0.24162482260951298</v>
      </c>
      <c r="I15" s="13">
        <f>Submetering!E15+Submetering!H15</f>
        <v>46</v>
      </c>
      <c r="J15" s="84">
        <f t="shared" si="1"/>
        <v>1.686569936015061</v>
      </c>
      <c r="K15" s="12">
        <f>Submetering!AF15</f>
        <v>0</v>
      </c>
      <c r="L15" s="12">
        <f>Submetering!AG15</f>
        <v>0</v>
      </c>
    </row>
    <row r="16" spans="1:12" s="16" customFormat="1">
      <c r="A16" s="12" t="s">
        <v>12</v>
      </c>
      <c r="B16" s="15">
        <f t="shared" si="0"/>
        <v>15</v>
      </c>
      <c r="C16" s="3">
        <v>6</v>
      </c>
      <c r="D16" s="12">
        <v>2020</v>
      </c>
      <c r="E16" s="13">
        <f>Submetering!X16+Submetering!Y16</f>
        <v>8183.9999999999973</v>
      </c>
      <c r="F16" s="3">
        <v>7.7909227967643713E-2</v>
      </c>
      <c r="G16" s="13">
        <f>Submetering!T16+Submetering!U16</f>
        <v>281</v>
      </c>
      <c r="H16" s="3">
        <v>0.24162482260951298</v>
      </c>
      <c r="I16" s="13">
        <f>Submetering!E16+Submetering!H16</f>
        <v>41</v>
      </c>
      <c r="J16" s="84">
        <f t="shared" si="1"/>
        <v>1.686569936015061</v>
      </c>
      <c r="K16" s="12">
        <f>Submetering!AF16</f>
        <v>0</v>
      </c>
      <c r="L16" s="12">
        <f>Submetering!AG16</f>
        <v>0</v>
      </c>
    </row>
    <row r="17" spans="1:12" s="16" customFormat="1">
      <c r="A17" s="12" t="s">
        <v>12</v>
      </c>
      <c r="B17" s="15">
        <f t="shared" si="0"/>
        <v>16</v>
      </c>
      <c r="C17" s="3">
        <v>6</v>
      </c>
      <c r="D17" s="12">
        <v>2020</v>
      </c>
      <c r="E17" s="13">
        <f>Submetering!X17+Submetering!Y17</f>
        <v>17732.000000000004</v>
      </c>
      <c r="F17" s="3">
        <v>7.7909227967643713E-2</v>
      </c>
      <c r="G17" s="13">
        <f>Submetering!T17+Submetering!U17</f>
        <v>958</v>
      </c>
      <c r="H17" s="3">
        <v>0.24162482260951298</v>
      </c>
      <c r="I17" s="13">
        <f>Submetering!E17+Submetering!H17</f>
        <v>104</v>
      </c>
      <c r="J17" s="84">
        <f t="shared" si="1"/>
        <v>1.686569936015061</v>
      </c>
      <c r="K17" s="12">
        <f>Submetering!AF17</f>
        <v>5</v>
      </c>
      <c r="L17" s="12">
        <f>Submetering!AG17</f>
        <v>9</v>
      </c>
    </row>
    <row r="18" spans="1:12" s="16" customFormat="1">
      <c r="A18" s="12" t="s">
        <v>12</v>
      </c>
      <c r="B18" s="15">
        <f t="shared" si="0"/>
        <v>17</v>
      </c>
      <c r="C18" s="3">
        <v>6</v>
      </c>
      <c r="D18" s="12">
        <v>2020</v>
      </c>
      <c r="E18" s="13">
        <f>Submetering!X18+Submetering!Y18</f>
        <v>14080.000000000013</v>
      </c>
      <c r="F18" s="3">
        <v>7.7909227967643713E-2</v>
      </c>
      <c r="G18" s="13">
        <f>Submetering!T18+Submetering!U18</f>
        <v>819</v>
      </c>
      <c r="H18" s="3">
        <v>0.24162482260951298</v>
      </c>
      <c r="I18" s="13">
        <f>Submetering!E18+Submetering!H18</f>
        <v>75</v>
      </c>
      <c r="J18" s="84">
        <f t="shared" si="1"/>
        <v>1.686569936015061</v>
      </c>
      <c r="K18" s="12">
        <f>Submetering!AF18</f>
        <v>7</v>
      </c>
      <c r="L18" s="12">
        <f>Submetering!AG18</f>
        <v>12</v>
      </c>
    </row>
    <row r="19" spans="1:12" s="16" customFormat="1">
      <c r="A19" s="12" t="s">
        <v>12</v>
      </c>
      <c r="B19" s="15">
        <f t="shared" si="0"/>
        <v>18</v>
      </c>
      <c r="C19" s="3">
        <v>6</v>
      </c>
      <c r="D19" s="12">
        <v>2020</v>
      </c>
      <c r="E19" s="13">
        <f>Submetering!X19+Submetering!Y19</f>
        <v>14212.000000000018</v>
      </c>
      <c r="F19" s="3">
        <v>7.7909227967643713E-2</v>
      </c>
      <c r="G19" s="13">
        <f>Submetering!T19+Submetering!U19</f>
        <v>468</v>
      </c>
      <c r="H19" s="3">
        <v>0.24162482260951298</v>
      </c>
      <c r="I19" s="13">
        <f>Submetering!E19+Submetering!H19</f>
        <v>63</v>
      </c>
      <c r="J19" s="84">
        <f t="shared" si="1"/>
        <v>1.686569936015061</v>
      </c>
      <c r="K19" s="12">
        <f>Submetering!AF19</f>
        <v>13</v>
      </c>
      <c r="L19" s="12">
        <f>Submetering!AG19</f>
        <v>19</v>
      </c>
    </row>
    <row r="20" spans="1:12" s="16" customFormat="1">
      <c r="A20" s="12" t="s">
        <v>12</v>
      </c>
      <c r="B20" s="15">
        <f t="shared" si="0"/>
        <v>19</v>
      </c>
      <c r="C20" s="3">
        <v>6</v>
      </c>
      <c r="D20" s="12">
        <v>2020</v>
      </c>
      <c r="E20" s="13">
        <f>Submetering!X20+Submetering!Y20</f>
        <v>13551.999999999993</v>
      </c>
      <c r="F20" s="3">
        <v>7.7909227967643713E-2</v>
      </c>
      <c r="G20" s="13">
        <f>Submetering!T20+Submetering!U20</f>
        <v>378</v>
      </c>
      <c r="H20" s="3">
        <v>0.24162482260951298</v>
      </c>
      <c r="I20" s="13">
        <f>Submetering!E20+Submetering!H20</f>
        <v>70</v>
      </c>
      <c r="J20" s="84">
        <f t="shared" si="1"/>
        <v>1.686569936015061</v>
      </c>
      <c r="K20" s="12">
        <f>Submetering!AF20</f>
        <v>11</v>
      </c>
      <c r="L20" s="12">
        <f>Submetering!AG20</f>
        <v>20</v>
      </c>
    </row>
    <row r="21" spans="1:12" s="16" customFormat="1">
      <c r="A21" s="12" t="s">
        <v>12</v>
      </c>
      <c r="B21" s="15">
        <f t="shared" si="0"/>
        <v>20</v>
      </c>
      <c r="C21" s="3">
        <v>6</v>
      </c>
      <c r="D21" s="12">
        <v>2020</v>
      </c>
      <c r="E21" s="13">
        <f>Submetering!X21+Submetering!Y21</f>
        <v>13375.999999999965</v>
      </c>
      <c r="F21" s="3">
        <v>7.7909227967643713E-2</v>
      </c>
      <c r="G21" s="13">
        <f>Submetering!T21+Submetering!U21</f>
        <v>496</v>
      </c>
      <c r="H21" s="3">
        <v>0.24162482260951298</v>
      </c>
      <c r="I21" s="13">
        <f>Submetering!E21+Submetering!H21</f>
        <v>62</v>
      </c>
      <c r="J21" s="84">
        <f t="shared" si="1"/>
        <v>1.686569936015061</v>
      </c>
      <c r="K21" s="12">
        <f>Submetering!AF21</f>
        <v>12</v>
      </c>
      <c r="L21" s="12">
        <f>Submetering!AG21</f>
        <v>22</v>
      </c>
    </row>
    <row r="22" spans="1:12" s="16" customFormat="1">
      <c r="A22" s="12" t="s">
        <v>12</v>
      </c>
      <c r="B22" s="15">
        <f t="shared" si="0"/>
        <v>21</v>
      </c>
      <c r="C22" s="3">
        <v>6</v>
      </c>
      <c r="D22" s="12">
        <v>2020</v>
      </c>
      <c r="E22" s="13">
        <f>Submetering!X22+Submetering!Y22</f>
        <v>12364.000000000011</v>
      </c>
      <c r="F22" s="3">
        <v>7.7909227967643713E-2</v>
      </c>
      <c r="G22" s="13">
        <f>Submetering!T22+Submetering!U22</f>
        <v>381</v>
      </c>
      <c r="H22" s="3">
        <v>0.24162482260951298</v>
      </c>
      <c r="I22" s="13">
        <f>Submetering!E22+Submetering!H22</f>
        <v>60</v>
      </c>
      <c r="J22" s="84">
        <f t="shared" si="1"/>
        <v>1.686569936015061</v>
      </c>
      <c r="K22" s="12">
        <f>Submetering!AF22</f>
        <v>7</v>
      </c>
      <c r="L22" s="12">
        <f>Submetering!AG22</f>
        <v>14</v>
      </c>
    </row>
    <row r="23" spans="1:12" s="16" customFormat="1">
      <c r="A23" s="12" t="s">
        <v>12</v>
      </c>
      <c r="B23" s="15">
        <f t="shared" si="0"/>
        <v>22</v>
      </c>
      <c r="C23" s="3">
        <v>6</v>
      </c>
      <c r="D23" s="12">
        <v>2020</v>
      </c>
      <c r="E23" s="13">
        <f>Submetering!X23+Submetering!Y23</f>
        <v>13288.000000000045</v>
      </c>
      <c r="F23" s="3">
        <v>7.7909227967643713E-2</v>
      </c>
      <c r="G23" s="13">
        <f>Submetering!T23+Submetering!U23</f>
        <v>401</v>
      </c>
      <c r="H23" s="3">
        <v>0.24162482260951298</v>
      </c>
      <c r="I23" s="13">
        <f>Submetering!E23+Submetering!H23</f>
        <v>69</v>
      </c>
      <c r="J23" s="84">
        <f t="shared" si="1"/>
        <v>1.686569936015061</v>
      </c>
      <c r="K23" s="12">
        <f>Submetering!AF23</f>
        <v>7</v>
      </c>
      <c r="L23" s="12">
        <f>Submetering!AG23</f>
        <v>14</v>
      </c>
    </row>
    <row r="24" spans="1:12" s="16" customFormat="1">
      <c r="A24" s="12" t="s">
        <v>12</v>
      </c>
      <c r="B24" s="15">
        <f t="shared" si="0"/>
        <v>23</v>
      </c>
      <c r="C24" s="3">
        <v>6</v>
      </c>
      <c r="D24" s="12">
        <v>2020</v>
      </c>
      <c r="E24" s="13">
        <f>Submetering!X24+Submetering!Y24</f>
        <v>13287.99999999992</v>
      </c>
      <c r="F24" s="3">
        <v>7.7909227967643713E-2</v>
      </c>
      <c r="G24" s="13">
        <f>Submetering!T24+Submetering!U24</f>
        <v>832</v>
      </c>
      <c r="H24" s="3">
        <v>0.24162482260951298</v>
      </c>
      <c r="I24" s="13">
        <f>Submetering!E24+Submetering!H24</f>
        <v>107</v>
      </c>
      <c r="J24" s="84">
        <f t="shared" si="1"/>
        <v>1.686569936015061</v>
      </c>
      <c r="K24" s="12">
        <f>Submetering!AF24</f>
        <v>6</v>
      </c>
      <c r="L24" s="12">
        <f>Submetering!AG24</f>
        <v>8</v>
      </c>
    </row>
    <row r="25" spans="1:12" s="16" customFormat="1">
      <c r="A25" s="12" t="s">
        <v>12</v>
      </c>
      <c r="B25" s="15">
        <f t="shared" si="0"/>
        <v>24</v>
      </c>
      <c r="C25" s="3">
        <v>6</v>
      </c>
      <c r="D25" s="12">
        <v>2020</v>
      </c>
      <c r="E25" s="13">
        <f>Submetering!X25+Submetering!Y25</f>
        <v>8536.0000000001146</v>
      </c>
      <c r="F25" s="3">
        <v>7.7909227967643713E-2</v>
      </c>
      <c r="G25" s="13">
        <f>Submetering!T25+Submetering!U25</f>
        <v>238</v>
      </c>
      <c r="H25" s="3">
        <v>0.24162482260951298</v>
      </c>
      <c r="I25" s="13">
        <f>Submetering!E25+Submetering!H25</f>
        <v>57</v>
      </c>
      <c r="J25" s="84">
        <f t="shared" si="1"/>
        <v>1.686569936015061</v>
      </c>
      <c r="K25" s="12">
        <f>Submetering!AF25</f>
        <v>14</v>
      </c>
      <c r="L25" s="12">
        <f>Submetering!AG25</f>
        <v>23</v>
      </c>
    </row>
    <row r="26" spans="1:12" s="16" customFormat="1">
      <c r="A26" s="12" t="s">
        <v>12</v>
      </c>
      <c r="B26" s="15">
        <f>B25+1</f>
        <v>25</v>
      </c>
      <c r="C26" s="3">
        <v>6</v>
      </c>
      <c r="D26" s="12">
        <v>2020</v>
      </c>
      <c r="E26" s="13">
        <f>Submetering!X26+Submetering!Y26</f>
        <v>13815.99999999994</v>
      </c>
      <c r="F26" s="3">
        <v>7.7909227967643713E-2</v>
      </c>
      <c r="G26" s="13">
        <f>Submetering!T26+Submetering!U26</f>
        <v>412</v>
      </c>
      <c r="H26" s="3">
        <v>0.24162482260951298</v>
      </c>
      <c r="I26" s="13">
        <f>Submetering!E26+Submetering!H26</f>
        <v>73</v>
      </c>
      <c r="J26" s="84">
        <f t="shared" si="1"/>
        <v>1.686569936015061</v>
      </c>
      <c r="K26" s="12">
        <f>Submetering!AF26</f>
        <v>12</v>
      </c>
      <c r="L26" s="12">
        <f>Submetering!AG26</f>
        <v>17</v>
      </c>
    </row>
    <row r="27" spans="1:12" s="16" customFormat="1">
      <c r="A27" s="12" t="s">
        <v>12</v>
      </c>
      <c r="B27" s="15">
        <f t="shared" si="0"/>
        <v>26</v>
      </c>
      <c r="C27" s="3">
        <v>6</v>
      </c>
      <c r="D27" s="12">
        <v>2020</v>
      </c>
      <c r="E27" s="13">
        <f>Submetering!X27+Submetering!Y27</f>
        <v>20416.000000000065</v>
      </c>
      <c r="F27" s="3">
        <v>7.7909227967643713E-2</v>
      </c>
      <c r="G27" s="13">
        <f>Submetering!T27+Submetering!U27</f>
        <v>553</v>
      </c>
      <c r="H27" s="3">
        <v>0.24162482260951298</v>
      </c>
      <c r="I27" s="13">
        <f>Submetering!E27+Submetering!H27</f>
        <v>97</v>
      </c>
      <c r="J27" s="84">
        <f t="shared" si="1"/>
        <v>1.686569936015061</v>
      </c>
      <c r="K27" s="12">
        <f>Submetering!AF27</f>
        <v>8</v>
      </c>
      <c r="L27" s="12">
        <f>Submetering!AG27</f>
        <v>14</v>
      </c>
    </row>
    <row r="28" spans="1:12" s="16" customFormat="1">
      <c r="A28" s="12" t="s">
        <v>12</v>
      </c>
      <c r="B28" s="15">
        <f t="shared" si="0"/>
        <v>27</v>
      </c>
      <c r="C28" s="3">
        <v>6</v>
      </c>
      <c r="D28" s="12">
        <v>2020</v>
      </c>
      <c r="E28" s="13">
        <f>Submetering!X28+Submetering!Y28</f>
        <v>15135.999999999989</v>
      </c>
      <c r="F28" s="3">
        <v>7.7909227967643713E-2</v>
      </c>
      <c r="G28" s="13">
        <f>Submetering!T28+Submetering!U28</f>
        <v>424</v>
      </c>
      <c r="H28" s="3">
        <v>0.24162482260951298</v>
      </c>
      <c r="I28" s="13">
        <f>Submetering!E28+Submetering!H28</f>
        <v>32</v>
      </c>
      <c r="J28" s="84">
        <f t="shared" si="1"/>
        <v>1.686569936015061</v>
      </c>
      <c r="K28" s="12">
        <f>Submetering!AF28</f>
        <v>9</v>
      </c>
      <c r="L28" s="12">
        <f>Submetering!AG28</f>
        <v>16</v>
      </c>
    </row>
    <row r="29" spans="1:12" s="16" customFormat="1">
      <c r="A29" s="12" t="s">
        <v>12</v>
      </c>
      <c r="B29" s="15">
        <f t="shared" si="0"/>
        <v>28</v>
      </c>
      <c r="C29" s="3">
        <v>6</v>
      </c>
      <c r="D29" s="12">
        <v>2020</v>
      </c>
      <c r="E29" s="13">
        <f>Submetering!X29+Submetering!Y29</f>
        <v>15135.999999999989</v>
      </c>
      <c r="F29" s="3">
        <v>7.7909227967643713E-2</v>
      </c>
      <c r="G29" s="13">
        <f>Submetering!T29+Submetering!U29</f>
        <v>404</v>
      </c>
      <c r="H29" s="3">
        <v>0.24162482260951298</v>
      </c>
      <c r="I29" s="13">
        <f>Submetering!E29+Submetering!H29</f>
        <v>141</v>
      </c>
      <c r="J29" s="84">
        <f t="shared" si="1"/>
        <v>1.686569936015061</v>
      </c>
      <c r="K29" s="12">
        <f>Submetering!AF29</f>
        <v>6</v>
      </c>
      <c r="L29" s="12">
        <f>Submetering!AG29</f>
        <v>11</v>
      </c>
    </row>
    <row r="30" spans="1:12" s="16" customFormat="1">
      <c r="A30" s="12" t="s">
        <v>12</v>
      </c>
      <c r="B30" s="15">
        <f t="shared" si="0"/>
        <v>29</v>
      </c>
      <c r="C30" s="3">
        <v>6</v>
      </c>
      <c r="D30" s="12">
        <v>2020</v>
      </c>
      <c r="E30" s="13">
        <f>Submetering!X30+Submetering!Y30</f>
        <v>9679.9999999999491</v>
      </c>
      <c r="F30" s="3">
        <v>7.7909227967643713E-2</v>
      </c>
      <c r="G30" s="13">
        <f>Submetering!T30+Submetering!U30</f>
        <v>194</v>
      </c>
      <c r="H30" s="3">
        <v>0.24162482260951298</v>
      </c>
      <c r="I30" s="13">
        <f>Submetering!E30+Submetering!H30</f>
        <v>62</v>
      </c>
      <c r="J30" s="84">
        <f t="shared" si="1"/>
        <v>1.686569936015061</v>
      </c>
      <c r="K30" s="12">
        <f>Submetering!AF30</f>
        <v>5</v>
      </c>
      <c r="L30" s="12">
        <f>Submetering!AG30</f>
        <v>5</v>
      </c>
    </row>
    <row r="31" spans="1:12" s="14" customFormat="1">
      <c r="A31" s="12" t="s">
        <v>12</v>
      </c>
      <c r="B31" s="15">
        <f t="shared" si="0"/>
        <v>30</v>
      </c>
      <c r="C31" s="3">
        <v>6</v>
      </c>
      <c r="D31" s="12">
        <v>2020</v>
      </c>
      <c r="E31" s="13">
        <f>Submetering!X31+Submetering!Y31</f>
        <v>14828.00000000002</v>
      </c>
      <c r="F31" s="3">
        <v>7.7909227967643713E-2</v>
      </c>
      <c r="G31" s="13">
        <f>Submetering!T31+Submetering!U31</f>
        <v>421</v>
      </c>
      <c r="H31" s="3">
        <v>0.24162482260951298</v>
      </c>
      <c r="I31" s="13">
        <f>Submetering!E31+Submetering!H31</f>
        <v>79</v>
      </c>
      <c r="J31" s="84">
        <f t="shared" si="1"/>
        <v>1.686569936015061</v>
      </c>
      <c r="K31" s="12">
        <f>Submetering!AF31</f>
        <v>10</v>
      </c>
      <c r="L31" s="12">
        <f>Submetering!AG31</f>
        <v>10</v>
      </c>
    </row>
    <row r="32" spans="1:12">
      <c r="A32" s="12"/>
      <c r="B32" s="15"/>
      <c r="C32" s="3"/>
      <c r="D32" s="12"/>
      <c r="E32" s="13"/>
      <c r="F32" s="3"/>
      <c r="G32" s="13"/>
      <c r="H32" s="3"/>
      <c r="I32" s="13"/>
      <c r="J32" s="84"/>
    </row>
    <row r="35" spans="5:12">
      <c r="E35" s="9">
        <f>SUM(E2:E34)</f>
        <v>357236</v>
      </c>
      <c r="F35" s="9">
        <f t="shared" ref="F35:L35" si="2">SUM(F2:F34)</f>
        <v>2.337276839029311</v>
      </c>
      <c r="G35" s="9">
        <f t="shared" si="2"/>
        <v>13366</v>
      </c>
      <c r="H35" s="9">
        <f t="shared" si="2"/>
        <v>7.2487446782853855</v>
      </c>
      <c r="I35" s="9">
        <f t="shared" si="2"/>
        <v>1844</v>
      </c>
      <c r="J35" s="9">
        <f t="shared" si="2"/>
        <v>50.597098080451836</v>
      </c>
      <c r="K35" s="9">
        <f t="shared" si="2"/>
        <v>156</v>
      </c>
      <c r="L35" s="9">
        <f t="shared" si="2"/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AG57"/>
  <sheetViews>
    <sheetView topLeftCell="A10" zoomScaleNormal="100" workbookViewId="0">
      <selection activeCell="A35" sqref="A35:XFD35"/>
    </sheetView>
  </sheetViews>
  <sheetFormatPr defaultColWidth="11.5546875" defaultRowHeight="14.4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80" customFormat="1" ht="57.6">
      <c r="A1" s="6" t="s">
        <v>0</v>
      </c>
      <c r="B1" s="6" t="s">
        <v>1</v>
      </c>
      <c r="C1" s="79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>
      <c r="A2" s="12" t="s">
        <v>12</v>
      </c>
      <c r="B2" s="12">
        <v>1</v>
      </c>
      <c r="C2" s="3">
        <v>6</v>
      </c>
      <c r="D2" s="12">
        <v>2020</v>
      </c>
      <c r="E2" s="12">
        <f>IF(('FS Budapest'!C5-'FS Budapest'!C4)&lt;0,"0",('FS Budapest'!C5-'FS Budapest'!C4))</f>
        <v>0</v>
      </c>
      <c r="F2" s="12">
        <f>IF(('FS Budapest'!D5-'FS Budapest'!D4)&lt;0,"0",('FS Budapest'!D5-'FS Budapest'!D4))</f>
        <v>3</v>
      </c>
      <c r="G2" s="12">
        <f>IF(('FS Budapest'!E5-'FS Budapest'!Y5)&lt;0,"0",('FS Budapest'!E5-'FS Budapest'!Y5))</f>
        <v>2</v>
      </c>
      <c r="H2" s="12">
        <f>IF(('FS Budapest'!H5-'FS Budapest'!H4)&lt;0,"0",('FS Budapest'!H5-'FS Budapest'!H4))</f>
        <v>25</v>
      </c>
      <c r="I2" s="12">
        <f>IF(('FS Budapest'!I5-'FS Budapest'!I4)&lt;0,"0",('FS Budapest'!I5-'FS Budapest'!I4))</f>
        <v>1</v>
      </c>
      <c r="J2" s="12">
        <f>IF(('FS Budapest'!K5-'FS Budapest'!K4)&lt;0,"0",('FS Budapest'!K5-'FS Budapest'!K4))</f>
        <v>1</v>
      </c>
      <c r="K2" s="12">
        <f>IF(('FS Budapest'!M5-'FS Budapest'!M4)&lt;0,"0",('FS Budapest'!M5-'FS Budapest'!M4))</f>
        <v>2</v>
      </c>
      <c r="L2" s="12">
        <f>IF(('FS Budapest'!O5-'FS Budapest'!O4)&lt;0,"0",('FS Budapest'!O5-'FS Budapest'!O4))</f>
        <v>0</v>
      </c>
      <c r="M2" s="12">
        <f>IF(('FS Budapest'!Q5-'FS Budapest'!Q4)&lt;0,"0",('FS Budapest'!Q5-'FS Budapest'!Q4))</f>
        <v>0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</v>
      </c>
      <c r="Q2" s="12">
        <f>'FS Budapest'!AB5</f>
        <v>0</v>
      </c>
      <c r="R2" s="12">
        <f>'FS Budapest'!AE5</f>
        <v>1</v>
      </c>
      <c r="S2" s="12">
        <f>'FS Budapest'!AF5</f>
        <v>0</v>
      </c>
      <c r="T2" s="12">
        <f>IF(('FS Budapest'!AK5-'FS Budapest'!AK4)&lt;0,"0",('FS Budapest'!AK5-'FS Budapest'!AK4))</f>
        <v>219</v>
      </c>
      <c r="U2" s="12">
        <f>IF(('FS Budapest'!AM5-'FS Budapest'!AM4)&lt;0,"0",('FS Budapest'!AM5-'FS Budapest'!AM4))</f>
        <v>19</v>
      </c>
      <c r="V2" s="12">
        <f>IF(('FS Budapest'!AO5-'FS Budapest'!AO4)&lt;0,"0",('FS Budapest'!AO5-'FS Budapest'!AO4))</f>
        <v>0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7435.99999999999</v>
      </c>
      <c r="Z2" s="12">
        <f>'FS Budapest'!BI5</f>
        <v>7436</v>
      </c>
      <c r="AA2" s="12">
        <f>'FS Budapest'!BJ5</f>
        <v>7395</v>
      </c>
      <c r="AB2" s="12">
        <f>IF(('FS Budapest'!BK5-'FS Budapest'!BK4)&lt;0,"0",('FS Budapest'!BK5-'FS Budapest'!BK4)*100)</f>
        <v>477.99999999999727</v>
      </c>
      <c r="AC2" s="12">
        <f>'FS Budapest'!BM5</f>
        <v>7914</v>
      </c>
      <c r="AD2" s="12">
        <f>IF(('FS Budapest'!BP5-'FS Budapest'!BP4)&lt;0,"0",('FS Budapest'!BP5-'FS Budapest'!BP4))</f>
        <v>21</v>
      </c>
      <c r="AE2" s="12">
        <f>IF(('FS Budapest'!BR5-'FS Budapest'!BR4)&lt;0,"0",('FS Budapest'!BR5-'FS Budapest'!BR4))</f>
        <v>20</v>
      </c>
      <c r="AF2" s="12">
        <f>'FS Budapest'!BU5</f>
        <v>0</v>
      </c>
      <c r="AG2" s="12">
        <f>'FS Budapest'!BV5</f>
        <v>0</v>
      </c>
    </row>
    <row r="3" spans="1:33" s="16" customFormat="1">
      <c r="A3" s="12" t="s">
        <v>12</v>
      </c>
      <c r="B3" s="15">
        <f>B2+1</f>
        <v>2</v>
      </c>
      <c r="C3" s="3">
        <v>6</v>
      </c>
      <c r="D3" s="12">
        <v>2020</v>
      </c>
      <c r="E3" s="12">
        <f>IF(('FS Budapest'!C6-'FS Budapest'!C5)&lt;0,"0",('FS Budapest'!C6-'FS Budapest'!C5))</f>
        <v>0</v>
      </c>
      <c r="F3" s="12">
        <f>IF(('FS Budapest'!D6-'FS Budapest'!D5)&lt;0,"0",('FS Budapest'!D6-'FS Budapest'!D5))</f>
        <v>6</v>
      </c>
      <c r="G3" s="12">
        <f>IF(('FS Budapest'!E6-'FS Budapest'!Y6)&lt;0,"0",('FS Budapest'!E6-'FS Budapest'!Y6))</f>
        <v>4</v>
      </c>
      <c r="H3" s="12">
        <f>IF(('FS Budapest'!H6-'FS Budapest'!H5)&lt;0,"0",('FS Budapest'!H6-'FS Budapest'!H5))</f>
        <v>37</v>
      </c>
      <c r="I3" s="12">
        <f>IF(('FS Budapest'!I6-'FS Budapest'!I5)&lt;0,"0",('FS Budapest'!I6-'FS Budapest'!I5))</f>
        <v>2</v>
      </c>
      <c r="J3" s="12">
        <f>IF(('FS Budapest'!K6-'FS Budapest'!K5)&lt;0,"0",('FS Budapest'!K6-'FS Budapest'!K5))</f>
        <v>2</v>
      </c>
      <c r="K3" s="12">
        <f>IF(('FS Budapest'!M6-'FS Budapest'!M5)&lt;0,"0",('FS Budapest'!M6-'FS Budapest'!M5))</f>
        <v>4</v>
      </c>
      <c r="L3" s="12">
        <f>IF(('FS Budapest'!O6-'FS Budapest'!O5)&lt;0,"0",('FS Budapest'!O6-'FS Budapest'!O5))</f>
        <v>0</v>
      </c>
      <c r="M3" s="12">
        <f>IF(('FS Budapest'!Q6-'FS Budapest'!Q5)&lt;0,"0",('FS Budapest'!Q6-'FS Budapest'!Q5))</f>
        <v>0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2</v>
      </c>
      <c r="Q3" s="12">
        <f>'FS Budapest'!AB6</f>
        <v>0</v>
      </c>
      <c r="R3" s="12">
        <f>'FS Budapest'!AE6</f>
        <v>3</v>
      </c>
      <c r="S3" s="12">
        <f>'FS Budapest'!AF6</f>
        <v>0</v>
      </c>
      <c r="T3" s="12">
        <f>IF(('FS Budapest'!AK6-'FS Budapest'!AK5)&lt;0,"0",('FS Budapest'!AK6-'FS Budapest'!AK5))</f>
        <v>239</v>
      </c>
      <c r="U3" s="12">
        <f>IF(('FS Budapest'!AM6-'FS Budapest'!AM5)&lt;0,"0",('FS Budapest'!AM6-'FS Budapest'!AM5))</f>
        <v>21</v>
      </c>
      <c r="V3" s="12">
        <f>IF(('FS Budapest'!AO6-'FS Budapest'!AO5)&lt;0,"0",('FS Budapest'!AO6-'FS Budapest'!AO5))</f>
        <v>0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8228.00000000002</v>
      </c>
      <c r="Z3" s="12">
        <f>'FS Budapest'!BI6</f>
        <v>8228</v>
      </c>
      <c r="AA3" s="12">
        <f>'FS Budapest'!BJ6</f>
        <v>8193</v>
      </c>
      <c r="AB3" s="12">
        <f>IF(('FS Budapest'!BK6-'FS Budapest'!BK5)&lt;0,"0",('FS Budapest'!BK6-'FS Budapest'!BK5)*100)</f>
        <v>579.00000000000205</v>
      </c>
      <c r="AC3" s="12">
        <f>'FS Budapest'!BM6</f>
        <v>8807</v>
      </c>
      <c r="AD3" s="12">
        <f>IF(('FS Budapest'!BP6-'FS Budapest'!BP5)&lt;0,"0",('FS Budapest'!BP6-'FS Budapest'!BP5))</f>
        <v>20</v>
      </c>
      <c r="AE3" s="12">
        <f>IF(('FS Budapest'!BR6-'FS Budapest'!BR5)&lt;0,"0",('FS Budapest'!BR6-'FS Budapest'!BR5))</f>
        <v>15</v>
      </c>
      <c r="AF3" s="12">
        <f>'FS Budapest'!BU6</f>
        <v>0</v>
      </c>
      <c r="AG3" s="12">
        <f>'FS Budapest'!BV6</f>
        <v>0</v>
      </c>
    </row>
    <row r="4" spans="1:33" s="16" customFormat="1">
      <c r="A4" s="12" t="s">
        <v>12</v>
      </c>
      <c r="B4" s="15">
        <f t="shared" ref="B4:B31" si="0">B3+1</f>
        <v>3</v>
      </c>
      <c r="C4" s="3">
        <v>6</v>
      </c>
      <c r="D4" s="12">
        <v>2020</v>
      </c>
      <c r="E4" s="12">
        <f>IF(('FS Budapest'!C7-'FS Budapest'!C6)&lt;0,"0",('FS Budapest'!C7-'FS Budapest'!C6))</f>
        <v>0</v>
      </c>
      <c r="F4" s="12">
        <f>IF(('FS Budapest'!D7-'FS Budapest'!D6)&lt;0,"0",('FS Budapest'!D7-'FS Budapest'!D6))</f>
        <v>5</v>
      </c>
      <c r="G4" s="12">
        <f>IF(('FS Budapest'!E7-'FS Budapest'!Y7)&lt;0,"0",('FS Budapest'!E7-'FS Budapest'!Y7))</f>
        <v>4</v>
      </c>
      <c r="H4" s="12">
        <f>IF(('FS Budapest'!H7-'FS Budapest'!H6)&lt;0,"0",('FS Budapest'!H7-'FS Budapest'!H6))</f>
        <v>37</v>
      </c>
      <c r="I4" s="12">
        <f>IF(('FS Budapest'!I7-'FS Budapest'!I6)&lt;0,"0",('FS Budapest'!I7-'FS Budapest'!I6))</f>
        <v>3</v>
      </c>
      <c r="J4" s="12">
        <f>IF(('FS Budapest'!K7-'FS Budapest'!K6)&lt;0,"0",('FS Budapest'!K7-'FS Budapest'!K6))</f>
        <v>3</v>
      </c>
      <c r="K4" s="12">
        <f>IF(('FS Budapest'!M7-'FS Budapest'!M6)&lt;0,"0",('FS Budapest'!M7-'FS Budapest'!M6))</f>
        <v>2</v>
      </c>
      <c r="L4" s="12">
        <f>IF(('FS Budapest'!O7-'FS Budapest'!O6)&lt;0,"0",('FS Budapest'!O7-'FS Budapest'!O6))</f>
        <v>1</v>
      </c>
      <c r="M4" s="12">
        <f>IF(('FS Budapest'!Q7-'FS Budapest'!Q6)&lt;0,"0",('FS Budapest'!Q7-'FS Budapest'!Q6))</f>
        <v>0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1</v>
      </c>
      <c r="Q4" s="12">
        <f>'FS Budapest'!AB7</f>
        <v>0</v>
      </c>
      <c r="R4" s="12">
        <f>'FS Budapest'!AE7</f>
        <v>2</v>
      </c>
      <c r="S4" s="12">
        <f>'FS Budapest'!AF7</f>
        <v>0</v>
      </c>
      <c r="T4" s="12">
        <f>IF(('FS Budapest'!AK7-'FS Budapest'!AK6)&lt;0,"0",('FS Budapest'!AK7-'FS Budapest'!AK6))</f>
        <v>393</v>
      </c>
      <c r="U4" s="12">
        <f>IF(('FS Budapest'!AM7-'FS Budapest'!AM6)&lt;0,"0",('FS Budapest'!AM7-'FS Budapest'!AM6))</f>
        <v>24</v>
      </c>
      <c r="V4" s="12">
        <f>IF(('FS Budapest'!AO7-'FS Budapest'!AO6)&lt;0,"0",('FS Budapest'!AO7-'FS Budapest'!AO6))</f>
        <v>0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8315.99999999994</v>
      </c>
      <c r="Z4" s="12">
        <f>'FS Budapest'!BI7</f>
        <v>8316</v>
      </c>
      <c r="AA4" s="12">
        <f>'FS Budapest'!BJ7</f>
        <v>8294</v>
      </c>
      <c r="AB4" s="12">
        <f>IF(('FS Budapest'!BK7-'FS Budapest'!BK6)&lt;0,"0",('FS Budapest'!BK7-'FS Budapest'!BK6)*100)</f>
        <v>574.00000000000091</v>
      </c>
      <c r="AC4" s="12">
        <f>'FS Budapest'!BM7</f>
        <v>8890</v>
      </c>
      <c r="AD4" s="12">
        <f>IF(('FS Budapest'!BP7-'FS Budapest'!BP6)&lt;0,"0",('FS Budapest'!BP7-'FS Budapest'!BP6))</f>
        <v>10</v>
      </c>
      <c r="AE4" s="12">
        <f>IF(('FS Budapest'!BR7-'FS Budapest'!BR6)&lt;0,"0",('FS Budapest'!BR7-'FS Budapest'!BR6))</f>
        <v>12</v>
      </c>
      <c r="AF4" s="12">
        <f>'FS Budapest'!BU7</f>
        <v>1</v>
      </c>
      <c r="AG4" s="12">
        <f>'FS Budapest'!BV7</f>
        <v>2</v>
      </c>
    </row>
    <row r="5" spans="1:33" s="16" customFormat="1">
      <c r="A5" s="12" t="s">
        <v>12</v>
      </c>
      <c r="B5" s="15">
        <f t="shared" si="0"/>
        <v>4</v>
      </c>
      <c r="C5" s="3">
        <v>6</v>
      </c>
      <c r="D5" s="12">
        <v>2020</v>
      </c>
      <c r="E5" s="12">
        <f>IF(('FS Budapest'!C8-'FS Budapest'!C7)&lt;0,"0",('FS Budapest'!C8-'FS Budapest'!C7))</f>
        <v>0</v>
      </c>
      <c r="F5" s="12">
        <f>IF(('FS Budapest'!D8-'FS Budapest'!D7)&lt;0,"0",('FS Budapest'!D8-'FS Budapest'!D7))</f>
        <v>9</v>
      </c>
      <c r="G5" s="12">
        <f>IF(('FS Budapest'!E8-'FS Budapest'!Y8)&lt;0,"0",('FS Budapest'!E8-'FS Budapest'!Y8))</f>
        <v>7</v>
      </c>
      <c r="H5" s="12">
        <f>IF(('FS Budapest'!H8-'FS Budapest'!H7)&lt;0,"0",('FS Budapest'!H8-'FS Budapest'!H7))</f>
        <v>37</v>
      </c>
      <c r="I5" s="12">
        <f>IF(('FS Budapest'!I8-'FS Budapest'!I7)&lt;0,"0",('FS Budapest'!I8-'FS Budapest'!I7))</f>
        <v>3</v>
      </c>
      <c r="J5" s="12">
        <f>IF(('FS Budapest'!K8-'FS Budapest'!K7)&lt;0,"0",('FS Budapest'!K8-'FS Budapest'!K7))</f>
        <v>3</v>
      </c>
      <c r="K5" s="12">
        <f>IF(('FS Budapest'!M8-'FS Budapest'!M7)&lt;0,"0",('FS Budapest'!M8-'FS Budapest'!M7))</f>
        <v>2</v>
      </c>
      <c r="L5" s="12">
        <f>IF(('FS Budapest'!O8-'FS Budapest'!O7)&lt;0,"0",('FS Budapest'!O8-'FS Budapest'!O7))</f>
        <v>1</v>
      </c>
      <c r="M5" s="12">
        <f>IF(('FS Budapest'!Q8-'FS Budapest'!Q7)&lt;0,"0",('FS Budapest'!Q8-'FS Budapest'!Q7))</f>
        <v>0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2</v>
      </c>
      <c r="Q5" s="12">
        <f>'FS Budapest'!AB8</f>
        <v>0</v>
      </c>
      <c r="R5" s="12">
        <f>'FS Budapest'!AE8</f>
        <v>1</v>
      </c>
      <c r="S5" s="12">
        <f>'FS Budapest'!AF8</f>
        <v>0</v>
      </c>
      <c r="T5" s="12">
        <f>IF(('FS Budapest'!AK8-'FS Budapest'!AK7)&lt;0,"0",('FS Budapest'!AK8-'FS Budapest'!AK7))</f>
        <v>364</v>
      </c>
      <c r="U5" s="12">
        <f>IF(('FS Budapest'!AM8-'FS Budapest'!AM7)&lt;0,"0",('FS Budapest'!AM8-'FS Budapest'!AM7))</f>
        <v>25</v>
      </c>
      <c r="V5" s="12">
        <f>IF(('FS Budapest'!AO8-'FS Budapest'!AO7)&lt;0,"0",('FS Budapest'!AO8-'FS Budapest'!AO7))</f>
        <v>0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9020.0000000000509</v>
      </c>
      <c r="Z5" s="12">
        <f>'FS Budapest'!BI8</f>
        <v>9020</v>
      </c>
      <c r="AA5" s="12">
        <f>'FS Budapest'!BJ8</f>
        <v>8999</v>
      </c>
      <c r="AB5" s="12">
        <f>IF(('FS Budapest'!BK8-'FS Budapest'!BK7)&lt;0,"0",('FS Budapest'!BK8-'FS Budapest'!BK7)*100)</f>
        <v>610.00000000000227</v>
      </c>
      <c r="AC5" s="12">
        <f>'FS Budapest'!BM8</f>
        <v>9630</v>
      </c>
      <c r="AD5" s="12">
        <f>IF(('FS Budapest'!BP8-'FS Budapest'!BP7)&lt;0,"0",('FS Budapest'!BP8-'FS Budapest'!BP7))</f>
        <v>9</v>
      </c>
      <c r="AE5" s="12">
        <f>IF(('FS Budapest'!BR8-'FS Budapest'!BR7)&lt;0,"0",('FS Budapest'!BR8-'FS Budapest'!BR7))</f>
        <v>12</v>
      </c>
      <c r="AF5" s="12">
        <f>'FS Budapest'!BU8</f>
        <v>7</v>
      </c>
      <c r="AG5" s="12">
        <f>'FS Budapest'!BV8</f>
        <v>12</v>
      </c>
    </row>
    <row r="6" spans="1:33" s="16" customFormat="1">
      <c r="A6" s="12" t="s">
        <v>12</v>
      </c>
      <c r="B6" s="15">
        <f t="shared" si="0"/>
        <v>5</v>
      </c>
      <c r="C6" s="3">
        <v>6</v>
      </c>
      <c r="D6" s="12">
        <v>2020</v>
      </c>
      <c r="E6" s="12">
        <f>IF(('FS Budapest'!C9-'FS Budapest'!C8)&lt;0,"0",('FS Budapest'!C9-'FS Budapest'!C8))</f>
        <v>0</v>
      </c>
      <c r="F6" s="12">
        <f>IF(('FS Budapest'!D9-'FS Budapest'!D8)&lt;0,"0",('FS Budapest'!D9-'FS Budapest'!D8))</f>
        <v>8</v>
      </c>
      <c r="G6" s="12">
        <f>IF(('FS Budapest'!E9-'FS Budapest'!Y9)&lt;0,"0",('FS Budapest'!E9-'FS Budapest'!Y9))</f>
        <v>5</v>
      </c>
      <c r="H6" s="12">
        <f>IF(('FS Budapest'!H9-'FS Budapest'!H8)&lt;0,"0",('FS Budapest'!H9-'FS Budapest'!H8))</f>
        <v>48</v>
      </c>
      <c r="I6" s="12">
        <f>IF(('FS Budapest'!I9-'FS Budapest'!I8)&lt;0,"0",('FS Budapest'!I9-'FS Budapest'!I8))</f>
        <v>3</v>
      </c>
      <c r="J6" s="12">
        <f>IF(('FS Budapest'!K9-'FS Budapest'!K8)&lt;0,"0",('FS Budapest'!K9-'FS Budapest'!K8))</f>
        <v>2</v>
      </c>
      <c r="K6" s="12">
        <f>IF(('FS Budapest'!M9-'FS Budapest'!M8)&lt;0,"0",('FS Budapest'!M9-'FS Budapest'!M8))</f>
        <v>4</v>
      </c>
      <c r="L6" s="12">
        <f>IF(('FS Budapest'!O9-'FS Budapest'!O8)&lt;0,"0",('FS Budapest'!O9-'FS Budapest'!O8))</f>
        <v>1</v>
      </c>
      <c r="M6" s="12">
        <f>IF(('FS Budapest'!Q9-'FS Budapest'!Q8)&lt;0,"0",('FS Budapest'!Q9-'FS Budapest'!Q8))</f>
        <v>0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3</v>
      </c>
      <c r="Q6" s="12">
        <f>'FS Budapest'!AB9</f>
        <v>0</v>
      </c>
      <c r="R6" s="12">
        <f>'FS Budapest'!AE9</f>
        <v>5</v>
      </c>
      <c r="S6" s="12">
        <f>'FS Budapest'!AF9</f>
        <v>0</v>
      </c>
      <c r="T6" s="12">
        <f>IF(('FS Budapest'!AK9-'FS Budapest'!AK8)&lt;0,"0",('FS Budapest'!AK9-'FS Budapest'!AK8))</f>
        <v>526</v>
      </c>
      <c r="U6" s="12">
        <f>IF(('FS Budapest'!AM9-'FS Budapest'!AM8)&lt;0,"0",('FS Budapest'!AM9-'FS Budapest'!AM8))</f>
        <v>21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8448.0000000000073</v>
      </c>
      <c r="Z6" s="12">
        <f>'FS Budapest'!BI9</f>
        <v>8448</v>
      </c>
      <c r="AA6" s="12">
        <f>'FS Budapest'!BJ9</f>
        <v>8143</v>
      </c>
      <c r="AB6" s="12">
        <f>IF(('FS Budapest'!BK9-'FS Budapest'!BK8)&lt;0,"0",('FS Budapest'!BK9-'FS Budapest'!BK8)*100)</f>
        <v>429.99999999999545</v>
      </c>
      <c r="AC6" s="12">
        <f>'FS Budapest'!BM9</f>
        <v>8878</v>
      </c>
      <c r="AD6" s="12">
        <f>IF(('FS Budapest'!BP9-'FS Budapest'!BP8)&lt;0,"0",('FS Budapest'!BP9-'FS Budapest'!BP8))</f>
        <v>41</v>
      </c>
      <c r="AE6" s="12">
        <f>IF(('FS Budapest'!BR9-'FS Budapest'!BR8)&lt;0,"0",('FS Budapest'!BR9-'FS Budapest'!BR8))</f>
        <v>264</v>
      </c>
      <c r="AF6" s="12">
        <f>'FS Budapest'!BU9</f>
        <v>1</v>
      </c>
      <c r="AG6" s="12">
        <f>'FS Budapest'!BV9</f>
        <v>2</v>
      </c>
    </row>
    <row r="7" spans="1:33" s="16" customFormat="1">
      <c r="A7" s="12" t="s">
        <v>12</v>
      </c>
      <c r="B7" s="15">
        <f t="shared" si="0"/>
        <v>6</v>
      </c>
      <c r="C7" s="3">
        <v>6</v>
      </c>
      <c r="D7" s="12">
        <v>2020</v>
      </c>
      <c r="E7" s="12">
        <f>IF(('FS Budapest'!C10-'FS Budapest'!C9)&lt;0,"0",('FS Budapest'!C10-'FS Budapest'!C9))</f>
        <v>0</v>
      </c>
      <c r="F7" s="12">
        <f>IF(('FS Budapest'!D10-'FS Budapest'!D9)&lt;0,"0",('FS Budapest'!D10-'FS Budapest'!D9))</f>
        <v>4</v>
      </c>
      <c r="G7" s="12">
        <f>IF(('FS Budapest'!E10-'FS Budapest'!Y10)&lt;0,"0",('FS Budapest'!E10-'FS Budapest'!Y10))</f>
        <v>3</v>
      </c>
      <c r="H7" s="12">
        <f>IF(('FS Budapest'!H10-'FS Budapest'!H9)&lt;0,"0",('FS Budapest'!H10-'FS Budapest'!H9))</f>
        <v>35</v>
      </c>
      <c r="I7" s="12">
        <f>IF(('FS Budapest'!I10-'FS Budapest'!I9)&lt;0,"0",('FS Budapest'!I10-'FS Budapest'!I9))</f>
        <v>0</v>
      </c>
      <c r="J7" s="12">
        <f>IF(('FS Budapest'!K10-'FS Budapest'!K9)&lt;0,"0",('FS Budapest'!K10-'FS Budapest'!K9))</f>
        <v>2</v>
      </c>
      <c r="K7" s="12">
        <f>IF(('FS Budapest'!M10-'FS Budapest'!M9)&lt;0,"0",('FS Budapest'!M10-'FS Budapest'!M9))</f>
        <v>3</v>
      </c>
      <c r="L7" s="12">
        <f>IF(('FS Budapest'!O10-'FS Budapest'!O9)&lt;0,"0",('FS Budapest'!O10-'FS Budapest'!O9))</f>
        <v>0</v>
      </c>
      <c r="M7" s="12">
        <f>IF(('FS Budapest'!Q10-'FS Budapest'!Q9)&lt;0,"0",('FS Budapest'!Q10-'FS Budapest'!Q9))</f>
        <v>0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1</v>
      </c>
      <c r="Q7" s="12">
        <f>'FS Budapest'!AB10</f>
        <v>0</v>
      </c>
      <c r="R7" s="12">
        <f>'FS Budapest'!AE10</f>
        <v>4</v>
      </c>
      <c r="S7" s="12">
        <f>'FS Budapest'!AF10</f>
        <v>0</v>
      </c>
      <c r="T7" s="12">
        <f>IF(('FS Budapest'!AK10-'FS Budapest'!AK9)&lt;0,"0",('FS Budapest'!AK10-'FS Budapest'!AK9))</f>
        <v>440</v>
      </c>
      <c r="U7" s="12">
        <f>IF(('FS Budapest'!AM10-'FS Budapest'!AM9)&lt;0,"0",('FS Budapest'!AM10-'FS Budapest'!AM9))</f>
        <v>27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8447.9999999999454</v>
      </c>
      <c r="Z7" s="12">
        <f>'FS Budapest'!BI10</f>
        <v>8448</v>
      </c>
      <c r="AA7" s="12">
        <f>'FS Budapest'!BJ10</f>
        <v>8417</v>
      </c>
      <c r="AB7" s="12">
        <f>IF(('FS Budapest'!BK10-'FS Budapest'!BK9)&lt;0,"0",('FS Budapest'!BK10-'FS Budapest'!BK9)*100)</f>
        <v>533.00000000000409</v>
      </c>
      <c r="AC7" s="12">
        <f>'FS Budapest'!BM10</f>
        <v>8981</v>
      </c>
      <c r="AD7" s="12">
        <f>IF(('FS Budapest'!BP10-'FS Budapest'!BP9)&lt;0,"0",('FS Budapest'!BP10-'FS Budapest'!BP9))</f>
        <v>20</v>
      </c>
      <c r="AE7" s="12">
        <f>IF(('FS Budapest'!BR10-'FS Budapest'!BR9)&lt;0,"0",('FS Budapest'!BR10-'FS Budapest'!BR9))</f>
        <v>11</v>
      </c>
      <c r="AF7" s="12">
        <f>'FS Budapest'!BU10</f>
        <v>1</v>
      </c>
      <c r="AG7" s="12">
        <f>'FS Budapest'!BV10</f>
        <v>2</v>
      </c>
    </row>
    <row r="8" spans="1:33" s="16" customFormat="1">
      <c r="A8" s="12" t="s">
        <v>12</v>
      </c>
      <c r="B8" s="15">
        <f t="shared" si="0"/>
        <v>7</v>
      </c>
      <c r="C8" s="3">
        <v>6</v>
      </c>
      <c r="D8" s="12">
        <v>2020</v>
      </c>
      <c r="E8" s="12">
        <f>IF(('FS Budapest'!C11-'FS Budapest'!C10)&lt;0,"0",('FS Budapest'!C11-'FS Budapest'!C10))</f>
        <v>0</v>
      </c>
      <c r="F8" s="12">
        <f>IF(('FS Budapest'!D11-'FS Budapest'!D10)&lt;0,"0",('FS Budapest'!D11-'FS Budapest'!D10))</f>
        <v>6</v>
      </c>
      <c r="G8" s="12">
        <f>IF(('FS Budapest'!E11-'FS Budapest'!Y11)&lt;0,"0",('FS Budapest'!E11-'FS Budapest'!Y11))</f>
        <v>5</v>
      </c>
      <c r="H8" s="12">
        <f>IF(('FS Budapest'!H11-'FS Budapest'!H10)&lt;0,"0",('FS Budapest'!H11-'FS Budapest'!H10))</f>
        <v>35</v>
      </c>
      <c r="I8" s="12">
        <f>IF(('FS Budapest'!I11-'FS Budapest'!I10)&lt;0,"0",('FS Budapest'!I11-'FS Budapest'!I10))</f>
        <v>5</v>
      </c>
      <c r="J8" s="12">
        <f>IF(('FS Budapest'!K11-'FS Budapest'!K10)&lt;0,"0",('FS Budapest'!K11-'FS Budapest'!K10))</f>
        <v>3</v>
      </c>
      <c r="K8" s="12">
        <f>IF(('FS Budapest'!M11-'FS Budapest'!M10)&lt;0,"0",('FS Budapest'!M11-'FS Budapest'!M10))</f>
        <v>2</v>
      </c>
      <c r="L8" s="12">
        <f>IF(('FS Budapest'!O11-'FS Budapest'!O10)&lt;0,"0",('FS Budapest'!O11-'FS Budapest'!O10))</f>
        <v>0</v>
      </c>
      <c r="M8" s="12">
        <f>IF(('FS Budapest'!Q11-'FS Budapest'!Q10)&lt;0,"0",('FS Budapest'!Q11-'FS Budapest'!Q10))</f>
        <v>0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1</v>
      </c>
      <c r="Q8" s="12">
        <f>'FS Budapest'!AB11</f>
        <v>1</v>
      </c>
      <c r="R8" s="12">
        <f>'FS Budapest'!AE11</f>
        <v>1</v>
      </c>
      <c r="S8" s="12">
        <f>'FS Budapest'!AF11</f>
        <v>1</v>
      </c>
      <c r="T8" s="12">
        <f>IF(('FS Budapest'!AK11-'FS Budapest'!AK10)&lt;0,"0",('FS Budapest'!AK11-'FS Budapest'!AK10))</f>
        <v>547</v>
      </c>
      <c r="U8" s="12">
        <f>IF(('FS Budapest'!AM11-'FS Budapest'!AM10)&lt;0,"0",('FS Budapest'!AM11-'FS Budapest'!AM10))</f>
        <v>20</v>
      </c>
      <c r="V8" s="12">
        <f>IF(('FS Budapest'!AO11-'FS Budapest'!AO10)&lt;0,"0",('FS Budapest'!AO11-'FS Budapest'!AO10))</f>
        <v>156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8052.0000000000546</v>
      </c>
      <c r="Z8" s="12">
        <f>'FS Budapest'!BI11</f>
        <v>8052</v>
      </c>
      <c r="AA8" s="12">
        <f>'FS Budapest'!BJ11</f>
        <v>8021</v>
      </c>
      <c r="AB8" s="12">
        <f>IF(('FS Budapest'!BK11-'FS Budapest'!BK10)&lt;0,"0",('FS Budapest'!BK11-'FS Budapest'!BK10)*100)</f>
        <v>440.99999999999682</v>
      </c>
      <c r="AC8" s="12">
        <f>'FS Budapest'!BM11</f>
        <v>8493</v>
      </c>
      <c r="AD8" s="12">
        <f>IF(('FS Budapest'!BP11-'FS Budapest'!BP10)&lt;0,"0",('FS Budapest'!BP11-'FS Budapest'!BP10))</f>
        <v>21</v>
      </c>
      <c r="AE8" s="12">
        <f>IF(('FS Budapest'!BR11-'FS Budapest'!BR10)&lt;0,"0",('FS Budapest'!BR11-'FS Budapest'!BR10))</f>
        <v>10</v>
      </c>
      <c r="AF8" s="12">
        <f>'FS Budapest'!BU11</f>
        <v>0</v>
      </c>
      <c r="AG8" s="12">
        <f>'FS Budapest'!BV11</f>
        <v>0</v>
      </c>
    </row>
    <row r="9" spans="1:33" s="16" customFormat="1">
      <c r="A9" s="12" t="s">
        <v>12</v>
      </c>
      <c r="B9" s="15">
        <f t="shared" si="0"/>
        <v>8</v>
      </c>
      <c r="C9" s="3">
        <v>6</v>
      </c>
      <c r="D9" s="12">
        <v>2020</v>
      </c>
      <c r="E9" s="12">
        <f>IF(('FS Budapest'!C12-'FS Budapest'!C11)&lt;0,"0",('FS Budapest'!C12-'FS Budapest'!C11))</f>
        <v>0</v>
      </c>
      <c r="F9" s="12">
        <f>IF(('FS Budapest'!D12-'FS Budapest'!D11)&lt;0,"0",('FS Budapest'!D12-'FS Budapest'!D11))</f>
        <v>18</v>
      </c>
      <c r="G9" s="12">
        <f>IF(('FS Budapest'!E12-'FS Budapest'!Y12)&lt;0,"0",('FS Budapest'!E12-'FS Budapest'!Y12))</f>
        <v>7</v>
      </c>
      <c r="H9" s="12">
        <f>IF(('FS Budapest'!H12-'FS Budapest'!H11)&lt;0,"0",('FS Budapest'!H12-'FS Budapest'!H11))</f>
        <v>80</v>
      </c>
      <c r="I9" s="12">
        <f>IF(('FS Budapest'!I12-'FS Budapest'!I11)&lt;0,"0",('FS Budapest'!I12-'FS Budapest'!I11))</f>
        <v>22</v>
      </c>
      <c r="J9" s="12">
        <f>IF(('FS Budapest'!K12-'FS Budapest'!K11)&lt;0,"0",('FS Budapest'!K12-'FS Budapest'!K11))</f>
        <v>2</v>
      </c>
      <c r="K9" s="12">
        <f>IF(('FS Budapest'!M12-'FS Budapest'!M11)&lt;0,"0",('FS Budapest'!M12-'FS Budapest'!M11))</f>
        <v>4</v>
      </c>
      <c r="L9" s="12">
        <f>IF(('FS Budapest'!O12-'FS Budapest'!O11)&lt;0,"0",('FS Budapest'!O12-'FS Budapest'!O11))</f>
        <v>1</v>
      </c>
      <c r="M9" s="12">
        <f>IF(('FS Budapest'!Q12-'FS Budapest'!Q11)&lt;0,"0",('FS Budapest'!Q12-'FS Budapest'!Q11))</f>
        <v>0</v>
      </c>
      <c r="N9" s="12">
        <f>IF(('FS Budapest'!S12-'FS Budapest'!S11)&lt;0,"0",('FS Budapest'!S12-'FS Budapest'!S11))</f>
        <v>1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11</v>
      </c>
      <c r="Q9" s="12">
        <f>'FS Budapest'!AB12</f>
        <v>0</v>
      </c>
      <c r="R9" s="12">
        <f>'FS Budapest'!AE12</f>
        <v>1</v>
      </c>
      <c r="S9" s="12">
        <f>'FS Budapest'!AF12</f>
        <v>8</v>
      </c>
      <c r="T9" s="12">
        <f>IF(('FS Budapest'!AK12-'FS Budapest'!AK11)&lt;0,"0",('FS Budapest'!AK12-'FS Budapest'!AK11))</f>
        <v>64</v>
      </c>
      <c r="U9" s="12">
        <f>IF(('FS Budapest'!AM12-'FS Budapest'!AM11)&lt;0,"0",('FS Budapest'!AM12-'FS Budapest'!AM11))</f>
        <v>18</v>
      </c>
      <c r="V9" s="12">
        <f>IF(('FS Budapest'!AO12-'FS Budapest'!AO11)&lt;0,"0",('FS Budapest'!AO12-'FS Budapest'!AO11))</f>
        <v>579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10295.999999999953</v>
      </c>
      <c r="Z9" s="12">
        <f>'FS Budapest'!BI12</f>
        <v>10296</v>
      </c>
      <c r="AA9" s="12">
        <f>'FS Budapest'!BJ12</f>
        <v>9253</v>
      </c>
      <c r="AB9" s="12">
        <f>IF(('FS Budapest'!BK12-'FS Budapest'!BK11)&lt;0,"0",('FS Budapest'!BK12-'FS Budapest'!BK11)*100)</f>
        <v>562.00000000000045</v>
      </c>
      <c r="AC9" s="12">
        <f>'FS Budapest'!BM12</f>
        <v>10858</v>
      </c>
      <c r="AD9" s="12">
        <f>IF(('FS Budapest'!BP12-'FS Budapest'!BP11)&lt;0,"0",('FS Budapest'!BP12-'FS Budapest'!BP11))</f>
        <v>20</v>
      </c>
      <c r="AE9" s="12">
        <f>IF(('FS Budapest'!BR12-'FS Budapest'!BR11)&lt;0,"0",('FS Budapest'!BR12-'FS Budapest'!BR11))</f>
        <v>1023</v>
      </c>
      <c r="AF9" s="12">
        <f>'FS Budapest'!BU12</f>
        <v>1</v>
      </c>
      <c r="AG9" s="12">
        <f>'FS Budapest'!BV12</f>
        <v>1</v>
      </c>
    </row>
    <row r="10" spans="1:33" s="16" customFormat="1">
      <c r="A10" s="12" t="s">
        <v>12</v>
      </c>
      <c r="B10" s="15">
        <f t="shared" si="0"/>
        <v>9</v>
      </c>
      <c r="C10" s="3">
        <v>6</v>
      </c>
      <c r="D10" s="12">
        <v>2020</v>
      </c>
      <c r="E10" s="12">
        <f>IF(('FS Budapest'!C13-'FS Budapest'!C12)&lt;0,"0",('FS Budapest'!C13-'FS Budapest'!C12))</f>
        <v>0</v>
      </c>
      <c r="F10" s="12">
        <f>IF(('FS Budapest'!D13-'FS Budapest'!D12)&lt;0,"0",('FS Budapest'!D13-'FS Budapest'!D12))</f>
        <v>7</v>
      </c>
      <c r="G10" s="12">
        <f>IF(('FS Budapest'!E13-'FS Budapest'!Y13)&lt;0,"0",('FS Budapest'!E13-'FS Budapest'!Y13))</f>
        <v>1</v>
      </c>
      <c r="H10" s="12">
        <f>IF(('FS Budapest'!H13-'FS Budapest'!H12)&lt;0,"0",('FS Budapest'!H13-'FS Budapest'!H12))</f>
        <v>38</v>
      </c>
      <c r="I10" s="12">
        <f>IF(('FS Budapest'!I13-'FS Budapest'!I12)&lt;0,"0",('FS Budapest'!I13-'FS Budapest'!I12))</f>
        <v>3</v>
      </c>
      <c r="J10" s="12">
        <f>IF(('FS Budapest'!K13-'FS Budapest'!K12)&lt;0,"0",('FS Budapest'!K13-'FS Budapest'!K12))</f>
        <v>2</v>
      </c>
      <c r="K10" s="12">
        <f>IF(('FS Budapest'!M13-'FS Budapest'!M12)&lt;0,"0",('FS Budapest'!M13-'FS Budapest'!M12))</f>
        <v>3</v>
      </c>
      <c r="L10" s="12">
        <f>IF(('FS Budapest'!O13-'FS Budapest'!O12)&lt;0,"0",('FS Budapest'!O13-'FS Budapest'!O12))</f>
        <v>0</v>
      </c>
      <c r="M10" s="12">
        <f>IF(('FS Budapest'!Q13-'FS Budapest'!Q12)&lt;0,"0",('FS Budapest'!Q13-'FS Budapest'!Q12))</f>
        <v>10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6</v>
      </c>
      <c r="Q10" s="12">
        <f>'FS Budapest'!AB13</f>
        <v>0</v>
      </c>
      <c r="R10" s="12">
        <f>'FS Budapest'!AE13</f>
        <v>2</v>
      </c>
      <c r="S10" s="12">
        <f>'FS Budapest'!AF13</f>
        <v>10</v>
      </c>
      <c r="T10" s="12">
        <f>IF(('FS Budapest'!AK13-'FS Budapest'!AK12)&lt;0,"0",('FS Budapest'!AK13-'FS Budapest'!AK12))</f>
        <v>951</v>
      </c>
      <c r="U10" s="12">
        <f>IF(('FS Budapest'!AM13-'FS Budapest'!AM12)&lt;0,"0",('FS Budapest'!AM13-'FS Budapest'!AM12))</f>
        <v>20</v>
      </c>
      <c r="V10" s="12">
        <f>IF(('FS Budapest'!AO13-'FS Budapest'!AO12)&lt;0,"0",('FS Budapest'!AO13-'FS Budapest'!AO12))</f>
        <v>25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8183.9999999999973</v>
      </c>
      <c r="Z10" s="12">
        <f>'FS Budapest'!BI13</f>
        <v>8184</v>
      </c>
      <c r="AA10" s="12">
        <f>'FS Budapest'!BJ13</f>
        <v>8158</v>
      </c>
      <c r="AB10" s="12">
        <f>IF(('FS Budapest'!BK13-'FS Budapest'!BK12)&lt;0,"0",('FS Budapest'!BK13-'FS Budapest'!BK12)*100)</f>
        <v>604.00000000000205</v>
      </c>
      <c r="AC10" s="12">
        <f>'FS Budapest'!BM13</f>
        <v>8788</v>
      </c>
      <c r="AD10" s="12">
        <f>IF(('FS Budapest'!BP13-'FS Budapest'!BP12)&lt;0,"0",('FS Budapest'!BP13-'FS Budapest'!BP12))</f>
        <v>19</v>
      </c>
      <c r="AE10" s="12">
        <f>IF(('FS Budapest'!BR13-'FS Budapest'!BR12)&lt;0,"0",('FS Budapest'!BR13-'FS Budapest'!BR12))</f>
        <v>7</v>
      </c>
      <c r="AF10" s="12">
        <f>'FS Budapest'!BU13</f>
        <v>2</v>
      </c>
      <c r="AG10" s="12">
        <f>'FS Budapest'!BV13</f>
        <v>2</v>
      </c>
    </row>
    <row r="11" spans="1:33" s="16" customFormat="1">
      <c r="A11" s="12" t="s">
        <v>12</v>
      </c>
      <c r="B11" s="15">
        <f t="shared" si="0"/>
        <v>10</v>
      </c>
      <c r="C11" s="3">
        <v>6</v>
      </c>
      <c r="D11" s="12">
        <v>2020</v>
      </c>
      <c r="E11" s="12">
        <f>IF(('FS Budapest'!C14-'FS Budapest'!C13)&lt;0,"0",('FS Budapest'!C14-'FS Budapest'!C13))</f>
        <v>0</v>
      </c>
      <c r="F11" s="12">
        <f>IF(('FS Budapest'!D14-'FS Budapest'!D13)&lt;0,"0",('FS Budapest'!D14-'FS Budapest'!D13))</f>
        <v>21</v>
      </c>
      <c r="G11" s="12">
        <f>IF(('FS Budapest'!E14-'FS Budapest'!Y14)&lt;0,"0",('FS Budapest'!E14-'FS Budapest'!Y14))</f>
        <v>13</v>
      </c>
      <c r="H11" s="12">
        <f>IF(('FS Budapest'!H14-'FS Budapest'!H13)&lt;0,"0",('FS Budapest'!H14-'FS Budapest'!H13))</f>
        <v>52</v>
      </c>
      <c r="I11" s="12">
        <f>IF(('FS Budapest'!I14-'FS Budapest'!I13)&lt;0,"0",('FS Budapest'!I14-'FS Budapest'!I13))</f>
        <v>2</v>
      </c>
      <c r="J11" s="12">
        <f>IF(('FS Budapest'!K14-'FS Budapest'!K13)&lt;0,"0",('FS Budapest'!K14-'FS Budapest'!K13))</f>
        <v>2</v>
      </c>
      <c r="K11" s="12">
        <f>IF(('FS Budapest'!M14-'FS Budapest'!M13)&lt;0,"0",('FS Budapest'!M14-'FS Budapest'!M13))</f>
        <v>3</v>
      </c>
      <c r="L11" s="12">
        <f>IF(('FS Budapest'!O14-'FS Budapest'!O13)&lt;0,"0",('FS Budapest'!O14-'FS Budapest'!O13))</f>
        <v>2</v>
      </c>
      <c r="M11" s="12">
        <f>IF(('FS Budapest'!Q14-'FS Budapest'!Q13)&lt;0,"0",('FS Budapest'!Q14-'FS Budapest'!Q13))</f>
        <v>0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8</v>
      </c>
      <c r="Q11" s="12">
        <f>'FS Budapest'!AB14</f>
        <v>0</v>
      </c>
      <c r="R11" s="12">
        <f>'FS Budapest'!AE14</f>
        <v>3</v>
      </c>
      <c r="S11" s="12">
        <f>'FS Budapest'!AF14</f>
        <v>0</v>
      </c>
      <c r="T11" s="12">
        <f>IF(('FS Budapest'!AK14-'FS Budapest'!AK13)&lt;0,"0",('FS Budapest'!AK14-'FS Budapest'!AK13))</f>
        <v>351</v>
      </c>
      <c r="U11" s="12">
        <f>IF(('FS Budapest'!AM14-'FS Budapest'!AM13)&lt;0,"0",('FS Budapest'!AM14-'FS Budapest'!AM13))</f>
        <v>14</v>
      </c>
      <c r="V11" s="12">
        <f>IF(('FS Budapest'!AO14-'FS Budapest'!AO13)&lt;0,"0",('FS Budapest'!AO14-'FS Budapest'!AO13))</f>
        <v>0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10560.000000000025</v>
      </c>
      <c r="Z11" s="12">
        <f>'FS Budapest'!BI14</f>
        <v>10560</v>
      </c>
      <c r="AA11" s="12">
        <f>'FS Budapest'!BJ14</f>
        <v>9318</v>
      </c>
      <c r="AB11" s="12">
        <f>IF(('FS Budapest'!BK14-'FS Budapest'!BK13)&lt;0,"0",('FS Budapest'!BK14-'FS Budapest'!BK13)*100)</f>
        <v>412.00000000000045</v>
      </c>
      <c r="AC11" s="12">
        <f>'FS Budapest'!BM14</f>
        <v>10972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1222</v>
      </c>
      <c r="AF11" s="12">
        <f>'FS Budapest'!BU14</f>
        <v>1</v>
      </c>
      <c r="AG11" s="12">
        <f>'FS Budapest'!BV14</f>
        <v>1</v>
      </c>
    </row>
    <row r="12" spans="1:33" s="16" customFormat="1">
      <c r="A12" s="12" t="s">
        <v>12</v>
      </c>
      <c r="B12" s="15">
        <f t="shared" si="0"/>
        <v>11</v>
      </c>
      <c r="C12" s="3">
        <v>6</v>
      </c>
      <c r="D12" s="12">
        <v>2020</v>
      </c>
      <c r="E12" s="12">
        <f>IF(('FS Budapest'!C15-'FS Budapest'!C14)&lt;0,"0",('FS Budapest'!C15-'FS Budapest'!C14))</f>
        <v>0</v>
      </c>
      <c r="F12" s="12">
        <f>IF(('FS Budapest'!D15-'FS Budapest'!D14)&lt;0,"0",('FS Budapest'!D15-'FS Budapest'!D14))</f>
        <v>29</v>
      </c>
      <c r="G12" s="12">
        <f>IF(('FS Budapest'!E15-'FS Budapest'!Y15)&lt;0,"0",('FS Budapest'!E15-'FS Budapest'!Y15))</f>
        <v>8</v>
      </c>
      <c r="H12" s="12">
        <f>IF(('FS Budapest'!H15-'FS Budapest'!H14)&lt;0,"0",('FS Budapest'!H15-'FS Budapest'!H14))</f>
        <v>58</v>
      </c>
      <c r="I12" s="12">
        <f>IF(('FS Budapest'!I15-'FS Budapest'!I14)&lt;0,"0",('FS Budapest'!I15-'FS Budapest'!I14))</f>
        <v>2</v>
      </c>
      <c r="J12" s="12">
        <f>IF(('FS Budapest'!K15-'FS Budapest'!K14)&lt;0,"0",('FS Budapest'!K15-'FS Budapest'!K14))</f>
        <v>4</v>
      </c>
      <c r="K12" s="12">
        <f>IF(('FS Budapest'!M15-'FS Budapest'!M14)&lt;0,"0",('FS Budapest'!M15-'FS Budapest'!M14))</f>
        <v>4</v>
      </c>
      <c r="L12" s="12">
        <f>IF(('FS Budapest'!O15-'FS Budapest'!O14)&lt;0,"0",('FS Budapest'!O15-'FS Budapest'!O14))</f>
        <v>1</v>
      </c>
      <c r="M12" s="12">
        <f>IF(('FS Budapest'!Q15-'FS Budapest'!Q14)&lt;0,"0",('FS Budapest'!Q15-'FS Budapest'!Q14))</f>
        <v>0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21</v>
      </c>
      <c r="Q12" s="12">
        <f>'FS Budapest'!AB15</f>
        <v>0</v>
      </c>
      <c r="R12" s="12">
        <f>'FS Budapest'!AE15</f>
        <v>3</v>
      </c>
      <c r="S12" s="12">
        <f>'FS Budapest'!AF15</f>
        <v>0</v>
      </c>
      <c r="T12" s="12">
        <f>IF(('FS Budapest'!AK15-'FS Budapest'!AK14)&lt;0,"0",('FS Budapest'!AK15-'FS Budapest'!AK14))</f>
        <v>265</v>
      </c>
      <c r="U12" s="12">
        <f>IF(('FS Budapest'!AM15-'FS Budapest'!AM14)&lt;0,"0",('FS Budapest'!AM15-'FS Budapest'!AM14))</f>
        <v>15</v>
      </c>
      <c r="V12" s="12">
        <f>IF(('FS Budapest'!AO15-'FS Budapest'!AO14)&lt;0,"0",('FS Budapest'!AO15-'FS Budapest'!AO14))</f>
        <v>0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12760.000000000025</v>
      </c>
      <c r="Z12" s="12">
        <f>'FS Budapest'!BI15</f>
        <v>12760</v>
      </c>
      <c r="AA12" s="12">
        <f>'FS Budapest'!BJ15</f>
        <v>10721</v>
      </c>
      <c r="AB12" s="12">
        <f>IF(('FS Budapest'!BK15-'FS Budapest'!BK14)&lt;0,"0",('FS Budapest'!BK15-'FS Budapest'!BK14)*100)</f>
        <v>589.99999999999773</v>
      </c>
      <c r="AC12" s="12">
        <f>'FS Budapest'!BM15</f>
        <v>13350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2019</v>
      </c>
      <c r="AF12" s="12">
        <f>'FS Budapest'!BU15</f>
        <v>3</v>
      </c>
      <c r="AG12" s="12">
        <f>'FS Budapest'!BV15</f>
        <v>5</v>
      </c>
    </row>
    <row r="13" spans="1:33" s="16" customFormat="1">
      <c r="A13" s="12" t="s">
        <v>12</v>
      </c>
      <c r="B13" s="15">
        <f t="shared" si="0"/>
        <v>12</v>
      </c>
      <c r="C13" s="3">
        <v>6</v>
      </c>
      <c r="D13" s="12">
        <v>2020</v>
      </c>
      <c r="E13" s="12">
        <f>IF(('FS Budapest'!C16-'FS Budapest'!C15)&lt;0,"0",('FS Budapest'!C16-'FS Budapest'!C15))</f>
        <v>0</v>
      </c>
      <c r="F13" s="12">
        <f>IF(('FS Budapest'!D16-'FS Budapest'!D15)&lt;0,"0",('FS Budapest'!D16-'FS Budapest'!D15))</f>
        <v>37</v>
      </c>
      <c r="G13" s="12">
        <f>IF(('FS Budapest'!E16-'FS Budapest'!Y16)&lt;0,"0",('FS Budapest'!E16-'FS Budapest'!Y16))</f>
        <v>11</v>
      </c>
      <c r="H13" s="12">
        <f>IF(('FS Budapest'!H16-'FS Budapest'!H15)&lt;0,"0",('FS Budapest'!H16-'FS Budapest'!H15))</f>
        <v>62</v>
      </c>
      <c r="I13" s="12">
        <f>IF(('FS Budapest'!I16-'FS Budapest'!I15)&lt;0,"0",('FS Budapest'!I16-'FS Budapest'!I15))</f>
        <v>2</v>
      </c>
      <c r="J13" s="12">
        <f>IF(('FS Budapest'!K16-'FS Budapest'!K15)&lt;0,"0",('FS Budapest'!K16-'FS Budapest'!K15))</f>
        <v>3</v>
      </c>
      <c r="K13" s="12">
        <f>IF(('FS Budapest'!M16-'FS Budapest'!M15)&lt;0,"0",('FS Budapest'!M16-'FS Budapest'!M15))</f>
        <v>4</v>
      </c>
      <c r="L13" s="12">
        <f>IF(('FS Budapest'!O16-'FS Budapest'!O15)&lt;0,"0",('FS Budapest'!O16-'FS Budapest'!O15))</f>
        <v>1</v>
      </c>
      <c r="M13" s="12">
        <f>IF(('FS Budapest'!Q16-'FS Budapest'!Q15)&lt;0,"0",('FS Budapest'!Q16-'FS Budapest'!Q15))</f>
        <v>0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26</v>
      </c>
      <c r="Q13" s="12">
        <f>'FS Budapest'!AB16</f>
        <v>1</v>
      </c>
      <c r="R13" s="12">
        <f>'FS Budapest'!AE16</f>
        <v>4</v>
      </c>
      <c r="S13" s="12">
        <f>'FS Budapest'!AF16</f>
        <v>0</v>
      </c>
      <c r="T13" s="12">
        <f>IF(('FS Budapest'!AK16-'FS Budapest'!AK15)&lt;0,"0",('FS Budapest'!AK16-'FS Budapest'!AK15))</f>
        <v>421</v>
      </c>
      <c r="U13" s="12">
        <f>IF(('FS Budapest'!AM16-'FS Budapest'!AM15)&lt;0,"0",('FS Budapest'!AM16-'FS Budapest'!AM15))</f>
        <v>22</v>
      </c>
      <c r="V13" s="12">
        <f>IF(('FS Budapest'!AO16-'FS Budapest'!AO15)&lt;0,"0",('FS Budapest'!AO16-'FS Budapest'!AO15))</f>
        <v>0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13947.999999999945</v>
      </c>
      <c r="Z13" s="12">
        <f>'FS Budapest'!BI16</f>
        <v>13948</v>
      </c>
      <c r="AA13" s="12">
        <f>'FS Budapest'!BJ16</f>
        <v>11153</v>
      </c>
      <c r="AB13" s="12">
        <f>IF(('FS Budapest'!BK16-'FS Budapest'!BK15)&lt;0,"0",('FS Budapest'!BK16-'FS Budapest'!BK15)*100)</f>
        <v>585.00000000000227</v>
      </c>
      <c r="AC13" s="12">
        <f>'FS Budapest'!BM16</f>
        <v>14533</v>
      </c>
      <c r="AD13" s="12">
        <f>IF(('FS Budapest'!BP16-'FS Budapest'!BP15)&lt;0,"0",('FS Budapest'!BP16-'FS Budapest'!BP15))</f>
        <v>20</v>
      </c>
      <c r="AE13" s="12">
        <f>IF(('FS Budapest'!BR16-'FS Budapest'!BR15)&lt;0,"0",('FS Budapest'!BR16-'FS Budapest'!BR15))</f>
        <v>2775</v>
      </c>
      <c r="AF13" s="12">
        <f>'FS Budapest'!BU16</f>
        <v>6</v>
      </c>
      <c r="AG13" s="12">
        <f>'FS Budapest'!BV16</f>
        <v>12</v>
      </c>
    </row>
    <row r="14" spans="1:33" s="16" customFormat="1">
      <c r="A14" s="12" t="s">
        <v>12</v>
      </c>
      <c r="B14" s="15">
        <f t="shared" si="0"/>
        <v>13</v>
      </c>
      <c r="C14" s="3">
        <v>6</v>
      </c>
      <c r="D14" s="12">
        <v>2020</v>
      </c>
      <c r="E14" s="12">
        <f>IF(('FS Budapest'!C17-'FS Budapest'!C16)&lt;0,"0",('FS Budapest'!C17-'FS Budapest'!C16))</f>
        <v>0</v>
      </c>
      <c r="F14" s="12">
        <f>IF(('FS Budapest'!D17-'FS Budapest'!D16)&lt;0,"0",('FS Budapest'!D17-'FS Budapest'!D16))</f>
        <v>31</v>
      </c>
      <c r="G14" s="12">
        <f>IF(('FS Budapest'!E17-'FS Budapest'!Y17)&lt;0,"0",('FS Budapest'!E17-'FS Budapest'!Y17))</f>
        <v>8</v>
      </c>
      <c r="H14" s="12">
        <f>IF(('FS Budapest'!H17-'FS Budapest'!H16)&lt;0,"0",('FS Budapest'!H17-'FS Budapest'!H16))</f>
        <v>62</v>
      </c>
      <c r="I14" s="12">
        <f>IF(('FS Budapest'!I17-'FS Budapest'!I16)&lt;0,"0",('FS Budapest'!I17-'FS Budapest'!I16))</f>
        <v>2</v>
      </c>
      <c r="J14" s="12">
        <f>IF(('FS Budapest'!K17-'FS Budapest'!K16)&lt;0,"0",('FS Budapest'!K17-'FS Budapest'!K16))</f>
        <v>3</v>
      </c>
      <c r="K14" s="12">
        <f>IF(('FS Budapest'!M17-'FS Budapest'!M16)&lt;0,"0",('FS Budapest'!M17-'FS Budapest'!M16))</f>
        <v>3</v>
      </c>
      <c r="L14" s="12">
        <f>IF(('FS Budapest'!O17-'FS Budapest'!O16)&lt;0,"0",('FS Budapest'!O17-'FS Budapest'!O16))</f>
        <v>1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23</v>
      </c>
      <c r="Q14" s="12">
        <f>'FS Budapest'!AB17</f>
        <v>0</v>
      </c>
      <c r="R14" s="12">
        <f>'FS Budapest'!AE17</f>
        <v>2</v>
      </c>
      <c r="S14" s="12">
        <f>'FS Budapest'!AF17</f>
        <v>0</v>
      </c>
      <c r="T14" s="12">
        <f>IF(('FS Budapest'!AK17-'FS Budapest'!AK16)&lt;0,"0",('FS Budapest'!AK17-'FS Budapest'!AK16))</f>
        <v>323</v>
      </c>
      <c r="U14" s="12">
        <f>IF(('FS Budapest'!AM17-'FS Budapest'!AM16)&lt;0,"0",('FS Budapest'!AM17-'FS Budapest'!AM16))</f>
        <v>20</v>
      </c>
      <c r="V14" s="12">
        <f>IF(('FS Budapest'!AO17-'FS Budapest'!AO16)&lt;0,"0",('FS Budapest'!AO17-'FS Budapest'!AO16))</f>
        <v>0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13068.000000000058</v>
      </c>
      <c r="Z14" s="12">
        <f>'FS Budapest'!BI17</f>
        <v>13068</v>
      </c>
      <c r="AA14" s="12">
        <f>'FS Budapest'!BJ17</f>
        <v>10633</v>
      </c>
      <c r="AB14" s="12">
        <f>IF(('FS Budapest'!BK17-'FS Budapest'!BK16)&lt;0,"0",('FS Budapest'!BK17-'FS Budapest'!BK16)*100)</f>
        <v>432.99999999999841</v>
      </c>
      <c r="AC14" s="12">
        <f>'FS Budapest'!BM17</f>
        <v>13501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2415</v>
      </c>
      <c r="AF14" s="12">
        <f>'FS Budapest'!BU17</f>
        <v>1</v>
      </c>
      <c r="AG14" s="12">
        <f>'FS Budapest'!BV17</f>
        <v>2</v>
      </c>
    </row>
    <row r="15" spans="1:33" s="16" customFormat="1">
      <c r="A15" s="12" t="s">
        <v>12</v>
      </c>
      <c r="B15" s="15">
        <f t="shared" si="0"/>
        <v>14</v>
      </c>
      <c r="C15" s="3">
        <v>6</v>
      </c>
      <c r="D15" s="12">
        <v>2020</v>
      </c>
      <c r="E15" s="12">
        <f>IF(('FS Budapest'!C18-'FS Budapest'!C17)&lt;0,"0",('FS Budapest'!C18-'FS Budapest'!C17))</f>
        <v>0</v>
      </c>
      <c r="F15" s="12">
        <f>IF(('FS Budapest'!D18-'FS Budapest'!D17)&lt;0,"0",('FS Budapest'!D18-'FS Budapest'!D17))</f>
        <v>26</v>
      </c>
      <c r="G15" s="12">
        <f>IF(('FS Budapest'!E18-'FS Budapest'!Y18)&lt;0,"0",('FS Budapest'!E18-'FS Budapest'!Y18))</f>
        <v>7</v>
      </c>
      <c r="H15" s="12">
        <f>IF(('FS Budapest'!H18-'FS Budapest'!H17)&lt;0,"0",('FS Budapest'!H18-'FS Budapest'!H17))</f>
        <v>46</v>
      </c>
      <c r="I15" s="12">
        <f>IF(('FS Budapest'!I18-'FS Budapest'!I17)&lt;0,"0",('FS Budapest'!I18-'FS Budapest'!I17))</f>
        <v>2</v>
      </c>
      <c r="J15" s="12">
        <f>IF(('FS Budapest'!K18-'FS Budapest'!K17)&lt;0,"0",('FS Budapest'!K18-'FS Budapest'!K17))</f>
        <v>3</v>
      </c>
      <c r="K15" s="12">
        <f>IF(('FS Budapest'!M18-'FS Budapest'!M17)&lt;0,"0",('FS Budapest'!M18-'FS Budapest'!M17))</f>
        <v>3</v>
      </c>
      <c r="L15" s="12">
        <f>IF(('FS Budapest'!O18-'FS Budapest'!O17)&lt;0,"0",('FS Budapest'!O18-'FS Budapest'!O17))</f>
        <v>1</v>
      </c>
      <c r="M15" s="12">
        <f>IF(('FS Budapest'!Q18-'FS Budapest'!Q17)&lt;0,"0",('FS Budapest'!Q18-'FS Budapest'!Q17))</f>
        <v>0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19</v>
      </c>
      <c r="Q15" s="12">
        <f>'FS Budapest'!AB18</f>
        <v>0</v>
      </c>
      <c r="R15" s="12">
        <f>'FS Budapest'!AE18</f>
        <v>1</v>
      </c>
      <c r="S15" s="12">
        <f>'FS Budapest'!AF18</f>
        <v>0</v>
      </c>
      <c r="T15" s="12">
        <f>IF(('FS Budapest'!AK18-'FS Budapest'!AK17)&lt;0,"0",('FS Budapest'!AK18-'FS Budapest'!AK17))</f>
        <v>319</v>
      </c>
      <c r="U15" s="12">
        <f>IF(('FS Budapest'!AM18-'FS Budapest'!AM17)&lt;0,"0",('FS Budapest'!AM18-'FS Budapest'!AM17))</f>
        <v>18</v>
      </c>
      <c r="V15" s="12">
        <f>IF(('FS Budapest'!AO18-'FS Budapest'!AO17)&lt;0,"0",('FS Budapest'!AO18-'FS Budapest'!AO17))</f>
        <v>0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12847.999999999945</v>
      </c>
      <c r="Z15" s="12">
        <f>'FS Budapest'!BI18</f>
        <v>12848</v>
      </c>
      <c r="AA15" s="12">
        <f>'FS Budapest'!BJ18</f>
        <v>10499</v>
      </c>
      <c r="AB15" s="12">
        <f>IF(('FS Budapest'!BK18-'FS Budapest'!BK17)&lt;0,"0",('FS Budapest'!BK18-'FS Budapest'!BK17)*100)</f>
        <v>464.99999999999773</v>
      </c>
      <c r="AC15" s="12">
        <f>'FS Budapest'!BM18</f>
        <v>13313</v>
      </c>
      <c r="AD15" s="12">
        <f>IF(('FS Budapest'!BP18-'FS Budapest'!BP17)&lt;0,"0",('FS Budapest'!BP18-'FS Budapest'!BP17))</f>
        <v>20</v>
      </c>
      <c r="AE15" s="12">
        <f>IF(('FS Budapest'!BR18-'FS Budapest'!BR17)&lt;0,"0",('FS Budapest'!BR18-'FS Budapest'!BR17))</f>
        <v>2329</v>
      </c>
      <c r="AF15" s="12">
        <f>'FS Budapest'!BU18</f>
        <v>0</v>
      </c>
      <c r="AG15" s="12">
        <f>'FS Budapest'!BV18</f>
        <v>0</v>
      </c>
    </row>
    <row r="16" spans="1:33" s="16" customFormat="1">
      <c r="A16" s="12" t="s">
        <v>12</v>
      </c>
      <c r="B16" s="15">
        <f t="shared" si="0"/>
        <v>15</v>
      </c>
      <c r="C16" s="3">
        <v>6</v>
      </c>
      <c r="D16" s="12">
        <v>2020</v>
      </c>
      <c r="E16" s="12">
        <f>IF(('FS Budapest'!C19-'FS Budapest'!C18)&lt;0,"0",('FS Budapest'!C19-'FS Budapest'!C18))</f>
        <v>0</v>
      </c>
      <c r="F16" s="12">
        <f>IF(('FS Budapest'!D19-'FS Budapest'!D18)&lt;0,"0",('FS Budapest'!D19-'FS Budapest'!D18))</f>
        <v>19</v>
      </c>
      <c r="G16" s="12">
        <f>IF(('FS Budapest'!E19-'FS Budapest'!Y19)&lt;0,"0",('FS Budapest'!E19-'FS Budapest'!Y19))</f>
        <v>6</v>
      </c>
      <c r="H16" s="12">
        <f>IF(('FS Budapest'!H19-'FS Budapest'!H18)&lt;0,"0",('FS Budapest'!H19-'FS Budapest'!H18))</f>
        <v>41</v>
      </c>
      <c r="I16" s="12">
        <f>IF(('FS Budapest'!I19-'FS Budapest'!I18)&lt;0,"0",('FS Budapest'!I19-'FS Budapest'!I18))</f>
        <v>2</v>
      </c>
      <c r="J16" s="12">
        <f>IF(('FS Budapest'!K19-'FS Budapest'!K18)&lt;0,"0",('FS Budapest'!K19-'FS Budapest'!K18))</f>
        <v>1</v>
      </c>
      <c r="K16" s="12">
        <f>IF(('FS Budapest'!M19-'FS Budapest'!M18)&lt;0,"0",('FS Budapest'!M19-'FS Budapest'!M18))</f>
        <v>2</v>
      </c>
      <c r="L16" s="12">
        <f>IF(('FS Budapest'!O19-'FS Budapest'!O18)&lt;0,"0",('FS Budapest'!O19-'FS Budapest'!O18))</f>
        <v>1</v>
      </c>
      <c r="M16" s="12">
        <f>IF(('FS Budapest'!Q19-'FS Budapest'!Q18)&lt;0,"0",('FS Budapest'!Q19-'FS Budapest'!Q18))</f>
        <v>0</v>
      </c>
      <c r="N16" s="12">
        <f>IF(('FS Budapest'!S19-'FS Budapest'!S18)&lt;0,"0",('FS Budapest'!S19-'FS Budapest'!S18))</f>
        <v>0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13</v>
      </c>
      <c r="Q16" s="12">
        <f>'FS Budapest'!AB19</f>
        <v>0</v>
      </c>
      <c r="R16" s="12">
        <f>'FS Budapest'!AE19</f>
        <v>3</v>
      </c>
      <c r="S16" s="12">
        <f>'FS Budapest'!AF19</f>
        <v>1</v>
      </c>
      <c r="T16" s="12">
        <f>IF(('FS Budapest'!AK19-'FS Budapest'!AK18)&lt;0,"0",('FS Budapest'!AK19-'FS Budapest'!AK18))</f>
        <v>263</v>
      </c>
      <c r="U16" s="12">
        <f>IF(('FS Budapest'!AM19-'FS Budapest'!AM18)&lt;0,"0",('FS Budapest'!AM19-'FS Budapest'!AM18))</f>
        <v>18</v>
      </c>
      <c r="V16" s="12">
        <f>IF(('FS Budapest'!AO19-'FS Budapest'!AO18)&lt;0,"0",('FS Budapest'!AO19-'FS Budapest'!AO18))</f>
        <v>93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8183.9999999999973</v>
      </c>
      <c r="Z16" s="12">
        <f>'FS Budapest'!BI19</f>
        <v>8184</v>
      </c>
      <c r="AA16" s="12">
        <f>'FS Budapest'!BJ19</f>
        <v>6837</v>
      </c>
      <c r="AB16" s="12">
        <f>IF(('FS Budapest'!BK19-'FS Budapest'!BK18)&lt;0,"0",('FS Budapest'!BK19-'FS Budapest'!BK18)*100)</f>
        <v>337.99999999999955</v>
      </c>
      <c r="AC16" s="12">
        <f>'FS Budapest'!BM19</f>
        <v>8522</v>
      </c>
      <c r="AD16" s="12">
        <f>IF(('FS Budapest'!BP19-'FS Budapest'!BP18)&lt;0,"0",('FS Budapest'!BP19-'FS Budapest'!BP18))</f>
        <v>11</v>
      </c>
      <c r="AE16" s="12">
        <f>IF(('FS Budapest'!BR19-'FS Budapest'!BR18)&lt;0,"0",('FS Budapest'!BR19-'FS Budapest'!BR18))</f>
        <v>1336</v>
      </c>
      <c r="AF16" s="12">
        <f>'FS Budapest'!BU19</f>
        <v>0</v>
      </c>
      <c r="AG16" s="12">
        <f>'FS Budapest'!BV19</f>
        <v>0</v>
      </c>
    </row>
    <row r="17" spans="1:33" s="16" customFormat="1">
      <c r="A17" s="12" t="s">
        <v>12</v>
      </c>
      <c r="B17" s="15">
        <f t="shared" si="0"/>
        <v>16</v>
      </c>
      <c r="C17" s="3">
        <v>6</v>
      </c>
      <c r="D17" s="12">
        <v>2020</v>
      </c>
      <c r="E17" s="12">
        <f>IF(('FS Budapest'!C20-'FS Budapest'!C19)&lt;0,"0",('FS Budapest'!C20-'FS Budapest'!C19))</f>
        <v>0</v>
      </c>
      <c r="F17" s="12">
        <f>IF(('FS Budapest'!D20-'FS Budapest'!D19)&lt;0,"0",('FS Budapest'!D20-'FS Budapest'!D19))</f>
        <v>48</v>
      </c>
      <c r="G17" s="12">
        <f>IF(('FS Budapest'!E20-'FS Budapest'!Y20)&lt;0,"0",('FS Budapest'!E20-'FS Budapest'!Y20))</f>
        <v>23</v>
      </c>
      <c r="H17" s="12">
        <f>IF(('FS Budapest'!H20-'FS Budapest'!H19)&lt;0,"0",('FS Budapest'!H20-'FS Budapest'!H19))</f>
        <v>104</v>
      </c>
      <c r="I17" s="12">
        <f>IF(('FS Budapest'!I20-'FS Budapest'!I19)&lt;0,"0",('FS Budapest'!I20-'FS Budapest'!I19))</f>
        <v>21</v>
      </c>
      <c r="J17" s="12">
        <f>IF(('FS Budapest'!K20-'FS Budapest'!K19)&lt;0,"0",('FS Budapest'!K20-'FS Budapest'!K19))</f>
        <v>3</v>
      </c>
      <c r="K17" s="12">
        <f>IF(('FS Budapest'!M20-'FS Budapest'!M19)&lt;0,"0",('FS Budapest'!M20-'FS Budapest'!M19))</f>
        <v>4</v>
      </c>
      <c r="L17" s="12">
        <f>IF(('FS Budapest'!O20-'FS Budapest'!O19)&lt;0,"0",('FS Budapest'!O20-'FS Budapest'!O19))</f>
        <v>1</v>
      </c>
      <c r="M17" s="12">
        <f>IF(('FS Budapest'!Q20-'FS Budapest'!Q19)&lt;0,"0",('FS Budapest'!Q20-'FS Budapest'!Q19))</f>
        <v>11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25</v>
      </c>
      <c r="Q17" s="12">
        <f>'FS Budapest'!AB20</f>
        <v>6</v>
      </c>
      <c r="R17" s="12">
        <f>'FS Budapest'!AE20</f>
        <v>1</v>
      </c>
      <c r="S17" s="12">
        <f>'FS Budapest'!AF20</f>
        <v>17</v>
      </c>
      <c r="T17" s="12">
        <f>IF(('FS Budapest'!AK20-'FS Budapest'!AK19)&lt;0,"0",('FS Budapest'!AK20-'FS Budapest'!AK19))</f>
        <v>932</v>
      </c>
      <c r="U17" s="12">
        <f>IF(('FS Budapest'!AM20-'FS Budapest'!AM19)&lt;0,"0",('FS Budapest'!AM20-'FS Budapest'!AM19))</f>
        <v>26</v>
      </c>
      <c r="V17" s="12">
        <f>IF(('FS Budapest'!AO20-'FS Budapest'!AO19)&lt;0,"0",('FS Budapest'!AO20-'FS Budapest'!AO19))</f>
        <v>543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17732.000000000004</v>
      </c>
      <c r="Z17" s="12">
        <f>'FS Budapest'!BI20</f>
        <v>17732</v>
      </c>
      <c r="AA17" s="12">
        <f>'FS Budapest'!BJ20</f>
        <v>14503</v>
      </c>
      <c r="AB17" s="12">
        <f>IF(('FS Budapest'!BK20-'FS Budapest'!BK19)&lt;0,"0",('FS Budapest'!BK20-'FS Budapest'!BK19)*100)</f>
        <v>723.00000000000182</v>
      </c>
      <c r="AC17" s="12">
        <f>'FS Budapest'!BM20</f>
        <v>18455</v>
      </c>
      <c r="AD17" s="12">
        <f>IF(('FS Budapest'!BP20-'FS Budapest'!BP19)&lt;0,"0",('FS Budapest'!BP20-'FS Budapest'!BP19))</f>
        <v>29</v>
      </c>
      <c r="AE17" s="12">
        <f>IF(('FS Budapest'!BR20-'FS Budapest'!BR19)&lt;0,"0",('FS Budapest'!BR20-'FS Budapest'!BR19))</f>
        <v>3200</v>
      </c>
      <c r="AF17" s="12">
        <f>'FS Budapest'!BU20</f>
        <v>5</v>
      </c>
      <c r="AG17" s="12">
        <f>'FS Budapest'!BV20</f>
        <v>9</v>
      </c>
    </row>
    <row r="18" spans="1:33" s="16" customFormat="1">
      <c r="A18" s="12" t="s">
        <v>12</v>
      </c>
      <c r="B18" s="15">
        <f t="shared" si="0"/>
        <v>17</v>
      </c>
      <c r="C18" s="3">
        <v>6</v>
      </c>
      <c r="D18" s="12">
        <v>2020</v>
      </c>
      <c r="E18" s="12">
        <f>IF(('FS Budapest'!C21-'FS Budapest'!C20)&lt;0,"0",('FS Budapest'!C21-'FS Budapest'!C20))</f>
        <v>0</v>
      </c>
      <c r="F18" s="12">
        <f>IF(('FS Budapest'!D21-'FS Budapest'!D20)&lt;0,"0",('FS Budapest'!D21-'FS Budapest'!D20))</f>
        <v>42</v>
      </c>
      <c r="G18" s="12">
        <f>IF(('FS Budapest'!E21-'FS Budapest'!Y21)&lt;0,"0",('FS Budapest'!E21-'FS Budapest'!Y21))</f>
        <v>20</v>
      </c>
      <c r="H18" s="12">
        <f>IF(('FS Budapest'!H21-'FS Budapest'!H20)&lt;0,"0",('FS Budapest'!H21-'FS Budapest'!H20))</f>
        <v>75</v>
      </c>
      <c r="I18" s="12">
        <f>IF(('FS Budapest'!I21-'FS Budapest'!I20)&lt;0,"0",('FS Budapest'!I21-'FS Budapest'!I20))</f>
        <v>5</v>
      </c>
      <c r="J18" s="12">
        <f>IF(('FS Budapest'!K21-'FS Budapest'!K20)&lt;0,"0",('FS Budapest'!K21-'FS Budapest'!K20))</f>
        <v>3</v>
      </c>
      <c r="K18" s="12">
        <f>IF(('FS Budapest'!M21-'FS Budapest'!M20)&lt;0,"0",('FS Budapest'!M21-'FS Budapest'!M20))</f>
        <v>4</v>
      </c>
      <c r="L18" s="12">
        <f>IF(('FS Budapest'!O21-'FS Budapest'!O20)&lt;0,"0",('FS Budapest'!O21-'FS Budapest'!O20))</f>
        <v>2</v>
      </c>
      <c r="M18" s="12">
        <f>IF(('FS Budapest'!Q21-'FS Budapest'!Q20)&lt;0,"0",('FS Budapest'!Q21-'FS Budapest'!Q20))</f>
        <v>9</v>
      </c>
      <c r="N18" s="12">
        <f>IF(('FS Budapest'!S21-'FS Budapest'!S20)&lt;0,"0",('FS Budapest'!S21-'FS Budapest'!S20))</f>
        <v>2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22</v>
      </c>
      <c r="Q18" s="12">
        <f>'FS Budapest'!AB21</f>
        <v>4</v>
      </c>
      <c r="R18" s="12">
        <f>'FS Budapest'!AE21</f>
        <v>1</v>
      </c>
      <c r="S18" s="12">
        <f>'FS Budapest'!AF21</f>
        <v>14</v>
      </c>
      <c r="T18" s="12">
        <f>IF(('FS Budapest'!AK21-'FS Budapest'!AK20)&lt;0,"0",('FS Budapest'!AK21-'FS Budapest'!AK20))</f>
        <v>797</v>
      </c>
      <c r="U18" s="12">
        <f>IF(('FS Budapest'!AM21-'FS Budapest'!AM20)&lt;0,"0",('FS Budapest'!AM21-'FS Budapest'!AM20))</f>
        <v>22</v>
      </c>
      <c r="V18" s="12">
        <f>IF(('FS Budapest'!AO21-'FS Budapest'!AO20)&lt;0,"0",('FS Budapest'!AO21-'FS Budapest'!AO20))</f>
        <v>314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14080.000000000013</v>
      </c>
      <c r="Z18" s="12">
        <f>'FS Budapest'!BI21</f>
        <v>14080</v>
      </c>
      <c r="AA18" s="12">
        <f>'FS Budapest'!BJ21</f>
        <v>11384</v>
      </c>
      <c r="AB18" s="12">
        <f>IF(('FS Budapest'!BK21-'FS Budapest'!BK20)&lt;0,"0",('FS Budapest'!BK21-'FS Budapest'!BK20)*100)</f>
        <v>505.00000000000114</v>
      </c>
      <c r="AC18" s="12">
        <f>'FS Budapest'!BM21</f>
        <v>14585</v>
      </c>
      <c r="AD18" s="12">
        <f>IF(('FS Budapest'!BP21-'FS Budapest'!BP20)&lt;0,"0",('FS Budapest'!BP21-'FS Budapest'!BP20))</f>
        <v>20</v>
      </c>
      <c r="AE18" s="12">
        <f>IF(('FS Budapest'!BR21-'FS Budapest'!BR20)&lt;0,"0",('FS Budapest'!BR21-'FS Budapest'!BR20))</f>
        <v>2676</v>
      </c>
      <c r="AF18" s="12">
        <f>'FS Budapest'!BU21</f>
        <v>7</v>
      </c>
      <c r="AG18" s="12">
        <f>'FS Budapest'!BV21</f>
        <v>12</v>
      </c>
    </row>
    <row r="19" spans="1:33" s="16" customFormat="1">
      <c r="A19" s="12" t="s">
        <v>12</v>
      </c>
      <c r="B19" s="15">
        <f t="shared" si="0"/>
        <v>18</v>
      </c>
      <c r="C19" s="3">
        <v>6</v>
      </c>
      <c r="D19" s="12">
        <v>2020</v>
      </c>
      <c r="E19" s="12">
        <f>IF(('FS Budapest'!C22-'FS Budapest'!C21)&lt;0,"0",('FS Budapest'!C22-'FS Budapest'!C21))</f>
        <v>0</v>
      </c>
      <c r="F19" s="12">
        <f>IF(('FS Budapest'!D22-'FS Budapest'!D21)&lt;0,"0",('FS Budapest'!D22-'FS Budapest'!D21))</f>
        <v>42</v>
      </c>
      <c r="G19" s="12">
        <f>IF(('FS Budapest'!E22-'FS Budapest'!Y22)&lt;0,"0",('FS Budapest'!E22-'FS Budapest'!Y22))</f>
        <v>17</v>
      </c>
      <c r="H19" s="12">
        <f>IF(('FS Budapest'!H22-'FS Budapest'!H21)&lt;0,"0",('FS Budapest'!H22-'FS Budapest'!H21))</f>
        <v>63</v>
      </c>
      <c r="I19" s="12">
        <f>IF(('FS Budapest'!I22-'FS Budapest'!I21)&lt;0,"0",('FS Budapest'!I22-'FS Budapest'!I21))</f>
        <v>3</v>
      </c>
      <c r="J19" s="12">
        <f>IF(('FS Budapest'!K22-'FS Budapest'!K21)&lt;0,"0",('FS Budapest'!K22-'FS Budapest'!K21))</f>
        <v>3</v>
      </c>
      <c r="K19" s="12">
        <f>IF(('FS Budapest'!M22-'FS Budapest'!M21)&lt;0,"0",('FS Budapest'!M22-'FS Budapest'!M21))</f>
        <v>4</v>
      </c>
      <c r="L19" s="12">
        <f>IF(('FS Budapest'!O22-'FS Budapest'!O21)&lt;0,"0",('FS Budapest'!O22-'FS Budapest'!O21))</f>
        <v>3</v>
      </c>
      <c r="M19" s="12">
        <f>IF(('FS Budapest'!Q22-'FS Budapest'!Q21)&lt;0,"0",('FS Budapest'!Q22-'FS Budapest'!Q21))</f>
        <v>0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25</v>
      </c>
      <c r="Q19" s="12">
        <f>'FS Budapest'!AB22</f>
        <v>5</v>
      </c>
      <c r="R19" s="12">
        <f>'FS Budapest'!AE22</f>
        <v>2</v>
      </c>
      <c r="S19" s="12">
        <f>'FS Budapest'!AF22</f>
        <v>0</v>
      </c>
      <c r="T19" s="12">
        <f>IF(('FS Budapest'!AK22-'FS Budapest'!AK21)&lt;0,"0",('FS Budapest'!AK22-'FS Budapest'!AK21))</f>
        <v>447</v>
      </c>
      <c r="U19" s="12">
        <f>IF(('FS Budapest'!AM22-'FS Budapest'!AM21)&lt;0,"0",('FS Budapest'!AM22-'FS Budapest'!AM21))</f>
        <v>21</v>
      </c>
      <c r="V19" s="12">
        <f>IF(('FS Budapest'!AO22-'FS Budapest'!AO21)&lt;0,"0",('FS Budapest'!AO22-'FS Budapest'!AO21))</f>
        <v>0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14212.000000000018</v>
      </c>
      <c r="Z19" s="12">
        <f>'FS Budapest'!BI22</f>
        <v>14212</v>
      </c>
      <c r="AA19" s="12">
        <f>'FS Budapest'!BJ22</f>
        <v>11408</v>
      </c>
      <c r="AB19" s="12">
        <f>IF(('FS Budapest'!BK22-'FS Budapest'!BK21)&lt;0,"0",('FS Budapest'!BK22-'FS Budapest'!BK21)*100)</f>
        <v>518.00000000000068</v>
      </c>
      <c r="AC19" s="12">
        <f>'FS Budapest'!BM22</f>
        <v>14730</v>
      </c>
      <c r="AD19" s="12">
        <f>IF(('FS Budapest'!BP22-'FS Budapest'!BP21)&lt;0,"0",('FS Budapest'!BP22-'FS Budapest'!BP21))</f>
        <v>19</v>
      </c>
      <c r="AE19" s="12">
        <f>IF(('FS Budapest'!BR22-'FS Budapest'!BR21)&lt;0,"0",('FS Budapest'!BR22-'FS Budapest'!BR21))</f>
        <v>2785</v>
      </c>
      <c r="AF19" s="12">
        <f>'FS Budapest'!BU22</f>
        <v>13</v>
      </c>
      <c r="AG19" s="12">
        <f>'FS Budapest'!BV22</f>
        <v>19</v>
      </c>
    </row>
    <row r="20" spans="1:33" s="16" customFormat="1">
      <c r="A20" s="12" t="s">
        <v>12</v>
      </c>
      <c r="B20" s="15">
        <f t="shared" si="0"/>
        <v>19</v>
      </c>
      <c r="C20" s="3">
        <v>6</v>
      </c>
      <c r="D20" s="12">
        <v>2020</v>
      </c>
      <c r="E20" s="12">
        <f>IF(('FS Budapest'!C23-'FS Budapest'!C22)&lt;0,"0",('FS Budapest'!C23-'FS Budapest'!C22))</f>
        <v>0</v>
      </c>
      <c r="F20" s="12">
        <f>IF(('FS Budapest'!D23-'FS Budapest'!D22)&lt;0,"0",('FS Budapest'!D23-'FS Budapest'!D22))</f>
        <v>43</v>
      </c>
      <c r="G20" s="12">
        <f>IF(('FS Budapest'!E23-'FS Budapest'!Y23)&lt;0,"0",('FS Budapest'!E23-'FS Budapest'!Y23))</f>
        <v>22</v>
      </c>
      <c r="H20" s="12">
        <f>IF(('FS Budapest'!H23-'FS Budapest'!H22)&lt;0,"0",('FS Budapest'!H23-'FS Budapest'!H22))</f>
        <v>70</v>
      </c>
      <c r="I20" s="12">
        <f>IF(('FS Budapest'!I23-'FS Budapest'!I22)&lt;0,"0",('FS Budapest'!I23-'FS Budapest'!I22))</f>
        <v>3</v>
      </c>
      <c r="J20" s="12">
        <f>IF(('FS Budapest'!K23-'FS Budapest'!K22)&lt;0,"0",('FS Budapest'!K23-'FS Budapest'!K22))</f>
        <v>3</v>
      </c>
      <c r="K20" s="12">
        <f>IF(('FS Budapest'!M23-'FS Budapest'!M22)&lt;0,"0",('FS Budapest'!M23-'FS Budapest'!M22))</f>
        <v>4</v>
      </c>
      <c r="L20" s="12">
        <f>IF(('FS Budapest'!O23-'FS Budapest'!O22)&lt;0,"0",('FS Budapest'!O23-'FS Budapest'!O22))</f>
        <v>4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0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21</v>
      </c>
      <c r="Q20" s="12">
        <f>'FS Budapest'!AB23</f>
        <v>5</v>
      </c>
      <c r="R20" s="12">
        <f>'FS Budapest'!AE23</f>
        <v>3</v>
      </c>
      <c r="S20" s="12">
        <f>'FS Budapest'!AF23</f>
        <v>0</v>
      </c>
      <c r="T20" s="12">
        <f>IF(('FS Budapest'!AK23-'FS Budapest'!AK22)&lt;0,"0",('FS Budapest'!AK23-'FS Budapest'!AK22))</f>
        <v>360</v>
      </c>
      <c r="U20" s="12">
        <f>IF(('FS Budapest'!AM23-'FS Budapest'!AM22)&lt;0,"0",('FS Budapest'!AM23-'FS Budapest'!AM22))</f>
        <v>18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13551.999999999993</v>
      </c>
      <c r="Z20" s="12">
        <f>'FS Budapest'!BI23</f>
        <v>13552</v>
      </c>
      <c r="AA20" s="12">
        <f>'FS Budapest'!BJ23</f>
        <v>11217</v>
      </c>
      <c r="AB20" s="12">
        <f>IF(('FS Budapest'!BK23-'FS Budapest'!BK22)&lt;0,"0",('FS Budapest'!BK23-'FS Budapest'!BK22)*100)</f>
        <v>555.00000000000114</v>
      </c>
      <c r="AC20" s="12">
        <f>'FS Budapest'!BM23</f>
        <v>14107</v>
      </c>
      <c r="AD20" s="12">
        <f>IF(('FS Budapest'!BP23-'FS Budapest'!BP22)&lt;0,"0",('FS Budapest'!BP23-'FS Budapest'!BP22))</f>
        <v>20</v>
      </c>
      <c r="AE20" s="12">
        <f>IF(('FS Budapest'!BR23-'FS Budapest'!BR22)&lt;0,"0",('FS Budapest'!BR23-'FS Budapest'!BR22))</f>
        <v>2315</v>
      </c>
      <c r="AF20" s="12">
        <f>'FS Budapest'!BU23</f>
        <v>11</v>
      </c>
      <c r="AG20" s="12">
        <f>'FS Budapest'!BV23</f>
        <v>20</v>
      </c>
    </row>
    <row r="21" spans="1:33" s="16" customFormat="1">
      <c r="A21" s="12" t="s">
        <v>12</v>
      </c>
      <c r="B21" s="15">
        <f t="shared" si="0"/>
        <v>20</v>
      </c>
      <c r="C21" s="3">
        <v>6</v>
      </c>
      <c r="D21" s="12">
        <v>2020</v>
      </c>
      <c r="E21" s="12">
        <f>IF(('FS Budapest'!C24-'FS Budapest'!C23)&lt;0,"0",('FS Budapest'!C24-'FS Budapest'!C23))</f>
        <v>0</v>
      </c>
      <c r="F21" s="12">
        <f>IF(('FS Budapest'!D24-'FS Budapest'!D23)&lt;0,"0",('FS Budapest'!D24-'FS Budapest'!D23))</f>
        <v>33</v>
      </c>
      <c r="G21" s="12">
        <f>IF(('FS Budapest'!E24-'FS Budapest'!Y24)&lt;0,"0",('FS Budapest'!E24-'FS Budapest'!Y24))</f>
        <v>11</v>
      </c>
      <c r="H21" s="12">
        <f>IF(('FS Budapest'!H24-'FS Budapest'!H23)&lt;0,"0",('FS Budapest'!H24-'FS Budapest'!H23))</f>
        <v>62</v>
      </c>
      <c r="I21" s="12">
        <f>IF(('FS Budapest'!I24-'FS Budapest'!I23)&lt;0,"0",('FS Budapest'!I24-'FS Budapest'!I23))</f>
        <v>2</v>
      </c>
      <c r="J21" s="12">
        <f>IF(('FS Budapest'!K24-'FS Budapest'!K23)&lt;0,"0",('FS Budapest'!K24-'FS Budapest'!K23))</f>
        <v>3</v>
      </c>
      <c r="K21" s="12">
        <f>IF(('FS Budapest'!M24-'FS Budapest'!M23)&lt;0,"0",('FS Budapest'!M24-'FS Budapest'!M23))</f>
        <v>4</v>
      </c>
      <c r="L21" s="12">
        <f>IF(('FS Budapest'!O24-'FS Budapest'!O23)&lt;0,"0",('FS Budapest'!O24-'FS Budapest'!O23))</f>
        <v>4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22</v>
      </c>
      <c r="Q21" s="12">
        <f>'FS Budapest'!AB24</f>
        <v>4</v>
      </c>
      <c r="R21" s="12">
        <f>'FS Budapest'!AE24</f>
        <v>2</v>
      </c>
      <c r="S21" s="12">
        <f>'FS Budapest'!AF24</f>
        <v>0</v>
      </c>
      <c r="T21" s="12">
        <f>IF(('FS Budapest'!AK24-'FS Budapest'!AK23)&lt;0,"0",('FS Budapest'!AK24-'FS Budapest'!AK23))</f>
        <v>468</v>
      </c>
      <c r="U21" s="12">
        <f>IF(('FS Budapest'!AM24-'FS Budapest'!AM23)&lt;0,"0",('FS Budapest'!AM24-'FS Budapest'!AM23))</f>
        <v>28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13375.999999999965</v>
      </c>
      <c r="Z21" s="12">
        <f>'FS Budapest'!BI24</f>
        <v>13376</v>
      </c>
      <c r="AA21" s="12">
        <f>'FS Budapest'!BJ24</f>
        <v>11467</v>
      </c>
      <c r="AB21" s="12">
        <f>IF(('FS Budapest'!BK24-'FS Budapest'!BK23)&lt;0,"0",('FS Budapest'!BK24-'FS Budapest'!BK23)*100)</f>
        <v>485.99999999999568</v>
      </c>
      <c r="AC21" s="12">
        <f>'FS Budapest'!BM24</f>
        <v>13862</v>
      </c>
      <c r="AD21" s="12">
        <f>IF(('FS Budapest'!BP24-'FS Budapest'!BP23)&lt;0,"0",('FS Budapest'!BP24-'FS Budapest'!BP23))</f>
        <v>20</v>
      </c>
      <c r="AE21" s="12">
        <f>IF(('FS Budapest'!BR24-'FS Budapest'!BR23)&lt;0,"0",('FS Budapest'!BR24-'FS Budapest'!BR23))</f>
        <v>1889</v>
      </c>
      <c r="AF21" s="12">
        <f>'FS Budapest'!BU24</f>
        <v>12</v>
      </c>
      <c r="AG21" s="12">
        <f>'FS Budapest'!BV24</f>
        <v>22</v>
      </c>
    </row>
    <row r="22" spans="1:33" s="16" customFormat="1">
      <c r="A22" s="12" t="s">
        <v>12</v>
      </c>
      <c r="B22" s="15">
        <f t="shared" si="0"/>
        <v>21</v>
      </c>
      <c r="C22" s="3">
        <v>6</v>
      </c>
      <c r="D22" s="12">
        <v>2020</v>
      </c>
      <c r="E22" s="12">
        <f>IF(('FS Budapest'!C25-'FS Budapest'!C24)&lt;0,"0",('FS Budapest'!C25-'FS Budapest'!C24))</f>
        <v>0</v>
      </c>
      <c r="F22" s="12">
        <f>IF(('FS Budapest'!D25-'FS Budapest'!D24)&lt;0,"0",('FS Budapest'!D25-'FS Budapest'!D24))</f>
        <v>33</v>
      </c>
      <c r="G22" s="12">
        <f>IF(('FS Budapest'!E25-'FS Budapest'!Y25)&lt;0,"0",('FS Budapest'!E25-'FS Budapest'!Y25))</f>
        <v>25</v>
      </c>
      <c r="H22" s="12">
        <f>IF(('FS Budapest'!H25-'FS Budapest'!H24)&lt;0,"0",('FS Budapest'!H25-'FS Budapest'!H24))</f>
        <v>60</v>
      </c>
      <c r="I22" s="12">
        <f>IF(('FS Budapest'!I25-'FS Budapest'!I24)&lt;0,"0",('FS Budapest'!I25-'FS Budapest'!I24))</f>
        <v>2</v>
      </c>
      <c r="J22" s="12">
        <f>IF(('FS Budapest'!K25-'FS Budapest'!K24)&lt;0,"0",('FS Budapest'!K25-'FS Budapest'!K24))</f>
        <v>4</v>
      </c>
      <c r="K22" s="12">
        <f>IF(('FS Budapest'!M25-'FS Budapest'!M24)&lt;0,"0",('FS Budapest'!M25-'FS Budapest'!M24))</f>
        <v>5</v>
      </c>
      <c r="L22" s="12">
        <f>IF(('FS Budapest'!O25-'FS Budapest'!O24)&lt;0,"0",('FS Budapest'!O25-'FS Budapest'!O24))</f>
        <v>2</v>
      </c>
      <c r="M22" s="12">
        <f>IF(('FS Budapest'!Q25-'FS Budapest'!Q24)&lt;0,"0",('FS Budapest'!Q25-'FS Budapest'!Q24))</f>
        <v>0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8</v>
      </c>
      <c r="Q22" s="12">
        <f>'FS Budapest'!AB25</f>
        <v>6</v>
      </c>
      <c r="R22" s="12">
        <f>'FS Budapest'!AE25</f>
        <v>1</v>
      </c>
      <c r="S22" s="12">
        <f>'FS Budapest'!AF25</f>
        <v>0</v>
      </c>
      <c r="T22" s="12">
        <f>IF(('FS Budapest'!AK25-'FS Budapest'!AK24)&lt;0,"0",('FS Budapest'!AK25-'FS Budapest'!AK24))</f>
        <v>346</v>
      </c>
      <c r="U22" s="12">
        <f>IF(('FS Budapest'!AM25-'FS Budapest'!AM24)&lt;0,"0",('FS Budapest'!AM25-'FS Budapest'!AM24))</f>
        <v>35</v>
      </c>
      <c r="V22" s="12">
        <f>IF(('FS Budapest'!AO25-'FS Budapest'!AO24)&lt;0,"0",('FS Budapest'!AO25-'FS Budapest'!AO24))</f>
        <v>0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12364.000000000011</v>
      </c>
      <c r="Z22" s="12">
        <f>'FS Budapest'!BI25</f>
        <v>12364</v>
      </c>
      <c r="AA22" s="12">
        <f>'FS Budapest'!BJ25</f>
        <v>10424</v>
      </c>
      <c r="AB22" s="12">
        <f>IF(('FS Budapest'!BK25-'FS Budapest'!BK24)&lt;0,"0",('FS Budapest'!BK25-'FS Budapest'!BK24)*100)</f>
        <v>443.00000000000068</v>
      </c>
      <c r="AC22" s="12">
        <f>'FS Budapest'!BM25</f>
        <v>12807</v>
      </c>
      <c r="AD22" s="12">
        <f>IF(('FS Budapest'!BP25-'FS Budapest'!BP24)&lt;0,"0",('FS Budapest'!BP25-'FS Budapest'!BP24))</f>
        <v>20</v>
      </c>
      <c r="AE22" s="12">
        <f>IF(('FS Budapest'!BR25-'FS Budapest'!BR24)&lt;0,"0",('FS Budapest'!BR25-'FS Budapest'!BR24))</f>
        <v>1920</v>
      </c>
      <c r="AF22" s="12">
        <f>'FS Budapest'!BU25</f>
        <v>7</v>
      </c>
      <c r="AG22" s="12">
        <f>'FS Budapest'!BV25</f>
        <v>14</v>
      </c>
    </row>
    <row r="23" spans="1:33" s="16" customFormat="1">
      <c r="A23" s="12" t="s">
        <v>12</v>
      </c>
      <c r="B23" s="15">
        <f t="shared" si="0"/>
        <v>22</v>
      </c>
      <c r="C23" s="3">
        <v>6</v>
      </c>
      <c r="D23" s="12">
        <v>2020</v>
      </c>
      <c r="E23" s="12">
        <f>IF(('FS Budapest'!C26-'FS Budapest'!C25)&lt;0,"0",('FS Budapest'!C26-'FS Budapest'!C25))</f>
        <v>0</v>
      </c>
      <c r="F23" s="12">
        <f>IF(('FS Budapest'!D26-'FS Budapest'!D25)&lt;0,"0",('FS Budapest'!D26-'FS Budapest'!D25))</f>
        <v>43</v>
      </c>
      <c r="G23" s="12">
        <f>IF(('FS Budapest'!E26-'FS Budapest'!Y26)&lt;0,"0",('FS Budapest'!E26-'FS Budapest'!Y26))</f>
        <v>22</v>
      </c>
      <c r="H23" s="12">
        <f>IF(('FS Budapest'!H26-'FS Budapest'!H25)&lt;0,"0",('FS Budapest'!H26-'FS Budapest'!H25))</f>
        <v>69</v>
      </c>
      <c r="I23" s="12">
        <f>IF(('FS Budapest'!I26-'FS Budapest'!I25)&lt;0,"0",('FS Budapest'!I26-'FS Budapest'!I25))</f>
        <v>1</v>
      </c>
      <c r="J23" s="12">
        <f>IF(('FS Budapest'!K26-'FS Budapest'!K25)&lt;0,"0",('FS Budapest'!K26-'FS Budapest'!K25))</f>
        <v>2</v>
      </c>
      <c r="K23" s="12">
        <f>IF(('FS Budapest'!M26-'FS Budapest'!M25)&lt;0,"0",('FS Budapest'!M26-'FS Budapest'!M25))</f>
        <v>3</v>
      </c>
      <c r="L23" s="12">
        <f>IF(('FS Budapest'!O26-'FS Budapest'!O25)&lt;0,"0",('FS Budapest'!O26-'FS Budapest'!O25))</f>
        <v>2</v>
      </c>
      <c r="M23" s="12">
        <f>IF(('FS Budapest'!Q26-'FS Budapest'!Q25)&lt;0,"0",('FS Budapest'!Q26-'FS Budapest'!Q25))</f>
        <v>4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21</v>
      </c>
      <c r="Q23" s="12">
        <f>'FS Budapest'!AB26</f>
        <v>6</v>
      </c>
      <c r="R23" s="12">
        <f>'FS Budapest'!AE26</f>
        <v>3</v>
      </c>
      <c r="S23" s="12">
        <f>'FS Budapest'!AF26</f>
        <v>6</v>
      </c>
      <c r="T23" s="12">
        <f>IF(('FS Budapest'!AK26-'FS Budapest'!AK25)&lt;0,"0",('FS Budapest'!AK26-'FS Budapest'!AK25))</f>
        <v>380</v>
      </c>
      <c r="U23" s="12">
        <f>IF(('FS Budapest'!AM26-'FS Budapest'!AM25)&lt;0,"0",('FS Budapest'!AM26-'FS Budapest'!AM25))</f>
        <v>21</v>
      </c>
      <c r="V23" s="12">
        <f>IF(('FS Budapest'!AO26-'FS Budapest'!AO25)&lt;0,"0",('FS Budapest'!AO26-'FS Budapest'!AO25))</f>
        <v>99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13288.000000000045</v>
      </c>
      <c r="Z23" s="12">
        <f>'FS Budapest'!BI26</f>
        <v>13288</v>
      </c>
      <c r="AA23" s="12">
        <f>'FS Budapest'!BJ26</f>
        <v>11391</v>
      </c>
      <c r="AB23" s="12">
        <f>IF(('FS Budapest'!BK26-'FS Budapest'!BK25)&lt;0,"0",('FS Budapest'!BK26-'FS Budapest'!BK25)*100)</f>
        <v>525</v>
      </c>
      <c r="AC23" s="12">
        <f>'FS Budapest'!BM26</f>
        <v>13813</v>
      </c>
      <c r="AD23" s="12">
        <f>IF(('FS Budapest'!BP26-'FS Budapest'!BP25)&lt;0,"0",('FS Budapest'!BP26-'FS Budapest'!BP25))</f>
        <v>19</v>
      </c>
      <c r="AE23" s="12">
        <f>IF(('FS Budapest'!BR26-'FS Budapest'!BR25)&lt;0,"0",('FS Budapest'!BR26-'FS Budapest'!BR25))</f>
        <v>1878</v>
      </c>
      <c r="AF23" s="12">
        <f>'FS Budapest'!BU26</f>
        <v>7</v>
      </c>
      <c r="AG23" s="12">
        <f>'FS Budapest'!BV26</f>
        <v>14</v>
      </c>
    </row>
    <row r="24" spans="1:33" s="16" customFormat="1">
      <c r="A24" s="12" t="s">
        <v>12</v>
      </c>
      <c r="B24" s="15">
        <f t="shared" si="0"/>
        <v>23</v>
      </c>
      <c r="C24" s="3">
        <v>6</v>
      </c>
      <c r="D24" s="12">
        <v>2020</v>
      </c>
      <c r="E24" s="12">
        <f>IF(('FS Budapest'!C27-'FS Budapest'!C26)&lt;0,"0",('FS Budapest'!C27-'FS Budapest'!C26))</f>
        <v>0</v>
      </c>
      <c r="F24" s="12">
        <f>IF(('FS Budapest'!D27-'FS Budapest'!D26)&lt;0,"0",('FS Budapest'!D27-'FS Budapest'!D26))</f>
        <v>52</v>
      </c>
      <c r="G24" s="12">
        <f>IF(('FS Budapest'!E27-'FS Budapest'!Y27)&lt;0,"0",('FS Budapest'!E27-'FS Budapest'!Y27))</f>
        <v>24</v>
      </c>
      <c r="H24" s="12">
        <f>IF(('FS Budapest'!H27-'FS Budapest'!H26)&lt;0,"0",('FS Budapest'!H27-'FS Budapest'!H26))</f>
        <v>107</v>
      </c>
      <c r="I24" s="12">
        <f>IF(('FS Budapest'!I27-'FS Budapest'!I26)&lt;0,"0",('FS Budapest'!I27-'FS Budapest'!I26))</f>
        <v>22</v>
      </c>
      <c r="J24" s="12">
        <f>IF(('FS Budapest'!K27-'FS Budapest'!K26)&lt;0,"0",('FS Budapest'!K27-'FS Budapest'!K26))</f>
        <v>2</v>
      </c>
      <c r="K24" s="12">
        <f>IF(('FS Budapest'!M27-'FS Budapest'!M26)&lt;0,"0",('FS Budapest'!M27-'FS Budapest'!M26))</f>
        <v>4</v>
      </c>
      <c r="L24" s="12">
        <f>IF(('FS Budapest'!O27-'FS Budapest'!O26)&lt;0,"0",('FS Budapest'!O27-'FS Budapest'!O26))</f>
        <v>2</v>
      </c>
      <c r="M24" s="12">
        <f>IF(('FS Budapest'!Q27-'FS Budapest'!Q26)&lt;0,"0",('FS Budapest'!Q27-'FS Budapest'!Q26))</f>
        <v>10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28</v>
      </c>
      <c r="Q24" s="12">
        <f>'FS Budapest'!AB27</f>
        <v>5</v>
      </c>
      <c r="R24" s="12">
        <f>'FS Budapest'!AE27</f>
        <v>2</v>
      </c>
      <c r="S24" s="12">
        <f>'FS Budapest'!AF27</f>
        <v>16</v>
      </c>
      <c r="T24" s="12">
        <f>IF(('FS Budapest'!AK27-'FS Budapest'!AK26)&lt;0,"0",('FS Budapest'!AK27-'FS Budapest'!AK26))</f>
        <v>811</v>
      </c>
      <c r="U24" s="12">
        <f>IF(('FS Budapest'!AM27-'FS Budapest'!AM26)&lt;0,"0",('FS Budapest'!AM27-'FS Budapest'!AM26))</f>
        <v>21</v>
      </c>
      <c r="V24" s="12">
        <f>IF(('FS Budapest'!AO27-'FS Budapest'!AO26)&lt;0,"0",('FS Budapest'!AO27-'FS Budapest'!AO26))</f>
        <v>556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13287.99999999992</v>
      </c>
      <c r="Z24" s="12">
        <f>'FS Budapest'!BI27</f>
        <v>13288</v>
      </c>
      <c r="AA24" s="12">
        <f>'FS Budapest'!BJ27</f>
        <v>11176</v>
      </c>
      <c r="AB24" s="12">
        <f>IF(('FS Budapest'!BK27-'FS Budapest'!BK26)&lt;0,"0",('FS Budapest'!BK27-'FS Budapest'!BK26)*100)</f>
        <v>538.99999999999864</v>
      </c>
      <c r="AC24" s="12">
        <f>'FS Budapest'!BM27</f>
        <v>13827</v>
      </c>
      <c r="AD24" s="12">
        <f>IF(('FS Budapest'!BP27-'FS Budapest'!BP26)&lt;0,"0",('FS Budapest'!BP27-'FS Budapest'!BP26))</f>
        <v>20</v>
      </c>
      <c r="AE24" s="12">
        <f>IF(('FS Budapest'!BR27-'FS Budapest'!BR26)&lt;0,"0",('FS Budapest'!BR27-'FS Budapest'!BR26))</f>
        <v>2092</v>
      </c>
      <c r="AF24" s="12">
        <f>'FS Budapest'!BU27</f>
        <v>6</v>
      </c>
      <c r="AG24" s="12">
        <f>'FS Budapest'!BV27</f>
        <v>8</v>
      </c>
    </row>
    <row r="25" spans="1:33" s="16" customFormat="1">
      <c r="A25" s="12" t="s">
        <v>12</v>
      </c>
      <c r="B25" s="15">
        <f t="shared" si="0"/>
        <v>24</v>
      </c>
      <c r="C25" s="3">
        <v>6</v>
      </c>
      <c r="D25" s="12">
        <v>2020</v>
      </c>
      <c r="E25" s="12">
        <f>IF(('FS Budapest'!C28-'FS Budapest'!C27)&lt;0,"0",('FS Budapest'!C28-'FS Budapest'!C27))</f>
        <v>0</v>
      </c>
      <c r="F25" s="12">
        <f>IF(('FS Budapest'!D28-'FS Budapest'!D27)&lt;0,"0",('FS Budapest'!D28-'FS Budapest'!D27))</f>
        <v>33</v>
      </c>
      <c r="G25" s="12">
        <f>IF(('FS Budapest'!E28-'FS Budapest'!Y28)&lt;0,"0",('FS Budapest'!E28-'FS Budapest'!Y28))</f>
        <v>11</v>
      </c>
      <c r="H25" s="12">
        <f>IF(('FS Budapest'!H28-'FS Budapest'!H27)&lt;0,"0",('FS Budapest'!H28-'FS Budapest'!H27))</f>
        <v>57</v>
      </c>
      <c r="I25" s="12">
        <f>IF(('FS Budapest'!I28-'FS Budapest'!I27)&lt;0,"0",('FS Budapest'!I28-'FS Budapest'!I27))</f>
        <v>4</v>
      </c>
      <c r="J25" s="12">
        <f>IF(('FS Budapest'!K28-'FS Budapest'!K27)&lt;0,"0",('FS Budapest'!K28-'FS Budapest'!K27))</f>
        <v>2</v>
      </c>
      <c r="K25" s="12">
        <f>IF(('FS Budapest'!M28-'FS Budapest'!M27)&lt;0,"0",('FS Budapest'!M28-'FS Budapest'!M27))</f>
        <v>3</v>
      </c>
      <c r="L25" s="12">
        <f>IF(('FS Budapest'!O28-'FS Budapest'!O27)&lt;0,"0",('FS Budapest'!O28-'FS Budapest'!O27))</f>
        <v>2</v>
      </c>
      <c r="M25" s="12">
        <f>IF(('FS Budapest'!Q28-'FS Budapest'!Q27)&lt;0,"0",('FS Budapest'!Q28-'FS Budapest'!Q27))</f>
        <v>0</v>
      </c>
      <c r="N25" s="12">
        <f>IF(('FS Budapest'!S28-'FS Budapest'!S27)&lt;0,"0",('FS Budapest'!S28-'FS Budapest'!S27))</f>
        <v>1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22</v>
      </c>
      <c r="Q25" s="12">
        <f>'FS Budapest'!AB28</f>
        <v>5</v>
      </c>
      <c r="R25" s="12">
        <f>'FS Budapest'!AE28</f>
        <v>6</v>
      </c>
      <c r="S25" s="12">
        <f>'FS Budapest'!AF28</f>
        <v>2</v>
      </c>
      <c r="T25" s="12">
        <f>IF(('FS Budapest'!AK28-'FS Budapest'!AK27)&lt;0,"0",('FS Budapest'!AK28-'FS Budapest'!AK27))</f>
        <v>222</v>
      </c>
      <c r="U25" s="12">
        <f>IF(('FS Budapest'!AM28-'FS Budapest'!AM27)&lt;0,"0",('FS Budapest'!AM28-'FS Budapest'!AM27))</f>
        <v>16</v>
      </c>
      <c r="V25" s="12">
        <f>IF(('FS Budapest'!AO28-'FS Budapest'!AO27)&lt;0,"0",('FS Budapest'!AO28-'FS Budapest'!AO27))</f>
        <v>38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8536.0000000001146</v>
      </c>
      <c r="Z25" s="12">
        <f>'FS Budapest'!BI28</f>
        <v>8536</v>
      </c>
      <c r="AA25" s="12">
        <f>'FS Budapest'!BJ28</f>
        <v>7366</v>
      </c>
      <c r="AB25" s="12">
        <f>IF(('FS Budapest'!BK28-'FS Budapest'!BK27)&lt;0,"0",('FS Budapest'!BK28-'FS Budapest'!BK27)*100)</f>
        <v>365.00000000000341</v>
      </c>
      <c r="AC25" s="12">
        <f>'FS Budapest'!BM28</f>
        <v>8901</v>
      </c>
      <c r="AD25" s="12">
        <f>IF(('FS Budapest'!BP28-'FS Budapest'!BP27)&lt;0,"0",('FS Budapest'!BP28-'FS Budapest'!BP27))</f>
        <v>11</v>
      </c>
      <c r="AE25" s="12">
        <f>IF(('FS Budapest'!BR28-'FS Budapest'!BR27)&lt;0,"0",('FS Budapest'!BR28-'FS Budapest'!BR27))</f>
        <v>1159</v>
      </c>
      <c r="AF25" s="12">
        <f>'FS Budapest'!BU28</f>
        <v>14</v>
      </c>
      <c r="AG25" s="12">
        <f>'FS Budapest'!BV28</f>
        <v>23</v>
      </c>
    </row>
    <row r="26" spans="1:33" s="16" customFormat="1">
      <c r="A26" s="12" t="s">
        <v>12</v>
      </c>
      <c r="B26" s="15">
        <f>B25+1</f>
        <v>25</v>
      </c>
      <c r="C26" s="3">
        <v>6</v>
      </c>
      <c r="D26" s="12">
        <v>2020</v>
      </c>
      <c r="E26" s="12">
        <f>IF(('FS Budapest'!C29-'FS Budapest'!C28)&lt;0,"0",('FS Budapest'!C29-'FS Budapest'!C28))</f>
        <v>0</v>
      </c>
      <c r="F26" s="12">
        <f>IF(('FS Budapest'!D29-'FS Budapest'!D28)&lt;0,"0",('FS Budapest'!D29-'FS Budapest'!D28))</f>
        <v>49</v>
      </c>
      <c r="G26" s="12">
        <f>IF(('FS Budapest'!E29-'FS Budapest'!Y29)&lt;0,"0",('FS Budapest'!E29-'FS Budapest'!Y29))</f>
        <v>24</v>
      </c>
      <c r="H26" s="12">
        <f>IF(('FS Budapest'!H29-'FS Budapest'!H28)&lt;0,"0",('FS Budapest'!H29-'FS Budapest'!H28))</f>
        <v>73</v>
      </c>
      <c r="I26" s="12">
        <f>IF(('FS Budapest'!I29-'FS Budapest'!I28)&lt;0,"0",('FS Budapest'!I29-'FS Budapest'!I28))</f>
        <v>2</v>
      </c>
      <c r="J26" s="12">
        <f>IF(('FS Budapest'!K29-'FS Budapest'!K28)&lt;0,"0",('FS Budapest'!K29-'FS Budapest'!K28))</f>
        <v>4</v>
      </c>
      <c r="K26" s="12">
        <f>IF(('FS Budapest'!M29-'FS Budapest'!M28)&lt;0,"0",('FS Budapest'!M29-'FS Budapest'!M28))</f>
        <v>5</v>
      </c>
      <c r="L26" s="12">
        <f>IF(('FS Budapest'!O29-'FS Budapest'!O28)&lt;0,"0",('FS Budapest'!O29-'FS Budapest'!O28))</f>
        <v>3</v>
      </c>
      <c r="M26" s="12">
        <f>IF(('FS Budapest'!Q29-'FS Budapest'!Q28)&lt;0,"0",('FS Budapest'!Q29-'FS Budapest'!Q28))</f>
        <v>1</v>
      </c>
      <c r="N26" s="12">
        <f>IF(('FS Budapest'!S29-'FS Budapest'!S28)&lt;0,"0",('FS Budapest'!S29-'FS Budapest'!S28))</f>
        <v>1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25</v>
      </c>
      <c r="Q26" s="12">
        <f>'FS Budapest'!AB29</f>
        <v>3</v>
      </c>
      <c r="R26" s="12">
        <f>'FS Budapest'!AE29</f>
        <v>2</v>
      </c>
      <c r="S26" s="12">
        <f>'FS Budapest'!AF29</f>
        <v>3</v>
      </c>
      <c r="T26" s="12">
        <f>IF(('FS Budapest'!AK29-'FS Budapest'!AK28)&lt;0,"0",('FS Budapest'!AK29-'FS Budapest'!AK28))</f>
        <v>394</v>
      </c>
      <c r="U26" s="12">
        <f>IF(('FS Budapest'!AM29-'FS Budapest'!AM28)&lt;0,"0",('FS Budapest'!AM29-'FS Budapest'!AM28))</f>
        <v>18</v>
      </c>
      <c r="V26" s="12">
        <f>IF(('FS Budapest'!AO29-'FS Budapest'!AO28)&lt;0,"0",('FS Budapest'!AO29-'FS Budapest'!AO28))</f>
        <v>104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13815.99999999994</v>
      </c>
      <c r="Z26" s="12">
        <f>'FS Budapest'!BI29</f>
        <v>13816</v>
      </c>
      <c r="AA26" s="12">
        <f>'FS Budapest'!BJ29</f>
        <v>11753</v>
      </c>
      <c r="AB26" s="12">
        <f>IF(('FS Budapest'!BK29-'FS Budapest'!BK28)&lt;0,"0",('FS Budapest'!BK29-'FS Budapest'!BK28)*100)</f>
        <v>218.99999999999977</v>
      </c>
      <c r="AC26" s="12">
        <f>'FS Budapest'!BM29</f>
        <v>14035</v>
      </c>
      <c r="AD26" s="12">
        <f>IF(('FS Budapest'!BP29-'FS Budapest'!BP28)&lt;0,"0",('FS Budapest'!BP29-'FS Budapest'!BP28))</f>
        <v>20</v>
      </c>
      <c r="AE26" s="12">
        <f>IF(('FS Budapest'!BR29-'FS Budapest'!BR28)&lt;0,"0",('FS Budapest'!BR29-'FS Budapest'!BR28))</f>
        <v>2043</v>
      </c>
      <c r="AF26" s="12">
        <f>'FS Budapest'!BU29</f>
        <v>12</v>
      </c>
      <c r="AG26" s="12">
        <f>'FS Budapest'!BV29</f>
        <v>17</v>
      </c>
    </row>
    <row r="27" spans="1:33" s="16" customFormat="1">
      <c r="A27" s="12" t="s">
        <v>12</v>
      </c>
      <c r="B27" s="15">
        <f t="shared" si="0"/>
        <v>26</v>
      </c>
      <c r="C27" s="3">
        <v>6</v>
      </c>
      <c r="D27" s="12">
        <v>2020</v>
      </c>
      <c r="E27" s="12">
        <f>IF(('FS Budapest'!C30-'FS Budapest'!C29)&lt;0,"0",('FS Budapest'!C30-'FS Budapest'!C29))</f>
        <v>0</v>
      </c>
      <c r="F27" s="12">
        <f>IF(('FS Budapest'!D30-'FS Budapest'!D29)&lt;0,"0",('FS Budapest'!D30-'FS Budapest'!D29))</f>
        <v>72</v>
      </c>
      <c r="G27" s="12">
        <f>IF(('FS Budapest'!E30-'FS Budapest'!Y30)&lt;0,"0",('FS Budapest'!E30-'FS Budapest'!Y30))</f>
        <v>32</v>
      </c>
      <c r="H27" s="12">
        <f>IF(('FS Budapest'!H30-'FS Budapest'!H29)&lt;0,"0",('FS Budapest'!H30-'FS Budapest'!H29))</f>
        <v>97</v>
      </c>
      <c r="I27" s="12">
        <f>IF(('FS Budapest'!I30-'FS Budapest'!I29)&lt;0,"0",('FS Budapest'!I30-'FS Budapest'!I29))</f>
        <v>2</v>
      </c>
      <c r="J27" s="12">
        <f>IF(('FS Budapest'!K30-'FS Budapest'!K29)&lt;0,"0",('FS Budapest'!K30-'FS Budapest'!K29))</f>
        <v>3</v>
      </c>
      <c r="K27" s="12">
        <f>IF(('FS Budapest'!M30-'FS Budapest'!M29)&lt;0,"0",('FS Budapest'!M30-'FS Budapest'!M29))</f>
        <v>5</v>
      </c>
      <c r="L27" s="12">
        <f>IF(('FS Budapest'!O30-'FS Budapest'!O29)&lt;0,"0",('FS Budapest'!O30-'FS Budapest'!O29))</f>
        <v>4</v>
      </c>
      <c r="M27" s="12">
        <f>IF(('FS Budapest'!Q30-'FS Budapest'!Q29)&lt;0,"0",('FS Budapest'!Q30-'FS Budapest'!Q29))</f>
        <v>1</v>
      </c>
      <c r="N27" s="12">
        <f>IF(('FS Budapest'!S30-'FS Budapest'!S29)&lt;0,"0",('FS Budapest'!S30-'FS Budapest'!S29))</f>
        <v>1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40</v>
      </c>
      <c r="Q27" s="12">
        <f>'FS Budapest'!AB30</f>
        <v>7</v>
      </c>
      <c r="R27" s="12">
        <f>'FS Budapest'!AE30</f>
        <v>2</v>
      </c>
      <c r="S27" s="12">
        <f>'FS Budapest'!AF30</f>
        <v>2</v>
      </c>
      <c r="T27" s="12">
        <f>IF(('FS Budapest'!AK30-'FS Budapest'!AK29)&lt;0,"0",('FS Budapest'!AK30-'FS Budapest'!AK29))</f>
        <v>526</v>
      </c>
      <c r="U27" s="12">
        <f>IF(('FS Budapest'!AM30-'FS Budapest'!AM29)&lt;0,"0",('FS Budapest'!AM30-'FS Budapest'!AM29))</f>
        <v>27</v>
      </c>
      <c r="V27" s="12">
        <f>IF(('FS Budapest'!AO30-'FS Budapest'!AO29)&lt;0,"0",('FS Budapest'!AO30-'FS Budapest'!AO29))</f>
        <v>53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20416.000000000065</v>
      </c>
      <c r="Z27" s="12">
        <f>'FS Budapest'!BI30</f>
        <v>20416</v>
      </c>
      <c r="AA27" s="12">
        <f>'FS Budapest'!BJ30</f>
        <v>16674</v>
      </c>
      <c r="AB27" s="12">
        <f>IF(('FS Budapest'!BK30-'FS Budapest'!BK29)&lt;0,"0",('FS Budapest'!BK30-'FS Budapest'!BK29)*100)</f>
        <v>1054.000000000002</v>
      </c>
      <c r="AC27" s="12">
        <f>'FS Budapest'!BM30</f>
        <v>21470</v>
      </c>
      <c r="AD27" s="12">
        <f>IF(('FS Budapest'!BP30-'FS Budapest'!BP29)&lt;0,"0",('FS Budapest'!BP30-'FS Budapest'!BP29))</f>
        <v>27</v>
      </c>
      <c r="AE27" s="12">
        <f>IF(('FS Budapest'!BR30-'FS Budapest'!BR29)&lt;0,"0",('FS Budapest'!BR30-'FS Budapest'!BR29))</f>
        <v>3715</v>
      </c>
      <c r="AF27" s="12">
        <f>'FS Budapest'!BU30</f>
        <v>8</v>
      </c>
      <c r="AG27" s="12">
        <f>'FS Budapest'!BV30</f>
        <v>14</v>
      </c>
    </row>
    <row r="28" spans="1:33" s="16" customFormat="1">
      <c r="A28" s="12" t="s">
        <v>12</v>
      </c>
      <c r="B28" s="15">
        <f t="shared" si="0"/>
        <v>27</v>
      </c>
      <c r="C28" s="3">
        <v>6</v>
      </c>
      <c r="D28" s="12">
        <v>2020</v>
      </c>
      <c r="E28" s="12">
        <f>IF(('FS Budapest'!C31-'FS Budapest'!C30)&lt;0,"0",('FS Budapest'!C31-'FS Budapest'!C30))</f>
        <v>0</v>
      </c>
      <c r="F28" s="12">
        <f>IF(('FS Budapest'!D31-'FS Budapest'!D30)&lt;0,"0",('FS Budapest'!D31-'FS Budapest'!D30))</f>
        <v>60</v>
      </c>
      <c r="G28" s="12">
        <f>IF(('FS Budapest'!E31-'FS Budapest'!Y31)&lt;0,"0",('FS Budapest'!E31-'FS Budapest'!Y31))</f>
        <v>19</v>
      </c>
      <c r="H28" s="12">
        <f>IF(('FS Budapest'!H31-'FS Budapest'!H30)&lt;0,"0",('FS Budapest'!H31-'FS Budapest'!H30))</f>
        <v>32</v>
      </c>
      <c r="I28" s="12">
        <f>IF(('FS Budapest'!I31-'FS Budapest'!I30)&lt;0,"0",('FS Budapest'!I31-'FS Budapest'!I30))</f>
        <v>2</v>
      </c>
      <c r="J28" s="12">
        <f>IF(('FS Budapest'!K31-'FS Budapest'!K30)&lt;0,"0",('FS Budapest'!K31-'FS Budapest'!K30))</f>
        <v>3</v>
      </c>
      <c r="K28" s="12">
        <f>IF(('FS Budapest'!M31-'FS Budapest'!M30)&lt;0,"0",('FS Budapest'!M31-'FS Budapest'!M30))</f>
        <v>3</v>
      </c>
      <c r="L28" s="12">
        <f>IF(('FS Budapest'!O31-'FS Budapest'!O30)&lt;0,"0",('FS Budapest'!O31-'FS Budapest'!O30))</f>
        <v>3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41</v>
      </c>
      <c r="Q28" s="12">
        <f>'FS Budapest'!AB31</f>
        <v>3</v>
      </c>
      <c r="R28" s="12">
        <f>'FS Budapest'!AE31</f>
        <v>2</v>
      </c>
      <c r="S28" s="12">
        <f>'FS Budapest'!AF31</f>
        <v>0</v>
      </c>
      <c r="T28" s="12">
        <f>IF(('FS Budapest'!AK31-'FS Budapest'!AK30)&lt;0,"0",('FS Budapest'!AK31-'FS Budapest'!AK30))</f>
        <v>402</v>
      </c>
      <c r="U28" s="12">
        <f>IF(('FS Budapest'!AM31-'FS Budapest'!AM30)&lt;0,"0",('FS Budapest'!AM31-'FS Budapest'!AM30))</f>
        <v>22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15135.999999999989</v>
      </c>
      <c r="Z28" s="12">
        <f>'FS Budapest'!BI31</f>
        <v>15136</v>
      </c>
      <c r="AA28" s="12">
        <f>'FS Budapest'!BJ31</f>
        <v>12195</v>
      </c>
      <c r="AB28" s="12">
        <f>IF(('FS Budapest'!BK31-'FS Budapest'!BK30)&lt;0,"0",('FS Budapest'!BK31-'FS Budapest'!BK30)*100)</f>
        <v>522.99999999999613</v>
      </c>
      <c r="AC28" s="12">
        <f>'FS Budapest'!BM31</f>
        <v>15659</v>
      </c>
      <c r="AD28" s="12">
        <f>IF(('FS Budapest'!BP31-'FS Budapest'!BP30)&lt;0,"0",('FS Budapest'!BP31-'FS Budapest'!BP30))</f>
        <v>20</v>
      </c>
      <c r="AE28" s="12">
        <f>IF(('FS Budapest'!BR31-'FS Budapest'!BR30)&lt;0,"0",('FS Budapest'!BR31-'FS Budapest'!BR30))</f>
        <v>2921</v>
      </c>
      <c r="AF28" s="12">
        <f>'FS Budapest'!BU31</f>
        <v>9</v>
      </c>
      <c r="AG28" s="12">
        <f>'FS Budapest'!BV31</f>
        <v>16</v>
      </c>
    </row>
    <row r="29" spans="1:33" s="16" customFormat="1">
      <c r="A29" s="12" t="s">
        <v>12</v>
      </c>
      <c r="B29" s="15">
        <f t="shared" si="0"/>
        <v>28</v>
      </c>
      <c r="C29" s="3">
        <v>6</v>
      </c>
      <c r="D29" s="12">
        <v>2020</v>
      </c>
      <c r="E29" s="12">
        <f>IF(('FS Budapest'!C32-'FS Budapest'!C31)&lt;0,"0",('FS Budapest'!C32-'FS Budapest'!C31))</f>
        <v>0</v>
      </c>
      <c r="F29" s="12">
        <f>IF(('FS Budapest'!D32-'FS Budapest'!D31)&lt;0,"0",('FS Budapest'!D32-'FS Budapest'!D31))</f>
        <v>65</v>
      </c>
      <c r="G29" s="12">
        <f>IF(('FS Budapest'!E32-'FS Budapest'!Y32)&lt;0,"0",('FS Budapest'!E32-'FS Budapest'!Y32))</f>
        <v>21</v>
      </c>
      <c r="H29" s="12">
        <f>IF(('FS Budapest'!H32-'FS Budapest'!H31)&lt;0,"0",('FS Budapest'!H32-'FS Budapest'!H31))</f>
        <v>141</v>
      </c>
      <c r="I29" s="12">
        <f>IF(('FS Budapest'!I32-'FS Budapest'!I31)&lt;0,"0",('FS Budapest'!I32-'FS Budapest'!I31))</f>
        <v>2</v>
      </c>
      <c r="J29" s="12">
        <f>IF(('FS Budapest'!K32-'FS Budapest'!K31)&lt;0,"0",('FS Budapest'!K32-'FS Budapest'!K31))</f>
        <v>4</v>
      </c>
      <c r="K29" s="12">
        <f>IF(('FS Budapest'!M32-'FS Budapest'!M31)&lt;0,"0",('FS Budapest'!M32-'FS Budapest'!M31))</f>
        <v>4</v>
      </c>
      <c r="L29" s="12">
        <f>IF(('FS Budapest'!O32-'FS Budapest'!O31)&lt;0,"0",('FS Budapest'!O32-'FS Budapest'!O31))</f>
        <v>3</v>
      </c>
      <c r="M29" s="12">
        <f>IF(('FS Budapest'!Q32-'FS Budapest'!Q31)&lt;0,"0",('FS Budapest'!Q32-'FS Budapest'!Q31))</f>
        <v>0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44</v>
      </c>
      <c r="Q29" s="12">
        <f>'FS Budapest'!AB32</f>
        <v>5</v>
      </c>
      <c r="R29" s="12">
        <f>'FS Budapest'!AE32</f>
        <v>1</v>
      </c>
      <c r="S29" s="12">
        <f>'FS Budapest'!AF32</f>
        <v>0</v>
      </c>
      <c r="T29" s="12">
        <f>IF(('FS Budapest'!AK32-'FS Budapest'!AK31)&lt;0,"0",('FS Budapest'!AK32-'FS Budapest'!AK31))</f>
        <v>376</v>
      </c>
      <c r="U29" s="12">
        <f>IF(('FS Budapest'!AM32-'FS Budapest'!AM31)&lt;0,"0",('FS Budapest'!AM32-'FS Budapest'!AM31))</f>
        <v>28</v>
      </c>
      <c r="V29" s="12">
        <f>IF(('FS Budapest'!AO32-'FS Budapest'!AO31)&lt;0,"0",('FS Budapest'!AO32-'FS Budapest'!AO31))</f>
        <v>0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15135.999999999989</v>
      </c>
      <c r="Z29" s="12">
        <f>'FS Budapest'!BI32</f>
        <v>15136</v>
      </c>
      <c r="AA29" s="12">
        <f>'FS Budapest'!BJ32</f>
        <v>11965</v>
      </c>
      <c r="AB29" s="12">
        <f>IF(('FS Budapest'!BK32-'FS Budapest'!BK31)&lt;0,"0",('FS Budapest'!BK32-'FS Budapest'!BK31)*100)</f>
        <v>381.00000000000023</v>
      </c>
      <c r="AC29" s="12">
        <f>'FS Budapest'!BM32</f>
        <v>15517</v>
      </c>
      <c r="AD29" s="12">
        <f>IF(('FS Budapest'!BP32-'FS Budapest'!BP31)&lt;0,"0",('FS Budapest'!BP32-'FS Budapest'!BP31))</f>
        <v>19</v>
      </c>
      <c r="AE29" s="12">
        <f>IF(('FS Budapest'!BR32-'FS Budapest'!BR31)&lt;0,"0",('FS Budapest'!BR32-'FS Budapest'!BR31))</f>
        <v>3152</v>
      </c>
      <c r="AF29" s="12">
        <f>'FS Budapest'!BU32</f>
        <v>6</v>
      </c>
      <c r="AG29" s="12">
        <f>'FS Budapest'!BV32</f>
        <v>11</v>
      </c>
    </row>
    <row r="30" spans="1:33" s="16" customFormat="1">
      <c r="A30" s="12" t="s">
        <v>12</v>
      </c>
      <c r="B30" s="15">
        <f t="shared" si="0"/>
        <v>29</v>
      </c>
      <c r="C30" s="3">
        <v>6</v>
      </c>
      <c r="D30" s="12">
        <v>2020</v>
      </c>
      <c r="E30" s="12">
        <f>IF(('FS Budapest'!C33-'FS Budapest'!C32)&lt;0,"0",('FS Budapest'!C33-'FS Budapest'!C32))</f>
        <v>0</v>
      </c>
      <c r="F30" s="12">
        <f>IF(('FS Budapest'!D33-'FS Budapest'!D32)&lt;0,"0",('FS Budapest'!D33-'FS Budapest'!D32))</f>
        <v>41</v>
      </c>
      <c r="G30" s="12">
        <f>IF(('FS Budapest'!E33-'FS Budapest'!Y33)&lt;0,"0",('FS Budapest'!E33-'FS Budapest'!Y33))</f>
        <v>16</v>
      </c>
      <c r="H30" s="12">
        <f>IF(('FS Budapest'!H33-'FS Budapest'!H32)&lt;0,"0",('FS Budapest'!H33-'FS Budapest'!H32))</f>
        <v>62</v>
      </c>
      <c r="I30" s="12">
        <f>IF(('FS Budapest'!I33-'FS Budapest'!I32)&lt;0,"0",('FS Budapest'!I33-'FS Budapest'!I32))</f>
        <v>4</v>
      </c>
      <c r="J30" s="12">
        <f>IF(('FS Budapest'!K33-'FS Budapest'!K32)&lt;0,"0",('FS Budapest'!K33-'FS Budapest'!K32))</f>
        <v>1</v>
      </c>
      <c r="K30" s="12">
        <f>IF(('FS Budapest'!M33-'FS Budapest'!M32)&lt;0,"0",('FS Budapest'!M33-'FS Budapest'!M32))</f>
        <v>3</v>
      </c>
      <c r="L30" s="12">
        <f>IF(('FS Budapest'!O33-'FS Budapest'!O32)&lt;0,"0",('FS Budapest'!O33-'FS Budapest'!O32))</f>
        <v>2</v>
      </c>
      <c r="M30" s="12">
        <f>IF(('FS Budapest'!Q33-'FS Budapest'!Q32)&lt;0,"0",('FS Budapest'!Q33-'FS Budapest'!Q32))</f>
        <v>0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25</v>
      </c>
      <c r="Q30" s="12">
        <f>'FS Budapest'!AB33</f>
        <v>4</v>
      </c>
      <c r="R30" s="12">
        <f>'FS Budapest'!AE33</f>
        <v>3</v>
      </c>
      <c r="S30" s="12">
        <f>'FS Budapest'!AF33</f>
        <v>0</v>
      </c>
      <c r="T30" s="12">
        <f>IF(('FS Budapest'!AK33-'FS Budapest'!AK32)&lt;0,"0",('FS Budapest'!AK33-'FS Budapest'!AK32))</f>
        <v>176</v>
      </c>
      <c r="U30" s="12">
        <f>IF(('FS Budapest'!AM33-'FS Budapest'!AM32)&lt;0,"0",('FS Budapest'!AM33-'FS Budapest'!AM32))</f>
        <v>18</v>
      </c>
      <c r="V30" s="12">
        <f>IF(('FS Budapest'!AO33-'FS Budapest'!AO32)&lt;0,"0",('FS Budapest'!AO33-'FS Budapest'!AO32))</f>
        <v>0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9679.9999999999491</v>
      </c>
      <c r="Z30" s="12">
        <f>'FS Budapest'!BI33</f>
        <v>9680</v>
      </c>
      <c r="AA30" s="12">
        <f>'FS Budapest'!BJ33</f>
        <v>7827</v>
      </c>
      <c r="AB30" s="12">
        <f>IF(('FS Budapest'!BK33-'FS Budapest'!BK32)&lt;0,"0",('FS Budapest'!BK33-'FS Budapest'!BK32)*100)</f>
        <v>356.00000000000023</v>
      </c>
      <c r="AC30" s="12">
        <f>'FS Budapest'!BM33</f>
        <v>10036</v>
      </c>
      <c r="AD30" s="12">
        <f>IF(('FS Budapest'!BP33-'FS Budapest'!BP32)&lt;0,"0",('FS Budapest'!BP33-'FS Budapest'!BP32))</f>
        <v>11</v>
      </c>
      <c r="AE30" s="12">
        <f>IF(('FS Budapest'!BR33-'FS Budapest'!BR32)&lt;0,"0",('FS Budapest'!BR33-'FS Budapest'!BR32))</f>
        <v>1842</v>
      </c>
      <c r="AF30" s="12">
        <f>'FS Budapest'!BU33</f>
        <v>5</v>
      </c>
      <c r="AG30" s="12">
        <f>'FS Budapest'!BV33</f>
        <v>5</v>
      </c>
    </row>
    <row r="31" spans="1:33" s="14" customFormat="1">
      <c r="A31" s="12" t="s">
        <v>12</v>
      </c>
      <c r="B31" s="15">
        <f t="shared" si="0"/>
        <v>30</v>
      </c>
      <c r="C31" s="3">
        <v>6</v>
      </c>
      <c r="D31" s="12">
        <v>2020</v>
      </c>
      <c r="E31" s="12">
        <f>IF(('FS Budapest'!C34-'FS Budapest'!C33)&lt;0,"0",('FS Budapest'!C34-'FS Budapest'!C33))</f>
        <v>0</v>
      </c>
      <c r="F31" s="12">
        <f>IF(('FS Budapest'!D34-'FS Budapest'!D33)&lt;0,"0",('FS Budapest'!D34-'FS Budapest'!D33))</f>
        <v>50</v>
      </c>
      <c r="G31" s="12">
        <f>IF(('FS Budapest'!E34-'FS Budapest'!Y34)&lt;0,"0",('FS Budapest'!E34-'FS Budapest'!Y34))</f>
        <v>24</v>
      </c>
      <c r="H31" s="12">
        <f>IF(('FS Budapest'!H34-'FS Budapest'!H33)&lt;0,"0",('FS Budapest'!H34-'FS Budapest'!H33))</f>
        <v>79</v>
      </c>
      <c r="I31" s="12">
        <f>IF(('FS Budapest'!I34-'FS Budapest'!I33)&lt;0,"0",('FS Budapest'!I34-'FS Budapest'!I33))</f>
        <v>3</v>
      </c>
      <c r="J31" s="12">
        <f>IF(('FS Budapest'!K34-'FS Budapest'!K33)&lt;0,"0",('FS Budapest'!K34-'FS Budapest'!K33))</f>
        <v>4</v>
      </c>
      <c r="K31" s="12">
        <f>IF(('FS Budapest'!M34-'FS Budapest'!M33)&lt;0,"0",('FS Budapest'!M34-'FS Budapest'!M33))</f>
        <v>3</v>
      </c>
      <c r="L31" s="12">
        <f>IF(('FS Budapest'!O34-'FS Budapest'!O33)&lt;0,"0",('FS Budapest'!O34-'FS Budapest'!O33))</f>
        <v>2</v>
      </c>
      <c r="M31" s="12">
        <f>IF(('FS Budapest'!Q34-'FS Budapest'!Q33)&lt;0,"0",('FS Budapest'!Q34-'FS Budapest'!Q33))</f>
        <v>0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26</v>
      </c>
      <c r="Q31" s="12">
        <f>'FS Budapest'!AB34</f>
        <v>6</v>
      </c>
      <c r="R31" s="12">
        <f>'FS Budapest'!AE34</f>
        <v>3</v>
      </c>
      <c r="S31" s="12">
        <f>'FS Budapest'!AF34</f>
        <v>0</v>
      </c>
      <c r="T31" s="12">
        <f>IF(('FS Budapest'!AK34-'FS Budapest'!AK33)&lt;0,"0",('FS Budapest'!AK34-'FS Budapest'!AK33))</f>
        <v>398</v>
      </c>
      <c r="U31" s="12">
        <f>IF(('FS Budapest'!AM34-'FS Budapest'!AM33)&lt;0,"0",('FS Budapest'!AM34-'FS Budapest'!AM33))</f>
        <v>23</v>
      </c>
      <c r="V31" s="12">
        <f>IF(('FS Budapest'!AO34-'FS Budapest'!AO33)&lt;0,"0",('FS Budapest'!AO34-'FS Budapest'!AO33))</f>
        <v>0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14828.00000000002</v>
      </c>
      <c r="Z31" s="12">
        <f>'FS Budapest'!BI34</f>
        <v>14828</v>
      </c>
      <c r="AA31" s="12">
        <f>'FS Budapest'!BJ34</f>
        <v>12279</v>
      </c>
      <c r="AB31" s="12">
        <f>IF(('FS Budapest'!BK34-'FS Budapest'!BK33)&lt;0,"0",('FS Budapest'!BK34-'FS Budapest'!BK33)*100)</f>
        <v>507.99999999999841</v>
      </c>
      <c r="AC31" s="12">
        <f>'FS Budapest'!BM34</f>
        <v>15336</v>
      </c>
      <c r="AD31" s="12">
        <f>IF(('FS Budapest'!BP34-'FS Budapest'!BP33)&lt;0,"0",('FS Budapest'!BP34-'FS Budapest'!BP33))</f>
        <v>19</v>
      </c>
      <c r="AE31" s="12">
        <f>IF(('FS Budapest'!BR34-'FS Budapest'!BR33)&lt;0,"0",('FS Budapest'!BR34-'FS Budapest'!BR33))</f>
        <v>2530</v>
      </c>
      <c r="AF31" s="12">
        <f>'FS Budapest'!BU34</f>
        <v>10</v>
      </c>
      <c r="AG31" s="12">
        <f>'FS Budapest'!BV34</f>
        <v>10</v>
      </c>
    </row>
    <row r="32" spans="1:33">
      <c r="A32" s="12"/>
      <c r="B32" s="15"/>
      <c r="C32" s="3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  <row r="44" spans="4:4">
      <c r="D44" s="12"/>
    </row>
    <row r="45" spans="4:4">
      <c r="D45" s="12"/>
    </row>
    <row r="46" spans="4:4">
      <c r="D46" s="12"/>
    </row>
    <row r="47" spans="4:4">
      <c r="D47" s="12"/>
    </row>
    <row r="48" spans="4:4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IQ36"/>
  <sheetViews>
    <sheetView zoomScale="40" zoomScaleNormal="40" workbookViewId="0">
      <selection activeCell="BU5" sqref="BU5:BV34"/>
    </sheetView>
  </sheetViews>
  <sheetFormatPr defaultColWidth="9.109375" defaultRowHeight="18"/>
  <cols>
    <col min="1" max="1" width="4.44140625" style="51" customWidth="1"/>
    <col min="2" max="2" width="15" style="18" customWidth="1"/>
    <col min="3" max="3" width="18.88671875" style="18" customWidth="1"/>
    <col min="4" max="4" width="20.109375" style="18" customWidth="1"/>
    <col min="5" max="5" width="20.33203125" style="18" customWidth="1"/>
    <col min="6" max="6" width="28.109375" style="18" customWidth="1"/>
    <col min="7" max="8" width="15" style="18" customWidth="1"/>
    <col min="9" max="10" width="23.5546875" style="18" customWidth="1"/>
    <col min="11" max="11" width="18.109375" style="18" customWidth="1"/>
    <col min="12" max="12" width="24.88671875" style="18" customWidth="1"/>
    <col min="13" max="13" width="17.6640625" style="18" customWidth="1"/>
    <col min="14" max="14" width="6" style="52" customWidth="1"/>
    <col min="15" max="15" width="19.33203125" style="53" customWidth="1"/>
    <col min="16" max="16" width="6" style="52" customWidth="1"/>
    <col min="17" max="17" width="21" style="54" customWidth="1"/>
    <col min="18" max="18" width="25.6640625" style="18" customWidth="1"/>
    <col min="19" max="19" width="20.109375" style="18" customWidth="1"/>
    <col min="20" max="20" width="26.88671875" style="18" customWidth="1"/>
    <col min="21" max="21" width="24" style="18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" style="18" customWidth="1"/>
    <col min="26" max="26" width="20.6640625" style="18" customWidth="1"/>
    <col min="27" max="27" width="24.5546875" style="18" customWidth="1"/>
    <col min="28" max="28" width="15.5546875" style="18" customWidth="1"/>
    <col min="29" max="30" width="19.5546875" style="18" customWidth="1"/>
    <col min="31" max="31" width="16.44140625" style="18" customWidth="1"/>
    <col min="32" max="32" width="13.88671875" style="18" customWidth="1"/>
    <col min="33" max="33" width="10.88671875" style="18" customWidth="1"/>
    <col min="34" max="34" width="9.33203125" style="18" bestFit="1" customWidth="1"/>
    <col min="35" max="35" width="13.44140625" style="18" customWidth="1"/>
    <col min="36" max="36" width="17.109375" style="18" customWidth="1"/>
    <col min="37" max="37" width="17" style="18" customWidth="1"/>
    <col min="38" max="38" width="18.109375" style="18" customWidth="1"/>
    <col min="39" max="39" width="17" style="18" customWidth="1"/>
    <col min="40" max="40" width="15.88671875" style="18" customWidth="1"/>
    <col min="41" max="41" width="19" style="18" customWidth="1"/>
    <col min="42" max="42" width="13.33203125" style="18" bestFit="1" customWidth="1"/>
    <col min="43" max="43" width="19" style="18" customWidth="1"/>
    <col min="44" max="44" width="6" style="18" customWidth="1"/>
    <col min="45" max="45" width="12.44140625" style="18" customWidth="1"/>
    <col min="46" max="46" width="9.33203125" style="18" bestFit="1" customWidth="1"/>
    <col min="47" max="47" width="13.44140625" style="18" customWidth="1"/>
    <col min="48" max="48" width="17.109375" style="18" customWidth="1"/>
    <col min="49" max="49" width="5.109375" style="18" customWidth="1"/>
    <col min="50" max="50" width="11" style="18" customWidth="1"/>
    <col min="51" max="51" width="14.33203125" style="18" customWidth="1"/>
    <col min="52" max="52" width="5.109375" style="18" customWidth="1"/>
    <col min="53" max="53" width="14.109375" style="18" customWidth="1"/>
    <col min="54" max="54" width="23.5546875" style="18" customWidth="1"/>
    <col min="55" max="55" width="11.44140625" style="18" customWidth="1"/>
    <col min="56" max="56" width="39.5546875" style="18" customWidth="1"/>
    <col min="57" max="57" width="41.6640625" style="18" customWidth="1"/>
    <col min="58" max="58" width="17.33203125" style="55" customWidth="1"/>
    <col min="59" max="59" width="44.44140625" style="56" customWidth="1"/>
    <col min="60" max="60" width="40.6640625" style="56" customWidth="1"/>
    <col min="61" max="61" width="40.33203125" style="18" bestFit="1" customWidth="1"/>
    <col min="62" max="62" width="48.6640625" style="18" bestFit="1" customWidth="1"/>
    <col min="63" max="63" width="17.33203125" style="18" customWidth="1"/>
    <col min="64" max="64" width="26.88671875" style="18" bestFit="1" customWidth="1"/>
    <col min="65" max="65" width="28.109375" style="18" bestFit="1" customWidth="1"/>
    <col min="66" max="66" width="13.44140625" style="18" customWidth="1"/>
    <col min="67" max="67" width="13.88671875" style="18" bestFit="1" customWidth="1"/>
    <col min="68" max="68" width="12.44140625" style="18" customWidth="1"/>
    <col min="69" max="69" width="18.5546875" style="18" bestFit="1" customWidth="1"/>
    <col min="70" max="70" width="12.44140625" style="18" customWidth="1"/>
    <col min="71" max="71" width="18.5546875" style="18" bestFit="1" customWidth="1"/>
    <col min="72" max="72" width="21.5546875" style="18" bestFit="1" customWidth="1"/>
    <col min="73" max="73" width="18.5546875" style="18" bestFit="1" customWidth="1"/>
    <col min="74" max="74" width="15.6640625" style="18" bestFit="1" customWidth="1"/>
    <col min="75" max="84" width="75.6640625" style="18" customWidth="1"/>
    <col min="85" max="16384" width="9.109375" style="18"/>
  </cols>
  <sheetData>
    <row r="1" spans="1:251" s="65" customFormat="1" ht="30" customHeight="1" thickBot="1">
      <c r="A1" s="57"/>
      <c r="B1" s="354" t="s">
        <v>40</v>
      </c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  <c r="Y1" s="355"/>
      <c r="Z1" s="355"/>
      <c r="AA1" s="355"/>
      <c r="AB1" s="355"/>
      <c r="AC1" s="355"/>
      <c r="AD1" s="355"/>
      <c r="AE1" s="355"/>
      <c r="AF1" s="355"/>
      <c r="AG1" s="355"/>
      <c r="AH1" s="355"/>
      <c r="AI1" s="355"/>
      <c r="AJ1" s="356"/>
      <c r="AK1" s="357" t="s">
        <v>41</v>
      </c>
      <c r="AL1" s="358"/>
      <c r="AM1" s="358"/>
      <c r="AN1" s="358"/>
      <c r="AO1" s="358"/>
      <c r="AP1" s="358"/>
      <c r="AQ1" s="358"/>
      <c r="AR1" s="358"/>
      <c r="AS1" s="358"/>
      <c r="AT1" s="358"/>
      <c r="AU1" s="358"/>
      <c r="AV1" s="359"/>
      <c r="AW1" s="360" t="s">
        <v>42</v>
      </c>
      <c r="AX1" s="361"/>
      <c r="AY1" s="361"/>
      <c r="AZ1" s="361"/>
      <c r="BA1" s="361"/>
      <c r="BB1" s="361"/>
      <c r="BC1" s="361"/>
      <c r="BD1" s="361"/>
      <c r="BE1" s="361"/>
      <c r="BF1" s="361"/>
      <c r="BG1" s="361"/>
      <c r="BH1" s="361"/>
      <c r="BI1" s="361"/>
      <c r="BJ1" s="361"/>
      <c r="BK1" s="361"/>
      <c r="BL1" s="361"/>
      <c r="BM1" s="361"/>
      <c r="BN1" s="362"/>
      <c r="BO1" s="76"/>
      <c r="BP1" s="77"/>
      <c r="BQ1" s="77"/>
      <c r="BR1" s="77"/>
      <c r="BS1" s="77"/>
      <c r="BT1" s="78"/>
      <c r="BU1" s="81" t="s">
        <v>43</v>
      </c>
      <c r="BV1" s="81" t="s">
        <v>43</v>
      </c>
    </row>
    <row r="2" spans="1:251" s="65" customFormat="1" ht="30" customHeight="1" thickBot="1">
      <c r="A2" s="57"/>
      <c r="B2" s="66"/>
      <c r="C2" s="67" t="s">
        <v>44</v>
      </c>
      <c r="D2" s="67"/>
      <c r="E2" s="67" t="s">
        <v>45</v>
      </c>
      <c r="F2" s="67"/>
      <c r="G2" s="67"/>
      <c r="H2" s="67" t="s">
        <v>46</v>
      </c>
      <c r="I2" s="67" t="s">
        <v>47</v>
      </c>
      <c r="J2" s="67"/>
      <c r="K2" s="67" t="s">
        <v>48</v>
      </c>
      <c r="L2" s="67"/>
      <c r="M2" s="67" t="s">
        <v>49</v>
      </c>
      <c r="N2" s="67"/>
      <c r="O2" s="67" t="s">
        <v>50</v>
      </c>
      <c r="P2" s="67"/>
      <c r="Q2" s="67" t="s">
        <v>51</v>
      </c>
      <c r="R2" s="67"/>
      <c r="S2" s="67" t="s">
        <v>52</v>
      </c>
      <c r="T2" s="67"/>
      <c r="U2" s="67" t="s">
        <v>53</v>
      </c>
      <c r="V2" s="67" t="s">
        <v>54</v>
      </c>
      <c r="W2" s="67"/>
      <c r="X2" s="67" t="s">
        <v>55</v>
      </c>
      <c r="Y2" s="67"/>
      <c r="Z2" s="67" t="s">
        <v>56</v>
      </c>
      <c r="AA2" s="67" t="s">
        <v>57</v>
      </c>
      <c r="AB2" s="67"/>
      <c r="AC2" s="67" t="s">
        <v>58</v>
      </c>
      <c r="AD2" s="67" t="s">
        <v>59</v>
      </c>
      <c r="AE2" s="67"/>
      <c r="AF2" s="67"/>
      <c r="AG2" s="67"/>
      <c r="AH2" s="68"/>
      <c r="AI2" s="69"/>
      <c r="AJ2" s="17"/>
      <c r="AK2" s="70" t="s">
        <v>60</v>
      </c>
      <c r="AL2" s="70"/>
      <c r="AM2" s="70" t="s">
        <v>61</v>
      </c>
      <c r="AN2" s="70"/>
      <c r="AO2" s="70" t="s">
        <v>62</v>
      </c>
      <c r="AP2" s="70"/>
      <c r="AQ2" s="70" t="s">
        <v>63</v>
      </c>
      <c r="AR2" s="17"/>
      <c r="AS2" s="19"/>
      <c r="AT2" s="19"/>
      <c r="AU2" s="58"/>
      <c r="AV2" s="58"/>
      <c r="AW2" s="351" t="s">
        <v>64</v>
      </c>
      <c r="AX2" s="352"/>
      <c r="AY2" s="353"/>
      <c r="AZ2" s="351" t="s">
        <v>65</v>
      </c>
      <c r="BA2" s="352"/>
      <c r="BB2" s="353"/>
      <c r="BC2" s="59"/>
      <c r="BD2" s="60"/>
      <c r="BE2" s="61"/>
      <c r="BF2" s="62"/>
      <c r="BG2" s="60"/>
      <c r="BH2" s="71"/>
      <c r="BI2" s="72"/>
      <c r="BJ2" s="72"/>
      <c r="BK2" s="73" t="s">
        <v>66</v>
      </c>
      <c r="BL2" s="74"/>
      <c r="BM2" s="59"/>
      <c r="BN2" s="75"/>
      <c r="BO2" s="63"/>
      <c r="BP2" s="60" t="s">
        <v>67</v>
      </c>
      <c r="BQ2" s="60"/>
      <c r="BR2" s="60" t="s">
        <v>68</v>
      </c>
      <c r="BS2" s="60"/>
      <c r="BT2" s="64"/>
    </row>
    <row r="3" spans="1:251" ht="63.75" customHeight="1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82" t="s">
        <v>43</v>
      </c>
      <c r="BV3" s="82" t="s">
        <v>126</v>
      </c>
    </row>
    <row r="4" spans="1:251" s="65" customFormat="1" ht="30" customHeight="1">
      <c r="A4" s="138">
        <v>31</v>
      </c>
      <c r="B4" s="117" t="s">
        <v>127</v>
      </c>
      <c r="C4" s="117">
        <v>70582</v>
      </c>
      <c r="D4" s="117">
        <v>231635</v>
      </c>
      <c r="E4" s="118">
        <v>4</v>
      </c>
      <c r="F4" s="118">
        <v>3</v>
      </c>
      <c r="G4" s="117" t="s">
        <v>127</v>
      </c>
      <c r="H4" s="117">
        <v>128651</v>
      </c>
      <c r="I4" s="119">
        <v>77483</v>
      </c>
      <c r="J4" s="340">
        <v>3</v>
      </c>
      <c r="K4" s="120">
        <v>14786</v>
      </c>
      <c r="L4" s="126">
        <v>3</v>
      </c>
      <c r="M4" s="125">
        <v>58</v>
      </c>
      <c r="N4" s="126">
        <v>3</v>
      </c>
      <c r="O4" s="341">
        <v>74</v>
      </c>
      <c r="P4" s="126">
        <v>2</v>
      </c>
      <c r="Q4" s="342">
        <v>56992</v>
      </c>
      <c r="R4" s="85">
        <v>1</v>
      </c>
      <c r="S4" s="124">
        <v>25340</v>
      </c>
      <c r="T4" s="127">
        <v>0</v>
      </c>
      <c r="U4" s="139">
        <v>9596</v>
      </c>
      <c r="V4" s="139">
        <v>1695</v>
      </c>
      <c r="W4" s="85">
        <v>0</v>
      </c>
      <c r="X4" s="343">
        <v>33077</v>
      </c>
      <c r="Y4" s="127">
        <v>1</v>
      </c>
      <c r="Z4" s="121">
        <v>7851</v>
      </c>
      <c r="AA4" s="121">
        <v>7015</v>
      </c>
      <c r="AB4" s="85">
        <v>1</v>
      </c>
      <c r="AC4" s="343">
        <v>2258</v>
      </c>
      <c r="AD4" s="343">
        <v>1595</v>
      </c>
      <c r="AE4" s="127">
        <v>1</v>
      </c>
      <c r="AF4" s="128">
        <v>1</v>
      </c>
      <c r="AG4" s="88">
        <v>199233</v>
      </c>
      <c r="AH4" s="120">
        <v>23</v>
      </c>
      <c r="AI4" s="129">
        <v>30</v>
      </c>
      <c r="AJ4" s="129">
        <v>7</v>
      </c>
      <c r="AK4" s="86">
        <v>1722322</v>
      </c>
      <c r="AL4" s="130">
        <v>372</v>
      </c>
      <c r="AM4" s="86">
        <v>61567</v>
      </c>
      <c r="AN4" s="130">
        <v>17</v>
      </c>
      <c r="AO4" s="89">
        <v>122268</v>
      </c>
      <c r="AP4" s="87">
        <v>0</v>
      </c>
      <c r="AQ4" s="89">
        <v>131322</v>
      </c>
      <c r="AR4" s="87">
        <v>0</v>
      </c>
      <c r="AS4" s="89">
        <v>1784261</v>
      </c>
      <c r="AT4" s="344">
        <v>397</v>
      </c>
      <c r="AU4" s="129">
        <v>800</v>
      </c>
      <c r="AV4" s="129">
        <v>403</v>
      </c>
      <c r="AW4" s="90" t="s">
        <v>127</v>
      </c>
      <c r="AX4" s="90">
        <v>0</v>
      </c>
      <c r="AY4" s="90">
        <v>0</v>
      </c>
      <c r="AZ4" s="90">
        <v>0</v>
      </c>
      <c r="BA4" s="90">
        <v>82.87</v>
      </c>
      <c r="BB4" s="90">
        <v>7788</v>
      </c>
      <c r="BC4" s="88">
        <v>0</v>
      </c>
      <c r="BD4" s="89">
        <v>0</v>
      </c>
      <c r="BE4" s="122">
        <v>0</v>
      </c>
      <c r="BF4" s="87" t="s">
        <v>128</v>
      </c>
      <c r="BG4" s="87" t="s">
        <v>129</v>
      </c>
      <c r="BH4" s="345">
        <v>7788</v>
      </c>
      <c r="BI4" s="131">
        <v>7788</v>
      </c>
      <c r="BJ4" s="346">
        <v>7749</v>
      </c>
      <c r="BK4" s="122">
        <v>310</v>
      </c>
      <c r="BL4" s="122">
        <v>469</v>
      </c>
      <c r="BM4" s="347">
        <v>8257</v>
      </c>
      <c r="BN4" s="129">
        <v>6000</v>
      </c>
      <c r="BO4" s="129">
        <v>-2257</v>
      </c>
      <c r="BP4" s="119">
        <v>2850980</v>
      </c>
      <c r="BQ4" s="340">
        <v>20</v>
      </c>
      <c r="BR4" s="119">
        <v>3824169</v>
      </c>
      <c r="BS4" s="340">
        <v>19</v>
      </c>
      <c r="BT4" s="340">
        <v>39</v>
      </c>
      <c r="BU4" s="348" t="s">
        <v>127</v>
      </c>
      <c r="BV4" s="349" t="s">
        <v>127</v>
      </c>
      <c r="BW4" s="350" t="s">
        <v>127</v>
      </c>
      <c r="BX4" s="86" t="s">
        <v>127</v>
      </c>
      <c r="BY4" s="169" t="s">
        <v>127</v>
      </c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7"/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  <c r="DA4" s="137"/>
      <c r="DB4" s="137"/>
      <c r="DC4" s="137"/>
      <c r="DD4" s="137"/>
      <c r="DE4" s="137"/>
      <c r="DF4" s="137"/>
      <c r="DG4" s="137"/>
      <c r="DH4" s="137"/>
      <c r="DI4" s="137"/>
      <c r="DJ4" s="137"/>
      <c r="DK4" s="137"/>
      <c r="DL4" s="137"/>
      <c r="DM4" s="137"/>
      <c r="DN4" s="137"/>
      <c r="DO4" s="137"/>
      <c r="DP4" s="137"/>
      <c r="DQ4" s="137"/>
      <c r="DR4" s="137"/>
      <c r="DS4" s="137"/>
      <c r="DT4" s="137"/>
      <c r="DU4" s="137"/>
      <c r="DV4" s="137"/>
      <c r="DW4" s="137"/>
      <c r="DX4" s="137"/>
      <c r="DY4" s="137"/>
      <c r="DZ4" s="137"/>
      <c r="EA4" s="137"/>
      <c r="EB4" s="137"/>
      <c r="EC4" s="137"/>
      <c r="ED4" s="137"/>
      <c r="EE4" s="137"/>
      <c r="EF4" s="137"/>
      <c r="EG4" s="137"/>
      <c r="EH4" s="137"/>
      <c r="EI4" s="137"/>
      <c r="EJ4" s="137"/>
      <c r="EK4" s="137"/>
      <c r="EL4" s="137"/>
      <c r="EM4" s="134" t="s">
        <v>127</v>
      </c>
      <c r="EN4" s="134" t="s">
        <v>127</v>
      </c>
      <c r="EO4" s="134" t="s">
        <v>127</v>
      </c>
      <c r="EP4" s="134" t="s">
        <v>127</v>
      </c>
      <c r="EQ4" s="134" t="s">
        <v>127</v>
      </c>
      <c r="ER4" s="134" t="s">
        <v>127</v>
      </c>
      <c r="ES4" s="134" t="s">
        <v>127</v>
      </c>
      <c r="ET4" s="134" t="s">
        <v>127</v>
      </c>
      <c r="EU4" s="134" t="s">
        <v>127</v>
      </c>
      <c r="EV4" s="134" t="s">
        <v>127</v>
      </c>
      <c r="EW4" s="134" t="s">
        <v>127</v>
      </c>
      <c r="EX4" s="134" t="s">
        <v>127</v>
      </c>
      <c r="EY4" s="134" t="s">
        <v>127</v>
      </c>
      <c r="EZ4" s="134" t="s">
        <v>127</v>
      </c>
      <c r="FA4" s="134" t="s">
        <v>127</v>
      </c>
      <c r="FB4" s="134" t="s">
        <v>127</v>
      </c>
      <c r="FC4" s="134" t="s">
        <v>127</v>
      </c>
      <c r="FD4" s="134" t="s">
        <v>127</v>
      </c>
      <c r="FE4" s="134" t="s">
        <v>127</v>
      </c>
      <c r="FF4" s="134" t="s">
        <v>127</v>
      </c>
      <c r="FG4" s="134" t="s">
        <v>127</v>
      </c>
      <c r="FH4" s="134" t="s">
        <v>127</v>
      </c>
      <c r="FI4" s="134" t="s">
        <v>127</v>
      </c>
      <c r="FJ4" s="134" t="s">
        <v>127</v>
      </c>
      <c r="FK4" s="134" t="s">
        <v>127</v>
      </c>
      <c r="FL4" s="134" t="s">
        <v>127</v>
      </c>
      <c r="FM4" s="134" t="s">
        <v>127</v>
      </c>
      <c r="FN4" s="134" t="s">
        <v>127</v>
      </c>
      <c r="FO4" s="134" t="s">
        <v>127</v>
      </c>
      <c r="FP4" s="134" t="s">
        <v>127</v>
      </c>
      <c r="FQ4" s="134" t="s">
        <v>127</v>
      </c>
      <c r="FR4" s="134" t="s">
        <v>127</v>
      </c>
      <c r="FS4" s="134" t="s">
        <v>127</v>
      </c>
      <c r="FT4" s="134" t="s">
        <v>127</v>
      </c>
      <c r="FU4" s="134" t="s">
        <v>127</v>
      </c>
      <c r="FV4" s="134" t="s">
        <v>127</v>
      </c>
      <c r="FW4" s="134" t="s">
        <v>127</v>
      </c>
      <c r="FX4" s="134" t="s">
        <v>127</v>
      </c>
      <c r="FY4" s="134" t="s">
        <v>127</v>
      </c>
      <c r="FZ4" s="134" t="s">
        <v>127</v>
      </c>
      <c r="GA4" s="134" t="s">
        <v>127</v>
      </c>
      <c r="GB4" s="134" t="s">
        <v>127</v>
      </c>
      <c r="GC4" s="134" t="s">
        <v>127</v>
      </c>
      <c r="GD4" s="134" t="s">
        <v>127</v>
      </c>
      <c r="GE4" s="134" t="s">
        <v>127</v>
      </c>
      <c r="GF4" s="134" t="s">
        <v>127</v>
      </c>
      <c r="GG4" s="134" t="s">
        <v>127</v>
      </c>
      <c r="GH4" s="134" t="s">
        <v>127</v>
      </c>
      <c r="GI4" s="134" t="s">
        <v>127</v>
      </c>
      <c r="GJ4" s="134" t="s">
        <v>127</v>
      </c>
      <c r="GK4" s="134" t="s">
        <v>127</v>
      </c>
      <c r="GL4" s="134" t="s">
        <v>127</v>
      </c>
      <c r="GM4" s="134" t="s">
        <v>127</v>
      </c>
      <c r="GN4" s="134" t="s">
        <v>127</v>
      </c>
      <c r="GO4" s="134" t="s">
        <v>127</v>
      </c>
      <c r="GP4" s="134" t="s">
        <v>127</v>
      </c>
      <c r="GQ4" s="134" t="s">
        <v>127</v>
      </c>
      <c r="GR4" s="134" t="s">
        <v>127</v>
      </c>
      <c r="GS4" s="134" t="s">
        <v>127</v>
      </c>
      <c r="GT4" s="134" t="s">
        <v>127</v>
      </c>
      <c r="GU4" s="134" t="s">
        <v>127</v>
      </c>
      <c r="GV4" s="134" t="s">
        <v>127</v>
      </c>
      <c r="GW4" s="134" t="s">
        <v>127</v>
      </c>
      <c r="GX4" s="134" t="s">
        <v>127</v>
      </c>
      <c r="GY4" s="134" t="s">
        <v>127</v>
      </c>
      <c r="GZ4" s="134" t="s">
        <v>127</v>
      </c>
      <c r="HA4" s="134" t="s">
        <v>127</v>
      </c>
      <c r="HB4" s="134" t="s">
        <v>127</v>
      </c>
      <c r="HC4" s="134" t="s">
        <v>127</v>
      </c>
      <c r="HD4" s="134" t="s">
        <v>127</v>
      </c>
      <c r="HE4" s="134" t="s">
        <v>127</v>
      </c>
      <c r="HF4" s="134" t="s">
        <v>127</v>
      </c>
      <c r="HG4" s="134" t="s">
        <v>127</v>
      </c>
      <c r="HH4" s="134" t="s">
        <v>127</v>
      </c>
      <c r="HI4" s="134" t="s">
        <v>127</v>
      </c>
      <c r="HJ4" s="134" t="s">
        <v>127</v>
      </c>
      <c r="HK4" s="134" t="s">
        <v>127</v>
      </c>
      <c r="HL4" s="134" t="s">
        <v>127</v>
      </c>
      <c r="HM4" s="134" t="s">
        <v>127</v>
      </c>
      <c r="HN4" s="134" t="s">
        <v>127</v>
      </c>
      <c r="HO4" s="134" t="s">
        <v>127</v>
      </c>
      <c r="HP4" s="134" t="s">
        <v>127</v>
      </c>
      <c r="HQ4" s="134" t="s">
        <v>127</v>
      </c>
      <c r="HR4" s="134" t="s">
        <v>127</v>
      </c>
      <c r="HS4" s="134" t="s">
        <v>127</v>
      </c>
      <c r="HT4" s="134" t="s">
        <v>127</v>
      </c>
      <c r="HU4" s="134" t="s">
        <v>127</v>
      </c>
      <c r="HV4" s="134" t="s">
        <v>127</v>
      </c>
      <c r="HW4" s="134" t="s">
        <v>127</v>
      </c>
      <c r="HX4" s="134" t="s">
        <v>127</v>
      </c>
      <c r="HY4" s="134" t="s">
        <v>127</v>
      </c>
      <c r="HZ4" s="134" t="s">
        <v>127</v>
      </c>
      <c r="IA4" s="134" t="s">
        <v>127</v>
      </c>
      <c r="IB4" s="134" t="s">
        <v>127</v>
      </c>
      <c r="IC4" s="134" t="s">
        <v>127</v>
      </c>
      <c r="ID4" s="134" t="s">
        <v>127</v>
      </c>
      <c r="IE4" s="134" t="s">
        <v>127</v>
      </c>
      <c r="IF4" s="134" t="s">
        <v>127</v>
      </c>
      <c r="IG4" s="134" t="s">
        <v>127</v>
      </c>
      <c r="IH4" s="134" t="s">
        <v>127</v>
      </c>
      <c r="II4" s="134" t="s">
        <v>127</v>
      </c>
      <c r="IJ4" s="134" t="s">
        <v>127</v>
      </c>
      <c r="IK4" s="134" t="s">
        <v>127</v>
      </c>
      <c r="IL4" s="134" t="s">
        <v>127</v>
      </c>
      <c r="IM4" s="134" t="s">
        <v>127</v>
      </c>
      <c r="IN4" s="134" t="s">
        <v>127</v>
      </c>
      <c r="IO4" s="134" t="s">
        <v>127</v>
      </c>
      <c r="IP4" s="133"/>
      <c r="IQ4" s="133"/>
    </row>
    <row r="5" spans="1:251" ht="24.9" customHeight="1">
      <c r="A5" s="183">
        <v>1</v>
      </c>
      <c r="B5" s="117" t="s">
        <v>127</v>
      </c>
      <c r="C5" s="117">
        <v>70582</v>
      </c>
      <c r="D5" s="117">
        <v>231638</v>
      </c>
      <c r="E5" s="118">
        <v>3</v>
      </c>
      <c r="F5" s="118">
        <v>2</v>
      </c>
      <c r="G5" s="117" t="s">
        <v>127</v>
      </c>
      <c r="H5" s="117">
        <v>128676</v>
      </c>
      <c r="I5" s="119">
        <v>77484</v>
      </c>
      <c r="J5" s="195">
        <v>1</v>
      </c>
      <c r="K5" s="120">
        <v>14787</v>
      </c>
      <c r="L5" s="120">
        <v>1</v>
      </c>
      <c r="M5" s="120">
        <v>60</v>
      </c>
      <c r="N5" s="126">
        <v>2</v>
      </c>
      <c r="O5" s="120">
        <v>74</v>
      </c>
      <c r="P5" s="126">
        <v>0</v>
      </c>
      <c r="Q5" s="185">
        <v>56992</v>
      </c>
      <c r="R5" s="85">
        <v>0</v>
      </c>
      <c r="S5" s="124">
        <v>25340</v>
      </c>
      <c r="T5" s="127">
        <v>0</v>
      </c>
      <c r="U5" s="139">
        <v>9596</v>
      </c>
      <c r="V5" s="139">
        <v>1695</v>
      </c>
      <c r="W5" s="85">
        <v>0</v>
      </c>
      <c r="X5" s="124">
        <v>33078</v>
      </c>
      <c r="Y5" s="127">
        <v>1</v>
      </c>
      <c r="Z5" s="121">
        <v>7851</v>
      </c>
      <c r="AA5" s="121">
        <v>7015</v>
      </c>
      <c r="AB5" s="85">
        <v>0</v>
      </c>
      <c r="AC5" s="124">
        <v>2259</v>
      </c>
      <c r="AD5" s="124">
        <v>1595</v>
      </c>
      <c r="AE5" s="127">
        <v>1</v>
      </c>
      <c r="AF5" s="128">
        <v>0</v>
      </c>
      <c r="AG5" s="186">
        <v>199258</v>
      </c>
      <c r="AH5" s="157">
        <v>25</v>
      </c>
      <c r="AI5" s="129">
        <v>190</v>
      </c>
      <c r="AJ5" s="129">
        <v>165</v>
      </c>
      <c r="AK5" s="86">
        <v>1722541</v>
      </c>
      <c r="AL5" s="130">
        <v>219</v>
      </c>
      <c r="AM5" s="86">
        <v>61586</v>
      </c>
      <c r="AN5" s="130">
        <v>19</v>
      </c>
      <c r="AO5" s="89">
        <v>122268</v>
      </c>
      <c r="AP5" s="87">
        <v>0</v>
      </c>
      <c r="AQ5" s="89">
        <v>131322</v>
      </c>
      <c r="AR5" s="87">
        <v>0</v>
      </c>
      <c r="AS5" s="89">
        <v>1784346</v>
      </c>
      <c r="AT5" s="196">
        <v>238</v>
      </c>
      <c r="AU5" s="189">
        <v>1200</v>
      </c>
      <c r="AV5" s="129">
        <v>962</v>
      </c>
      <c r="AW5" s="90">
        <v>0</v>
      </c>
      <c r="AX5" s="90">
        <v>0</v>
      </c>
      <c r="AY5" s="90">
        <v>0</v>
      </c>
      <c r="AZ5" s="90" t="s">
        <v>130</v>
      </c>
      <c r="BA5" s="90">
        <v>84.56</v>
      </c>
      <c r="BB5" s="90">
        <v>7436</v>
      </c>
      <c r="BC5" s="88" t="s">
        <v>130</v>
      </c>
      <c r="BD5" s="89" t="s">
        <v>130</v>
      </c>
      <c r="BE5" s="122">
        <v>372064</v>
      </c>
      <c r="BF5" s="89" t="s">
        <v>131</v>
      </c>
      <c r="BG5" s="89" t="s">
        <v>132</v>
      </c>
      <c r="BH5" s="122">
        <v>7436</v>
      </c>
      <c r="BI5" s="131">
        <v>7436</v>
      </c>
      <c r="BJ5" s="132">
        <v>7395</v>
      </c>
      <c r="BK5" s="122">
        <v>314.77999999999997</v>
      </c>
      <c r="BL5" s="197">
        <v>478</v>
      </c>
      <c r="BM5" s="175">
        <v>7914</v>
      </c>
      <c r="BN5" s="198">
        <v>20400</v>
      </c>
      <c r="BO5" s="175">
        <v>12486</v>
      </c>
      <c r="BP5" s="119">
        <v>2851001</v>
      </c>
      <c r="BQ5" s="119">
        <v>21</v>
      </c>
      <c r="BR5" s="119">
        <v>3824189</v>
      </c>
      <c r="BS5" s="119">
        <v>20</v>
      </c>
      <c r="BT5" s="199">
        <v>41</v>
      </c>
      <c r="BU5" s="2">
        <v>0</v>
      </c>
      <c r="BV5" s="2">
        <v>0</v>
      </c>
      <c r="BW5" s="86">
        <v>1</v>
      </c>
      <c r="BX5" s="89" t="s">
        <v>127</v>
      </c>
      <c r="BY5" s="200"/>
      <c r="BZ5" s="137"/>
      <c r="CA5" s="137"/>
      <c r="CB5" s="137"/>
      <c r="CC5" s="200"/>
      <c r="CD5" s="137"/>
      <c r="CE5" s="201" t="s">
        <v>133</v>
      </c>
      <c r="CF5" s="202">
        <v>17700</v>
      </c>
      <c r="CG5" s="203" t="s">
        <v>134</v>
      </c>
      <c r="CH5" s="204">
        <v>0</v>
      </c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7"/>
      <c r="DM5" s="137"/>
      <c r="DN5" s="137"/>
      <c r="DO5" s="137"/>
      <c r="DP5" s="137"/>
      <c r="DQ5" s="137"/>
      <c r="DR5" s="137"/>
      <c r="DS5" s="137"/>
      <c r="DT5" s="137"/>
      <c r="DU5" s="137"/>
      <c r="DV5" s="137"/>
      <c r="DW5" s="137"/>
      <c r="DX5" s="137"/>
      <c r="DY5" s="137"/>
      <c r="DZ5" s="137"/>
      <c r="EA5" s="137"/>
      <c r="EB5" s="137"/>
      <c r="EC5" s="137"/>
      <c r="ED5" s="137"/>
      <c r="EE5" s="137"/>
      <c r="EF5" s="137"/>
      <c r="EG5" s="137"/>
      <c r="EH5" s="137"/>
      <c r="EI5" s="137"/>
      <c r="EJ5" s="137"/>
      <c r="EK5" s="137"/>
      <c r="EL5" s="137"/>
      <c r="EM5" s="137"/>
      <c r="EN5" s="137"/>
      <c r="EO5" s="137"/>
      <c r="EP5" s="137"/>
      <c r="EQ5" s="137"/>
      <c r="ER5" s="137"/>
      <c r="ES5" s="137"/>
      <c r="ET5" s="137"/>
      <c r="EU5" s="137"/>
      <c r="EV5" s="137"/>
      <c r="EW5" s="137"/>
      <c r="EX5" s="137"/>
      <c r="EY5" s="137"/>
      <c r="EZ5" s="137"/>
      <c r="FA5" s="137"/>
      <c r="FB5" s="137"/>
      <c r="FC5" s="137"/>
      <c r="FD5" s="137"/>
      <c r="FE5" s="137"/>
      <c r="FF5" s="137"/>
      <c r="FG5" s="137"/>
      <c r="FH5" s="137"/>
      <c r="FI5" s="137"/>
      <c r="FJ5" s="137"/>
      <c r="FK5" s="137"/>
      <c r="FL5" s="137"/>
      <c r="FM5" s="137"/>
      <c r="FN5" s="137"/>
      <c r="FO5" s="137"/>
      <c r="FP5" s="137"/>
      <c r="FQ5" s="137"/>
      <c r="FR5" s="137"/>
      <c r="FS5" s="137"/>
      <c r="FT5" s="137"/>
      <c r="FU5" s="137"/>
      <c r="FV5" s="137"/>
      <c r="FW5" s="137"/>
      <c r="FX5" s="137"/>
      <c r="FY5" s="137"/>
      <c r="FZ5" s="137"/>
      <c r="GA5" s="137"/>
      <c r="GB5" s="137"/>
      <c r="GC5" s="137"/>
      <c r="GD5" s="137"/>
      <c r="GE5" s="137"/>
      <c r="GF5" s="137"/>
      <c r="GG5" s="137"/>
      <c r="GH5" s="137"/>
      <c r="GI5" s="137"/>
      <c r="GJ5" s="137"/>
      <c r="GK5" s="137"/>
      <c r="GL5" s="137"/>
      <c r="GM5" s="137"/>
      <c r="GN5" s="137"/>
      <c r="GO5" s="137"/>
      <c r="GP5" s="137"/>
      <c r="GQ5" s="137"/>
      <c r="GR5" s="137"/>
      <c r="GS5" s="137"/>
      <c r="GT5" s="137"/>
      <c r="GU5" s="137"/>
      <c r="GV5" s="137"/>
      <c r="GW5" s="137"/>
      <c r="GX5" s="137"/>
      <c r="GY5" s="137"/>
      <c r="GZ5" s="137"/>
      <c r="HA5" s="137"/>
      <c r="HB5" s="137"/>
      <c r="HC5" s="137"/>
      <c r="HD5" s="137"/>
      <c r="HE5" s="137"/>
      <c r="HF5" s="137"/>
      <c r="HG5" s="137"/>
      <c r="HH5" s="137"/>
      <c r="HI5" s="137"/>
      <c r="HJ5" s="137"/>
      <c r="HK5" s="137"/>
      <c r="HL5" s="137"/>
      <c r="HM5" s="137"/>
      <c r="HN5" s="137"/>
      <c r="HO5" s="137"/>
      <c r="HP5" s="137"/>
      <c r="HQ5" s="137"/>
      <c r="HR5" s="137"/>
      <c r="HS5" s="137"/>
      <c r="HT5" s="137"/>
      <c r="HU5" s="137"/>
      <c r="HV5" s="137"/>
      <c r="HW5" s="137"/>
      <c r="HX5" s="137"/>
      <c r="HY5" s="137"/>
      <c r="HZ5" s="137"/>
      <c r="IA5" s="137"/>
      <c r="IB5" s="137"/>
      <c r="IC5" s="137"/>
      <c r="ID5" s="137"/>
      <c r="IE5" s="137"/>
      <c r="IF5" s="137"/>
      <c r="IG5" s="137"/>
      <c r="IH5" s="137"/>
      <c r="II5" s="137"/>
      <c r="IJ5" s="137"/>
      <c r="IK5" s="137"/>
      <c r="IL5" s="137"/>
      <c r="IM5" s="137"/>
      <c r="IN5" s="137"/>
      <c r="IO5" s="137"/>
      <c r="IP5" s="133"/>
      <c r="IQ5" s="133"/>
    </row>
    <row r="6" spans="1:251" ht="24.9" customHeight="1">
      <c r="A6" s="205">
        <v>2</v>
      </c>
      <c r="B6" s="142" t="s">
        <v>127</v>
      </c>
      <c r="C6" s="142">
        <v>70582</v>
      </c>
      <c r="D6" s="142">
        <v>231644</v>
      </c>
      <c r="E6" s="143">
        <v>6</v>
      </c>
      <c r="F6" s="143">
        <v>4</v>
      </c>
      <c r="G6" s="142" t="s">
        <v>127</v>
      </c>
      <c r="H6" s="142">
        <v>128713</v>
      </c>
      <c r="I6" s="144">
        <v>77486</v>
      </c>
      <c r="J6" s="164">
        <v>2</v>
      </c>
      <c r="K6" s="145">
        <v>14789</v>
      </c>
      <c r="L6" s="145">
        <v>2</v>
      </c>
      <c r="M6" s="145">
        <v>64</v>
      </c>
      <c r="N6" s="147">
        <v>4</v>
      </c>
      <c r="O6" s="145">
        <v>74</v>
      </c>
      <c r="P6" s="147">
        <v>0</v>
      </c>
      <c r="Q6" s="115">
        <v>56992</v>
      </c>
      <c r="R6" s="96">
        <v>0</v>
      </c>
      <c r="S6" s="150">
        <v>25340</v>
      </c>
      <c r="T6" s="97">
        <v>0</v>
      </c>
      <c r="U6" s="153">
        <v>9596</v>
      </c>
      <c r="V6" s="153">
        <v>1695</v>
      </c>
      <c r="W6" s="96">
        <v>0</v>
      </c>
      <c r="X6" s="150">
        <v>33080</v>
      </c>
      <c r="Y6" s="97">
        <v>2</v>
      </c>
      <c r="Z6" s="154">
        <v>7851</v>
      </c>
      <c r="AA6" s="154">
        <v>7015</v>
      </c>
      <c r="AB6" s="96">
        <v>0</v>
      </c>
      <c r="AC6" s="150">
        <v>2261</v>
      </c>
      <c r="AD6" s="150">
        <v>1596</v>
      </c>
      <c r="AE6" s="97">
        <v>3</v>
      </c>
      <c r="AF6" s="155">
        <v>0</v>
      </c>
      <c r="AG6" s="206">
        <v>199295</v>
      </c>
      <c r="AH6" s="207">
        <v>37</v>
      </c>
      <c r="AI6" s="158">
        <v>190</v>
      </c>
      <c r="AJ6" s="158">
        <v>153</v>
      </c>
      <c r="AK6" s="102">
        <v>1722780</v>
      </c>
      <c r="AL6" s="103">
        <v>239</v>
      </c>
      <c r="AM6" s="102">
        <v>61607</v>
      </c>
      <c r="AN6" s="103">
        <v>21</v>
      </c>
      <c r="AO6" s="108">
        <v>122268</v>
      </c>
      <c r="AP6" s="104">
        <v>0</v>
      </c>
      <c r="AQ6" s="108">
        <v>131322</v>
      </c>
      <c r="AR6" s="104">
        <v>0</v>
      </c>
      <c r="AS6" s="108">
        <v>1784626</v>
      </c>
      <c r="AT6" s="208">
        <v>260</v>
      </c>
      <c r="AU6" s="189">
        <v>1200</v>
      </c>
      <c r="AV6" s="158">
        <v>940</v>
      </c>
      <c r="AW6" s="109">
        <v>0</v>
      </c>
      <c r="AX6" s="109">
        <v>0</v>
      </c>
      <c r="AY6" s="109">
        <v>0</v>
      </c>
      <c r="AZ6" s="109" t="s">
        <v>135</v>
      </c>
      <c r="BA6" s="109">
        <v>86.43</v>
      </c>
      <c r="BB6" s="109">
        <v>8228</v>
      </c>
      <c r="BC6" s="107" t="s">
        <v>135</v>
      </c>
      <c r="BD6" s="108" t="s">
        <v>135</v>
      </c>
      <c r="BE6" s="159">
        <v>380292</v>
      </c>
      <c r="BF6" s="108" t="s">
        <v>136</v>
      </c>
      <c r="BG6" s="108" t="s">
        <v>137</v>
      </c>
      <c r="BH6" s="159">
        <v>8228</v>
      </c>
      <c r="BI6" s="160">
        <v>8228</v>
      </c>
      <c r="BJ6" s="161">
        <v>8193</v>
      </c>
      <c r="BK6" s="159">
        <v>320.57</v>
      </c>
      <c r="BL6" s="209">
        <v>579</v>
      </c>
      <c r="BM6" s="210">
        <v>8807</v>
      </c>
      <c r="BN6" s="198">
        <v>20400</v>
      </c>
      <c r="BO6" s="211">
        <v>11593</v>
      </c>
      <c r="BP6" s="144">
        <v>2851021</v>
      </c>
      <c r="BQ6" s="144">
        <v>20</v>
      </c>
      <c r="BR6" s="144">
        <v>3824204</v>
      </c>
      <c r="BS6" s="144">
        <v>15</v>
      </c>
      <c r="BT6" s="199">
        <v>35</v>
      </c>
      <c r="BU6" s="2">
        <v>0</v>
      </c>
      <c r="BV6" s="2">
        <v>0</v>
      </c>
      <c r="BW6" s="102">
        <v>2</v>
      </c>
      <c r="BX6" s="102" t="s">
        <v>127</v>
      </c>
      <c r="BY6" s="200"/>
      <c r="BZ6" s="137"/>
      <c r="CA6" s="137"/>
      <c r="CB6" s="137"/>
      <c r="CC6" s="200"/>
      <c r="CD6" s="200"/>
      <c r="CE6" s="212" t="s">
        <v>138</v>
      </c>
      <c r="CF6" s="213">
        <v>1390</v>
      </c>
      <c r="CG6" s="214" t="s">
        <v>139</v>
      </c>
      <c r="CH6" s="215">
        <v>0</v>
      </c>
      <c r="CI6" s="216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37"/>
      <c r="DD6" s="137"/>
      <c r="DE6" s="137"/>
      <c r="DF6" s="137"/>
      <c r="DG6" s="137"/>
      <c r="DH6" s="137"/>
      <c r="DI6" s="137"/>
      <c r="DJ6" s="137"/>
      <c r="DK6" s="137"/>
      <c r="DL6" s="137"/>
      <c r="DM6" s="137"/>
      <c r="DN6" s="137"/>
      <c r="DO6" s="137"/>
      <c r="DP6" s="137"/>
      <c r="DQ6" s="137"/>
      <c r="DR6" s="137"/>
      <c r="DS6" s="137"/>
      <c r="DT6" s="137"/>
      <c r="DU6" s="137"/>
      <c r="DV6" s="137"/>
      <c r="DW6" s="137"/>
      <c r="DX6" s="137"/>
      <c r="DY6" s="137"/>
      <c r="DZ6" s="137"/>
      <c r="EA6" s="137"/>
      <c r="EB6" s="137"/>
      <c r="EC6" s="137"/>
      <c r="ED6" s="137"/>
      <c r="EE6" s="137"/>
      <c r="EF6" s="137"/>
      <c r="EG6" s="137"/>
      <c r="EH6" s="137"/>
      <c r="EI6" s="137"/>
      <c r="EJ6" s="137"/>
      <c r="EK6" s="137"/>
      <c r="EL6" s="137"/>
      <c r="EM6" s="137"/>
      <c r="EN6" s="137"/>
      <c r="EO6" s="137"/>
      <c r="EP6" s="137"/>
      <c r="EQ6" s="137"/>
      <c r="ER6" s="137"/>
      <c r="ES6" s="137"/>
      <c r="ET6" s="137"/>
      <c r="EU6" s="137"/>
      <c r="EV6" s="137"/>
      <c r="EW6" s="137"/>
      <c r="EX6" s="137"/>
      <c r="EY6" s="137"/>
      <c r="EZ6" s="137"/>
      <c r="FA6" s="137"/>
      <c r="FB6" s="137"/>
      <c r="FC6" s="137"/>
      <c r="FD6" s="137"/>
      <c r="FE6" s="137"/>
      <c r="FF6" s="137"/>
      <c r="FG6" s="137"/>
      <c r="FH6" s="137"/>
      <c r="FI6" s="137"/>
      <c r="FJ6" s="137"/>
      <c r="FK6" s="137"/>
      <c r="FL6" s="137"/>
      <c r="FM6" s="137"/>
      <c r="FN6" s="137"/>
      <c r="FO6" s="137"/>
      <c r="FP6" s="137"/>
      <c r="FQ6" s="137"/>
      <c r="FR6" s="137"/>
      <c r="FS6" s="137"/>
      <c r="FT6" s="137"/>
      <c r="FU6" s="137"/>
      <c r="FV6" s="137"/>
      <c r="FW6" s="137"/>
      <c r="FX6" s="137"/>
      <c r="FY6" s="137"/>
      <c r="FZ6" s="137"/>
      <c r="GA6" s="137"/>
      <c r="GB6" s="137"/>
      <c r="GC6" s="137"/>
      <c r="GD6" s="137"/>
      <c r="GE6" s="137"/>
      <c r="GF6" s="137"/>
      <c r="GG6" s="137"/>
      <c r="GH6" s="137"/>
      <c r="GI6" s="137"/>
      <c r="GJ6" s="137"/>
      <c r="GK6" s="137"/>
      <c r="GL6" s="137"/>
      <c r="GM6" s="137"/>
      <c r="GN6" s="137"/>
      <c r="GO6" s="137"/>
      <c r="GP6" s="137"/>
      <c r="GQ6" s="137"/>
      <c r="GR6" s="137"/>
      <c r="GS6" s="137"/>
      <c r="GT6" s="137"/>
      <c r="GU6" s="137"/>
      <c r="GV6" s="137"/>
      <c r="GW6" s="137"/>
      <c r="GX6" s="137"/>
      <c r="GY6" s="137"/>
      <c r="GZ6" s="137"/>
      <c r="HA6" s="137"/>
      <c r="HB6" s="137"/>
      <c r="HC6" s="137"/>
      <c r="HD6" s="137"/>
      <c r="HE6" s="137"/>
      <c r="HF6" s="137"/>
      <c r="HG6" s="137"/>
      <c r="HH6" s="137"/>
      <c r="HI6" s="137"/>
      <c r="HJ6" s="137"/>
      <c r="HK6" s="137"/>
      <c r="HL6" s="137"/>
      <c r="HM6" s="137"/>
      <c r="HN6" s="137"/>
      <c r="HO6" s="137"/>
      <c r="HP6" s="137"/>
      <c r="HQ6" s="137"/>
      <c r="HR6" s="137"/>
      <c r="HS6" s="137"/>
      <c r="HT6" s="137"/>
      <c r="HU6" s="137"/>
      <c r="HV6" s="137"/>
      <c r="HW6" s="137"/>
      <c r="HX6" s="137"/>
      <c r="HY6" s="137"/>
      <c r="HZ6" s="137"/>
      <c r="IA6" s="137"/>
      <c r="IB6" s="137"/>
      <c r="IC6" s="137"/>
      <c r="ID6" s="137"/>
      <c r="IE6" s="137"/>
      <c r="IF6" s="137"/>
      <c r="IG6" s="137"/>
      <c r="IH6" s="137"/>
      <c r="II6" s="137"/>
      <c r="IJ6" s="137"/>
      <c r="IK6" s="137"/>
      <c r="IL6" s="137"/>
      <c r="IM6" s="137"/>
      <c r="IN6" s="137"/>
      <c r="IO6" s="137"/>
      <c r="IP6" s="133"/>
      <c r="IQ6" s="133"/>
    </row>
    <row r="7" spans="1:251" ht="24.9" customHeight="1">
      <c r="A7" s="205">
        <v>3</v>
      </c>
      <c r="B7" s="142" t="s">
        <v>127</v>
      </c>
      <c r="C7" s="142">
        <v>70582</v>
      </c>
      <c r="D7" s="142">
        <v>231649</v>
      </c>
      <c r="E7" s="143">
        <v>5</v>
      </c>
      <c r="F7" s="143">
        <v>4</v>
      </c>
      <c r="G7" s="142" t="s">
        <v>127</v>
      </c>
      <c r="H7" s="142">
        <v>128750</v>
      </c>
      <c r="I7" s="144">
        <v>77489</v>
      </c>
      <c r="J7" s="184">
        <v>3</v>
      </c>
      <c r="K7" s="145">
        <v>14792</v>
      </c>
      <c r="L7" s="145">
        <v>3</v>
      </c>
      <c r="M7" s="145">
        <v>66</v>
      </c>
      <c r="N7" s="147">
        <v>2</v>
      </c>
      <c r="O7" s="123">
        <v>75</v>
      </c>
      <c r="P7" s="147">
        <v>1</v>
      </c>
      <c r="Q7" s="115">
        <v>56992</v>
      </c>
      <c r="R7" s="96">
        <v>0</v>
      </c>
      <c r="S7" s="150">
        <v>25340</v>
      </c>
      <c r="T7" s="97">
        <v>0</v>
      </c>
      <c r="U7" s="153">
        <v>9596</v>
      </c>
      <c r="V7" s="153">
        <v>1695</v>
      </c>
      <c r="W7" s="96">
        <v>0</v>
      </c>
      <c r="X7" s="150">
        <v>33081</v>
      </c>
      <c r="Y7" s="97">
        <v>1</v>
      </c>
      <c r="Z7" s="154">
        <v>7851</v>
      </c>
      <c r="AA7" s="154">
        <v>7015</v>
      </c>
      <c r="AB7" s="96">
        <v>0</v>
      </c>
      <c r="AC7" s="150">
        <v>2262</v>
      </c>
      <c r="AD7" s="150">
        <v>1597</v>
      </c>
      <c r="AE7" s="97">
        <v>2</v>
      </c>
      <c r="AF7" s="155">
        <v>0</v>
      </c>
      <c r="AG7" s="206">
        <v>199332</v>
      </c>
      <c r="AH7" s="207">
        <v>37</v>
      </c>
      <c r="AI7" s="158">
        <v>190</v>
      </c>
      <c r="AJ7" s="158">
        <v>153</v>
      </c>
      <c r="AK7" s="102">
        <v>1723173</v>
      </c>
      <c r="AL7" s="103">
        <v>393</v>
      </c>
      <c r="AM7" s="102">
        <v>61631</v>
      </c>
      <c r="AN7" s="103">
        <v>24</v>
      </c>
      <c r="AO7" s="108">
        <v>122268</v>
      </c>
      <c r="AP7" s="104">
        <v>0</v>
      </c>
      <c r="AQ7" s="108">
        <v>131322</v>
      </c>
      <c r="AR7" s="104">
        <v>0</v>
      </c>
      <c r="AS7" s="108">
        <v>1785197</v>
      </c>
      <c r="AT7" s="217">
        <v>417</v>
      </c>
      <c r="AU7" s="189">
        <v>1200</v>
      </c>
      <c r="AV7" s="158">
        <v>783</v>
      </c>
      <c r="AW7" s="109">
        <v>0</v>
      </c>
      <c r="AX7" s="109">
        <v>0</v>
      </c>
      <c r="AY7" s="109">
        <v>0</v>
      </c>
      <c r="AZ7" s="109" t="s">
        <v>140</v>
      </c>
      <c r="BA7" s="109">
        <v>88.32</v>
      </c>
      <c r="BB7" s="109">
        <v>8316</v>
      </c>
      <c r="BC7" s="107" t="s">
        <v>140</v>
      </c>
      <c r="BD7" s="108" t="s">
        <v>140</v>
      </c>
      <c r="BE7" s="159">
        <v>388608</v>
      </c>
      <c r="BF7" s="108" t="s">
        <v>141</v>
      </c>
      <c r="BG7" s="108" t="s">
        <v>142</v>
      </c>
      <c r="BH7" s="159">
        <v>8316</v>
      </c>
      <c r="BI7" s="160">
        <v>8316</v>
      </c>
      <c r="BJ7" s="161">
        <v>8294</v>
      </c>
      <c r="BK7" s="159">
        <v>326.31</v>
      </c>
      <c r="BL7" s="218">
        <v>574</v>
      </c>
      <c r="BM7" s="219">
        <v>8890</v>
      </c>
      <c r="BN7" s="198">
        <v>20400</v>
      </c>
      <c r="BO7" s="220">
        <v>11510</v>
      </c>
      <c r="BP7" s="144">
        <v>2851031</v>
      </c>
      <c r="BQ7" s="144">
        <v>10</v>
      </c>
      <c r="BR7" s="144">
        <v>3824216</v>
      </c>
      <c r="BS7" s="144">
        <v>12</v>
      </c>
      <c r="BT7" s="157">
        <v>22</v>
      </c>
      <c r="BU7" s="2">
        <v>1</v>
      </c>
      <c r="BV7" s="2">
        <v>2</v>
      </c>
      <c r="BW7" s="102" t="s">
        <v>127</v>
      </c>
      <c r="BX7" s="102" t="s">
        <v>127</v>
      </c>
      <c r="BY7" s="200"/>
      <c r="BZ7" s="137"/>
      <c r="CA7" s="137"/>
      <c r="CB7" s="137"/>
      <c r="CC7" s="200"/>
      <c r="CD7" s="200"/>
      <c r="CE7" s="212" t="s">
        <v>143</v>
      </c>
      <c r="CF7" s="213" t="s">
        <v>144</v>
      </c>
      <c r="CG7" s="214" t="s">
        <v>145</v>
      </c>
      <c r="CH7" s="221">
        <v>0</v>
      </c>
      <c r="CI7" s="216"/>
      <c r="CJ7" s="137"/>
      <c r="CK7" s="137"/>
      <c r="CL7" s="137"/>
      <c r="CM7" s="137"/>
      <c r="CN7" s="137"/>
      <c r="CO7" s="137"/>
      <c r="CP7" s="137"/>
      <c r="CQ7" s="137"/>
      <c r="CR7" s="137"/>
      <c r="CS7" s="137"/>
      <c r="CT7" s="137"/>
      <c r="CU7" s="137"/>
      <c r="CV7" s="137"/>
      <c r="CW7" s="137"/>
      <c r="CX7" s="137"/>
      <c r="CY7" s="137"/>
      <c r="CZ7" s="137"/>
      <c r="DA7" s="137"/>
      <c r="DB7" s="137"/>
      <c r="DC7" s="137"/>
      <c r="DD7" s="137"/>
      <c r="DE7" s="137"/>
      <c r="DF7" s="137"/>
      <c r="DG7" s="137"/>
      <c r="DH7" s="137"/>
      <c r="DI7" s="137"/>
      <c r="DJ7" s="137"/>
      <c r="DK7" s="137"/>
      <c r="DL7" s="137"/>
      <c r="DM7" s="137"/>
      <c r="DN7" s="137"/>
      <c r="DO7" s="137"/>
      <c r="DP7" s="137"/>
      <c r="DQ7" s="137"/>
      <c r="DR7" s="137"/>
      <c r="DS7" s="137"/>
      <c r="DT7" s="137"/>
      <c r="DU7" s="137"/>
      <c r="DV7" s="137"/>
      <c r="DW7" s="137"/>
      <c r="DX7" s="137"/>
      <c r="DY7" s="137"/>
      <c r="DZ7" s="137"/>
      <c r="EA7" s="137"/>
      <c r="EB7" s="137"/>
      <c r="EC7" s="137"/>
      <c r="ED7" s="137"/>
      <c r="EE7" s="137"/>
      <c r="EF7" s="137"/>
      <c r="EG7" s="137"/>
      <c r="EH7" s="137"/>
      <c r="EI7" s="137"/>
      <c r="EJ7" s="137"/>
      <c r="EK7" s="137"/>
      <c r="EL7" s="137"/>
      <c r="EM7" s="137"/>
      <c r="EN7" s="137"/>
      <c r="EO7" s="137"/>
      <c r="EP7" s="137"/>
      <c r="EQ7" s="137"/>
      <c r="ER7" s="137"/>
      <c r="ES7" s="137"/>
      <c r="ET7" s="137"/>
      <c r="EU7" s="137"/>
      <c r="EV7" s="137"/>
      <c r="EW7" s="137"/>
      <c r="EX7" s="137"/>
      <c r="EY7" s="137"/>
      <c r="EZ7" s="137"/>
      <c r="FA7" s="137"/>
      <c r="FB7" s="137"/>
      <c r="FC7" s="137"/>
      <c r="FD7" s="137"/>
      <c r="FE7" s="137"/>
      <c r="FF7" s="137"/>
      <c r="FG7" s="137"/>
      <c r="FH7" s="137"/>
      <c r="FI7" s="137"/>
      <c r="FJ7" s="137"/>
      <c r="FK7" s="137"/>
      <c r="FL7" s="137"/>
      <c r="FM7" s="137"/>
      <c r="FN7" s="137"/>
      <c r="FO7" s="137"/>
      <c r="FP7" s="137"/>
      <c r="FQ7" s="137"/>
      <c r="FR7" s="137"/>
      <c r="FS7" s="137"/>
      <c r="FT7" s="137"/>
      <c r="FU7" s="137"/>
      <c r="FV7" s="137"/>
      <c r="FW7" s="137"/>
      <c r="FX7" s="137"/>
      <c r="FY7" s="137"/>
      <c r="FZ7" s="137"/>
      <c r="GA7" s="137"/>
      <c r="GB7" s="137"/>
      <c r="GC7" s="137"/>
      <c r="GD7" s="137"/>
      <c r="GE7" s="137"/>
      <c r="GF7" s="137"/>
      <c r="GG7" s="137"/>
      <c r="GH7" s="137"/>
      <c r="GI7" s="137"/>
      <c r="GJ7" s="137"/>
      <c r="GK7" s="137"/>
      <c r="GL7" s="137"/>
      <c r="GM7" s="137"/>
      <c r="GN7" s="137"/>
      <c r="GO7" s="137"/>
      <c r="GP7" s="137"/>
      <c r="GQ7" s="137"/>
      <c r="GR7" s="137"/>
      <c r="GS7" s="137"/>
      <c r="GT7" s="137"/>
      <c r="GU7" s="137"/>
      <c r="GV7" s="137"/>
      <c r="GW7" s="137"/>
      <c r="GX7" s="137"/>
      <c r="GY7" s="137"/>
      <c r="GZ7" s="137"/>
      <c r="HA7" s="137"/>
      <c r="HB7" s="137"/>
      <c r="HC7" s="137"/>
      <c r="HD7" s="137"/>
      <c r="HE7" s="137"/>
      <c r="HF7" s="137"/>
      <c r="HG7" s="137"/>
      <c r="HH7" s="137"/>
      <c r="HI7" s="137"/>
      <c r="HJ7" s="137"/>
      <c r="HK7" s="137"/>
      <c r="HL7" s="137"/>
      <c r="HM7" s="137"/>
      <c r="HN7" s="137"/>
      <c r="HO7" s="137"/>
      <c r="HP7" s="137"/>
      <c r="HQ7" s="137"/>
      <c r="HR7" s="137"/>
      <c r="HS7" s="137"/>
      <c r="HT7" s="137"/>
      <c r="HU7" s="137"/>
      <c r="HV7" s="137"/>
      <c r="HW7" s="137"/>
      <c r="HX7" s="137"/>
      <c r="HY7" s="137"/>
      <c r="HZ7" s="137"/>
      <c r="IA7" s="137"/>
      <c r="IB7" s="137"/>
      <c r="IC7" s="137"/>
      <c r="ID7" s="137"/>
      <c r="IE7" s="137"/>
      <c r="IF7" s="137"/>
      <c r="IG7" s="137"/>
      <c r="IH7" s="137"/>
      <c r="II7" s="137"/>
      <c r="IJ7" s="137"/>
      <c r="IK7" s="137"/>
      <c r="IL7" s="137"/>
      <c r="IM7" s="137"/>
      <c r="IN7" s="137"/>
      <c r="IO7" s="137"/>
      <c r="IP7" s="133"/>
      <c r="IQ7" s="133"/>
    </row>
    <row r="8" spans="1:251" ht="24.9" customHeight="1">
      <c r="A8" s="205">
        <v>4</v>
      </c>
      <c r="B8" s="142" t="s">
        <v>127</v>
      </c>
      <c r="C8" s="142">
        <v>70582</v>
      </c>
      <c r="D8" s="142">
        <v>231658</v>
      </c>
      <c r="E8" s="143">
        <v>9</v>
      </c>
      <c r="F8" s="143">
        <v>7</v>
      </c>
      <c r="G8" s="142" t="s">
        <v>127</v>
      </c>
      <c r="H8" s="142">
        <v>128787</v>
      </c>
      <c r="I8" s="144">
        <v>77492</v>
      </c>
      <c r="J8" s="184">
        <v>3</v>
      </c>
      <c r="K8" s="145">
        <v>14795</v>
      </c>
      <c r="L8" s="145">
        <v>3</v>
      </c>
      <c r="M8" s="145">
        <v>68</v>
      </c>
      <c r="N8" s="147">
        <v>2</v>
      </c>
      <c r="O8" s="123">
        <v>76</v>
      </c>
      <c r="P8" s="147">
        <v>1</v>
      </c>
      <c r="Q8" s="115">
        <v>56992</v>
      </c>
      <c r="R8" s="96">
        <v>0</v>
      </c>
      <c r="S8" s="150">
        <v>25340</v>
      </c>
      <c r="T8" s="97">
        <v>0</v>
      </c>
      <c r="U8" s="153">
        <v>9596</v>
      </c>
      <c r="V8" s="153">
        <v>1695</v>
      </c>
      <c r="W8" s="96">
        <v>0</v>
      </c>
      <c r="X8" s="150">
        <v>33083</v>
      </c>
      <c r="Y8" s="97">
        <v>2</v>
      </c>
      <c r="Z8" s="154">
        <v>7851</v>
      </c>
      <c r="AA8" s="154">
        <v>7015</v>
      </c>
      <c r="AB8" s="96">
        <v>0</v>
      </c>
      <c r="AC8" s="150">
        <v>2263</v>
      </c>
      <c r="AD8" s="150">
        <v>1597</v>
      </c>
      <c r="AE8" s="97">
        <v>1</v>
      </c>
      <c r="AF8" s="155">
        <v>0</v>
      </c>
      <c r="AG8" s="206">
        <v>199369</v>
      </c>
      <c r="AH8" s="207">
        <v>37</v>
      </c>
      <c r="AI8" s="158">
        <v>190</v>
      </c>
      <c r="AJ8" s="158">
        <v>153</v>
      </c>
      <c r="AK8" s="102">
        <v>1723537</v>
      </c>
      <c r="AL8" s="103">
        <v>364</v>
      </c>
      <c r="AM8" s="102">
        <v>61656</v>
      </c>
      <c r="AN8" s="103">
        <v>25</v>
      </c>
      <c r="AO8" s="108">
        <v>122268</v>
      </c>
      <c r="AP8" s="104">
        <v>0</v>
      </c>
      <c r="AQ8" s="108">
        <v>131322</v>
      </c>
      <c r="AR8" s="104">
        <v>0</v>
      </c>
      <c r="AS8" s="108">
        <v>1785557</v>
      </c>
      <c r="AT8" s="222">
        <v>389</v>
      </c>
      <c r="AU8" s="189">
        <v>1200</v>
      </c>
      <c r="AV8" s="158">
        <v>811</v>
      </c>
      <c r="AW8" s="109">
        <v>0</v>
      </c>
      <c r="AX8" s="109">
        <v>0</v>
      </c>
      <c r="AY8" s="109">
        <v>0</v>
      </c>
      <c r="AZ8" s="109" t="s">
        <v>146</v>
      </c>
      <c r="BA8" s="109">
        <v>90.37</v>
      </c>
      <c r="BB8" s="109">
        <v>9020</v>
      </c>
      <c r="BC8" s="107" t="s">
        <v>146</v>
      </c>
      <c r="BD8" s="108" t="s">
        <v>146</v>
      </c>
      <c r="BE8" s="159">
        <v>397628</v>
      </c>
      <c r="BF8" s="108" t="s">
        <v>147</v>
      </c>
      <c r="BG8" s="108" t="s">
        <v>148</v>
      </c>
      <c r="BH8" s="159">
        <v>9020</v>
      </c>
      <c r="BI8" s="160">
        <v>9020</v>
      </c>
      <c r="BJ8" s="161">
        <v>8999</v>
      </c>
      <c r="BK8" s="159">
        <v>332.41</v>
      </c>
      <c r="BL8" s="223">
        <v>610</v>
      </c>
      <c r="BM8" s="178">
        <v>9630</v>
      </c>
      <c r="BN8" s="198">
        <v>20400</v>
      </c>
      <c r="BO8" s="224">
        <v>10770</v>
      </c>
      <c r="BP8" s="144">
        <v>2851040</v>
      </c>
      <c r="BQ8" s="144">
        <v>9</v>
      </c>
      <c r="BR8" s="144">
        <v>3824228</v>
      </c>
      <c r="BS8" s="144">
        <v>12</v>
      </c>
      <c r="BT8" s="157">
        <v>21</v>
      </c>
      <c r="BU8" s="2">
        <v>7</v>
      </c>
      <c r="BV8" s="2">
        <v>12</v>
      </c>
      <c r="BW8" s="102" t="s">
        <v>127</v>
      </c>
      <c r="BX8" s="108" t="s">
        <v>127</v>
      </c>
      <c r="BY8" s="200"/>
      <c r="BZ8" s="137"/>
      <c r="CA8" s="137"/>
      <c r="CB8" s="137"/>
      <c r="CC8" s="200"/>
      <c r="CD8" s="200"/>
      <c r="CE8" s="163" t="s">
        <v>127</v>
      </c>
      <c r="CF8" s="194" t="s">
        <v>127</v>
      </c>
      <c r="CG8" s="194" t="s">
        <v>127</v>
      </c>
      <c r="CH8" s="225" t="s">
        <v>127</v>
      </c>
      <c r="CI8" s="216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7"/>
      <c r="CU8" s="137"/>
      <c r="CV8" s="137"/>
      <c r="CW8" s="137"/>
      <c r="CX8" s="137"/>
      <c r="CY8" s="137"/>
      <c r="CZ8" s="137"/>
      <c r="DA8" s="137"/>
      <c r="DB8" s="137"/>
      <c r="DC8" s="137"/>
      <c r="DD8" s="137"/>
      <c r="DE8" s="137"/>
      <c r="DF8" s="137"/>
      <c r="DG8" s="137"/>
      <c r="DH8" s="137"/>
      <c r="DI8" s="137"/>
      <c r="DJ8" s="137"/>
      <c r="DK8" s="137"/>
      <c r="DL8" s="137"/>
      <c r="DM8" s="137"/>
      <c r="DN8" s="137"/>
      <c r="DO8" s="137"/>
      <c r="DP8" s="137"/>
      <c r="DQ8" s="137"/>
      <c r="DR8" s="137"/>
      <c r="DS8" s="137"/>
      <c r="DT8" s="137"/>
      <c r="DU8" s="137"/>
      <c r="DV8" s="137"/>
      <c r="DW8" s="137"/>
      <c r="DX8" s="137"/>
      <c r="DY8" s="137"/>
      <c r="DZ8" s="137"/>
      <c r="EA8" s="137"/>
      <c r="EB8" s="137"/>
      <c r="EC8" s="137"/>
      <c r="ED8" s="137"/>
      <c r="EE8" s="137"/>
      <c r="EF8" s="137"/>
      <c r="EG8" s="137"/>
      <c r="EH8" s="137"/>
      <c r="EI8" s="137"/>
      <c r="EJ8" s="137"/>
      <c r="EK8" s="137"/>
      <c r="EL8" s="137"/>
      <c r="EM8" s="137"/>
      <c r="EN8" s="137"/>
      <c r="EO8" s="137"/>
      <c r="EP8" s="137"/>
      <c r="EQ8" s="137"/>
      <c r="ER8" s="137"/>
      <c r="ES8" s="137"/>
      <c r="ET8" s="137"/>
      <c r="EU8" s="137"/>
      <c r="EV8" s="137"/>
      <c r="EW8" s="137"/>
      <c r="EX8" s="137"/>
      <c r="EY8" s="137"/>
      <c r="EZ8" s="137"/>
      <c r="FA8" s="137"/>
      <c r="FB8" s="137"/>
      <c r="FC8" s="137"/>
      <c r="FD8" s="137"/>
      <c r="FE8" s="137"/>
      <c r="FF8" s="137"/>
      <c r="FG8" s="137"/>
      <c r="FH8" s="137"/>
      <c r="FI8" s="137"/>
      <c r="FJ8" s="137"/>
      <c r="FK8" s="137"/>
      <c r="FL8" s="137"/>
      <c r="FM8" s="137"/>
      <c r="FN8" s="137"/>
      <c r="FO8" s="137"/>
      <c r="FP8" s="137"/>
      <c r="FQ8" s="137"/>
      <c r="FR8" s="137"/>
      <c r="FS8" s="137"/>
      <c r="FT8" s="137"/>
      <c r="FU8" s="137"/>
      <c r="FV8" s="137"/>
      <c r="FW8" s="137"/>
      <c r="FX8" s="137"/>
      <c r="FY8" s="137"/>
      <c r="FZ8" s="137"/>
      <c r="GA8" s="137"/>
      <c r="GB8" s="137"/>
      <c r="GC8" s="137"/>
      <c r="GD8" s="137"/>
      <c r="GE8" s="137"/>
      <c r="GF8" s="137"/>
      <c r="GG8" s="137"/>
      <c r="GH8" s="137"/>
      <c r="GI8" s="137"/>
      <c r="GJ8" s="137"/>
      <c r="GK8" s="137"/>
      <c r="GL8" s="137"/>
      <c r="GM8" s="137"/>
      <c r="GN8" s="137"/>
      <c r="GO8" s="137"/>
      <c r="GP8" s="137"/>
      <c r="GQ8" s="137"/>
      <c r="GR8" s="137"/>
      <c r="GS8" s="137"/>
      <c r="GT8" s="137"/>
      <c r="GU8" s="137"/>
      <c r="GV8" s="137"/>
      <c r="GW8" s="137"/>
      <c r="GX8" s="137"/>
      <c r="GY8" s="137"/>
      <c r="GZ8" s="137"/>
      <c r="HA8" s="137"/>
      <c r="HB8" s="137"/>
      <c r="HC8" s="137"/>
      <c r="HD8" s="137"/>
      <c r="HE8" s="137"/>
      <c r="HF8" s="137"/>
      <c r="HG8" s="137"/>
      <c r="HH8" s="137"/>
      <c r="HI8" s="137"/>
      <c r="HJ8" s="137"/>
      <c r="HK8" s="137"/>
      <c r="HL8" s="137"/>
      <c r="HM8" s="137"/>
      <c r="HN8" s="137"/>
      <c r="HO8" s="137"/>
      <c r="HP8" s="137"/>
      <c r="HQ8" s="137"/>
      <c r="HR8" s="137"/>
      <c r="HS8" s="137"/>
      <c r="HT8" s="137"/>
      <c r="HU8" s="137"/>
      <c r="HV8" s="137"/>
      <c r="HW8" s="137"/>
      <c r="HX8" s="137"/>
      <c r="HY8" s="137"/>
      <c r="HZ8" s="137"/>
      <c r="IA8" s="137"/>
      <c r="IB8" s="137"/>
      <c r="IC8" s="137"/>
      <c r="ID8" s="137"/>
      <c r="IE8" s="137"/>
      <c r="IF8" s="137"/>
      <c r="IG8" s="137"/>
      <c r="IH8" s="137"/>
      <c r="II8" s="137"/>
      <c r="IJ8" s="137"/>
      <c r="IK8" s="137"/>
      <c r="IL8" s="137"/>
      <c r="IM8" s="137"/>
      <c r="IN8" s="137"/>
      <c r="IO8" s="137"/>
      <c r="IP8" s="133"/>
      <c r="IQ8" s="133"/>
    </row>
    <row r="9" spans="1:251" ht="24.9" customHeight="1">
      <c r="A9" s="183">
        <v>5</v>
      </c>
      <c r="B9" s="142" t="s">
        <v>127</v>
      </c>
      <c r="C9" s="142">
        <v>70582</v>
      </c>
      <c r="D9" s="142">
        <v>231666</v>
      </c>
      <c r="E9" s="143">
        <v>8</v>
      </c>
      <c r="F9" s="143">
        <v>5</v>
      </c>
      <c r="G9" s="142" t="s">
        <v>127</v>
      </c>
      <c r="H9" s="142">
        <v>128835</v>
      </c>
      <c r="I9" s="144">
        <v>77495</v>
      </c>
      <c r="J9" s="184">
        <v>3</v>
      </c>
      <c r="K9" s="145">
        <v>14797</v>
      </c>
      <c r="L9" s="145">
        <v>2</v>
      </c>
      <c r="M9" s="145">
        <v>72</v>
      </c>
      <c r="N9" s="147">
        <v>4</v>
      </c>
      <c r="O9" s="123">
        <v>77</v>
      </c>
      <c r="P9" s="147">
        <v>1</v>
      </c>
      <c r="Q9" s="115">
        <v>56992</v>
      </c>
      <c r="R9" s="96">
        <v>0</v>
      </c>
      <c r="S9" s="150">
        <v>25340</v>
      </c>
      <c r="T9" s="97">
        <v>0</v>
      </c>
      <c r="U9" s="153">
        <v>9596</v>
      </c>
      <c r="V9" s="153">
        <v>1695</v>
      </c>
      <c r="W9" s="96">
        <v>0</v>
      </c>
      <c r="X9" s="150">
        <v>33086</v>
      </c>
      <c r="Y9" s="97">
        <v>3</v>
      </c>
      <c r="Z9" s="154">
        <v>7851</v>
      </c>
      <c r="AA9" s="154">
        <v>7015</v>
      </c>
      <c r="AB9" s="96">
        <v>0</v>
      </c>
      <c r="AC9" s="150">
        <v>2266</v>
      </c>
      <c r="AD9" s="150">
        <v>1599</v>
      </c>
      <c r="AE9" s="97">
        <v>5</v>
      </c>
      <c r="AF9" s="155">
        <v>0</v>
      </c>
      <c r="AG9" s="206">
        <v>199417</v>
      </c>
      <c r="AH9" s="226">
        <v>48</v>
      </c>
      <c r="AI9" s="158">
        <v>190</v>
      </c>
      <c r="AJ9" s="158">
        <v>142</v>
      </c>
      <c r="AK9" s="102">
        <v>1724063</v>
      </c>
      <c r="AL9" s="103">
        <v>526</v>
      </c>
      <c r="AM9" s="102">
        <v>61677</v>
      </c>
      <c r="AN9" s="103">
        <v>21</v>
      </c>
      <c r="AO9" s="108">
        <v>122268</v>
      </c>
      <c r="AP9" s="104">
        <v>0</v>
      </c>
      <c r="AQ9" s="108">
        <v>131322</v>
      </c>
      <c r="AR9" s="104">
        <v>0</v>
      </c>
      <c r="AS9" s="108">
        <v>1786266</v>
      </c>
      <c r="AT9" s="227">
        <v>547</v>
      </c>
      <c r="AU9" s="189">
        <v>1200</v>
      </c>
      <c r="AV9" s="158">
        <v>653</v>
      </c>
      <c r="AW9" s="109">
        <v>0</v>
      </c>
      <c r="AX9" s="109">
        <v>0</v>
      </c>
      <c r="AY9" s="109">
        <v>0</v>
      </c>
      <c r="AZ9" s="109" t="s">
        <v>149</v>
      </c>
      <c r="BA9" s="109">
        <v>92.29</v>
      </c>
      <c r="BB9" s="109">
        <v>8448</v>
      </c>
      <c r="BC9" s="107" t="s">
        <v>149</v>
      </c>
      <c r="BD9" s="108" t="s">
        <v>149</v>
      </c>
      <c r="BE9" s="159">
        <v>406076</v>
      </c>
      <c r="BF9" s="108" t="s">
        <v>150</v>
      </c>
      <c r="BG9" s="108" t="s">
        <v>151</v>
      </c>
      <c r="BH9" s="159">
        <v>8448</v>
      </c>
      <c r="BI9" s="160">
        <v>8448</v>
      </c>
      <c r="BJ9" s="161">
        <v>8143</v>
      </c>
      <c r="BK9" s="159">
        <v>336.71</v>
      </c>
      <c r="BL9" s="228">
        <v>430</v>
      </c>
      <c r="BM9" s="229">
        <v>8878</v>
      </c>
      <c r="BN9" s="198">
        <v>20400</v>
      </c>
      <c r="BO9" s="230">
        <v>11522</v>
      </c>
      <c r="BP9" s="144">
        <v>2851081</v>
      </c>
      <c r="BQ9" s="144">
        <v>41</v>
      </c>
      <c r="BR9" s="144">
        <v>3824492</v>
      </c>
      <c r="BS9" s="144">
        <v>264</v>
      </c>
      <c r="BT9" s="231">
        <v>305</v>
      </c>
      <c r="BU9" s="2">
        <v>1</v>
      </c>
      <c r="BV9" s="2">
        <v>2</v>
      </c>
      <c r="BW9" s="102" t="s">
        <v>127</v>
      </c>
      <c r="BX9" s="108" t="s">
        <v>127</v>
      </c>
      <c r="BY9" s="200"/>
      <c r="BZ9" s="137"/>
      <c r="CA9" s="137"/>
      <c r="CB9" s="137"/>
      <c r="CC9" s="200"/>
      <c r="CD9" s="200"/>
      <c r="CE9" s="137"/>
      <c r="CF9" s="137"/>
      <c r="CG9" s="137"/>
      <c r="CH9" s="232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7"/>
      <c r="CU9" s="137"/>
      <c r="CV9" s="137"/>
      <c r="CW9" s="137"/>
      <c r="CX9" s="137"/>
      <c r="CY9" s="137"/>
      <c r="CZ9" s="137"/>
      <c r="DA9" s="137"/>
      <c r="DB9" s="137"/>
      <c r="DC9" s="137"/>
      <c r="DD9" s="137"/>
      <c r="DE9" s="137"/>
      <c r="DF9" s="137"/>
      <c r="DG9" s="137"/>
      <c r="DH9" s="137"/>
      <c r="DI9" s="137"/>
      <c r="DJ9" s="137"/>
      <c r="DK9" s="137"/>
      <c r="DL9" s="137"/>
      <c r="DM9" s="137"/>
      <c r="DN9" s="137"/>
      <c r="DO9" s="137"/>
      <c r="DP9" s="137"/>
      <c r="DQ9" s="137"/>
      <c r="DR9" s="137"/>
      <c r="DS9" s="137"/>
      <c r="DT9" s="137"/>
      <c r="DU9" s="137"/>
      <c r="DV9" s="137"/>
      <c r="DW9" s="137"/>
      <c r="DX9" s="137"/>
      <c r="DY9" s="137"/>
      <c r="DZ9" s="137"/>
      <c r="EA9" s="137"/>
      <c r="EB9" s="137"/>
      <c r="EC9" s="137"/>
      <c r="ED9" s="137"/>
      <c r="EE9" s="137"/>
      <c r="EF9" s="137"/>
      <c r="EG9" s="137"/>
      <c r="EH9" s="137"/>
      <c r="EI9" s="137"/>
      <c r="EJ9" s="137"/>
      <c r="EK9" s="137"/>
      <c r="EL9" s="137"/>
      <c r="EM9" s="137"/>
      <c r="EN9" s="137"/>
      <c r="EO9" s="137"/>
      <c r="EP9" s="137"/>
      <c r="EQ9" s="137"/>
      <c r="ER9" s="137"/>
      <c r="ES9" s="137"/>
      <c r="ET9" s="137"/>
      <c r="EU9" s="137"/>
      <c r="EV9" s="137"/>
      <c r="EW9" s="137"/>
      <c r="EX9" s="137"/>
      <c r="EY9" s="137"/>
      <c r="EZ9" s="137"/>
      <c r="FA9" s="137"/>
      <c r="FB9" s="137"/>
      <c r="FC9" s="137"/>
      <c r="FD9" s="137"/>
      <c r="FE9" s="137"/>
      <c r="FF9" s="137"/>
      <c r="FG9" s="137"/>
      <c r="FH9" s="137"/>
      <c r="FI9" s="137"/>
      <c r="FJ9" s="137"/>
      <c r="FK9" s="137"/>
      <c r="FL9" s="137"/>
      <c r="FM9" s="137"/>
      <c r="FN9" s="137"/>
      <c r="FO9" s="137"/>
      <c r="FP9" s="137"/>
      <c r="FQ9" s="137"/>
      <c r="FR9" s="137"/>
      <c r="FS9" s="137"/>
      <c r="FT9" s="137"/>
      <c r="FU9" s="137"/>
      <c r="FV9" s="137"/>
      <c r="FW9" s="137"/>
      <c r="FX9" s="137"/>
      <c r="FY9" s="137"/>
      <c r="FZ9" s="137"/>
      <c r="GA9" s="137"/>
      <c r="GB9" s="137"/>
      <c r="GC9" s="137"/>
      <c r="GD9" s="137"/>
      <c r="GE9" s="137"/>
      <c r="GF9" s="137"/>
      <c r="GG9" s="137"/>
      <c r="GH9" s="137"/>
      <c r="GI9" s="137"/>
      <c r="GJ9" s="137"/>
      <c r="GK9" s="137"/>
      <c r="GL9" s="137"/>
      <c r="GM9" s="137"/>
      <c r="GN9" s="137"/>
      <c r="GO9" s="137"/>
      <c r="GP9" s="137"/>
      <c r="GQ9" s="137"/>
      <c r="GR9" s="137"/>
      <c r="GS9" s="137"/>
      <c r="GT9" s="137"/>
      <c r="GU9" s="137"/>
      <c r="GV9" s="137"/>
      <c r="GW9" s="137"/>
      <c r="GX9" s="137"/>
      <c r="GY9" s="137"/>
      <c r="GZ9" s="137"/>
      <c r="HA9" s="137"/>
      <c r="HB9" s="137"/>
      <c r="HC9" s="137"/>
      <c r="HD9" s="137"/>
      <c r="HE9" s="137"/>
      <c r="HF9" s="137"/>
      <c r="HG9" s="137"/>
      <c r="HH9" s="137"/>
      <c r="HI9" s="137"/>
      <c r="HJ9" s="137"/>
      <c r="HK9" s="137"/>
      <c r="HL9" s="137"/>
      <c r="HM9" s="137"/>
      <c r="HN9" s="137"/>
      <c r="HO9" s="137"/>
      <c r="HP9" s="137"/>
      <c r="HQ9" s="137"/>
      <c r="HR9" s="137"/>
      <c r="HS9" s="137"/>
      <c r="HT9" s="137"/>
      <c r="HU9" s="137"/>
      <c r="HV9" s="137"/>
      <c r="HW9" s="137"/>
      <c r="HX9" s="137"/>
      <c r="HY9" s="137"/>
      <c r="HZ9" s="137"/>
      <c r="IA9" s="137"/>
      <c r="IB9" s="137"/>
      <c r="IC9" s="137"/>
      <c r="ID9" s="137"/>
      <c r="IE9" s="137"/>
      <c r="IF9" s="137"/>
      <c r="IG9" s="137"/>
      <c r="IH9" s="137"/>
      <c r="II9" s="137"/>
      <c r="IJ9" s="137"/>
      <c r="IK9" s="137"/>
      <c r="IL9" s="137"/>
      <c r="IM9" s="137"/>
      <c r="IN9" s="137"/>
      <c r="IO9" s="137"/>
      <c r="IP9" s="133"/>
      <c r="IQ9" s="133"/>
    </row>
    <row r="10" spans="1:251" ht="24.9" customHeight="1">
      <c r="A10" s="205">
        <v>6</v>
      </c>
      <c r="B10" s="142" t="s">
        <v>127</v>
      </c>
      <c r="C10" s="142">
        <v>70582</v>
      </c>
      <c r="D10" s="142">
        <v>231670</v>
      </c>
      <c r="E10" s="143">
        <v>4</v>
      </c>
      <c r="F10" s="143">
        <v>3</v>
      </c>
      <c r="G10" s="142" t="s">
        <v>127</v>
      </c>
      <c r="H10" s="142">
        <v>128870</v>
      </c>
      <c r="I10" s="144">
        <v>77495</v>
      </c>
      <c r="J10" s="157">
        <v>0</v>
      </c>
      <c r="K10" s="145">
        <v>14799</v>
      </c>
      <c r="L10" s="145">
        <v>2</v>
      </c>
      <c r="M10" s="145">
        <v>75</v>
      </c>
      <c r="N10" s="147">
        <v>3</v>
      </c>
      <c r="O10" s="123">
        <v>77</v>
      </c>
      <c r="P10" s="147">
        <v>0</v>
      </c>
      <c r="Q10" s="115">
        <v>56992</v>
      </c>
      <c r="R10" s="96">
        <v>0</v>
      </c>
      <c r="S10" s="150">
        <v>25340</v>
      </c>
      <c r="T10" s="97">
        <v>0</v>
      </c>
      <c r="U10" s="153">
        <v>9596</v>
      </c>
      <c r="V10" s="153">
        <v>1695</v>
      </c>
      <c r="W10" s="96">
        <v>0</v>
      </c>
      <c r="X10" s="150">
        <v>33087</v>
      </c>
      <c r="Y10" s="97">
        <v>1</v>
      </c>
      <c r="Z10" s="154">
        <v>7851</v>
      </c>
      <c r="AA10" s="154">
        <v>7015</v>
      </c>
      <c r="AB10" s="96">
        <v>0</v>
      </c>
      <c r="AC10" s="150">
        <v>2267</v>
      </c>
      <c r="AD10" s="150">
        <v>1602</v>
      </c>
      <c r="AE10" s="97">
        <v>4</v>
      </c>
      <c r="AF10" s="155">
        <v>0</v>
      </c>
      <c r="AG10" s="206">
        <v>199452</v>
      </c>
      <c r="AH10" s="233">
        <v>35</v>
      </c>
      <c r="AI10" s="158">
        <v>190</v>
      </c>
      <c r="AJ10" s="158">
        <v>155</v>
      </c>
      <c r="AK10" s="102">
        <v>1724503</v>
      </c>
      <c r="AL10" s="103">
        <v>440</v>
      </c>
      <c r="AM10" s="102">
        <v>61704</v>
      </c>
      <c r="AN10" s="103">
        <v>27</v>
      </c>
      <c r="AO10" s="108">
        <v>122268</v>
      </c>
      <c r="AP10" s="104">
        <v>0</v>
      </c>
      <c r="AQ10" s="108">
        <v>131322</v>
      </c>
      <c r="AR10" s="104">
        <v>0</v>
      </c>
      <c r="AS10" s="108">
        <v>1786647</v>
      </c>
      <c r="AT10" s="234">
        <v>467</v>
      </c>
      <c r="AU10" s="189">
        <v>1200</v>
      </c>
      <c r="AV10" s="158">
        <v>733</v>
      </c>
      <c r="AW10" s="109">
        <v>0</v>
      </c>
      <c r="AX10" s="109">
        <v>0</v>
      </c>
      <c r="AY10" s="109">
        <v>0</v>
      </c>
      <c r="AZ10" s="109" t="s">
        <v>152</v>
      </c>
      <c r="BA10" s="109">
        <v>94.21</v>
      </c>
      <c r="BB10" s="109">
        <v>8448</v>
      </c>
      <c r="BC10" s="107" t="s">
        <v>152</v>
      </c>
      <c r="BD10" s="108" t="s">
        <v>152</v>
      </c>
      <c r="BE10" s="159">
        <v>414524</v>
      </c>
      <c r="BF10" s="108" t="s">
        <v>153</v>
      </c>
      <c r="BG10" s="108" t="s">
        <v>151</v>
      </c>
      <c r="BH10" s="159">
        <v>8448</v>
      </c>
      <c r="BI10" s="160">
        <v>8448</v>
      </c>
      <c r="BJ10" s="161">
        <v>8417</v>
      </c>
      <c r="BK10" s="159">
        <v>342.04</v>
      </c>
      <c r="BL10" s="235">
        <v>533</v>
      </c>
      <c r="BM10" s="236">
        <v>8981</v>
      </c>
      <c r="BN10" s="198">
        <v>20400</v>
      </c>
      <c r="BO10" s="237">
        <v>11419</v>
      </c>
      <c r="BP10" s="144">
        <v>2851101</v>
      </c>
      <c r="BQ10" s="144">
        <v>20</v>
      </c>
      <c r="BR10" s="144">
        <v>3824503</v>
      </c>
      <c r="BS10" s="144">
        <v>11</v>
      </c>
      <c r="BT10" s="157">
        <v>31</v>
      </c>
      <c r="BU10" s="2">
        <v>1</v>
      </c>
      <c r="BV10" s="2">
        <v>2</v>
      </c>
      <c r="BW10" s="102" t="s">
        <v>127</v>
      </c>
      <c r="BX10" s="108" t="s">
        <v>127</v>
      </c>
      <c r="BY10" s="200"/>
      <c r="BZ10" s="137"/>
      <c r="CA10" s="137"/>
      <c r="CB10" s="137"/>
      <c r="CC10" s="200"/>
      <c r="CD10" s="200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7"/>
      <c r="DA10" s="137"/>
      <c r="DB10" s="137"/>
      <c r="DC10" s="137"/>
      <c r="DD10" s="137"/>
      <c r="DE10" s="137"/>
      <c r="DF10" s="137"/>
      <c r="DG10" s="137"/>
      <c r="DH10" s="137"/>
      <c r="DI10" s="137"/>
      <c r="DJ10" s="137"/>
      <c r="DK10" s="137"/>
      <c r="DL10" s="137"/>
      <c r="DM10" s="137"/>
      <c r="DN10" s="137"/>
      <c r="DO10" s="137"/>
      <c r="DP10" s="137"/>
      <c r="DQ10" s="137"/>
      <c r="DR10" s="137"/>
      <c r="DS10" s="137"/>
      <c r="DT10" s="137"/>
      <c r="DU10" s="137"/>
      <c r="DV10" s="137"/>
      <c r="DW10" s="137"/>
      <c r="DX10" s="137"/>
      <c r="DY10" s="137"/>
      <c r="DZ10" s="137"/>
      <c r="EA10" s="137"/>
      <c r="EB10" s="137"/>
      <c r="EC10" s="137"/>
      <c r="ED10" s="137"/>
      <c r="EE10" s="137"/>
      <c r="EF10" s="137"/>
      <c r="EG10" s="137"/>
      <c r="EH10" s="137"/>
      <c r="EI10" s="137"/>
      <c r="EJ10" s="137"/>
      <c r="EK10" s="137"/>
      <c r="EL10" s="137"/>
      <c r="EM10" s="137"/>
      <c r="EN10" s="137"/>
      <c r="EO10" s="137"/>
      <c r="EP10" s="137"/>
      <c r="EQ10" s="137"/>
      <c r="ER10" s="137"/>
      <c r="ES10" s="137"/>
      <c r="ET10" s="137"/>
      <c r="EU10" s="137"/>
      <c r="EV10" s="137"/>
      <c r="EW10" s="137"/>
      <c r="EX10" s="137"/>
      <c r="EY10" s="137"/>
      <c r="EZ10" s="137"/>
      <c r="FA10" s="137"/>
      <c r="FB10" s="137"/>
      <c r="FC10" s="137"/>
      <c r="FD10" s="137"/>
      <c r="FE10" s="137"/>
      <c r="FF10" s="137"/>
      <c r="FG10" s="137"/>
      <c r="FH10" s="137"/>
      <c r="FI10" s="137"/>
      <c r="FJ10" s="137"/>
      <c r="FK10" s="137"/>
      <c r="FL10" s="137"/>
      <c r="FM10" s="137"/>
      <c r="FN10" s="137"/>
      <c r="FO10" s="137"/>
      <c r="FP10" s="137"/>
      <c r="FQ10" s="137"/>
      <c r="FR10" s="137"/>
      <c r="FS10" s="137"/>
      <c r="FT10" s="137"/>
      <c r="FU10" s="137"/>
      <c r="FV10" s="137"/>
      <c r="FW10" s="137"/>
      <c r="FX10" s="137"/>
      <c r="FY10" s="137"/>
      <c r="FZ10" s="137"/>
      <c r="GA10" s="137"/>
      <c r="GB10" s="137"/>
      <c r="GC10" s="137"/>
      <c r="GD10" s="137"/>
      <c r="GE10" s="137"/>
      <c r="GF10" s="137"/>
      <c r="GG10" s="137"/>
      <c r="GH10" s="137"/>
      <c r="GI10" s="137"/>
      <c r="GJ10" s="137"/>
      <c r="GK10" s="137"/>
      <c r="GL10" s="137"/>
      <c r="GM10" s="137"/>
      <c r="GN10" s="137"/>
      <c r="GO10" s="137"/>
      <c r="GP10" s="137"/>
      <c r="GQ10" s="137"/>
      <c r="GR10" s="137"/>
      <c r="GS10" s="137"/>
      <c r="GT10" s="137"/>
      <c r="GU10" s="137"/>
      <c r="GV10" s="137"/>
      <c r="GW10" s="137"/>
      <c r="GX10" s="137"/>
      <c r="GY10" s="137"/>
      <c r="GZ10" s="137"/>
      <c r="HA10" s="137"/>
      <c r="HB10" s="137"/>
      <c r="HC10" s="137"/>
      <c r="HD10" s="137"/>
      <c r="HE10" s="137"/>
      <c r="HF10" s="137"/>
      <c r="HG10" s="137"/>
      <c r="HH10" s="137"/>
      <c r="HI10" s="137"/>
      <c r="HJ10" s="137"/>
      <c r="HK10" s="137"/>
      <c r="HL10" s="137"/>
      <c r="HM10" s="137"/>
      <c r="HN10" s="137"/>
      <c r="HO10" s="137"/>
      <c r="HP10" s="137"/>
      <c r="HQ10" s="137"/>
      <c r="HR10" s="137"/>
      <c r="HS10" s="137"/>
      <c r="HT10" s="137"/>
      <c r="HU10" s="137"/>
      <c r="HV10" s="137"/>
      <c r="HW10" s="137"/>
      <c r="HX10" s="137"/>
      <c r="HY10" s="137"/>
      <c r="HZ10" s="137"/>
      <c r="IA10" s="137"/>
      <c r="IB10" s="137"/>
      <c r="IC10" s="137"/>
      <c r="ID10" s="137"/>
      <c r="IE10" s="137"/>
      <c r="IF10" s="137"/>
      <c r="IG10" s="137"/>
      <c r="IH10" s="137"/>
      <c r="II10" s="137"/>
      <c r="IJ10" s="137"/>
      <c r="IK10" s="137"/>
      <c r="IL10" s="137"/>
      <c r="IM10" s="137"/>
      <c r="IN10" s="137"/>
      <c r="IO10" s="137"/>
      <c r="IP10" s="133"/>
      <c r="IQ10" s="133"/>
    </row>
    <row r="11" spans="1:251" ht="24.9" customHeight="1">
      <c r="A11" s="205">
        <v>7</v>
      </c>
      <c r="B11" s="142" t="s">
        <v>127</v>
      </c>
      <c r="C11" s="142">
        <v>70582</v>
      </c>
      <c r="D11" s="142">
        <v>231676</v>
      </c>
      <c r="E11" s="143">
        <v>6</v>
      </c>
      <c r="F11" s="143">
        <v>5</v>
      </c>
      <c r="G11" s="142" t="s">
        <v>127</v>
      </c>
      <c r="H11" s="142">
        <v>128905</v>
      </c>
      <c r="I11" s="144">
        <v>77500</v>
      </c>
      <c r="J11" s="238">
        <v>5</v>
      </c>
      <c r="K11" s="145">
        <v>14802</v>
      </c>
      <c r="L11" s="145">
        <v>3</v>
      </c>
      <c r="M11" s="145">
        <v>77</v>
      </c>
      <c r="N11" s="147">
        <v>2</v>
      </c>
      <c r="O11" s="123">
        <v>77</v>
      </c>
      <c r="P11" s="147">
        <v>0</v>
      </c>
      <c r="Q11" s="115">
        <v>56992</v>
      </c>
      <c r="R11" s="96">
        <v>0</v>
      </c>
      <c r="S11" s="150">
        <v>25341</v>
      </c>
      <c r="T11" s="97">
        <v>1</v>
      </c>
      <c r="U11" s="153">
        <v>9596</v>
      </c>
      <c r="V11" s="153">
        <v>1695</v>
      </c>
      <c r="W11" s="96">
        <v>0</v>
      </c>
      <c r="X11" s="150">
        <v>33088</v>
      </c>
      <c r="Y11" s="97">
        <v>1</v>
      </c>
      <c r="Z11" s="154">
        <v>7852</v>
      </c>
      <c r="AA11" s="154">
        <v>7015</v>
      </c>
      <c r="AB11" s="96">
        <v>1</v>
      </c>
      <c r="AC11" s="150">
        <v>2268</v>
      </c>
      <c r="AD11" s="150">
        <v>1602</v>
      </c>
      <c r="AE11" s="97">
        <v>1</v>
      </c>
      <c r="AF11" s="155">
        <v>1</v>
      </c>
      <c r="AG11" s="206">
        <v>199487</v>
      </c>
      <c r="AH11" s="233">
        <v>35</v>
      </c>
      <c r="AI11" s="158">
        <v>190</v>
      </c>
      <c r="AJ11" s="158">
        <v>155</v>
      </c>
      <c r="AK11" s="102">
        <v>1725050</v>
      </c>
      <c r="AL11" s="103">
        <v>547</v>
      </c>
      <c r="AM11" s="102">
        <v>61724</v>
      </c>
      <c r="AN11" s="103">
        <v>20</v>
      </c>
      <c r="AO11" s="108">
        <v>122424</v>
      </c>
      <c r="AP11" s="104">
        <v>156</v>
      </c>
      <c r="AQ11" s="108">
        <v>131322</v>
      </c>
      <c r="AR11" s="104">
        <v>0</v>
      </c>
      <c r="AS11" s="108">
        <v>1787321</v>
      </c>
      <c r="AT11" s="239">
        <v>567</v>
      </c>
      <c r="AU11" s="189">
        <v>1200</v>
      </c>
      <c r="AV11" s="158">
        <v>633</v>
      </c>
      <c r="AW11" s="109">
        <v>0</v>
      </c>
      <c r="AX11" s="109">
        <v>0</v>
      </c>
      <c r="AY11" s="109">
        <v>0</v>
      </c>
      <c r="AZ11" s="109" t="s">
        <v>154</v>
      </c>
      <c r="BA11" s="109">
        <v>96.04</v>
      </c>
      <c r="BB11" s="109">
        <v>8052</v>
      </c>
      <c r="BC11" s="107" t="s">
        <v>154</v>
      </c>
      <c r="BD11" s="108" t="s">
        <v>154</v>
      </c>
      <c r="BE11" s="159">
        <v>422576</v>
      </c>
      <c r="BF11" s="108" t="s">
        <v>155</v>
      </c>
      <c r="BG11" s="108" t="s">
        <v>156</v>
      </c>
      <c r="BH11" s="159">
        <v>8052</v>
      </c>
      <c r="BI11" s="160">
        <v>8052</v>
      </c>
      <c r="BJ11" s="161">
        <v>8021</v>
      </c>
      <c r="BK11" s="159">
        <v>346.45</v>
      </c>
      <c r="BL11" s="240">
        <v>441</v>
      </c>
      <c r="BM11" s="241">
        <v>8493</v>
      </c>
      <c r="BN11" s="198">
        <v>20400</v>
      </c>
      <c r="BO11" s="242">
        <v>11907</v>
      </c>
      <c r="BP11" s="144">
        <v>2851122</v>
      </c>
      <c r="BQ11" s="144">
        <v>21</v>
      </c>
      <c r="BR11" s="144">
        <v>3824513</v>
      </c>
      <c r="BS11" s="144">
        <v>10</v>
      </c>
      <c r="BT11" s="157">
        <v>31</v>
      </c>
      <c r="BU11" s="2">
        <v>0</v>
      </c>
      <c r="BV11" s="2">
        <v>0</v>
      </c>
      <c r="BW11" s="102" t="s">
        <v>127</v>
      </c>
      <c r="BX11" s="108" t="s">
        <v>127</v>
      </c>
      <c r="BY11" s="200"/>
      <c r="BZ11" s="137"/>
      <c r="CA11" s="137"/>
      <c r="CB11" s="137"/>
      <c r="CC11" s="200"/>
      <c r="CD11" s="200"/>
      <c r="CE11" s="137"/>
      <c r="CF11" s="137"/>
      <c r="CG11" s="137"/>
      <c r="CH11" s="137"/>
      <c r="CI11" s="169" t="s">
        <v>127</v>
      </c>
      <c r="CJ11" s="137"/>
      <c r="CK11" s="137"/>
      <c r="CL11" s="137"/>
      <c r="CM11" s="137"/>
      <c r="CN11" s="137"/>
      <c r="CO11" s="137"/>
      <c r="CP11" s="137"/>
      <c r="CQ11" s="137"/>
      <c r="CR11" s="137"/>
      <c r="CS11" s="137"/>
      <c r="CT11" s="137"/>
      <c r="CU11" s="137"/>
      <c r="CV11" s="137"/>
      <c r="CW11" s="137"/>
      <c r="CX11" s="137"/>
      <c r="CY11" s="137"/>
      <c r="CZ11" s="137"/>
      <c r="DA11" s="137"/>
      <c r="DB11" s="137"/>
      <c r="DC11" s="137"/>
      <c r="DD11" s="137"/>
      <c r="DE11" s="137"/>
      <c r="DF11" s="137"/>
      <c r="DG11" s="137"/>
      <c r="DH11" s="137"/>
      <c r="DI11" s="137"/>
      <c r="DJ11" s="137"/>
      <c r="DK11" s="137"/>
      <c r="DL11" s="137"/>
      <c r="DM11" s="137"/>
      <c r="DN11" s="137"/>
      <c r="DO11" s="137"/>
      <c r="DP11" s="137"/>
      <c r="DQ11" s="137"/>
      <c r="DR11" s="137"/>
      <c r="DS11" s="137"/>
      <c r="DT11" s="137"/>
      <c r="DU11" s="137"/>
      <c r="DV11" s="137"/>
      <c r="DW11" s="137"/>
      <c r="DX11" s="137"/>
      <c r="DY11" s="137"/>
      <c r="DZ11" s="137"/>
      <c r="EA11" s="137"/>
      <c r="EB11" s="137"/>
      <c r="EC11" s="137"/>
      <c r="ED11" s="137"/>
      <c r="EE11" s="137"/>
      <c r="EF11" s="137"/>
      <c r="EG11" s="137"/>
      <c r="EH11" s="137"/>
      <c r="EI11" s="137"/>
      <c r="EJ11" s="137"/>
      <c r="EK11" s="137"/>
      <c r="EL11" s="137"/>
      <c r="EM11" s="137"/>
      <c r="EN11" s="137"/>
      <c r="EO11" s="137"/>
      <c r="EP11" s="137"/>
      <c r="EQ11" s="137"/>
      <c r="ER11" s="137"/>
      <c r="ES11" s="137"/>
      <c r="ET11" s="137"/>
      <c r="EU11" s="137"/>
      <c r="EV11" s="137"/>
      <c r="EW11" s="137"/>
      <c r="EX11" s="137"/>
      <c r="EY11" s="137"/>
      <c r="EZ11" s="137"/>
      <c r="FA11" s="137"/>
      <c r="FB11" s="137"/>
      <c r="FC11" s="137"/>
      <c r="FD11" s="137"/>
      <c r="FE11" s="137"/>
      <c r="FF11" s="137"/>
      <c r="FG11" s="137"/>
      <c r="FH11" s="137"/>
      <c r="FI11" s="137"/>
      <c r="FJ11" s="137"/>
      <c r="FK11" s="137"/>
      <c r="FL11" s="137"/>
      <c r="FM11" s="137"/>
      <c r="FN11" s="137"/>
      <c r="FO11" s="137"/>
      <c r="FP11" s="137"/>
      <c r="FQ11" s="137"/>
      <c r="FR11" s="137"/>
      <c r="FS11" s="137"/>
      <c r="FT11" s="137"/>
      <c r="FU11" s="137"/>
      <c r="FV11" s="137"/>
      <c r="FW11" s="137"/>
      <c r="FX11" s="137"/>
      <c r="FY11" s="137"/>
      <c r="FZ11" s="137"/>
      <c r="GA11" s="137"/>
      <c r="GB11" s="137"/>
      <c r="GC11" s="137"/>
      <c r="GD11" s="137"/>
      <c r="GE11" s="137"/>
      <c r="GF11" s="137"/>
      <c r="GG11" s="137"/>
      <c r="GH11" s="137"/>
      <c r="GI11" s="137"/>
      <c r="GJ11" s="137"/>
      <c r="GK11" s="137"/>
      <c r="GL11" s="137"/>
      <c r="GM11" s="137"/>
      <c r="GN11" s="137"/>
      <c r="GO11" s="137"/>
      <c r="GP11" s="137"/>
      <c r="GQ11" s="137"/>
      <c r="GR11" s="137"/>
      <c r="GS11" s="137"/>
      <c r="GT11" s="137"/>
      <c r="GU11" s="137"/>
      <c r="GV11" s="137"/>
      <c r="GW11" s="137"/>
      <c r="GX11" s="137"/>
      <c r="GY11" s="137"/>
      <c r="GZ11" s="137"/>
      <c r="HA11" s="137"/>
      <c r="HB11" s="137"/>
      <c r="HC11" s="137"/>
      <c r="HD11" s="137"/>
      <c r="HE11" s="137"/>
      <c r="HF11" s="137"/>
      <c r="HG11" s="137"/>
      <c r="HH11" s="137"/>
      <c r="HI11" s="137"/>
      <c r="HJ11" s="137"/>
      <c r="HK11" s="137"/>
      <c r="HL11" s="137"/>
      <c r="HM11" s="137"/>
      <c r="HN11" s="137"/>
      <c r="HO11" s="137"/>
      <c r="HP11" s="137"/>
      <c r="HQ11" s="137"/>
      <c r="HR11" s="137"/>
      <c r="HS11" s="137"/>
      <c r="HT11" s="137"/>
      <c r="HU11" s="137"/>
      <c r="HV11" s="137"/>
      <c r="HW11" s="137"/>
      <c r="HX11" s="137"/>
      <c r="HY11" s="137"/>
      <c r="HZ11" s="137"/>
      <c r="IA11" s="137"/>
      <c r="IB11" s="137"/>
      <c r="IC11" s="137"/>
      <c r="ID11" s="137"/>
      <c r="IE11" s="137"/>
      <c r="IF11" s="137"/>
      <c r="IG11" s="137"/>
      <c r="IH11" s="137"/>
      <c r="II11" s="137"/>
      <c r="IJ11" s="137"/>
      <c r="IK11" s="137"/>
      <c r="IL11" s="137"/>
      <c r="IM11" s="137"/>
      <c r="IN11" s="137"/>
      <c r="IO11" s="137"/>
      <c r="IP11" s="133"/>
      <c r="IQ11" s="133"/>
    </row>
    <row r="12" spans="1:251" ht="24.9" customHeight="1">
      <c r="A12" s="205">
        <v>8</v>
      </c>
      <c r="B12" s="142" t="s">
        <v>127</v>
      </c>
      <c r="C12" s="142">
        <v>70582</v>
      </c>
      <c r="D12" s="142">
        <v>231694</v>
      </c>
      <c r="E12" s="143">
        <v>18</v>
      </c>
      <c r="F12" s="143">
        <v>7</v>
      </c>
      <c r="G12" s="142" t="s">
        <v>127</v>
      </c>
      <c r="H12" s="142">
        <v>128985</v>
      </c>
      <c r="I12" s="144">
        <v>77522</v>
      </c>
      <c r="J12" s="140">
        <v>22</v>
      </c>
      <c r="K12" s="145">
        <v>14804</v>
      </c>
      <c r="L12" s="145">
        <v>2</v>
      </c>
      <c r="M12" s="145">
        <v>81</v>
      </c>
      <c r="N12" s="147">
        <v>4</v>
      </c>
      <c r="O12" s="123">
        <v>78</v>
      </c>
      <c r="P12" s="147">
        <v>1</v>
      </c>
      <c r="Q12" s="115">
        <v>56992</v>
      </c>
      <c r="R12" s="96">
        <v>0</v>
      </c>
      <c r="S12" s="150">
        <v>25342</v>
      </c>
      <c r="T12" s="97">
        <v>1</v>
      </c>
      <c r="U12" s="153">
        <v>9603</v>
      </c>
      <c r="V12" s="153">
        <v>1695</v>
      </c>
      <c r="W12" s="96">
        <v>7</v>
      </c>
      <c r="X12" s="150">
        <v>33099</v>
      </c>
      <c r="Y12" s="97">
        <v>11</v>
      </c>
      <c r="Z12" s="154">
        <v>7852</v>
      </c>
      <c r="AA12" s="154">
        <v>7015</v>
      </c>
      <c r="AB12" s="96">
        <v>0</v>
      </c>
      <c r="AC12" s="150">
        <v>2269</v>
      </c>
      <c r="AD12" s="150">
        <v>1602</v>
      </c>
      <c r="AE12" s="97">
        <v>1</v>
      </c>
      <c r="AF12" s="155">
        <v>8</v>
      </c>
      <c r="AG12" s="206">
        <v>199567</v>
      </c>
      <c r="AH12" s="243">
        <v>80</v>
      </c>
      <c r="AI12" s="158">
        <v>190</v>
      </c>
      <c r="AJ12" s="158">
        <v>110</v>
      </c>
      <c r="AK12" s="102">
        <v>1725114</v>
      </c>
      <c r="AL12" s="103">
        <v>64</v>
      </c>
      <c r="AM12" s="102">
        <v>61742</v>
      </c>
      <c r="AN12" s="103">
        <v>18</v>
      </c>
      <c r="AO12" s="108">
        <v>123003</v>
      </c>
      <c r="AP12" s="104">
        <v>579</v>
      </c>
      <c r="AQ12" s="108">
        <v>131322</v>
      </c>
      <c r="AR12" s="104">
        <v>0</v>
      </c>
      <c r="AS12" s="108">
        <v>1786920</v>
      </c>
      <c r="AT12" s="174">
        <v>82</v>
      </c>
      <c r="AU12" s="189">
        <v>1200</v>
      </c>
      <c r="AV12" s="158">
        <v>1118</v>
      </c>
      <c r="AW12" s="109">
        <v>0</v>
      </c>
      <c r="AX12" s="109">
        <v>0</v>
      </c>
      <c r="AY12" s="109">
        <v>0</v>
      </c>
      <c r="AZ12" s="109" t="s">
        <v>157</v>
      </c>
      <c r="BA12" s="109">
        <v>98.38</v>
      </c>
      <c r="BB12" s="109">
        <v>10296</v>
      </c>
      <c r="BC12" s="107" t="s">
        <v>157</v>
      </c>
      <c r="BD12" s="108" t="s">
        <v>157</v>
      </c>
      <c r="BE12" s="159">
        <v>432872</v>
      </c>
      <c r="BF12" s="108" t="s">
        <v>158</v>
      </c>
      <c r="BG12" s="108" t="s">
        <v>159</v>
      </c>
      <c r="BH12" s="159">
        <v>10296</v>
      </c>
      <c r="BI12" s="160">
        <v>10296</v>
      </c>
      <c r="BJ12" s="161">
        <v>9253</v>
      </c>
      <c r="BK12" s="159">
        <v>352.07</v>
      </c>
      <c r="BL12" s="244">
        <v>562</v>
      </c>
      <c r="BM12" s="245">
        <v>10858</v>
      </c>
      <c r="BN12" s="198">
        <v>20400</v>
      </c>
      <c r="BO12" s="246">
        <v>9542</v>
      </c>
      <c r="BP12" s="144">
        <v>2851142</v>
      </c>
      <c r="BQ12" s="144">
        <v>20</v>
      </c>
      <c r="BR12" s="144">
        <v>3825536</v>
      </c>
      <c r="BS12" s="144">
        <v>1023</v>
      </c>
      <c r="BT12" s="247">
        <v>1043</v>
      </c>
      <c r="BU12" s="2">
        <v>1</v>
      </c>
      <c r="BV12" s="2">
        <v>1</v>
      </c>
      <c r="BW12" s="102" t="s">
        <v>127</v>
      </c>
      <c r="BX12" s="108" t="s">
        <v>127</v>
      </c>
      <c r="BY12" s="200"/>
      <c r="BZ12" s="137"/>
      <c r="CA12" s="137"/>
      <c r="CB12" s="137"/>
      <c r="CC12" s="200"/>
      <c r="CD12" s="200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37"/>
      <c r="DJ12" s="137"/>
      <c r="DK12" s="137"/>
      <c r="DL12" s="137"/>
      <c r="DM12" s="137"/>
      <c r="DN12" s="137"/>
      <c r="DO12" s="137"/>
      <c r="DP12" s="137"/>
      <c r="DQ12" s="137"/>
      <c r="DR12" s="137"/>
      <c r="DS12" s="137"/>
      <c r="DT12" s="137"/>
      <c r="DU12" s="137"/>
      <c r="DV12" s="137"/>
      <c r="DW12" s="137"/>
      <c r="DX12" s="137"/>
      <c r="DY12" s="137"/>
      <c r="DZ12" s="137"/>
      <c r="EA12" s="137"/>
      <c r="EB12" s="137"/>
      <c r="EC12" s="137"/>
      <c r="ED12" s="137"/>
      <c r="EE12" s="137"/>
      <c r="EF12" s="137"/>
      <c r="EG12" s="137"/>
      <c r="EH12" s="137"/>
      <c r="EI12" s="137"/>
      <c r="EJ12" s="137"/>
      <c r="EK12" s="137"/>
      <c r="EL12" s="137"/>
      <c r="EM12" s="137"/>
      <c r="EN12" s="137"/>
      <c r="EO12" s="137"/>
      <c r="EP12" s="137"/>
      <c r="EQ12" s="137"/>
      <c r="ER12" s="137"/>
      <c r="ES12" s="137"/>
      <c r="ET12" s="137"/>
      <c r="EU12" s="137"/>
      <c r="EV12" s="137"/>
      <c r="EW12" s="137"/>
      <c r="EX12" s="137"/>
      <c r="EY12" s="137"/>
      <c r="EZ12" s="137"/>
      <c r="FA12" s="137"/>
      <c r="FB12" s="137"/>
      <c r="FC12" s="137"/>
      <c r="FD12" s="137"/>
      <c r="FE12" s="137"/>
      <c r="FF12" s="137"/>
      <c r="FG12" s="137"/>
      <c r="FH12" s="137"/>
      <c r="FI12" s="137"/>
      <c r="FJ12" s="137"/>
      <c r="FK12" s="137"/>
      <c r="FL12" s="137"/>
      <c r="FM12" s="137"/>
      <c r="FN12" s="137"/>
      <c r="FO12" s="137"/>
      <c r="FP12" s="137"/>
      <c r="FQ12" s="137"/>
      <c r="FR12" s="137"/>
      <c r="FS12" s="137"/>
      <c r="FT12" s="137"/>
      <c r="FU12" s="137"/>
      <c r="FV12" s="137"/>
      <c r="FW12" s="137"/>
      <c r="FX12" s="137"/>
      <c r="FY12" s="137"/>
      <c r="FZ12" s="137"/>
      <c r="GA12" s="137"/>
      <c r="GB12" s="137"/>
      <c r="GC12" s="137"/>
      <c r="GD12" s="137"/>
      <c r="GE12" s="137"/>
      <c r="GF12" s="137"/>
      <c r="GG12" s="137"/>
      <c r="GH12" s="137"/>
      <c r="GI12" s="137"/>
      <c r="GJ12" s="137"/>
      <c r="GK12" s="137"/>
      <c r="GL12" s="137"/>
      <c r="GM12" s="137"/>
      <c r="GN12" s="137"/>
      <c r="GO12" s="137"/>
      <c r="GP12" s="137"/>
      <c r="GQ12" s="137"/>
      <c r="GR12" s="137"/>
      <c r="GS12" s="137"/>
      <c r="GT12" s="137"/>
      <c r="GU12" s="137"/>
      <c r="GV12" s="137"/>
      <c r="GW12" s="137"/>
      <c r="GX12" s="137"/>
      <c r="GY12" s="137"/>
      <c r="GZ12" s="137"/>
      <c r="HA12" s="137"/>
      <c r="HB12" s="137"/>
      <c r="HC12" s="137"/>
      <c r="HD12" s="137"/>
      <c r="HE12" s="137"/>
      <c r="HF12" s="137"/>
      <c r="HG12" s="137"/>
      <c r="HH12" s="137"/>
      <c r="HI12" s="137"/>
      <c r="HJ12" s="137"/>
      <c r="HK12" s="137"/>
      <c r="HL12" s="137"/>
      <c r="HM12" s="137"/>
      <c r="HN12" s="137"/>
      <c r="HO12" s="137"/>
      <c r="HP12" s="137"/>
      <c r="HQ12" s="137"/>
      <c r="HR12" s="137"/>
      <c r="HS12" s="137"/>
      <c r="HT12" s="137"/>
      <c r="HU12" s="137"/>
      <c r="HV12" s="137"/>
      <c r="HW12" s="137"/>
      <c r="HX12" s="137"/>
      <c r="HY12" s="137"/>
      <c r="HZ12" s="137"/>
      <c r="IA12" s="137"/>
      <c r="IB12" s="137"/>
      <c r="IC12" s="137"/>
      <c r="ID12" s="137"/>
      <c r="IE12" s="137"/>
      <c r="IF12" s="137"/>
      <c r="IG12" s="137"/>
      <c r="IH12" s="137"/>
      <c r="II12" s="137"/>
      <c r="IJ12" s="137"/>
      <c r="IK12" s="137"/>
      <c r="IL12" s="137"/>
      <c r="IM12" s="137"/>
      <c r="IN12" s="137"/>
      <c r="IO12" s="137"/>
      <c r="IP12" s="133"/>
      <c r="IQ12" s="133"/>
    </row>
    <row r="13" spans="1:251" ht="24.9" customHeight="1">
      <c r="A13" s="183">
        <v>9</v>
      </c>
      <c r="B13" s="142" t="s">
        <v>127</v>
      </c>
      <c r="C13" s="142">
        <v>70582</v>
      </c>
      <c r="D13" s="142">
        <v>231701</v>
      </c>
      <c r="E13" s="143">
        <v>7</v>
      </c>
      <c r="F13" s="143">
        <v>1</v>
      </c>
      <c r="G13" s="142" t="s">
        <v>127</v>
      </c>
      <c r="H13" s="142">
        <v>129023</v>
      </c>
      <c r="I13" s="144">
        <v>77525</v>
      </c>
      <c r="J13" s="184">
        <v>3</v>
      </c>
      <c r="K13" s="145">
        <v>14806</v>
      </c>
      <c r="L13" s="145">
        <v>2</v>
      </c>
      <c r="M13" s="145">
        <v>84</v>
      </c>
      <c r="N13" s="147">
        <v>3</v>
      </c>
      <c r="O13" s="123">
        <v>78</v>
      </c>
      <c r="P13" s="147">
        <v>0</v>
      </c>
      <c r="Q13" s="115">
        <v>57002</v>
      </c>
      <c r="R13" s="96">
        <v>10</v>
      </c>
      <c r="S13" s="150">
        <v>25342</v>
      </c>
      <c r="T13" s="97">
        <v>0</v>
      </c>
      <c r="U13" s="153">
        <v>9603</v>
      </c>
      <c r="V13" s="153">
        <v>1695</v>
      </c>
      <c r="W13" s="96">
        <v>0</v>
      </c>
      <c r="X13" s="150">
        <v>33105</v>
      </c>
      <c r="Y13" s="97">
        <v>6</v>
      </c>
      <c r="Z13" s="154">
        <v>7852</v>
      </c>
      <c r="AA13" s="154">
        <v>7015</v>
      </c>
      <c r="AB13" s="96">
        <v>0</v>
      </c>
      <c r="AC13" s="150">
        <v>2271</v>
      </c>
      <c r="AD13" s="150">
        <v>1602</v>
      </c>
      <c r="AE13" s="97">
        <v>2</v>
      </c>
      <c r="AF13" s="155">
        <v>10</v>
      </c>
      <c r="AG13" s="206">
        <v>199605</v>
      </c>
      <c r="AH13" s="248">
        <v>38</v>
      </c>
      <c r="AI13" s="158">
        <v>190</v>
      </c>
      <c r="AJ13" s="158">
        <v>152</v>
      </c>
      <c r="AK13" s="102">
        <v>1726065</v>
      </c>
      <c r="AL13" s="103">
        <v>951</v>
      </c>
      <c r="AM13" s="102">
        <v>61762</v>
      </c>
      <c r="AN13" s="103">
        <v>20</v>
      </c>
      <c r="AO13" s="108">
        <v>123028</v>
      </c>
      <c r="AP13" s="104">
        <v>25</v>
      </c>
      <c r="AQ13" s="108">
        <v>131322</v>
      </c>
      <c r="AR13" s="104">
        <v>0</v>
      </c>
      <c r="AS13" s="108">
        <v>1788778</v>
      </c>
      <c r="AT13" s="168">
        <v>971</v>
      </c>
      <c r="AU13" s="189">
        <v>1200</v>
      </c>
      <c r="AV13" s="158">
        <v>229</v>
      </c>
      <c r="AW13" s="109">
        <v>0</v>
      </c>
      <c r="AX13" s="109">
        <v>0</v>
      </c>
      <c r="AY13" s="109">
        <v>0</v>
      </c>
      <c r="AZ13" s="109" t="s">
        <v>160</v>
      </c>
      <c r="BA13" s="109">
        <v>100.24</v>
      </c>
      <c r="BB13" s="109">
        <v>8184</v>
      </c>
      <c r="BC13" s="107" t="s">
        <v>160</v>
      </c>
      <c r="BD13" s="108" t="s">
        <v>160</v>
      </c>
      <c r="BE13" s="159">
        <v>441056</v>
      </c>
      <c r="BF13" s="108" t="s">
        <v>161</v>
      </c>
      <c r="BG13" s="108" t="s">
        <v>162</v>
      </c>
      <c r="BH13" s="159">
        <v>8184</v>
      </c>
      <c r="BI13" s="160">
        <v>8184</v>
      </c>
      <c r="BJ13" s="161">
        <v>8158</v>
      </c>
      <c r="BK13" s="159">
        <v>358.11</v>
      </c>
      <c r="BL13" s="249">
        <v>604</v>
      </c>
      <c r="BM13" s="210">
        <v>8788</v>
      </c>
      <c r="BN13" s="198">
        <v>20400</v>
      </c>
      <c r="BO13" s="211">
        <v>11612</v>
      </c>
      <c r="BP13" s="144">
        <v>2851161</v>
      </c>
      <c r="BQ13" s="144">
        <v>19</v>
      </c>
      <c r="BR13" s="144">
        <v>3825543</v>
      </c>
      <c r="BS13" s="144">
        <v>7</v>
      </c>
      <c r="BT13" s="157">
        <v>26</v>
      </c>
      <c r="BU13" s="2">
        <v>2</v>
      </c>
      <c r="BV13" s="2">
        <v>2</v>
      </c>
      <c r="BW13" s="102" t="s">
        <v>127</v>
      </c>
      <c r="BX13" s="102" t="s">
        <v>127</v>
      </c>
      <c r="BY13" s="200"/>
      <c r="BZ13" s="137"/>
      <c r="CA13" s="137"/>
      <c r="CB13" s="137"/>
      <c r="CC13" s="200"/>
      <c r="CD13" s="200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37"/>
      <c r="DJ13" s="137"/>
      <c r="DK13" s="137"/>
      <c r="DL13" s="137"/>
      <c r="DM13" s="137"/>
      <c r="DN13" s="137"/>
      <c r="DO13" s="137"/>
      <c r="DP13" s="137"/>
      <c r="DQ13" s="137"/>
      <c r="DR13" s="137"/>
      <c r="DS13" s="137"/>
      <c r="DT13" s="137"/>
      <c r="DU13" s="137"/>
      <c r="DV13" s="137"/>
      <c r="DW13" s="137"/>
      <c r="DX13" s="137"/>
      <c r="DY13" s="137"/>
      <c r="DZ13" s="137"/>
      <c r="EA13" s="137"/>
      <c r="EB13" s="137"/>
      <c r="EC13" s="137"/>
      <c r="ED13" s="137"/>
      <c r="EE13" s="137"/>
      <c r="EF13" s="137"/>
      <c r="EG13" s="137"/>
      <c r="EH13" s="137"/>
      <c r="EI13" s="137"/>
      <c r="EJ13" s="137"/>
      <c r="EK13" s="137"/>
      <c r="EL13" s="137"/>
      <c r="EM13" s="137"/>
      <c r="EN13" s="137"/>
      <c r="EO13" s="137"/>
      <c r="EP13" s="137"/>
      <c r="EQ13" s="137"/>
      <c r="ER13" s="137"/>
      <c r="ES13" s="137"/>
      <c r="ET13" s="137"/>
      <c r="EU13" s="137"/>
      <c r="EV13" s="137"/>
      <c r="EW13" s="137"/>
      <c r="EX13" s="137"/>
      <c r="EY13" s="137"/>
      <c r="EZ13" s="137"/>
      <c r="FA13" s="137"/>
      <c r="FB13" s="137"/>
      <c r="FC13" s="137"/>
      <c r="FD13" s="137"/>
      <c r="FE13" s="137"/>
      <c r="FF13" s="137"/>
      <c r="FG13" s="137"/>
      <c r="FH13" s="137"/>
      <c r="FI13" s="137"/>
      <c r="FJ13" s="137"/>
      <c r="FK13" s="137"/>
      <c r="FL13" s="137"/>
      <c r="FM13" s="137"/>
      <c r="FN13" s="137"/>
      <c r="FO13" s="137"/>
      <c r="FP13" s="137"/>
      <c r="FQ13" s="137"/>
      <c r="FR13" s="137"/>
      <c r="FS13" s="137"/>
      <c r="FT13" s="137"/>
      <c r="FU13" s="137"/>
      <c r="FV13" s="137"/>
      <c r="FW13" s="137"/>
      <c r="FX13" s="137"/>
      <c r="FY13" s="137"/>
      <c r="FZ13" s="137"/>
      <c r="GA13" s="137"/>
      <c r="GB13" s="137"/>
      <c r="GC13" s="137"/>
      <c r="GD13" s="137"/>
      <c r="GE13" s="137"/>
      <c r="GF13" s="137"/>
      <c r="GG13" s="137"/>
      <c r="GH13" s="137"/>
      <c r="GI13" s="137"/>
      <c r="GJ13" s="137"/>
      <c r="GK13" s="137"/>
      <c r="GL13" s="137"/>
      <c r="GM13" s="137"/>
      <c r="GN13" s="137"/>
      <c r="GO13" s="137"/>
      <c r="GP13" s="137"/>
      <c r="GQ13" s="137"/>
      <c r="GR13" s="137"/>
      <c r="GS13" s="137"/>
      <c r="GT13" s="137"/>
      <c r="GU13" s="137"/>
      <c r="GV13" s="137"/>
      <c r="GW13" s="137"/>
      <c r="GX13" s="137"/>
      <c r="GY13" s="137"/>
      <c r="GZ13" s="137"/>
      <c r="HA13" s="137"/>
      <c r="HB13" s="137"/>
      <c r="HC13" s="137"/>
      <c r="HD13" s="137"/>
      <c r="HE13" s="137"/>
      <c r="HF13" s="137"/>
      <c r="HG13" s="137"/>
      <c r="HH13" s="137"/>
      <c r="HI13" s="137"/>
      <c r="HJ13" s="137"/>
      <c r="HK13" s="137"/>
      <c r="HL13" s="137"/>
      <c r="HM13" s="137"/>
      <c r="HN13" s="137"/>
      <c r="HO13" s="137"/>
      <c r="HP13" s="137"/>
      <c r="HQ13" s="137"/>
      <c r="HR13" s="137"/>
      <c r="HS13" s="137"/>
      <c r="HT13" s="137"/>
      <c r="HU13" s="137"/>
      <c r="HV13" s="137"/>
      <c r="HW13" s="137"/>
      <c r="HX13" s="137"/>
      <c r="HY13" s="137"/>
      <c r="HZ13" s="137"/>
      <c r="IA13" s="137"/>
      <c r="IB13" s="137"/>
      <c r="IC13" s="137"/>
      <c r="ID13" s="137"/>
      <c r="IE13" s="137"/>
      <c r="IF13" s="137"/>
      <c r="IG13" s="137"/>
      <c r="IH13" s="137"/>
      <c r="II13" s="137"/>
      <c r="IJ13" s="137"/>
      <c r="IK13" s="137"/>
      <c r="IL13" s="137"/>
      <c r="IM13" s="137"/>
      <c r="IN13" s="137"/>
      <c r="IO13" s="137"/>
      <c r="IP13" s="133"/>
      <c r="IQ13" s="133"/>
    </row>
    <row r="14" spans="1:251" ht="24.9" customHeight="1">
      <c r="A14" s="205">
        <v>10</v>
      </c>
      <c r="B14" s="142" t="s">
        <v>127</v>
      </c>
      <c r="C14" s="142">
        <v>70582</v>
      </c>
      <c r="D14" s="142">
        <v>231722</v>
      </c>
      <c r="E14" s="143">
        <v>21</v>
      </c>
      <c r="F14" s="143">
        <v>13</v>
      </c>
      <c r="G14" s="142" t="s">
        <v>127</v>
      </c>
      <c r="H14" s="142">
        <v>129075</v>
      </c>
      <c r="I14" s="144">
        <v>77527</v>
      </c>
      <c r="J14" s="164">
        <v>2</v>
      </c>
      <c r="K14" s="145">
        <v>14808</v>
      </c>
      <c r="L14" s="145">
        <v>2</v>
      </c>
      <c r="M14" s="145">
        <v>87</v>
      </c>
      <c r="N14" s="147">
        <v>3</v>
      </c>
      <c r="O14" s="123">
        <v>80</v>
      </c>
      <c r="P14" s="147">
        <v>2</v>
      </c>
      <c r="Q14" s="115">
        <v>57002</v>
      </c>
      <c r="R14" s="96">
        <v>0</v>
      </c>
      <c r="S14" s="150">
        <v>25342</v>
      </c>
      <c r="T14" s="97">
        <v>0</v>
      </c>
      <c r="U14" s="153">
        <v>9603</v>
      </c>
      <c r="V14" s="153">
        <v>1695</v>
      </c>
      <c r="W14" s="96">
        <v>0</v>
      </c>
      <c r="X14" s="150">
        <v>33113</v>
      </c>
      <c r="Y14" s="97">
        <v>8</v>
      </c>
      <c r="Z14" s="154">
        <v>7852</v>
      </c>
      <c r="AA14" s="154">
        <v>7015</v>
      </c>
      <c r="AB14" s="96">
        <v>0</v>
      </c>
      <c r="AC14" s="150">
        <v>2273</v>
      </c>
      <c r="AD14" s="150">
        <v>1603</v>
      </c>
      <c r="AE14" s="97">
        <v>3</v>
      </c>
      <c r="AF14" s="155">
        <v>0</v>
      </c>
      <c r="AG14" s="206">
        <v>199657</v>
      </c>
      <c r="AH14" s="250">
        <v>52</v>
      </c>
      <c r="AI14" s="158">
        <v>190</v>
      </c>
      <c r="AJ14" s="158">
        <v>138</v>
      </c>
      <c r="AK14" s="102">
        <v>1726416</v>
      </c>
      <c r="AL14" s="103">
        <v>351</v>
      </c>
      <c r="AM14" s="102">
        <v>61776</v>
      </c>
      <c r="AN14" s="103">
        <v>14</v>
      </c>
      <c r="AO14" s="108">
        <v>123028</v>
      </c>
      <c r="AP14" s="104">
        <v>0</v>
      </c>
      <c r="AQ14" s="108">
        <v>131322</v>
      </c>
      <c r="AR14" s="104">
        <v>0</v>
      </c>
      <c r="AS14" s="108">
        <v>1788543</v>
      </c>
      <c r="AT14" s="251">
        <v>365</v>
      </c>
      <c r="AU14" s="189">
        <v>1200</v>
      </c>
      <c r="AV14" s="158">
        <v>835</v>
      </c>
      <c r="AW14" s="109">
        <v>0</v>
      </c>
      <c r="AX14" s="109">
        <v>0</v>
      </c>
      <c r="AY14" s="109">
        <v>0</v>
      </c>
      <c r="AZ14" s="109" t="s">
        <v>163</v>
      </c>
      <c r="BA14" s="109">
        <v>102.64</v>
      </c>
      <c r="BB14" s="109">
        <v>10560</v>
      </c>
      <c r="BC14" s="107" t="s">
        <v>163</v>
      </c>
      <c r="BD14" s="108" t="s">
        <v>163</v>
      </c>
      <c r="BE14" s="159">
        <v>451616</v>
      </c>
      <c r="BF14" s="108" t="s">
        <v>164</v>
      </c>
      <c r="BG14" s="108" t="s">
        <v>165</v>
      </c>
      <c r="BH14" s="159">
        <v>10560</v>
      </c>
      <c r="BI14" s="160">
        <v>10560</v>
      </c>
      <c r="BJ14" s="161">
        <v>9318</v>
      </c>
      <c r="BK14" s="159">
        <v>362.23</v>
      </c>
      <c r="BL14" s="252">
        <v>412</v>
      </c>
      <c r="BM14" s="253">
        <v>10972</v>
      </c>
      <c r="BN14" s="198">
        <v>20400</v>
      </c>
      <c r="BO14" s="254">
        <v>9428</v>
      </c>
      <c r="BP14" s="144">
        <v>2851181</v>
      </c>
      <c r="BQ14" s="144">
        <v>20</v>
      </c>
      <c r="BR14" s="144">
        <v>3826765</v>
      </c>
      <c r="BS14" s="144">
        <v>1222</v>
      </c>
      <c r="BT14" s="255">
        <v>1242</v>
      </c>
      <c r="BU14" s="2">
        <v>1</v>
      </c>
      <c r="BV14" s="2">
        <v>1</v>
      </c>
      <c r="BW14" s="102" t="s">
        <v>127</v>
      </c>
      <c r="BX14" s="102" t="s">
        <v>127</v>
      </c>
      <c r="BY14" s="200"/>
      <c r="BZ14" s="137"/>
      <c r="CA14" s="137"/>
      <c r="CB14" s="137"/>
      <c r="CC14" s="200"/>
      <c r="CD14" s="200"/>
      <c r="CE14" s="137"/>
      <c r="CF14" s="137"/>
      <c r="CG14" s="137"/>
      <c r="CH14" s="137"/>
      <c r="CI14" s="137"/>
      <c r="CJ14" s="137"/>
      <c r="CK14" s="137"/>
      <c r="CL14" s="137"/>
      <c r="CM14" s="137"/>
      <c r="CN14" s="137"/>
      <c r="CO14" s="137"/>
      <c r="CP14" s="137"/>
      <c r="CQ14" s="137"/>
      <c r="CR14" s="137"/>
      <c r="CS14" s="137"/>
      <c r="CT14" s="137"/>
      <c r="CU14" s="137"/>
      <c r="CV14" s="137"/>
      <c r="CW14" s="137"/>
      <c r="CX14" s="137"/>
      <c r="CY14" s="137"/>
      <c r="CZ14" s="137"/>
      <c r="DA14" s="137"/>
      <c r="DB14" s="137"/>
      <c r="DC14" s="137"/>
      <c r="DD14" s="137"/>
      <c r="DE14" s="137"/>
      <c r="DF14" s="137"/>
      <c r="DG14" s="137"/>
      <c r="DH14" s="137"/>
      <c r="DI14" s="137"/>
      <c r="DJ14" s="137"/>
      <c r="DK14" s="137"/>
      <c r="DL14" s="137"/>
      <c r="DM14" s="137"/>
      <c r="DN14" s="137"/>
      <c r="DO14" s="137"/>
      <c r="DP14" s="137"/>
      <c r="DQ14" s="137"/>
      <c r="DR14" s="137"/>
      <c r="DS14" s="137"/>
      <c r="DT14" s="137"/>
      <c r="DU14" s="137"/>
      <c r="DV14" s="137"/>
      <c r="DW14" s="137"/>
      <c r="DX14" s="137"/>
      <c r="DY14" s="137"/>
      <c r="DZ14" s="137"/>
      <c r="EA14" s="137"/>
      <c r="EB14" s="137"/>
      <c r="EC14" s="137"/>
      <c r="ED14" s="137"/>
      <c r="EE14" s="137"/>
      <c r="EF14" s="137"/>
      <c r="EG14" s="137"/>
      <c r="EH14" s="137"/>
      <c r="EI14" s="137"/>
      <c r="EJ14" s="137"/>
      <c r="EK14" s="137"/>
      <c r="EL14" s="137"/>
      <c r="EM14" s="137"/>
      <c r="EN14" s="137"/>
      <c r="EO14" s="137"/>
      <c r="EP14" s="137"/>
      <c r="EQ14" s="137"/>
      <c r="ER14" s="137"/>
      <c r="ES14" s="137"/>
      <c r="ET14" s="137"/>
      <c r="EU14" s="137"/>
      <c r="EV14" s="137"/>
      <c r="EW14" s="137"/>
      <c r="EX14" s="137"/>
      <c r="EY14" s="137"/>
      <c r="EZ14" s="137"/>
      <c r="FA14" s="137"/>
      <c r="FB14" s="137"/>
      <c r="FC14" s="137"/>
      <c r="FD14" s="137"/>
      <c r="FE14" s="137"/>
      <c r="FF14" s="137"/>
      <c r="FG14" s="137"/>
      <c r="FH14" s="137"/>
      <c r="FI14" s="137"/>
      <c r="FJ14" s="137"/>
      <c r="FK14" s="137"/>
      <c r="FL14" s="137"/>
      <c r="FM14" s="137"/>
      <c r="FN14" s="137"/>
      <c r="FO14" s="137"/>
      <c r="FP14" s="137"/>
      <c r="FQ14" s="137"/>
      <c r="FR14" s="137"/>
      <c r="FS14" s="137"/>
      <c r="FT14" s="137"/>
      <c r="FU14" s="137"/>
      <c r="FV14" s="137"/>
      <c r="FW14" s="137"/>
      <c r="FX14" s="137"/>
      <c r="FY14" s="137"/>
      <c r="FZ14" s="137"/>
      <c r="GA14" s="137"/>
      <c r="GB14" s="137"/>
      <c r="GC14" s="137"/>
      <c r="GD14" s="137"/>
      <c r="GE14" s="137"/>
      <c r="GF14" s="137"/>
      <c r="GG14" s="137"/>
      <c r="GH14" s="137"/>
      <c r="GI14" s="137"/>
      <c r="GJ14" s="137"/>
      <c r="GK14" s="137"/>
      <c r="GL14" s="137"/>
      <c r="GM14" s="137"/>
      <c r="GN14" s="137"/>
      <c r="GO14" s="137"/>
      <c r="GP14" s="137"/>
      <c r="GQ14" s="137"/>
      <c r="GR14" s="137"/>
      <c r="GS14" s="137"/>
      <c r="GT14" s="137"/>
      <c r="GU14" s="137"/>
      <c r="GV14" s="137"/>
      <c r="GW14" s="137"/>
      <c r="GX14" s="137"/>
      <c r="GY14" s="137"/>
      <c r="GZ14" s="137"/>
      <c r="HA14" s="137"/>
      <c r="HB14" s="137"/>
      <c r="HC14" s="137"/>
      <c r="HD14" s="137"/>
      <c r="HE14" s="137"/>
      <c r="HF14" s="137"/>
      <c r="HG14" s="137"/>
      <c r="HH14" s="137"/>
      <c r="HI14" s="137"/>
      <c r="HJ14" s="137"/>
      <c r="HK14" s="137"/>
      <c r="HL14" s="137"/>
      <c r="HM14" s="137"/>
      <c r="HN14" s="137"/>
      <c r="HO14" s="137"/>
      <c r="HP14" s="137"/>
      <c r="HQ14" s="137"/>
      <c r="HR14" s="137"/>
      <c r="HS14" s="137"/>
      <c r="HT14" s="137"/>
      <c r="HU14" s="137"/>
      <c r="HV14" s="137"/>
      <c r="HW14" s="137"/>
      <c r="HX14" s="137"/>
      <c r="HY14" s="137"/>
      <c r="HZ14" s="137"/>
      <c r="IA14" s="137"/>
      <c r="IB14" s="137"/>
      <c r="IC14" s="137"/>
      <c r="ID14" s="137"/>
      <c r="IE14" s="137"/>
      <c r="IF14" s="137"/>
      <c r="IG14" s="137"/>
      <c r="IH14" s="137"/>
      <c r="II14" s="137"/>
      <c r="IJ14" s="137"/>
      <c r="IK14" s="137"/>
      <c r="IL14" s="137"/>
      <c r="IM14" s="137"/>
      <c r="IN14" s="137"/>
      <c r="IO14" s="137"/>
      <c r="IP14" s="133"/>
      <c r="IQ14" s="133"/>
    </row>
    <row r="15" spans="1:251" ht="24.9" customHeight="1">
      <c r="A15" s="205">
        <v>11</v>
      </c>
      <c r="B15" s="142" t="s">
        <v>127</v>
      </c>
      <c r="C15" s="142">
        <v>70582</v>
      </c>
      <c r="D15" s="142">
        <v>231751</v>
      </c>
      <c r="E15" s="143">
        <v>29</v>
      </c>
      <c r="F15" s="143">
        <v>8</v>
      </c>
      <c r="G15" s="142" t="s">
        <v>127</v>
      </c>
      <c r="H15" s="142">
        <v>129133</v>
      </c>
      <c r="I15" s="144">
        <v>77529</v>
      </c>
      <c r="J15" s="164">
        <v>2</v>
      </c>
      <c r="K15" s="145">
        <v>14812</v>
      </c>
      <c r="L15" s="145">
        <v>4</v>
      </c>
      <c r="M15" s="145">
        <v>91</v>
      </c>
      <c r="N15" s="147">
        <v>4</v>
      </c>
      <c r="O15" s="123">
        <v>81</v>
      </c>
      <c r="P15" s="147">
        <v>1</v>
      </c>
      <c r="Q15" s="115">
        <v>57002</v>
      </c>
      <c r="R15" s="96">
        <v>0</v>
      </c>
      <c r="S15" s="150">
        <v>25342</v>
      </c>
      <c r="T15" s="97">
        <v>0</v>
      </c>
      <c r="U15" s="153">
        <v>9603</v>
      </c>
      <c r="V15" s="153">
        <v>1695</v>
      </c>
      <c r="W15" s="96">
        <v>0</v>
      </c>
      <c r="X15" s="150">
        <v>33134</v>
      </c>
      <c r="Y15" s="97">
        <v>21</v>
      </c>
      <c r="Z15" s="154">
        <v>7852</v>
      </c>
      <c r="AA15" s="154">
        <v>7015</v>
      </c>
      <c r="AB15" s="96">
        <v>0</v>
      </c>
      <c r="AC15" s="150">
        <v>2275</v>
      </c>
      <c r="AD15" s="150">
        <v>1604</v>
      </c>
      <c r="AE15" s="97">
        <v>3</v>
      </c>
      <c r="AF15" s="155">
        <v>0</v>
      </c>
      <c r="AG15" s="206">
        <v>199715</v>
      </c>
      <c r="AH15" s="256">
        <v>58</v>
      </c>
      <c r="AI15" s="158">
        <v>190</v>
      </c>
      <c r="AJ15" s="158">
        <v>132</v>
      </c>
      <c r="AK15" s="102">
        <v>1726681</v>
      </c>
      <c r="AL15" s="103">
        <v>265</v>
      </c>
      <c r="AM15" s="102">
        <v>61791</v>
      </c>
      <c r="AN15" s="103">
        <v>15</v>
      </c>
      <c r="AO15" s="108">
        <v>123028</v>
      </c>
      <c r="AP15" s="104">
        <v>0</v>
      </c>
      <c r="AQ15" s="108">
        <v>131322</v>
      </c>
      <c r="AR15" s="104">
        <v>0</v>
      </c>
      <c r="AS15" s="108">
        <v>1788737</v>
      </c>
      <c r="AT15" s="257">
        <v>280</v>
      </c>
      <c r="AU15" s="189">
        <v>1200</v>
      </c>
      <c r="AV15" s="158">
        <v>920</v>
      </c>
      <c r="AW15" s="109">
        <v>0</v>
      </c>
      <c r="AX15" s="109">
        <v>0</v>
      </c>
      <c r="AY15" s="109">
        <v>0</v>
      </c>
      <c r="AZ15" s="109" t="s">
        <v>166</v>
      </c>
      <c r="BA15" s="109">
        <v>105.54</v>
      </c>
      <c r="BB15" s="109">
        <v>12760</v>
      </c>
      <c r="BC15" s="107" t="s">
        <v>166</v>
      </c>
      <c r="BD15" s="108" t="s">
        <v>166</v>
      </c>
      <c r="BE15" s="159">
        <v>464376</v>
      </c>
      <c r="BF15" s="108" t="s">
        <v>167</v>
      </c>
      <c r="BG15" s="108" t="s">
        <v>168</v>
      </c>
      <c r="BH15" s="159">
        <v>12760</v>
      </c>
      <c r="BI15" s="160">
        <v>12760</v>
      </c>
      <c r="BJ15" s="161">
        <v>10721</v>
      </c>
      <c r="BK15" s="159">
        <v>368.13</v>
      </c>
      <c r="BL15" s="258">
        <v>590</v>
      </c>
      <c r="BM15" s="172">
        <v>13350</v>
      </c>
      <c r="BN15" s="198">
        <v>20400</v>
      </c>
      <c r="BO15" s="259">
        <v>7050</v>
      </c>
      <c r="BP15" s="144">
        <v>2851201</v>
      </c>
      <c r="BQ15" s="144">
        <v>20</v>
      </c>
      <c r="BR15" s="144">
        <v>3828784</v>
      </c>
      <c r="BS15" s="144">
        <v>2019</v>
      </c>
      <c r="BT15" s="260">
        <v>2039</v>
      </c>
      <c r="BU15" s="2">
        <v>3</v>
      </c>
      <c r="BV15" s="2">
        <v>5</v>
      </c>
      <c r="BW15" s="102" t="s">
        <v>127</v>
      </c>
      <c r="BX15" s="108" t="s">
        <v>127</v>
      </c>
      <c r="BY15" s="200"/>
      <c r="BZ15" s="137"/>
      <c r="CA15" s="137"/>
      <c r="CB15" s="137"/>
      <c r="CC15" s="200"/>
      <c r="CD15" s="137"/>
      <c r="CE15" s="137"/>
      <c r="CF15" s="200"/>
      <c r="CG15" s="137"/>
      <c r="CH15" s="137"/>
      <c r="CI15" s="137"/>
      <c r="CJ15" s="137"/>
      <c r="CK15" s="137"/>
      <c r="CL15" s="137"/>
      <c r="CM15" s="137"/>
      <c r="CN15" s="137"/>
      <c r="CO15" s="137"/>
      <c r="CP15" s="137"/>
      <c r="CQ15" s="137"/>
      <c r="CR15" s="137"/>
      <c r="CS15" s="137"/>
      <c r="CT15" s="137"/>
      <c r="CU15" s="137"/>
      <c r="CV15" s="137"/>
      <c r="CW15" s="137"/>
      <c r="CX15" s="137"/>
      <c r="CY15" s="137"/>
      <c r="CZ15" s="137"/>
      <c r="DA15" s="137"/>
      <c r="DB15" s="137"/>
      <c r="DC15" s="137"/>
      <c r="DD15" s="137"/>
      <c r="DE15" s="137"/>
      <c r="DF15" s="137"/>
      <c r="DG15" s="137"/>
      <c r="DH15" s="137"/>
      <c r="DI15" s="137"/>
      <c r="DJ15" s="137"/>
      <c r="DK15" s="137"/>
      <c r="DL15" s="137"/>
      <c r="DM15" s="137"/>
      <c r="DN15" s="137"/>
      <c r="DO15" s="137"/>
      <c r="DP15" s="137"/>
      <c r="DQ15" s="137"/>
      <c r="DR15" s="137"/>
      <c r="DS15" s="137"/>
      <c r="DT15" s="137"/>
      <c r="DU15" s="137"/>
      <c r="DV15" s="137"/>
      <c r="DW15" s="137"/>
      <c r="DX15" s="137"/>
      <c r="DY15" s="137"/>
      <c r="DZ15" s="137"/>
      <c r="EA15" s="137"/>
      <c r="EB15" s="137"/>
      <c r="EC15" s="137"/>
      <c r="ED15" s="137"/>
      <c r="EE15" s="137"/>
      <c r="EF15" s="137"/>
      <c r="EG15" s="137"/>
      <c r="EH15" s="137"/>
      <c r="EI15" s="137"/>
      <c r="EJ15" s="137"/>
      <c r="EK15" s="137"/>
      <c r="EL15" s="137"/>
      <c r="EM15" s="137"/>
      <c r="EN15" s="137"/>
      <c r="EO15" s="137"/>
      <c r="EP15" s="137"/>
      <c r="EQ15" s="137"/>
      <c r="ER15" s="137"/>
      <c r="ES15" s="137"/>
      <c r="ET15" s="137"/>
      <c r="EU15" s="137"/>
      <c r="EV15" s="137"/>
      <c r="EW15" s="137"/>
      <c r="EX15" s="137"/>
      <c r="EY15" s="137"/>
      <c r="EZ15" s="137"/>
      <c r="FA15" s="137"/>
      <c r="FB15" s="137"/>
      <c r="FC15" s="137"/>
      <c r="FD15" s="137"/>
      <c r="FE15" s="137"/>
      <c r="FF15" s="137"/>
      <c r="FG15" s="137"/>
      <c r="FH15" s="137"/>
      <c r="FI15" s="137"/>
      <c r="FJ15" s="137"/>
      <c r="FK15" s="137"/>
      <c r="FL15" s="137"/>
      <c r="FM15" s="137"/>
      <c r="FN15" s="137"/>
      <c r="FO15" s="137"/>
      <c r="FP15" s="137"/>
      <c r="FQ15" s="137"/>
      <c r="FR15" s="137"/>
      <c r="FS15" s="137"/>
      <c r="FT15" s="137"/>
      <c r="FU15" s="137"/>
      <c r="FV15" s="137"/>
      <c r="FW15" s="137"/>
      <c r="FX15" s="137"/>
      <c r="FY15" s="137"/>
      <c r="FZ15" s="137"/>
      <c r="GA15" s="137"/>
      <c r="GB15" s="137"/>
      <c r="GC15" s="137"/>
      <c r="GD15" s="137"/>
      <c r="GE15" s="137"/>
      <c r="GF15" s="137"/>
      <c r="GG15" s="137"/>
      <c r="GH15" s="137"/>
      <c r="GI15" s="137"/>
      <c r="GJ15" s="137"/>
      <c r="GK15" s="137"/>
      <c r="GL15" s="137"/>
      <c r="GM15" s="137"/>
      <c r="GN15" s="137"/>
      <c r="GO15" s="137"/>
      <c r="GP15" s="137"/>
      <c r="GQ15" s="137"/>
      <c r="GR15" s="137"/>
      <c r="GS15" s="137"/>
      <c r="GT15" s="137"/>
      <c r="GU15" s="137"/>
      <c r="GV15" s="137"/>
      <c r="GW15" s="137"/>
      <c r="GX15" s="137"/>
      <c r="GY15" s="137"/>
      <c r="GZ15" s="137"/>
      <c r="HA15" s="137"/>
      <c r="HB15" s="137"/>
      <c r="HC15" s="137"/>
      <c r="HD15" s="137"/>
      <c r="HE15" s="137"/>
      <c r="HF15" s="137"/>
      <c r="HG15" s="137"/>
      <c r="HH15" s="137"/>
      <c r="HI15" s="137"/>
      <c r="HJ15" s="137"/>
      <c r="HK15" s="137"/>
      <c r="HL15" s="137"/>
      <c r="HM15" s="137"/>
      <c r="HN15" s="137"/>
      <c r="HO15" s="137"/>
      <c r="HP15" s="137"/>
      <c r="HQ15" s="137"/>
      <c r="HR15" s="137"/>
      <c r="HS15" s="137"/>
      <c r="HT15" s="137"/>
      <c r="HU15" s="137"/>
      <c r="HV15" s="137"/>
      <c r="HW15" s="137"/>
      <c r="HX15" s="137"/>
      <c r="HY15" s="137"/>
      <c r="HZ15" s="137"/>
      <c r="IA15" s="137"/>
      <c r="IB15" s="137"/>
      <c r="IC15" s="137"/>
      <c r="ID15" s="137"/>
      <c r="IE15" s="137"/>
      <c r="IF15" s="137"/>
      <c r="IG15" s="137"/>
      <c r="IH15" s="137"/>
      <c r="II15" s="137"/>
      <c r="IJ15" s="137"/>
      <c r="IK15" s="137"/>
      <c r="IL15" s="137"/>
      <c r="IM15" s="137"/>
      <c r="IN15" s="137"/>
      <c r="IO15" s="137"/>
      <c r="IP15" s="133"/>
      <c r="IQ15" s="133"/>
    </row>
    <row r="16" spans="1:251" ht="24.9" customHeight="1">
      <c r="A16" s="205">
        <v>12</v>
      </c>
      <c r="B16" s="142" t="s">
        <v>127</v>
      </c>
      <c r="C16" s="142">
        <v>70582</v>
      </c>
      <c r="D16" s="142">
        <v>231788</v>
      </c>
      <c r="E16" s="143">
        <v>37</v>
      </c>
      <c r="F16" s="143">
        <v>11</v>
      </c>
      <c r="G16" s="142" t="s">
        <v>127</v>
      </c>
      <c r="H16" s="142">
        <v>129195</v>
      </c>
      <c r="I16" s="144">
        <v>77531</v>
      </c>
      <c r="J16" s="164">
        <v>2</v>
      </c>
      <c r="K16" s="145">
        <v>14815</v>
      </c>
      <c r="L16" s="145">
        <v>3</v>
      </c>
      <c r="M16" s="145">
        <v>95</v>
      </c>
      <c r="N16" s="147">
        <v>4</v>
      </c>
      <c r="O16" s="123">
        <v>82</v>
      </c>
      <c r="P16" s="147">
        <v>1</v>
      </c>
      <c r="Q16" s="115">
        <v>57002</v>
      </c>
      <c r="R16" s="96">
        <v>0</v>
      </c>
      <c r="S16" s="150">
        <v>25342</v>
      </c>
      <c r="T16" s="97">
        <v>0</v>
      </c>
      <c r="U16" s="153">
        <v>9603</v>
      </c>
      <c r="V16" s="153">
        <v>1695</v>
      </c>
      <c r="W16" s="96">
        <v>0</v>
      </c>
      <c r="X16" s="150">
        <v>33160</v>
      </c>
      <c r="Y16" s="97">
        <v>26</v>
      </c>
      <c r="Z16" s="154">
        <v>7853</v>
      </c>
      <c r="AA16" s="154">
        <v>7015</v>
      </c>
      <c r="AB16" s="96">
        <v>1</v>
      </c>
      <c r="AC16" s="150">
        <v>2277</v>
      </c>
      <c r="AD16" s="150">
        <v>1606</v>
      </c>
      <c r="AE16" s="97">
        <v>4</v>
      </c>
      <c r="AF16" s="155">
        <v>0</v>
      </c>
      <c r="AG16" s="206">
        <v>199777</v>
      </c>
      <c r="AH16" s="261">
        <v>62</v>
      </c>
      <c r="AI16" s="158">
        <v>190</v>
      </c>
      <c r="AJ16" s="158">
        <v>128</v>
      </c>
      <c r="AK16" s="102">
        <v>1727102</v>
      </c>
      <c r="AL16" s="103">
        <v>421</v>
      </c>
      <c r="AM16" s="102">
        <v>61813</v>
      </c>
      <c r="AN16" s="103">
        <v>22</v>
      </c>
      <c r="AO16" s="108">
        <v>123028</v>
      </c>
      <c r="AP16" s="104">
        <v>0</v>
      </c>
      <c r="AQ16" s="108">
        <v>131322</v>
      </c>
      <c r="AR16" s="104">
        <v>0</v>
      </c>
      <c r="AS16" s="108">
        <v>1789336</v>
      </c>
      <c r="AT16" s="262">
        <v>443</v>
      </c>
      <c r="AU16" s="189">
        <v>1200</v>
      </c>
      <c r="AV16" s="158">
        <v>757</v>
      </c>
      <c r="AW16" s="109">
        <v>0</v>
      </c>
      <c r="AX16" s="109">
        <v>0</v>
      </c>
      <c r="AY16" s="109">
        <v>0</v>
      </c>
      <c r="AZ16" s="109" t="s">
        <v>169</v>
      </c>
      <c r="BA16" s="109">
        <v>108.71</v>
      </c>
      <c r="BB16" s="109">
        <v>13948</v>
      </c>
      <c r="BC16" s="107" t="s">
        <v>169</v>
      </c>
      <c r="BD16" s="108" t="s">
        <v>169</v>
      </c>
      <c r="BE16" s="159">
        <v>478324</v>
      </c>
      <c r="BF16" s="108" t="s">
        <v>170</v>
      </c>
      <c r="BG16" s="108" t="s">
        <v>171</v>
      </c>
      <c r="BH16" s="159">
        <v>13948</v>
      </c>
      <c r="BI16" s="160">
        <v>13948</v>
      </c>
      <c r="BJ16" s="161">
        <v>11153</v>
      </c>
      <c r="BK16" s="159">
        <v>373.98</v>
      </c>
      <c r="BL16" s="263">
        <v>585</v>
      </c>
      <c r="BM16" s="264">
        <v>14533</v>
      </c>
      <c r="BN16" s="198">
        <v>20400</v>
      </c>
      <c r="BO16" s="265">
        <v>5867</v>
      </c>
      <c r="BP16" s="144">
        <v>2851221</v>
      </c>
      <c r="BQ16" s="144">
        <v>20</v>
      </c>
      <c r="BR16" s="144">
        <v>3831559</v>
      </c>
      <c r="BS16" s="144">
        <v>2775</v>
      </c>
      <c r="BT16" s="266">
        <v>2795</v>
      </c>
      <c r="BU16" s="2">
        <v>6</v>
      </c>
      <c r="BV16" s="2">
        <v>12</v>
      </c>
      <c r="BW16" s="102" t="s">
        <v>127</v>
      </c>
      <c r="BX16" s="108" t="s">
        <v>127</v>
      </c>
      <c r="BY16" s="169" t="s">
        <v>127</v>
      </c>
      <c r="BZ16" s="137"/>
      <c r="CA16" s="137"/>
      <c r="CB16" s="137"/>
      <c r="CC16" s="200"/>
      <c r="CD16" s="200"/>
      <c r="CE16" s="137"/>
      <c r="CF16" s="26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37"/>
      <c r="DJ16" s="137"/>
      <c r="DK16" s="137"/>
      <c r="DL16" s="137"/>
      <c r="DM16" s="137"/>
      <c r="DN16" s="137"/>
      <c r="DO16" s="137"/>
      <c r="DP16" s="137"/>
      <c r="DQ16" s="137"/>
      <c r="DR16" s="137"/>
      <c r="DS16" s="137"/>
      <c r="DT16" s="137"/>
      <c r="DU16" s="137"/>
      <c r="DV16" s="137"/>
      <c r="DW16" s="137"/>
      <c r="DX16" s="137"/>
      <c r="DY16" s="137"/>
      <c r="DZ16" s="137"/>
      <c r="EA16" s="137"/>
      <c r="EB16" s="137"/>
      <c r="EC16" s="137"/>
      <c r="ED16" s="137"/>
      <c r="EE16" s="137"/>
      <c r="EF16" s="137"/>
      <c r="EG16" s="137"/>
      <c r="EH16" s="137"/>
      <c r="EI16" s="137"/>
      <c r="EJ16" s="137"/>
      <c r="EK16" s="137"/>
      <c r="EL16" s="137"/>
      <c r="EM16" s="137"/>
      <c r="EN16" s="137"/>
      <c r="EO16" s="137"/>
      <c r="EP16" s="137"/>
      <c r="EQ16" s="137"/>
      <c r="ER16" s="137"/>
      <c r="ES16" s="137"/>
      <c r="ET16" s="137"/>
      <c r="EU16" s="137"/>
      <c r="EV16" s="137"/>
      <c r="EW16" s="137"/>
      <c r="EX16" s="137"/>
      <c r="EY16" s="137"/>
      <c r="EZ16" s="137"/>
      <c r="FA16" s="137"/>
      <c r="FB16" s="137"/>
      <c r="FC16" s="137"/>
      <c r="FD16" s="137"/>
      <c r="FE16" s="137"/>
      <c r="FF16" s="137"/>
      <c r="FG16" s="137"/>
      <c r="FH16" s="137"/>
      <c r="FI16" s="137"/>
      <c r="FJ16" s="137"/>
      <c r="FK16" s="137"/>
      <c r="FL16" s="137"/>
      <c r="FM16" s="137"/>
      <c r="FN16" s="137"/>
      <c r="FO16" s="137"/>
      <c r="FP16" s="137"/>
      <c r="FQ16" s="137"/>
      <c r="FR16" s="137"/>
      <c r="FS16" s="137"/>
      <c r="FT16" s="137"/>
      <c r="FU16" s="137"/>
      <c r="FV16" s="137"/>
      <c r="FW16" s="137"/>
      <c r="FX16" s="137"/>
      <c r="FY16" s="137"/>
      <c r="FZ16" s="137"/>
      <c r="GA16" s="137"/>
      <c r="GB16" s="137"/>
      <c r="GC16" s="137"/>
      <c r="GD16" s="137"/>
      <c r="GE16" s="137"/>
      <c r="GF16" s="137"/>
      <c r="GG16" s="137"/>
      <c r="GH16" s="137"/>
      <c r="GI16" s="137"/>
      <c r="GJ16" s="137"/>
      <c r="GK16" s="137"/>
      <c r="GL16" s="137"/>
      <c r="GM16" s="137"/>
      <c r="GN16" s="137"/>
      <c r="GO16" s="137"/>
      <c r="GP16" s="137"/>
      <c r="GQ16" s="137"/>
      <c r="GR16" s="137"/>
      <c r="GS16" s="137"/>
      <c r="GT16" s="137"/>
      <c r="GU16" s="137"/>
      <c r="GV16" s="137"/>
      <c r="GW16" s="137"/>
      <c r="GX16" s="137"/>
      <c r="GY16" s="137"/>
      <c r="GZ16" s="137"/>
      <c r="HA16" s="137"/>
      <c r="HB16" s="137"/>
      <c r="HC16" s="137"/>
      <c r="HD16" s="137"/>
      <c r="HE16" s="137"/>
      <c r="HF16" s="137"/>
      <c r="HG16" s="137"/>
      <c r="HH16" s="137"/>
      <c r="HI16" s="137"/>
      <c r="HJ16" s="137"/>
      <c r="HK16" s="137"/>
      <c r="HL16" s="137"/>
      <c r="HM16" s="137"/>
      <c r="HN16" s="137"/>
      <c r="HO16" s="137"/>
      <c r="HP16" s="137"/>
      <c r="HQ16" s="137"/>
      <c r="HR16" s="137"/>
      <c r="HS16" s="137"/>
      <c r="HT16" s="137"/>
      <c r="HU16" s="137"/>
      <c r="HV16" s="137"/>
      <c r="HW16" s="137"/>
      <c r="HX16" s="137"/>
      <c r="HY16" s="137"/>
      <c r="HZ16" s="137"/>
      <c r="IA16" s="137"/>
      <c r="IB16" s="137"/>
      <c r="IC16" s="137"/>
      <c r="ID16" s="137"/>
      <c r="IE16" s="137"/>
      <c r="IF16" s="137"/>
      <c r="IG16" s="137"/>
      <c r="IH16" s="137"/>
      <c r="II16" s="137"/>
      <c r="IJ16" s="137"/>
      <c r="IK16" s="137"/>
      <c r="IL16" s="137"/>
      <c r="IM16" s="137"/>
      <c r="IN16" s="137"/>
      <c r="IO16" s="137"/>
      <c r="IP16" s="133"/>
      <c r="IQ16" s="133"/>
    </row>
    <row r="17" spans="1:251" ht="24.9" customHeight="1">
      <c r="A17" s="183">
        <v>13</v>
      </c>
      <c r="B17" s="142" t="s">
        <v>127</v>
      </c>
      <c r="C17" s="142">
        <v>70582</v>
      </c>
      <c r="D17" s="142">
        <v>231819</v>
      </c>
      <c r="E17" s="143">
        <v>31</v>
      </c>
      <c r="F17" s="143">
        <v>8</v>
      </c>
      <c r="G17" s="142" t="s">
        <v>127</v>
      </c>
      <c r="H17" s="142">
        <v>129257</v>
      </c>
      <c r="I17" s="144">
        <v>77533</v>
      </c>
      <c r="J17" s="164">
        <v>2</v>
      </c>
      <c r="K17" s="145">
        <v>14818</v>
      </c>
      <c r="L17" s="145">
        <v>3</v>
      </c>
      <c r="M17" s="145">
        <v>98</v>
      </c>
      <c r="N17" s="147">
        <v>3</v>
      </c>
      <c r="O17" s="123">
        <v>83</v>
      </c>
      <c r="P17" s="147">
        <v>1</v>
      </c>
      <c r="Q17" s="115">
        <v>57002</v>
      </c>
      <c r="R17" s="96">
        <v>0</v>
      </c>
      <c r="S17" s="150">
        <v>25342</v>
      </c>
      <c r="T17" s="97">
        <v>0</v>
      </c>
      <c r="U17" s="153">
        <v>9603</v>
      </c>
      <c r="V17" s="153">
        <v>1695</v>
      </c>
      <c r="W17" s="96">
        <v>0</v>
      </c>
      <c r="X17" s="268">
        <v>33183</v>
      </c>
      <c r="Y17" s="97">
        <v>23</v>
      </c>
      <c r="Z17" s="154">
        <v>7853</v>
      </c>
      <c r="AA17" s="154">
        <v>7015</v>
      </c>
      <c r="AB17" s="96">
        <v>0</v>
      </c>
      <c r="AC17" s="268">
        <v>2278</v>
      </c>
      <c r="AD17" s="268">
        <v>1607</v>
      </c>
      <c r="AE17" s="97">
        <v>2</v>
      </c>
      <c r="AF17" s="155">
        <v>0</v>
      </c>
      <c r="AG17" s="206">
        <v>199839</v>
      </c>
      <c r="AH17" s="261">
        <v>62</v>
      </c>
      <c r="AI17" s="158">
        <v>190</v>
      </c>
      <c r="AJ17" s="158">
        <v>128</v>
      </c>
      <c r="AK17" s="102">
        <v>1727425</v>
      </c>
      <c r="AL17" s="103">
        <v>323</v>
      </c>
      <c r="AM17" s="102">
        <v>61833</v>
      </c>
      <c r="AN17" s="103">
        <v>20</v>
      </c>
      <c r="AO17" s="108">
        <v>123028</v>
      </c>
      <c r="AP17" s="104">
        <v>0</v>
      </c>
      <c r="AQ17" s="108">
        <v>131322</v>
      </c>
      <c r="AR17" s="104">
        <v>0</v>
      </c>
      <c r="AS17" s="108">
        <v>1789581</v>
      </c>
      <c r="AT17" s="269">
        <v>343</v>
      </c>
      <c r="AU17" s="189">
        <v>1200</v>
      </c>
      <c r="AV17" s="158">
        <v>857</v>
      </c>
      <c r="AW17" s="109">
        <v>0</v>
      </c>
      <c r="AX17" s="109">
        <v>0</v>
      </c>
      <c r="AY17" s="109">
        <v>0</v>
      </c>
      <c r="AZ17" s="109" t="s">
        <v>172</v>
      </c>
      <c r="BA17" s="109">
        <v>111.68</v>
      </c>
      <c r="BB17" s="109">
        <v>13068</v>
      </c>
      <c r="BC17" s="107" t="s">
        <v>172</v>
      </c>
      <c r="BD17" s="108" t="s">
        <v>172</v>
      </c>
      <c r="BE17" s="159">
        <v>491392</v>
      </c>
      <c r="BF17" s="108" t="s">
        <v>173</v>
      </c>
      <c r="BG17" s="108" t="s">
        <v>174</v>
      </c>
      <c r="BH17" s="159">
        <v>13068</v>
      </c>
      <c r="BI17" s="160">
        <v>13068</v>
      </c>
      <c r="BJ17" s="161">
        <v>10633</v>
      </c>
      <c r="BK17" s="159">
        <v>378.31</v>
      </c>
      <c r="BL17" s="228">
        <v>433</v>
      </c>
      <c r="BM17" s="171">
        <v>13501</v>
      </c>
      <c r="BN17" s="198">
        <v>20400</v>
      </c>
      <c r="BO17" s="270">
        <v>6899</v>
      </c>
      <c r="BP17" s="144">
        <v>2851241</v>
      </c>
      <c r="BQ17" s="144">
        <v>20</v>
      </c>
      <c r="BR17" s="144">
        <v>3833974</v>
      </c>
      <c r="BS17" s="144">
        <v>2415</v>
      </c>
      <c r="BT17" s="271">
        <v>2435</v>
      </c>
      <c r="BU17" s="2">
        <v>1</v>
      </c>
      <c r="BV17" s="2">
        <v>2</v>
      </c>
      <c r="BW17" s="102" t="s">
        <v>127</v>
      </c>
      <c r="BX17" s="108" t="s">
        <v>127</v>
      </c>
      <c r="BY17" s="169" t="s">
        <v>127</v>
      </c>
      <c r="BZ17" s="137"/>
      <c r="CA17" s="137"/>
      <c r="CB17" s="137"/>
      <c r="CC17" s="200"/>
      <c r="CD17" s="137"/>
      <c r="CE17" s="267"/>
      <c r="CF17" s="137"/>
      <c r="CG17" s="137"/>
      <c r="CH17" s="137"/>
      <c r="CI17" s="137"/>
      <c r="CJ17" s="137"/>
      <c r="CK17" s="137"/>
      <c r="CL17" s="137"/>
      <c r="CM17" s="137"/>
      <c r="CN17" s="137"/>
      <c r="CO17" s="137"/>
      <c r="CP17" s="137"/>
      <c r="CQ17" s="137"/>
      <c r="CR17" s="137"/>
      <c r="CS17" s="137"/>
      <c r="CT17" s="137"/>
      <c r="CU17" s="137"/>
      <c r="CV17" s="137"/>
      <c r="CW17" s="137"/>
      <c r="CX17" s="137"/>
      <c r="CY17" s="137"/>
      <c r="CZ17" s="137"/>
      <c r="DA17" s="137"/>
      <c r="DB17" s="137"/>
      <c r="DC17" s="137"/>
      <c r="DD17" s="137"/>
      <c r="DE17" s="137"/>
      <c r="DF17" s="137"/>
      <c r="DG17" s="137"/>
      <c r="DH17" s="137"/>
      <c r="DI17" s="137"/>
      <c r="DJ17" s="137"/>
      <c r="DK17" s="137"/>
      <c r="DL17" s="137"/>
      <c r="DM17" s="137"/>
      <c r="DN17" s="137"/>
      <c r="DO17" s="137"/>
      <c r="DP17" s="137"/>
      <c r="DQ17" s="137"/>
      <c r="DR17" s="137"/>
      <c r="DS17" s="137"/>
      <c r="DT17" s="137"/>
      <c r="DU17" s="137"/>
      <c r="DV17" s="137"/>
      <c r="DW17" s="137"/>
      <c r="DX17" s="137"/>
      <c r="DY17" s="137"/>
      <c r="DZ17" s="137"/>
      <c r="EA17" s="137"/>
      <c r="EB17" s="137"/>
      <c r="EC17" s="137"/>
      <c r="ED17" s="137"/>
      <c r="EE17" s="137"/>
      <c r="EF17" s="137"/>
      <c r="EG17" s="137"/>
      <c r="EH17" s="137"/>
      <c r="EI17" s="137"/>
      <c r="EJ17" s="137"/>
      <c r="EK17" s="137"/>
      <c r="EL17" s="137"/>
      <c r="EM17" s="137"/>
      <c r="EN17" s="137"/>
      <c r="EO17" s="137"/>
      <c r="EP17" s="137"/>
      <c r="EQ17" s="137"/>
      <c r="ER17" s="137"/>
      <c r="ES17" s="137"/>
      <c r="ET17" s="137"/>
      <c r="EU17" s="137"/>
      <c r="EV17" s="137"/>
      <c r="EW17" s="137"/>
      <c r="EX17" s="137"/>
      <c r="EY17" s="137"/>
      <c r="EZ17" s="137"/>
      <c r="FA17" s="137"/>
      <c r="FB17" s="137"/>
      <c r="FC17" s="137"/>
      <c r="FD17" s="137"/>
      <c r="FE17" s="137"/>
      <c r="FF17" s="137"/>
      <c r="FG17" s="137"/>
      <c r="FH17" s="137"/>
      <c r="FI17" s="137"/>
      <c r="FJ17" s="137"/>
      <c r="FK17" s="137"/>
      <c r="FL17" s="137"/>
      <c r="FM17" s="137"/>
      <c r="FN17" s="137"/>
      <c r="FO17" s="137"/>
      <c r="FP17" s="137"/>
      <c r="FQ17" s="137"/>
      <c r="FR17" s="137"/>
      <c r="FS17" s="137"/>
      <c r="FT17" s="137"/>
      <c r="FU17" s="137"/>
      <c r="FV17" s="137"/>
      <c r="FW17" s="137"/>
      <c r="FX17" s="137"/>
      <c r="FY17" s="137"/>
      <c r="FZ17" s="137"/>
      <c r="GA17" s="137"/>
      <c r="GB17" s="137"/>
      <c r="GC17" s="137"/>
      <c r="GD17" s="137"/>
      <c r="GE17" s="137"/>
      <c r="GF17" s="137"/>
      <c r="GG17" s="137"/>
      <c r="GH17" s="137"/>
      <c r="GI17" s="137"/>
      <c r="GJ17" s="137"/>
      <c r="GK17" s="137"/>
      <c r="GL17" s="137"/>
      <c r="GM17" s="137"/>
      <c r="GN17" s="137"/>
      <c r="GO17" s="137"/>
      <c r="GP17" s="137"/>
      <c r="GQ17" s="137"/>
      <c r="GR17" s="137"/>
      <c r="GS17" s="137"/>
      <c r="GT17" s="137"/>
      <c r="GU17" s="137"/>
      <c r="GV17" s="137"/>
      <c r="GW17" s="137"/>
      <c r="GX17" s="137"/>
      <c r="GY17" s="137"/>
      <c r="GZ17" s="137"/>
      <c r="HA17" s="137"/>
      <c r="HB17" s="137"/>
      <c r="HC17" s="137"/>
      <c r="HD17" s="137"/>
      <c r="HE17" s="137"/>
      <c r="HF17" s="137"/>
      <c r="HG17" s="137"/>
      <c r="HH17" s="137"/>
      <c r="HI17" s="137"/>
      <c r="HJ17" s="137"/>
      <c r="HK17" s="137"/>
      <c r="HL17" s="137"/>
      <c r="HM17" s="137"/>
      <c r="HN17" s="137"/>
      <c r="HO17" s="137"/>
      <c r="HP17" s="137"/>
      <c r="HQ17" s="137"/>
      <c r="HR17" s="137"/>
      <c r="HS17" s="137"/>
      <c r="HT17" s="137"/>
      <c r="HU17" s="137"/>
      <c r="HV17" s="137"/>
      <c r="HW17" s="137"/>
      <c r="HX17" s="137"/>
      <c r="HY17" s="137"/>
      <c r="HZ17" s="137"/>
      <c r="IA17" s="137"/>
      <c r="IB17" s="137"/>
      <c r="IC17" s="137"/>
      <c r="ID17" s="137"/>
      <c r="IE17" s="137"/>
      <c r="IF17" s="137"/>
      <c r="IG17" s="137"/>
      <c r="IH17" s="137"/>
      <c r="II17" s="137"/>
      <c r="IJ17" s="137"/>
      <c r="IK17" s="137"/>
      <c r="IL17" s="137"/>
      <c r="IM17" s="137"/>
      <c r="IN17" s="137"/>
      <c r="IO17" s="137"/>
      <c r="IP17" s="133"/>
      <c r="IQ17" s="133"/>
    </row>
    <row r="18" spans="1:251" ht="24.9" customHeight="1">
      <c r="A18" s="205">
        <v>14</v>
      </c>
      <c r="B18" s="142" t="s">
        <v>127</v>
      </c>
      <c r="C18" s="142">
        <v>70582</v>
      </c>
      <c r="D18" s="142">
        <v>231845</v>
      </c>
      <c r="E18" s="143">
        <v>26</v>
      </c>
      <c r="F18" s="143">
        <v>7</v>
      </c>
      <c r="G18" s="142" t="s">
        <v>127</v>
      </c>
      <c r="H18" s="142">
        <v>129303</v>
      </c>
      <c r="I18" s="144">
        <v>77535</v>
      </c>
      <c r="J18" s="164">
        <v>2</v>
      </c>
      <c r="K18" s="145">
        <v>14821</v>
      </c>
      <c r="L18" s="145">
        <v>3</v>
      </c>
      <c r="M18" s="145">
        <v>101</v>
      </c>
      <c r="N18" s="147">
        <v>3</v>
      </c>
      <c r="O18" s="123">
        <v>84</v>
      </c>
      <c r="P18" s="147">
        <v>1</v>
      </c>
      <c r="Q18" s="115">
        <v>57002</v>
      </c>
      <c r="R18" s="96">
        <v>0</v>
      </c>
      <c r="S18" s="150">
        <v>25342</v>
      </c>
      <c r="T18" s="97">
        <v>0</v>
      </c>
      <c r="U18" s="153">
        <v>9603</v>
      </c>
      <c r="V18" s="153">
        <v>1695</v>
      </c>
      <c r="W18" s="96">
        <v>0</v>
      </c>
      <c r="X18" s="268">
        <v>33202</v>
      </c>
      <c r="Y18" s="97">
        <v>19</v>
      </c>
      <c r="Z18" s="154">
        <v>7853</v>
      </c>
      <c r="AA18" s="154">
        <v>7015</v>
      </c>
      <c r="AB18" s="96">
        <v>0</v>
      </c>
      <c r="AC18" s="268">
        <v>2279</v>
      </c>
      <c r="AD18" s="268">
        <v>1607</v>
      </c>
      <c r="AE18" s="97">
        <v>1</v>
      </c>
      <c r="AF18" s="155">
        <v>0</v>
      </c>
      <c r="AG18" s="206">
        <v>199885</v>
      </c>
      <c r="AH18" s="272">
        <v>46</v>
      </c>
      <c r="AI18" s="158">
        <v>190</v>
      </c>
      <c r="AJ18" s="158">
        <v>144</v>
      </c>
      <c r="AK18" s="102">
        <v>1727744</v>
      </c>
      <c r="AL18" s="103">
        <v>319</v>
      </c>
      <c r="AM18" s="102">
        <v>61851</v>
      </c>
      <c r="AN18" s="103">
        <v>18</v>
      </c>
      <c r="AO18" s="108">
        <v>123028</v>
      </c>
      <c r="AP18" s="104">
        <v>0</v>
      </c>
      <c r="AQ18" s="108">
        <v>131322</v>
      </c>
      <c r="AR18" s="104">
        <v>0</v>
      </c>
      <c r="AS18" s="108">
        <v>1789914</v>
      </c>
      <c r="AT18" s="273">
        <v>337</v>
      </c>
      <c r="AU18" s="189">
        <v>1200</v>
      </c>
      <c r="AV18" s="158">
        <v>863</v>
      </c>
      <c r="AW18" s="109">
        <v>0</v>
      </c>
      <c r="AX18" s="109">
        <v>0</v>
      </c>
      <c r="AY18" s="109">
        <v>0</v>
      </c>
      <c r="AZ18" s="109" t="s">
        <v>175</v>
      </c>
      <c r="BA18" s="109">
        <v>114.6</v>
      </c>
      <c r="BB18" s="109">
        <v>12848</v>
      </c>
      <c r="BC18" s="107" t="s">
        <v>175</v>
      </c>
      <c r="BD18" s="108" t="s">
        <v>175</v>
      </c>
      <c r="BE18" s="159">
        <v>504240</v>
      </c>
      <c r="BF18" s="108" t="s">
        <v>176</v>
      </c>
      <c r="BG18" s="108" t="s">
        <v>177</v>
      </c>
      <c r="BH18" s="159">
        <v>12848</v>
      </c>
      <c r="BI18" s="160">
        <v>12848</v>
      </c>
      <c r="BJ18" s="161">
        <v>10499</v>
      </c>
      <c r="BK18" s="159">
        <v>382.96</v>
      </c>
      <c r="BL18" s="274">
        <v>465</v>
      </c>
      <c r="BM18" s="259">
        <v>13313</v>
      </c>
      <c r="BN18" s="198">
        <v>20400</v>
      </c>
      <c r="BO18" s="172">
        <v>7087</v>
      </c>
      <c r="BP18" s="144">
        <v>2851261</v>
      </c>
      <c r="BQ18" s="144">
        <v>20</v>
      </c>
      <c r="BR18" s="144">
        <v>3836303</v>
      </c>
      <c r="BS18" s="144">
        <v>2329</v>
      </c>
      <c r="BT18" s="243">
        <v>2349</v>
      </c>
      <c r="BU18" s="2">
        <v>0</v>
      </c>
      <c r="BV18" s="2">
        <v>0</v>
      </c>
      <c r="BW18" s="102" t="s">
        <v>127</v>
      </c>
      <c r="BX18" s="108" t="s">
        <v>127</v>
      </c>
      <c r="BY18" s="169" t="s">
        <v>127</v>
      </c>
      <c r="BZ18" s="137"/>
      <c r="CA18" s="137"/>
      <c r="CB18" s="137"/>
      <c r="CC18" s="200"/>
      <c r="CD18" s="137"/>
      <c r="CE18" s="267"/>
      <c r="CF18" s="137"/>
      <c r="CG18" s="137"/>
      <c r="CH18" s="137"/>
      <c r="CI18" s="137"/>
      <c r="CJ18" s="137"/>
      <c r="CK18" s="137"/>
      <c r="CL18" s="137"/>
      <c r="CM18" s="137"/>
      <c r="CN18" s="137"/>
      <c r="CO18" s="137"/>
      <c r="CP18" s="137"/>
      <c r="CQ18" s="137"/>
      <c r="CR18" s="137"/>
      <c r="CS18" s="137"/>
      <c r="CT18" s="137"/>
      <c r="CU18" s="137"/>
      <c r="CV18" s="137"/>
      <c r="CW18" s="137"/>
      <c r="CX18" s="137"/>
      <c r="CY18" s="137"/>
      <c r="CZ18" s="137"/>
      <c r="DA18" s="137"/>
      <c r="DB18" s="137"/>
      <c r="DC18" s="137"/>
      <c r="DD18" s="137"/>
      <c r="DE18" s="137"/>
      <c r="DF18" s="137"/>
      <c r="DG18" s="137"/>
      <c r="DH18" s="137"/>
      <c r="DI18" s="137"/>
      <c r="DJ18" s="137"/>
      <c r="DK18" s="137"/>
      <c r="DL18" s="137"/>
      <c r="DM18" s="137"/>
      <c r="DN18" s="137"/>
      <c r="DO18" s="137"/>
      <c r="DP18" s="137"/>
      <c r="DQ18" s="137"/>
      <c r="DR18" s="137"/>
      <c r="DS18" s="137"/>
      <c r="DT18" s="137"/>
      <c r="DU18" s="137"/>
      <c r="DV18" s="137"/>
      <c r="DW18" s="137"/>
      <c r="DX18" s="137"/>
      <c r="DY18" s="137"/>
      <c r="DZ18" s="137"/>
      <c r="EA18" s="137"/>
      <c r="EB18" s="137"/>
      <c r="EC18" s="137"/>
      <c r="ED18" s="137"/>
      <c r="EE18" s="137"/>
      <c r="EF18" s="137"/>
      <c r="EG18" s="137"/>
      <c r="EH18" s="137"/>
      <c r="EI18" s="137"/>
      <c r="EJ18" s="137"/>
      <c r="EK18" s="137"/>
      <c r="EL18" s="137"/>
      <c r="EM18" s="137"/>
      <c r="EN18" s="137"/>
      <c r="EO18" s="137"/>
      <c r="EP18" s="137"/>
      <c r="EQ18" s="137"/>
      <c r="ER18" s="137"/>
      <c r="ES18" s="137"/>
      <c r="ET18" s="137"/>
      <c r="EU18" s="137"/>
      <c r="EV18" s="137"/>
      <c r="EW18" s="137"/>
      <c r="EX18" s="137"/>
      <c r="EY18" s="137"/>
      <c r="EZ18" s="137"/>
      <c r="FA18" s="137"/>
      <c r="FB18" s="137"/>
      <c r="FC18" s="137"/>
      <c r="FD18" s="137"/>
      <c r="FE18" s="137"/>
      <c r="FF18" s="137"/>
      <c r="FG18" s="137"/>
      <c r="FH18" s="137"/>
      <c r="FI18" s="137"/>
      <c r="FJ18" s="137"/>
      <c r="FK18" s="137"/>
      <c r="FL18" s="137"/>
      <c r="FM18" s="137"/>
      <c r="FN18" s="137"/>
      <c r="FO18" s="137"/>
      <c r="FP18" s="137"/>
      <c r="FQ18" s="137"/>
      <c r="FR18" s="137"/>
      <c r="FS18" s="137"/>
      <c r="FT18" s="137"/>
      <c r="FU18" s="137"/>
      <c r="FV18" s="137"/>
      <c r="FW18" s="137"/>
      <c r="FX18" s="137"/>
      <c r="FY18" s="137"/>
      <c r="FZ18" s="137"/>
      <c r="GA18" s="137"/>
      <c r="GB18" s="137"/>
      <c r="GC18" s="137"/>
      <c r="GD18" s="137"/>
      <c r="GE18" s="137"/>
      <c r="GF18" s="137"/>
      <c r="GG18" s="137"/>
      <c r="GH18" s="137"/>
      <c r="GI18" s="137"/>
      <c r="GJ18" s="137"/>
      <c r="GK18" s="137"/>
      <c r="GL18" s="137"/>
      <c r="GM18" s="137"/>
      <c r="GN18" s="137"/>
      <c r="GO18" s="137"/>
      <c r="GP18" s="137"/>
      <c r="GQ18" s="137"/>
      <c r="GR18" s="137"/>
      <c r="GS18" s="137"/>
      <c r="GT18" s="137"/>
      <c r="GU18" s="137"/>
      <c r="GV18" s="137"/>
      <c r="GW18" s="137"/>
      <c r="GX18" s="137"/>
      <c r="GY18" s="137"/>
      <c r="GZ18" s="137"/>
      <c r="HA18" s="137"/>
      <c r="HB18" s="137"/>
      <c r="HC18" s="137"/>
      <c r="HD18" s="137"/>
      <c r="HE18" s="137"/>
      <c r="HF18" s="137"/>
      <c r="HG18" s="137"/>
      <c r="HH18" s="137"/>
      <c r="HI18" s="137"/>
      <c r="HJ18" s="137"/>
      <c r="HK18" s="137"/>
      <c r="HL18" s="137"/>
      <c r="HM18" s="137"/>
      <c r="HN18" s="137"/>
      <c r="HO18" s="137"/>
      <c r="HP18" s="137"/>
      <c r="HQ18" s="137"/>
      <c r="HR18" s="137"/>
      <c r="HS18" s="137"/>
      <c r="HT18" s="137"/>
      <c r="HU18" s="137"/>
      <c r="HV18" s="137"/>
      <c r="HW18" s="137"/>
      <c r="HX18" s="137"/>
      <c r="HY18" s="137"/>
      <c r="HZ18" s="137"/>
      <c r="IA18" s="137"/>
      <c r="IB18" s="137"/>
      <c r="IC18" s="137"/>
      <c r="ID18" s="137"/>
      <c r="IE18" s="137"/>
      <c r="IF18" s="137"/>
      <c r="IG18" s="137"/>
      <c r="IH18" s="137"/>
      <c r="II18" s="137"/>
      <c r="IJ18" s="137"/>
      <c r="IK18" s="137"/>
      <c r="IL18" s="137"/>
      <c r="IM18" s="137"/>
      <c r="IN18" s="137"/>
      <c r="IO18" s="137"/>
      <c r="IP18" s="133"/>
      <c r="IQ18" s="133"/>
    </row>
    <row r="19" spans="1:251" ht="24.9" customHeight="1">
      <c r="A19" s="205">
        <v>15</v>
      </c>
      <c r="B19" s="142" t="s">
        <v>127</v>
      </c>
      <c r="C19" s="142">
        <v>70582</v>
      </c>
      <c r="D19" s="142">
        <v>231864</v>
      </c>
      <c r="E19" s="143">
        <v>19</v>
      </c>
      <c r="F19" s="143">
        <v>6</v>
      </c>
      <c r="G19" s="142" t="s">
        <v>127</v>
      </c>
      <c r="H19" s="142">
        <v>129344</v>
      </c>
      <c r="I19" s="144">
        <v>77537</v>
      </c>
      <c r="J19" s="164">
        <v>2</v>
      </c>
      <c r="K19" s="145">
        <v>14822</v>
      </c>
      <c r="L19" s="145">
        <v>1</v>
      </c>
      <c r="M19" s="145">
        <v>103</v>
      </c>
      <c r="N19" s="147">
        <v>2</v>
      </c>
      <c r="O19" s="123">
        <v>85</v>
      </c>
      <c r="P19" s="147">
        <v>1</v>
      </c>
      <c r="Q19" s="115">
        <v>57002</v>
      </c>
      <c r="R19" s="96">
        <v>0</v>
      </c>
      <c r="S19" s="150">
        <v>25342</v>
      </c>
      <c r="T19" s="97">
        <v>0</v>
      </c>
      <c r="U19" s="153">
        <v>9604</v>
      </c>
      <c r="V19" s="153">
        <v>1695</v>
      </c>
      <c r="W19" s="96">
        <v>1</v>
      </c>
      <c r="X19" s="268">
        <v>33215</v>
      </c>
      <c r="Y19" s="97">
        <v>13</v>
      </c>
      <c r="Z19" s="154">
        <v>7853</v>
      </c>
      <c r="AA19" s="154">
        <v>7015</v>
      </c>
      <c r="AB19" s="96">
        <v>0</v>
      </c>
      <c r="AC19" s="268">
        <v>2280</v>
      </c>
      <c r="AD19" s="268">
        <v>1609</v>
      </c>
      <c r="AE19" s="97">
        <v>3</v>
      </c>
      <c r="AF19" s="155">
        <v>1</v>
      </c>
      <c r="AG19" s="206">
        <v>199926</v>
      </c>
      <c r="AH19" s="275">
        <v>41</v>
      </c>
      <c r="AI19" s="158">
        <v>190</v>
      </c>
      <c r="AJ19" s="158">
        <v>149</v>
      </c>
      <c r="AK19" s="102">
        <v>1728007</v>
      </c>
      <c r="AL19" s="103">
        <v>263</v>
      </c>
      <c r="AM19" s="102">
        <v>61869</v>
      </c>
      <c r="AN19" s="103">
        <v>18</v>
      </c>
      <c r="AO19" s="108">
        <v>123121</v>
      </c>
      <c r="AP19" s="104">
        <v>93</v>
      </c>
      <c r="AQ19" s="108">
        <v>131322</v>
      </c>
      <c r="AR19" s="104">
        <v>0</v>
      </c>
      <c r="AS19" s="108">
        <v>1790139</v>
      </c>
      <c r="AT19" s="276">
        <v>281</v>
      </c>
      <c r="AU19" s="189">
        <v>1200</v>
      </c>
      <c r="AV19" s="158">
        <v>919</v>
      </c>
      <c r="AW19" s="109">
        <v>0</v>
      </c>
      <c r="AX19" s="109">
        <v>0</v>
      </c>
      <c r="AY19" s="109">
        <v>0</v>
      </c>
      <c r="AZ19" s="109" t="s">
        <v>178</v>
      </c>
      <c r="BA19" s="109">
        <v>116.46</v>
      </c>
      <c r="BB19" s="109">
        <v>8184</v>
      </c>
      <c r="BC19" s="107" t="s">
        <v>178</v>
      </c>
      <c r="BD19" s="108" t="s">
        <v>178</v>
      </c>
      <c r="BE19" s="159">
        <v>512424</v>
      </c>
      <c r="BF19" s="108" t="s">
        <v>179</v>
      </c>
      <c r="BG19" s="108" t="s">
        <v>162</v>
      </c>
      <c r="BH19" s="159">
        <v>8184</v>
      </c>
      <c r="BI19" s="160">
        <v>8184</v>
      </c>
      <c r="BJ19" s="161">
        <v>6837</v>
      </c>
      <c r="BK19" s="159">
        <v>386.34</v>
      </c>
      <c r="BL19" s="277">
        <v>338</v>
      </c>
      <c r="BM19" s="242">
        <v>8522</v>
      </c>
      <c r="BN19" s="198">
        <v>20400</v>
      </c>
      <c r="BO19" s="278">
        <v>11878</v>
      </c>
      <c r="BP19" s="144">
        <v>2851272</v>
      </c>
      <c r="BQ19" s="144">
        <v>11</v>
      </c>
      <c r="BR19" s="144">
        <v>3837639</v>
      </c>
      <c r="BS19" s="144">
        <v>1336</v>
      </c>
      <c r="BT19" s="279">
        <v>1347</v>
      </c>
      <c r="BU19" s="2">
        <v>0</v>
      </c>
      <c r="BV19" s="2">
        <v>0</v>
      </c>
      <c r="BW19" s="102" t="s">
        <v>127</v>
      </c>
      <c r="BX19" s="108" t="s">
        <v>127</v>
      </c>
      <c r="BY19" s="169" t="s">
        <v>127</v>
      </c>
      <c r="BZ19" s="137"/>
      <c r="CA19" s="137"/>
      <c r="CB19" s="137"/>
      <c r="CC19" s="200"/>
      <c r="CD19" s="137"/>
      <c r="CE19" s="137"/>
      <c r="CF19" s="137"/>
      <c r="CG19" s="137"/>
      <c r="CH19" s="137"/>
      <c r="CI19" s="137"/>
      <c r="CJ19" s="137"/>
      <c r="CK19" s="137"/>
      <c r="CL19" s="137"/>
      <c r="CM19" s="137"/>
      <c r="CN19" s="137"/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7"/>
      <c r="DB19" s="137"/>
      <c r="DC19" s="137"/>
      <c r="DD19" s="137"/>
      <c r="DE19" s="137"/>
      <c r="DF19" s="137"/>
      <c r="DG19" s="137"/>
      <c r="DH19" s="137"/>
      <c r="DI19" s="137"/>
      <c r="DJ19" s="137"/>
      <c r="DK19" s="137"/>
      <c r="DL19" s="137"/>
      <c r="DM19" s="137"/>
      <c r="DN19" s="137"/>
      <c r="DO19" s="137"/>
      <c r="DP19" s="137"/>
      <c r="DQ19" s="137"/>
      <c r="DR19" s="137"/>
      <c r="DS19" s="137"/>
      <c r="DT19" s="137"/>
      <c r="DU19" s="137"/>
      <c r="DV19" s="137"/>
      <c r="DW19" s="137"/>
      <c r="DX19" s="137"/>
      <c r="DY19" s="137"/>
      <c r="DZ19" s="137"/>
      <c r="EA19" s="137"/>
      <c r="EB19" s="137"/>
      <c r="EC19" s="137"/>
      <c r="ED19" s="137"/>
      <c r="EE19" s="137"/>
      <c r="EF19" s="137"/>
      <c r="EG19" s="137"/>
      <c r="EH19" s="137"/>
      <c r="EI19" s="137"/>
      <c r="EJ19" s="137"/>
      <c r="EK19" s="137"/>
      <c r="EL19" s="137"/>
      <c r="EM19" s="137"/>
      <c r="EN19" s="137"/>
      <c r="EO19" s="137"/>
      <c r="EP19" s="137"/>
      <c r="EQ19" s="137"/>
      <c r="ER19" s="137"/>
      <c r="ES19" s="137"/>
      <c r="ET19" s="137"/>
      <c r="EU19" s="137"/>
      <c r="EV19" s="137"/>
      <c r="EW19" s="137"/>
      <c r="EX19" s="137"/>
      <c r="EY19" s="137"/>
      <c r="EZ19" s="137"/>
      <c r="FA19" s="137"/>
      <c r="FB19" s="137"/>
      <c r="FC19" s="137"/>
      <c r="FD19" s="137"/>
      <c r="FE19" s="137"/>
      <c r="FF19" s="137"/>
      <c r="FG19" s="137"/>
      <c r="FH19" s="137"/>
      <c r="FI19" s="137"/>
      <c r="FJ19" s="137"/>
      <c r="FK19" s="137"/>
      <c r="FL19" s="137"/>
      <c r="FM19" s="137"/>
      <c r="FN19" s="137"/>
      <c r="FO19" s="137"/>
      <c r="FP19" s="137"/>
      <c r="FQ19" s="137"/>
      <c r="FR19" s="137"/>
      <c r="FS19" s="137"/>
      <c r="FT19" s="137"/>
      <c r="FU19" s="137"/>
      <c r="FV19" s="137"/>
      <c r="FW19" s="137"/>
      <c r="FX19" s="137"/>
      <c r="FY19" s="137"/>
      <c r="FZ19" s="137"/>
      <c r="GA19" s="137"/>
      <c r="GB19" s="137"/>
      <c r="GC19" s="137"/>
      <c r="GD19" s="137"/>
      <c r="GE19" s="137"/>
      <c r="GF19" s="137"/>
      <c r="GG19" s="137"/>
      <c r="GH19" s="137"/>
      <c r="GI19" s="137"/>
      <c r="GJ19" s="137"/>
      <c r="GK19" s="137"/>
      <c r="GL19" s="137"/>
      <c r="GM19" s="137"/>
      <c r="GN19" s="137"/>
      <c r="GO19" s="137"/>
      <c r="GP19" s="137"/>
      <c r="GQ19" s="137"/>
      <c r="GR19" s="137"/>
      <c r="GS19" s="137"/>
      <c r="GT19" s="137"/>
      <c r="GU19" s="137"/>
      <c r="GV19" s="137"/>
      <c r="GW19" s="137"/>
      <c r="GX19" s="137"/>
      <c r="GY19" s="137"/>
      <c r="GZ19" s="137"/>
      <c r="HA19" s="137"/>
      <c r="HB19" s="137"/>
      <c r="HC19" s="137"/>
      <c r="HD19" s="137"/>
      <c r="HE19" s="137"/>
      <c r="HF19" s="137"/>
      <c r="HG19" s="137"/>
      <c r="HH19" s="137"/>
      <c r="HI19" s="137"/>
      <c r="HJ19" s="137"/>
      <c r="HK19" s="137"/>
      <c r="HL19" s="137"/>
      <c r="HM19" s="137"/>
      <c r="HN19" s="137"/>
      <c r="HO19" s="137"/>
      <c r="HP19" s="137"/>
      <c r="HQ19" s="137"/>
      <c r="HR19" s="137"/>
      <c r="HS19" s="137"/>
      <c r="HT19" s="137"/>
      <c r="HU19" s="137"/>
      <c r="HV19" s="137"/>
      <c r="HW19" s="137"/>
      <c r="HX19" s="137"/>
      <c r="HY19" s="137"/>
      <c r="HZ19" s="137"/>
      <c r="IA19" s="137"/>
      <c r="IB19" s="137"/>
      <c r="IC19" s="137"/>
      <c r="ID19" s="137"/>
      <c r="IE19" s="137"/>
      <c r="IF19" s="137"/>
      <c r="IG19" s="137"/>
      <c r="IH19" s="137"/>
      <c r="II19" s="137"/>
      <c r="IJ19" s="137"/>
      <c r="IK19" s="137"/>
      <c r="IL19" s="137"/>
      <c r="IM19" s="137"/>
      <c r="IN19" s="137"/>
      <c r="IO19" s="137"/>
      <c r="IP19" s="133"/>
      <c r="IQ19" s="133"/>
    </row>
    <row r="20" spans="1:251" ht="24.9" customHeight="1">
      <c r="A20" s="205">
        <v>16</v>
      </c>
      <c r="B20" s="142" t="s">
        <v>127</v>
      </c>
      <c r="C20" s="142">
        <v>70582</v>
      </c>
      <c r="D20" s="142">
        <v>231912</v>
      </c>
      <c r="E20" s="143">
        <v>48</v>
      </c>
      <c r="F20" s="143">
        <v>23</v>
      </c>
      <c r="G20" s="142" t="s">
        <v>127</v>
      </c>
      <c r="H20" s="142">
        <v>129448</v>
      </c>
      <c r="I20" s="144">
        <v>77558</v>
      </c>
      <c r="J20" s="280">
        <v>21</v>
      </c>
      <c r="K20" s="145">
        <v>14825</v>
      </c>
      <c r="L20" s="145">
        <v>3</v>
      </c>
      <c r="M20" s="145">
        <v>107</v>
      </c>
      <c r="N20" s="147">
        <v>4</v>
      </c>
      <c r="O20" s="123">
        <v>86</v>
      </c>
      <c r="P20" s="147">
        <v>1</v>
      </c>
      <c r="Q20" s="115">
        <v>57013</v>
      </c>
      <c r="R20" s="96">
        <v>11</v>
      </c>
      <c r="S20" s="150">
        <v>25342</v>
      </c>
      <c r="T20" s="97">
        <v>0</v>
      </c>
      <c r="U20" s="153">
        <v>9610</v>
      </c>
      <c r="V20" s="153">
        <v>1695</v>
      </c>
      <c r="W20" s="96">
        <v>6</v>
      </c>
      <c r="X20" s="268">
        <v>33240</v>
      </c>
      <c r="Y20" s="97">
        <v>25</v>
      </c>
      <c r="Z20" s="154">
        <v>7857</v>
      </c>
      <c r="AA20" s="154">
        <v>7017</v>
      </c>
      <c r="AB20" s="96">
        <v>6</v>
      </c>
      <c r="AC20" s="268">
        <v>2281</v>
      </c>
      <c r="AD20" s="268">
        <v>1609</v>
      </c>
      <c r="AE20" s="97">
        <v>1</v>
      </c>
      <c r="AF20" s="155">
        <v>17</v>
      </c>
      <c r="AG20" s="206">
        <v>200030</v>
      </c>
      <c r="AH20" s="281">
        <v>104</v>
      </c>
      <c r="AI20" s="158">
        <v>190</v>
      </c>
      <c r="AJ20" s="158">
        <v>86</v>
      </c>
      <c r="AK20" s="102">
        <v>1728939</v>
      </c>
      <c r="AL20" s="103">
        <v>932</v>
      </c>
      <c r="AM20" s="102">
        <v>61895</v>
      </c>
      <c r="AN20" s="103">
        <v>26</v>
      </c>
      <c r="AO20" s="108">
        <v>123664</v>
      </c>
      <c r="AP20" s="104">
        <v>543</v>
      </c>
      <c r="AQ20" s="108">
        <v>131322</v>
      </c>
      <c r="AR20" s="104">
        <v>0</v>
      </c>
      <c r="AS20" s="108">
        <v>1791766</v>
      </c>
      <c r="AT20" s="282">
        <v>958</v>
      </c>
      <c r="AU20" s="189">
        <v>1200</v>
      </c>
      <c r="AV20" s="158">
        <v>242</v>
      </c>
      <c r="AW20" s="109">
        <v>0</v>
      </c>
      <c r="AX20" s="109">
        <v>0</v>
      </c>
      <c r="AY20" s="109">
        <v>0</v>
      </c>
      <c r="AZ20" s="109" t="s">
        <v>180</v>
      </c>
      <c r="BA20" s="109">
        <v>120.49</v>
      </c>
      <c r="BB20" s="109">
        <v>17732</v>
      </c>
      <c r="BC20" s="107" t="s">
        <v>180</v>
      </c>
      <c r="BD20" s="108" t="s">
        <v>180</v>
      </c>
      <c r="BE20" s="159">
        <v>530156</v>
      </c>
      <c r="BF20" s="108" t="s">
        <v>181</v>
      </c>
      <c r="BG20" s="108" t="s">
        <v>182</v>
      </c>
      <c r="BH20" s="159">
        <v>17732</v>
      </c>
      <c r="BI20" s="160">
        <v>17732</v>
      </c>
      <c r="BJ20" s="161">
        <v>14503</v>
      </c>
      <c r="BK20" s="159">
        <v>393.57</v>
      </c>
      <c r="BL20" s="283">
        <v>723</v>
      </c>
      <c r="BM20" s="284">
        <v>18455</v>
      </c>
      <c r="BN20" s="198">
        <v>20400</v>
      </c>
      <c r="BO20" s="285">
        <v>1945</v>
      </c>
      <c r="BP20" s="144">
        <v>2851301</v>
      </c>
      <c r="BQ20" s="144">
        <v>29</v>
      </c>
      <c r="BR20" s="144">
        <v>3840839</v>
      </c>
      <c r="BS20" s="144">
        <v>3200</v>
      </c>
      <c r="BT20" s="286">
        <v>3229</v>
      </c>
      <c r="BU20" s="2">
        <v>5</v>
      </c>
      <c r="BV20" s="2">
        <v>9</v>
      </c>
      <c r="BW20" s="102" t="s">
        <v>127</v>
      </c>
      <c r="BX20" s="102" t="s">
        <v>127</v>
      </c>
      <c r="BY20" s="169" t="s">
        <v>127</v>
      </c>
      <c r="BZ20" s="137"/>
      <c r="CA20" s="137"/>
      <c r="CB20" s="137"/>
      <c r="CC20" s="200"/>
      <c r="CD20" s="137"/>
      <c r="CE20" s="137"/>
      <c r="CF20" s="137"/>
      <c r="CG20" s="137"/>
      <c r="CH20" s="137"/>
      <c r="CI20" s="137"/>
      <c r="CJ20" s="137"/>
      <c r="CK20" s="137"/>
      <c r="CL20" s="137"/>
      <c r="CM20" s="137"/>
      <c r="CN20" s="137"/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7"/>
      <c r="DB20" s="137"/>
      <c r="DC20" s="137"/>
      <c r="DD20" s="137"/>
      <c r="DE20" s="137"/>
      <c r="DF20" s="137"/>
      <c r="DG20" s="137"/>
      <c r="DH20" s="137"/>
      <c r="DI20" s="137"/>
      <c r="DJ20" s="137"/>
      <c r="DK20" s="137"/>
      <c r="DL20" s="137"/>
      <c r="DM20" s="137"/>
      <c r="DN20" s="137"/>
      <c r="DO20" s="137"/>
      <c r="DP20" s="137"/>
      <c r="DQ20" s="137"/>
      <c r="DR20" s="137"/>
      <c r="DS20" s="137"/>
      <c r="DT20" s="137"/>
      <c r="DU20" s="137"/>
      <c r="DV20" s="137"/>
      <c r="DW20" s="137"/>
      <c r="DX20" s="137"/>
      <c r="DY20" s="137"/>
      <c r="DZ20" s="137"/>
      <c r="EA20" s="137"/>
      <c r="EB20" s="137"/>
      <c r="EC20" s="137"/>
      <c r="ED20" s="137"/>
      <c r="EE20" s="137"/>
      <c r="EF20" s="137"/>
      <c r="EG20" s="137"/>
      <c r="EH20" s="137"/>
      <c r="EI20" s="137"/>
      <c r="EJ20" s="137"/>
      <c r="EK20" s="137"/>
      <c r="EL20" s="137"/>
      <c r="EM20" s="137"/>
      <c r="EN20" s="137"/>
      <c r="EO20" s="137"/>
      <c r="EP20" s="137"/>
      <c r="EQ20" s="137"/>
      <c r="ER20" s="137"/>
      <c r="ES20" s="137"/>
      <c r="ET20" s="137"/>
      <c r="EU20" s="137"/>
      <c r="EV20" s="137"/>
      <c r="EW20" s="137"/>
      <c r="EX20" s="137"/>
      <c r="EY20" s="137"/>
      <c r="EZ20" s="137"/>
      <c r="FA20" s="137"/>
      <c r="FB20" s="137"/>
      <c r="FC20" s="137"/>
      <c r="FD20" s="137"/>
      <c r="FE20" s="137"/>
      <c r="FF20" s="137"/>
      <c r="FG20" s="137"/>
      <c r="FH20" s="137"/>
      <c r="FI20" s="137"/>
      <c r="FJ20" s="137"/>
      <c r="FK20" s="137"/>
      <c r="FL20" s="137"/>
      <c r="FM20" s="137"/>
      <c r="FN20" s="137"/>
      <c r="FO20" s="137"/>
      <c r="FP20" s="137"/>
      <c r="FQ20" s="137"/>
      <c r="FR20" s="137"/>
      <c r="FS20" s="137"/>
      <c r="FT20" s="137"/>
      <c r="FU20" s="137"/>
      <c r="FV20" s="137"/>
      <c r="FW20" s="137"/>
      <c r="FX20" s="137"/>
      <c r="FY20" s="137"/>
      <c r="FZ20" s="137"/>
      <c r="GA20" s="137"/>
      <c r="GB20" s="137"/>
      <c r="GC20" s="137"/>
      <c r="GD20" s="137"/>
      <c r="GE20" s="137"/>
      <c r="GF20" s="137"/>
      <c r="GG20" s="137"/>
      <c r="GH20" s="137"/>
      <c r="GI20" s="137"/>
      <c r="GJ20" s="137"/>
      <c r="GK20" s="137"/>
      <c r="GL20" s="137"/>
      <c r="GM20" s="137"/>
      <c r="GN20" s="137"/>
      <c r="GO20" s="137"/>
      <c r="GP20" s="137"/>
      <c r="GQ20" s="137"/>
      <c r="GR20" s="137"/>
      <c r="GS20" s="137"/>
      <c r="GT20" s="137"/>
      <c r="GU20" s="137"/>
      <c r="GV20" s="137"/>
      <c r="GW20" s="137"/>
      <c r="GX20" s="137"/>
      <c r="GY20" s="137"/>
      <c r="GZ20" s="137"/>
      <c r="HA20" s="137"/>
      <c r="HB20" s="137"/>
      <c r="HC20" s="137"/>
      <c r="HD20" s="137"/>
      <c r="HE20" s="137"/>
      <c r="HF20" s="137"/>
      <c r="HG20" s="137"/>
      <c r="HH20" s="137"/>
      <c r="HI20" s="137"/>
      <c r="HJ20" s="137"/>
      <c r="HK20" s="137"/>
      <c r="HL20" s="137"/>
      <c r="HM20" s="137"/>
      <c r="HN20" s="137"/>
      <c r="HO20" s="137"/>
      <c r="HP20" s="137"/>
      <c r="HQ20" s="137"/>
      <c r="HR20" s="137"/>
      <c r="HS20" s="137"/>
      <c r="HT20" s="137"/>
      <c r="HU20" s="137"/>
      <c r="HV20" s="137"/>
      <c r="HW20" s="137"/>
      <c r="HX20" s="137"/>
      <c r="HY20" s="137"/>
      <c r="HZ20" s="137"/>
      <c r="IA20" s="137"/>
      <c r="IB20" s="137"/>
      <c r="IC20" s="137"/>
      <c r="ID20" s="137"/>
      <c r="IE20" s="137"/>
      <c r="IF20" s="137"/>
      <c r="IG20" s="137"/>
      <c r="IH20" s="137"/>
      <c r="II20" s="137"/>
      <c r="IJ20" s="137"/>
      <c r="IK20" s="137"/>
      <c r="IL20" s="137"/>
      <c r="IM20" s="137"/>
      <c r="IN20" s="137"/>
      <c r="IO20" s="137"/>
      <c r="IP20" s="133"/>
      <c r="IQ20" s="133"/>
    </row>
    <row r="21" spans="1:251" ht="24.9" customHeight="1">
      <c r="A21" s="183">
        <v>17</v>
      </c>
      <c r="B21" s="142" t="s">
        <v>127</v>
      </c>
      <c r="C21" s="142">
        <v>70582</v>
      </c>
      <c r="D21" s="142">
        <v>231954</v>
      </c>
      <c r="E21" s="143">
        <v>42</v>
      </c>
      <c r="F21" s="143">
        <v>20</v>
      </c>
      <c r="G21" s="142" t="s">
        <v>127</v>
      </c>
      <c r="H21" s="142">
        <v>129523</v>
      </c>
      <c r="I21" s="144">
        <v>77563</v>
      </c>
      <c r="J21" s="238">
        <v>5</v>
      </c>
      <c r="K21" s="145">
        <v>14828</v>
      </c>
      <c r="L21" s="145">
        <v>3</v>
      </c>
      <c r="M21" s="123">
        <v>111</v>
      </c>
      <c r="N21" s="147">
        <v>4</v>
      </c>
      <c r="O21" s="123">
        <v>88</v>
      </c>
      <c r="P21" s="147">
        <v>2</v>
      </c>
      <c r="Q21" s="115">
        <v>57022</v>
      </c>
      <c r="R21" s="96">
        <v>9</v>
      </c>
      <c r="S21" s="150">
        <v>25344</v>
      </c>
      <c r="T21" s="97">
        <v>2</v>
      </c>
      <c r="U21" s="153">
        <v>9613</v>
      </c>
      <c r="V21" s="153">
        <v>1695</v>
      </c>
      <c r="W21" s="96">
        <v>3</v>
      </c>
      <c r="X21" s="268">
        <v>33262</v>
      </c>
      <c r="Y21" s="97">
        <v>22</v>
      </c>
      <c r="Z21" s="154">
        <v>7859</v>
      </c>
      <c r="AA21" s="154">
        <v>7019</v>
      </c>
      <c r="AB21" s="96">
        <v>4</v>
      </c>
      <c r="AC21" s="268">
        <v>2282</v>
      </c>
      <c r="AD21" s="268">
        <v>1609</v>
      </c>
      <c r="AE21" s="97">
        <v>1</v>
      </c>
      <c r="AF21" s="155">
        <v>14</v>
      </c>
      <c r="AG21" s="206">
        <v>200105</v>
      </c>
      <c r="AH21" s="287">
        <v>75</v>
      </c>
      <c r="AI21" s="158">
        <v>190</v>
      </c>
      <c r="AJ21" s="158">
        <v>115</v>
      </c>
      <c r="AK21" s="102">
        <v>1729736</v>
      </c>
      <c r="AL21" s="103">
        <v>797</v>
      </c>
      <c r="AM21" s="102">
        <v>61917</v>
      </c>
      <c r="AN21" s="103">
        <v>22</v>
      </c>
      <c r="AO21" s="108">
        <v>123978</v>
      </c>
      <c r="AP21" s="104">
        <v>314</v>
      </c>
      <c r="AQ21" s="108">
        <v>131322</v>
      </c>
      <c r="AR21" s="104">
        <v>0</v>
      </c>
      <c r="AS21" s="108">
        <v>1792450</v>
      </c>
      <c r="AT21" s="288">
        <v>819</v>
      </c>
      <c r="AU21" s="189">
        <v>1200</v>
      </c>
      <c r="AV21" s="158">
        <v>381</v>
      </c>
      <c r="AW21" s="109">
        <v>0</v>
      </c>
      <c r="AX21" s="109">
        <v>0</v>
      </c>
      <c r="AY21" s="109">
        <v>0</v>
      </c>
      <c r="AZ21" s="109" t="s">
        <v>183</v>
      </c>
      <c r="BA21" s="109">
        <v>123.69</v>
      </c>
      <c r="BB21" s="109">
        <v>14080</v>
      </c>
      <c r="BC21" s="107" t="s">
        <v>183</v>
      </c>
      <c r="BD21" s="108" t="s">
        <v>183</v>
      </c>
      <c r="BE21" s="159">
        <v>544236</v>
      </c>
      <c r="BF21" s="108" t="s">
        <v>184</v>
      </c>
      <c r="BG21" s="108" t="s">
        <v>185</v>
      </c>
      <c r="BH21" s="159">
        <v>14080</v>
      </c>
      <c r="BI21" s="160">
        <v>14080</v>
      </c>
      <c r="BJ21" s="161">
        <v>11384</v>
      </c>
      <c r="BK21" s="159">
        <v>398.62</v>
      </c>
      <c r="BL21" s="190">
        <v>505</v>
      </c>
      <c r="BM21" s="289">
        <v>14585</v>
      </c>
      <c r="BN21" s="198">
        <v>20400</v>
      </c>
      <c r="BO21" s="290">
        <v>5815</v>
      </c>
      <c r="BP21" s="144">
        <v>2851321</v>
      </c>
      <c r="BQ21" s="144">
        <v>20</v>
      </c>
      <c r="BR21" s="144">
        <v>3843515</v>
      </c>
      <c r="BS21" s="144">
        <v>2676</v>
      </c>
      <c r="BT21" s="291">
        <v>2696</v>
      </c>
      <c r="BU21" s="2">
        <v>7</v>
      </c>
      <c r="BV21" s="2">
        <v>12</v>
      </c>
      <c r="BW21" s="102" t="s">
        <v>127</v>
      </c>
      <c r="BX21" s="102" t="s">
        <v>127</v>
      </c>
      <c r="BY21" s="169" t="s">
        <v>127</v>
      </c>
      <c r="BZ21" s="137"/>
      <c r="CA21" s="137"/>
      <c r="CB21" s="137"/>
      <c r="CC21" s="200"/>
      <c r="CD21" s="137"/>
      <c r="CE21" s="137"/>
      <c r="CF21" s="137"/>
      <c r="CG21" s="137"/>
      <c r="CH21" s="137"/>
      <c r="CI21" s="137"/>
      <c r="CJ21" s="137"/>
      <c r="CK21" s="137"/>
      <c r="CL21" s="137"/>
      <c r="CM21" s="137"/>
      <c r="CN21" s="137"/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7"/>
      <c r="DB21" s="137"/>
      <c r="DC21" s="137"/>
      <c r="DD21" s="137"/>
      <c r="DE21" s="137"/>
      <c r="DF21" s="137"/>
      <c r="DG21" s="137"/>
      <c r="DH21" s="137"/>
      <c r="DI21" s="137"/>
      <c r="DJ21" s="137"/>
      <c r="DK21" s="137"/>
      <c r="DL21" s="137"/>
      <c r="DM21" s="137"/>
      <c r="DN21" s="137"/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37"/>
      <c r="EA21" s="137"/>
      <c r="EB21" s="137"/>
      <c r="EC21" s="137"/>
      <c r="ED21" s="137"/>
      <c r="EE21" s="137"/>
      <c r="EF21" s="137"/>
      <c r="EG21" s="137"/>
      <c r="EH21" s="137"/>
      <c r="EI21" s="137"/>
      <c r="EJ21" s="137"/>
      <c r="EK21" s="137"/>
      <c r="EL21" s="137"/>
      <c r="EM21" s="137"/>
      <c r="EN21" s="137"/>
      <c r="EO21" s="137"/>
      <c r="EP21" s="137"/>
      <c r="EQ21" s="137"/>
      <c r="ER21" s="137"/>
      <c r="ES21" s="137"/>
      <c r="ET21" s="137"/>
      <c r="EU21" s="137"/>
      <c r="EV21" s="137"/>
      <c r="EW21" s="137"/>
      <c r="EX21" s="137"/>
      <c r="EY21" s="137"/>
      <c r="EZ21" s="137"/>
      <c r="FA21" s="137"/>
      <c r="FB21" s="137"/>
      <c r="FC21" s="137"/>
      <c r="FD21" s="137"/>
      <c r="FE21" s="137"/>
      <c r="FF21" s="137"/>
      <c r="FG21" s="137"/>
      <c r="FH21" s="137"/>
      <c r="FI21" s="137"/>
      <c r="FJ21" s="137"/>
      <c r="FK21" s="137"/>
      <c r="FL21" s="137"/>
      <c r="FM21" s="137"/>
      <c r="FN21" s="137"/>
      <c r="FO21" s="137"/>
      <c r="FP21" s="137"/>
      <c r="FQ21" s="137"/>
      <c r="FR21" s="137"/>
      <c r="FS21" s="137"/>
      <c r="FT21" s="137"/>
      <c r="FU21" s="137"/>
      <c r="FV21" s="137"/>
      <c r="FW21" s="137"/>
      <c r="FX21" s="137"/>
      <c r="FY21" s="137"/>
      <c r="FZ21" s="137"/>
      <c r="GA21" s="137"/>
      <c r="GB21" s="137"/>
      <c r="GC21" s="137"/>
      <c r="GD21" s="137"/>
      <c r="GE21" s="137"/>
      <c r="GF21" s="137"/>
      <c r="GG21" s="137"/>
      <c r="GH21" s="137"/>
      <c r="GI21" s="137"/>
      <c r="GJ21" s="137"/>
      <c r="GK21" s="137"/>
      <c r="GL21" s="137"/>
      <c r="GM21" s="137"/>
      <c r="GN21" s="137"/>
      <c r="GO21" s="137"/>
      <c r="GP21" s="137"/>
      <c r="GQ21" s="137"/>
      <c r="GR21" s="137"/>
      <c r="GS21" s="137"/>
      <c r="GT21" s="137"/>
      <c r="GU21" s="137"/>
      <c r="GV21" s="137"/>
      <c r="GW21" s="137"/>
      <c r="GX21" s="137"/>
      <c r="GY21" s="137"/>
      <c r="GZ21" s="137"/>
      <c r="HA21" s="137"/>
      <c r="HB21" s="137"/>
      <c r="HC21" s="137"/>
      <c r="HD21" s="137"/>
      <c r="HE21" s="137"/>
      <c r="HF21" s="137"/>
      <c r="HG21" s="137"/>
      <c r="HH21" s="137"/>
      <c r="HI21" s="137"/>
      <c r="HJ21" s="137"/>
      <c r="HK21" s="137"/>
      <c r="HL21" s="137"/>
      <c r="HM21" s="137"/>
      <c r="HN21" s="137"/>
      <c r="HO21" s="137"/>
      <c r="HP21" s="137"/>
      <c r="HQ21" s="137"/>
      <c r="HR21" s="137"/>
      <c r="HS21" s="137"/>
      <c r="HT21" s="137"/>
      <c r="HU21" s="137"/>
      <c r="HV21" s="137"/>
      <c r="HW21" s="137"/>
      <c r="HX21" s="137"/>
      <c r="HY21" s="137"/>
      <c r="HZ21" s="137"/>
      <c r="IA21" s="137"/>
      <c r="IB21" s="137"/>
      <c r="IC21" s="137"/>
      <c r="ID21" s="137"/>
      <c r="IE21" s="137"/>
      <c r="IF21" s="137"/>
      <c r="IG21" s="137"/>
      <c r="IH21" s="137"/>
      <c r="II21" s="137"/>
      <c r="IJ21" s="137"/>
      <c r="IK21" s="137"/>
      <c r="IL21" s="137"/>
      <c r="IM21" s="137"/>
      <c r="IN21" s="137"/>
      <c r="IO21" s="137"/>
      <c r="IP21" s="133"/>
      <c r="IQ21" s="133"/>
    </row>
    <row r="22" spans="1:251" ht="24.9" customHeight="1">
      <c r="A22" s="205">
        <v>18</v>
      </c>
      <c r="B22" s="142" t="s">
        <v>127</v>
      </c>
      <c r="C22" s="142">
        <v>70582</v>
      </c>
      <c r="D22" s="142">
        <v>231996</v>
      </c>
      <c r="E22" s="143">
        <v>42</v>
      </c>
      <c r="F22" s="143">
        <v>17</v>
      </c>
      <c r="G22" s="142" t="s">
        <v>127</v>
      </c>
      <c r="H22" s="142">
        <v>129586</v>
      </c>
      <c r="I22" s="144">
        <v>77566</v>
      </c>
      <c r="J22" s="184">
        <v>3</v>
      </c>
      <c r="K22" s="145">
        <v>14831</v>
      </c>
      <c r="L22" s="145">
        <v>3</v>
      </c>
      <c r="M22" s="123">
        <v>115</v>
      </c>
      <c r="N22" s="147">
        <v>4</v>
      </c>
      <c r="O22" s="123">
        <v>91</v>
      </c>
      <c r="P22" s="147">
        <v>3</v>
      </c>
      <c r="Q22" s="115">
        <v>57022</v>
      </c>
      <c r="R22" s="96">
        <v>0</v>
      </c>
      <c r="S22" s="150">
        <v>25344</v>
      </c>
      <c r="T22" s="97">
        <v>0</v>
      </c>
      <c r="U22" s="153">
        <v>9613</v>
      </c>
      <c r="V22" s="153">
        <v>1695</v>
      </c>
      <c r="W22" s="96">
        <v>0</v>
      </c>
      <c r="X22" s="268">
        <v>33287</v>
      </c>
      <c r="Y22" s="97">
        <v>25</v>
      </c>
      <c r="Z22" s="154">
        <v>7862</v>
      </c>
      <c r="AA22" s="154">
        <v>7021</v>
      </c>
      <c r="AB22" s="96">
        <v>5</v>
      </c>
      <c r="AC22" s="268">
        <v>2283</v>
      </c>
      <c r="AD22" s="268">
        <v>1610</v>
      </c>
      <c r="AE22" s="97">
        <v>2</v>
      </c>
      <c r="AF22" s="155">
        <v>0</v>
      </c>
      <c r="AG22" s="206">
        <v>200168</v>
      </c>
      <c r="AH22" s="292">
        <v>63</v>
      </c>
      <c r="AI22" s="158">
        <v>190</v>
      </c>
      <c r="AJ22" s="158">
        <v>127</v>
      </c>
      <c r="AK22" s="102">
        <v>1730183</v>
      </c>
      <c r="AL22" s="103">
        <v>447</v>
      </c>
      <c r="AM22" s="102">
        <v>61938</v>
      </c>
      <c r="AN22" s="103">
        <v>21</v>
      </c>
      <c r="AO22" s="108">
        <v>123978</v>
      </c>
      <c r="AP22" s="104">
        <v>0</v>
      </c>
      <c r="AQ22" s="108">
        <v>131322</v>
      </c>
      <c r="AR22" s="104">
        <v>0</v>
      </c>
      <c r="AS22" s="108">
        <v>1792568</v>
      </c>
      <c r="AT22" s="234">
        <v>468</v>
      </c>
      <c r="AU22" s="189">
        <v>1200</v>
      </c>
      <c r="AV22" s="158">
        <v>732</v>
      </c>
      <c r="AW22" s="109">
        <v>0</v>
      </c>
      <c r="AX22" s="109">
        <v>0</v>
      </c>
      <c r="AY22" s="109">
        <v>0</v>
      </c>
      <c r="AZ22" s="109" t="s">
        <v>186</v>
      </c>
      <c r="BA22" s="109">
        <v>126.92</v>
      </c>
      <c r="BB22" s="109">
        <v>14212</v>
      </c>
      <c r="BC22" s="107" t="s">
        <v>186</v>
      </c>
      <c r="BD22" s="108" t="s">
        <v>186</v>
      </c>
      <c r="BE22" s="159">
        <v>558448</v>
      </c>
      <c r="BF22" s="108" t="s">
        <v>187</v>
      </c>
      <c r="BG22" s="108" t="s">
        <v>188</v>
      </c>
      <c r="BH22" s="159">
        <v>14212</v>
      </c>
      <c r="BI22" s="160">
        <v>14212</v>
      </c>
      <c r="BJ22" s="161">
        <v>11408</v>
      </c>
      <c r="BK22" s="159">
        <v>403.8</v>
      </c>
      <c r="BL22" s="293">
        <v>518</v>
      </c>
      <c r="BM22" s="294">
        <v>14730</v>
      </c>
      <c r="BN22" s="198">
        <v>20400</v>
      </c>
      <c r="BO22" s="295">
        <v>5670</v>
      </c>
      <c r="BP22" s="144">
        <v>2851340</v>
      </c>
      <c r="BQ22" s="144">
        <v>19</v>
      </c>
      <c r="BR22" s="144">
        <v>3846300</v>
      </c>
      <c r="BS22" s="144">
        <v>2785</v>
      </c>
      <c r="BT22" s="296">
        <v>2804</v>
      </c>
      <c r="BU22" s="2">
        <v>13</v>
      </c>
      <c r="BV22" s="2">
        <v>19</v>
      </c>
      <c r="BW22" s="102" t="s">
        <v>127</v>
      </c>
      <c r="BX22" s="108" t="s">
        <v>127</v>
      </c>
      <c r="BY22" s="169" t="s">
        <v>127</v>
      </c>
      <c r="BZ22" s="137"/>
      <c r="CA22" s="137"/>
      <c r="CB22" s="137"/>
      <c r="CC22" s="200"/>
      <c r="CD22" s="137"/>
      <c r="CE22" s="137"/>
      <c r="CF22" s="137"/>
      <c r="CG22" s="137"/>
      <c r="CH22" s="137"/>
      <c r="CI22" s="137"/>
      <c r="CJ22" s="137"/>
      <c r="CK22" s="137"/>
      <c r="CL22" s="137"/>
      <c r="CM22" s="137"/>
      <c r="CN22" s="137"/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7"/>
      <c r="DB22" s="137"/>
      <c r="DC22" s="137"/>
      <c r="DD22" s="137"/>
      <c r="DE22" s="137"/>
      <c r="DF22" s="137"/>
      <c r="DG22" s="137"/>
      <c r="DH22" s="137"/>
      <c r="DI22" s="137"/>
      <c r="DJ22" s="137"/>
      <c r="DK22" s="137"/>
      <c r="DL22" s="137"/>
      <c r="DM22" s="137"/>
      <c r="DN22" s="137"/>
      <c r="DO22" s="137"/>
      <c r="DP22" s="137"/>
      <c r="DQ22" s="137"/>
      <c r="DR22" s="137"/>
      <c r="DS22" s="137"/>
      <c r="DT22" s="137"/>
      <c r="DU22" s="137"/>
      <c r="DV22" s="137"/>
      <c r="DW22" s="137"/>
      <c r="DX22" s="137"/>
      <c r="DY22" s="137"/>
      <c r="DZ22" s="137"/>
      <c r="EA22" s="137"/>
      <c r="EB22" s="137"/>
      <c r="EC22" s="137"/>
      <c r="ED22" s="137"/>
      <c r="EE22" s="137"/>
      <c r="EF22" s="137"/>
      <c r="EG22" s="137"/>
      <c r="EH22" s="137"/>
      <c r="EI22" s="137"/>
      <c r="EJ22" s="137"/>
      <c r="EK22" s="137"/>
      <c r="EL22" s="137"/>
      <c r="EM22" s="137"/>
      <c r="EN22" s="137"/>
      <c r="EO22" s="137"/>
      <c r="EP22" s="137"/>
      <c r="EQ22" s="137"/>
      <c r="ER22" s="137"/>
      <c r="ES22" s="137"/>
      <c r="ET22" s="137"/>
      <c r="EU22" s="137"/>
      <c r="EV22" s="137"/>
      <c r="EW22" s="137"/>
      <c r="EX22" s="137"/>
      <c r="EY22" s="137"/>
      <c r="EZ22" s="137"/>
      <c r="FA22" s="137"/>
      <c r="FB22" s="137"/>
      <c r="FC22" s="137"/>
      <c r="FD22" s="134" t="s">
        <v>127</v>
      </c>
      <c r="FE22" s="134" t="s">
        <v>127</v>
      </c>
      <c r="FF22" s="134" t="s">
        <v>127</v>
      </c>
      <c r="FG22" s="134" t="s">
        <v>127</v>
      </c>
      <c r="FH22" s="134" t="s">
        <v>127</v>
      </c>
      <c r="FI22" s="134" t="s">
        <v>127</v>
      </c>
      <c r="FJ22" s="134" t="s">
        <v>127</v>
      </c>
      <c r="FK22" s="134" t="s">
        <v>127</v>
      </c>
      <c r="FL22" s="134" t="s">
        <v>127</v>
      </c>
      <c r="FM22" s="134" t="s">
        <v>127</v>
      </c>
      <c r="FN22" s="134" t="s">
        <v>127</v>
      </c>
      <c r="FO22" s="134" t="s">
        <v>127</v>
      </c>
      <c r="FP22" s="134" t="s">
        <v>127</v>
      </c>
      <c r="FQ22" s="134" t="s">
        <v>127</v>
      </c>
      <c r="FR22" s="134" t="s">
        <v>127</v>
      </c>
      <c r="FS22" s="134" t="s">
        <v>127</v>
      </c>
      <c r="FT22" s="134" t="s">
        <v>127</v>
      </c>
      <c r="FU22" s="134" t="s">
        <v>127</v>
      </c>
      <c r="FV22" s="134" t="s">
        <v>127</v>
      </c>
      <c r="FW22" s="134" t="s">
        <v>127</v>
      </c>
      <c r="FX22" s="134" t="s">
        <v>127</v>
      </c>
      <c r="FY22" s="134" t="s">
        <v>127</v>
      </c>
      <c r="FZ22" s="134" t="s">
        <v>127</v>
      </c>
      <c r="GA22" s="134" t="s">
        <v>127</v>
      </c>
      <c r="GB22" s="134" t="s">
        <v>127</v>
      </c>
      <c r="GC22" s="134" t="s">
        <v>127</v>
      </c>
      <c r="GD22" s="134" t="s">
        <v>127</v>
      </c>
      <c r="GE22" s="134" t="s">
        <v>127</v>
      </c>
      <c r="GF22" s="134" t="s">
        <v>127</v>
      </c>
      <c r="GG22" s="134" t="s">
        <v>127</v>
      </c>
      <c r="GH22" s="134" t="s">
        <v>127</v>
      </c>
      <c r="GI22" s="134" t="s">
        <v>127</v>
      </c>
      <c r="GJ22" s="134" t="s">
        <v>127</v>
      </c>
      <c r="GK22" s="134" t="s">
        <v>127</v>
      </c>
      <c r="GL22" s="134" t="s">
        <v>127</v>
      </c>
      <c r="GM22" s="134" t="s">
        <v>127</v>
      </c>
      <c r="GN22" s="134" t="s">
        <v>127</v>
      </c>
      <c r="GO22" s="134" t="s">
        <v>127</v>
      </c>
      <c r="GP22" s="134" t="s">
        <v>127</v>
      </c>
      <c r="GQ22" s="134" t="s">
        <v>127</v>
      </c>
      <c r="GR22" s="134" t="s">
        <v>127</v>
      </c>
      <c r="GS22" s="134" t="s">
        <v>127</v>
      </c>
      <c r="GT22" s="134" t="s">
        <v>127</v>
      </c>
      <c r="GU22" s="134" t="s">
        <v>127</v>
      </c>
      <c r="GV22" s="134" t="s">
        <v>127</v>
      </c>
      <c r="GW22" s="134" t="s">
        <v>127</v>
      </c>
      <c r="GX22" s="134" t="s">
        <v>127</v>
      </c>
      <c r="GY22" s="134" t="s">
        <v>127</v>
      </c>
      <c r="GZ22" s="134" t="s">
        <v>127</v>
      </c>
      <c r="HA22" s="134" t="s">
        <v>127</v>
      </c>
      <c r="HB22" s="134" t="s">
        <v>127</v>
      </c>
      <c r="HC22" s="134" t="s">
        <v>127</v>
      </c>
      <c r="HD22" s="134" t="s">
        <v>127</v>
      </c>
      <c r="HE22" s="134" t="s">
        <v>127</v>
      </c>
      <c r="HF22" s="134" t="s">
        <v>127</v>
      </c>
      <c r="HG22" s="134" t="s">
        <v>127</v>
      </c>
      <c r="HH22" s="134" t="s">
        <v>127</v>
      </c>
      <c r="HI22" s="134" t="s">
        <v>127</v>
      </c>
      <c r="HJ22" s="134" t="s">
        <v>127</v>
      </c>
      <c r="HK22" s="134" t="s">
        <v>127</v>
      </c>
      <c r="HL22" s="134" t="s">
        <v>127</v>
      </c>
      <c r="HM22" s="134" t="s">
        <v>127</v>
      </c>
      <c r="HN22" s="134" t="s">
        <v>127</v>
      </c>
      <c r="HO22" s="134" t="s">
        <v>127</v>
      </c>
      <c r="HP22" s="134" t="s">
        <v>127</v>
      </c>
      <c r="HQ22" s="134" t="s">
        <v>127</v>
      </c>
      <c r="HR22" s="134" t="s">
        <v>127</v>
      </c>
      <c r="HS22" s="134" t="s">
        <v>127</v>
      </c>
      <c r="HT22" s="134" t="s">
        <v>127</v>
      </c>
      <c r="HU22" s="134" t="s">
        <v>127</v>
      </c>
      <c r="HV22" s="134" t="s">
        <v>127</v>
      </c>
      <c r="HW22" s="134" t="s">
        <v>127</v>
      </c>
      <c r="HX22" s="134" t="s">
        <v>127</v>
      </c>
      <c r="HY22" s="134" t="s">
        <v>127</v>
      </c>
      <c r="HZ22" s="134" t="s">
        <v>127</v>
      </c>
      <c r="IA22" s="134" t="s">
        <v>127</v>
      </c>
      <c r="IB22" s="134" t="s">
        <v>127</v>
      </c>
      <c r="IC22" s="134" t="s">
        <v>127</v>
      </c>
      <c r="ID22" s="134" t="s">
        <v>127</v>
      </c>
      <c r="IE22" s="134" t="s">
        <v>127</v>
      </c>
      <c r="IF22" s="134" t="s">
        <v>127</v>
      </c>
      <c r="IG22" s="134" t="s">
        <v>127</v>
      </c>
      <c r="IH22" s="134" t="s">
        <v>127</v>
      </c>
      <c r="II22" s="134" t="s">
        <v>127</v>
      </c>
      <c r="IJ22" s="134" t="s">
        <v>127</v>
      </c>
      <c r="IK22" s="134" t="s">
        <v>127</v>
      </c>
      <c r="IL22" s="134" t="s">
        <v>127</v>
      </c>
      <c r="IM22" s="134" t="s">
        <v>127</v>
      </c>
      <c r="IN22" s="134" t="s">
        <v>127</v>
      </c>
      <c r="IO22" s="134" t="s">
        <v>127</v>
      </c>
      <c r="IP22" s="133"/>
      <c r="IQ22" s="133"/>
    </row>
    <row r="23" spans="1:251" ht="24.9" customHeight="1">
      <c r="A23" s="205">
        <v>19</v>
      </c>
      <c r="B23" s="142" t="s">
        <v>127</v>
      </c>
      <c r="C23" s="142">
        <v>70582</v>
      </c>
      <c r="D23" s="142">
        <v>232039</v>
      </c>
      <c r="E23" s="143">
        <v>43</v>
      </c>
      <c r="F23" s="143">
        <v>22</v>
      </c>
      <c r="G23" s="142" t="s">
        <v>127</v>
      </c>
      <c r="H23" s="142">
        <v>129656</v>
      </c>
      <c r="I23" s="144">
        <v>77569</v>
      </c>
      <c r="J23" s="184">
        <v>3</v>
      </c>
      <c r="K23" s="145">
        <v>14834</v>
      </c>
      <c r="L23" s="145">
        <v>3</v>
      </c>
      <c r="M23" s="123">
        <v>119</v>
      </c>
      <c r="N23" s="147">
        <v>4</v>
      </c>
      <c r="O23" s="123">
        <v>95</v>
      </c>
      <c r="P23" s="147">
        <v>4</v>
      </c>
      <c r="Q23" s="115">
        <v>57022</v>
      </c>
      <c r="R23" s="96">
        <v>0</v>
      </c>
      <c r="S23" s="150">
        <v>25344</v>
      </c>
      <c r="T23" s="97">
        <v>0</v>
      </c>
      <c r="U23" s="153">
        <v>9613</v>
      </c>
      <c r="V23" s="153">
        <v>1695</v>
      </c>
      <c r="W23" s="96">
        <v>0</v>
      </c>
      <c r="X23" s="268">
        <v>33308</v>
      </c>
      <c r="Y23" s="97">
        <v>21</v>
      </c>
      <c r="Z23" s="154">
        <v>7865</v>
      </c>
      <c r="AA23" s="154">
        <v>7023</v>
      </c>
      <c r="AB23" s="96">
        <v>5</v>
      </c>
      <c r="AC23" s="268">
        <v>2285</v>
      </c>
      <c r="AD23" s="268">
        <v>1611</v>
      </c>
      <c r="AE23" s="97">
        <v>3</v>
      </c>
      <c r="AF23" s="155">
        <v>0</v>
      </c>
      <c r="AG23" s="206">
        <v>200238</v>
      </c>
      <c r="AH23" s="177">
        <v>70</v>
      </c>
      <c r="AI23" s="158">
        <v>190</v>
      </c>
      <c r="AJ23" s="158">
        <v>120</v>
      </c>
      <c r="AK23" s="102">
        <v>1730543</v>
      </c>
      <c r="AL23" s="103">
        <v>360</v>
      </c>
      <c r="AM23" s="102">
        <v>61956</v>
      </c>
      <c r="AN23" s="103">
        <v>18</v>
      </c>
      <c r="AO23" s="108">
        <v>123978</v>
      </c>
      <c r="AP23" s="104">
        <v>0</v>
      </c>
      <c r="AQ23" s="108">
        <v>131322</v>
      </c>
      <c r="AR23" s="104">
        <v>0</v>
      </c>
      <c r="AS23" s="108">
        <v>1792859</v>
      </c>
      <c r="AT23" s="297">
        <v>378</v>
      </c>
      <c r="AU23" s="189">
        <v>1200</v>
      </c>
      <c r="AV23" s="158">
        <v>822</v>
      </c>
      <c r="AW23" s="109">
        <v>0</v>
      </c>
      <c r="AX23" s="109">
        <v>0</v>
      </c>
      <c r="AY23" s="109">
        <v>0</v>
      </c>
      <c r="AZ23" s="109">
        <v>130</v>
      </c>
      <c r="BA23" s="109">
        <v>130</v>
      </c>
      <c r="BB23" s="109">
        <v>13552</v>
      </c>
      <c r="BC23" s="107">
        <v>130</v>
      </c>
      <c r="BD23" s="108">
        <v>130</v>
      </c>
      <c r="BE23" s="159">
        <v>572000</v>
      </c>
      <c r="BF23" s="108" t="s">
        <v>189</v>
      </c>
      <c r="BG23" s="108" t="s">
        <v>190</v>
      </c>
      <c r="BH23" s="159">
        <v>13552</v>
      </c>
      <c r="BI23" s="160">
        <v>13552</v>
      </c>
      <c r="BJ23" s="161">
        <v>11217</v>
      </c>
      <c r="BK23" s="159">
        <v>409.35</v>
      </c>
      <c r="BL23" s="298">
        <v>555</v>
      </c>
      <c r="BM23" s="182">
        <v>14107</v>
      </c>
      <c r="BN23" s="198">
        <v>20400</v>
      </c>
      <c r="BO23" s="299">
        <v>6293</v>
      </c>
      <c r="BP23" s="144">
        <v>2851360</v>
      </c>
      <c r="BQ23" s="144">
        <v>20</v>
      </c>
      <c r="BR23" s="144">
        <v>3848615</v>
      </c>
      <c r="BS23" s="144">
        <v>2315</v>
      </c>
      <c r="BT23" s="187">
        <v>2335</v>
      </c>
      <c r="BU23" s="2">
        <v>11</v>
      </c>
      <c r="BV23" s="2">
        <v>20</v>
      </c>
      <c r="BW23" s="102" t="s">
        <v>127</v>
      </c>
      <c r="BX23" s="108" t="s">
        <v>127</v>
      </c>
      <c r="BY23" s="169" t="s">
        <v>127</v>
      </c>
      <c r="BZ23" s="137"/>
      <c r="CA23" s="137"/>
      <c r="CB23" s="137"/>
      <c r="CC23" s="200"/>
      <c r="CD23" s="137"/>
      <c r="CE23" s="137"/>
      <c r="CF23" s="137"/>
      <c r="CG23" s="137"/>
      <c r="CH23" s="137"/>
      <c r="CI23" s="137"/>
      <c r="CJ23" s="137"/>
      <c r="CK23" s="137"/>
      <c r="CL23" s="137"/>
      <c r="CM23" s="137"/>
      <c r="CN23" s="137"/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7"/>
      <c r="DB23" s="137"/>
      <c r="DC23" s="137"/>
      <c r="DD23" s="137"/>
      <c r="DE23" s="137"/>
      <c r="DF23" s="137"/>
      <c r="DG23" s="137"/>
      <c r="DH23" s="137"/>
      <c r="DI23" s="137"/>
      <c r="DJ23" s="137"/>
      <c r="DK23" s="137"/>
      <c r="DL23" s="137"/>
      <c r="DM23" s="137"/>
      <c r="DN23" s="137"/>
      <c r="DO23" s="137"/>
      <c r="DP23" s="137"/>
      <c r="DQ23" s="137"/>
      <c r="DR23" s="137"/>
      <c r="DS23" s="137"/>
      <c r="DT23" s="137"/>
      <c r="DU23" s="137"/>
      <c r="DV23" s="137"/>
      <c r="DW23" s="137"/>
      <c r="DX23" s="137"/>
      <c r="DY23" s="137"/>
      <c r="DZ23" s="137"/>
      <c r="EA23" s="137"/>
      <c r="EB23" s="137"/>
      <c r="EC23" s="137"/>
      <c r="ED23" s="137"/>
      <c r="EE23" s="137"/>
      <c r="EF23" s="137"/>
      <c r="EG23" s="137"/>
      <c r="EH23" s="137"/>
      <c r="EI23" s="137"/>
      <c r="EJ23" s="137"/>
      <c r="EK23" s="137"/>
      <c r="EL23" s="137"/>
      <c r="EM23" s="137"/>
      <c r="EN23" s="137"/>
      <c r="EO23" s="137"/>
      <c r="EP23" s="137"/>
      <c r="EQ23" s="137"/>
      <c r="ER23" s="137"/>
      <c r="ES23" s="137"/>
      <c r="ET23" s="137"/>
      <c r="EU23" s="137"/>
      <c r="EV23" s="137"/>
      <c r="EW23" s="137"/>
      <c r="EX23" s="137"/>
      <c r="EY23" s="137"/>
      <c r="EZ23" s="137"/>
      <c r="FA23" s="137"/>
      <c r="FB23" s="137"/>
      <c r="FC23" s="137"/>
      <c r="FD23" s="134" t="s">
        <v>127</v>
      </c>
      <c r="FE23" s="134" t="s">
        <v>127</v>
      </c>
      <c r="FF23" s="134" t="s">
        <v>127</v>
      </c>
      <c r="FG23" s="134" t="s">
        <v>127</v>
      </c>
      <c r="FH23" s="134" t="s">
        <v>127</v>
      </c>
      <c r="FI23" s="134" t="s">
        <v>127</v>
      </c>
      <c r="FJ23" s="134" t="s">
        <v>127</v>
      </c>
      <c r="FK23" s="134" t="s">
        <v>127</v>
      </c>
      <c r="FL23" s="134" t="s">
        <v>127</v>
      </c>
      <c r="FM23" s="134" t="s">
        <v>127</v>
      </c>
      <c r="FN23" s="134" t="s">
        <v>127</v>
      </c>
      <c r="FO23" s="134" t="s">
        <v>127</v>
      </c>
      <c r="FP23" s="134" t="s">
        <v>127</v>
      </c>
      <c r="FQ23" s="134" t="s">
        <v>127</v>
      </c>
      <c r="FR23" s="134" t="s">
        <v>127</v>
      </c>
      <c r="FS23" s="134" t="s">
        <v>127</v>
      </c>
      <c r="FT23" s="134" t="s">
        <v>127</v>
      </c>
      <c r="FU23" s="134" t="s">
        <v>127</v>
      </c>
      <c r="FV23" s="134" t="s">
        <v>127</v>
      </c>
      <c r="FW23" s="134" t="s">
        <v>127</v>
      </c>
      <c r="FX23" s="134" t="s">
        <v>127</v>
      </c>
      <c r="FY23" s="134" t="s">
        <v>127</v>
      </c>
      <c r="FZ23" s="134" t="s">
        <v>127</v>
      </c>
      <c r="GA23" s="134" t="s">
        <v>127</v>
      </c>
      <c r="GB23" s="134" t="s">
        <v>127</v>
      </c>
      <c r="GC23" s="134" t="s">
        <v>127</v>
      </c>
      <c r="GD23" s="134" t="s">
        <v>127</v>
      </c>
      <c r="GE23" s="134" t="s">
        <v>127</v>
      </c>
      <c r="GF23" s="134" t="s">
        <v>127</v>
      </c>
      <c r="GG23" s="134" t="s">
        <v>127</v>
      </c>
      <c r="GH23" s="134" t="s">
        <v>127</v>
      </c>
      <c r="GI23" s="134" t="s">
        <v>127</v>
      </c>
      <c r="GJ23" s="134" t="s">
        <v>127</v>
      </c>
      <c r="GK23" s="134" t="s">
        <v>127</v>
      </c>
      <c r="GL23" s="134" t="s">
        <v>127</v>
      </c>
      <c r="GM23" s="134" t="s">
        <v>127</v>
      </c>
      <c r="GN23" s="134" t="s">
        <v>127</v>
      </c>
      <c r="GO23" s="134" t="s">
        <v>127</v>
      </c>
      <c r="GP23" s="134" t="s">
        <v>127</v>
      </c>
      <c r="GQ23" s="134" t="s">
        <v>127</v>
      </c>
      <c r="GR23" s="134" t="s">
        <v>127</v>
      </c>
      <c r="GS23" s="134" t="s">
        <v>127</v>
      </c>
      <c r="GT23" s="134" t="s">
        <v>127</v>
      </c>
      <c r="GU23" s="134" t="s">
        <v>127</v>
      </c>
      <c r="GV23" s="134" t="s">
        <v>127</v>
      </c>
      <c r="GW23" s="134" t="s">
        <v>127</v>
      </c>
      <c r="GX23" s="134" t="s">
        <v>127</v>
      </c>
      <c r="GY23" s="134" t="s">
        <v>127</v>
      </c>
      <c r="GZ23" s="134" t="s">
        <v>127</v>
      </c>
      <c r="HA23" s="134" t="s">
        <v>127</v>
      </c>
      <c r="HB23" s="134" t="s">
        <v>127</v>
      </c>
      <c r="HC23" s="134" t="s">
        <v>127</v>
      </c>
      <c r="HD23" s="134" t="s">
        <v>127</v>
      </c>
      <c r="HE23" s="134" t="s">
        <v>127</v>
      </c>
      <c r="HF23" s="134" t="s">
        <v>127</v>
      </c>
      <c r="HG23" s="134" t="s">
        <v>127</v>
      </c>
      <c r="HH23" s="134" t="s">
        <v>127</v>
      </c>
      <c r="HI23" s="134" t="s">
        <v>127</v>
      </c>
      <c r="HJ23" s="134" t="s">
        <v>127</v>
      </c>
      <c r="HK23" s="134" t="s">
        <v>127</v>
      </c>
      <c r="HL23" s="134" t="s">
        <v>127</v>
      </c>
      <c r="HM23" s="134" t="s">
        <v>127</v>
      </c>
      <c r="HN23" s="134" t="s">
        <v>127</v>
      </c>
      <c r="HO23" s="134" t="s">
        <v>127</v>
      </c>
      <c r="HP23" s="134" t="s">
        <v>127</v>
      </c>
      <c r="HQ23" s="134" t="s">
        <v>127</v>
      </c>
      <c r="HR23" s="134" t="s">
        <v>127</v>
      </c>
      <c r="HS23" s="134" t="s">
        <v>127</v>
      </c>
      <c r="HT23" s="134" t="s">
        <v>127</v>
      </c>
      <c r="HU23" s="134" t="s">
        <v>127</v>
      </c>
      <c r="HV23" s="134" t="s">
        <v>127</v>
      </c>
      <c r="HW23" s="134" t="s">
        <v>127</v>
      </c>
      <c r="HX23" s="134" t="s">
        <v>127</v>
      </c>
      <c r="HY23" s="134" t="s">
        <v>127</v>
      </c>
      <c r="HZ23" s="134" t="s">
        <v>127</v>
      </c>
      <c r="IA23" s="134" t="s">
        <v>127</v>
      </c>
      <c r="IB23" s="134" t="s">
        <v>127</v>
      </c>
      <c r="IC23" s="134" t="s">
        <v>127</v>
      </c>
      <c r="ID23" s="134" t="s">
        <v>127</v>
      </c>
      <c r="IE23" s="134" t="s">
        <v>127</v>
      </c>
      <c r="IF23" s="134" t="s">
        <v>127</v>
      </c>
      <c r="IG23" s="134" t="s">
        <v>127</v>
      </c>
      <c r="IH23" s="134" t="s">
        <v>127</v>
      </c>
      <c r="II23" s="134" t="s">
        <v>127</v>
      </c>
      <c r="IJ23" s="134" t="s">
        <v>127</v>
      </c>
      <c r="IK23" s="134" t="s">
        <v>127</v>
      </c>
      <c r="IL23" s="134" t="s">
        <v>127</v>
      </c>
      <c r="IM23" s="134" t="s">
        <v>127</v>
      </c>
      <c r="IN23" s="134" t="s">
        <v>127</v>
      </c>
      <c r="IO23" s="134" t="s">
        <v>127</v>
      </c>
      <c r="IP23" s="133"/>
      <c r="IQ23" s="133"/>
    </row>
    <row r="24" spans="1:251" ht="24.9" customHeight="1">
      <c r="A24" s="205">
        <v>20</v>
      </c>
      <c r="B24" s="142" t="s">
        <v>127</v>
      </c>
      <c r="C24" s="142">
        <v>70582</v>
      </c>
      <c r="D24" s="142">
        <v>232072</v>
      </c>
      <c r="E24" s="143">
        <v>33</v>
      </c>
      <c r="F24" s="143">
        <v>11</v>
      </c>
      <c r="G24" s="142" t="s">
        <v>127</v>
      </c>
      <c r="H24" s="142">
        <v>129718</v>
      </c>
      <c r="I24" s="144">
        <v>77571</v>
      </c>
      <c r="J24" s="164">
        <v>2</v>
      </c>
      <c r="K24" s="145">
        <v>14837</v>
      </c>
      <c r="L24" s="145">
        <v>3</v>
      </c>
      <c r="M24" s="123">
        <v>123</v>
      </c>
      <c r="N24" s="147">
        <v>4</v>
      </c>
      <c r="O24" s="123">
        <v>99</v>
      </c>
      <c r="P24" s="147">
        <v>4</v>
      </c>
      <c r="Q24" s="115">
        <v>57022</v>
      </c>
      <c r="R24" s="96">
        <v>0</v>
      </c>
      <c r="S24" s="150">
        <v>25344</v>
      </c>
      <c r="T24" s="97">
        <v>0</v>
      </c>
      <c r="U24" s="153">
        <v>9613</v>
      </c>
      <c r="V24" s="153">
        <v>1695</v>
      </c>
      <c r="W24" s="96">
        <v>0</v>
      </c>
      <c r="X24" s="268">
        <v>33330</v>
      </c>
      <c r="Y24" s="97">
        <v>22</v>
      </c>
      <c r="Z24" s="154">
        <v>7867</v>
      </c>
      <c r="AA24" s="154">
        <v>7025</v>
      </c>
      <c r="AB24" s="96">
        <v>4</v>
      </c>
      <c r="AC24" s="268">
        <v>2286</v>
      </c>
      <c r="AD24" s="268">
        <v>1612</v>
      </c>
      <c r="AE24" s="97">
        <v>2</v>
      </c>
      <c r="AF24" s="155">
        <v>0</v>
      </c>
      <c r="AG24" s="206">
        <v>200300</v>
      </c>
      <c r="AH24" s="261">
        <v>62</v>
      </c>
      <c r="AI24" s="158">
        <v>190</v>
      </c>
      <c r="AJ24" s="158">
        <v>128</v>
      </c>
      <c r="AK24" s="102">
        <v>1731011</v>
      </c>
      <c r="AL24" s="103">
        <v>468</v>
      </c>
      <c r="AM24" s="102">
        <v>61984</v>
      </c>
      <c r="AN24" s="103">
        <v>28</v>
      </c>
      <c r="AO24" s="108">
        <v>123978</v>
      </c>
      <c r="AP24" s="104">
        <v>0</v>
      </c>
      <c r="AQ24" s="108">
        <v>131322</v>
      </c>
      <c r="AR24" s="104">
        <v>0</v>
      </c>
      <c r="AS24" s="108">
        <v>1793463</v>
      </c>
      <c r="AT24" s="300">
        <v>496</v>
      </c>
      <c r="AU24" s="189">
        <v>1200</v>
      </c>
      <c r="AV24" s="158">
        <v>704</v>
      </c>
      <c r="AW24" s="109">
        <v>0</v>
      </c>
      <c r="AX24" s="109">
        <v>0</v>
      </c>
      <c r="AY24" s="109">
        <v>0</v>
      </c>
      <c r="AZ24" s="109" t="s">
        <v>191</v>
      </c>
      <c r="BA24" s="109">
        <v>133.04</v>
      </c>
      <c r="BB24" s="109">
        <v>13376</v>
      </c>
      <c r="BC24" s="107" t="s">
        <v>191</v>
      </c>
      <c r="BD24" s="108" t="s">
        <v>191</v>
      </c>
      <c r="BE24" s="159">
        <v>585376</v>
      </c>
      <c r="BF24" s="108" t="s">
        <v>192</v>
      </c>
      <c r="BG24" s="108" t="s">
        <v>193</v>
      </c>
      <c r="BH24" s="159">
        <v>13376</v>
      </c>
      <c r="BI24" s="160">
        <v>13376</v>
      </c>
      <c r="BJ24" s="161">
        <v>11467</v>
      </c>
      <c r="BK24" s="159">
        <v>414.21</v>
      </c>
      <c r="BL24" s="301">
        <v>486</v>
      </c>
      <c r="BM24" s="181">
        <v>13862</v>
      </c>
      <c r="BN24" s="198">
        <v>20400</v>
      </c>
      <c r="BO24" s="302">
        <v>6538</v>
      </c>
      <c r="BP24" s="144">
        <v>2851380</v>
      </c>
      <c r="BQ24" s="144">
        <v>20</v>
      </c>
      <c r="BR24" s="144">
        <v>3850504</v>
      </c>
      <c r="BS24" s="144">
        <v>1889</v>
      </c>
      <c r="BT24" s="303">
        <v>1909</v>
      </c>
      <c r="BU24" s="2">
        <v>12</v>
      </c>
      <c r="BV24" s="2">
        <v>22</v>
      </c>
      <c r="BW24" s="102" t="s">
        <v>127</v>
      </c>
      <c r="BX24" s="108" t="s">
        <v>127</v>
      </c>
      <c r="BY24" s="169" t="s">
        <v>127</v>
      </c>
      <c r="BZ24" s="137"/>
      <c r="CA24" s="137"/>
      <c r="CB24" s="137"/>
      <c r="CC24" s="200"/>
      <c r="CD24" s="137"/>
      <c r="CE24" s="137"/>
      <c r="CF24" s="137"/>
      <c r="CG24" s="137"/>
      <c r="CH24" s="137"/>
      <c r="CI24" s="137"/>
      <c r="CJ24" s="137"/>
      <c r="CK24" s="137"/>
      <c r="CL24" s="137"/>
      <c r="CM24" s="137"/>
      <c r="CN24" s="137"/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  <c r="CZ24" s="137"/>
      <c r="DA24" s="137"/>
      <c r="DB24" s="137"/>
      <c r="DC24" s="137"/>
      <c r="DD24" s="137"/>
      <c r="DE24" s="137"/>
      <c r="DF24" s="137"/>
      <c r="DG24" s="137"/>
      <c r="DH24" s="137"/>
      <c r="DI24" s="137"/>
      <c r="DJ24" s="137"/>
      <c r="DK24" s="137"/>
      <c r="DL24" s="137"/>
      <c r="DM24" s="137"/>
      <c r="DN24" s="137"/>
      <c r="DO24" s="137"/>
      <c r="DP24" s="137"/>
      <c r="DQ24" s="137"/>
      <c r="DR24" s="137"/>
      <c r="DS24" s="137"/>
      <c r="DT24" s="137"/>
      <c r="DU24" s="137"/>
      <c r="DV24" s="137"/>
      <c r="DW24" s="137"/>
      <c r="DX24" s="137"/>
      <c r="DY24" s="137"/>
      <c r="DZ24" s="137"/>
      <c r="EA24" s="137"/>
      <c r="EB24" s="137"/>
      <c r="EC24" s="137"/>
      <c r="ED24" s="137"/>
      <c r="EE24" s="137"/>
      <c r="EF24" s="137"/>
      <c r="EG24" s="137"/>
      <c r="EH24" s="137"/>
      <c r="EI24" s="137"/>
      <c r="EJ24" s="137"/>
      <c r="EK24" s="137"/>
      <c r="EL24" s="137"/>
      <c r="EM24" s="137"/>
      <c r="EN24" s="137"/>
      <c r="EO24" s="137"/>
      <c r="EP24" s="137"/>
      <c r="EQ24" s="137"/>
      <c r="ER24" s="137"/>
      <c r="ES24" s="137"/>
      <c r="ET24" s="137"/>
      <c r="EU24" s="137"/>
      <c r="EV24" s="137"/>
      <c r="EW24" s="137"/>
      <c r="EX24" s="137"/>
      <c r="EY24" s="137"/>
      <c r="EZ24" s="137"/>
      <c r="FA24" s="137"/>
      <c r="FB24" s="137"/>
      <c r="FC24" s="137"/>
      <c r="FD24" s="134" t="s">
        <v>127</v>
      </c>
      <c r="FE24" s="134" t="s">
        <v>127</v>
      </c>
      <c r="FF24" s="134" t="s">
        <v>127</v>
      </c>
      <c r="FG24" s="134" t="s">
        <v>127</v>
      </c>
      <c r="FH24" s="134" t="s">
        <v>127</v>
      </c>
      <c r="FI24" s="134" t="s">
        <v>127</v>
      </c>
      <c r="FJ24" s="134" t="s">
        <v>127</v>
      </c>
      <c r="FK24" s="134" t="s">
        <v>127</v>
      </c>
      <c r="FL24" s="134" t="s">
        <v>127</v>
      </c>
      <c r="FM24" s="134" t="s">
        <v>127</v>
      </c>
      <c r="FN24" s="134" t="s">
        <v>127</v>
      </c>
      <c r="FO24" s="134" t="s">
        <v>127</v>
      </c>
      <c r="FP24" s="134" t="s">
        <v>127</v>
      </c>
      <c r="FQ24" s="134" t="s">
        <v>127</v>
      </c>
      <c r="FR24" s="134" t="s">
        <v>127</v>
      </c>
      <c r="FS24" s="134" t="s">
        <v>127</v>
      </c>
      <c r="FT24" s="134" t="s">
        <v>127</v>
      </c>
      <c r="FU24" s="134" t="s">
        <v>127</v>
      </c>
      <c r="FV24" s="134" t="s">
        <v>127</v>
      </c>
      <c r="FW24" s="134" t="s">
        <v>127</v>
      </c>
      <c r="FX24" s="134" t="s">
        <v>127</v>
      </c>
      <c r="FY24" s="134" t="s">
        <v>127</v>
      </c>
      <c r="FZ24" s="134" t="s">
        <v>127</v>
      </c>
      <c r="GA24" s="134" t="s">
        <v>127</v>
      </c>
      <c r="GB24" s="134" t="s">
        <v>127</v>
      </c>
      <c r="GC24" s="134" t="s">
        <v>127</v>
      </c>
      <c r="GD24" s="134" t="s">
        <v>127</v>
      </c>
      <c r="GE24" s="134" t="s">
        <v>127</v>
      </c>
      <c r="GF24" s="134" t="s">
        <v>127</v>
      </c>
      <c r="GG24" s="134" t="s">
        <v>127</v>
      </c>
      <c r="GH24" s="134" t="s">
        <v>127</v>
      </c>
      <c r="GI24" s="134" t="s">
        <v>127</v>
      </c>
      <c r="GJ24" s="134" t="s">
        <v>127</v>
      </c>
      <c r="GK24" s="134" t="s">
        <v>127</v>
      </c>
      <c r="GL24" s="134" t="s">
        <v>127</v>
      </c>
      <c r="GM24" s="134" t="s">
        <v>127</v>
      </c>
      <c r="GN24" s="134" t="s">
        <v>127</v>
      </c>
      <c r="GO24" s="134" t="s">
        <v>127</v>
      </c>
      <c r="GP24" s="134" t="s">
        <v>127</v>
      </c>
      <c r="GQ24" s="134" t="s">
        <v>127</v>
      </c>
      <c r="GR24" s="134" t="s">
        <v>127</v>
      </c>
      <c r="GS24" s="134" t="s">
        <v>127</v>
      </c>
      <c r="GT24" s="134" t="s">
        <v>127</v>
      </c>
      <c r="GU24" s="134" t="s">
        <v>127</v>
      </c>
      <c r="GV24" s="134" t="s">
        <v>127</v>
      </c>
      <c r="GW24" s="134" t="s">
        <v>127</v>
      </c>
      <c r="GX24" s="134" t="s">
        <v>127</v>
      </c>
      <c r="GY24" s="134" t="s">
        <v>127</v>
      </c>
      <c r="GZ24" s="134" t="s">
        <v>127</v>
      </c>
      <c r="HA24" s="134" t="s">
        <v>127</v>
      </c>
      <c r="HB24" s="134" t="s">
        <v>127</v>
      </c>
      <c r="HC24" s="134" t="s">
        <v>127</v>
      </c>
      <c r="HD24" s="134" t="s">
        <v>127</v>
      </c>
      <c r="HE24" s="134" t="s">
        <v>127</v>
      </c>
      <c r="HF24" s="134" t="s">
        <v>127</v>
      </c>
      <c r="HG24" s="134" t="s">
        <v>127</v>
      </c>
      <c r="HH24" s="134" t="s">
        <v>127</v>
      </c>
      <c r="HI24" s="134" t="s">
        <v>127</v>
      </c>
      <c r="HJ24" s="134" t="s">
        <v>127</v>
      </c>
      <c r="HK24" s="134" t="s">
        <v>127</v>
      </c>
      <c r="HL24" s="134" t="s">
        <v>127</v>
      </c>
      <c r="HM24" s="134" t="s">
        <v>127</v>
      </c>
      <c r="HN24" s="134" t="s">
        <v>127</v>
      </c>
      <c r="HO24" s="134" t="s">
        <v>127</v>
      </c>
      <c r="HP24" s="134" t="s">
        <v>127</v>
      </c>
      <c r="HQ24" s="134" t="s">
        <v>127</v>
      </c>
      <c r="HR24" s="134" t="s">
        <v>127</v>
      </c>
      <c r="HS24" s="134" t="s">
        <v>127</v>
      </c>
      <c r="HT24" s="134" t="s">
        <v>127</v>
      </c>
      <c r="HU24" s="134" t="s">
        <v>127</v>
      </c>
      <c r="HV24" s="134" t="s">
        <v>127</v>
      </c>
      <c r="HW24" s="134" t="s">
        <v>127</v>
      </c>
      <c r="HX24" s="134" t="s">
        <v>127</v>
      </c>
      <c r="HY24" s="134" t="s">
        <v>127</v>
      </c>
      <c r="HZ24" s="134" t="s">
        <v>127</v>
      </c>
      <c r="IA24" s="134" t="s">
        <v>127</v>
      </c>
      <c r="IB24" s="134" t="s">
        <v>127</v>
      </c>
      <c r="IC24" s="134" t="s">
        <v>127</v>
      </c>
      <c r="ID24" s="134" t="s">
        <v>127</v>
      </c>
      <c r="IE24" s="134" t="s">
        <v>127</v>
      </c>
      <c r="IF24" s="134" t="s">
        <v>127</v>
      </c>
      <c r="IG24" s="134" t="s">
        <v>127</v>
      </c>
      <c r="IH24" s="134" t="s">
        <v>127</v>
      </c>
      <c r="II24" s="134" t="s">
        <v>127</v>
      </c>
      <c r="IJ24" s="134" t="s">
        <v>127</v>
      </c>
      <c r="IK24" s="134" t="s">
        <v>127</v>
      </c>
      <c r="IL24" s="134" t="s">
        <v>127</v>
      </c>
      <c r="IM24" s="134" t="s">
        <v>127</v>
      </c>
      <c r="IN24" s="134" t="s">
        <v>127</v>
      </c>
      <c r="IO24" s="134" t="s">
        <v>127</v>
      </c>
      <c r="IP24" s="133"/>
      <c r="IQ24" s="133"/>
    </row>
    <row r="25" spans="1:251" ht="24.9" customHeight="1">
      <c r="A25" s="183">
        <v>21</v>
      </c>
      <c r="B25" s="142" t="s">
        <v>127</v>
      </c>
      <c r="C25" s="142">
        <v>70582</v>
      </c>
      <c r="D25" s="142">
        <v>232105</v>
      </c>
      <c r="E25" s="143">
        <v>33</v>
      </c>
      <c r="F25" s="143">
        <v>25</v>
      </c>
      <c r="G25" s="142" t="s">
        <v>127</v>
      </c>
      <c r="H25" s="142">
        <v>129778</v>
      </c>
      <c r="I25" s="144">
        <v>77573</v>
      </c>
      <c r="J25" s="164">
        <v>2</v>
      </c>
      <c r="K25" s="145">
        <v>14841</v>
      </c>
      <c r="L25" s="145">
        <v>4</v>
      </c>
      <c r="M25" s="123">
        <v>128</v>
      </c>
      <c r="N25" s="147">
        <v>5</v>
      </c>
      <c r="O25" s="123">
        <v>101</v>
      </c>
      <c r="P25" s="147">
        <v>2</v>
      </c>
      <c r="Q25" s="115">
        <v>57022</v>
      </c>
      <c r="R25" s="96">
        <v>0</v>
      </c>
      <c r="S25" s="150">
        <v>25344</v>
      </c>
      <c r="T25" s="97">
        <v>0</v>
      </c>
      <c r="U25" s="153">
        <v>9613</v>
      </c>
      <c r="V25" s="153">
        <v>1695</v>
      </c>
      <c r="W25" s="96">
        <v>0</v>
      </c>
      <c r="X25" s="268">
        <v>33338</v>
      </c>
      <c r="Y25" s="97">
        <v>8</v>
      </c>
      <c r="Z25" s="154">
        <v>7870</v>
      </c>
      <c r="AA25" s="154">
        <v>7028</v>
      </c>
      <c r="AB25" s="96">
        <v>6</v>
      </c>
      <c r="AC25" s="268">
        <v>2287</v>
      </c>
      <c r="AD25" s="268">
        <v>1612</v>
      </c>
      <c r="AE25" s="97">
        <v>1</v>
      </c>
      <c r="AF25" s="155">
        <v>0</v>
      </c>
      <c r="AG25" s="206">
        <v>200360</v>
      </c>
      <c r="AH25" s="170">
        <v>60</v>
      </c>
      <c r="AI25" s="158">
        <v>190</v>
      </c>
      <c r="AJ25" s="158">
        <v>130</v>
      </c>
      <c r="AK25" s="102">
        <v>1731357</v>
      </c>
      <c r="AL25" s="103">
        <v>346</v>
      </c>
      <c r="AM25" s="102">
        <v>62019</v>
      </c>
      <c r="AN25" s="103">
        <v>35</v>
      </c>
      <c r="AO25" s="108">
        <v>123978</v>
      </c>
      <c r="AP25" s="104">
        <v>0</v>
      </c>
      <c r="AQ25" s="108">
        <v>131322</v>
      </c>
      <c r="AR25" s="104">
        <v>0</v>
      </c>
      <c r="AS25" s="108">
        <v>1793722</v>
      </c>
      <c r="AT25" s="304">
        <v>381</v>
      </c>
      <c r="AU25" s="189">
        <v>1200</v>
      </c>
      <c r="AV25" s="158">
        <v>819</v>
      </c>
      <c r="AW25" s="109">
        <v>0</v>
      </c>
      <c r="AX25" s="109">
        <v>0</v>
      </c>
      <c r="AY25" s="109">
        <v>0</v>
      </c>
      <c r="AZ25" s="109" t="s">
        <v>194</v>
      </c>
      <c r="BA25" s="109">
        <v>135.85</v>
      </c>
      <c r="BB25" s="109">
        <v>12364</v>
      </c>
      <c r="BC25" s="107" t="s">
        <v>194</v>
      </c>
      <c r="BD25" s="108" t="s">
        <v>194</v>
      </c>
      <c r="BE25" s="159">
        <v>597740</v>
      </c>
      <c r="BF25" s="108" t="s">
        <v>195</v>
      </c>
      <c r="BG25" s="108" t="s">
        <v>196</v>
      </c>
      <c r="BH25" s="159">
        <v>12364</v>
      </c>
      <c r="BI25" s="160">
        <v>12364</v>
      </c>
      <c r="BJ25" s="161">
        <v>10424</v>
      </c>
      <c r="BK25" s="159">
        <v>418.64</v>
      </c>
      <c r="BL25" s="240">
        <v>443</v>
      </c>
      <c r="BM25" s="173">
        <v>12807</v>
      </c>
      <c r="BN25" s="198">
        <v>20400</v>
      </c>
      <c r="BO25" s="305">
        <v>7593</v>
      </c>
      <c r="BP25" s="144">
        <v>2851400</v>
      </c>
      <c r="BQ25" s="144">
        <v>20</v>
      </c>
      <c r="BR25" s="144">
        <v>3852424</v>
      </c>
      <c r="BS25" s="144">
        <v>1920</v>
      </c>
      <c r="BT25" s="261">
        <v>1940</v>
      </c>
      <c r="BU25" s="2">
        <v>7</v>
      </c>
      <c r="BV25" s="2">
        <v>14</v>
      </c>
      <c r="BW25" s="102" t="s">
        <v>127</v>
      </c>
      <c r="BX25" s="108" t="s">
        <v>127</v>
      </c>
      <c r="BY25" s="169" t="s">
        <v>127</v>
      </c>
      <c r="BZ25" s="137"/>
      <c r="CA25" s="137"/>
      <c r="CB25" s="137"/>
      <c r="CC25" s="200"/>
      <c r="CD25" s="137"/>
      <c r="CE25" s="137"/>
      <c r="CF25" s="137"/>
      <c r="CG25" s="137"/>
      <c r="CH25" s="137"/>
      <c r="CI25" s="137"/>
      <c r="CJ25" s="137"/>
      <c r="CK25" s="137"/>
      <c r="CL25" s="137"/>
      <c r="CM25" s="137"/>
      <c r="CN25" s="137"/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7"/>
      <c r="DB25" s="137"/>
      <c r="DC25" s="137"/>
      <c r="DD25" s="137"/>
      <c r="DE25" s="137"/>
      <c r="DF25" s="137"/>
      <c r="DG25" s="137"/>
      <c r="DH25" s="137"/>
      <c r="DI25" s="137"/>
      <c r="DJ25" s="137"/>
      <c r="DK25" s="137"/>
      <c r="DL25" s="137"/>
      <c r="DM25" s="137"/>
      <c r="DN25" s="137"/>
      <c r="DO25" s="137"/>
      <c r="DP25" s="137"/>
      <c r="DQ25" s="137"/>
      <c r="DR25" s="137"/>
      <c r="DS25" s="137"/>
      <c r="DT25" s="137"/>
      <c r="DU25" s="137"/>
      <c r="DV25" s="137"/>
      <c r="DW25" s="137"/>
      <c r="DX25" s="137"/>
      <c r="DY25" s="137"/>
      <c r="DZ25" s="137"/>
      <c r="EA25" s="137"/>
      <c r="EB25" s="137"/>
      <c r="EC25" s="137"/>
      <c r="ED25" s="137"/>
      <c r="EE25" s="137"/>
      <c r="EF25" s="137"/>
      <c r="EG25" s="137"/>
      <c r="EH25" s="137"/>
      <c r="EI25" s="137"/>
      <c r="EJ25" s="137"/>
      <c r="EK25" s="137"/>
      <c r="EL25" s="137"/>
      <c r="EM25" s="137"/>
      <c r="EN25" s="137"/>
      <c r="EO25" s="137"/>
      <c r="EP25" s="137"/>
      <c r="EQ25" s="137"/>
      <c r="ER25" s="137"/>
      <c r="ES25" s="137"/>
      <c r="ET25" s="137"/>
      <c r="EU25" s="137"/>
      <c r="EV25" s="137"/>
      <c r="EW25" s="137"/>
      <c r="EX25" s="137"/>
      <c r="EY25" s="137"/>
      <c r="EZ25" s="137"/>
      <c r="FA25" s="137"/>
      <c r="FB25" s="137"/>
      <c r="FC25" s="137"/>
      <c r="FD25" s="134" t="s">
        <v>127</v>
      </c>
      <c r="FE25" s="134" t="s">
        <v>127</v>
      </c>
      <c r="FF25" s="134" t="s">
        <v>127</v>
      </c>
      <c r="FG25" s="134" t="s">
        <v>127</v>
      </c>
      <c r="FH25" s="134" t="s">
        <v>127</v>
      </c>
      <c r="FI25" s="134" t="s">
        <v>127</v>
      </c>
      <c r="FJ25" s="134" t="s">
        <v>127</v>
      </c>
      <c r="FK25" s="134" t="s">
        <v>127</v>
      </c>
      <c r="FL25" s="134" t="s">
        <v>127</v>
      </c>
      <c r="FM25" s="134" t="s">
        <v>127</v>
      </c>
      <c r="FN25" s="134" t="s">
        <v>127</v>
      </c>
      <c r="FO25" s="134" t="s">
        <v>127</v>
      </c>
      <c r="FP25" s="134" t="s">
        <v>127</v>
      </c>
      <c r="FQ25" s="134" t="s">
        <v>127</v>
      </c>
      <c r="FR25" s="134" t="s">
        <v>127</v>
      </c>
      <c r="FS25" s="134" t="s">
        <v>127</v>
      </c>
      <c r="FT25" s="134" t="s">
        <v>127</v>
      </c>
      <c r="FU25" s="134" t="s">
        <v>127</v>
      </c>
      <c r="FV25" s="134" t="s">
        <v>127</v>
      </c>
      <c r="FW25" s="134" t="s">
        <v>127</v>
      </c>
      <c r="FX25" s="134" t="s">
        <v>127</v>
      </c>
      <c r="FY25" s="134" t="s">
        <v>127</v>
      </c>
      <c r="FZ25" s="134" t="s">
        <v>127</v>
      </c>
      <c r="GA25" s="134" t="s">
        <v>127</v>
      </c>
      <c r="GB25" s="134" t="s">
        <v>127</v>
      </c>
      <c r="GC25" s="134" t="s">
        <v>127</v>
      </c>
      <c r="GD25" s="134" t="s">
        <v>127</v>
      </c>
      <c r="GE25" s="134" t="s">
        <v>127</v>
      </c>
      <c r="GF25" s="134" t="s">
        <v>127</v>
      </c>
      <c r="GG25" s="134" t="s">
        <v>127</v>
      </c>
      <c r="GH25" s="134" t="s">
        <v>127</v>
      </c>
      <c r="GI25" s="134" t="s">
        <v>127</v>
      </c>
      <c r="GJ25" s="134" t="s">
        <v>127</v>
      </c>
      <c r="GK25" s="134" t="s">
        <v>127</v>
      </c>
      <c r="GL25" s="134" t="s">
        <v>127</v>
      </c>
      <c r="GM25" s="134" t="s">
        <v>127</v>
      </c>
      <c r="GN25" s="134" t="s">
        <v>127</v>
      </c>
      <c r="GO25" s="134" t="s">
        <v>127</v>
      </c>
      <c r="GP25" s="134" t="s">
        <v>127</v>
      </c>
      <c r="GQ25" s="134" t="s">
        <v>127</v>
      </c>
      <c r="GR25" s="134" t="s">
        <v>127</v>
      </c>
      <c r="GS25" s="134" t="s">
        <v>127</v>
      </c>
      <c r="GT25" s="134" t="s">
        <v>127</v>
      </c>
      <c r="GU25" s="134" t="s">
        <v>127</v>
      </c>
      <c r="GV25" s="134" t="s">
        <v>127</v>
      </c>
      <c r="GW25" s="134" t="s">
        <v>127</v>
      </c>
      <c r="GX25" s="134" t="s">
        <v>127</v>
      </c>
      <c r="GY25" s="134" t="s">
        <v>127</v>
      </c>
      <c r="GZ25" s="134" t="s">
        <v>127</v>
      </c>
      <c r="HA25" s="134" t="s">
        <v>127</v>
      </c>
      <c r="HB25" s="134" t="s">
        <v>127</v>
      </c>
      <c r="HC25" s="134" t="s">
        <v>127</v>
      </c>
      <c r="HD25" s="134" t="s">
        <v>127</v>
      </c>
      <c r="HE25" s="134" t="s">
        <v>127</v>
      </c>
      <c r="HF25" s="134" t="s">
        <v>127</v>
      </c>
      <c r="HG25" s="134" t="s">
        <v>127</v>
      </c>
      <c r="HH25" s="134" t="s">
        <v>127</v>
      </c>
      <c r="HI25" s="134" t="s">
        <v>127</v>
      </c>
      <c r="HJ25" s="134" t="s">
        <v>127</v>
      </c>
      <c r="HK25" s="134" t="s">
        <v>127</v>
      </c>
      <c r="HL25" s="134" t="s">
        <v>127</v>
      </c>
      <c r="HM25" s="134" t="s">
        <v>127</v>
      </c>
      <c r="HN25" s="134" t="s">
        <v>127</v>
      </c>
      <c r="HO25" s="134" t="s">
        <v>127</v>
      </c>
      <c r="HP25" s="134" t="s">
        <v>127</v>
      </c>
      <c r="HQ25" s="134" t="s">
        <v>127</v>
      </c>
      <c r="HR25" s="134" t="s">
        <v>127</v>
      </c>
      <c r="HS25" s="134" t="s">
        <v>127</v>
      </c>
      <c r="HT25" s="134" t="s">
        <v>127</v>
      </c>
      <c r="HU25" s="134" t="s">
        <v>127</v>
      </c>
      <c r="HV25" s="134" t="s">
        <v>127</v>
      </c>
      <c r="HW25" s="134" t="s">
        <v>127</v>
      </c>
      <c r="HX25" s="134" t="s">
        <v>127</v>
      </c>
      <c r="HY25" s="134" t="s">
        <v>127</v>
      </c>
      <c r="HZ25" s="134" t="s">
        <v>127</v>
      </c>
      <c r="IA25" s="134" t="s">
        <v>127</v>
      </c>
      <c r="IB25" s="134" t="s">
        <v>127</v>
      </c>
      <c r="IC25" s="134" t="s">
        <v>127</v>
      </c>
      <c r="ID25" s="134" t="s">
        <v>127</v>
      </c>
      <c r="IE25" s="134" t="s">
        <v>127</v>
      </c>
      <c r="IF25" s="134" t="s">
        <v>127</v>
      </c>
      <c r="IG25" s="134" t="s">
        <v>127</v>
      </c>
      <c r="IH25" s="134" t="s">
        <v>127</v>
      </c>
      <c r="II25" s="134" t="s">
        <v>127</v>
      </c>
      <c r="IJ25" s="134" t="s">
        <v>127</v>
      </c>
      <c r="IK25" s="134" t="s">
        <v>127</v>
      </c>
      <c r="IL25" s="134" t="s">
        <v>127</v>
      </c>
      <c r="IM25" s="134" t="s">
        <v>127</v>
      </c>
      <c r="IN25" s="134" t="s">
        <v>127</v>
      </c>
      <c r="IO25" s="134" t="s">
        <v>127</v>
      </c>
      <c r="IP25" s="133"/>
      <c r="IQ25" s="133"/>
    </row>
    <row r="26" spans="1:251" ht="24.9" customHeight="1">
      <c r="A26" s="205">
        <v>22</v>
      </c>
      <c r="B26" s="142" t="s">
        <v>127</v>
      </c>
      <c r="C26" s="142">
        <v>70582</v>
      </c>
      <c r="D26" s="142">
        <v>232148</v>
      </c>
      <c r="E26" s="143">
        <v>43</v>
      </c>
      <c r="F26" s="143">
        <v>22</v>
      </c>
      <c r="G26" s="142" t="s">
        <v>127</v>
      </c>
      <c r="H26" s="142">
        <v>129847</v>
      </c>
      <c r="I26" s="144">
        <v>77574</v>
      </c>
      <c r="J26" s="195">
        <v>1</v>
      </c>
      <c r="K26" s="145">
        <v>14843</v>
      </c>
      <c r="L26" s="145">
        <v>2</v>
      </c>
      <c r="M26" s="123">
        <v>131</v>
      </c>
      <c r="N26" s="147">
        <v>3</v>
      </c>
      <c r="O26" s="123">
        <v>103</v>
      </c>
      <c r="P26" s="147">
        <v>2</v>
      </c>
      <c r="Q26" s="115">
        <v>57026</v>
      </c>
      <c r="R26" s="96">
        <v>4</v>
      </c>
      <c r="S26" s="150">
        <v>25345</v>
      </c>
      <c r="T26" s="97">
        <v>1</v>
      </c>
      <c r="U26" s="153">
        <v>9614</v>
      </c>
      <c r="V26" s="153">
        <v>1695</v>
      </c>
      <c r="W26" s="96">
        <v>1</v>
      </c>
      <c r="X26" s="268">
        <v>33359</v>
      </c>
      <c r="Y26" s="97">
        <v>21</v>
      </c>
      <c r="Z26" s="154">
        <v>7874</v>
      </c>
      <c r="AA26" s="154">
        <v>7030</v>
      </c>
      <c r="AB26" s="96">
        <v>6</v>
      </c>
      <c r="AC26" s="268">
        <v>2288</v>
      </c>
      <c r="AD26" s="268">
        <v>1614</v>
      </c>
      <c r="AE26" s="97">
        <v>3</v>
      </c>
      <c r="AF26" s="155">
        <v>6</v>
      </c>
      <c r="AG26" s="206">
        <v>200429</v>
      </c>
      <c r="AH26" s="306">
        <v>69</v>
      </c>
      <c r="AI26" s="158">
        <v>190</v>
      </c>
      <c r="AJ26" s="158">
        <v>121</v>
      </c>
      <c r="AK26" s="102">
        <v>1731737</v>
      </c>
      <c r="AL26" s="103">
        <v>380</v>
      </c>
      <c r="AM26" s="102">
        <v>62040</v>
      </c>
      <c r="AN26" s="103">
        <v>21</v>
      </c>
      <c r="AO26" s="108">
        <v>124077</v>
      </c>
      <c r="AP26" s="104">
        <v>99</v>
      </c>
      <c r="AQ26" s="108">
        <v>131322</v>
      </c>
      <c r="AR26" s="104">
        <v>0</v>
      </c>
      <c r="AS26" s="108">
        <v>1794157</v>
      </c>
      <c r="AT26" s="179">
        <v>401</v>
      </c>
      <c r="AU26" s="189">
        <v>1200</v>
      </c>
      <c r="AV26" s="158">
        <v>799</v>
      </c>
      <c r="AW26" s="109">
        <v>0</v>
      </c>
      <c r="AX26" s="109">
        <v>0</v>
      </c>
      <c r="AY26" s="109">
        <v>0</v>
      </c>
      <c r="AZ26" s="109" t="s">
        <v>197</v>
      </c>
      <c r="BA26" s="109">
        <v>138.87</v>
      </c>
      <c r="BB26" s="109">
        <v>13288</v>
      </c>
      <c r="BC26" s="107" t="s">
        <v>197</v>
      </c>
      <c r="BD26" s="108" t="s">
        <v>197</v>
      </c>
      <c r="BE26" s="159">
        <v>611028</v>
      </c>
      <c r="BF26" s="108" t="s">
        <v>198</v>
      </c>
      <c r="BG26" s="108" t="s">
        <v>199</v>
      </c>
      <c r="BH26" s="159">
        <v>13288</v>
      </c>
      <c r="BI26" s="160">
        <v>13288</v>
      </c>
      <c r="BJ26" s="161">
        <v>11391</v>
      </c>
      <c r="BK26" s="159">
        <v>423.89</v>
      </c>
      <c r="BL26" s="307">
        <v>525</v>
      </c>
      <c r="BM26" s="136">
        <v>13813</v>
      </c>
      <c r="BN26" s="198">
        <v>20400</v>
      </c>
      <c r="BO26" s="308">
        <v>6587</v>
      </c>
      <c r="BP26" s="144">
        <v>2851419</v>
      </c>
      <c r="BQ26" s="144">
        <v>19</v>
      </c>
      <c r="BR26" s="144">
        <v>3854302</v>
      </c>
      <c r="BS26" s="144">
        <v>1878</v>
      </c>
      <c r="BT26" s="309">
        <v>1897</v>
      </c>
      <c r="BU26" s="2">
        <v>7</v>
      </c>
      <c r="BV26" s="2">
        <v>14</v>
      </c>
      <c r="BW26" s="102" t="s">
        <v>127</v>
      </c>
      <c r="BX26" s="108" t="s">
        <v>127</v>
      </c>
      <c r="BY26" s="169" t="s">
        <v>127</v>
      </c>
      <c r="BZ26" s="137"/>
      <c r="CA26" s="137"/>
      <c r="CB26" s="137"/>
      <c r="CC26" s="200"/>
      <c r="CD26" s="137"/>
      <c r="CE26" s="137"/>
      <c r="CF26" s="137"/>
      <c r="CG26" s="137"/>
      <c r="CH26" s="137"/>
      <c r="CI26" s="137"/>
      <c r="CJ26" s="137"/>
      <c r="CK26" s="137"/>
      <c r="CL26" s="137"/>
      <c r="CM26" s="137"/>
      <c r="CN26" s="137"/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  <c r="CZ26" s="137"/>
      <c r="DA26" s="137"/>
      <c r="DB26" s="137"/>
      <c r="DC26" s="137"/>
      <c r="DD26" s="137"/>
      <c r="DE26" s="137"/>
      <c r="DF26" s="137"/>
      <c r="DG26" s="137"/>
      <c r="DH26" s="137"/>
      <c r="DI26" s="137"/>
      <c r="DJ26" s="137"/>
      <c r="DK26" s="137"/>
      <c r="DL26" s="137"/>
      <c r="DM26" s="137"/>
      <c r="DN26" s="137"/>
      <c r="DO26" s="137"/>
      <c r="DP26" s="137"/>
      <c r="DQ26" s="137"/>
      <c r="DR26" s="137"/>
      <c r="DS26" s="137"/>
      <c r="DT26" s="137"/>
      <c r="DU26" s="137"/>
      <c r="DV26" s="137"/>
      <c r="DW26" s="137"/>
      <c r="DX26" s="137"/>
      <c r="DY26" s="137"/>
      <c r="DZ26" s="137"/>
      <c r="EA26" s="137"/>
      <c r="EB26" s="137"/>
      <c r="EC26" s="137"/>
      <c r="ED26" s="137"/>
      <c r="EE26" s="137"/>
      <c r="EF26" s="137"/>
      <c r="EG26" s="137"/>
      <c r="EH26" s="137"/>
      <c r="EI26" s="137"/>
      <c r="EJ26" s="137"/>
      <c r="EK26" s="137"/>
      <c r="EL26" s="137"/>
      <c r="EM26" s="137"/>
      <c r="EN26" s="137"/>
      <c r="EO26" s="137"/>
      <c r="EP26" s="137"/>
      <c r="EQ26" s="137"/>
      <c r="ER26" s="137"/>
      <c r="ES26" s="137"/>
      <c r="ET26" s="137"/>
      <c r="EU26" s="137"/>
      <c r="EV26" s="137"/>
      <c r="EW26" s="137"/>
      <c r="EX26" s="137"/>
      <c r="EY26" s="137"/>
      <c r="EZ26" s="137"/>
      <c r="FA26" s="137"/>
      <c r="FB26" s="137"/>
      <c r="FC26" s="137"/>
      <c r="FD26" s="134" t="s">
        <v>127</v>
      </c>
      <c r="FE26" s="134" t="s">
        <v>127</v>
      </c>
      <c r="FF26" s="134" t="s">
        <v>127</v>
      </c>
      <c r="FG26" s="134" t="s">
        <v>127</v>
      </c>
      <c r="FH26" s="134" t="s">
        <v>127</v>
      </c>
      <c r="FI26" s="134" t="s">
        <v>127</v>
      </c>
      <c r="FJ26" s="134" t="s">
        <v>127</v>
      </c>
      <c r="FK26" s="134" t="s">
        <v>127</v>
      </c>
      <c r="FL26" s="134" t="s">
        <v>127</v>
      </c>
      <c r="FM26" s="134" t="s">
        <v>127</v>
      </c>
      <c r="FN26" s="134" t="s">
        <v>127</v>
      </c>
      <c r="FO26" s="134" t="s">
        <v>127</v>
      </c>
      <c r="FP26" s="134" t="s">
        <v>127</v>
      </c>
      <c r="FQ26" s="134" t="s">
        <v>127</v>
      </c>
      <c r="FR26" s="134" t="s">
        <v>127</v>
      </c>
      <c r="FS26" s="134" t="s">
        <v>127</v>
      </c>
      <c r="FT26" s="134" t="s">
        <v>127</v>
      </c>
      <c r="FU26" s="134" t="s">
        <v>127</v>
      </c>
      <c r="FV26" s="134" t="s">
        <v>127</v>
      </c>
      <c r="FW26" s="134" t="s">
        <v>127</v>
      </c>
      <c r="FX26" s="134" t="s">
        <v>127</v>
      </c>
      <c r="FY26" s="134" t="s">
        <v>127</v>
      </c>
      <c r="FZ26" s="134" t="s">
        <v>127</v>
      </c>
      <c r="GA26" s="134" t="s">
        <v>127</v>
      </c>
      <c r="GB26" s="134" t="s">
        <v>127</v>
      </c>
      <c r="GC26" s="134" t="s">
        <v>127</v>
      </c>
      <c r="GD26" s="134" t="s">
        <v>127</v>
      </c>
      <c r="GE26" s="134" t="s">
        <v>127</v>
      </c>
      <c r="GF26" s="134" t="s">
        <v>127</v>
      </c>
      <c r="GG26" s="134" t="s">
        <v>127</v>
      </c>
      <c r="GH26" s="134" t="s">
        <v>127</v>
      </c>
      <c r="GI26" s="134" t="s">
        <v>127</v>
      </c>
      <c r="GJ26" s="134" t="s">
        <v>127</v>
      </c>
      <c r="GK26" s="134" t="s">
        <v>127</v>
      </c>
      <c r="GL26" s="134" t="s">
        <v>127</v>
      </c>
      <c r="GM26" s="134" t="s">
        <v>127</v>
      </c>
      <c r="GN26" s="134" t="s">
        <v>127</v>
      </c>
      <c r="GO26" s="134" t="s">
        <v>127</v>
      </c>
      <c r="GP26" s="134" t="s">
        <v>127</v>
      </c>
      <c r="GQ26" s="134" t="s">
        <v>127</v>
      </c>
      <c r="GR26" s="134" t="s">
        <v>127</v>
      </c>
      <c r="GS26" s="134" t="s">
        <v>127</v>
      </c>
      <c r="GT26" s="134" t="s">
        <v>127</v>
      </c>
      <c r="GU26" s="134" t="s">
        <v>127</v>
      </c>
      <c r="GV26" s="134" t="s">
        <v>127</v>
      </c>
      <c r="GW26" s="134" t="s">
        <v>127</v>
      </c>
      <c r="GX26" s="134" t="s">
        <v>127</v>
      </c>
      <c r="GY26" s="134" t="s">
        <v>127</v>
      </c>
      <c r="GZ26" s="134" t="s">
        <v>127</v>
      </c>
      <c r="HA26" s="134" t="s">
        <v>127</v>
      </c>
      <c r="HB26" s="134" t="s">
        <v>127</v>
      </c>
      <c r="HC26" s="134" t="s">
        <v>127</v>
      </c>
      <c r="HD26" s="134" t="s">
        <v>127</v>
      </c>
      <c r="HE26" s="134" t="s">
        <v>127</v>
      </c>
      <c r="HF26" s="134" t="s">
        <v>127</v>
      </c>
      <c r="HG26" s="134" t="s">
        <v>127</v>
      </c>
      <c r="HH26" s="134" t="s">
        <v>127</v>
      </c>
      <c r="HI26" s="134" t="s">
        <v>127</v>
      </c>
      <c r="HJ26" s="134" t="s">
        <v>127</v>
      </c>
      <c r="HK26" s="134" t="s">
        <v>127</v>
      </c>
      <c r="HL26" s="134" t="s">
        <v>127</v>
      </c>
      <c r="HM26" s="134" t="s">
        <v>127</v>
      </c>
      <c r="HN26" s="134" t="s">
        <v>127</v>
      </c>
      <c r="HO26" s="134" t="s">
        <v>127</v>
      </c>
      <c r="HP26" s="134" t="s">
        <v>127</v>
      </c>
      <c r="HQ26" s="134" t="s">
        <v>127</v>
      </c>
      <c r="HR26" s="134" t="s">
        <v>127</v>
      </c>
      <c r="HS26" s="134" t="s">
        <v>127</v>
      </c>
      <c r="HT26" s="134" t="s">
        <v>127</v>
      </c>
      <c r="HU26" s="134" t="s">
        <v>127</v>
      </c>
      <c r="HV26" s="134" t="s">
        <v>127</v>
      </c>
      <c r="HW26" s="134" t="s">
        <v>127</v>
      </c>
      <c r="HX26" s="134" t="s">
        <v>127</v>
      </c>
      <c r="HY26" s="134" t="s">
        <v>127</v>
      </c>
      <c r="HZ26" s="134" t="s">
        <v>127</v>
      </c>
      <c r="IA26" s="134" t="s">
        <v>127</v>
      </c>
      <c r="IB26" s="134" t="s">
        <v>127</v>
      </c>
      <c r="IC26" s="134" t="s">
        <v>127</v>
      </c>
      <c r="ID26" s="134" t="s">
        <v>127</v>
      </c>
      <c r="IE26" s="134" t="s">
        <v>127</v>
      </c>
      <c r="IF26" s="134" t="s">
        <v>127</v>
      </c>
      <c r="IG26" s="134" t="s">
        <v>127</v>
      </c>
      <c r="IH26" s="134" t="s">
        <v>127</v>
      </c>
      <c r="II26" s="134" t="s">
        <v>127</v>
      </c>
      <c r="IJ26" s="134" t="s">
        <v>127</v>
      </c>
      <c r="IK26" s="134" t="s">
        <v>127</v>
      </c>
      <c r="IL26" s="134" t="s">
        <v>127</v>
      </c>
      <c r="IM26" s="134" t="s">
        <v>127</v>
      </c>
      <c r="IN26" s="134" t="s">
        <v>127</v>
      </c>
      <c r="IO26" s="134" t="s">
        <v>127</v>
      </c>
      <c r="IP26" s="133"/>
      <c r="IQ26" s="133"/>
    </row>
    <row r="27" spans="1:251" ht="24.9" customHeight="1">
      <c r="A27" s="205">
        <v>23</v>
      </c>
      <c r="B27" s="142" t="s">
        <v>127</v>
      </c>
      <c r="C27" s="142">
        <v>70582</v>
      </c>
      <c r="D27" s="142">
        <v>232200</v>
      </c>
      <c r="E27" s="143">
        <v>52</v>
      </c>
      <c r="F27" s="143">
        <v>24</v>
      </c>
      <c r="G27" s="142" t="s">
        <v>127</v>
      </c>
      <c r="H27" s="142">
        <v>129954</v>
      </c>
      <c r="I27" s="144">
        <v>77596</v>
      </c>
      <c r="J27" s="140">
        <v>22</v>
      </c>
      <c r="K27" s="145">
        <v>14845</v>
      </c>
      <c r="L27" s="145">
        <v>2</v>
      </c>
      <c r="M27" s="123">
        <v>135</v>
      </c>
      <c r="N27" s="147">
        <v>4</v>
      </c>
      <c r="O27" s="123">
        <v>105</v>
      </c>
      <c r="P27" s="147">
        <v>2</v>
      </c>
      <c r="Q27" s="115">
        <v>57036</v>
      </c>
      <c r="R27" s="96">
        <v>10</v>
      </c>
      <c r="S27" s="150">
        <v>25345</v>
      </c>
      <c r="T27" s="97">
        <v>0</v>
      </c>
      <c r="U27" s="153">
        <v>9620</v>
      </c>
      <c r="V27" s="153">
        <v>1695</v>
      </c>
      <c r="W27" s="96">
        <v>6</v>
      </c>
      <c r="X27" s="268">
        <v>33387</v>
      </c>
      <c r="Y27" s="97">
        <v>28</v>
      </c>
      <c r="Z27" s="154">
        <v>7877</v>
      </c>
      <c r="AA27" s="154">
        <v>7032</v>
      </c>
      <c r="AB27" s="96">
        <v>5</v>
      </c>
      <c r="AC27" s="268">
        <v>2290</v>
      </c>
      <c r="AD27" s="268">
        <v>1614</v>
      </c>
      <c r="AE27" s="97">
        <v>2</v>
      </c>
      <c r="AF27" s="155">
        <v>16</v>
      </c>
      <c r="AG27" s="206">
        <v>200536</v>
      </c>
      <c r="AH27" s="310">
        <v>107</v>
      </c>
      <c r="AI27" s="158">
        <v>191</v>
      </c>
      <c r="AJ27" s="158">
        <v>84</v>
      </c>
      <c r="AK27" s="102">
        <v>1732548</v>
      </c>
      <c r="AL27" s="103">
        <v>811</v>
      </c>
      <c r="AM27" s="102">
        <v>62061</v>
      </c>
      <c r="AN27" s="103">
        <v>21</v>
      </c>
      <c r="AO27" s="108">
        <v>124633</v>
      </c>
      <c r="AP27" s="104">
        <v>556</v>
      </c>
      <c r="AQ27" s="108">
        <v>131322</v>
      </c>
      <c r="AR27" s="104">
        <v>0</v>
      </c>
      <c r="AS27" s="108">
        <v>1795420</v>
      </c>
      <c r="AT27" s="311">
        <v>832</v>
      </c>
      <c r="AU27" s="189">
        <v>1200</v>
      </c>
      <c r="AV27" s="158">
        <v>368</v>
      </c>
      <c r="AW27" s="109">
        <v>0</v>
      </c>
      <c r="AX27" s="109">
        <v>0</v>
      </c>
      <c r="AY27" s="109">
        <v>0</v>
      </c>
      <c r="AZ27" s="109" t="s">
        <v>200</v>
      </c>
      <c r="BA27" s="109">
        <v>141.88999999999999</v>
      </c>
      <c r="BB27" s="109">
        <v>13288</v>
      </c>
      <c r="BC27" s="107" t="s">
        <v>200</v>
      </c>
      <c r="BD27" s="108" t="s">
        <v>200</v>
      </c>
      <c r="BE27" s="159">
        <v>624316</v>
      </c>
      <c r="BF27" s="108" t="s">
        <v>201</v>
      </c>
      <c r="BG27" s="108" t="s">
        <v>199</v>
      </c>
      <c r="BH27" s="159">
        <v>13288</v>
      </c>
      <c r="BI27" s="160">
        <v>13288</v>
      </c>
      <c r="BJ27" s="161">
        <v>11176</v>
      </c>
      <c r="BK27" s="159">
        <v>429.28</v>
      </c>
      <c r="BL27" s="312">
        <v>539</v>
      </c>
      <c r="BM27" s="136">
        <v>13827</v>
      </c>
      <c r="BN27" s="313">
        <v>20401</v>
      </c>
      <c r="BO27" s="308">
        <v>6574</v>
      </c>
      <c r="BP27" s="144">
        <v>2851439</v>
      </c>
      <c r="BQ27" s="144">
        <v>20</v>
      </c>
      <c r="BR27" s="144">
        <v>3856394</v>
      </c>
      <c r="BS27" s="144">
        <v>2092</v>
      </c>
      <c r="BT27" s="306">
        <v>2112</v>
      </c>
      <c r="BU27" s="2">
        <v>6</v>
      </c>
      <c r="BV27" s="2">
        <v>8</v>
      </c>
      <c r="BW27" s="102" t="s">
        <v>127</v>
      </c>
      <c r="BX27" s="102" t="s">
        <v>127</v>
      </c>
      <c r="BY27" s="169" t="s">
        <v>127</v>
      </c>
      <c r="BZ27" s="137"/>
      <c r="CA27" s="137"/>
      <c r="CB27" s="137"/>
      <c r="CC27" s="200"/>
      <c r="CD27" s="137"/>
      <c r="CE27" s="137"/>
      <c r="CF27" s="137"/>
      <c r="CG27" s="137"/>
      <c r="CH27" s="137"/>
      <c r="CI27" s="137"/>
      <c r="CJ27" s="137"/>
      <c r="CK27" s="137"/>
      <c r="CL27" s="137"/>
      <c r="CM27" s="137"/>
      <c r="CN27" s="137"/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7"/>
      <c r="DB27" s="137"/>
      <c r="DC27" s="137"/>
      <c r="DD27" s="137"/>
      <c r="DE27" s="137"/>
      <c r="DF27" s="137"/>
      <c r="DG27" s="137"/>
      <c r="DH27" s="137"/>
      <c r="DI27" s="137"/>
      <c r="DJ27" s="137"/>
      <c r="DK27" s="137"/>
      <c r="DL27" s="137"/>
      <c r="DM27" s="137"/>
      <c r="DN27" s="137"/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7"/>
      <c r="EB27" s="137"/>
      <c r="EC27" s="137"/>
      <c r="ED27" s="137"/>
      <c r="EE27" s="137"/>
      <c r="EF27" s="137"/>
      <c r="EG27" s="137"/>
      <c r="EH27" s="137"/>
      <c r="EI27" s="137"/>
      <c r="EJ27" s="137"/>
      <c r="EK27" s="137"/>
      <c r="EL27" s="137"/>
      <c r="EM27" s="137"/>
      <c r="EN27" s="137"/>
      <c r="EO27" s="137"/>
      <c r="EP27" s="137"/>
      <c r="EQ27" s="137"/>
      <c r="ER27" s="137"/>
      <c r="ES27" s="137"/>
      <c r="ET27" s="137"/>
      <c r="EU27" s="137"/>
      <c r="EV27" s="137"/>
      <c r="EW27" s="137"/>
      <c r="EX27" s="137"/>
      <c r="EY27" s="137"/>
      <c r="EZ27" s="137"/>
      <c r="FA27" s="137"/>
      <c r="FB27" s="137"/>
      <c r="FC27" s="137"/>
      <c r="FD27" s="134" t="s">
        <v>127</v>
      </c>
      <c r="FE27" s="134" t="s">
        <v>127</v>
      </c>
      <c r="FF27" s="134" t="s">
        <v>127</v>
      </c>
      <c r="FG27" s="134" t="s">
        <v>127</v>
      </c>
      <c r="FH27" s="134" t="s">
        <v>127</v>
      </c>
      <c r="FI27" s="134" t="s">
        <v>127</v>
      </c>
      <c r="FJ27" s="134" t="s">
        <v>127</v>
      </c>
      <c r="FK27" s="134" t="s">
        <v>127</v>
      </c>
      <c r="FL27" s="134" t="s">
        <v>127</v>
      </c>
      <c r="FM27" s="134" t="s">
        <v>127</v>
      </c>
      <c r="FN27" s="134" t="s">
        <v>127</v>
      </c>
      <c r="FO27" s="134" t="s">
        <v>127</v>
      </c>
      <c r="FP27" s="134" t="s">
        <v>127</v>
      </c>
      <c r="FQ27" s="134" t="s">
        <v>127</v>
      </c>
      <c r="FR27" s="134" t="s">
        <v>127</v>
      </c>
      <c r="FS27" s="134" t="s">
        <v>127</v>
      </c>
      <c r="FT27" s="134" t="s">
        <v>127</v>
      </c>
      <c r="FU27" s="134" t="s">
        <v>127</v>
      </c>
      <c r="FV27" s="134" t="s">
        <v>127</v>
      </c>
      <c r="FW27" s="134" t="s">
        <v>127</v>
      </c>
      <c r="FX27" s="134" t="s">
        <v>127</v>
      </c>
      <c r="FY27" s="134" t="s">
        <v>127</v>
      </c>
      <c r="FZ27" s="134" t="s">
        <v>127</v>
      </c>
      <c r="GA27" s="134" t="s">
        <v>127</v>
      </c>
      <c r="GB27" s="134" t="s">
        <v>127</v>
      </c>
      <c r="GC27" s="134" t="s">
        <v>127</v>
      </c>
      <c r="GD27" s="134" t="s">
        <v>127</v>
      </c>
      <c r="GE27" s="134" t="s">
        <v>127</v>
      </c>
      <c r="GF27" s="134" t="s">
        <v>127</v>
      </c>
      <c r="GG27" s="134" t="s">
        <v>127</v>
      </c>
      <c r="GH27" s="134" t="s">
        <v>127</v>
      </c>
      <c r="GI27" s="134" t="s">
        <v>127</v>
      </c>
      <c r="GJ27" s="134" t="s">
        <v>127</v>
      </c>
      <c r="GK27" s="134" t="s">
        <v>127</v>
      </c>
      <c r="GL27" s="134" t="s">
        <v>127</v>
      </c>
      <c r="GM27" s="134" t="s">
        <v>127</v>
      </c>
      <c r="GN27" s="134" t="s">
        <v>127</v>
      </c>
      <c r="GO27" s="134" t="s">
        <v>127</v>
      </c>
      <c r="GP27" s="134" t="s">
        <v>127</v>
      </c>
      <c r="GQ27" s="134" t="s">
        <v>127</v>
      </c>
      <c r="GR27" s="134" t="s">
        <v>127</v>
      </c>
      <c r="GS27" s="134" t="s">
        <v>127</v>
      </c>
      <c r="GT27" s="134" t="s">
        <v>127</v>
      </c>
      <c r="GU27" s="134" t="s">
        <v>127</v>
      </c>
      <c r="GV27" s="134" t="s">
        <v>127</v>
      </c>
      <c r="GW27" s="134" t="s">
        <v>127</v>
      </c>
      <c r="GX27" s="134" t="s">
        <v>127</v>
      </c>
      <c r="GY27" s="134" t="s">
        <v>127</v>
      </c>
      <c r="GZ27" s="134" t="s">
        <v>127</v>
      </c>
      <c r="HA27" s="134" t="s">
        <v>127</v>
      </c>
      <c r="HB27" s="134" t="s">
        <v>127</v>
      </c>
      <c r="HC27" s="134" t="s">
        <v>127</v>
      </c>
      <c r="HD27" s="134" t="s">
        <v>127</v>
      </c>
      <c r="HE27" s="134" t="s">
        <v>127</v>
      </c>
      <c r="HF27" s="134" t="s">
        <v>127</v>
      </c>
      <c r="HG27" s="134" t="s">
        <v>127</v>
      </c>
      <c r="HH27" s="134" t="s">
        <v>127</v>
      </c>
      <c r="HI27" s="134" t="s">
        <v>127</v>
      </c>
      <c r="HJ27" s="134" t="s">
        <v>127</v>
      </c>
      <c r="HK27" s="134" t="s">
        <v>127</v>
      </c>
      <c r="HL27" s="134" t="s">
        <v>127</v>
      </c>
      <c r="HM27" s="134" t="s">
        <v>127</v>
      </c>
      <c r="HN27" s="134" t="s">
        <v>127</v>
      </c>
      <c r="HO27" s="134" t="s">
        <v>127</v>
      </c>
      <c r="HP27" s="134" t="s">
        <v>127</v>
      </c>
      <c r="HQ27" s="134" t="s">
        <v>127</v>
      </c>
      <c r="HR27" s="134" t="s">
        <v>127</v>
      </c>
      <c r="HS27" s="134" t="s">
        <v>127</v>
      </c>
      <c r="HT27" s="134" t="s">
        <v>127</v>
      </c>
      <c r="HU27" s="134" t="s">
        <v>127</v>
      </c>
      <c r="HV27" s="134" t="s">
        <v>127</v>
      </c>
      <c r="HW27" s="134" t="s">
        <v>127</v>
      </c>
      <c r="HX27" s="134" t="s">
        <v>127</v>
      </c>
      <c r="HY27" s="134" t="s">
        <v>127</v>
      </c>
      <c r="HZ27" s="134" t="s">
        <v>127</v>
      </c>
      <c r="IA27" s="134" t="s">
        <v>127</v>
      </c>
      <c r="IB27" s="134" t="s">
        <v>127</v>
      </c>
      <c r="IC27" s="134" t="s">
        <v>127</v>
      </c>
      <c r="ID27" s="134" t="s">
        <v>127</v>
      </c>
      <c r="IE27" s="134" t="s">
        <v>127</v>
      </c>
      <c r="IF27" s="134" t="s">
        <v>127</v>
      </c>
      <c r="IG27" s="134" t="s">
        <v>127</v>
      </c>
      <c r="IH27" s="134" t="s">
        <v>127</v>
      </c>
      <c r="II27" s="134" t="s">
        <v>127</v>
      </c>
      <c r="IJ27" s="134" t="s">
        <v>127</v>
      </c>
      <c r="IK27" s="134" t="s">
        <v>127</v>
      </c>
      <c r="IL27" s="134" t="s">
        <v>127</v>
      </c>
      <c r="IM27" s="134" t="s">
        <v>127</v>
      </c>
      <c r="IN27" s="134" t="s">
        <v>127</v>
      </c>
      <c r="IO27" s="134" t="s">
        <v>127</v>
      </c>
      <c r="IP27" s="133"/>
      <c r="IQ27" s="133"/>
    </row>
    <row r="28" spans="1:251" ht="24.9" customHeight="1">
      <c r="A28" s="205">
        <v>24</v>
      </c>
      <c r="B28" s="142" t="s">
        <v>127</v>
      </c>
      <c r="C28" s="142">
        <v>70582</v>
      </c>
      <c r="D28" s="142">
        <v>232233</v>
      </c>
      <c r="E28" s="143">
        <v>33</v>
      </c>
      <c r="F28" s="143">
        <v>11</v>
      </c>
      <c r="G28" s="142" t="s">
        <v>127</v>
      </c>
      <c r="H28" s="142">
        <v>130011</v>
      </c>
      <c r="I28" s="144">
        <v>77600</v>
      </c>
      <c r="J28" s="306">
        <v>4</v>
      </c>
      <c r="K28" s="145">
        <v>14847</v>
      </c>
      <c r="L28" s="145">
        <v>2</v>
      </c>
      <c r="M28" s="123">
        <v>138</v>
      </c>
      <c r="N28" s="147">
        <v>3</v>
      </c>
      <c r="O28" s="123">
        <v>107</v>
      </c>
      <c r="P28" s="147">
        <v>2</v>
      </c>
      <c r="Q28" s="115">
        <v>57036</v>
      </c>
      <c r="R28" s="96">
        <v>0</v>
      </c>
      <c r="S28" s="150">
        <v>25346</v>
      </c>
      <c r="T28" s="97">
        <v>1</v>
      </c>
      <c r="U28" s="153">
        <v>9621</v>
      </c>
      <c r="V28" s="153">
        <v>1695</v>
      </c>
      <c r="W28" s="96">
        <v>1</v>
      </c>
      <c r="X28" s="268">
        <v>33409</v>
      </c>
      <c r="Y28" s="97">
        <v>22</v>
      </c>
      <c r="Z28" s="154">
        <v>7880</v>
      </c>
      <c r="AA28" s="154">
        <v>7034</v>
      </c>
      <c r="AB28" s="96">
        <v>5</v>
      </c>
      <c r="AC28" s="268">
        <v>2292</v>
      </c>
      <c r="AD28" s="268">
        <v>1618</v>
      </c>
      <c r="AE28" s="97">
        <v>6</v>
      </c>
      <c r="AF28" s="155">
        <v>2</v>
      </c>
      <c r="AG28" s="206">
        <v>200593</v>
      </c>
      <c r="AH28" s="314">
        <v>57</v>
      </c>
      <c r="AI28" s="158">
        <v>192</v>
      </c>
      <c r="AJ28" s="158">
        <v>135</v>
      </c>
      <c r="AK28" s="102">
        <v>1732770</v>
      </c>
      <c r="AL28" s="103">
        <v>222</v>
      </c>
      <c r="AM28" s="102">
        <v>62077</v>
      </c>
      <c r="AN28" s="103">
        <v>16</v>
      </c>
      <c r="AO28" s="108">
        <v>124671</v>
      </c>
      <c r="AP28" s="104">
        <v>38</v>
      </c>
      <c r="AQ28" s="108">
        <v>131322</v>
      </c>
      <c r="AR28" s="104">
        <v>0</v>
      </c>
      <c r="AS28" s="108">
        <v>1795069</v>
      </c>
      <c r="AT28" s="196">
        <v>238</v>
      </c>
      <c r="AU28" s="189">
        <v>1200</v>
      </c>
      <c r="AV28" s="158">
        <v>962</v>
      </c>
      <c r="AW28" s="109">
        <v>0</v>
      </c>
      <c r="AX28" s="109">
        <v>0</v>
      </c>
      <c r="AY28" s="109">
        <v>0</v>
      </c>
      <c r="AZ28" s="109" t="s">
        <v>202</v>
      </c>
      <c r="BA28" s="109">
        <v>143.83000000000001</v>
      </c>
      <c r="BB28" s="109">
        <v>8536</v>
      </c>
      <c r="BC28" s="107" t="s">
        <v>202</v>
      </c>
      <c r="BD28" s="108" t="s">
        <v>202</v>
      </c>
      <c r="BE28" s="159">
        <v>632852</v>
      </c>
      <c r="BF28" s="108" t="s">
        <v>203</v>
      </c>
      <c r="BG28" s="108" t="s">
        <v>204</v>
      </c>
      <c r="BH28" s="159">
        <v>8536</v>
      </c>
      <c r="BI28" s="160">
        <v>8536</v>
      </c>
      <c r="BJ28" s="161">
        <v>7366</v>
      </c>
      <c r="BK28" s="159">
        <v>432.93</v>
      </c>
      <c r="BL28" s="315">
        <v>365</v>
      </c>
      <c r="BM28" s="219">
        <v>8901</v>
      </c>
      <c r="BN28" s="316">
        <v>20402</v>
      </c>
      <c r="BO28" s="220">
        <v>11501</v>
      </c>
      <c r="BP28" s="144">
        <v>2851450</v>
      </c>
      <c r="BQ28" s="144">
        <v>11</v>
      </c>
      <c r="BR28" s="144">
        <v>3857553</v>
      </c>
      <c r="BS28" s="144">
        <v>1159</v>
      </c>
      <c r="BT28" s="317">
        <v>1170</v>
      </c>
      <c r="BU28" s="2">
        <v>14</v>
      </c>
      <c r="BV28" s="2">
        <v>23</v>
      </c>
      <c r="BW28" s="102" t="s">
        <v>127</v>
      </c>
      <c r="BX28" s="102" t="s">
        <v>127</v>
      </c>
      <c r="BY28" s="169" t="s">
        <v>127</v>
      </c>
      <c r="BZ28" s="137"/>
      <c r="CA28" s="137"/>
      <c r="CB28" s="137"/>
      <c r="CC28" s="200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7"/>
      <c r="DB28" s="137"/>
      <c r="DC28" s="137"/>
      <c r="DD28" s="137"/>
      <c r="DE28" s="137"/>
      <c r="DF28" s="137"/>
      <c r="DG28" s="137"/>
      <c r="DH28" s="137"/>
      <c r="DI28" s="137"/>
      <c r="DJ28" s="137"/>
      <c r="DK28" s="137"/>
      <c r="DL28" s="137"/>
      <c r="DM28" s="137"/>
      <c r="DN28" s="137"/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7"/>
      <c r="EB28" s="137"/>
      <c r="EC28" s="137"/>
      <c r="ED28" s="137"/>
      <c r="EE28" s="137"/>
      <c r="EF28" s="137"/>
      <c r="EG28" s="137"/>
      <c r="EH28" s="137"/>
      <c r="EI28" s="137"/>
      <c r="EJ28" s="137"/>
      <c r="EK28" s="137"/>
      <c r="EL28" s="137"/>
      <c r="EM28" s="134" t="s">
        <v>127</v>
      </c>
      <c r="EN28" s="134" t="s">
        <v>127</v>
      </c>
      <c r="EO28" s="134" t="s">
        <v>127</v>
      </c>
      <c r="EP28" s="134" t="s">
        <v>127</v>
      </c>
      <c r="EQ28" s="134" t="s">
        <v>127</v>
      </c>
      <c r="ER28" s="134" t="s">
        <v>127</v>
      </c>
      <c r="ES28" s="134" t="s">
        <v>127</v>
      </c>
      <c r="ET28" s="134" t="s">
        <v>127</v>
      </c>
      <c r="EU28" s="134" t="s">
        <v>127</v>
      </c>
      <c r="EV28" s="134" t="s">
        <v>127</v>
      </c>
      <c r="EW28" s="134" t="s">
        <v>127</v>
      </c>
      <c r="EX28" s="134" t="s">
        <v>127</v>
      </c>
      <c r="EY28" s="134" t="s">
        <v>127</v>
      </c>
      <c r="EZ28" s="134" t="s">
        <v>127</v>
      </c>
      <c r="FA28" s="134" t="s">
        <v>127</v>
      </c>
      <c r="FB28" s="134" t="s">
        <v>127</v>
      </c>
      <c r="FC28" s="134" t="s">
        <v>127</v>
      </c>
      <c r="FD28" s="134" t="s">
        <v>127</v>
      </c>
      <c r="FE28" s="134" t="s">
        <v>127</v>
      </c>
      <c r="FF28" s="134" t="s">
        <v>127</v>
      </c>
      <c r="FG28" s="134" t="s">
        <v>127</v>
      </c>
      <c r="FH28" s="134" t="s">
        <v>127</v>
      </c>
      <c r="FI28" s="134" t="s">
        <v>127</v>
      </c>
      <c r="FJ28" s="134" t="s">
        <v>127</v>
      </c>
      <c r="FK28" s="134" t="s">
        <v>127</v>
      </c>
      <c r="FL28" s="134" t="s">
        <v>127</v>
      </c>
      <c r="FM28" s="134" t="s">
        <v>127</v>
      </c>
      <c r="FN28" s="134" t="s">
        <v>127</v>
      </c>
      <c r="FO28" s="134" t="s">
        <v>127</v>
      </c>
      <c r="FP28" s="134" t="s">
        <v>127</v>
      </c>
      <c r="FQ28" s="134" t="s">
        <v>127</v>
      </c>
      <c r="FR28" s="134" t="s">
        <v>127</v>
      </c>
      <c r="FS28" s="134" t="s">
        <v>127</v>
      </c>
      <c r="FT28" s="134" t="s">
        <v>127</v>
      </c>
      <c r="FU28" s="134" t="s">
        <v>127</v>
      </c>
      <c r="FV28" s="134" t="s">
        <v>127</v>
      </c>
      <c r="FW28" s="134" t="s">
        <v>127</v>
      </c>
      <c r="FX28" s="134" t="s">
        <v>127</v>
      </c>
      <c r="FY28" s="134" t="s">
        <v>127</v>
      </c>
      <c r="FZ28" s="134" t="s">
        <v>127</v>
      </c>
      <c r="GA28" s="134" t="s">
        <v>127</v>
      </c>
      <c r="GB28" s="134" t="s">
        <v>127</v>
      </c>
      <c r="GC28" s="134" t="s">
        <v>127</v>
      </c>
      <c r="GD28" s="134" t="s">
        <v>127</v>
      </c>
      <c r="GE28" s="134" t="s">
        <v>127</v>
      </c>
      <c r="GF28" s="134" t="s">
        <v>127</v>
      </c>
      <c r="GG28" s="134" t="s">
        <v>127</v>
      </c>
      <c r="GH28" s="134" t="s">
        <v>127</v>
      </c>
      <c r="GI28" s="134" t="s">
        <v>127</v>
      </c>
      <c r="GJ28" s="134" t="s">
        <v>127</v>
      </c>
      <c r="GK28" s="134" t="s">
        <v>127</v>
      </c>
      <c r="GL28" s="134" t="s">
        <v>127</v>
      </c>
      <c r="GM28" s="134" t="s">
        <v>127</v>
      </c>
      <c r="GN28" s="134" t="s">
        <v>127</v>
      </c>
      <c r="GO28" s="134" t="s">
        <v>127</v>
      </c>
      <c r="GP28" s="134" t="s">
        <v>127</v>
      </c>
      <c r="GQ28" s="134" t="s">
        <v>127</v>
      </c>
      <c r="GR28" s="134" t="s">
        <v>127</v>
      </c>
      <c r="GS28" s="134" t="s">
        <v>127</v>
      </c>
      <c r="GT28" s="134" t="s">
        <v>127</v>
      </c>
      <c r="GU28" s="134" t="s">
        <v>127</v>
      </c>
      <c r="GV28" s="134" t="s">
        <v>127</v>
      </c>
      <c r="GW28" s="134" t="s">
        <v>127</v>
      </c>
      <c r="GX28" s="134" t="s">
        <v>127</v>
      </c>
      <c r="GY28" s="134" t="s">
        <v>127</v>
      </c>
      <c r="GZ28" s="134" t="s">
        <v>127</v>
      </c>
      <c r="HA28" s="134" t="s">
        <v>127</v>
      </c>
      <c r="HB28" s="134" t="s">
        <v>127</v>
      </c>
      <c r="HC28" s="134" t="s">
        <v>127</v>
      </c>
      <c r="HD28" s="134" t="s">
        <v>127</v>
      </c>
      <c r="HE28" s="134" t="s">
        <v>127</v>
      </c>
      <c r="HF28" s="134" t="s">
        <v>127</v>
      </c>
      <c r="HG28" s="134" t="s">
        <v>127</v>
      </c>
      <c r="HH28" s="134" t="s">
        <v>127</v>
      </c>
      <c r="HI28" s="134" t="s">
        <v>127</v>
      </c>
      <c r="HJ28" s="134" t="s">
        <v>127</v>
      </c>
      <c r="HK28" s="134" t="s">
        <v>127</v>
      </c>
      <c r="HL28" s="134" t="s">
        <v>127</v>
      </c>
      <c r="HM28" s="134" t="s">
        <v>127</v>
      </c>
      <c r="HN28" s="134" t="s">
        <v>127</v>
      </c>
      <c r="HO28" s="134" t="s">
        <v>127</v>
      </c>
      <c r="HP28" s="134" t="s">
        <v>127</v>
      </c>
      <c r="HQ28" s="134" t="s">
        <v>127</v>
      </c>
      <c r="HR28" s="134" t="s">
        <v>127</v>
      </c>
      <c r="HS28" s="134" t="s">
        <v>127</v>
      </c>
      <c r="HT28" s="134" t="s">
        <v>127</v>
      </c>
      <c r="HU28" s="134" t="s">
        <v>127</v>
      </c>
      <c r="HV28" s="134" t="s">
        <v>127</v>
      </c>
      <c r="HW28" s="134" t="s">
        <v>127</v>
      </c>
      <c r="HX28" s="134" t="s">
        <v>127</v>
      </c>
      <c r="HY28" s="134" t="s">
        <v>127</v>
      </c>
      <c r="HZ28" s="134" t="s">
        <v>127</v>
      </c>
      <c r="IA28" s="134" t="s">
        <v>127</v>
      </c>
      <c r="IB28" s="134" t="s">
        <v>127</v>
      </c>
      <c r="IC28" s="134" t="s">
        <v>127</v>
      </c>
      <c r="ID28" s="134" t="s">
        <v>127</v>
      </c>
      <c r="IE28" s="134" t="s">
        <v>127</v>
      </c>
      <c r="IF28" s="134" t="s">
        <v>127</v>
      </c>
      <c r="IG28" s="134" t="s">
        <v>127</v>
      </c>
      <c r="IH28" s="134" t="s">
        <v>127</v>
      </c>
      <c r="II28" s="134" t="s">
        <v>127</v>
      </c>
      <c r="IJ28" s="134" t="s">
        <v>127</v>
      </c>
      <c r="IK28" s="134" t="s">
        <v>127</v>
      </c>
      <c r="IL28" s="134" t="s">
        <v>127</v>
      </c>
      <c r="IM28" s="134" t="s">
        <v>127</v>
      </c>
      <c r="IN28" s="134" t="s">
        <v>127</v>
      </c>
      <c r="IO28" s="134" t="s">
        <v>127</v>
      </c>
      <c r="IP28" s="133"/>
      <c r="IQ28" s="133"/>
    </row>
    <row r="29" spans="1:251" ht="24.9" customHeight="1">
      <c r="A29" s="183">
        <v>25</v>
      </c>
      <c r="B29" s="142" t="s">
        <v>127</v>
      </c>
      <c r="C29" s="142">
        <v>70582</v>
      </c>
      <c r="D29" s="142">
        <v>232282</v>
      </c>
      <c r="E29" s="143">
        <v>49</v>
      </c>
      <c r="F29" s="143">
        <v>24</v>
      </c>
      <c r="G29" s="142" t="s">
        <v>127</v>
      </c>
      <c r="H29" s="142">
        <v>130084</v>
      </c>
      <c r="I29" s="144">
        <v>77602</v>
      </c>
      <c r="J29" s="164">
        <v>2</v>
      </c>
      <c r="K29" s="145">
        <v>14851</v>
      </c>
      <c r="L29" s="145">
        <v>4</v>
      </c>
      <c r="M29" s="123">
        <v>143</v>
      </c>
      <c r="N29" s="147">
        <v>5</v>
      </c>
      <c r="O29" s="123">
        <v>110</v>
      </c>
      <c r="P29" s="147">
        <v>3</v>
      </c>
      <c r="Q29" s="115">
        <v>57037</v>
      </c>
      <c r="R29" s="96">
        <v>1</v>
      </c>
      <c r="S29" s="150">
        <v>25347</v>
      </c>
      <c r="T29" s="97">
        <v>1</v>
      </c>
      <c r="U29" s="153">
        <v>9622</v>
      </c>
      <c r="V29" s="153">
        <v>1695</v>
      </c>
      <c r="W29" s="96">
        <v>1</v>
      </c>
      <c r="X29" s="268">
        <v>33434</v>
      </c>
      <c r="Y29" s="97">
        <v>25</v>
      </c>
      <c r="Z29" s="154">
        <v>7882</v>
      </c>
      <c r="AA29" s="154">
        <v>7035</v>
      </c>
      <c r="AB29" s="96">
        <v>3</v>
      </c>
      <c r="AC29" s="268">
        <v>2294</v>
      </c>
      <c r="AD29" s="268">
        <v>1618</v>
      </c>
      <c r="AE29" s="97">
        <v>2</v>
      </c>
      <c r="AF29" s="155">
        <v>3</v>
      </c>
      <c r="AG29" s="206">
        <v>200666</v>
      </c>
      <c r="AH29" s="238">
        <v>73</v>
      </c>
      <c r="AI29" s="158">
        <v>193</v>
      </c>
      <c r="AJ29" s="158">
        <v>120</v>
      </c>
      <c r="AK29" s="102">
        <v>1733164</v>
      </c>
      <c r="AL29" s="103">
        <v>394</v>
      </c>
      <c r="AM29" s="102">
        <v>62095</v>
      </c>
      <c r="AN29" s="103">
        <v>18</v>
      </c>
      <c r="AO29" s="108">
        <v>124775</v>
      </c>
      <c r="AP29" s="104">
        <v>104</v>
      </c>
      <c r="AQ29" s="108">
        <v>131322</v>
      </c>
      <c r="AR29" s="104">
        <v>0</v>
      </c>
      <c r="AS29" s="108">
        <v>1795653</v>
      </c>
      <c r="AT29" s="94">
        <v>412</v>
      </c>
      <c r="AU29" s="189">
        <v>1200</v>
      </c>
      <c r="AV29" s="158">
        <v>788</v>
      </c>
      <c r="AW29" s="109">
        <v>0</v>
      </c>
      <c r="AX29" s="109">
        <v>0</v>
      </c>
      <c r="AY29" s="109">
        <v>0</v>
      </c>
      <c r="AZ29" s="109" t="s">
        <v>205</v>
      </c>
      <c r="BA29" s="109">
        <v>146.97</v>
      </c>
      <c r="BB29" s="109">
        <v>13816</v>
      </c>
      <c r="BC29" s="107" t="s">
        <v>205</v>
      </c>
      <c r="BD29" s="108" t="s">
        <v>205</v>
      </c>
      <c r="BE29" s="159">
        <v>646668</v>
      </c>
      <c r="BF29" s="108" t="s">
        <v>206</v>
      </c>
      <c r="BG29" s="108" t="s">
        <v>207</v>
      </c>
      <c r="BH29" s="159">
        <v>13816</v>
      </c>
      <c r="BI29" s="160">
        <v>13816</v>
      </c>
      <c r="BJ29" s="161">
        <v>11753</v>
      </c>
      <c r="BK29" s="159">
        <v>435.12</v>
      </c>
      <c r="BL29" s="157">
        <v>219</v>
      </c>
      <c r="BM29" s="318">
        <v>14035</v>
      </c>
      <c r="BN29" s="319">
        <v>20403</v>
      </c>
      <c r="BO29" s="320">
        <v>6368</v>
      </c>
      <c r="BP29" s="144">
        <v>2851470</v>
      </c>
      <c r="BQ29" s="144">
        <v>20</v>
      </c>
      <c r="BR29" s="144">
        <v>3859596</v>
      </c>
      <c r="BS29" s="144">
        <v>2043</v>
      </c>
      <c r="BT29" s="321">
        <v>2063</v>
      </c>
      <c r="BU29" s="2">
        <v>12</v>
      </c>
      <c r="BV29" s="2">
        <v>17</v>
      </c>
      <c r="BW29" s="102" t="s">
        <v>127</v>
      </c>
      <c r="BX29" s="108" t="s">
        <v>127</v>
      </c>
      <c r="BY29" s="169" t="s">
        <v>127</v>
      </c>
      <c r="BZ29" s="137"/>
      <c r="CA29" s="137"/>
      <c r="CB29" s="137"/>
      <c r="CC29" s="200"/>
      <c r="CD29" s="137"/>
      <c r="CE29" s="137"/>
      <c r="CF29" s="137"/>
      <c r="CG29" s="137"/>
      <c r="CH29" s="137"/>
      <c r="CI29" s="137"/>
      <c r="CJ29" s="137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7"/>
      <c r="EB29" s="137"/>
      <c r="EC29" s="137"/>
      <c r="ED29" s="137"/>
      <c r="EE29" s="137"/>
      <c r="EF29" s="137"/>
      <c r="EG29" s="137"/>
      <c r="EH29" s="137"/>
      <c r="EI29" s="137"/>
      <c r="EJ29" s="137"/>
      <c r="EK29" s="137"/>
      <c r="EL29" s="137"/>
      <c r="EM29" s="134" t="s">
        <v>127</v>
      </c>
      <c r="EN29" s="134" t="s">
        <v>127</v>
      </c>
      <c r="EO29" s="134" t="s">
        <v>127</v>
      </c>
      <c r="EP29" s="134" t="s">
        <v>127</v>
      </c>
      <c r="EQ29" s="134" t="s">
        <v>127</v>
      </c>
      <c r="ER29" s="134" t="s">
        <v>127</v>
      </c>
      <c r="ES29" s="134" t="s">
        <v>127</v>
      </c>
      <c r="ET29" s="134" t="s">
        <v>127</v>
      </c>
      <c r="EU29" s="134" t="s">
        <v>127</v>
      </c>
      <c r="EV29" s="134" t="s">
        <v>127</v>
      </c>
      <c r="EW29" s="134" t="s">
        <v>127</v>
      </c>
      <c r="EX29" s="134" t="s">
        <v>127</v>
      </c>
      <c r="EY29" s="134" t="s">
        <v>127</v>
      </c>
      <c r="EZ29" s="134" t="s">
        <v>127</v>
      </c>
      <c r="FA29" s="134" t="s">
        <v>127</v>
      </c>
      <c r="FB29" s="134" t="s">
        <v>127</v>
      </c>
      <c r="FC29" s="134" t="s">
        <v>127</v>
      </c>
      <c r="FD29" s="134" t="s">
        <v>127</v>
      </c>
      <c r="FE29" s="134" t="s">
        <v>127</v>
      </c>
      <c r="FF29" s="134" t="s">
        <v>127</v>
      </c>
      <c r="FG29" s="134" t="s">
        <v>127</v>
      </c>
      <c r="FH29" s="134" t="s">
        <v>127</v>
      </c>
      <c r="FI29" s="134" t="s">
        <v>127</v>
      </c>
      <c r="FJ29" s="134" t="s">
        <v>127</v>
      </c>
      <c r="FK29" s="134" t="s">
        <v>127</v>
      </c>
      <c r="FL29" s="134" t="s">
        <v>127</v>
      </c>
      <c r="FM29" s="134" t="s">
        <v>127</v>
      </c>
      <c r="FN29" s="134" t="s">
        <v>127</v>
      </c>
      <c r="FO29" s="134" t="s">
        <v>127</v>
      </c>
      <c r="FP29" s="134" t="s">
        <v>127</v>
      </c>
      <c r="FQ29" s="134" t="s">
        <v>127</v>
      </c>
      <c r="FR29" s="134" t="s">
        <v>127</v>
      </c>
      <c r="FS29" s="134" t="s">
        <v>127</v>
      </c>
      <c r="FT29" s="134" t="s">
        <v>127</v>
      </c>
      <c r="FU29" s="134" t="s">
        <v>127</v>
      </c>
      <c r="FV29" s="134" t="s">
        <v>127</v>
      </c>
      <c r="FW29" s="134" t="s">
        <v>127</v>
      </c>
      <c r="FX29" s="134" t="s">
        <v>127</v>
      </c>
      <c r="FY29" s="134" t="s">
        <v>127</v>
      </c>
      <c r="FZ29" s="134" t="s">
        <v>127</v>
      </c>
      <c r="GA29" s="134" t="s">
        <v>127</v>
      </c>
      <c r="GB29" s="134" t="s">
        <v>127</v>
      </c>
      <c r="GC29" s="134" t="s">
        <v>127</v>
      </c>
      <c r="GD29" s="134" t="s">
        <v>127</v>
      </c>
      <c r="GE29" s="134" t="s">
        <v>127</v>
      </c>
      <c r="GF29" s="134" t="s">
        <v>127</v>
      </c>
      <c r="GG29" s="134" t="s">
        <v>127</v>
      </c>
      <c r="GH29" s="134" t="s">
        <v>127</v>
      </c>
      <c r="GI29" s="134" t="s">
        <v>127</v>
      </c>
      <c r="GJ29" s="134" t="s">
        <v>127</v>
      </c>
      <c r="GK29" s="134" t="s">
        <v>127</v>
      </c>
      <c r="GL29" s="134" t="s">
        <v>127</v>
      </c>
      <c r="GM29" s="134" t="s">
        <v>127</v>
      </c>
      <c r="GN29" s="134" t="s">
        <v>127</v>
      </c>
      <c r="GO29" s="134" t="s">
        <v>127</v>
      </c>
      <c r="GP29" s="134" t="s">
        <v>127</v>
      </c>
      <c r="GQ29" s="134" t="s">
        <v>127</v>
      </c>
      <c r="GR29" s="134" t="s">
        <v>127</v>
      </c>
      <c r="GS29" s="134" t="s">
        <v>127</v>
      </c>
      <c r="GT29" s="134" t="s">
        <v>127</v>
      </c>
      <c r="GU29" s="134" t="s">
        <v>127</v>
      </c>
      <c r="GV29" s="134" t="s">
        <v>127</v>
      </c>
      <c r="GW29" s="134" t="s">
        <v>127</v>
      </c>
      <c r="GX29" s="134" t="s">
        <v>127</v>
      </c>
      <c r="GY29" s="134" t="s">
        <v>127</v>
      </c>
      <c r="GZ29" s="134" t="s">
        <v>127</v>
      </c>
      <c r="HA29" s="134" t="s">
        <v>127</v>
      </c>
      <c r="HB29" s="134" t="s">
        <v>127</v>
      </c>
      <c r="HC29" s="134" t="s">
        <v>127</v>
      </c>
      <c r="HD29" s="134" t="s">
        <v>127</v>
      </c>
      <c r="HE29" s="134" t="s">
        <v>127</v>
      </c>
      <c r="HF29" s="134" t="s">
        <v>127</v>
      </c>
      <c r="HG29" s="134" t="s">
        <v>127</v>
      </c>
      <c r="HH29" s="134" t="s">
        <v>127</v>
      </c>
      <c r="HI29" s="134" t="s">
        <v>127</v>
      </c>
      <c r="HJ29" s="134" t="s">
        <v>127</v>
      </c>
      <c r="HK29" s="134" t="s">
        <v>127</v>
      </c>
      <c r="HL29" s="134" t="s">
        <v>127</v>
      </c>
      <c r="HM29" s="134" t="s">
        <v>127</v>
      </c>
      <c r="HN29" s="134" t="s">
        <v>127</v>
      </c>
      <c r="HO29" s="134" t="s">
        <v>127</v>
      </c>
      <c r="HP29" s="134" t="s">
        <v>127</v>
      </c>
      <c r="HQ29" s="134" t="s">
        <v>127</v>
      </c>
      <c r="HR29" s="134" t="s">
        <v>127</v>
      </c>
      <c r="HS29" s="134" t="s">
        <v>127</v>
      </c>
      <c r="HT29" s="134" t="s">
        <v>127</v>
      </c>
      <c r="HU29" s="134" t="s">
        <v>127</v>
      </c>
      <c r="HV29" s="134" t="s">
        <v>127</v>
      </c>
      <c r="HW29" s="134" t="s">
        <v>127</v>
      </c>
      <c r="HX29" s="134" t="s">
        <v>127</v>
      </c>
      <c r="HY29" s="134" t="s">
        <v>127</v>
      </c>
      <c r="HZ29" s="134" t="s">
        <v>127</v>
      </c>
      <c r="IA29" s="134" t="s">
        <v>127</v>
      </c>
      <c r="IB29" s="134" t="s">
        <v>127</v>
      </c>
      <c r="IC29" s="134" t="s">
        <v>127</v>
      </c>
      <c r="ID29" s="134" t="s">
        <v>127</v>
      </c>
      <c r="IE29" s="134" t="s">
        <v>127</v>
      </c>
      <c r="IF29" s="134" t="s">
        <v>127</v>
      </c>
      <c r="IG29" s="134" t="s">
        <v>127</v>
      </c>
      <c r="IH29" s="134" t="s">
        <v>127</v>
      </c>
      <c r="II29" s="134" t="s">
        <v>127</v>
      </c>
      <c r="IJ29" s="134" t="s">
        <v>127</v>
      </c>
      <c r="IK29" s="134" t="s">
        <v>127</v>
      </c>
      <c r="IL29" s="134" t="s">
        <v>127</v>
      </c>
      <c r="IM29" s="134" t="s">
        <v>127</v>
      </c>
      <c r="IN29" s="134" t="s">
        <v>127</v>
      </c>
      <c r="IO29" s="134" t="s">
        <v>127</v>
      </c>
      <c r="IP29" s="133"/>
      <c r="IQ29" s="133"/>
    </row>
    <row r="30" spans="1:251" ht="24.9" customHeight="1">
      <c r="A30" s="205">
        <v>26</v>
      </c>
      <c r="B30" s="142" t="s">
        <v>127</v>
      </c>
      <c r="C30" s="142">
        <v>70582</v>
      </c>
      <c r="D30" s="142">
        <v>232354</v>
      </c>
      <c r="E30" s="143">
        <v>72</v>
      </c>
      <c r="F30" s="143">
        <v>32</v>
      </c>
      <c r="G30" s="142" t="s">
        <v>127</v>
      </c>
      <c r="H30" s="142">
        <v>130181</v>
      </c>
      <c r="I30" s="144">
        <v>77604</v>
      </c>
      <c r="J30" s="164">
        <v>2</v>
      </c>
      <c r="K30" s="145">
        <v>14854</v>
      </c>
      <c r="L30" s="145">
        <v>3</v>
      </c>
      <c r="M30" s="123">
        <v>148</v>
      </c>
      <c r="N30" s="147">
        <v>5</v>
      </c>
      <c r="O30" s="123">
        <v>114</v>
      </c>
      <c r="P30" s="147">
        <v>4</v>
      </c>
      <c r="Q30" s="115">
        <v>57038</v>
      </c>
      <c r="R30" s="96">
        <v>1</v>
      </c>
      <c r="S30" s="150">
        <v>25348</v>
      </c>
      <c r="T30" s="97">
        <v>1</v>
      </c>
      <c r="U30" s="153">
        <v>9622</v>
      </c>
      <c r="V30" s="153">
        <v>1695</v>
      </c>
      <c r="W30" s="96">
        <v>0</v>
      </c>
      <c r="X30" s="268">
        <v>33474</v>
      </c>
      <c r="Y30" s="97">
        <v>40</v>
      </c>
      <c r="Z30" s="154">
        <v>7886</v>
      </c>
      <c r="AA30" s="154">
        <v>7038</v>
      </c>
      <c r="AB30" s="96">
        <v>7</v>
      </c>
      <c r="AC30" s="268">
        <v>2295</v>
      </c>
      <c r="AD30" s="268">
        <v>1619</v>
      </c>
      <c r="AE30" s="97">
        <v>2</v>
      </c>
      <c r="AF30" s="155">
        <v>2</v>
      </c>
      <c r="AG30" s="206">
        <v>200763</v>
      </c>
      <c r="AH30" s="322">
        <v>97</v>
      </c>
      <c r="AI30" s="158">
        <v>194</v>
      </c>
      <c r="AJ30" s="158">
        <v>97</v>
      </c>
      <c r="AK30" s="102">
        <v>1733690</v>
      </c>
      <c r="AL30" s="103">
        <v>526</v>
      </c>
      <c r="AM30" s="102">
        <v>62122</v>
      </c>
      <c r="AN30" s="103">
        <v>27</v>
      </c>
      <c r="AO30" s="108">
        <v>124828</v>
      </c>
      <c r="AP30" s="104">
        <v>53</v>
      </c>
      <c r="AQ30" s="108">
        <v>131322</v>
      </c>
      <c r="AR30" s="104">
        <v>0</v>
      </c>
      <c r="AS30" s="108">
        <v>1796338</v>
      </c>
      <c r="AT30" s="323">
        <v>553</v>
      </c>
      <c r="AU30" s="189">
        <v>1200</v>
      </c>
      <c r="AV30" s="158">
        <v>647</v>
      </c>
      <c r="AW30" s="109">
        <v>0</v>
      </c>
      <c r="AX30" s="109">
        <v>0</v>
      </c>
      <c r="AY30" s="109">
        <v>0</v>
      </c>
      <c r="AZ30" s="109" t="s">
        <v>208</v>
      </c>
      <c r="BA30" s="109">
        <v>151.61000000000001</v>
      </c>
      <c r="BB30" s="109">
        <v>20416</v>
      </c>
      <c r="BC30" s="107" t="s">
        <v>208</v>
      </c>
      <c r="BD30" s="108" t="s">
        <v>208</v>
      </c>
      <c r="BE30" s="159">
        <v>667084</v>
      </c>
      <c r="BF30" s="108" t="s">
        <v>209</v>
      </c>
      <c r="BG30" s="108" t="s">
        <v>210</v>
      </c>
      <c r="BH30" s="159">
        <v>20416</v>
      </c>
      <c r="BI30" s="160">
        <v>20416</v>
      </c>
      <c r="BJ30" s="161">
        <v>16674</v>
      </c>
      <c r="BK30" s="159">
        <v>445.66</v>
      </c>
      <c r="BL30" s="324">
        <v>1054</v>
      </c>
      <c r="BM30" s="141">
        <v>21470</v>
      </c>
      <c r="BN30" s="325">
        <v>20404</v>
      </c>
      <c r="BO30" s="141">
        <v>-1066</v>
      </c>
      <c r="BP30" s="144">
        <v>2851497</v>
      </c>
      <c r="BQ30" s="144">
        <v>27</v>
      </c>
      <c r="BR30" s="144">
        <v>3863311</v>
      </c>
      <c r="BS30" s="144">
        <v>3715</v>
      </c>
      <c r="BT30" s="140">
        <v>3742</v>
      </c>
      <c r="BU30" s="2">
        <v>8</v>
      </c>
      <c r="BV30" s="2">
        <v>14</v>
      </c>
      <c r="BW30" s="102" t="s">
        <v>127</v>
      </c>
      <c r="BX30" s="108" t="s">
        <v>127</v>
      </c>
      <c r="BY30" s="169" t="s">
        <v>127</v>
      </c>
      <c r="BZ30" s="137"/>
      <c r="CA30" s="137"/>
      <c r="CB30" s="137"/>
      <c r="CC30" s="200"/>
      <c r="CD30" s="137"/>
      <c r="CE30" s="137"/>
      <c r="CF30" s="137"/>
      <c r="CG30" s="137"/>
      <c r="CH30" s="137"/>
      <c r="CI30" s="137"/>
      <c r="CJ30" s="137"/>
      <c r="CK30" s="137"/>
      <c r="CL30" s="137"/>
      <c r="CM30" s="137"/>
      <c r="CN30" s="137"/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7"/>
      <c r="DB30" s="137"/>
      <c r="DC30" s="137"/>
      <c r="DD30" s="137"/>
      <c r="DE30" s="137"/>
      <c r="DF30" s="137"/>
      <c r="DG30" s="137"/>
      <c r="DH30" s="137"/>
      <c r="DI30" s="137"/>
      <c r="DJ30" s="137"/>
      <c r="DK30" s="137"/>
      <c r="DL30" s="137"/>
      <c r="DM30" s="137"/>
      <c r="DN30" s="137"/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7"/>
      <c r="EB30" s="137"/>
      <c r="EC30" s="137"/>
      <c r="ED30" s="137"/>
      <c r="EE30" s="137"/>
      <c r="EF30" s="137"/>
      <c r="EG30" s="137"/>
      <c r="EH30" s="137"/>
      <c r="EI30" s="137"/>
      <c r="EJ30" s="137"/>
      <c r="EK30" s="137"/>
      <c r="EL30" s="137"/>
      <c r="EM30" s="134" t="s">
        <v>127</v>
      </c>
      <c r="EN30" s="134" t="s">
        <v>127</v>
      </c>
      <c r="EO30" s="134" t="s">
        <v>127</v>
      </c>
      <c r="EP30" s="134" t="s">
        <v>127</v>
      </c>
      <c r="EQ30" s="134" t="s">
        <v>127</v>
      </c>
      <c r="ER30" s="134" t="s">
        <v>127</v>
      </c>
      <c r="ES30" s="134" t="s">
        <v>127</v>
      </c>
      <c r="ET30" s="134" t="s">
        <v>127</v>
      </c>
      <c r="EU30" s="134" t="s">
        <v>127</v>
      </c>
      <c r="EV30" s="134" t="s">
        <v>127</v>
      </c>
      <c r="EW30" s="134" t="s">
        <v>127</v>
      </c>
      <c r="EX30" s="134" t="s">
        <v>127</v>
      </c>
      <c r="EY30" s="134" t="s">
        <v>127</v>
      </c>
      <c r="EZ30" s="134" t="s">
        <v>127</v>
      </c>
      <c r="FA30" s="134" t="s">
        <v>127</v>
      </c>
      <c r="FB30" s="134" t="s">
        <v>127</v>
      </c>
      <c r="FC30" s="134" t="s">
        <v>127</v>
      </c>
      <c r="FD30" s="134" t="s">
        <v>127</v>
      </c>
      <c r="FE30" s="134" t="s">
        <v>127</v>
      </c>
      <c r="FF30" s="134" t="s">
        <v>127</v>
      </c>
      <c r="FG30" s="134" t="s">
        <v>127</v>
      </c>
      <c r="FH30" s="134" t="s">
        <v>127</v>
      </c>
      <c r="FI30" s="134" t="s">
        <v>127</v>
      </c>
      <c r="FJ30" s="134" t="s">
        <v>127</v>
      </c>
      <c r="FK30" s="134" t="s">
        <v>127</v>
      </c>
      <c r="FL30" s="134" t="s">
        <v>127</v>
      </c>
      <c r="FM30" s="134" t="s">
        <v>127</v>
      </c>
      <c r="FN30" s="134" t="s">
        <v>127</v>
      </c>
      <c r="FO30" s="134" t="s">
        <v>127</v>
      </c>
      <c r="FP30" s="134" t="s">
        <v>127</v>
      </c>
      <c r="FQ30" s="134" t="s">
        <v>127</v>
      </c>
      <c r="FR30" s="134" t="s">
        <v>127</v>
      </c>
      <c r="FS30" s="134" t="s">
        <v>127</v>
      </c>
      <c r="FT30" s="134" t="s">
        <v>127</v>
      </c>
      <c r="FU30" s="134" t="s">
        <v>127</v>
      </c>
      <c r="FV30" s="134" t="s">
        <v>127</v>
      </c>
      <c r="FW30" s="134" t="s">
        <v>127</v>
      </c>
      <c r="FX30" s="134" t="s">
        <v>127</v>
      </c>
      <c r="FY30" s="134" t="s">
        <v>127</v>
      </c>
      <c r="FZ30" s="134" t="s">
        <v>127</v>
      </c>
      <c r="GA30" s="134" t="s">
        <v>127</v>
      </c>
      <c r="GB30" s="134" t="s">
        <v>127</v>
      </c>
      <c r="GC30" s="134" t="s">
        <v>127</v>
      </c>
      <c r="GD30" s="134" t="s">
        <v>127</v>
      </c>
      <c r="GE30" s="134" t="s">
        <v>127</v>
      </c>
      <c r="GF30" s="134" t="s">
        <v>127</v>
      </c>
      <c r="GG30" s="134" t="s">
        <v>127</v>
      </c>
      <c r="GH30" s="134" t="s">
        <v>127</v>
      </c>
      <c r="GI30" s="134" t="s">
        <v>127</v>
      </c>
      <c r="GJ30" s="134" t="s">
        <v>127</v>
      </c>
      <c r="GK30" s="134" t="s">
        <v>127</v>
      </c>
      <c r="GL30" s="134" t="s">
        <v>127</v>
      </c>
      <c r="GM30" s="134" t="s">
        <v>127</v>
      </c>
      <c r="GN30" s="134" t="s">
        <v>127</v>
      </c>
      <c r="GO30" s="134" t="s">
        <v>127</v>
      </c>
      <c r="GP30" s="134" t="s">
        <v>127</v>
      </c>
      <c r="GQ30" s="134" t="s">
        <v>127</v>
      </c>
      <c r="GR30" s="134" t="s">
        <v>127</v>
      </c>
      <c r="GS30" s="134" t="s">
        <v>127</v>
      </c>
      <c r="GT30" s="134" t="s">
        <v>127</v>
      </c>
      <c r="GU30" s="134" t="s">
        <v>127</v>
      </c>
      <c r="GV30" s="134" t="s">
        <v>127</v>
      </c>
      <c r="GW30" s="134" t="s">
        <v>127</v>
      </c>
      <c r="GX30" s="134" t="s">
        <v>127</v>
      </c>
      <c r="GY30" s="134" t="s">
        <v>127</v>
      </c>
      <c r="GZ30" s="134" t="s">
        <v>127</v>
      </c>
      <c r="HA30" s="134" t="s">
        <v>127</v>
      </c>
      <c r="HB30" s="134" t="s">
        <v>127</v>
      </c>
      <c r="HC30" s="134" t="s">
        <v>127</v>
      </c>
      <c r="HD30" s="134" t="s">
        <v>127</v>
      </c>
      <c r="HE30" s="134" t="s">
        <v>127</v>
      </c>
      <c r="HF30" s="134" t="s">
        <v>127</v>
      </c>
      <c r="HG30" s="134" t="s">
        <v>127</v>
      </c>
      <c r="HH30" s="134" t="s">
        <v>127</v>
      </c>
      <c r="HI30" s="134" t="s">
        <v>127</v>
      </c>
      <c r="HJ30" s="134" t="s">
        <v>127</v>
      </c>
      <c r="HK30" s="134" t="s">
        <v>127</v>
      </c>
      <c r="HL30" s="134" t="s">
        <v>127</v>
      </c>
      <c r="HM30" s="134" t="s">
        <v>127</v>
      </c>
      <c r="HN30" s="134" t="s">
        <v>127</v>
      </c>
      <c r="HO30" s="134" t="s">
        <v>127</v>
      </c>
      <c r="HP30" s="134" t="s">
        <v>127</v>
      </c>
      <c r="HQ30" s="134" t="s">
        <v>127</v>
      </c>
      <c r="HR30" s="134" t="s">
        <v>127</v>
      </c>
      <c r="HS30" s="134" t="s">
        <v>127</v>
      </c>
      <c r="HT30" s="134" t="s">
        <v>127</v>
      </c>
      <c r="HU30" s="134" t="s">
        <v>127</v>
      </c>
      <c r="HV30" s="134" t="s">
        <v>127</v>
      </c>
      <c r="HW30" s="134" t="s">
        <v>127</v>
      </c>
      <c r="HX30" s="134" t="s">
        <v>127</v>
      </c>
      <c r="HY30" s="134" t="s">
        <v>127</v>
      </c>
      <c r="HZ30" s="134" t="s">
        <v>127</v>
      </c>
      <c r="IA30" s="134" t="s">
        <v>127</v>
      </c>
      <c r="IB30" s="134" t="s">
        <v>127</v>
      </c>
      <c r="IC30" s="134" t="s">
        <v>127</v>
      </c>
      <c r="ID30" s="134" t="s">
        <v>127</v>
      </c>
      <c r="IE30" s="134" t="s">
        <v>127</v>
      </c>
      <c r="IF30" s="134" t="s">
        <v>127</v>
      </c>
      <c r="IG30" s="134" t="s">
        <v>127</v>
      </c>
      <c r="IH30" s="134" t="s">
        <v>127</v>
      </c>
      <c r="II30" s="134" t="s">
        <v>127</v>
      </c>
      <c r="IJ30" s="134" t="s">
        <v>127</v>
      </c>
      <c r="IK30" s="134" t="s">
        <v>127</v>
      </c>
      <c r="IL30" s="134" t="s">
        <v>127</v>
      </c>
      <c r="IM30" s="134" t="s">
        <v>127</v>
      </c>
      <c r="IN30" s="134" t="s">
        <v>127</v>
      </c>
      <c r="IO30" s="134" t="s">
        <v>127</v>
      </c>
      <c r="IP30" s="133"/>
      <c r="IQ30" s="133"/>
    </row>
    <row r="31" spans="1:251" ht="24.9" customHeight="1">
      <c r="A31" s="205">
        <v>27</v>
      </c>
      <c r="B31" s="142" t="s">
        <v>127</v>
      </c>
      <c r="C31" s="142">
        <v>70582</v>
      </c>
      <c r="D31" s="142">
        <v>232414</v>
      </c>
      <c r="E31" s="143">
        <v>60</v>
      </c>
      <c r="F31" s="143">
        <v>19</v>
      </c>
      <c r="G31" s="142" t="s">
        <v>127</v>
      </c>
      <c r="H31" s="142">
        <v>130213</v>
      </c>
      <c r="I31" s="144">
        <v>77606</v>
      </c>
      <c r="J31" s="164">
        <v>2</v>
      </c>
      <c r="K31" s="145">
        <v>14857</v>
      </c>
      <c r="L31" s="145">
        <v>3</v>
      </c>
      <c r="M31" s="123">
        <v>151</v>
      </c>
      <c r="N31" s="147">
        <v>3</v>
      </c>
      <c r="O31" s="123">
        <v>117</v>
      </c>
      <c r="P31" s="147">
        <v>3</v>
      </c>
      <c r="Q31" s="115">
        <v>57038</v>
      </c>
      <c r="R31" s="96">
        <v>0</v>
      </c>
      <c r="S31" s="150">
        <v>25348</v>
      </c>
      <c r="T31" s="97">
        <v>0</v>
      </c>
      <c r="U31" s="153">
        <v>9622</v>
      </c>
      <c r="V31" s="153">
        <v>1695</v>
      </c>
      <c r="W31" s="96">
        <v>0</v>
      </c>
      <c r="X31" s="268">
        <v>33515</v>
      </c>
      <c r="Y31" s="97">
        <v>41</v>
      </c>
      <c r="Z31" s="154">
        <v>7888</v>
      </c>
      <c r="AA31" s="154">
        <v>7039</v>
      </c>
      <c r="AB31" s="96">
        <v>3</v>
      </c>
      <c r="AC31" s="268">
        <v>2296</v>
      </c>
      <c r="AD31" s="268">
        <v>1620</v>
      </c>
      <c r="AE31" s="97">
        <v>2</v>
      </c>
      <c r="AF31" s="155">
        <v>0</v>
      </c>
      <c r="AG31" s="206">
        <v>200795</v>
      </c>
      <c r="AH31" s="326">
        <v>32</v>
      </c>
      <c r="AI31" s="158">
        <v>195</v>
      </c>
      <c r="AJ31" s="158">
        <v>163</v>
      </c>
      <c r="AK31" s="102">
        <v>1734092</v>
      </c>
      <c r="AL31" s="103">
        <v>402</v>
      </c>
      <c r="AM31" s="102">
        <v>62144</v>
      </c>
      <c r="AN31" s="103">
        <v>22</v>
      </c>
      <c r="AO31" s="108">
        <v>124828</v>
      </c>
      <c r="AP31" s="104">
        <v>0</v>
      </c>
      <c r="AQ31" s="108">
        <v>131322</v>
      </c>
      <c r="AR31" s="104">
        <v>0</v>
      </c>
      <c r="AS31" s="108">
        <v>1796638</v>
      </c>
      <c r="AT31" s="188">
        <v>424</v>
      </c>
      <c r="AU31" s="189">
        <v>1200</v>
      </c>
      <c r="AV31" s="158">
        <v>776</v>
      </c>
      <c r="AW31" s="109">
        <v>0</v>
      </c>
      <c r="AX31" s="109">
        <v>0</v>
      </c>
      <c r="AY31" s="109">
        <v>0</v>
      </c>
      <c r="AZ31" s="109" t="s">
        <v>211</v>
      </c>
      <c r="BA31" s="109">
        <v>155.05000000000001</v>
      </c>
      <c r="BB31" s="109">
        <v>15136</v>
      </c>
      <c r="BC31" s="107" t="s">
        <v>211</v>
      </c>
      <c r="BD31" s="108" t="s">
        <v>211</v>
      </c>
      <c r="BE31" s="159">
        <v>682220</v>
      </c>
      <c r="BF31" s="108" t="s">
        <v>212</v>
      </c>
      <c r="BG31" s="108" t="s">
        <v>213</v>
      </c>
      <c r="BH31" s="159">
        <v>15136</v>
      </c>
      <c r="BI31" s="160">
        <v>15136</v>
      </c>
      <c r="BJ31" s="161">
        <v>12195</v>
      </c>
      <c r="BK31" s="159">
        <v>450.89</v>
      </c>
      <c r="BL31" s="327">
        <v>523</v>
      </c>
      <c r="BM31" s="328">
        <v>15659</v>
      </c>
      <c r="BN31" s="329">
        <v>20405</v>
      </c>
      <c r="BO31" s="330">
        <v>4746</v>
      </c>
      <c r="BP31" s="144">
        <v>2851517</v>
      </c>
      <c r="BQ31" s="144">
        <v>20</v>
      </c>
      <c r="BR31" s="144">
        <v>3866232</v>
      </c>
      <c r="BS31" s="144">
        <v>2921</v>
      </c>
      <c r="BT31" s="331">
        <v>2941</v>
      </c>
      <c r="BU31" s="2">
        <v>9</v>
      </c>
      <c r="BV31" s="2">
        <v>16</v>
      </c>
      <c r="BW31" s="102" t="s">
        <v>127</v>
      </c>
      <c r="BX31" s="108" t="s">
        <v>127</v>
      </c>
      <c r="BY31" s="169" t="s">
        <v>127</v>
      </c>
      <c r="BZ31" s="137"/>
      <c r="CA31" s="137"/>
      <c r="CB31" s="137"/>
      <c r="CC31" s="137"/>
      <c r="CD31" s="137"/>
      <c r="CE31" s="137"/>
      <c r="CF31" s="137"/>
      <c r="CG31" s="137"/>
      <c r="CH31" s="137"/>
      <c r="CI31" s="137"/>
      <c r="CJ31" s="137"/>
      <c r="CK31" s="137"/>
      <c r="CL31" s="137"/>
      <c r="CM31" s="137"/>
      <c r="CN31" s="137"/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7"/>
      <c r="DB31" s="137"/>
      <c r="DC31" s="137"/>
      <c r="DD31" s="137"/>
      <c r="DE31" s="137"/>
      <c r="DF31" s="137"/>
      <c r="DG31" s="137"/>
      <c r="DH31" s="137"/>
      <c r="DI31" s="137"/>
      <c r="DJ31" s="137"/>
      <c r="DK31" s="137"/>
      <c r="DL31" s="137"/>
      <c r="DM31" s="137"/>
      <c r="DN31" s="137"/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7"/>
      <c r="EB31" s="137"/>
      <c r="EC31" s="137"/>
      <c r="ED31" s="137"/>
      <c r="EE31" s="137"/>
      <c r="EF31" s="137"/>
      <c r="EG31" s="137"/>
      <c r="EH31" s="137"/>
      <c r="EI31" s="137"/>
      <c r="EJ31" s="137"/>
      <c r="EK31" s="137"/>
      <c r="EL31" s="137"/>
      <c r="EM31" s="134" t="s">
        <v>127</v>
      </c>
      <c r="EN31" s="134" t="s">
        <v>127</v>
      </c>
      <c r="EO31" s="134" t="s">
        <v>127</v>
      </c>
      <c r="EP31" s="134" t="s">
        <v>127</v>
      </c>
      <c r="EQ31" s="134" t="s">
        <v>127</v>
      </c>
      <c r="ER31" s="134" t="s">
        <v>127</v>
      </c>
      <c r="ES31" s="134" t="s">
        <v>127</v>
      </c>
      <c r="ET31" s="134" t="s">
        <v>127</v>
      </c>
      <c r="EU31" s="134" t="s">
        <v>127</v>
      </c>
      <c r="EV31" s="134" t="s">
        <v>127</v>
      </c>
      <c r="EW31" s="134" t="s">
        <v>127</v>
      </c>
      <c r="EX31" s="134" t="s">
        <v>127</v>
      </c>
      <c r="EY31" s="134" t="s">
        <v>127</v>
      </c>
      <c r="EZ31" s="134" t="s">
        <v>127</v>
      </c>
      <c r="FA31" s="134" t="s">
        <v>127</v>
      </c>
      <c r="FB31" s="134" t="s">
        <v>127</v>
      </c>
      <c r="FC31" s="134" t="s">
        <v>127</v>
      </c>
      <c r="FD31" s="134" t="s">
        <v>127</v>
      </c>
      <c r="FE31" s="134" t="s">
        <v>127</v>
      </c>
      <c r="FF31" s="134" t="s">
        <v>127</v>
      </c>
      <c r="FG31" s="134" t="s">
        <v>127</v>
      </c>
      <c r="FH31" s="134" t="s">
        <v>127</v>
      </c>
      <c r="FI31" s="134" t="s">
        <v>127</v>
      </c>
      <c r="FJ31" s="134" t="s">
        <v>127</v>
      </c>
      <c r="FK31" s="134" t="s">
        <v>127</v>
      </c>
      <c r="FL31" s="134" t="s">
        <v>127</v>
      </c>
      <c r="FM31" s="134" t="s">
        <v>127</v>
      </c>
      <c r="FN31" s="134" t="s">
        <v>127</v>
      </c>
      <c r="FO31" s="134" t="s">
        <v>127</v>
      </c>
      <c r="FP31" s="134" t="s">
        <v>127</v>
      </c>
      <c r="FQ31" s="134" t="s">
        <v>127</v>
      </c>
      <c r="FR31" s="134" t="s">
        <v>127</v>
      </c>
      <c r="FS31" s="134" t="s">
        <v>127</v>
      </c>
      <c r="FT31" s="134" t="s">
        <v>127</v>
      </c>
      <c r="FU31" s="134" t="s">
        <v>127</v>
      </c>
      <c r="FV31" s="134" t="s">
        <v>127</v>
      </c>
      <c r="FW31" s="134" t="s">
        <v>127</v>
      </c>
      <c r="FX31" s="134" t="s">
        <v>127</v>
      </c>
      <c r="FY31" s="134" t="s">
        <v>127</v>
      </c>
      <c r="FZ31" s="134" t="s">
        <v>127</v>
      </c>
      <c r="GA31" s="134" t="s">
        <v>127</v>
      </c>
      <c r="GB31" s="134" t="s">
        <v>127</v>
      </c>
      <c r="GC31" s="134" t="s">
        <v>127</v>
      </c>
      <c r="GD31" s="134" t="s">
        <v>127</v>
      </c>
      <c r="GE31" s="134" t="s">
        <v>127</v>
      </c>
      <c r="GF31" s="134" t="s">
        <v>127</v>
      </c>
      <c r="GG31" s="134" t="s">
        <v>127</v>
      </c>
      <c r="GH31" s="134" t="s">
        <v>127</v>
      </c>
      <c r="GI31" s="134" t="s">
        <v>127</v>
      </c>
      <c r="GJ31" s="134" t="s">
        <v>127</v>
      </c>
      <c r="GK31" s="134" t="s">
        <v>127</v>
      </c>
      <c r="GL31" s="134" t="s">
        <v>127</v>
      </c>
      <c r="GM31" s="134" t="s">
        <v>127</v>
      </c>
      <c r="GN31" s="134" t="s">
        <v>127</v>
      </c>
      <c r="GO31" s="134" t="s">
        <v>127</v>
      </c>
      <c r="GP31" s="134" t="s">
        <v>127</v>
      </c>
      <c r="GQ31" s="134" t="s">
        <v>127</v>
      </c>
      <c r="GR31" s="134" t="s">
        <v>127</v>
      </c>
      <c r="GS31" s="134" t="s">
        <v>127</v>
      </c>
      <c r="GT31" s="134" t="s">
        <v>127</v>
      </c>
      <c r="GU31" s="134" t="s">
        <v>127</v>
      </c>
      <c r="GV31" s="134" t="s">
        <v>127</v>
      </c>
      <c r="GW31" s="134" t="s">
        <v>127</v>
      </c>
      <c r="GX31" s="134" t="s">
        <v>127</v>
      </c>
      <c r="GY31" s="134" t="s">
        <v>127</v>
      </c>
      <c r="GZ31" s="134" t="s">
        <v>127</v>
      </c>
      <c r="HA31" s="134" t="s">
        <v>127</v>
      </c>
      <c r="HB31" s="134" t="s">
        <v>127</v>
      </c>
      <c r="HC31" s="134" t="s">
        <v>127</v>
      </c>
      <c r="HD31" s="134" t="s">
        <v>127</v>
      </c>
      <c r="HE31" s="134" t="s">
        <v>127</v>
      </c>
      <c r="HF31" s="134" t="s">
        <v>127</v>
      </c>
      <c r="HG31" s="134" t="s">
        <v>127</v>
      </c>
      <c r="HH31" s="134" t="s">
        <v>127</v>
      </c>
      <c r="HI31" s="134" t="s">
        <v>127</v>
      </c>
      <c r="HJ31" s="134" t="s">
        <v>127</v>
      </c>
      <c r="HK31" s="134" t="s">
        <v>127</v>
      </c>
      <c r="HL31" s="134" t="s">
        <v>127</v>
      </c>
      <c r="HM31" s="134" t="s">
        <v>127</v>
      </c>
      <c r="HN31" s="134" t="s">
        <v>127</v>
      </c>
      <c r="HO31" s="134" t="s">
        <v>127</v>
      </c>
      <c r="HP31" s="134" t="s">
        <v>127</v>
      </c>
      <c r="HQ31" s="134" t="s">
        <v>127</v>
      </c>
      <c r="HR31" s="134" t="s">
        <v>127</v>
      </c>
      <c r="HS31" s="134" t="s">
        <v>127</v>
      </c>
      <c r="HT31" s="134" t="s">
        <v>127</v>
      </c>
      <c r="HU31" s="134" t="s">
        <v>127</v>
      </c>
      <c r="HV31" s="134" t="s">
        <v>127</v>
      </c>
      <c r="HW31" s="134" t="s">
        <v>127</v>
      </c>
      <c r="HX31" s="134" t="s">
        <v>127</v>
      </c>
      <c r="HY31" s="134" t="s">
        <v>127</v>
      </c>
      <c r="HZ31" s="134" t="s">
        <v>127</v>
      </c>
      <c r="IA31" s="134" t="s">
        <v>127</v>
      </c>
      <c r="IB31" s="134" t="s">
        <v>127</v>
      </c>
      <c r="IC31" s="134" t="s">
        <v>127</v>
      </c>
      <c r="ID31" s="134" t="s">
        <v>127</v>
      </c>
      <c r="IE31" s="134" t="s">
        <v>127</v>
      </c>
      <c r="IF31" s="134" t="s">
        <v>127</v>
      </c>
      <c r="IG31" s="134" t="s">
        <v>127</v>
      </c>
      <c r="IH31" s="134" t="s">
        <v>127</v>
      </c>
      <c r="II31" s="134" t="s">
        <v>127</v>
      </c>
      <c r="IJ31" s="134" t="s">
        <v>127</v>
      </c>
      <c r="IK31" s="134" t="s">
        <v>127</v>
      </c>
      <c r="IL31" s="134" t="s">
        <v>127</v>
      </c>
      <c r="IM31" s="134" t="s">
        <v>127</v>
      </c>
      <c r="IN31" s="134" t="s">
        <v>127</v>
      </c>
      <c r="IO31" s="134" t="s">
        <v>127</v>
      </c>
      <c r="IP31" s="133"/>
      <c r="IQ31" s="133"/>
    </row>
    <row r="32" spans="1:251" ht="24.9" customHeight="1">
      <c r="A32" s="205">
        <v>28</v>
      </c>
      <c r="B32" s="142" t="s">
        <v>127</v>
      </c>
      <c r="C32" s="142">
        <v>70582</v>
      </c>
      <c r="D32" s="142">
        <v>232479</v>
      </c>
      <c r="E32" s="143">
        <v>65</v>
      </c>
      <c r="F32" s="143">
        <v>21</v>
      </c>
      <c r="G32" s="142" t="s">
        <v>127</v>
      </c>
      <c r="H32" s="142">
        <v>130354</v>
      </c>
      <c r="I32" s="144">
        <v>77608</v>
      </c>
      <c r="J32" s="164">
        <v>2</v>
      </c>
      <c r="K32" s="145">
        <v>14861</v>
      </c>
      <c r="L32" s="145">
        <v>4</v>
      </c>
      <c r="M32" s="123">
        <v>155</v>
      </c>
      <c r="N32" s="147">
        <v>4</v>
      </c>
      <c r="O32" s="123">
        <v>120</v>
      </c>
      <c r="P32" s="147">
        <v>3</v>
      </c>
      <c r="Q32" s="115">
        <v>57038</v>
      </c>
      <c r="R32" s="96">
        <v>0</v>
      </c>
      <c r="S32" s="150">
        <v>25348</v>
      </c>
      <c r="T32" s="97">
        <v>0</v>
      </c>
      <c r="U32" s="153">
        <v>9622</v>
      </c>
      <c r="V32" s="153">
        <v>1695</v>
      </c>
      <c r="W32" s="96">
        <v>0</v>
      </c>
      <c r="X32" s="268">
        <v>33559</v>
      </c>
      <c r="Y32" s="97">
        <v>44</v>
      </c>
      <c r="Z32" s="154">
        <v>7891</v>
      </c>
      <c r="AA32" s="154">
        <v>7041</v>
      </c>
      <c r="AB32" s="96">
        <v>5</v>
      </c>
      <c r="AC32" s="268">
        <v>2297</v>
      </c>
      <c r="AD32" s="268">
        <v>1620</v>
      </c>
      <c r="AE32" s="97">
        <v>1</v>
      </c>
      <c r="AF32" s="155">
        <v>0</v>
      </c>
      <c r="AG32" s="206">
        <v>200936</v>
      </c>
      <c r="AH32" s="140">
        <v>141</v>
      </c>
      <c r="AI32" s="158">
        <v>196</v>
      </c>
      <c r="AJ32" s="158">
        <v>55</v>
      </c>
      <c r="AK32" s="102">
        <v>1734468</v>
      </c>
      <c r="AL32" s="103">
        <v>376</v>
      </c>
      <c r="AM32" s="102">
        <v>62172</v>
      </c>
      <c r="AN32" s="103">
        <v>28</v>
      </c>
      <c r="AO32" s="108">
        <v>124828</v>
      </c>
      <c r="AP32" s="104">
        <v>0</v>
      </c>
      <c r="AQ32" s="108">
        <v>131322</v>
      </c>
      <c r="AR32" s="104">
        <v>0</v>
      </c>
      <c r="AS32" s="108">
        <v>1797016</v>
      </c>
      <c r="AT32" s="180">
        <v>404</v>
      </c>
      <c r="AU32" s="189">
        <v>1200</v>
      </c>
      <c r="AV32" s="158">
        <v>796</v>
      </c>
      <c r="AW32" s="109">
        <v>0</v>
      </c>
      <c r="AX32" s="109">
        <v>0</v>
      </c>
      <c r="AY32" s="109">
        <v>0</v>
      </c>
      <c r="AZ32" s="109" t="s">
        <v>214</v>
      </c>
      <c r="BA32" s="109">
        <v>158.49</v>
      </c>
      <c r="BB32" s="109">
        <v>15136</v>
      </c>
      <c r="BC32" s="107" t="s">
        <v>214</v>
      </c>
      <c r="BD32" s="108" t="s">
        <v>214</v>
      </c>
      <c r="BE32" s="159">
        <v>697356</v>
      </c>
      <c r="BF32" s="108" t="s">
        <v>215</v>
      </c>
      <c r="BG32" s="108" t="s">
        <v>213</v>
      </c>
      <c r="BH32" s="159">
        <v>15136</v>
      </c>
      <c r="BI32" s="160">
        <v>15136</v>
      </c>
      <c r="BJ32" s="161">
        <v>11965</v>
      </c>
      <c r="BK32" s="159">
        <v>454.7</v>
      </c>
      <c r="BL32" s="332">
        <v>381</v>
      </c>
      <c r="BM32" s="333">
        <v>15517</v>
      </c>
      <c r="BN32" s="189">
        <v>20406</v>
      </c>
      <c r="BO32" s="334">
        <v>4889</v>
      </c>
      <c r="BP32" s="144">
        <v>2851536</v>
      </c>
      <c r="BQ32" s="144">
        <v>19</v>
      </c>
      <c r="BR32" s="144">
        <v>3869384</v>
      </c>
      <c r="BS32" s="144">
        <v>3152</v>
      </c>
      <c r="BT32" s="335">
        <v>3171</v>
      </c>
      <c r="BU32" s="2">
        <v>6</v>
      </c>
      <c r="BV32" s="2">
        <v>11</v>
      </c>
      <c r="BW32" s="102" t="s">
        <v>127</v>
      </c>
      <c r="BX32" s="108" t="s">
        <v>127</v>
      </c>
      <c r="BY32" s="169" t="s">
        <v>127</v>
      </c>
      <c r="BZ32" s="137"/>
      <c r="CA32" s="137"/>
      <c r="CB32" s="137"/>
      <c r="CC32" s="137"/>
      <c r="CD32" s="137"/>
      <c r="CE32" s="137"/>
      <c r="CF32" s="137"/>
      <c r="CG32" s="137"/>
      <c r="CH32" s="137"/>
      <c r="CI32" s="137"/>
      <c r="CJ32" s="137"/>
      <c r="CK32" s="137"/>
      <c r="CL32" s="137"/>
      <c r="CM32" s="137"/>
      <c r="CN32" s="137"/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7"/>
      <c r="DB32" s="137"/>
      <c r="DC32" s="137"/>
      <c r="DD32" s="137"/>
      <c r="DE32" s="137"/>
      <c r="DF32" s="137"/>
      <c r="DG32" s="137"/>
      <c r="DH32" s="137"/>
      <c r="DI32" s="137"/>
      <c r="DJ32" s="137"/>
      <c r="DK32" s="137"/>
      <c r="DL32" s="137"/>
      <c r="DM32" s="137"/>
      <c r="DN32" s="137"/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7"/>
      <c r="EB32" s="137"/>
      <c r="EC32" s="137"/>
      <c r="ED32" s="137"/>
      <c r="EE32" s="137"/>
      <c r="EF32" s="137"/>
      <c r="EG32" s="137"/>
      <c r="EH32" s="137"/>
      <c r="EI32" s="137"/>
      <c r="EJ32" s="137"/>
      <c r="EK32" s="137"/>
      <c r="EL32" s="137"/>
      <c r="EM32" s="134" t="s">
        <v>127</v>
      </c>
      <c r="EN32" s="134" t="s">
        <v>127</v>
      </c>
      <c r="EO32" s="134" t="s">
        <v>127</v>
      </c>
      <c r="EP32" s="134" t="s">
        <v>127</v>
      </c>
      <c r="EQ32" s="134" t="s">
        <v>127</v>
      </c>
      <c r="ER32" s="134" t="s">
        <v>127</v>
      </c>
      <c r="ES32" s="134" t="s">
        <v>127</v>
      </c>
      <c r="ET32" s="134" t="s">
        <v>127</v>
      </c>
      <c r="EU32" s="134" t="s">
        <v>127</v>
      </c>
      <c r="EV32" s="134" t="s">
        <v>127</v>
      </c>
      <c r="EW32" s="134" t="s">
        <v>127</v>
      </c>
      <c r="EX32" s="134" t="s">
        <v>127</v>
      </c>
      <c r="EY32" s="134" t="s">
        <v>127</v>
      </c>
      <c r="EZ32" s="134" t="s">
        <v>127</v>
      </c>
      <c r="FA32" s="134" t="s">
        <v>127</v>
      </c>
      <c r="FB32" s="134" t="s">
        <v>127</v>
      </c>
      <c r="FC32" s="134" t="s">
        <v>127</v>
      </c>
      <c r="FD32" s="134" t="s">
        <v>127</v>
      </c>
      <c r="FE32" s="134" t="s">
        <v>127</v>
      </c>
      <c r="FF32" s="134" t="s">
        <v>127</v>
      </c>
      <c r="FG32" s="134" t="s">
        <v>127</v>
      </c>
      <c r="FH32" s="134" t="s">
        <v>127</v>
      </c>
      <c r="FI32" s="134" t="s">
        <v>127</v>
      </c>
      <c r="FJ32" s="134" t="s">
        <v>127</v>
      </c>
      <c r="FK32" s="134" t="s">
        <v>127</v>
      </c>
      <c r="FL32" s="134" t="s">
        <v>127</v>
      </c>
      <c r="FM32" s="134" t="s">
        <v>127</v>
      </c>
      <c r="FN32" s="134" t="s">
        <v>127</v>
      </c>
      <c r="FO32" s="134" t="s">
        <v>127</v>
      </c>
      <c r="FP32" s="134" t="s">
        <v>127</v>
      </c>
      <c r="FQ32" s="134" t="s">
        <v>127</v>
      </c>
      <c r="FR32" s="134" t="s">
        <v>127</v>
      </c>
      <c r="FS32" s="134" t="s">
        <v>127</v>
      </c>
      <c r="FT32" s="134" t="s">
        <v>127</v>
      </c>
      <c r="FU32" s="134" t="s">
        <v>127</v>
      </c>
      <c r="FV32" s="134" t="s">
        <v>127</v>
      </c>
      <c r="FW32" s="134" t="s">
        <v>127</v>
      </c>
      <c r="FX32" s="134" t="s">
        <v>127</v>
      </c>
      <c r="FY32" s="134" t="s">
        <v>127</v>
      </c>
      <c r="FZ32" s="134" t="s">
        <v>127</v>
      </c>
      <c r="GA32" s="134" t="s">
        <v>127</v>
      </c>
      <c r="GB32" s="134" t="s">
        <v>127</v>
      </c>
      <c r="GC32" s="134" t="s">
        <v>127</v>
      </c>
      <c r="GD32" s="134" t="s">
        <v>127</v>
      </c>
      <c r="GE32" s="134" t="s">
        <v>127</v>
      </c>
      <c r="GF32" s="134" t="s">
        <v>127</v>
      </c>
      <c r="GG32" s="134" t="s">
        <v>127</v>
      </c>
      <c r="GH32" s="134" t="s">
        <v>127</v>
      </c>
      <c r="GI32" s="134" t="s">
        <v>127</v>
      </c>
      <c r="GJ32" s="134" t="s">
        <v>127</v>
      </c>
      <c r="GK32" s="134" t="s">
        <v>127</v>
      </c>
      <c r="GL32" s="134" t="s">
        <v>127</v>
      </c>
      <c r="GM32" s="134" t="s">
        <v>127</v>
      </c>
      <c r="GN32" s="134" t="s">
        <v>127</v>
      </c>
      <c r="GO32" s="134" t="s">
        <v>127</v>
      </c>
      <c r="GP32" s="134" t="s">
        <v>127</v>
      </c>
      <c r="GQ32" s="134" t="s">
        <v>127</v>
      </c>
      <c r="GR32" s="134" t="s">
        <v>127</v>
      </c>
      <c r="GS32" s="134" t="s">
        <v>127</v>
      </c>
      <c r="GT32" s="134" t="s">
        <v>127</v>
      </c>
      <c r="GU32" s="134" t="s">
        <v>127</v>
      </c>
      <c r="GV32" s="134" t="s">
        <v>127</v>
      </c>
      <c r="GW32" s="134" t="s">
        <v>127</v>
      </c>
      <c r="GX32" s="134" t="s">
        <v>127</v>
      </c>
      <c r="GY32" s="134" t="s">
        <v>127</v>
      </c>
      <c r="GZ32" s="134" t="s">
        <v>127</v>
      </c>
      <c r="HA32" s="134" t="s">
        <v>127</v>
      </c>
      <c r="HB32" s="134" t="s">
        <v>127</v>
      </c>
      <c r="HC32" s="134" t="s">
        <v>127</v>
      </c>
      <c r="HD32" s="134" t="s">
        <v>127</v>
      </c>
      <c r="HE32" s="134" t="s">
        <v>127</v>
      </c>
      <c r="HF32" s="134" t="s">
        <v>127</v>
      </c>
      <c r="HG32" s="134" t="s">
        <v>127</v>
      </c>
      <c r="HH32" s="134" t="s">
        <v>127</v>
      </c>
      <c r="HI32" s="134" t="s">
        <v>127</v>
      </c>
      <c r="HJ32" s="134" t="s">
        <v>127</v>
      </c>
      <c r="HK32" s="134" t="s">
        <v>127</v>
      </c>
      <c r="HL32" s="134" t="s">
        <v>127</v>
      </c>
      <c r="HM32" s="134" t="s">
        <v>127</v>
      </c>
      <c r="HN32" s="134" t="s">
        <v>127</v>
      </c>
      <c r="HO32" s="134" t="s">
        <v>127</v>
      </c>
      <c r="HP32" s="134" t="s">
        <v>127</v>
      </c>
      <c r="HQ32" s="134" t="s">
        <v>127</v>
      </c>
      <c r="HR32" s="134" t="s">
        <v>127</v>
      </c>
      <c r="HS32" s="134" t="s">
        <v>127</v>
      </c>
      <c r="HT32" s="134" t="s">
        <v>127</v>
      </c>
      <c r="HU32" s="134" t="s">
        <v>127</v>
      </c>
      <c r="HV32" s="134" t="s">
        <v>127</v>
      </c>
      <c r="HW32" s="134" t="s">
        <v>127</v>
      </c>
      <c r="HX32" s="134" t="s">
        <v>127</v>
      </c>
      <c r="HY32" s="134" t="s">
        <v>127</v>
      </c>
      <c r="HZ32" s="134" t="s">
        <v>127</v>
      </c>
      <c r="IA32" s="134" t="s">
        <v>127</v>
      </c>
      <c r="IB32" s="134" t="s">
        <v>127</v>
      </c>
      <c r="IC32" s="134" t="s">
        <v>127</v>
      </c>
      <c r="ID32" s="134" t="s">
        <v>127</v>
      </c>
      <c r="IE32" s="134" t="s">
        <v>127</v>
      </c>
      <c r="IF32" s="134" t="s">
        <v>127</v>
      </c>
      <c r="IG32" s="134" t="s">
        <v>127</v>
      </c>
      <c r="IH32" s="134" t="s">
        <v>127</v>
      </c>
      <c r="II32" s="134" t="s">
        <v>127</v>
      </c>
      <c r="IJ32" s="134" t="s">
        <v>127</v>
      </c>
      <c r="IK32" s="134" t="s">
        <v>127</v>
      </c>
      <c r="IL32" s="134" t="s">
        <v>127</v>
      </c>
      <c r="IM32" s="134" t="s">
        <v>127</v>
      </c>
      <c r="IN32" s="134" t="s">
        <v>127</v>
      </c>
      <c r="IO32" s="134" t="s">
        <v>127</v>
      </c>
      <c r="IP32" s="133"/>
      <c r="IQ32" s="133"/>
    </row>
    <row r="33" spans="1:251" ht="24.9" customHeight="1">
      <c r="A33" s="183">
        <v>29</v>
      </c>
      <c r="B33" s="142" t="s">
        <v>127</v>
      </c>
      <c r="C33" s="142">
        <v>70582</v>
      </c>
      <c r="D33" s="142">
        <v>232520</v>
      </c>
      <c r="E33" s="143">
        <v>41</v>
      </c>
      <c r="F33" s="143">
        <v>16</v>
      </c>
      <c r="G33" s="142" t="s">
        <v>127</v>
      </c>
      <c r="H33" s="142">
        <v>130416</v>
      </c>
      <c r="I33" s="144">
        <v>77612</v>
      </c>
      <c r="J33" s="306">
        <v>4</v>
      </c>
      <c r="K33" s="145">
        <v>14862</v>
      </c>
      <c r="L33" s="145">
        <v>1</v>
      </c>
      <c r="M33" s="123">
        <v>158</v>
      </c>
      <c r="N33" s="147">
        <v>3</v>
      </c>
      <c r="O33" s="123">
        <v>122</v>
      </c>
      <c r="P33" s="147">
        <v>2</v>
      </c>
      <c r="Q33" s="115">
        <v>57038</v>
      </c>
      <c r="R33" s="96">
        <v>0</v>
      </c>
      <c r="S33" s="150">
        <v>25348</v>
      </c>
      <c r="T33" s="97">
        <v>0</v>
      </c>
      <c r="U33" s="153">
        <v>9622</v>
      </c>
      <c r="V33" s="153">
        <v>1695</v>
      </c>
      <c r="W33" s="96">
        <v>0</v>
      </c>
      <c r="X33" s="268">
        <v>33584</v>
      </c>
      <c r="Y33" s="97">
        <v>25</v>
      </c>
      <c r="Z33" s="154">
        <v>7893</v>
      </c>
      <c r="AA33" s="154">
        <v>7043</v>
      </c>
      <c r="AB33" s="96">
        <v>4</v>
      </c>
      <c r="AC33" s="268">
        <v>2298</v>
      </c>
      <c r="AD33" s="268">
        <v>1622</v>
      </c>
      <c r="AE33" s="97">
        <v>3</v>
      </c>
      <c r="AF33" s="155">
        <v>0</v>
      </c>
      <c r="AG33" s="206">
        <v>200998</v>
      </c>
      <c r="AH33" s="261">
        <v>62</v>
      </c>
      <c r="AI33" s="158">
        <v>196</v>
      </c>
      <c r="AJ33" s="158">
        <v>134</v>
      </c>
      <c r="AK33" s="102">
        <v>1734644</v>
      </c>
      <c r="AL33" s="103">
        <v>176</v>
      </c>
      <c r="AM33" s="102">
        <v>62190</v>
      </c>
      <c r="AN33" s="103">
        <v>18</v>
      </c>
      <c r="AO33" s="108">
        <v>124828</v>
      </c>
      <c r="AP33" s="104">
        <v>0</v>
      </c>
      <c r="AQ33" s="108">
        <v>131322</v>
      </c>
      <c r="AR33" s="104">
        <v>0</v>
      </c>
      <c r="AS33" s="108">
        <v>1797010</v>
      </c>
      <c r="AT33" s="336">
        <v>194</v>
      </c>
      <c r="AU33" s="189">
        <v>1200</v>
      </c>
      <c r="AV33" s="158">
        <v>1006</v>
      </c>
      <c r="AW33" s="109">
        <v>0</v>
      </c>
      <c r="AX33" s="109">
        <v>0</v>
      </c>
      <c r="AY33" s="109">
        <v>0</v>
      </c>
      <c r="AZ33" s="109" t="s">
        <v>216</v>
      </c>
      <c r="BA33" s="109">
        <v>160.69</v>
      </c>
      <c r="BB33" s="109">
        <v>9680</v>
      </c>
      <c r="BC33" s="107" t="s">
        <v>216</v>
      </c>
      <c r="BD33" s="108" t="s">
        <v>216</v>
      </c>
      <c r="BE33" s="159">
        <v>707036</v>
      </c>
      <c r="BF33" s="108" t="s">
        <v>217</v>
      </c>
      <c r="BG33" s="108" t="s">
        <v>218</v>
      </c>
      <c r="BH33" s="159">
        <v>9680</v>
      </c>
      <c r="BI33" s="160">
        <v>9680</v>
      </c>
      <c r="BJ33" s="161">
        <v>7827</v>
      </c>
      <c r="BK33" s="159">
        <v>458.26</v>
      </c>
      <c r="BL33" s="337">
        <v>356</v>
      </c>
      <c r="BM33" s="338">
        <v>10036</v>
      </c>
      <c r="BN33" s="189">
        <v>20406</v>
      </c>
      <c r="BO33" s="339">
        <v>10370</v>
      </c>
      <c r="BP33" s="144">
        <v>2851547</v>
      </c>
      <c r="BQ33" s="144">
        <v>11</v>
      </c>
      <c r="BR33" s="144">
        <v>3871226</v>
      </c>
      <c r="BS33" s="144">
        <v>1842</v>
      </c>
      <c r="BT33" s="176">
        <v>1853</v>
      </c>
      <c r="BU33" s="2">
        <v>5</v>
      </c>
      <c r="BV33" s="2">
        <v>5</v>
      </c>
      <c r="BW33" s="102" t="s">
        <v>127</v>
      </c>
      <c r="BX33" s="108" t="s">
        <v>127</v>
      </c>
      <c r="BY33" s="169" t="s">
        <v>127</v>
      </c>
      <c r="BZ33" s="137"/>
      <c r="CA33" s="137"/>
      <c r="CB33" s="137"/>
      <c r="CC33" s="137"/>
      <c r="CD33" s="137"/>
      <c r="CE33" s="137"/>
      <c r="CF33" s="137"/>
      <c r="CG33" s="137"/>
      <c r="CH33" s="137"/>
      <c r="CI33" s="137"/>
      <c r="CJ33" s="137"/>
      <c r="CK33" s="137"/>
      <c r="CL33" s="137"/>
      <c r="CM33" s="137"/>
      <c r="CN33" s="137"/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7"/>
      <c r="DB33" s="137"/>
      <c r="DC33" s="137"/>
      <c r="DD33" s="137"/>
      <c r="DE33" s="137"/>
      <c r="DF33" s="137"/>
      <c r="DG33" s="137"/>
      <c r="DH33" s="137"/>
      <c r="DI33" s="137"/>
      <c r="DJ33" s="137"/>
      <c r="DK33" s="137"/>
      <c r="DL33" s="137"/>
      <c r="DM33" s="137"/>
      <c r="DN33" s="137"/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7"/>
      <c r="EB33" s="137"/>
      <c r="EC33" s="137"/>
      <c r="ED33" s="137"/>
      <c r="EE33" s="137"/>
      <c r="EF33" s="137"/>
      <c r="EG33" s="137"/>
      <c r="EH33" s="137"/>
      <c r="EI33" s="137"/>
      <c r="EJ33" s="137"/>
      <c r="EK33" s="137"/>
      <c r="EL33" s="137"/>
      <c r="EM33" s="134" t="s">
        <v>127</v>
      </c>
      <c r="EN33" s="134" t="s">
        <v>127</v>
      </c>
      <c r="EO33" s="134" t="s">
        <v>127</v>
      </c>
      <c r="EP33" s="134" t="s">
        <v>127</v>
      </c>
      <c r="EQ33" s="134" t="s">
        <v>127</v>
      </c>
      <c r="ER33" s="134" t="s">
        <v>127</v>
      </c>
      <c r="ES33" s="134" t="s">
        <v>127</v>
      </c>
      <c r="ET33" s="134" t="s">
        <v>127</v>
      </c>
      <c r="EU33" s="134" t="s">
        <v>127</v>
      </c>
      <c r="EV33" s="134" t="s">
        <v>127</v>
      </c>
      <c r="EW33" s="134" t="s">
        <v>127</v>
      </c>
      <c r="EX33" s="134" t="s">
        <v>127</v>
      </c>
      <c r="EY33" s="134" t="s">
        <v>127</v>
      </c>
      <c r="EZ33" s="134" t="s">
        <v>127</v>
      </c>
      <c r="FA33" s="134" t="s">
        <v>127</v>
      </c>
      <c r="FB33" s="134" t="s">
        <v>127</v>
      </c>
      <c r="FC33" s="134" t="s">
        <v>127</v>
      </c>
      <c r="FD33" s="134" t="s">
        <v>127</v>
      </c>
      <c r="FE33" s="134" t="s">
        <v>127</v>
      </c>
      <c r="FF33" s="134" t="s">
        <v>127</v>
      </c>
      <c r="FG33" s="134" t="s">
        <v>127</v>
      </c>
      <c r="FH33" s="134" t="s">
        <v>127</v>
      </c>
      <c r="FI33" s="134" t="s">
        <v>127</v>
      </c>
      <c r="FJ33" s="134" t="s">
        <v>127</v>
      </c>
      <c r="FK33" s="134" t="s">
        <v>127</v>
      </c>
      <c r="FL33" s="134" t="s">
        <v>127</v>
      </c>
      <c r="FM33" s="134" t="s">
        <v>127</v>
      </c>
      <c r="FN33" s="134" t="s">
        <v>127</v>
      </c>
      <c r="FO33" s="134" t="s">
        <v>127</v>
      </c>
      <c r="FP33" s="134" t="s">
        <v>127</v>
      </c>
      <c r="FQ33" s="134" t="s">
        <v>127</v>
      </c>
      <c r="FR33" s="134" t="s">
        <v>127</v>
      </c>
      <c r="FS33" s="134" t="s">
        <v>127</v>
      </c>
      <c r="FT33" s="134" t="s">
        <v>127</v>
      </c>
      <c r="FU33" s="134" t="s">
        <v>127</v>
      </c>
      <c r="FV33" s="134" t="s">
        <v>127</v>
      </c>
      <c r="FW33" s="134" t="s">
        <v>127</v>
      </c>
      <c r="FX33" s="134" t="s">
        <v>127</v>
      </c>
      <c r="FY33" s="134" t="s">
        <v>127</v>
      </c>
      <c r="FZ33" s="134" t="s">
        <v>127</v>
      </c>
      <c r="GA33" s="134" t="s">
        <v>127</v>
      </c>
      <c r="GB33" s="134" t="s">
        <v>127</v>
      </c>
      <c r="GC33" s="134" t="s">
        <v>127</v>
      </c>
      <c r="GD33" s="134" t="s">
        <v>127</v>
      </c>
      <c r="GE33" s="134" t="s">
        <v>127</v>
      </c>
      <c r="GF33" s="134" t="s">
        <v>127</v>
      </c>
      <c r="GG33" s="134" t="s">
        <v>127</v>
      </c>
      <c r="GH33" s="134" t="s">
        <v>127</v>
      </c>
      <c r="GI33" s="134" t="s">
        <v>127</v>
      </c>
      <c r="GJ33" s="134" t="s">
        <v>127</v>
      </c>
      <c r="GK33" s="134" t="s">
        <v>127</v>
      </c>
      <c r="GL33" s="134" t="s">
        <v>127</v>
      </c>
      <c r="GM33" s="134" t="s">
        <v>127</v>
      </c>
      <c r="GN33" s="134" t="s">
        <v>127</v>
      </c>
      <c r="GO33" s="134" t="s">
        <v>127</v>
      </c>
      <c r="GP33" s="134" t="s">
        <v>127</v>
      </c>
      <c r="GQ33" s="134" t="s">
        <v>127</v>
      </c>
      <c r="GR33" s="134" t="s">
        <v>127</v>
      </c>
      <c r="GS33" s="134" t="s">
        <v>127</v>
      </c>
      <c r="GT33" s="134" t="s">
        <v>127</v>
      </c>
      <c r="GU33" s="134" t="s">
        <v>127</v>
      </c>
      <c r="GV33" s="134" t="s">
        <v>127</v>
      </c>
      <c r="GW33" s="134" t="s">
        <v>127</v>
      </c>
      <c r="GX33" s="134" t="s">
        <v>127</v>
      </c>
      <c r="GY33" s="134" t="s">
        <v>127</v>
      </c>
      <c r="GZ33" s="134" t="s">
        <v>127</v>
      </c>
      <c r="HA33" s="134" t="s">
        <v>127</v>
      </c>
      <c r="HB33" s="134" t="s">
        <v>127</v>
      </c>
      <c r="HC33" s="134" t="s">
        <v>127</v>
      </c>
      <c r="HD33" s="134" t="s">
        <v>127</v>
      </c>
      <c r="HE33" s="134" t="s">
        <v>127</v>
      </c>
      <c r="HF33" s="134" t="s">
        <v>127</v>
      </c>
      <c r="HG33" s="134" t="s">
        <v>127</v>
      </c>
      <c r="HH33" s="134" t="s">
        <v>127</v>
      </c>
      <c r="HI33" s="134" t="s">
        <v>127</v>
      </c>
      <c r="HJ33" s="134" t="s">
        <v>127</v>
      </c>
      <c r="HK33" s="134" t="s">
        <v>127</v>
      </c>
      <c r="HL33" s="134" t="s">
        <v>127</v>
      </c>
      <c r="HM33" s="134" t="s">
        <v>127</v>
      </c>
      <c r="HN33" s="134" t="s">
        <v>127</v>
      </c>
      <c r="HO33" s="134" t="s">
        <v>127</v>
      </c>
      <c r="HP33" s="134" t="s">
        <v>127</v>
      </c>
      <c r="HQ33" s="134" t="s">
        <v>127</v>
      </c>
      <c r="HR33" s="134" t="s">
        <v>127</v>
      </c>
      <c r="HS33" s="134" t="s">
        <v>127</v>
      </c>
      <c r="HT33" s="134" t="s">
        <v>127</v>
      </c>
      <c r="HU33" s="134" t="s">
        <v>127</v>
      </c>
      <c r="HV33" s="134" t="s">
        <v>127</v>
      </c>
      <c r="HW33" s="134" t="s">
        <v>127</v>
      </c>
      <c r="HX33" s="134" t="s">
        <v>127</v>
      </c>
      <c r="HY33" s="134" t="s">
        <v>127</v>
      </c>
      <c r="HZ33" s="134" t="s">
        <v>127</v>
      </c>
      <c r="IA33" s="134" t="s">
        <v>127</v>
      </c>
      <c r="IB33" s="134" t="s">
        <v>127</v>
      </c>
      <c r="IC33" s="134" t="s">
        <v>127</v>
      </c>
      <c r="ID33" s="134" t="s">
        <v>127</v>
      </c>
      <c r="IE33" s="134" t="s">
        <v>127</v>
      </c>
      <c r="IF33" s="134" t="s">
        <v>127</v>
      </c>
      <c r="IG33" s="134" t="s">
        <v>127</v>
      </c>
      <c r="IH33" s="134" t="s">
        <v>127</v>
      </c>
      <c r="II33" s="134" t="s">
        <v>127</v>
      </c>
      <c r="IJ33" s="134" t="s">
        <v>127</v>
      </c>
      <c r="IK33" s="134" t="s">
        <v>127</v>
      </c>
      <c r="IL33" s="134" t="s">
        <v>127</v>
      </c>
      <c r="IM33" s="134" t="s">
        <v>127</v>
      </c>
      <c r="IN33" s="134" t="s">
        <v>127</v>
      </c>
      <c r="IO33" s="134" t="s">
        <v>127</v>
      </c>
      <c r="IP33" s="133"/>
      <c r="IQ33" s="133"/>
    </row>
    <row r="34" spans="1:251" ht="24.9" customHeight="1">
      <c r="A34" s="205">
        <v>30</v>
      </c>
      <c r="B34" s="142" t="s">
        <v>127</v>
      </c>
      <c r="C34" s="142">
        <v>70582</v>
      </c>
      <c r="D34" s="142">
        <v>232570</v>
      </c>
      <c r="E34" s="143">
        <v>50</v>
      </c>
      <c r="F34" s="143">
        <v>24</v>
      </c>
      <c r="G34" s="142" t="s">
        <v>127</v>
      </c>
      <c r="H34" s="142">
        <v>130495</v>
      </c>
      <c r="I34" s="144">
        <v>77615</v>
      </c>
      <c r="J34" s="184">
        <v>3</v>
      </c>
      <c r="K34" s="145">
        <v>14866</v>
      </c>
      <c r="L34" s="145">
        <v>4</v>
      </c>
      <c r="M34" s="123">
        <v>161</v>
      </c>
      <c r="N34" s="147">
        <v>3</v>
      </c>
      <c r="O34" s="123">
        <v>124</v>
      </c>
      <c r="P34" s="147">
        <v>2</v>
      </c>
      <c r="Q34" s="115">
        <v>57038</v>
      </c>
      <c r="R34" s="96">
        <v>0</v>
      </c>
      <c r="S34" s="150">
        <v>25348</v>
      </c>
      <c r="T34" s="97">
        <v>0</v>
      </c>
      <c r="U34" s="153">
        <v>9622</v>
      </c>
      <c r="V34" s="153">
        <v>1695</v>
      </c>
      <c r="W34" s="96">
        <v>0</v>
      </c>
      <c r="X34" s="268">
        <v>33610</v>
      </c>
      <c r="Y34" s="97">
        <v>26</v>
      </c>
      <c r="Z34" s="154">
        <v>7896</v>
      </c>
      <c r="AA34" s="154">
        <v>7046</v>
      </c>
      <c r="AB34" s="96">
        <v>6</v>
      </c>
      <c r="AC34" s="268">
        <v>2300</v>
      </c>
      <c r="AD34" s="268">
        <v>1623</v>
      </c>
      <c r="AE34" s="97">
        <v>3</v>
      </c>
      <c r="AF34" s="155">
        <v>0</v>
      </c>
      <c r="AG34" s="206">
        <v>201077</v>
      </c>
      <c r="AH34" s="187">
        <v>79</v>
      </c>
      <c r="AI34" s="158">
        <v>196</v>
      </c>
      <c r="AJ34" s="158">
        <v>117</v>
      </c>
      <c r="AK34" s="102">
        <v>1735042</v>
      </c>
      <c r="AL34" s="103">
        <v>398</v>
      </c>
      <c r="AM34" s="102">
        <v>62213</v>
      </c>
      <c r="AN34" s="103">
        <v>23</v>
      </c>
      <c r="AO34" s="108">
        <v>124828</v>
      </c>
      <c r="AP34" s="104">
        <v>0</v>
      </c>
      <c r="AQ34" s="108">
        <v>131322</v>
      </c>
      <c r="AR34" s="104">
        <v>0</v>
      </c>
      <c r="AS34" s="108">
        <v>1797653</v>
      </c>
      <c r="AT34" s="188">
        <v>421</v>
      </c>
      <c r="AU34" s="189">
        <v>1200</v>
      </c>
      <c r="AV34" s="158">
        <v>779</v>
      </c>
      <c r="AW34" s="109">
        <v>0</v>
      </c>
      <c r="AX34" s="109">
        <v>0</v>
      </c>
      <c r="AY34" s="109">
        <v>0</v>
      </c>
      <c r="AZ34" s="109" t="s">
        <v>219</v>
      </c>
      <c r="BA34" s="109">
        <v>164.06</v>
      </c>
      <c r="BB34" s="109">
        <v>14828</v>
      </c>
      <c r="BC34" s="107" t="s">
        <v>219</v>
      </c>
      <c r="BD34" s="108" t="s">
        <v>219</v>
      </c>
      <c r="BE34" s="159">
        <v>721864</v>
      </c>
      <c r="BF34" s="108" t="s">
        <v>220</v>
      </c>
      <c r="BG34" s="108" t="s">
        <v>221</v>
      </c>
      <c r="BH34" s="159">
        <v>14828</v>
      </c>
      <c r="BI34" s="160">
        <v>14828</v>
      </c>
      <c r="BJ34" s="161">
        <v>12279</v>
      </c>
      <c r="BK34" s="159">
        <v>463.34</v>
      </c>
      <c r="BL34" s="190">
        <v>508</v>
      </c>
      <c r="BM34" s="191">
        <v>15336</v>
      </c>
      <c r="BN34" s="189">
        <v>20406</v>
      </c>
      <c r="BO34" s="192">
        <v>5070</v>
      </c>
      <c r="BP34" s="144">
        <v>2851566</v>
      </c>
      <c r="BQ34" s="144">
        <v>19</v>
      </c>
      <c r="BR34" s="144">
        <v>3873756</v>
      </c>
      <c r="BS34" s="144">
        <v>2530</v>
      </c>
      <c r="BT34" s="193">
        <v>2549</v>
      </c>
      <c r="BU34" s="2">
        <v>10</v>
      </c>
      <c r="BV34" s="2">
        <v>10</v>
      </c>
      <c r="BW34" s="102" t="s">
        <v>127</v>
      </c>
      <c r="BX34" s="102" t="s">
        <v>127</v>
      </c>
      <c r="BY34" s="169" t="s">
        <v>127</v>
      </c>
      <c r="BZ34" s="137"/>
      <c r="CA34" s="137"/>
      <c r="CB34" s="137"/>
      <c r="CC34" s="137"/>
      <c r="CD34" s="137"/>
      <c r="CE34" s="137"/>
      <c r="CF34" s="137"/>
      <c r="CG34" s="137"/>
      <c r="CH34" s="137"/>
      <c r="CI34" s="137"/>
      <c r="CJ34" s="137"/>
      <c r="CK34" s="137"/>
      <c r="CL34" s="137"/>
      <c r="CM34" s="137"/>
      <c r="CN34" s="137"/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7"/>
      <c r="DB34" s="137"/>
      <c r="DC34" s="137"/>
      <c r="DD34" s="137"/>
      <c r="DE34" s="137"/>
      <c r="DF34" s="137"/>
      <c r="DG34" s="137"/>
      <c r="DH34" s="137"/>
      <c r="DI34" s="137"/>
      <c r="DJ34" s="137"/>
      <c r="DK34" s="137"/>
      <c r="DL34" s="137"/>
      <c r="DM34" s="137"/>
      <c r="DN34" s="137"/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7"/>
      <c r="EB34" s="137"/>
      <c r="EC34" s="137"/>
      <c r="ED34" s="137"/>
      <c r="EE34" s="137"/>
      <c r="EF34" s="137"/>
      <c r="EG34" s="137"/>
      <c r="EH34" s="137"/>
      <c r="EI34" s="137"/>
      <c r="EJ34" s="137"/>
      <c r="EK34" s="137"/>
      <c r="EL34" s="137"/>
      <c r="EM34" s="134" t="s">
        <v>127</v>
      </c>
      <c r="EN34" s="134" t="s">
        <v>127</v>
      </c>
      <c r="EO34" s="134" t="s">
        <v>127</v>
      </c>
      <c r="EP34" s="134" t="s">
        <v>127</v>
      </c>
      <c r="EQ34" s="134" t="s">
        <v>127</v>
      </c>
      <c r="ER34" s="134" t="s">
        <v>127</v>
      </c>
      <c r="ES34" s="134" t="s">
        <v>127</v>
      </c>
      <c r="ET34" s="134" t="s">
        <v>127</v>
      </c>
      <c r="EU34" s="134" t="s">
        <v>127</v>
      </c>
      <c r="EV34" s="134" t="s">
        <v>127</v>
      </c>
      <c r="EW34" s="134" t="s">
        <v>127</v>
      </c>
      <c r="EX34" s="134" t="s">
        <v>127</v>
      </c>
      <c r="EY34" s="134" t="s">
        <v>127</v>
      </c>
      <c r="EZ34" s="134" t="s">
        <v>127</v>
      </c>
      <c r="FA34" s="134" t="s">
        <v>127</v>
      </c>
      <c r="FB34" s="134" t="s">
        <v>127</v>
      </c>
      <c r="FC34" s="134" t="s">
        <v>127</v>
      </c>
      <c r="FD34" s="134" t="s">
        <v>127</v>
      </c>
      <c r="FE34" s="134" t="s">
        <v>127</v>
      </c>
      <c r="FF34" s="134" t="s">
        <v>127</v>
      </c>
      <c r="FG34" s="134" t="s">
        <v>127</v>
      </c>
      <c r="FH34" s="134" t="s">
        <v>127</v>
      </c>
      <c r="FI34" s="134" t="s">
        <v>127</v>
      </c>
      <c r="FJ34" s="134" t="s">
        <v>127</v>
      </c>
      <c r="FK34" s="134" t="s">
        <v>127</v>
      </c>
      <c r="FL34" s="134" t="s">
        <v>127</v>
      </c>
      <c r="FM34" s="134" t="s">
        <v>127</v>
      </c>
      <c r="FN34" s="134" t="s">
        <v>127</v>
      </c>
      <c r="FO34" s="134" t="s">
        <v>127</v>
      </c>
      <c r="FP34" s="134" t="s">
        <v>127</v>
      </c>
      <c r="FQ34" s="134" t="s">
        <v>127</v>
      </c>
      <c r="FR34" s="134" t="s">
        <v>127</v>
      </c>
      <c r="FS34" s="134" t="s">
        <v>127</v>
      </c>
      <c r="FT34" s="134" t="s">
        <v>127</v>
      </c>
      <c r="FU34" s="134" t="s">
        <v>127</v>
      </c>
      <c r="FV34" s="134" t="s">
        <v>127</v>
      </c>
      <c r="FW34" s="134" t="s">
        <v>127</v>
      </c>
      <c r="FX34" s="134" t="s">
        <v>127</v>
      </c>
      <c r="FY34" s="134" t="s">
        <v>127</v>
      </c>
      <c r="FZ34" s="134" t="s">
        <v>127</v>
      </c>
      <c r="GA34" s="134" t="s">
        <v>127</v>
      </c>
      <c r="GB34" s="134" t="s">
        <v>127</v>
      </c>
      <c r="GC34" s="134" t="s">
        <v>127</v>
      </c>
      <c r="GD34" s="134" t="s">
        <v>127</v>
      </c>
      <c r="GE34" s="134" t="s">
        <v>127</v>
      </c>
      <c r="GF34" s="134" t="s">
        <v>127</v>
      </c>
      <c r="GG34" s="134" t="s">
        <v>127</v>
      </c>
      <c r="GH34" s="134" t="s">
        <v>127</v>
      </c>
      <c r="GI34" s="134" t="s">
        <v>127</v>
      </c>
      <c r="GJ34" s="134" t="s">
        <v>127</v>
      </c>
      <c r="GK34" s="134" t="s">
        <v>127</v>
      </c>
      <c r="GL34" s="134" t="s">
        <v>127</v>
      </c>
      <c r="GM34" s="134" t="s">
        <v>127</v>
      </c>
      <c r="GN34" s="134" t="s">
        <v>127</v>
      </c>
      <c r="GO34" s="134" t="s">
        <v>127</v>
      </c>
      <c r="GP34" s="134" t="s">
        <v>127</v>
      </c>
      <c r="GQ34" s="134" t="s">
        <v>127</v>
      </c>
      <c r="GR34" s="134" t="s">
        <v>127</v>
      </c>
      <c r="GS34" s="134" t="s">
        <v>127</v>
      </c>
      <c r="GT34" s="134" t="s">
        <v>127</v>
      </c>
      <c r="GU34" s="134" t="s">
        <v>127</v>
      </c>
      <c r="GV34" s="134" t="s">
        <v>127</v>
      </c>
      <c r="GW34" s="134" t="s">
        <v>127</v>
      </c>
      <c r="GX34" s="134" t="s">
        <v>127</v>
      </c>
      <c r="GY34" s="134" t="s">
        <v>127</v>
      </c>
      <c r="GZ34" s="134" t="s">
        <v>127</v>
      </c>
      <c r="HA34" s="134" t="s">
        <v>127</v>
      </c>
      <c r="HB34" s="134" t="s">
        <v>127</v>
      </c>
      <c r="HC34" s="134" t="s">
        <v>127</v>
      </c>
      <c r="HD34" s="134" t="s">
        <v>127</v>
      </c>
      <c r="HE34" s="134" t="s">
        <v>127</v>
      </c>
      <c r="HF34" s="134" t="s">
        <v>127</v>
      </c>
      <c r="HG34" s="134" t="s">
        <v>127</v>
      </c>
      <c r="HH34" s="134" t="s">
        <v>127</v>
      </c>
      <c r="HI34" s="134" t="s">
        <v>127</v>
      </c>
      <c r="HJ34" s="134" t="s">
        <v>127</v>
      </c>
      <c r="HK34" s="134" t="s">
        <v>127</v>
      </c>
      <c r="HL34" s="134" t="s">
        <v>127</v>
      </c>
      <c r="HM34" s="134" t="s">
        <v>127</v>
      </c>
      <c r="HN34" s="134" t="s">
        <v>127</v>
      </c>
      <c r="HO34" s="134" t="s">
        <v>127</v>
      </c>
      <c r="HP34" s="134" t="s">
        <v>127</v>
      </c>
      <c r="HQ34" s="134" t="s">
        <v>127</v>
      </c>
      <c r="HR34" s="134" t="s">
        <v>127</v>
      </c>
      <c r="HS34" s="134" t="s">
        <v>127</v>
      </c>
      <c r="HT34" s="134" t="s">
        <v>127</v>
      </c>
      <c r="HU34" s="134" t="s">
        <v>127</v>
      </c>
      <c r="HV34" s="134" t="s">
        <v>127</v>
      </c>
      <c r="HW34" s="134" t="s">
        <v>127</v>
      </c>
      <c r="HX34" s="134" t="s">
        <v>127</v>
      </c>
      <c r="HY34" s="134" t="s">
        <v>127</v>
      </c>
      <c r="HZ34" s="134" t="s">
        <v>127</v>
      </c>
      <c r="IA34" s="134" t="s">
        <v>127</v>
      </c>
      <c r="IB34" s="134" t="s">
        <v>127</v>
      </c>
      <c r="IC34" s="134" t="s">
        <v>127</v>
      </c>
      <c r="ID34" s="134" t="s">
        <v>127</v>
      </c>
      <c r="IE34" s="134" t="s">
        <v>127</v>
      </c>
      <c r="IF34" s="134" t="s">
        <v>127</v>
      </c>
      <c r="IG34" s="134" t="s">
        <v>127</v>
      </c>
      <c r="IH34" s="134" t="s">
        <v>127</v>
      </c>
      <c r="II34" s="134" t="s">
        <v>127</v>
      </c>
      <c r="IJ34" s="134" t="s">
        <v>127</v>
      </c>
      <c r="IK34" s="134" t="s">
        <v>127</v>
      </c>
      <c r="IL34" s="134" t="s">
        <v>127</v>
      </c>
      <c r="IM34" s="134" t="s">
        <v>127</v>
      </c>
      <c r="IN34" s="134" t="s">
        <v>127</v>
      </c>
      <c r="IO34" s="134" t="s">
        <v>127</v>
      </c>
      <c r="IP34" s="133"/>
      <c r="IQ34" s="133"/>
    </row>
    <row r="35" spans="1:251" ht="24.9" customHeight="1">
      <c r="A35" s="205"/>
      <c r="B35" s="142"/>
      <c r="C35" s="142"/>
      <c r="D35" s="142"/>
      <c r="E35" s="143"/>
      <c r="F35" s="143"/>
      <c r="G35" s="142"/>
      <c r="H35" s="142"/>
      <c r="I35" s="144"/>
      <c r="J35" s="144"/>
      <c r="K35" s="145"/>
      <c r="L35" s="146"/>
      <c r="M35" s="167"/>
      <c r="N35" s="147"/>
      <c r="O35" s="123"/>
      <c r="P35" s="147"/>
      <c r="Q35" s="148"/>
      <c r="R35" s="149"/>
      <c r="S35" s="150"/>
      <c r="T35" s="151"/>
      <c r="U35" s="152"/>
      <c r="V35" s="152"/>
      <c r="W35" s="149"/>
      <c r="X35" s="150"/>
      <c r="Y35" s="97"/>
      <c r="Z35" s="154"/>
      <c r="AA35" s="154"/>
      <c r="AB35" s="96"/>
      <c r="AC35" s="150"/>
      <c r="AD35" s="150"/>
      <c r="AE35" s="97"/>
      <c r="AF35" s="155"/>
      <c r="AG35" s="156"/>
      <c r="AH35" s="135"/>
      <c r="AI35" s="158"/>
      <c r="AJ35" s="158"/>
      <c r="AK35" s="102"/>
      <c r="AL35" s="102"/>
      <c r="AM35" s="102"/>
      <c r="AN35" s="103"/>
      <c r="AO35" s="108"/>
      <c r="AP35" s="104"/>
      <c r="AQ35" s="108"/>
      <c r="AR35" s="104"/>
      <c r="AS35" s="108"/>
      <c r="AT35" s="94"/>
      <c r="AU35" s="158"/>
      <c r="AV35" s="158"/>
      <c r="AW35" s="109"/>
      <c r="AX35" s="109"/>
      <c r="AY35" s="109"/>
      <c r="AZ35" s="109"/>
      <c r="BA35" s="109"/>
      <c r="BB35" s="109"/>
      <c r="BC35" s="107"/>
      <c r="BD35" s="108"/>
      <c r="BE35" s="159"/>
      <c r="BF35" s="108"/>
      <c r="BG35" s="108"/>
      <c r="BH35" s="159"/>
      <c r="BI35" s="160"/>
      <c r="BJ35" s="161"/>
      <c r="BK35" s="159"/>
      <c r="BL35" s="159"/>
      <c r="BM35" s="136"/>
      <c r="BN35" s="158"/>
      <c r="BO35" s="158"/>
      <c r="BP35" s="144"/>
      <c r="BQ35" s="144"/>
      <c r="BR35" s="144"/>
      <c r="BS35" s="144"/>
      <c r="BT35" s="144"/>
      <c r="BU35" s="165"/>
      <c r="BV35" s="166"/>
      <c r="BW35" s="162"/>
      <c r="BX35" s="107"/>
      <c r="BY35" s="107"/>
      <c r="BZ35" s="137"/>
      <c r="CA35" s="163"/>
      <c r="CB35" s="134"/>
      <c r="CC35" s="134"/>
      <c r="CD35" s="134"/>
      <c r="CE35" s="134"/>
      <c r="CF35" s="134"/>
      <c r="CG35" s="134"/>
      <c r="CH35" s="134"/>
      <c r="CI35" s="134"/>
      <c r="CJ35" s="134"/>
      <c r="CK35" s="134"/>
      <c r="CL35" s="134"/>
      <c r="CM35" s="134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  <c r="DB35" s="134"/>
      <c r="DC35" s="134"/>
      <c r="DD35" s="134"/>
      <c r="DE35" s="134"/>
      <c r="DF35" s="134"/>
      <c r="DG35" s="134"/>
      <c r="DH35" s="134"/>
      <c r="DI35" s="134"/>
      <c r="DJ35" s="134"/>
      <c r="DK35" s="134"/>
      <c r="DL35" s="134"/>
      <c r="DM35" s="134"/>
      <c r="DN35" s="134"/>
      <c r="DO35" s="134"/>
      <c r="DP35" s="134"/>
      <c r="DQ35" s="134"/>
      <c r="DR35" s="134"/>
      <c r="DS35" s="134"/>
      <c r="DT35" s="134"/>
      <c r="DU35" s="134"/>
      <c r="DV35" s="134"/>
      <c r="DW35" s="134"/>
      <c r="DX35" s="134"/>
      <c r="DY35" s="134"/>
      <c r="DZ35" s="134"/>
      <c r="EA35" s="134"/>
      <c r="EB35" s="134"/>
      <c r="EC35" s="134"/>
      <c r="ED35" s="134"/>
      <c r="EE35" s="134"/>
      <c r="EF35" s="134"/>
      <c r="EG35" s="134"/>
      <c r="EH35" s="134"/>
      <c r="EI35" s="134"/>
      <c r="EJ35" s="134"/>
      <c r="EK35" s="134"/>
      <c r="EL35" s="134"/>
      <c r="EM35" s="134"/>
      <c r="EN35" s="134"/>
      <c r="EO35" s="134"/>
      <c r="EP35" s="134"/>
      <c r="EQ35" s="134"/>
      <c r="ER35" s="134"/>
      <c r="ES35" s="134"/>
      <c r="ET35" s="134"/>
      <c r="EU35" s="134"/>
      <c r="EV35" s="134"/>
      <c r="EW35" s="134"/>
      <c r="EX35" s="134"/>
      <c r="EY35" s="134"/>
      <c r="EZ35" s="134"/>
      <c r="FA35" s="134"/>
      <c r="FB35" s="134"/>
      <c r="FC35" s="134"/>
      <c r="FD35" s="134"/>
      <c r="FE35" s="134"/>
      <c r="FF35" s="134"/>
      <c r="FG35" s="134"/>
      <c r="FH35" s="134"/>
      <c r="FI35" s="134"/>
      <c r="FJ35" s="134"/>
      <c r="FK35" s="134"/>
      <c r="FL35" s="134"/>
      <c r="FM35" s="134"/>
      <c r="FN35" s="134"/>
      <c r="FO35" s="134"/>
      <c r="FP35" s="134"/>
      <c r="FQ35" s="134"/>
      <c r="FR35" s="134"/>
      <c r="FS35" s="134"/>
      <c r="FT35" s="134"/>
      <c r="FU35" s="134"/>
      <c r="FV35" s="134"/>
      <c r="FW35" s="134"/>
      <c r="FX35" s="134"/>
      <c r="FY35" s="134"/>
      <c r="FZ35" s="134"/>
      <c r="GA35" s="134"/>
      <c r="GB35" s="134"/>
      <c r="GC35" s="134"/>
      <c r="GD35" s="134"/>
      <c r="GE35" s="134"/>
      <c r="GF35" s="134"/>
      <c r="GG35" s="134"/>
      <c r="GH35" s="134"/>
      <c r="GI35" s="134"/>
      <c r="GJ35" s="134"/>
      <c r="GK35" s="134"/>
      <c r="GL35" s="134"/>
      <c r="GM35" s="134"/>
      <c r="GN35" s="134"/>
      <c r="GO35" s="134"/>
      <c r="GP35" s="134"/>
      <c r="GQ35" s="134"/>
      <c r="GR35" s="134"/>
      <c r="GS35" s="134"/>
      <c r="GT35" s="134"/>
      <c r="GU35" s="134"/>
      <c r="GV35" s="134"/>
      <c r="GW35" s="134"/>
      <c r="GX35" s="134"/>
      <c r="GY35" s="134"/>
      <c r="GZ35" s="134"/>
      <c r="HA35" s="134"/>
      <c r="HB35" s="134"/>
      <c r="HC35" s="134"/>
      <c r="HD35" s="134"/>
      <c r="HE35" s="134"/>
      <c r="HF35" s="134"/>
      <c r="HG35" s="134"/>
      <c r="HH35" s="134"/>
      <c r="HI35" s="134"/>
      <c r="HJ35" s="134"/>
      <c r="HK35" s="134"/>
      <c r="HL35" s="134"/>
      <c r="HM35" s="134"/>
      <c r="HN35" s="134"/>
      <c r="HO35" s="134"/>
      <c r="HP35" s="134"/>
      <c r="HQ35" s="134"/>
      <c r="HR35" s="134"/>
      <c r="HS35" s="134"/>
      <c r="HT35" s="134"/>
      <c r="HU35" s="134"/>
      <c r="HV35" s="134"/>
      <c r="HW35" s="134"/>
      <c r="HX35" s="134"/>
      <c r="HY35" s="134"/>
      <c r="HZ35" s="134"/>
      <c r="IA35" s="134"/>
      <c r="IB35" s="134"/>
      <c r="IC35" s="134"/>
      <c r="ID35" s="134"/>
      <c r="IE35" s="134"/>
      <c r="IF35" s="134"/>
      <c r="IG35" s="134"/>
      <c r="IH35" s="134"/>
      <c r="II35" s="134"/>
      <c r="IJ35" s="134"/>
      <c r="IK35" s="134"/>
      <c r="IL35" s="134"/>
      <c r="IM35" s="134"/>
      <c r="IN35" s="134"/>
      <c r="IO35" s="134"/>
      <c r="IP35" s="133"/>
      <c r="IQ35" s="133"/>
    </row>
    <row r="36" spans="1:251">
      <c r="A36" s="114" t="s">
        <v>127</v>
      </c>
      <c r="B36" s="91" t="s">
        <v>127</v>
      </c>
      <c r="C36" s="91" t="s">
        <v>127</v>
      </c>
      <c r="D36" s="91" t="s">
        <v>127</v>
      </c>
      <c r="E36" s="92" t="s">
        <v>127</v>
      </c>
      <c r="F36" s="92" t="s">
        <v>127</v>
      </c>
      <c r="G36" s="91" t="s">
        <v>127</v>
      </c>
      <c r="H36" s="93" t="s">
        <v>127</v>
      </c>
      <c r="I36" s="93" t="s">
        <v>127</v>
      </c>
      <c r="J36" s="115" t="s">
        <v>127</v>
      </c>
      <c r="K36" s="116" t="s">
        <v>127</v>
      </c>
      <c r="L36" s="95" t="s">
        <v>127</v>
      </c>
      <c r="M36" s="116" t="s">
        <v>127</v>
      </c>
      <c r="N36" s="113" t="s">
        <v>127</v>
      </c>
      <c r="O36" s="116" t="s">
        <v>127</v>
      </c>
      <c r="P36" s="113" t="s">
        <v>127</v>
      </c>
      <c r="Q36" s="95" t="s">
        <v>127</v>
      </c>
      <c r="R36" s="96" t="s">
        <v>127</v>
      </c>
      <c r="S36" s="93" t="s">
        <v>127</v>
      </c>
      <c r="T36" s="97" t="s">
        <v>127</v>
      </c>
      <c r="U36" s="93" t="s">
        <v>127</v>
      </c>
      <c r="V36" s="93" t="s">
        <v>127</v>
      </c>
      <c r="W36" s="96" t="s">
        <v>127</v>
      </c>
      <c r="X36" s="93" t="s">
        <v>127</v>
      </c>
      <c r="Y36" s="97" t="s">
        <v>127</v>
      </c>
      <c r="Z36" s="98" t="s">
        <v>127</v>
      </c>
      <c r="AA36" s="98" t="s">
        <v>127</v>
      </c>
      <c r="AB36" s="96" t="s">
        <v>127</v>
      </c>
      <c r="AC36" s="93" t="s">
        <v>127</v>
      </c>
      <c r="AD36" s="93" t="s">
        <v>127</v>
      </c>
      <c r="AE36" s="97" t="s">
        <v>127</v>
      </c>
      <c r="AF36" s="99" t="s">
        <v>127</v>
      </c>
      <c r="AG36" s="93" t="s">
        <v>127</v>
      </c>
      <c r="AH36" s="100" t="s">
        <v>127</v>
      </c>
      <c r="AI36" s="101" t="s">
        <v>127</v>
      </c>
      <c r="AJ36" s="101">
        <v>0</v>
      </c>
      <c r="AK36" s="102" t="s">
        <v>127</v>
      </c>
      <c r="AL36" s="103">
        <v>-1971828</v>
      </c>
      <c r="AM36" s="102" t="s">
        <v>127</v>
      </c>
      <c r="AN36" s="103" t="s">
        <v>127</v>
      </c>
      <c r="AO36" s="93" t="s">
        <v>127</v>
      </c>
      <c r="AP36" s="104" t="s">
        <v>127</v>
      </c>
      <c r="AQ36" s="93" t="s">
        <v>127</v>
      </c>
      <c r="AR36" s="104" t="s">
        <v>127</v>
      </c>
      <c r="AS36" s="93" t="s">
        <v>127</v>
      </c>
      <c r="AT36" s="105" t="s">
        <v>127</v>
      </c>
      <c r="AU36" s="101" t="s">
        <v>127</v>
      </c>
      <c r="AV36" s="101" t="s">
        <v>127</v>
      </c>
      <c r="AW36" s="106" t="s">
        <v>127</v>
      </c>
      <c r="AX36" s="106" t="s">
        <v>127</v>
      </c>
      <c r="AY36" s="106" t="s">
        <v>127</v>
      </c>
      <c r="AZ36" s="106" t="s">
        <v>127</v>
      </c>
      <c r="BA36" s="106" t="s">
        <v>127</v>
      </c>
      <c r="BB36" s="106" t="s">
        <v>127</v>
      </c>
      <c r="BC36" s="107" t="s">
        <v>127</v>
      </c>
      <c r="BD36" s="108" t="s">
        <v>127</v>
      </c>
      <c r="BE36" s="108" t="s">
        <v>127</v>
      </c>
      <c r="BF36" s="93" t="s">
        <v>127</v>
      </c>
      <c r="BG36" s="108" t="s">
        <v>127</v>
      </c>
      <c r="BH36" s="108" t="s">
        <v>127</v>
      </c>
      <c r="BI36" s="109" t="s">
        <v>127</v>
      </c>
      <c r="BJ36" s="110" t="s">
        <v>127</v>
      </c>
      <c r="BK36" s="93" t="s">
        <v>127</v>
      </c>
      <c r="BL36" s="108" t="s">
        <v>127</v>
      </c>
      <c r="BM36" s="111" t="s">
        <v>127</v>
      </c>
      <c r="BN36" s="101" t="s">
        <v>127</v>
      </c>
      <c r="BO36" s="101" t="s">
        <v>127</v>
      </c>
      <c r="BP36" s="119"/>
      <c r="BQ36" s="112" t="s">
        <v>127</v>
      </c>
      <c r="BR36" s="112" t="s">
        <v>127</v>
      </c>
      <c r="BS36" s="112" t="s">
        <v>127</v>
      </c>
      <c r="BT36" s="112" t="s">
        <v>127</v>
      </c>
      <c r="BU36" s="83"/>
      <c r="BV36" s="83"/>
    </row>
  </sheetData>
  <mergeCells count="5">
    <mergeCell ref="AW2:AY2"/>
    <mergeCell ref="AZ2:BB2"/>
    <mergeCell ref="B1:AJ1"/>
    <mergeCell ref="AK1:AV1"/>
    <mergeCell ref="AW1:BN1"/>
  </mergeCells>
  <conditionalFormatting sqref="A1:XFD3 A37:XFD1048576 BU36:XFD36 IR4:XFD3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greshem.szigma</cp:lastModifiedBy>
  <cp:revision/>
  <dcterms:created xsi:type="dcterms:W3CDTF">2017-05-22T13:08:25Z</dcterms:created>
  <dcterms:modified xsi:type="dcterms:W3CDTF">2021-01-14T15:11:37Z</dcterms:modified>
  <cp:category/>
  <cp:contentStatus/>
</cp:coreProperties>
</file>